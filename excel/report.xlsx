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Pet project 4331\4331-hours\excel\"/>
    </mc:Choice>
  </mc:AlternateContent>
  <xr:revisionPtr revIDLastSave="0" documentId="13_ncr:1_{DA63FFD4-FA3F-4B4D-BFB9-1450E38F4B4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Data" sheetId="1" r:id="rId1"/>
    <sheet name="Blackout_Log" sheetId="2" r:id="rId2"/>
    <sheet name="Dashboard" sheetId="3" r:id="rId3"/>
    <sheet name="Comfort" sheetId="4" r:id="rId4"/>
    <sheet name="Cooling_Calc" sheetId="5" r:id="rId5"/>
  </sheets>
  <definedNames>
    <definedName name="_xlnm._FilterDatabase" localSheetId="1" hidden="1">Blackout_Log!$A$1:$H$6</definedName>
    <definedName name="k_bedroom">Cooling_Calc!$E$3</definedName>
    <definedName name="k_kitchen">Cooling_Calc!$E$4</definedName>
    <definedName name="k_printernya">Cooling_Calc!$E$5</definedName>
    <definedName name="Porig">Cooling_Calc!$C$7</definedName>
    <definedName name="T_vul">Cooling_Calc!$C$6</definedName>
    <definedName name="T0">Cooling_Calc!$C$5</definedName>
    <definedName name="Роздільник_Місяць">#N/A</definedName>
  </definedNames>
  <calcPr calcId="191029"/>
  <pivotCaches>
    <pivotCache cacheId="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5" l="1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C9" i="5"/>
  <c r="C10" i="5" s="1"/>
  <c r="B11" i="5" s="1"/>
  <c r="A22" i="3"/>
  <c r="B22" i="3" s="1"/>
  <c r="A21" i="3"/>
  <c r="A20" i="3"/>
  <c r="B20" i="3" s="1"/>
  <c r="A19" i="3"/>
  <c r="B19" i="3" s="1"/>
  <c r="A18" i="3"/>
  <c r="A17" i="3"/>
  <c r="B17" i="3" s="1"/>
  <c r="A16" i="3"/>
  <c r="B16" i="3" s="1"/>
  <c r="H15" i="3"/>
  <c r="H14" i="3"/>
  <c r="H13" i="3"/>
  <c r="I9" i="3"/>
  <c r="H9" i="3"/>
  <c r="I8" i="3"/>
  <c r="H8" i="3"/>
  <c r="I7" i="3"/>
  <c r="H7" i="3"/>
  <c r="I6" i="3"/>
  <c r="H6" i="3"/>
  <c r="F6" i="2"/>
  <c r="E6" i="2"/>
  <c r="K5" i="2"/>
  <c r="F5" i="2"/>
  <c r="E5" i="2"/>
  <c r="K4" i="2"/>
  <c r="F4" i="2"/>
  <c r="E4" i="2"/>
  <c r="K3" i="2"/>
  <c r="K7" i="2" s="1"/>
  <c r="F3" i="2"/>
  <c r="E3" i="2"/>
  <c r="K2" i="2"/>
  <c r="F2" i="2"/>
  <c r="B21" i="3" s="1"/>
  <c r="E2" i="2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B11" i="3" s="1"/>
  <c r="C11" i="3" l="1"/>
  <c r="B7" i="3"/>
  <c r="B9" i="3"/>
  <c r="D11" i="3"/>
  <c r="C7" i="3"/>
  <c r="C9" i="3"/>
  <c r="E11" i="3"/>
  <c r="D7" i="3"/>
  <c r="D9" i="3"/>
  <c r="B12" i="3"/>
  <c r="B18" i="3"/>
  <c r="E7" i="3"/>
  <c r="E9" i="3"/>
  <c r="C12" i="3"/>
  <c r="D12" i="3"/>
  <c r="E12" i="3"/>
  <c r="B6" i="3"/>
  <c r="B8" i="3"/>
  <c r="B10" i="3"/>
  <c r="C6" i="3"/>
  <c r="C8" i="3"/>
  <c r="C10" i="3"/>
  <c r="D6" i="3"/>
  <c r="D8" i="3"/>
  <c r="D10" i="3"/>
  <c r="E6" i="3"/>
  <c r="E8" i="3"/>
  <c r="E10" i="3"/>
</calcChain>
</file>

<file path=xl/sharedStrings.xml><?xml version="1.0" encoding="utf-8"?>
<sst xmlns="http://schemas.openxmlformats.org/spreadsheetml/2006/main" count="122" uniqueCount="75">
  <si>
    <t>Дата-час (Київ)</t>
  </si>
  <si>
    <t>Місяць</t>
  </si>
  <si>
    <t>Година</t>
  </si>
  <si>
    <t>Кімната °C</t>
  </si>
  <si>
    <t>Кухня °C</t>
  </si>
  <si>
    <t>Кладова °C</t>
  </si>
  <si>
    <t>Надворі °C</t>
  </si>
  <si>
    <t>Кімната RH</t>
  </si>
  <si>
    <t>Кухня RH</t>
  </si>
  <si>
    <t>Кладова RH</t>
  </si>
  <si>
    <t>Надворі RH</t>
  </si>
  <si>
    <t>№</t>
  </si>
  <si>
    <t>Початок (Київ)</t>
  </si>
  <si>
    <t>Кінець (Київ)</t>
  </si>
  <si>
    <t>Тривалість год</t>
  </si>
  <si>
    <t>День тижня</t>
  </si>
  <si>
    <t>Джерело</t>
  </si>
  <si>
    <t>Примітка</t>
  </si>
  <si>
    <t>Зведення по відключеннях</t>
  </si>
  <si>
    <t>погодинні</t>
  </si>
  <si>
    <t>мовчать усі доступні розеткові датчики (1): bedroom_temp; НИЗЬКА ВПЕВНЕНІСТЬ: у той час працював лише один розетковий датчик</t>
  </si>
  <si>
    <t>Кількість відключень</t>
  </si>
  <si>
    <t>мовчать усі доступні розеткові датчики (4): bedroom_temp, printernya_temp, server_cpu_load, nas_sda_temp</t>
  </si>
  <si>
    <t>Сума годин без світла</t>
  </si>
  <si>
    <t>мовчать усі доступні розеткові датчики (4): bedroom_temp, printernya_temp, server_cpu_load, nas_sda_temp; квітка теж мовчала → сервер був вимкнений</t>
  </si>
  <si>
    <t>Медіана тривалості, год</t>
  </si>
  <si>
    <t>Максимум, год</t>
  </si>
  <si>
    <t>Всього годин у періоді</t>
  </si>
  <si>
    <t>Uptime (частка часу зі світлом)</t>
  </si>
  <si>
    <t>Dashboard — 4331 година</t>
  </si>
  <si>
    <t>Середня температура за місяць, °C</t>
  </si>
  <si>
    <t>Мінімум / максимум за період, °C</t>
  </si>
  <si>
    <t>Кімната</t>
  </si>
  <si>
    <t>Кухня</t>
  </si>
  <si>
    <t>Кладова</t>
  </si>
  <si>
    <t>Надворі</t>
  </si>
  <si>
    <t>Мін</t>
  </si>
  <si>
    <t>Макс</t>
  </si>
  <si>
    <t>2026-03</t>
  </si>
  <si>
    <t>2026-04</t>
  </si>
  <si>
    <t>2026-05</t>
  </si>
  <si>
    <t>2026-06</t>
  </si>
  <si>
    <t>2026-07</t>
  </si>
  <si>
    <t>2026-08</t>
  </si>
  <si>
    <t>Поза комфортом 20–24°C, % часу</t>
  </si>
  <si>
    <t>2026-09</t>
  </si>
  <si>
    <t>% поза комфортом</t>
  </si>
  <si>
    <t>Години без світла за місяць</t>
  </si>
  <si>
    <t>Години без світла</t>
  </si>
  <si>
    <t>Місце для зведеної таблиці та зрізу (робиться вручну, див. README)</t>
  </si>
  <si>
    <t>Comfort — теплова карта</t>
  </si>
  <si>
    <t>Комфортна температура 20–24°C за місяць, % часу</t>
  </si>
  <si>
    <t>Спарклайни (мінідіаграми в комірках) openpyxl не підтримує — можна додати вручну: виділити рядок → Вставлення → Спарклайн → Лінія.</t>
  </si>
  <si>
    <t>Cooling_Calc — калькулятор охолодження квартири</t>
  </si>
  <si>
    <t>k, 1/год</t>
  </si>
  <si>
    <t>Вхідні дані</t>
  </si>
  <si>
    <t>T0, °C (у кімнаті зараз)</t>
  </si>
  <si>
    <t>T_вул, °C (надворі)</t>
  </si>
  <si>
    <t>k з модуля M4 (метод «нічний спад», night_decay_ols)</t>
  </si>
  <si>
    <t>поріг, °C</t>
  </si>
  <si>
    <t>k обраної кімнати</t>
  </si>
  <si>
    <t>Годин до порога</t>
  </si>
  <si>
    <t>Примітка: k оцінено на літніх даних, довірчий інтервал широкий — уточнимо взимку.</t>
  </si>
  <si>
    <t>Довідкова таблиця: T_вул від −20 до +10 (T0=22, поріг=18)</t>
  </si>
  <si>
    <t>T0 (довідка)</t>
  </si>
  <si>
    <t>поріг (довідка)</t>
  </si>
  <si>
    <t>T_вул, °C</t>
  </si>
  <si>
    <t>Кімната, год</t>
  </si>
  <si>
    <t>Кухня, год</t>
  </si>
  <si>
    <t>Кладова, год</t>
  </si>
  <si>
    <t>Позначки рядків</t>
  </si>
  <si>
    <t>Загальний підсумок</t>
  </si>
  <si>
    <t>Середнє з Кімната °C</t>
  </si>
  <si>
    <t>Середнє з Кухня °C</t>
  </si>
  <si>
    <t>Середнє з Кладова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</si>
</sst>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.mm\.yyyy\ hh:mm"/>
    <numFmt numFmtId="166" formatCode="0.0"/>
    <numFmt numFmtId="167" formatCode="0.0&quot;%&quot;"/>
    <numFmt numFmtId="168" formatCode="0.0%"/>
    <numFmt numFmtId="169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2E86AB"/>
      <name val="Calibri"/>
    </font>
    <font>
      <i/>
      <sz val="11"/>
      <color rgb="FF666666"/>
      <name val="Calibri"/>
    </font>
    <font>
      <i/>
      <sz val="11"/>
      <color rgb="FF8A6D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top" wrapText="1"/>
    </xf>
    <xf numFmtId="168" fontId="0" fillId="0" borderId="0" xfId="0" applyNumberFormat="1"/>
    <xf numFmtId="0" fontId="3" fillId="0" borderId="0" xfId="0" applyFont="1"/>
    <xf numFmtId="0" fontId="5" fillId="0" borderId="0" xfId="0" applyFont="1"/>
    <xf numFmtId="169" fontId="0" fillId="0" borderId="0" xfId="0" applyNumberFormat="1"/>
    <xf numFmtId="0" fontId="0" fillId="3" borderId="1" xfId="0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6" fontId="2" fillId="0" borderId="0" xfId="0" applyNumberFormat="1" applyFont="1"/>
    <xf numFmtId="0" fontId="2" fillId="0" borderId="0" xfId="0" applyFont="1"/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uk-UA"/>
              <a:t>Середня температура за місяць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Dashboard!$B$5</c:f>
              <c:strCache>
                <c:ptCount val="1"/>
                <c:pt idx="0">
                  <c:v>Кімната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Dashboard!$A$6:$A$12</c:f>
              <c:strCache>
                <c:ptCount val="7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</c:strCache>
            </c:strRef>
          </c:cat>
          <c:val>
            <c:numRef>
              <c:f>Dashboard!$B$6:$B$12</c:f>
              <c:numCache>
                <c:formatCode>0.0</c:formatCode>
                <c:ptCount val="7"/>
                <c:pt idx="0">
                  <c:v>22.691940732567932</c:v>
                </c:pt>
                <c:pt idx="1">
                  <c:v>21.954304186203391</c:v>
                </c:pt>
                <c:pt idx="2">
                  <c:v>24.057717418919836</c:v>
                </c:pt>
                <c:pt idx="3">
                  <c:v>25.502107266610487</c:v>
                </c:pt>
                <c:pt idx="4">
                  <c:v>25.630405831100706</c:v>
                </c:pt>
                <c:pt idx="5">
                  <c:v>25.561816947517585</c:v>
                </c:pt>
                <c:pt idx="6">
                  <c:v>24.84383464314195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30-4C1C-BEAD-C94AB4C87460}"/>
            </c:ext>
          </c:extLst>
        </c:ser>
        <c:ser>
          <c:idx val="1"/>
          <c:order val="1"/>
          <c:tx>
            <c:strRef>
              <c:f>Dashboard!$C$5</c:f>
              <c:strCache>
                <c:ptCount val="1"/>
                <c:pt idx="0">
                  <c:v>Кухня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Dashboard!$A$6:$A$12</c:f>
              <c:strCache>
                <c:ptCount val="7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</c:strCache>
            </c:strRef>
          </c:cat>
          <c:val>
            <c:numRef>
              <c:f>Dashboard!$C$6:$C$12</c:f>
              <c:numCache>
                <c:formatCode>0.0</c:formatCode>
                <c:ptCount val="7"/>
                <c:pt idx="0">
                  <c:v>0</c:v>
                </c:pt>
                <c:pt idx="1">
                  <c:v>23.45483194734966</c:v>
                </c:pt>
                <c:pt idx="2">
                  <c:v>25.560902907173734</c:v>
                </c:pt>
                <c:pt idx="3">
                  <c:v>26.992543891684953</c:v>
                </c:pt>
                <c:pt idx="4">
                  <c:v>27.523684908238042</c:v>
                </c:pt>
                <c:pt idx="5">
                  <c:v>27.848079982648322</c:v>
                </c:pt>
                <c:pt idx="6">
                  <c:v>27.053649424755541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330-4C1C-BEAD-C94AB4C87460}"/>
            </c:ext>
          </c:extLst>
        </c:ser>
        <c:ser>
          <c:idx val="2"/>
          <c:order val="2"/>
          <c:tx>
            <c:strRef>
              <c:f>Dashboard!$D$5</c:f>
              <c:strCache>
                <c:ptCount val="1"/>
                <c:pt idx="0">
                  <c:v>Кладова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Dashboard!$A$6:$A$12</c:f>
              <c:strCache>
                <c:ptCount val="7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</c:strCache>
            </c:strRef>
          </c:cat>
          <c:val>
            <c:numRef>
              <c:f>Dashboard!$D$6:$D$12</c:f>
              <c:numCache>
                <c:formatCode>0.0</c:formatCode>
                <c:ptCount val="7"/>
                <c:pt idx="0">
                  <c:v>0</c:v>
                </c:pt>
                <c:pt idx="1">
                  <c:v>23.409542848288098</c:v>
                </c:pt>
                <c:pt idx="2">
                  <c:v>25.578650854200049</c:v>
                </c:pt>
                <c:pt idx="3">
                  <c:v>28.464859472866959</c:v>
                </c:pt>
                <c:pt idx="4">
                  <c:v>28.770269807590111</c:v>
                </c:pt>
                <c:pt idx="5">
                  <c:v>29.319181600894126</c:v>
                </c:pt>
                <c:pt idx="6">
                  <c:v>28.585871687367447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330-4C1C-BEAD-C94AB4C87460}"/>
            </c:ext>
          </c:extLst>
        </c:ser>
        <c:ser>
          <c:idx val="3"/>
          <c:order val="3"/>
          <c:tx>
            <c:strRef>
              <c:f>Dashboard!$E$5</c:f>
              <c:strCache>
                <c:ptCount val="1"/>
                <c:pt idx="0">
                  <c:v>Надворі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Dashboard!$A$6:$A$12</c:f>
              <c:strCache>
                <c:ptCount val="7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</c:strCache>
            </c:strRef>
          </c:cat>
          <c:val>
            <c:numRef>
              <c:f>Dashboard!$E$6:$E$12</c:f>
              <c:numCache>
                <c:formatCode>0.0</c:formatCode>
                <c:ptCount val="7"/>
                <c:pt idx="0">
                  <c:v>6.9075067024128689</c:v>
                </c:pt>
                <c:pt idx="1">
                  <c:v>7.2530555555555587</c:v>
                </c:pt>
                <c:pt idx="2">
                  <c:v>16.918145161290333</c:v>
                </c:pt>
                <c:pt idx="3">
                  <c:v>20.949027777777793</c:v>
                </c:pt>
                <c:pt idx="4">
                  <c:v>20.749059139784944</c:v>
                </c:pt>
                <c:pt idx="5">
                  <c:v>23.061962365591416</c:v>
                </c:pt>
                <c:pt idx="6">
                  <c:v>18.230532212885134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330-4C1C-BEAD-C94AB4C87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Місяць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°C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uk-UA"/>
              <a:t>Години без світла за місяць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Години без світла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Dashboard!$A$16:$A$22</c:f>
              <c:strCache>
                <c:ptCount val="7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</c:strCache>
            </c:strRef>
          </c:cat>
          <c:val>
            <c:numRef>
              <c:f>Dashboard!$B$16:$B$22</c:f>
              <c:numCache>
                <c:formatCode>0.0</c:formatCode>
                <c:ptCount val="7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0-4B22-A155-983EB1D97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Місяць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Годин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uk-UA"/>
              <a:t>Годин до 18°</a:t>
            </a:r>
            <a:r>
              <a:rPr lang="en-US"/>
              <a:t>C </a:t>
            </a:r>
            <a:r>
              <a:rPr lang="uk-UA"/>
              <a:t>залежно від температури надворі (</a:t>
            </a:r>
            <a:r>
              <a:rPr lang="en-US"/>
              <a:t>Cooling_Calc)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Cooling_Calc!$B$19</c:f>
              <c:strCache>
                <c:ptCount val="1"/>
                <c:pt idx="0">
                  <c:v>Кімната, год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Cooling_Calc!$A$20:$A$26</c:f>
              <c:numCache>
                <c:formatCode>0</c:formatCode>
                <c:ptCount val="7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</c:numCache>
            </c:numRef>
          </c:cat>
          <c:val>
            <c:numRef>
              <c:f>Cooling_Calc!$B$20:$B$26</c:f>
              <c:numCache>
                <c:formatCode>0.0</c:formatCode>
                <c:ptCount val="7"/>
                <c:pt idx="0">
                  <c:v>28.770051018136858</c:v>
                </c:pt>
                <c:pt idx="1">
                  <c:v>32.888468162924063</c:v>
                </c:pt>
                <c:pt idx="2">
                  <c:v>38.385014204351258</c:v>
                </c:pt>
                <c:pt idx="3">
                  <c:v>46.092194350175511</c:v>
                </c:pt>
                <c:pt idx="4">
                  <c:v>57.684918462365665</c:v>
                </c:pt>
                <c:pt idx="5">
                  <c:v>77.115326467894533</c:v>
                </c:pt>
                <c:pt idx="6">
                  <c:v>116.55524313945089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4-4174-91CF-088E4EEFDF39}"/>
            </c:ext>
          </c:extLst>
        </c:ser>
        <c:ser>
          <c:idx val="1"/>
          <c:order val="1"/>
          <c:tx>
            <c:strRef>
              <c:f>Cooling_Calc!$C$19</c:f>
              <c:strCache>
                <c:ptCount val="1"/>
                <c:pt idx="0">
                  <c:v>Кухня, год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Cooling_Calc!$A$20:$A$26</c:f>
              <c:numCache>
                <c:formatCode>0</c:formatCode>
                <c:ptCount val="7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</c:numCache>
            </c:numRef>
          </c:cat>
          <c:val>
            <c:numRef>
              <c:f>Cooling_Calc!$C$20:$C$26</c:f>
              <c:numCache>
                <c:formatCode>0.0</c:formatCode>
                <c:ptCount val="7"/>
                <c:pt idx="0">
                  <c:v>45.187816294452453</c:v>
                </c:pt>
                <c:pt idx="1">
                  <c:v>51.656427602970716</c:v>
                </c:pt>
                <c:pt idx="2">
                  <c:v>60.289603561450356</c:v>
                </c:pt>
                <c:pt idx="3">
                  <c:v>72.394922400065042</c:v>
                </c:pt>
                <c:pt idx="4">
                  <c:v>90.603089191416188</c:v>
                </c:pt>
                <c:pt idx="5">
                  <c:v>121.12155114779533</c:v>
                </c:pt>
                <c:pt idx="6">
                  <c:v>183.06804224366743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4-4174-91CF-088E4EEFDF39}"/>
            </c:ext>
          </c:extLst>
        </c:ser>
        <c:ser>
          <c:idx val="2"/>
          <c:order val="2"/>
          <c:tx>
            <c:strRef>
              <c:f>Cooling_Calc!$D$19</c:f>
              <c:strCache>
                <c:ptCount val="1"/>
                <c:pt idx="0">
                  <c:v>Кладова, год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Cooling_Calc!$A$20:$A$26</c:f>
              <c:numCache>
                <c:formatCode>0</c:formatCode>
                <c:ptCount val="7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</c:numCache>
            </c:numRef>
          </c:cat>
          <c:val>
            <c:numRef>
              <c:f>Cooling_Calc!$D$20:$D$26</c:f>
              <c:numCache>
                <c:formatCode>0.0</c:formatCode>
                <c:ptCount val="7"/>
                <c:pt idx="0">
                  <c:v>32.772605543842417</c:v>
                </c:pt>
                <c:pt idx="1">
                  <c:v>37.463986190544148</c:v>
                </c:pt>
                <c:pt idx="2">
                  <c:v>43.72522414092883</c:v>
                </c:pt>
                <c:pt idx="3">
                  <c:v>52.504644608942634</c:v>
                </c:pt>
                <c:pt idx="4">
                  <c:v>65.710174702298801</c:v>
                </c:pt>
                <c:pt idx="5">
                  <c:v>87.843784987511071</c:v>
                </c:pt>
                <c:pt idx="6">
                  <c:v>132.77067201124621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A4-4174-91CF-088E4EEF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</a:t>
                </a:r>
                <a:r>
                  <a:rPr lang="uk-UA"/>
                  <a:t>надворі, °</a:t>
                </a:r>
                <a:r>
                  <a:rPr lang="en-US"/>
                  <a:t>C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Годин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uk-UA"/>
              <a:t>Частка часу поза комфортом 20–24°</a:t>
            </a:r>
            <a:r>
              <a:rPr lang="en-US"/>
              <a:t>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Dashboard!$H$12</c:f>
              <c:strCache>
                <c:ptCount val="1"/>
                <c:pt idx="0">
                  <c:v>% поза комфортом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Dashboard!$G$13:$G$15</c:f>
              <c:strCache>
                <c:ptCount val="3"/>
                <c:pt idx="0">
                  <c:v>Кімната</c:v>
                </c:pt>
                <c:pt idx="1">
                  <c:v>Кухня</c:v>
                </c:pt>
                <c:pt idx="2">
                  <c:v>Кладова</c:v>
                </c:pt>
              </c:strCache>
            </c:strRef>
          </c:cat>
          <c:val>
            <c:numRef>
              <c:f>Dashboard!$H$13:$H$15</c:f>
              <c:numCache>
                <c:formatCode>0.0%</c:formatCode>
                <c:ptCount val="3"/>
                <c:pt idx="0">
                  <c:v>0.58755493869997688</c:v>
                </c:pt>
                <c:pt idx="1">
                  <c:v>0.78200821201941018</c:v>
                </c:pt>
                <c:pt idx="2">
                  <c:v>0.8258234519104084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0-4822-945C-8EDABA8B0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Кімната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% часу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c:style val="10"/>
  <c:chart>
    <c:title>
      <c:tx>
        <c:rich>
          <a:bodyPr/>
          <a:lstStyle/>
          <a:p>
            <a:pPr>
              <a:defRPr/>
            </a:pPr>
            <a:r>
              <a:t>Годин до 18°C залежно від температури надворі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Cooling_Calc!$B$19</c:f>
              <c:strCache>
                <c:ptCount val="1"/>
                <c:pt idx="0">
                  <c:v>Кімната, год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Cooling_Calc!$A$20:$A$26</c:f>
              <c:numCache>
                <c:formatCode>0</c:formatCode>
                <c:ptCount val="7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</c:numCache>
            </c:numRef>
          </c:cat>
          <c:val>
            <c:numRef>
              <c:f>Cooling_Calc!$B$20:$B$26</c:f>
              <c:numCache>
                <c:formatCode>0.0</c:formatCode>
                <c:ptCount val="7"/>
                <c:pt idx="0">
                  <c:v>28.770051018136858</c:v>
                </c:pt>
                <c:pt idx="1">
                  <c:v>32.888468162924063</c:v>
                </c:pt>
                <c:pt idx="2">
                  <c:v>38.385014204351258</c:v>
                </c:pt>
                <c:pt idx="3">
                  <c:v>46.092194350175511</c:v>
                </c:pt>
                <c:pt idx="4">
                  <c:v>57.684918462365665</c:v>
                </c:pt>
                <c:pt idx="5">
                  <c:v>77.115326467894533</c:v>
                </c:pt>
                <c:pt idx="6">
                  <c:v>116.55524313945089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24-4C92-978D-B45BD62E51C0}"/>
            </c:ext>
          </c:extLst>
        </c:ser>
        <c:ser>
          <c:idx val="1"/>
          <c:order val="1"/>
          <c:tx>
            <c:strRef>
              <c:f>Cooling_Calc!$C$19</c:f>
              <c:strCache>
                <c:ptCount val="1"/>
                <c:pt idx="0">
                  <c:v>Кухня, год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Cooling_Calc!$A$20:$A$26</c:f>
              <c:numCache>
                <c:formatCode>0</c:formatCode>
                <c:ptCount val="7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</c:numCache>
            </c:numRef>
          </c:cat>
          <c:val>
            <c:numRef>
              <c:f>Cooling_Calc!$C$20:$C$26</c:f>
              <c:numCache>
                <c:formatCode>0.0</c:formatCode>
                <c:ptCount val="7"/>
                <c:pt idx="0">
                  <c:v>45.187816294452453</c:v>
                </c:pt>
                <c:pt idx="1">
                  <c:v>51.656427602970716</c:v>
                </c:pt>
                <c:pt idx="2">
                  <c:v>60.289603561450356</c:v>
                </c:pt>
                <c:pt idx="3">
                  <c:v>72.394922400065042</c:v>
                </c:pt>
                <c:pt idx="4">
                  <c:v>90.603089191416188</c:v>
                </c:pt>
                <c:pt idx="5">
                  <c:v>121.12155114779533</c:v>
                </c:pt>
                <c:pt idx="6">
                  <c:v>183.06804224366743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24-4C92-978D-B45BD62E51C0}"/>
            </c:ext>
          </c:extLst>
        </c:ser>
        <c:ser>
          <c:idx val="2"/>
          <c:order val="2"/>
          <c:tx>
            <c:strRef>
              <c:f>Cooling_Calc!$D$19</c:f>
              <c:strCache>
                <c:ptCount val="1"/>
                <c:pt idx="0">
                  <c:v>Кладова, год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Cooling_Calc!$A$20:$A$26</c:f>
              <c:numCache>
                <c:formatCode>0</c:formatCode>
                <c:ptCount val="7"/>
                <c:pt idx="0">
                  <c:v>-20</c:v>
                </c:pt>
                <c:pt idx="1">
                  <c:v>-15</c:v>
                </c:pt>
                <c:pt idx="2">
                  <c:v>-10</c:v>
                </c:pt>
                <c:pt idx="3">
                  <c:v>-5</c:v>
                </c:pt>
                <c:pt idx="4">
                  <c:v>0</c:v>
                </c:pt>
                <c:pt idx="5">
                  <c:v>5</c:v>
                </c:pt>
                <c:pt idx="6">
                  <c:v>10</c:v>
                </c:pt>
              </c:numCache>
            </c:numRef>
          </c:cat>
          <c:val>
            <c:numRef>
              <c:f>Cooling_Calc!$D$20:$D$26</c:f>
              <c:numCache>
                <c:formatCode>0.0</c:formatCode>
                <c:ptCount val="7"/>
                <c:pt idx="0">
                  <c:v>32.772605543842417</c:v>
                </c:pt>
                <c:pt idx="1">
                  <c:v>37.463986190544148</c:v>
                </c:pt>
                <c:pt idx="2">
                  <c:v>43.72522414092883</c:v>
                </c:pt>
                <c:pt idx="3">
                  <c:v>52.504644608942634</c:v>
                </c:pt>
                <c:pt idx="4">
                  <c:v>65.710174702298801</c:v>
                </c:pt>
                <c:pt idx="5">
                  <c:v>87.843784987511071</c:v>
                </c:pt>
                <c:pt idx="6">
                  <c:v>132.77067201124621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24-4C92-978D-B45BD62E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 надворі, °C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Годин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66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87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4</xdr:col>
      <xdr:colOff>723900</xdr:colOff>
      <xdr:row>111</xdr:row>
      <xdr:rowOff>9525</xdr:rowOff>
    </xdr:from>
    <xdr:to>
      <xdr:col>7</xdr:col>
      <xdr:colOff>885825</xdr:colOff>
      <xdr:row>124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Місяць">
              <a:extLst>
                <a:ext uri="{FF2B5EF4-FFF2-40B4-BE49-F238E27FC236}">
                  <a16:creationId xmlns:a16="http://schemas.microsoft.com/office/drawing/2014/main" id="{928F46C5-4828-4338-BD65-CE84BC7889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ісяць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8850" y="21583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sha" refreshedDate="46281.808763194444" createdVersion="7" refreshedVersion="7" minRefreshableVersion="3" recordCount="4402" xr:uid="{D8140969-BC34-4C2C-9FD7-D6BFF4738B30}">
  <cacheSource type="worksheet">
    <worksheetSource name="raw"/>
  </cacheSource>
  <cacheFields count="11">
    <cacheField name="Дата-час (Київ)" numFmtId="165">
      <sharedItems containsSemiMixedTypes="0" containsNonDate="0" containsDate="1" containsString="0" minDate="2026-03-16T10:00:00" maxDate="2026-09-16T00:00:00"/>
    </cacheField>
    <cacheField name="Місяць" numFmtId="0">
      <sharedItems count="7">
        <s v="2026-03"/>
        <s v="2026-04"/>
        <s v="2026-05"/>
        <s v="2026-06"/>
        <s v="2026-07"/>
        <s v="2026-08"/>
        <s v="2026-09"/>
      </sharedItems>
    </cacheField>
    <cacheField name="Година" numFmtId="1">
      <sharedItems containsSemiMixedTypes="0" containsString="0" containsNumber="1" containsInteger="1" minValue="0" maxValue="23"/>
    </cacheField>
    <cacheField name="Кімната °C" numFmtId="166">
      <sharedItems containsString="0" containsBlank="1" containsNumber="1" minValue="19.164767300313891" maxValue="30.17057808117778"/>
    </cacheField>
    <cacheField name="Кухня °C" numFmtId="166">
      <sharedItems containsString="0" containsBlank="1" containsNumber="1" minValue="21.697223572624999" maxValue="30.36168807715833"/>
    </cacheField>
    <cacheField name="Кладова °C" numFmtId="166">
      <sharedItems containsString="0" containsBlank="1" containsNumber="1" minValue="22.15518236511112" maxValue="30.173220590416669"/>
    </cacheField>
    <cacheField name="Надворі °C" numFmtId="166">
      <sharedItems containsSemiMixedTypes="0" containsString="0" containsNumber="1" minValue="-1.3" maxValue="36.1"/>
    </cacheField>
    <cacheField name="Кімната RH" numFmtId="167">
      <sharedItems containsString="0" containsBlank="1" containsNumber="1" minValue="22.646109421966671" maxValue="62.415243621144441"/>
    </cacheField>
    <cacheField name="Кухня RH" numFmtId="167">
      <sharedItems containsString="0" containsBlank="1" containsNumber="1" minValue="21.58222563490834" maxValue="55.342383542419441"/>
    </cacheField>
    <cacheField name="Кладова RH" numFmtId="167">
      <sharedItems containsString="0" containsBlank="1" containsNumber="1" minValue="33.033248757333332" maxValue="61.493515057774999"/>
    </cacheField>
    <cacheField name="Надворі RH" numFmtId="167">
      <sharedItems containsSemiMixedTypes="0" containsString="0" containsNumber="1" containsInteger="1" minValue="15" maxValue="100"/>
    </cacheField>
  </cacheFields>
  <extLst>
    <ext xmlns:x14="http://schemas.microsoft.com/office/spreadsheetml/2009/9/main" uri="{725AE2AE-9491-48be-B2B4-4EB974FC3084}">
      <x14:pivotCacheDefinition pivotCacheId="11960114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2">
  <r>
    <d v="2026-03-16T10:00:00"/>
    <x v="0"/>
    <n v="10"/>
    <n v="23.75084543600223"/>
    <m/>
    <m/>
    <n v="5.7"/>
    <n v="28.133015247153889"/>
    <m/>
    <m/>
    <n v="69"/>
  </r>
  <r>
    <d v="2026-03-16T11:00:00"/>
    <x v="0"/>
    <n v="11"/>
    <n v="24.797228389352771"/>
    <m/>
    <m/>
    <n v="7.3"/>
    <n v="28.30750083935277"/>
    <m/>
    <m/>
    <n v="62"/>
  </r>
  <r>
    <d v="2026-03-16T12:00:00"/>
    <x v="0"/>
    <n v="12"/>
    <n v="23.036916531452778"/>
    <m/>
    <m/>
    <n v="8.3000000000000007"/>
    <n v="27.54653601695"/>
    <m/>
    <m/>
    <n v="57"/>
  </r>
  <r>
    <d v="2026-03-16T13:00:00"/>
    <x v="0"/>
    <n v="13"/>
    <n v="23.58867207686944"/>
    <m/>
    <m/>
    <n v="8"/>
    <n v="26.783215931238889"/>
    <m/>
    <m/>
    <n v="60"/>
  </r>
  <r>
    <d v="2026-03-16T14:00:00"/>
    <x v="0"/>
    <n v="14"/>
    <n v="24.66411066461389"/>
    <m/>
    <m/>
    <n v="9.1"/>
    <n v="27.831592413508339"/>
    <m/>
    <m/>
    <n v="54"/>
  </r>
  <r>
    <d v="2026-03-16T15:00:00"/>
    <x v="0"/>
    <n v="15"/>
    <n v="24.741413906152779"/>
    <m/>
    <m/>
    <n v="9.1999999999999993"/>
    <n v="28.36321783371945"/>
    <m/>
    <m/>
    <n v="51"/>
  </r>
  <r>
    <d v="2026-03-16T16:00:00"/>
    <x v="0"/>
    <n v="16"/>
    <n v="24.48731267617222"/>
    <m/>
    <m/>
    <n v="8.6"/>
    <n v="29.403072284619441"/>
    <m/>
    <m/>
    <n v="56"/>
  </r>
  <r>
    <d v="2026-03-16T17:00:00"/>
    <x v="0"/>
    <n v="17"/>
    <n v="24.55346962163334"/>
    <m/>
    <m/>
    <n v="7.5"/>
    <n v="31.453719625819449"/>
    <m/>
    <m/>
    <n v="62"/>
  </r>
  <r>
    <d v="2026-03-16T18:00:00"/>
    <x v="0"/>
    <n v="18"/>
    <n v="24.566718848225001"/>
    <m/>
    <m/>
    <n v="6.4"/>
    <n v="31.74965943133056"/>
    <m/>
    <m/>
    <n v="67"/>
  </r>
  <r>
    <d v="2026-03-16T19:00:00"/>
    <x v="0"/>
    <n v="19"/>
    <n v="24.40922066245556"/>
    <m/>
    <m/>
    <n v="5.5"/>
    <n v="32.094125869002767"/>
    <m/>
    <m/>
    <n v="71"/>
  </r>
  <r>
    <d v="2026-03-16T20:00:00"/>
    <x v="0"/>
    <n v="20"/>
    <n v="24.355717181174999"/>
    <m/>
    <m/>
    <n v="5.3"/>
    <n v="34.981259254361113"/>
    <m/>
    <m/>
    <n v="77"/>
  </r>
  <r>
    <d v="2026-03-16T21:00:00"/>
    <x v="0"/>
    <n v="21"/>
    <n v="24.282014610777772"/>
    <m/>
    <m/>
    <n v="4.5"/>
    <n v="37.283802700450003"/>
    <m/>
    <m/>
    <n v="80"/>
  </r>
  <r>
    <d v="2026-03-16T22:00:00"/>
    <x v="0"/>
    <n v="22"/>
    <n v="24.23382310214722"/>
    <m/>
    <m/>
    <n v="3.7"/>
    <n v="36.717904668641673"/>
    <m/>
    <m/>
    <n v="83"/>
  </r>
  <r>
    <d v="2026-03-16T23:00:00"/>
    <x v="0"/>
    <n v="23"/>
    <n v="24.324090662347221"/>
    <m/>
    <m/>
    <n v="2.8"/>
    <n v="37.514726362499999"/>
    <m/>
    <m/>
    <n v="88"/>
  </r>
  <r>
    <d v="2026-03-17T00:00:00"/>
    <x v="0"/>
    <n v="0"/>
    <n v="24.094581030438889"/>
    <m/>
    <m/>
    <n v="2.2000000000000002"/>
    <n v="37.238378144922223"/>
    <m/>
    <m/>
    <n v="90"/>
  </r>
  <r>
    <d v="2026-03-17T01:00:00"/>
    <x v="0"/>
    <n v="1"/>
    <n v="23.806057744866671"/>
    <m/>
    <m/>
    <n v="1.9"/>
    <n v="36.866244904644446"/>
    <m/>
    <m/>
    <n v="92"/>
  </r>
  <r>
    <d v="2026-03-17T02:00:00"/>
    <x v="0"/>
    <n v="2"/>
    <n v="23.63206538788333"/>
    <m/>
    <m/>
    <n v="1.6"/>
    <n v="36.291113007380559"/>
    <m/>
    <m/>
    <n v="93"/>
  </r>
  <r>
    <d v="2026-03-17T03:00:00"/>
    <x v="0"/>
    <n v="3"/>
    <n v="23.509101707422221"/>
    <m/>
    <m/>
    <n v="1.7"/>
    <n v="36.06949483390833"/>
    <m/>
    <m/>
    <n v="95"/>
  </r>
  <r>
    <d v="2026-03-17T04:00:00"/>
    <x v="0"/>
    <n v="4"/>
    <n v="23.411655684402781"/>
    <m/>
    <m/>
    <n v="2.2000000000000002"/>
    <n v="35.95758248352778"/>
    <m/>
    <m/>
    <n v="95"/>
  </r>
  <r>
    <d v="2026-03-17T05:00:00"/>
    <x v="0"/>
    <n v="5"/>
    <n v="23.306238049619441"/>
    <m/>
    <m/>
    <n v="2.2999999999999998"/>
    <n v="35.550758814666658"/>
    <m/>
    <m/>
    <n v="96"/>
  </r>
  <r>
    <d v="2026-03-17T06:00:00"/>
    <x v="0"/>
    <n v="6"/>
    <n v="23.23629454639444"/>
    <m/>
    <m/>
    <n v="2.1"/>
    <n v="35.541412576172227"/>
    <m/>
    <m/>
    <n v="97"/>
  </r>
  <r>
    <d v="2026-03-17T07:00:00"/>
    <x v="0"/>
    <n v="7"/>
    <n v="23.21510978231667"/>
    <m/>
    <m/>
    <n v="1.8"/>
    <n v="35.267053745708331"/>
    <m/>
    <m/>
    <n v="98"/>
  </r>
  <r>
    <d v="2026-03-17T08:00:00"/>
    <x v="0"/>
    <n v="8"/>
    <n v="23.294260972941672"/>
    <m/>
    <m/>
    <n v="1.3"/>
    <n v="36.029915898744441"/>
    <m/>
    <m/>
    <n v="99"/>
  </r>
  <r>
    <d v="2026-03-17T09:00:00"/>
    <x v="0"/>
    <n v="9"/>
    <n v="23.332367099630559"/>
    <m/>
    <m/>
    <n v="1.6"/>
    <n v="35.447264273888891"/>
    <m/>
    <m/>
    <n v="99"/>
  </r>
  <r>
    <d v="2026-03-17T10:00:00"/>
    <x v="0"/>
    <n v="10"/>
    <n v="23.410726248541671"/>
    <m/>
    <m/>
    <n v="2.2999999999999998"/>
    <n v="35.353928973033327"/>
    <m/>
    <m/>
    <n v="94"/>
  </r>
  <r>
    <d v="2026-03-17T11:00:00"/>
    <x v="0"/>
    <n v="11"/>
    <n v="23.663649030502778"/>
    <m/>
    <m/>
    <n v="2.6"/>
    <n v="34.890404688986109"/>
    <m/>
    <m/>
    <n v="93"/>
  </r>
  <r>
    <d v="2026-03-17T12:00:00"/>
    <x v="0"/>
    <n v="12"/>
    <n v="23.68480688641111"/>
    <m/>
    <m/>
    <n v="2.9"/>
    <n v="34.381226689180551"/>
    <m/>
    <m/>
    <n v="92"/>
  </r>
  <r>
    <d v="2026-03-17T13:00:00"/>
    <x v="0"/>
    <n v="13"/>
    <n v="23.60928503014722"/>
    <m/>
    <m/>
    <n v="3.3"/>
    <n v="34.214651771844437"/>
    <m/>
    <m/>
    <n v="90"/>
  </r>
  <r>
    <d v="2026-03-17T14:00:00"/>
    <x v="0"/>
    <n v="14"/>
    <n v="23.46116313886667"/>
    <m/>
    <m/>
    <n v="3.6"/>
    <n v="34.111836725894442"/>
    <m/>
    <m/>
    <n v="89"/>
  </r>
  <r>
    <d v="2026-03-17T15:00:00"/>
    <x v="0"/>
    <n v="15"/>
    <n v="23.449827792122221"/>
    <m/>
    <m/>
    <n v="3.8"/>
    <n v="34.030690810386112"/>
    <m/>
    <m/>
    <n v="88"/>
  </r>
  <r>
    <d v="2026-03-17T16:00:00"/>
    <x v="0"/>
    <n v="16"/>
    <n v="23.409071112458331"/>
    <m/>
    <m/>
    <n v="3.5"/>
    <n v="34.397401956141657"/>
    <m/>
    <m/>
    <n v="88"/>
  </r>
  <r>
    <d v="2026-03-17T17:00:00"/>
    <x v="0"/>
    <n v="17"/>
    <n v="23.315380947394441"/>
    <m/>
    <m/>
    <n v="3.2"/>
    <n v="33.898399115222233"/>
    <m/>
    <m/>
    <n v="91"/>
  </r>
  <r>
    <d v="2026-03-17T18:00:00"/>
    <x v="0"/>
    <n v="18"/>
    <n v="23.442958287536111"/>
    <m/>
    <m/>
    <n v="2.8"/>
    <n v="35.375384919711109"/>
    <m/>
    <m/>
    <n v="93"/>
  </r>
  <r>
    <d v="2026-03-17T19:00:00"/>
    <x v="0"/>
    <n v="19"/>
    <n v="23.29613442819166"/>
    <m/>
    <m/>
    <n v="2.6"/>
    <n v="36.27501708298611"/>
    <m/>
    <m/>
    <n v="95"/>
  </r>
  <r>
    <d v="2026-03-17T20:00:00"/>
    <x v="0"/>
    <n v="20"/>
    <n v="23.107506891936112"/>
    <m/>
    <m/>
    <n v="3"/>
    <n v="36.895199737522233"/>
    <m/>
    <m/>
    <n v="96"/>
  </r>
  <r>
    <d v="2026-03-17T21:00:00"/>
    <x v="0"/>
    <n v="21"/>
    <n v="23.087905714024998"/>
    <m/>
    <m/>
    <n v="3"/>
    <n v="36.950535131061109"/>
    <m/>
    <m/>
    <n v="97"/>
  </r>
  <r>
    <d v="2026-03-17T22:00:00"/>
    <x v="0"/>
    <n v="22"/>
    <n v="23.294880023572219"/>
    <m/>
    <m/>
    <n v="2.8"/>
    <n v="37.325344859325"/>
    <m/>
    <m/>
    <n v="98"/>
  </r>
  <r>
    <d v="2026-03-17T23:00:00"/>
    <x v="0"/>
    <n v="23"/>
    <n v="23.67426959606389"/>
    <m/>
    <m/>
    <n v="2.5"/>
    <n v="36.733001040250002"/>
    <m/>
    <m/>
    <n v="98"/>
  </r>
  <r>
    <d v="2026-03-18T00:00:00"/>
    <x v="0"/>
    <n v="0"/>
    <n v="24.019319531663889"/>
    <m/>
    <m/>
    <n v="2.2999999999999998"/>
    <n v="36.083133195127779"/>
    <m/>
    <m/>
    <n v="99"/>
  </r>
  <r>
    <d v="2026-03-18T01:00:00"/>
    <x v="0"/>
    <n v="1"/>
    <n v="23.553158209458331"/>
    <m/>
    <m/>
    <n v="2.2999999999999998"/>
    <n v="36.993987794511114"/>
    <m/>
    <m/>
    <n v="99"/>
  </r>
  <r>
    <d v="2026-03-18T02:00:00"/>
    <x v="0"/>
    <n v="2"/>
    <n v="23.208395566383331"/>
    <m/>
    <m/>
    <n v="2.2000000000000002"/>
    <n v="36.767468071836113"/>
    <m/>
    <m/>
    <n v="98"/>
  </r>
  <r>
    <d v="2026-03-18T03:00:00"/>
    <x v="0"/>
    <n v="3"/>
    <m/>
    <m/>
    <m/>
    <n v="2.2999999999999998"/>
    <m/>
    <m/>
    <m/>
    <n v="98"/>
  </r>
  <r>
    <d v="2026-03-18T04:00:00"/>
    <x v="0"/>
    <n v="4"/>
    <m/>
    <m/>
    <m/>
    <n v="2.1"/>
    <m/>
    <m/>
    <m/>
    <n v="98"/>
  </r>
  <r>
    <d v="2026-03-18T05:00:00"/>
    <x v="0"/>
    <n v="5"/>
    <m/>
    <m/>
    <m/>
    <n v="1.8"/>
    <m/>
    <m/>
    <m/>
    <n v="99"/>
  </r>
  <r>
    <d v="2026-03-18T06:00:00"/>
    <x v="0"/>
    <n v="6"/>
    <m/>
    <m/>
    <m/>
    <n v="1.6"/>
    <m/>
    <m/>
    <m/>
    <n v="99"/>
  </r>
  <r>
    <d v="2026-03-18T07:00:00"/>
    <x v="0"/>
    <n v="7"/>
    <m/>
    <m/>
    <m/>
    <n v="2.1"/>
    <m/>
    <m/>
    <m/>
    <n v="96"/>
  </r>
  <r>
    <d v="2026-03-18T08:00:00"/>
    <x v="0"/>
    <n v="8"/>
    <m/>
    <m/>
    <m/>
    <n v="3"/>
    <m/>
    <m/>
    <m/>
    <n v="93"/>
  </r>
  <r>
    <d v="2026-03-18T09:00:00"/>
    <x v="0"/>
    <n v="9"/>
    <n v="22.843813164665139"/>
    <m/>
    <m/>
    <n v="3.8"/>
    <n v="38.33571806804764"/>
    <m/>
    <m/>
    <n v="89"/>
  </r>
  <r>
    <d v="2026-03-18T10:00:00"/>
    <x v="0"/>
    <n v="10"/>
    <n v="22.797095710563891"/>
    <m/>
    <m/>
    <n v="4.2"/>
    <n v="37.241255038588889"/>
    <m/>
    <m/>
    <n v="88"/>
  </r>
  <r>
    <d v="2026-03-18T11:00:00"/>
    <x v="0"/>
    <n v="11"/>
    <n v="23.265928943337041"/>
    <m/>
    <m/>
    <n v="4.4000000000000004"/>
    <n v="36.517485770566672"/>
    <m/>
    <m/>
    <n v="87"/>
  </r>
  <r>
    <d v="2026-03-18T12:00:00"/>
    <x v="0"/>
    <n v="12"/>
    <n v="23.505710750651129"/>
    <m/>
    <m/>
    <n v="4.9000000000000004"/>
    <n v="35.934935647667047"/>
    <m/>
    <m/>
    <n v="86"/>
  </r>
  <r>
    <d v="2026-03-18T13:00:00"/>
    <x v="0"/>
    <n v="13"/>
    <n v="23.239410151091661"/>
    <m/>
    <m/>
    <n v="5.0999999999999996"/>
    <n v="35.076860478725003"/>
    <m/>
    <m/>
    <n v="84"/>
  </r>
  <r>
    <d v="2026-03-18T14:00:00"/>
    <x v="0"/>
    <n v="14"/>
    <n v="23.23760274229722"/>
    <m/>
    <m/>
    <n v="5.3"/>
    <n v="34.222992056549998"/>
    <m/>
    <m/>
    <n v="83"/>
  </r>
  <r>
    <d v="2026-03-18T15:00:00"/>
    <x v="0"/>
    <n v="15"/>
    <n v="23.353401044555561"/>
    <m/>
    <m/>
    <n v="5.2"/>
    <n v="33.815904067069447"/>
    <m/>
    <m/>
    <n v="82"/>
  </r>
  <r>
    <d v="2026-03-18T16:00:00"/>
    <x v="0"/>
    <n v="16"/>
    <n v="23.27213457532222"/>
    <m/>
    <m/>
    <n v="5.0999999999999996"/>
    <n v="34.678930706883342"/>
    <m/>
    <m/>
    <n v="82"/>
  </r>
  <r>
    <d v="2026-03-18T17:00:00"/>
    <x v="0"/>
    <n v="17"/>
    <n v="23.075593372944439"/>
    <m/>
    <m/>
    <n v="4.5999999999999996"/>
    <n v="35.603568947877783"/>
    <m/>
    <m/>
    <n v="85"/>
  </r>
  <r>
    <d v="2026-03-18T18:00:00"/>
    <x v="0"/>
    <n v="18"/>
    <n v="23.123044048316672"/>
    <m/>
    <m/>
    <n v="3.8"/>
    <n v="38.080900359280562"/>
    <m/>
    <m/>
    <n v="89"/>
  </r>
  <r>
    <d v="2026-03-18T19:00:00"/>
    <x v="0"/>
    <n v="19"/>
    <n v="23.189252812391668"/>
    <m/>
    <m/>
    <n v="3.1"/>
    <n v="39.172660767786113"/>
    <m/>
    <m/>
    <n v="93"/>
  </r>
  <r>
    <d v="2026-03-18T20:00:00"/>
    <x v="0"/>
    <n v="20"/>
    <n v="23.29481728369722"/>
    <m/>
    <m/>
    <n v="3.5"/>
    <n v="41.058827359652767"/>
    <m/>
    <m/>
    <n v="96"/>
  </r>
  <r>
    <d v="2026-03-18T21:00:00"/>
    <x v="0"/>
    <n v="21"/>
    <n v="23.227297298816669"/>
    <m/>
    <m/>
    <n v="3"/>
    <n v="42.002613792205558"/>
    <m/>
    <m/>
    <n v="97"/>
  </r>
  <r>
    <d v="2026-03-18T22:00:00"/>
    <x v="0"/>
    <n v="22"/>
    <n v="23.128378263272221"/>
    <m/>
    <m/>
    <n v="3"/>
    <n v="40.743186077636111"/>
    <m/>
    <m/>
    <n v="98"/>
  </r>
  <r>
    <d v="2026-03-18T23:00:00"/>
    <x v="0"/>
    <n v="23"/>
    <n v="22.88156298002778"/>
    <m/>
    <m/>
    <n v="2.6"/>
    <n v="40.368238308547227"/>
    <m/>
    <m/>
    <n v="99"/>
  </r>
  <r>
    <d v="2026-03-19T00:00:00"/>
    <x v="0"/>
    <n v="0"/>
    <n v="22.691196770122222"/>
    <m/>
    <m/>
    <n v="2.5"/>
    <n v="39.87963722756944"/>
    <m/>
    <m/>
    <n v="100"/>
  </r>
  <r>
    <d v="2026-03-19T01:00:00"/>
    <x v="0"/>
    <n v="1"/>
    <n v="22.577278225941669"/>
    <m/>
    <m/>
    <n v="2.2999999999999998"/>
    <n v="39.637441716941673"/>
    <m/>
    <m/>
    <n v="100"/>
  </r>
  <r>
    <d v="2026-03-19T02:00:00"/>
    <x v="0"/>
    <n v="2"/>
    <n v="22.491749469230559"/>
    <m/>
    <m/>
    <n v="2.6"/>
    <n v="39.442334231194451"/>
    <m/>
    <m/>
    <n v="99"/>
  </r>
  <r>
    <d v="2026-03-19T03:00:00"/>
    <x v="0"/>
    <n v="3"/>
    <n v="22.416818399069449"/>
    <m/>
    <m/>
    <n v="2.8"/>
    <n v="39.333533331172227"/>
    <m/>
    <m/>
    <n v="98"/>
  </r>
  <r>
    <d v="2026-03-19T04:00:00"/>
    <x v="0"/>
    <n v="4"/>
    <n v="22.35226196785278"/>
    <m/>
    <m/>
    <n v="2.7"/>
    <n v="38.850841298402777"/>
    <m/>
    <m/>
    <n v="99"/>
  </r>
  <r>
    <d v="2026-03-19T05:00:00"/>
    <x v="0"/>
    <n v="5"/>
    <n v="22.270858131413888"/>
    <m/>
    <m/>
    <n v="2.8"/>
    <n v="38.493130843750002"/>
    <m/>
    <m/>
    <n v="99"/>
  </r>
  <r>
    <d v="2026-03-19T06:00:00"/>
    <x v="0"/>
    <n v="6"/>
    <n v="22.22147117956111"/>
    <m/>
    <m/>
    <n v="2.6"/>
    <n v="38.217217747155551"/>
    <m/>
    <m/>
    <n v="99"/>
  </r>
  <r>
    <d v="2026-03-19T07:00:00"/>
    <x v="0"/>
    <n v="7"/>
    <n v="22.18983242528056"/>
    <m/>
    <m/>
    <n v="2.9"/>
    <n v="38.1356532354"/>
    <m/>
    <m/>
    <n v="95"/>
  </r>
  <r>
    <d v="2026-03-19T08:00:00"/>
    <x v="0"/>
    <n v="8"/>
    <n v="22.24087043094444"/>
    <m/>
    <m/>
    <n v="2.8"/>
    <n v="39.665140185527783"/>
    <m/>
    <m/>
    <n v="97"/>
  </r>
  <r>
    <d v="2026-03-19T09:00:00"/>
    <x v="0"/>
    <n v="9"/>
    <n v="22.380244572627781"/>
    <m/>
    <m/>
    <n v="3.9"/>
    <n v="40.071595104036113"/>
    <m/>
    <m/>
    <n v="91"/>
  </r>
  <r>
    <d v="2026-03-19T10:00:00"/>
    <x v="0"/>
    <n v="10"/>
    <n v="22.499582745849999"/>
    <m/>
    <m/>
    <n v="4.9000000000000004"/>
    <n v="40.014184266983328"/>
    <m/>
    <m/>
    <n v="84"/>
  </r>
  <r>
    <d v="2026-03-19T11:00:00"/>
    <x v="0"/>
    <n v="11"/>
    <n v="22.43982673153889"/>
    <m/>
    <m/>
    <n v="6.1"/>
    <n v="38.33125456198055"/>
    <m/>
    <m/>
    <n v="78"/>
  </r>
  <r>
    <d v="2026-03-19T12:00:00"/>
    <x v="0"/>
    <n v="12"/>
    <n v="22.549894556547219"/>
    <m/>
    <m/>
    <n v="6.1"/>
    <n v="38.042252543536122"/>
    <m/>
    <m/>
    <n v="78"/>
  </r>
  <r>
    <d v="2026-03-19T13:00:00"/>
    <x v="0"/>
    <n v="13"/>
    <n v="22.445340598211111"/>
    <m/>
    <m/>
    <n v="6.8"/>
    <n v="37.553746148497218"/>
    <m/>
    <m/>
    <n v="75"/>
  </r>
  <r>
    <d v="2026-03-19T14:00:00"/>
    <x v="0"/>
    <n v="14"/>
    <n v="22.465186459072221"/>
    <m/>
    <m/>
    <n v="6.6"/>
    <n v="37.058424570813891"/>
    <m/>
    <m/>
    <n v="75"/>
  </r>
  <r>
    <d v="2026-03-19T15:00:00"/>
    <x v="0"/>
    <n v="15"/>
    <n v="22.263052013194439"/>
    <m/>
    <m/>
    <n v="6.1"/>
    <n v="37.174025111463891"/>
    <m/>
    <m/>
    <n v="79"/>
  </r>
  <r>
    <d v="2026-03-19T16:00:00"/>
    <x v="0"/>
    <n v="16"/>
    <n v="22.185756019641669"/>
    <m/>
    <m/>
    <n v="6"/>
    <n v="37.176035287855562"/>
    <m/>
    <m/>
    <n v="80"/>
  </r>
  <r>
    <d v="2026-03-19T17:00:00"/>
    <x v="0"/>
    <n v="17"/>
    <n v="22.300839056219441"/>
    <m/>
    <m/>
    <n v="5.5"/>
    <n v="39.324268083252782"/>
    <m/>
    <m/>
    <n v="82"/>
  </r>
  <r>
    <d v="2026-03-19T18:00:00"/>
    <x v="0"/>
    <n v="18"/>
    <n v="22.260435837241669"/>
    <m/>
    <m/>
    <n v="4.0999999999999996"/>
    <n v="40.132336321383328"/>
    <m/>
    <m/>
    <n v="87"/>
  </r>
  <r>
    <d v="2026-03-19T19:00:00"/>
    <x v="0"/>
    <n v="19"/>
    <n v="22.318208743438891"/>
    <m/>
    <m/>
    <n v="2.8"/>
    <n v="40.825296641536113"/>
    <m/>
    <m/>
    <n v="90"/>
  </r>
  <r>
    <d v="2026-03-19T20:00:00"/>
    <x v="0"/>
    <n v="20"/>
    <n v="22.341433913786119"/>
    <m/>
    <m/>
    <n v="3.9"/>
    <n v="40.910376748805547"/>
    <m/>
    <m/>
    <n v="94"/>
  </r>
  <r>
    <d v="2026-03-19T21:00:00"/>
    <x v="0"/>
    <n v="21"/>
    <n v="22.463185835233329"/>
    <m/>
    <m/>
    <n v="2.7"/>
    <n v="40.76156593691389"/>
    <m/>
    <m/>
    <n v="90"/>
  </r>
  <r>
    <d v="2026-03-19T22:00:00"/>
    <x v="0"/>
    <n v="22"/>
    <n v="22.960426436980551"/>
    <m/>
    <m/>
    <n v="2.7"/>
    <n v="39.185142277261122"/>
    <m/>
    <m/>
    <n v="95"/>
  </r>
  <r>
    <d v="2026-03-19T23:00:00"/>
    <x v="0"/>
    <n v="23"/>
    <n v="23.218306213086109"/>
    <m/>
    <m/>
    <n v="1.7"/>
    <n v="38.422722949875002"/>
    <m/>
    <m/>
    <n v="90"/>
  </r>
  <r>
    <d v="2026-03-20T00:00:00"/>
    <x v="0"/>
    <n v="0"/>
    <n v="22.945441021319439"/>
    <m/>
    <m/>
    <n v="0.9"/>
    <n v="42.873408406238887"/>
    <m/>
    <m/>
    <n v="89"/>
  </r>
  <r>
    <d v="2026-03-20T01:00:00"/>
    <x v="0"/>
    <n v="1"/>
    <n v="22.52533264863056"/>
    <m/>
    <m/>
    <n v="0.5"/>
    <n v="41.62347826992778"/>
    <m/>
    <m/>
    <n v="95"/>
  </r>
  <r>
    <d v="2026-03-20T02:00:00"/>
    <x v="0"/>
    <n v="2"/>
    <n v="22.254462671966671"/>
    <m/>
    <m/>
    <n v="1.1000000000000001"/>
    <n v="40.899501857702781"/>
    <m/>
    <m/>
    <n v="95"/>
  </r>
  <r>
    <d v="2026-03-20T03:00:00"/>
    <x v="0"/>
    <n v="3"/>
    <n v="22.081563201200002"/>
    <m/>
    <m/>
    <n v="0.6"/>
    <n v="40.553023687325002"/>
    <m/>
    <m/>
    <n v="95"/>
  </r>
  <r>
    <d v="2026-03-20T04:00:00"/>
    <x v="0"/>
    <n v="4"/>
    <n v="21.971860708016671"/>
    <m/>
    <m/>
    <n v="0"/>
    <n v="40.549602940144453"/>
    <m/>
    <m/>
    <n v="95"/>
  </r>
  <r>
    <d v="2026-03-20T05:00:00"/>
    <x v="0"/>
    <n v="5"/>
    <n v="21.876105339919441"/>
    <m/>
    <m/>
    <n v="0.3"/>
    <n v="40.154578995608333"/>
    <m/>
    <m/>
    <n v="95"/>
  </r>
  <r>
    <d v="2026-03-20T06:00:00"/>
    <x v="0"/>
    <n v="6"/>
    <n v="21.82098213224722"/>
    <m/>
    <m/>
    <n v="0.8"/>
    <n v="40.011625536136108"/>
    <m/>
    <m/>
    <n v="95"/>
  </r>
  <r>
    <d v="2026-03-20T07:00:00"/>
    <x v="0"/>
    <n v="7"/>
    <n v="21.774164874383331"/>
    <m/>
    <m/>
    <n v="1.8"/>
    <n v="39.614708573074999"/>
    <m/>
    <m/>
    <n v="94"/>
  </r>
  <r>
    <d v="2026-03-20T08:00:00"/>
    <x v="0"/>
    <n v="8"/>
    <n v="21.727406653380559"/>
    <m/>
    <m/>
    <n v="2.2000000000000002"/>
    <n v="39.351027116172219"/>
    <m/>
    <m/>
    <n v="95"/>
  </r>
  <r>
    <d v="2026-03-20T09:00:00"/>
    <x v="0"/>
    <n v="9"/>
    <n v="21.898509775505559"/>
    <m/>
    <m/>
    <n v="3.9"/>
    <n v="43.594887288438883"/>
    <m/>
    <m/>
    <n v="91"/>
  </r>
  <r>
    <d v="2026-03-20T10:00:00"/>
    <x v="0"/>
    <n v="10"/>
    <n v="22.07120558038056"/>
    <m/>
    <m/>
    <n v="4.4000000000000004"/>
    <n v="42.051053363083327"/>
    <m/>
    <m/>
    <n v="88"/>
  </r>
  <r>
    <d v="2026-03-20T11:00:00"/>
    <x v="0"/>
    <n v="11"/>
    <n v="22.29812205833889"/>
    <m/>
    <m/>
    <n v="5"/>
    <n v="39.636997425886122"/>
    <m/>
    <m/>
    <n v="84"/>
  </r>
  <r>
    <d v="2026-03-20T12:00:00"/>
    <x v="0"/>
    <n v="12"/>
    <n v="22.57493560140556"/>
    <m/>
    <m/>
    <n v="5.8"/>
    <n v="38.616484881133339"/>
    <m/>
    <m/>
    <n v="83"/>
  </r>
  <r>
    <d v="2026-03-20T13:00:00"/>
    <x v="0"/>
    <n v="13"/>
    <n v="22.752816920869449"/>
    <m/>
    <m/>
    <n v="5.5"/>
    <n v="37.887825727791672"/>
    <m/>
    <m/>
    <n v="84"/>
  </r>
  <r>
    <d v="2026-03-20T14:00:00"/>
    <x v="0"/>
    <n v="14"/>
    <n v="22.80152024825"/>
    <m/>
    <m/>
    <n v="7"/>
    <n v="38.145426909338887"/>
    <m/>
    <m/>
    <n v="80"/>
  </r>
  <r>
    <d v="2026-03-20T15:00:00"/>
    <x v="0"/>
    <n v="15"/>
    <n v="22.846194092274999"/>
    <m/>
    <m/>
    <n v="7.3"/>
    <n v="38.358687988058342"/>
    <m/>
    <m/>
    <n v="79"/>
  </r>
  <r>
    <d v="2026-03-20T16:00:00"/>
    <x v="0"/>
    <n v="16"/>
    <n v="22.63641067982222"/>
    <m/>
    <m/>
    <n v="7.1"/>
    <n v="38.641941918011113"/>
    <m/>
    <m/>
    <n v="80"/>
  </r>
  <r>
    <d v="2026-03-20T17:00:00"/>
    <x v="0"/>
    <n v="17"/>
    <n v="22.480229833102779"/>
    <m/>
    <m/>
    <n v="6.3"/>
    <n v="39.682622765152779"/>
    <m/>
    <m/>
    <n v="81"/>
  </r>
  <r>
    <d v="2026-03-20T18:00:00"/>
    <x v="0"/>
    <n v="18"/>
    <n v="22.479921204283329"/>
    <m/>
    <m/>
    <n v="5.2"/>
    <n v="39.778828441975001"/>
    <m/>
    <m/>
    <n v="84"/>
  </r>
  <r>
    <d v="2026-03-20T19:00:00"/>
    <x v="0"/>
    <n v="19"/>
    <n v="22.469569035961111"/>
    <m/>
    <m/>
    <n v="4.9000000000000004"/>
    <n v="39.704728356213892"/>
    <m/>
    <m/>
    <n v="84"/>
  </r>
  <r>
    <d v="2026-03-20T20:00:00"/>
    <x v="0"/>
    <n v="20"/>
    <n v="22.43415491167222"/>
    <m/>
    <m/>
    <n v="5.2"/>
    <n v="46.085321327305557"/>
    <m/>
    <m/>
    <n v="84"/>
  </r>
  <r>
    <d v="2026-03-20T21:00:00"/>
    <x v="0"/>
    <n v="21"/>
    <n v="22.849890198163891"/>
    <m/>
    <m/>
    <n v="5"/>
    <n v="47.689696524988882"/>
    <m/>
    <m/>
    <n v="82"/>
  </r>
  <r>
    <d v="2026-03-20T22:00:00"/>
    <x v="0"/>
    <n v="22"/>
    <n v="22.77054658540278"/>
    <m/>
    <m/>
    <n v="4.5999999999999996"/>
    <n v="47.073761147047207"/>
    <m/>
    <m/>
    <n v="83"/>
  </r>
  <r>
    <d v="2026-03-20T23:00:00"/>
    <x v="0"/>
    <n v="23"/>
    <n v="22.938048993797221"/>
    <m/>
    <m/>
    <n v="4.0999999999999996"/>
    <n v="46.659768323741673"/>
    <m/>
    <m/>
    <n v="83"/>
  </r>
  <r>
    <d v="2026-03-21T00:00:00"/>
    <x v="0"/>
    <n v="0"/>
    <n v="22.91979173775"/>
    <m/>
    <m/>
    <n v="3.8"/>
    <n v="45.470903666194452"/>
    <m/>
    <m/>
    <n v="84"/>
  </r>
  <r>
    <d v="2026-03-21T01:00:00"/>
    <x v="0"/>
    <n v="1"/>
    <n v="22.368195893452778"/>
    <m/>
    <m/>
    <n v="3.8"/>
    <n v="45.265921772561121"/>
    <m/>
    <m/>
    <n v="83"/>
  </r>
  <r>
    <d v="2026-03-21T02:00:00"/>
    <x v="0"/>
    <n v="2"/>
    <n v="22.063404417322221"/>
    <m/>
    <m/>
    <n v="3"/>
    <n v="44.120011473902792"/>
    <m/>
    <m/>
    <n v="86"/>
  </r>
  <r>
    <d v="2026-03-21T03:00:00"/>
    <x v="0"/>
    <n v="3"/>
    <n v="21.885557376400001"/>
    <m/>
    <m/>
    <n v="2.9"/>
    <n v="43.123279291661113"/>
    <m/>
    <m/>
    <n v="87"/>
  </r>
  <r>
    <d v="2026-03-21T04:00:00"/>
    <x v="0"/>
    <n v="4"/>
    <n v="21.748571446858332"/>
    <m/>
    <m/>
    <n v="2.7"/>
    <n v="42.342531187302782"/>
    <m/>
    <m/>
    <n v="88"/>
  </r>
  <r>
    <d v="2026-03-21T05:00:00"/>
    <x v="0"/>
    <n v="5"/>
    <n v="21.65177658543611"/>
    <m/>
    <m/>
    <n v="2.2999999999999998"/>
    <n v="41.926199531599998"/>
    <m/>
    <m/>
    <n v="88"/>
  </r>
  <r>
    <d v="2026-03-21T06:00:00"/>
    <x v="0"/>
    <n v="6"/>
    <n v="21.60761634993889"/>
    <m/>
    <m/>
    <n v="2.2000000000000002"/>
    <n v="41.33600946803611"/>
    <m/>
    <m/>
    <n v="86"/>
  </r>
  <r>
    <d v="2026-03-21T07:00:00"/>
    <x v="0"/>
    <n v="7"/>
    <n v="21.699581481786112"/>
    <m/>
    <m/>
    <n v="2.5"/>
    <n v="40.417733956852778"/>
    <m/>
    <m/>
    <n v="82"/>
  </r>
  <r>
    <d v="2026-03-21T08:00:00"/>
    <x v="0"/>
    <n v="8"/>
    <n v="22.440617259652779"/>
    <m/>
    <m/>
    <n v="2.4"/>
    <n v="39.305590768713891"/>
    <m/>
    <m/>
    <n v="84"/>
  </r>
  <r>
    <d v="2026-03-21T09:00:00"/>
    <x v="0"/>
    <n v="9"/>
    <n v="23.292447513822221"/>
    <m/>
    <m/>
    <n v="4.4000000000000004"/>
    <n v="38.932682767222232"/>
    <m/>
    <m/>
    <n v="76"/>
  </r>
  <r>
    <d v="2026-03-21T10:00:00"/>
    <x v="0"/>
    <n v="10"/>
    <n v="23.233753628441669"/>
    <m/>
    <m/>
    <n v="6.6"/>
    <n v="40.201693577222223"/>
    <m/>
    <m/>
    <n v="66"/>
  </r>
  <r>
    <d v="2026-03-21T11:00:00"/>
    <x v="0"/>
    <n v="11"/>
    <n v="23.221775833780551"/>
    <m/>
    <m/>
    <n v="8.1999999999999993"/>
    <n v="39.820014111013883"/>
    <m/>
    <m/>
    <n v="59"/>
  </r>
  <r>
    <d v="2026-03-21T12:00:00"/>
    <x v="0"/>
    <n v="12"/>
    <n v="23.05187345485"/>
    <m/>
    <m/>
    <n v="9.1999999999999993"/>
    <n v="38.403298316777779"/>
    <m/>
    <m/>
    <n v="54"/>
  </r>
  <r>
    <d v="2026-03-21T13:00:00"/>
    <x v="0"/>
    <n v="13"/>
    <n v="22.806921825683329"/>
    <m/>
    <m/>
    <n v="9.9"/>
    <n v="38.690766034411112"/>
    <m/>
    <m/>
    <n v="51"/>
  </r>
  <r>
    <d v="2026-03-21T14:00:00"/>
    <x v="0"/>
    <n v="14"/>
    <n v="23.005094971633341"/>
    <m/>
    <m/>
    <n v="10.4"/>
    <n v="40.563772631283342"/>
    <m/>
    <m/>
    <n v="49"/>
  </r>
  <r>
    <d v="2026-03-21T15:00:00"/>
    <x v="0"/>
    <n v="15"/>
    <n v="23.08781759788333"/>
    <m/>
    <m/>
    <n v="10.3"/>
    <n v="39.755816954830557"/>
    <m/>
    <m/>
    <n v="49"/>
  </r>
  <r>
    <d v="2026-03-21T16:00:00"/>
    <x v="0"/>
    <n v="16"/>
    <n v="22.902228795333329"/>
    <m/>
    <m/>
    <n v="9.6999999999999993"/>
    <n v="39.147929701708328"/>
    <m/>
    <m/>
    <n v="51"/>
  </r>
  <r>
    <d v="2026-03-21T17:00:00"/>
    <x v="0"/>
    <n v="17"/>
    <n v="22.671433770724999"/>
    <m/>
    <m/>
    <n v="8.4"/>
    <n v="39.14025886647778"/>
    <m/>
    <m/>
    <n v="57"/>
  </r>
  <r>
    <d v="2026-03-21T18:00:00"/>
    <x v="0"/>
    <n v="18"/>
    <n v="22.497269425561111"/>
    <m/>
    <m/>
    <n v="6.5"/>
    <n v="40.199491862563889"/>
    <m/>
    <m/>
    <n v="63"/>
  </r>
  <r>
    <d v="2026-03-21T19:00:00"/>
    <x v="0"/>
    <n v="19"/>
    <n v="22.350588464291661"/>
    <m/>
    <m/>
    <n v="5"/>
    <n v="40.119462181888878"/>
    <m/>
    <m/>
    <n v="67"/>
  </r>
  <r>
    <d v="2026-03-21T20:00:00"/>
    <x v="0"/>
    <n v="20"/>
    <n v="22.329693627325"/>
    <m/>
    <m/>
    <n v="4.5"/>
    <n v="39.689751405130558"/>
    <m/>
    <m/>
    <n v="71"/>
  </r>
  <r>
    <d v="2026-03-21T21:00:00"/>
    <x v="0"/>
    <n v="21"/>
    <n v="22.331172468847221"/>
    <m/>
    <m/>
    <n v="3.7"/>
    <n v="39.664966328569442"/>
    <m/>
    <m/>
    <n v="75"/>
  </r>
  <r>
    <d v="2026-03-21T22:00:00"/>
    <x v="0"/>
    <n v="22"/>
    <n v="22.43208898163612"/>
    <m/>
    <m/>
    <n v="3"/>
    <n v="40.678212157066667"/>
    <m/>
    <m/>
    <n v="80"/>
  </r>
  <r>
    <d v="2026-03-21T23:00:00"/>
    <x v="0"/>
    <n v="23"/>
    <n v="22.359314692933332"/>
    <m/>
    <m/>
    <n v="2.2000000000000002"/>
    <n v="41.560686652086112"/>
    <m/>
    <m/>
    <n v="84"/>
  </r>
  <r>
    <d v="2026-03-22T00:00:00"/>
    <x v="0"/>
    <n v="0"/>
    <n v="22.16044010723056"/>
    <m/>
    <m/>
    <n v="1.4"/>
    <n v="43.403881212024999"/>
    <m/>
    <m/>
    <n v="87"/>
  </r>
  <r>
    <d v="2026-03-22T01:00:00"/>
    <x v="0"/>
    <n v="1"/>
    <n v="22.003031903722221"/>
    <m/>
    <m/>
    <n v="0.6"/>
    <n v="41.56925028378889"/>
    <m/>
    <m/>
    <n v="89"/>
  </r>
  <r>
    <d v="2026-03-22T02:00:00"/>
    <x v="0"/>
    <n v="2"/>
    <n v="21.841026498147219"/>
    <m/>
    <m/>
    <n v="0.3"/>
    <n v="39.565863867116668"/>
    <m/>
    <m/>
    <n v="89"/>
  </r>
  <r>
    <d v="2026-03-22T03:00:00"/>
    <x v="0"/>
    <n v="3"/>
    <n v="21.743249416947229"/>
    <m/>
    <m/>
    <n v="-0.2"/>
    <n v="38.333008612411113"/>
    <m/>
    <m/>
    <n v="90"/>
  </r>
  <r>
    <d v="2026-03-22T04:00:00"/>
    <x v="0"/>
    <n v="4"/>
    <n v="21.639261263055559"/>
    <m/>
    <m/>
    <n v="-0.7"/>
    <n v="37.369213628786113"/>
    <m/>
    <m/>
    <n v="91"/>
  </r>
  <r>
    <d v="2026-03-22T05:00:00"/>
    <x v="0"/>
    <n v="5"/>
    <n v="21.543488327130561"/>
    <m/>
    <m/>
    <n v="-1.1000000000000001"/>
    <n v="36.669615980544442"/>
    <m/>
    <m/>
    <n v="92"/>
  </r>
  <r>
    <d v="2026-03-22T06:00:00"/>
    <x v="0"/>
    <n v="6"/>
    <n v="21.508595688411109"/>
    <m/>
    <m/>
    <n v="-1.3"/>
    <n v="36.467366433055552"/>
    <m/>
    <m/>
    <n v="93"/>
  </r>
  <r>
    <d v="2026-03-22T07:00:00"/>
    <x v="0"/>
    <n v="7"/>
    <n v="21.519167964191659"/>
    <m/>
    <m/>
    <n v="-0.2"/>
    <n v="36.31392432159722"/>
    <m/>
    <m/>
    <n v="90"/>
  </r>
  <r>
    <d v="2026-03-22T08:00:00"/>
    <x v="0"/>
    <n v="8"/>
    <n v="21.562504091833329"/>
    <m/>
    <m/>
    <n v="0.4"/>
    <n v="36.334356541963892"/>
    <m/>
    <m/>
    <n v="83"/>
  </r>
  <r>
    <d v="2026-03-22T09:00:00"/>
    <x v="0"/>
    <n v="9"/>
    <n v="21.840282202347229"/>
    <m/>
    <m/>
    <n v="2.1"/>
    <n v="38.814215973258342"/>
    <m/>
    <m/>
    <n v="71"/>
  </r>
  <r>
    <d v="2026-03-22T10:00:00"/>
    <x v="0"/>
    <n v="10"/>
    <n v="21.97859527783611"/>
    <m/>
    <m/>
    <n v="3.9"/>
    <n v="38.310052952041673"/>
    <m/>
    <m/>
    <n v="65"/>
  </r>
  <r>
    <d v="2026-03-22T11:00:00"/>
    <x v="0"/>
    <n v="11"/>
    <n v="22.497163135797219"/>
    <m/>
    <m/>
    <n v="5.6"/>
    <n v="37.365134052797217"/>
    <m/>
    <m/>
    <n v="63"/>
  </r>
  <r>
    <d v="2026-03-22T12:00:00"/>
    <x v="0"/>
    <n v="12"/>
    <n v="22.75212647638056"/>
    <m/>
    <m/>
    <n v="7.1"/>
    <n v="38.290603907227784"/>
    <m/>
    <m/>
    <n v="58"/>
  </r>
  <r>
    <d v="2026-03-22T13:00:00"/>
    <x v="0"/>
    <n v="13"/>
    <n v="22.404517467588889"/>
    <m/>
    <m/>
    <n v="8.3000000000000007"/>
    <n v="37.313533093527766"/>
    <m/>
    <m/>
    <n v="52"/>
  </r>
  <r>
    <d v="2026-03-22T14:00:00"/>
    <x v="0"/>
    <n v="14"/>
    <n v="22.394183388711109"/>
    <m/>
    <m/>
    <n v="8.5"/>
    <n v="40.299395225666657"/>
    <m/>
    <m/>
    <n v="56"/>
  </r>
  <r>
    <d v="2026-03-22T15:00:00"/>
    <x v="0"/>
    <n v="15"/>
    <n v="22.929906035691669"/>
    <m/>
    <m/>
    <n v="8.9"/>
    <n v="43.046226514322221"/>
    <m/>
    <m/>
    <n v="53"/>
  </r>
  <r>
    <d v="2026-03-22T16:00:00"/>
    <x v="0"/>
    <n v="16"/>
    <n v="23"/>
    <m/>
    <m/>
    <n v="8.4"/>
    <n v="43.29999999999999"/>
    <m/>
    <m/>
    <n v="54"/>
  </r>
  <r>
    <d v="2026-03-22T17:00:00"/>
    <x v="0"/>
    <n v="17"/>
    <n v="23"/>
    <m/>
    <m/>
    <n v="7"/>
    <n v="43.29999999999999"/>
    <m/>
    <m/>
    <n v="61"/>
  </r>
  <r>
    <d v="2026-03-22T18:00:00"/>
    <x v="0"/>
    <n v="18"/>
    <n v="23"/>
    <m/>
    <m/>
    <n v="5"/>
    <n v="43.29999999999999"/>
    <m/>
    <m/>
    <n v="68"/>
  </r>
  <r>
    <d v="2026-03-22T19:00:00"/>
    <x v="0"/>
    <n v="19"/>
    <n v="23"/>
    <m/>
    <m/>
    <n v="3.7"/>
    <n v="43.29999999999999"/>
    <m/>
    <m/>
    <n v="71"/>
  </r>
  <r>
    <d v="2026-03-22T20:00:00"/>
    <x v="0"/>
    <n v="20"/>
    <n v="23"/>
    <m/>
    <m/>
    <n v="3.5"/>
    <n v="43.29999999999999"/>
    <m/>
    <m/>
    <n v="79"/>
  </r>
  <r>
    <d v="2026-03-22T21:00:00"/>
    <x v="0"/>
    <n v="21"/>
    <n v="23"/>
    <m/>
    <m/>
    <n v="2.9"/>
    <n v="43.29999999999999"/>
    <m/>
    <m/>
    <n v="81"/>
  </r>
  <r>
    <d v="2026-03-22T22:00:00"/>
    <x v="0"/>
    <n v="22"/>
    <n v="23"/>
    <m/>
    <m/>
    <n v="2.2000000000000002"/>
    <n v="43.29999999999999"/>
    <m/>
    <m/>
    <n v="83"/>
  </r>
  <r>
    <d v="2026-03-22T23:00:00"/>
    <x v="0"/>
    <n v="23"/>
    <n v="23"/>
    <m/>
    <m/>
    <n v="1.6"/>
    <n v="43.29999999999999"/>
    <m/>
    <m/>
    <n v="85"/>
  </r>
  <r>
    <d v="2026-03-23T00:00:00"/>
    <x v="0"/>
    <n v="0"/>
    <n v="23"/>
    <m/>
    <m/>
    <n v="1.2"/>
    <n v="43.29999999999999"/>
    <m/>
    <m/>
    <n v="85"/>
  </r>
  <r>
    <d v="2026-03-23T01:00:00"/>
    <x v="0"/>
    <n v="1"/>
    <n v="23"/>
    <m/>
    <m/>
    <n v="0.9"/>
    <n v="43.29999999999999"/>
    <m/>
    <m/>
    <n v="85"/>
  </r>
  <r>
    <d v="2026-03-23T02:00:00"/>
    <x v="0"/>
    <n v="2"/>
    <n v="23"/>
    <m/>
    <m/>
    <n v="0.3"/>
    <n v="43.29999999999999"/>
    <m/>
    <m/>
    <n v="87"/>
  </r>
  <r>
    <d v="2026-03-23T03:00:00"/>
    <x v="0"/>
    <n v="3"/>
    <n v="23"/>
    <m/>
    <m/>
    <n v="-0.1"/>
    <n v="43.29999999999999"/>
    <m/>
    <m/>
    <n v="88"/>
  </r>
  <r>
    <d v="2026-03-23T04:00:00"/>
    <x v="0"/>
    <n v="4"/>
    <n v="23"/>
    <m/>
    <m/>
    <n v="-0.4"/>
    <n v="43.29999999999999"/>
    <m/>
    <m/>
    <n v="89"/>
  </r>
  <r>
    <d v="2026-03-23T05:00:00"/>
    <x v="0"/>
    <n v="5"/>
    <n v="23"/>
    <m/>
    <m/>
    <n v="-0.9"/>
    <n v="43.29999999999999"/>
    <m/>
    <m/>
    <n v="90"/>
  </r>
  <r>
    <d v="2026-03-23T06:00:00"/>
    <x v="0"/>
    <n v="6"/>
    <n v="23"/>
    <m/>
    <m/>
    <n v="-1.2"/>
    <n v="43.29999999999999"/>
    <m/>
    <m/>
    <n v="92"/>
  </r>
  <r>
    <d v="2026-03-23T07:00:00"/>
    <x v="0"/>
    <n v="7"/>
    <n v="23"/>
    <m/>
    <m/>
    <n v="-0.2"/>
    <n v="43.29999999999999"/>
    <m/>
    <m/>
    <n v="90"/>
  </r>
  <r>
    <d v="2026-03-23T08:00:00"/>
    <x v="0"/>
    <n v="8"/>
    <n v="23"/>
    <m/>
    <m/>
    <n v="1.2"/>
    <n v="43.29999999999999"/>
    <m/>
    <m/>
    <n v="83"/>
  </r>
  <r>
    <d v="2026-03-23T09:00:00"/>
    <x v="0"/>
    <n v="9"/>
    <n v="23"/>
    <m/>
    <m/>
    <n v="3.7"/>
    <n v="43.29999999999999"/>
    <m/>
    <m/>
    <n v="66"/>
  </r>
  <r>
    <d v="2026-03-23T10:00:00"/>
    <x v="0"/>
    <n v="10"/>
    <n v="23"/>
    <m/>
    <m/>
    <n v="5.8"/>
    <n v="43.29999999999999"/>
    <m/>
    <m/>
    <n v="60"/>
  </r>
  <r>
    <d v="2026-03-23T11:00:00"/>
    <x v="0"/>
    <n v="11"/>
    <n v="23"/>
    <m/>
    <m/>
    <n v="7.4"/>
    <n v="43.29999999999999"/>
    <m/>
    <m/>
    <n v="58"/>
  </r>
  <r>
    <d v="2026-03-23T12:00:00"/>
    <x v="0"/>
    <n v="12"/>
    <n v="23"/>
    <m/>
    <m/>
    <n v="8.5"/>
    <n v="43.29999999999999"/>
    <m/>
    <m/>
    <n v="53"/>
  </r>
  <r>
    <d v="2026-03-23T13:00:00"/>
    <x v="0"/>
    <n v="13"/>
    <n v="23"/>
    <m/>
    <m/>
    <n v="9.4"/>
    <n v="43.29999999999999"/>
    <m/>
    <m/>
    <n v="49"/>
  </r>
  <r>
    <d v="2026-03-23T14:00:00"/>
    <x v="0"/>
    <n v="14"/>
    <n v="23"/>
    <m/>
    <m/>
    <n v="10.4"/>
    <n v="43.29999999999999"/>
    <m/>
    <m/>
    <n v="44"/>
  </r>
  <r>
    <d v="2026-03-23T15:00:00"/>
    <x v="0"/>
    <n v="15"/>
    <n v="23"/>
    <m/>
    <m/>
    <n v="10.4"/>
    <n v="43.29999999999999"/>
    <m/>
    <m/>
    <n v="43"/>
  </r>
  <r>
    <d v="2026-03-23T16:00:00"/>
    <x v="0"/>
    <n v="16"/>
    <n v="23"/>
    <m/>
    <m/>
    <n v="9.8000000000000007"/>
    <n v="43.29999999999999"/>
    <m/>
    <m/>
    <n v="46"/>
  </r>
  <r>
    <d v="2026-03-23T17:00:00"/>
    <x v="0"/>
    <n v="17"/>
    <n v="21.93018173364722"/>
    <m/>
    <m/>
    <n v="8.3000000000000007"/>
    <n v="39.846559757772219"/>
    <m/>
    <m/>
    <n v="56"/>
  </r>
  <r>
    <d v="2026-03-23T18:00:00"/>
    <x v="0"/>
    <n v="18"/>
    <n v="21.79563135954167"/>
    <m/>
    <m/>
    <n v="6.3"/>
    <n v="39.109024166508327"/>
    <m/>
    <m/>
    <n v="61"/>
  </r>
  <r>
    <d v="2026-03-23T19:00:00"/>
    <x v="0"/>
    <n v="19"/>
    <n v="22.275054948600001"/>
    <m/>
    <m/>
    <n v="4.8"/>
    <n v="39.067219854152782"/>
    <m/>
    <m/>
    <n v="64"/>
  </r>
  <r>
    <d v="2026-03-23T20:00:00"/>
    <x v="0"/>
    <n v="20"/>
    <n v="22.53714756376111"/>
    <m/>
    <m/>
    <n v="4.5"/>
    <n v="39.150487128102768"/>
    <m/>
    <m/>
    <n v="67"/>
  </r>
  <r>
    <d v="2026-03-23T21:00:00"/>
    <x v="0"/>
    <n v="21"/>
    <n v="22.707307784230551"/>
    <m/>
    <m/>
    <n v="4.3"/>
    <n v="38.16729979513611"/>
    <m/>
    <m/>
    <n v="67"/>
  </r>
  <r>
    <d v="2026-03-23T22:00:00"/>
    <x v="0"/>
    <n v="22"/>
    <n v="22.46335561545278"/>
    <m/>
    <m/>
    <n v="3.7"/>
    <n v="46.011103950061113"/>
    <m/>
    <m/>
    <n v="69"/>
  </r>
  <r>
    <d v="2026-03-23T23:00:00"/>
    <x v="0"/>
    <n v="23"/>
    <n v="22.492721215161112"/>
    <m/>
    <m/>
    <n v="3.2"/>
    <n v="43.886333928972221"/>
    <m/>
    <m/>
    <n v="70"/>
  </r>
  <r>
    <d v="2026-03-24T00:00:00"/>
    <x v="0"/>
    <n v="0"/>
    <n v="22.641299761555551"/>
    <m/>
    <m/>
    <n v="2.7"/>
    <n v="41.550961385975"/>
    <m/>
    <m/>
    <n v="72"/>
  </r>
  <r>
    <d v="2026-03-24T01:00:00"/>
    <x v="0"/>
    <n v="1"/>
    <n v="21.932445128558332"/>
    <m/>
    <m/>
    <n v="2.1"/>
    <n v="41.371943598361113"/>
    <m/>
    <m/>
    <n v="73"/>
  </r>
  <r>
    <d v="2026-03-24T02:00:00"/>
    <x v="0"/>
    <n v="2"/>
    <n v="21.566684768569441"/>
    <m/>
    <m/>
    <n v="1.8"/>
    <n v="40.562860985683344"/>
    <m/>
    <m/>
    <n v="71"/>
  </r>
  <r>
    <d v="2026-03-24T03:00:00"/>
    <x v="0"/>
    <n v="3"/>
    <n v="21.370862287600001"/>
    <m/>
    <m/>
    <n v="1.6"/>
    <n v="40.21148127130278"/>
    <m/>
    <m/>
    <n v="71"/>
  </r>
  <r>
    <d v="2026-03-24T04:00:00"/>
    <x v="0"/>
    <n v="4"/>
    <n v="21.233093770577771"/>
    <m/>
    <m/>
    <n v="1.5"/>
    <n v="39.879162309388889"/>
    <m/>
    <m/>
    <n v="71"/>
  </r>
  <r>
    <d v="2026-03-24T05:00:00"/>
    <x v="0"/>
    <n v="5"/>
    <n v="21.14439991241111"/>
    <m/>
    <m/>
    <n v="1.4"/>
    <n v="39.806313688300001"/>
    <m/>
    <m/>
    <n v="73"/>
  </r>
  <r>
    <d v="2026-03-24T06:00:00"/>
    <x v="0"/>
    <n v="6"/>
    <n v="21.10964468976389"/>
    <m/>
    <m/>
    <n v="1.7"/>
    <n v="39.470252034641668"/>
    <m/>
    <m/>
    <n v="73"/>
  </r>
  <r>
    <d v="2026-03-24T07:00:00"/>
    <x v="0"/>
    <n v="7"/>
    <n v="21.137751671155559"/>
    <m/>
    <m/>
    <n v="2.5"/>
    <n v="39.230892611622217"/>
    <m/>
    <m/>
    <n v="71"/>
  </r>
  <r>
    <d v="2026-03-24T08:00:00"/>
    <x v="0"/>
    <n v="8"/>
    <n v="21.185387248461112"/>
    <m/>
    <m/>
    <n v="2.8"/>
    <n v="38.994340207283329"/>
    <m/>
    <m/>
    <n v="76"/>
  </r>
  <r>
    <d v="2026-03-24T09:00:00"/>
    <x v="0"/>
    <n v="9"/>
    <n v="21.38082960288612"/>
    <m/>
    <m/>
    <n v="3.8"/>
    <n v="39.063918169402783"/>
    <m/>
    <m/>
    <n v="74"/>
  </r>
  <r>
    <d v="2026-03-24T10:00:00"/>
    <x v="0"/>
    <n v="10"/>
    <n v="21.661679162144441"/>
    <m/>
    <m/>
    <n v="4.7"/>
    <n v="39.132002346605553"/>
    <m/>
    <m/>
    <n v="73"/>
  </r>
  <r>
    <d v="2026-03-24T11:00:00"/>
    <x v="0"/>
    <n v="11"/>
    <n v="21.947760084538888"/>
    <m/>
    <m/>
    <n v="6.4"/>
    <n v="39.389494553380558"/>
    <m/>
    <m/>
    <n v="67"/>
  </r>
  <r>
    <d v="2026-03-24T12:00:00"/>
    <x v="0"/>
    <n v="12"/>
    <n v="22.026708060124999"/>
    <m/>
    <m/>
    <n v="7.9"/>
    <n v="37.709688490813889"/>
    <m/>
    <m/>
    <n v="61"/>
  </r>
  <r>
    <d v="2026-03-24T13:00:00"/>
    <x v="0"/>
    <n v="13"/>
    <n v="22.066963426630551"/>
    <m/>
    <m/>
    <n v="8.3000000000000007"/>
    <n v="38.782057316425004"/>
    <m/>
    <m/>
    <n v="59"/>
  </r>
  <r>
    <d v="2026-03-24T14:00:00"/>
    <x v="0"/>
    <n v="14"/>
    <n v="21.933972682275002"/>
    <m/>
    <m/>
    <n v="9.4"/>
    <n v="38.455972797419442"/>
    <m/>
    <m/>
    <n v="53"/>
  </r>
  <r>
    <d v="2026-03-24T15:00:00"/>
    <x v="0"/>
    <n v="15"/>
    <n v="21.762338087886111"/>
    <m/>
    <m/>
    <n v="8.1999999999999993"/>
    <n v="37.771044525536112"/>
    <m/>
    <m/>
    <n v="65"/>
  </r>
  <r>
    <d v="2026-03-24T16:00:00"/>
    <x v="0"/>
    <n v="16"/>
    <n v="21.913906021611108"/>
    <m/>
    <m/>
    <n v="7.1"/>
    <n v="39.837457159305558"/>
    <m/>
    <m/>
    <n v="74"/>
  </r>
  <r>
    <d v="2026-03-24T17:00:00"/>
    <x v="0"/>
    <n v="17"/>
    <n v="21.984967624402771"/>
    <m/>
    <m/>
    <n v="6.4"/>
    <n v="40.725174551994442"/>
    <m/>
    <m/>
    <n v="76"/>
  </r>
  <r>
    <d v="2026-03-24T18:00:00"/>
    <x v="0"/>
    <n v="18"/>
    <n v="22.004277701863892"/>
    <m/>
    <m/>
    <n v="6.1"/>
    <n v="41.135365071458331"/>
    <m/>
    <m/>
    <n v="75"/>
  </r>
  <r>
    <d v="2026-03-24T19:00:00"/>
    <x v="0"/>
    <n v="19"/>
    <n v="22.132084293672222"/>
    <m/>
    <m/>
    <n v="6"/>
    <n v="42.421898928994437"/>
    <m/>
    <m/>
    <n v="74"/>
  </r>
  <r>
    <d v="2026-03-24T20:00:00"/>
    <x v="0"/>
    <n v="20"/>
    <n v="22.32487722866945"/>
    <m/>
    <m/>
    <n v="6.8"/>
    <n v="43.221224441127781"/>
    <m/>
    <m/>
    <n v="72"/>
  </r>
  <r>
    <d v="2026-03-24T21:00:00"/>
    <x v="0"/>
    <n v="21"/>
    <n v="22.346836999274998"/>
    <m/>
    <m/>
    <n v="6.7"/>
    <n v="43.007399675980558"/>
    <m/>
    <m/>
    <n v="73"/>
  </r>
  <r>
    <d v="2026-03-24T22:00:00"/>
    <x v="0"/>
    <n v="22"/>
    <n v="22.54105881881944"/>
    <m/>
    <m/>
    <n v="6.4"/>
    <n v="44.10362360705556"/>
    <m/>
    <m/>
    <n v="74"/>
  </r>
  <r>
    <d v="2026-03-24T23:00:00"/>
    <x v="0"/>
    <n v="23"/>
    <n v="22.555311245127779"/>
    <m/>
    <m/>
    <n v="6"/>
    <n v="45.755176022947218"/>
    <m/>
    <m/>
    <n v="77"/>
  </r>
  <r>
    <d v="2026-03-25T00:00:00"/>
    <x v="0"/>
    <n v="0"/>
    <n v="22.774705897511112"/>
    <m/>
    <m/>
    <n v="5.5"/>
    <n v="43.876330483436107"/>
    <m/>
    <m/>
    <n v="80"/>
  </r>
  <r>
    <d v="2026-03-25T01:00:00"/>
    <x v="0"/>
    <n v="1"/>
    <n v="22.573639985336111"/>
    <m/>
    <m/>
    <n v="4.9000000000000004"/>
    <n v="43.209431413002783"/>
    <m/>
    <m/>
    <n v="83"/>
  </r>
  <r>
    <d v="2026-03-25T02:00:00"/>
    <x v="0"/>
    <n v="2"/>
    <n v="21.97012288237778"/>
    <m/>
    <m/>
    <n v="3.7"/>
    <n v="43.204869562827781"/>
    <m/>
    <m/>
    <n v="78"/>
  </r>
  <r>
    <d v="2026-03-25T03:00:00"/>
    <x v="0"/>
    <n v="3"/>
    <n v="21.687387848722221"/>
    <m/>
    <m/>
    <n v="4"/>
    <n v="42.740502881388892"/>
    <m/>
    <m/>
    <n v="78"/>
  </r>
  <r>
    <d v="2026-03-25T04:00:00"/>
    <x v="0"/>
    <n v="4"/>
    <n v="21.52064482318611"/>
    <m/>
    <m/>
    <n v="3.8"/>
    <n v="42.355066158377767"/>
    <m/>
    <m/>
    <n v="79"/>
  </r>
  <r>
    <d v="2026-03-25T05:00:00"/>
    <x v="0"/>
    <n v="5"/>
    <n v="21.3964489968"/>
    <m/>
    <m/>
    <n v="3.4"/>
    <n v="42.147129449819452"/>
    <m/>
    <m/>
    <n v="81"/>
  </r>
  <r>
    <d v="2026-03-25T06:00:00"/>
    <x v="0"/>
    <n v="6"/>
    <n v="21.322375906236111"/>
    <m/>
    <m/>
    <n v="3.1"/>
    <n v="41.937543632894453"/>
    <m/>
    <m/>
    <n v="81"/>
  </r>
  <r>
    <d v="2026-03-25T07:00:00"/>
    <x v="0"/>
    <n v="7"/>
    <n v="21.308110566091671"/>
    <m/>
    <m/>
    <n v="3.3"/>
    <n v="41.568144847500001"/>
    <m/>
    <m/>
    <n v="81"/>
  </r>
  <r>
    <d v="2026-03-25T08:00:00"/>
    <x v="0"/>
    <n v="8"/>
    <n v="21.316481829541669"/>
    <m/>
    <m/>
    <n v="4.0999999999999996"/>
    <n v="41.340629364100003"/>
    <m/>
    <m/>
    <n v="79"/>
  </r>
  <r>
    <d v="2026-03-25T09:00:00"/>
    <x v="0"/>
    <n v="9"/>
    <n v="21.452425257205551"/>
    <m/>
    <m/>
    <n v="4.5"/>
    <n v="40.895090494197227"/>
    <m/>
    <m/>
    <n v="80"/>
  </r>
  <r>
    <d v="2026-03-25T10:00:00"/>
    <x v="0"/>
    <n v="10"/>
    <n v="21.504876218908329"/>
    <m/>
    <m/>
    <n v="6.2"/>
    <n v="39.731018971619449"/>
    <m/>
    <m/>
    <n v="76"/>
  </r>
  <r>
    <d v="2026-03-25T11:00:00"/>
    <x v="0"/>
    <n v="11"/>
    <n v="21.709152642438891"/>
    <m/>
    <m/>
    <n v="9.6999999999999993"/>
    <n v="39.698128361733332"/>
    <m/>
    <m/>
    <n v="65"/>
  </r>
  <r>
    <d v="2026-03-25T12:00:00"/>
    <x v="0"/>
    <n v="12"/>
    <n v="21.995312236469449"/>
    <m/>
    <m/>
    <n v="11.7"/>
    <n v="39.291334019916668"/>
    <m/>
    <m/>
    <n v="53"/>
  </r>
  <r>
    <d v="2026-03-25T13:00:00"/>
    <x v="0"/>
    <n v="13"/>
    <n v="22.066090663961109"/>
    <m/>
    <m/>
    <n v="12.5"/>
    <n v="39.761859597091657"/>
    <m/>
    <m/>
    <n v="48"/>
  </r>
  <r>
    <d v="2026-03-25T14:00:00"/>
    <x v="0"/>
    <n v="14"/>
    <n v="21.91933246152222"/>
    <m/>
    <m/>
    <n v="12.8"/>
    <n v="39.510396364811108"/>
    <m/>
    <m/>
    <n v="48"/>
  </r>
  <r>
    <d v="2026-03-25T15:00:00"/>
    <x v="0"/>
    <n v="15"/>
    <n v="21.974456487936109"/>
    <m/>
    <m/>
    <n v="13"/>
    <n v="39.378453214566669"/>
    <m/>
    <m/>
    <n v="46"/>
  </r>
  <r>
    <d v="2026-03-25T16:00:00"/>
    <x v="0"/>
    <n v="16"/>
    <n v="21.856104325916661"/>
    <m/>
    <m/>
    <n v="12.6"/>
    <n v="38.924067731194448"/>
    <m/>
    <m/>
    <n v="51"/>
  </r>
  <r>
    <d v="2026-03-25T17:00:00"/>
    <x v="0"/>
    <n v="17"/>
    <n v="20.612724633336111"/>
    <m/>
    <m/>
    <n v="11.7"/>
    <n v="32.769377113855548"/>
    <m/>
    <m/>
    <n v="57"/>
  </r>
  <r>
    <d v="2026-03-25T18:00:00"/>
    <x v="0"/>
    <n v="18"/>
    <n v="20.871819826825"/>
    <m/>
    <m/>
    <n v="10"/>
    <n v="35.174751832108328"/>
    <m/>
    <m/>
    <n v="61"/>
  </r>
  <r>
    <d v="2026-03-25T19:00:00"/>
    <x v="0"/>
    <n v="19"/>
    <n v="21.256795602558331"/>
    <m/>
    <m/>
    <n v="9.3000000000000007"/>
    <n v="42.433296878547218"/>
    <m/>
    <m/>
    <n v="62"/>
  </r>
  <r>
    <d v="2026-03-25T20:00:00"/>
    <x v="0"/>
    <n v="20"/>
    <n v="21.303960742600001"/>
    <m/>
    <m/>
    <n v="9.3000000000000007"/>
    <n v="45.061878170966658"/>
    <m/>
    <m/>
    <n v="62"/>
  </r>
  <r>
    <d v="2026-03-25T21:00:00"/>
    <x v="0"/>
    <n v="21"/>
    <n v="21.35168117344444"/>
    <m/>
    <m/>
    <n v="8.4"/>
    <n v="44.447880916563889"/>
    <m/>
    <m/>
    <n v="64"/>
  </r>
  <r>
    <d v="2026-03-25T22:00:00"/>
    <x v="0"/>
    <n v="22"/>
    <n v="21.85071952117778"/>
    <m/>
    <m/>
    <n v="7.8"/>
    <n v="42.06361874345"/>
    <m/>
    <m/>
    <n v="65"/>
  </r>
  <r>
    <d v="2026-03-25T23:00:00"/>
    <x v="0"/>
    <n v="23"/>
    <n v="22.049298325380558"/>
    <m/>
    <m/>
    <n v="7.8"/>
    <n v="40.496438877986122"/>
    <m/>
    <m/>
    <n v="63"/>
  </r>
  <r>
    <d v="2026-03-26T00:00:00"/>
    <x v="0"/>
    <n v="0"/>
    <n v="21.907981866219441"/>
    <m/>
    <m/>
    <n v="7.2"/>
    <n v="39.86922864245556"/>
    <m/>
    <m/>
    <n v="63"/>
  </r>
  <r>
    <d v="2026-03-26T01:00:00"/>
    <x v="0"/>
    <n v="1"/>
    <n v="21.859698554680548"/>
    <m/>
    <m/>
    <n v="5.8"/>
    <n v="39.305647551366668"/>
    <m/>
    <m/>
    <n v="66"/>
  </r>
  <r>
    <d v="2026-03-26T02:00:00"/>
    <x v="0"/>
    <n v="2"/>
    <n v="21.438387353524998"/>
    <m/>
    <m/>
    <n v="5.7"/>
    <n v="39.442009556277768"/>
    <m/>
    <m/>
    <n v="69"/>
  </r>
  <r>
    <d v="2026-03-26T03:00:00"/>
    <x v="0"/>
    <n v="3"/>
    <n v="21.206460800761111"/>
    <m/>
    <m/>
    <n v="5.4"/>
    <n v="39.460352716041669"/>
    <m/>
    <m/>
    <n v="70"/>
  </r>
  <r>
    <d v="2026-03-26T04:00:00"/>
    <x v="0"/>
    <n v="4"/>
    <n v="21.033546954327779"/>
    <m/>
    <m/>
    <n v="4.9000000000000004"/>
    <n v="39.153857435977777"/>
    <m/>
    <m/>
    <n v="71"/>
  </r>
  <r>
    <d v="2026-03-26T05:00:00"/>
    <x v="0"/>
    <n v="5"/>
    <n v="20.956877195283329"/>
    <m/>
    <m/>
    <n v="4.3"/>
    <n v="39.008640742638889"/>
    <m/>
    <m/>
    <n v="73"/>
  </r>
  <r>
    <d v="2026-03-26T06:00:00"/>
    <x v="0"/>
    <n v="6"/>
    <n v="21.660119352566671"/>
    <m/>
    <m/>
    <n v="4"/>
    <n v="37.415848931950002"/>
    <m/>
    <m/>
    <n v="74"/>
  </r>
  <r>
    <d v="2026-03-26T07:00:00"/>
    <x v="0"/>
    <n v="7"/>
    <n v="22.435743930358331"/>
    <m/>
    <m/>
    <n v="5.3"/>
    <n v="35.427765658894451"/>
    <m/>
    <m/>
    <n v="72"/>
  </r>
  <r>
    <d v="2026-03-26T08:00:00"/>
    <x v="0"/>
    <n v="8"/>
    <n v="23.041332868377779"/>
    <m/>
    <m/>
    <n v="7.6"/>
    <n v="35.492922897252782"/>
    <m/>
    <m/>
    <n v="67"/>
  </r>
  <r>
    <d v="2026-03-26T09:00:00"/>
    <x v="0"/>
    <n v="9"/>
    <n v="23.339230021047221"/>
    <m/>
    <m/>
    <n v="10.1"/>
    <n v="36.153431059227778"/>
    <m/>
    <m/>
    <n v="61"/>
  </r>
  <r>
    <d v="2026-03-26T10:00:00"/>
    <x v="0"/>
    <n v="10"/>
    <n v="23.283068615074999"/>
    <m/>
    <m/>
    <n v="12.7"/>
    <n v="37.194655577811112"/>
    <m/>
    <m/>
    <n v="55"/>
  </r>
  <r>
    <d v="2026-03-26T11:00:00"/>
    <x v="0"/>
    <n v="11"/>
    <n v="22.733497232580561"/>
    <m/>
    <m/>
    <n v="14.4"/>
    <n v="32.431384372644438"/>
    <m/>
    <m/>
    <n v="50"/>
  </r>
  <r>
    <d v="2026-03-26T12:00:00"/>
    <x v="0"/>
    <n v="12"/>
    <n v="22.102737675494438"/>
    <m/>
    <m/>
    <n v="15"/>
    <n v="27.056645094494449"/>
    <m/>
    <m/>
    <n v="49"/>
  </r>
  <r>
    <d v="2026-03-26T13:00:00"/>
    <x v="0"/>
    <n v="13"/>
    <n v="21.954229925949999"/>
    <m/>
    <m/>
    <n v="15.4"/>
    <n v="27.83228154221111"/>
    <m/>
    <m/>
    <n v="50"/>
  </r>
  <r>
    <d v="2026-03-26T14:00:00"/>
    <x v="0"/>
    <n v="14"/>
    <n v="21.506554444347231"/>
    <m/>
    <m/>
    <n v="15.7"/>
    <n v="27.70417200367222"/>
    <m/>
    <m/>
    <n v="49"/>
  </r>
  <r>
    <d v="2026-03-26T15:00:00"/>
    <x v="0"/>
    <n v="15"/>
    <n v="21.156473583875002"/>
    <m/>
    <m/>
    <n v="15.8"/>
    <n v="25.483735437680551"/>
    <m/>
    <m/>
    <n v="49"/>
  </r>
  <r>
    <d v="2026-03-26T16:00:00"/>
    <x v="0"/>
    <n v="16"/>
    <n v="21.260056204769441"/>
    <m/>
    <m/>
    <n v="15.3"/>
    <n v="26.03394472327777"/>
    <m/>
    <m/>
    <n v="53"/>
  </r>
  <r>
    <d v="2026-03-26T17:00:00"/>
    <x v="0"/>
    <n v="17"/>
    <n v="21.654207928652781"/>
    <m/>
    <m/>
    <n v="14"/>
    <n v="28.464103546975"/>
    <m/>
    <m/>
    <n v="61"/>
  </r>
  <r>
    <d v="2026-03-26T18:00:00"/>
    <x v="0"/>
    <n v="18"/>
    <n v="21.886789684469441"/>
    <m/>
    <m/>
    <n v="12.3"/>
    <n v="31.799408665222231"/>
    <m/>
    <m/>
    <n v="66"/>
  </r>
  <r>
    <d v="2026-03-26T19:00:00"/>
    <x v="0"/>
    <n v="19"/>
    <n v="21.992310202194449"/>
    <m/>
    <m/>
    <n v="11.3"/>
    <n v="35.699478489780553"/>
    <m/>
    <m/>
    <n v="68"/>
  </r>
  <r>
    <d v="2026-03-26T20:00:00"/>
    <x v="0"/>
    <n v="20"/>
    <n v="22.102701836077781"/>
    <m/>
    <m/>
    <n v="11.2"/>
    <n v="37.087155969633343"/>
    <m/>
    <m/>
    <n v="76"/>
  </r>
  <r>
    <d v="2026-03-26T21:00:00"/>
    <x v="0"/>
    <n v="21"/>
    <n v="22.265064778036109"/>
    <m/>
    <m/>
    <n v="10.3"/>
    <n v="37.504379620722219"/>
    <m/>
    <m/>
    <n v="84"/>
  </r>
  <r>
    <d v="2026-03-26T22:00:00"/>
    <x v="0"/>
    <n v="22"/>
    <n v="22.73887697793889"/>
    <m/>
    <m/>
    <n v="9.8000000000000007"/>
    <n v="38.646909708655564"/>
    <m/>
    <m/>
    <n v="88"/>
  </r>
  <r>
    <d v="2026-03-26T23:00:00"/>
    <x v="0"/>
    <n v="23"/>
    <n v="23.049118709350001"/>
    <m/>
    <m/>
    <n v="9.6"/>
    <n v="37.928780295530551"/>
    <m/>
    <m/>
    <n v="89"/>
  </r>
  <r>
    <d v="2026-03-27T00:00:00"/>
    <x v="0"/>
    <n v="0"/>
    <n v="23.053686042841669"/>
    <m/>
    <m/>
    <n v="9.4"/>
    <n v="38.699432745199999"/>
    <m/>
    <m/>
    <n v="90"/>
  </r>
  <r>
    <d v="2026-03-27T01:00:00"/>
    <x v="0"/>
    <n v="1"/>
    <n v="22.68026642596389"/>
    <m/>
    <m/>
    <n v="9"/>
    <n v="40.639827385483329"/>
    <m/>
    <m/>
    <n v="91"/>
  </r>
  <r>
    <d v="2026-03-27T02:00:00"/>
    <x v="0"/>
    <n v="2"/>
    <n v="22.313955948227768"/>
    <m/>
    <m/>
    <n v="9.1"/>
    <n v="40.484674089305557"/>
    <m/>
    <m/>
    <n v="90"/>
  </r>
  <r>
    <d v="2026-03-27T03:00:00"/>
    <x v="0"/>
    <n v="3"/>
    <n v="22.13862744462778"/>
    <m/>
    <m/>
    <n v="8.8000000000000007"/>
    <n v="40.752396895952778"/>
    <m/>
    <m/>
    <n v="92"/>
  </r>
  <r>
    <d v="2026-03-27T04:00:00"/>
    <x v="0"/>
    <n v="4"/>
    <n v="22.03798239825278"/>
    <m/>
    <m/>
    <n v="8.3000000000000007"/>
    <n v="41.207954045194448"/>
    <m/>
    <m/>
    <n v="95"/>
  </r>
  <r>
    <d v="2026-03-27T05:00:00"/>
    <x v="0"/>
    <n v="5"/>
    <n v="22.072702473197221"/>
    <m/>
    <m/>
    <n v="8"/>
    <n v="41.085689258772227"/>
    <m/>
    <m/>
    <n v="97"/>
  </r>
  <r>
    <d v="2026-03-27T06:00:00"/>
    <x v="0"/>
    <n v="6"/>
    <n v="22.117665715502781"/>
    <m/>
    <m/>
    <n v="7.9"/>
    <n v="40.950315416747223"/>
    <m/>
    <m/>
    <n v="97"/>
  </r>
  <r>
    <d v="2026-03-27T07:00:00"/>
    <x v="0"/>
    <n v="7"/>
    <n v="22.162026901502781"/>
    <m/>
    <m/>
    <n v="7.8"/>
    <n v="41.019684991011111"/>
    <m/>
    <m/>
    <n v="98"/>
  </r>
  <r>
    <d v="2026-03-27T08:00:00"/>
    <x v="0"/>
    <n v="8"/>
    <n v="22.173564967388891"/>
    <m/>
    <m/>
    <n v="8"/>
    <n v="41.028683558891672"/>
    <m/>
    <m/>
    <n v="96"/>
  </r>
  <r>
    <d v="2026-03-27T09:00:00"/>
    <x v="0"/>
    <n v="9"/>
    <n v="22.280225741483331"/>
    <m/>
    <m/>
    <n v="8.5"/>
    <n v="40.924547958594452"/>
    <m/>
    <m/>
    <n v="92"/>
  </r>
  <r>
    <d v="2026-03-27T10:00:00"/>
    <x v="0"/>
    <n v="10"/>
    <n v="22.462142679252779"/>
    <m/>
    <m/>
    <n v="9.4"/>
    <n v="41.283916817291669"/>
    <m/>
    <m/>
    <n v="87"/>
  </r>
  <r>
    <d v="2026-03-27T11:00:00"/>
    <x v="0"/>
    <n v="11"/>
    <n v="22.66578797311389"/>
    <m/>
    <m/>
    <n v="10.3"/>
    <n v="43.120032041474992"/>
    <m/>
    <m/>
    <n v="84"/>
  </r>
  <r>
    <d v="2026-03-27T12:00:00"/>
    <x v="0"/>
    <n v="12"/>
    <n v="22.787239315408328"/>
    <m/>
    <m/>
    <n v="9.6999999999999993"/>
    <n v="42.851877449766668"/>
    <m/>
    <m/>
    <n v="85"/>
  </r>
  <r>
    <d v="2026-03-27T13:00:00"/>
    <x v="0"/>
    <n v="13"/>
    <n v="22.79689903543056"/>
    <m/>
    <m/>
    <n v="9.6999999999999993"/>
    <n v="41.84672088426111"/>
    <m/>
    <m/>
    <n v="86"/>
  </r>
  <r>
    <d v="2026-03-27T14:00:00"/>
    <x v="0"/>
    <n v="14"/>
    <n v="22.81878959726944"/>
    <m/>
    <m/>
    <n v="9"/>
    <n v="41.91942735763611"/>
    <m/>
    <m/>
    <n v="87"/>
  </r>
  <r>
    <d v="2026-03-27T15:00:00"/>
    <x v="0"/>
    <n v="15"/>
    <n v="22.87575909392778"/>
    <m/>
    <m/>
    <n v="9.3000000000000007"/>
    <n v="43.25293419906388"/>
    <m/>
    <m/>
    <n v="86"/>
  </r>
  <r>
    <d v="2026-03-27T16:00:00"/>
    <x v="0"/>
    <n v="16"/>
    <n v="22.91688628213889"/>
    <m/>
    <m/>
    <n v="9.1"/>
    <n v="43.474323292650013"/>
    <m/>
    <m/>
    <n v="86"/>
  </r>
  <r>
    <d v="2026-03-27T17:00:00"/>
    <x v="0"/>
    <n v="17"/>
    <n v="22.967528180786111"/>
    <m/>
    <m/>
    <n v="8.9"/>
    <n v="44.85126673505556"/>
    <m/>
    <m/>
    <n v="87"/>
  </r>
  <r>
    <d v="2026-03-27T18:00:00"/>
    <x v="0"/>
    <n v="18"/>
    <n v="23.06899930076111"/>
    <m/>
    <m/>
    <n v="8.3000000000000007"/>
    <n v="42.946004783480561"/>
    <m/>
    <m/>
    <n v="90"/>
  </r>
  <r>
    <d v="2026-03-27T19:00:00"/>
    <x v="0"/>
    <n v="19"/>
    <n v="22.983063566533328"/>
    <m/>
    <m/>
    <n v="8"/>
    <n v="43.902600483524999"/>
    <m/>
    <m/>
    <n v="91"/>
  </r>
  <r>
    <d v="2026-03-27T20:00:00"/>
    <x v="0"/>
    <n v="20"/>
    <n v="22.843293781724999"/>
    <m/>
    <m/>
    <n v="8.4"/>
    <n v="46.947571045347217"/>
    <m/>
    <m/>
    <n v="91"/>
  </r>
  <r>
    <d v="2026-03-27T21:00:00"/>
    <x v="0"/>
    <n v="21"/>
    <n v="22.720043903813892"/>
    <m/>
    <m/>
    <n v="8.3000000000000007"/>
    <n v="52.077766915019453"/>
    <m/>
    <m/>
    <n v="91"/>
  </r>
  <r>
    <d v="2026-03-27T22:00:00"/>
    <x v="0"/>
    <n v="22"/>
    <n v="22.702431103419439"/>
    <m/>
    <m/>
    <n v="7.9"/>
    <n v="52.14887564470834"/>
    <m/>
    <m/>
    <n v="92"/>
  </r>
  <r>
    <d v="2026-03-27T23:00:00"/>
    <x v="0"/>
    <n v="23"/>
    <n v="22.60130961879722"/>
    <m/>
    <m/>
    <n v="7.6"/>
    <n v="57.279405751730557"/>
    <m/>
    <m/>
    <n v="93"/>
  </r>
  <r>
    <d v="2026-03-28T00:00:00"/>
    <x v="0"/>
    <n v="0"/>
    <n v="22.677154596641671"/>
    <m/>
    <m/>
    <n v="7.4"/>
    <n v="57.335731576175"/>
    <m/>
    <m/>
    <n v="94"/>
  </r>
  <r>
    <d v="2026-03-28T01:00:00"/>
    <x v="0"/>
    <n v="1"/>
    <n v="23.09534774766389"/>
    <m/>
    <m/>
    <n v="7.2"/>
    <n v="56.113071453363887"/>
    <m/>
    <m/>
    <n v="95"/>
  </r>
  <r>
    <d v="2026-03-28T02:00:00"/>
    <x v="0"/>
    <n v="2"/>
    <n v="22.998628285875"/>
    <m/>
    <m/>
    <n v="7.1"/>
    <n v="56.083765492244453"/>
    <m/>
    <m/>
    <n v="95"/>
  </r>
  <r>
    <d v="2026-03-28T03:00:00"/>
    <x v="0"/>
    <n v="3"/>
    <n v="22.52443183896111"/>
    <m/>
    <m/>
    <n v="7"/>
    <n v="54.992045439194442"/>
    <m/>
    <m/>
    <n v="96"/>
  </r>
  <r>
    <d v="2026-03-28T04:00:00"/>
    <x v="0"/>
    <n v="4"/>
    <n v="22.24317458654167"/>
    <m/>
    <m/>
    <n v="6.9"/>
    <n v="54.40364597878056"/>
    <m/>
    <m/>
    <n v="97"/>
  </r>
  <r>
    <d v="2026-03-28T05:00:00"/>
    <x v="0"/>
    <n v="5"/>
    <n v="22.06795903646945"/>
    <m/>
    <m/>
    <n v="6.7"/>
    <n v="54.055104190136113"/>
    <m/>
    <m/>
    <n v="97"/>
  </r>
  <r>
    <d v="2026-03-28T06:00:00"/>
    <x v="0"/>
    <n v="6"/>
    <n v="21.988054477961111"/>
    <m/>
    <m/>
    <n v="6.7"/>
    <n v="54.044560175638892"/>
    <m/>
    <m/>
    <n v="97"/>
  </r>
  <r>
    <d v="2026-03-28T07:00:00"/>
    <x v="0"/>
    <n v="7"/>
    <n v="21.943137660952772"/>
    <m/>
    <m/>
    <n v="7.3"/>
    <n v="53.823809256880558"/>
    <m/>
    <m/>
    <n v="95"/>
  </r>
  <r>
    <d v="2026-03-28T08:00:00"/>
    <x v="0"/>
    <n v="8"/>
    <n v="21.908694908061111"/>
    <m/>
    <m/>
    <n v="7.5"/>
    <n v="53.043696393138887"/>
    <m/>
    <m/>
    <n v="93"/>
  </r>
  <r>
    <d v="2026-03-28T09:00:00"/>
    <x v="0"/>
    <n v="9"/>
    <n v="21.968287270183328"/>
    <m/>
    <m/>
    <n v="8.4"/>
    <n v="52.651267146394453"/>
    <m/>
    <m/>
    <n v="90"/>
  </r>
  <r>
    <d v="2026-03-28T10:00:00"/>
    <x v="0"/>
    <n v="10"/>
    <n v="22.103313165536111"/>
    <m/>
    <m/>
    <n v="9.4"/>
    <n v="51.999713504641669"/>
    <m/>
    <m/>
    <n v="87"/>
  </r>
  <r>
    <d v="2026-03-28T11:00:00"/>
    <x v="0"/>
    <n v="11"/>
    <n v="22.233372451205561"/>
    <m/>
    <m/>
    <n v="10.9"/>
    <n v="51.373123532841667"/>
    <m/>
    <m/>
    <n v="81"/>
  </r>
  <r>
    <d v="2026-03-28T12:00:00"/>
    <x v="0"/>
    <n v="12"/>
    <n v="22.438504263466669"/>
    <m/>
    <m/>
    <n v="12.2"/>
    <n v="51.747490494769437"/>
    <m/>
    <m/>
    <n v="75"/>
  </r>
  <r>
    <d v="2026-03-28T13:00:00"/>
    <x v="0"/>
    <n v="13"/>
    <n v="22.798434721241659"/>
    <m/>
    <m/>
    <n v="13"/>
    <n v="48.761780673905548"/>
    <m/>
    <m/>
    <n v="69"/>
  </r>
  <r>
    <d v="2026-03-28T14:00:00"/>
    <x v="0"/>
    <n v="14"/>
    <n v="22.483221165705551"/>
    <m/>
    <m/>
    <n v="12.1"/>
    <n v="47.87772093809722"/>
    <m/>
    <m/>
    <n v="73"/>
  </r>
  <r>
    <d v="2026-03-28T15:00:00"/>
    <x v="0"/>
    <n v="15"/>
    <n v="22.344629177344441"/>
    <m/>
    <m/>
    <n v="12.5"/>
    <n v="47.25431220686945"/>
    <m/>
    <m/>
    <n v="71"/>
  </r>
  <r>
    <d v="2026-03-28T16:00:00"/>
    <x v="0"/>
    <n v="16"/>
    <n v="22.25473439184444"/>
    <m/>
    <m/>
    <n v="12.4"/>
    <n v="46.57640229095"/>
    <m/>
    <m/>
    <n v="72"/>
  </r>
  <r>
    <d v="2026-03-28T17:00:00"/>
    <x v="0"/>
    <n v="17"/>
    <n v="22.15330551992778"/>
    <m/>
    <m/>
    <n v="11.9"/>
    <n v="45.998050551247218"/>
    <m/>
    <m/>
    <n v="77"/>
  </r>
  <r>
    <d v="2026-03-28T18:00:00"/>
    <x v="0"/>
    <n v="18"/>
    <n v="22.059525566030551"/>
    <m/>
    <m/>
    <n v="11.1"/>
    <n v="45.325418420533332"/>
    <m/>
    <m/>
    <n v="80"/>
  </r>
  <r>
    <d v="2026-03-28T19:00:00"/>
    <x v="0"/>
    <n v="19"/>
    <n v="22.015781375374999"/>
    <m/>
    <m/>
    <n v="10.6"/>
    <n v="44.362092936875001"/>
    <m/>
    <m/>
    <n v="79"/>
  </r>
  <r>
    <d v="2026-03-28T20:00:00"/>
    <x v="0"/>
    <n v="20"/>
    <n v="22.08211365431945"/>
    <m/>
    <m/>
    <n v="10.7"/>
    <n v="45.02518340665555"/>
    <m/>
    <m/>
    <n v="80"/>
  </r>
  <r>
    <d v="2026-03-28T21:00:00"/>
    <x v="0"/>
    <n v="21"/>
    <n v="22.090705364036111"/>
    <m/>
    <m/>
    <n v="10.1"/>
    <n v="45.639622116105564"/>
    <m/>
    <m/>
    <n v="82"/>
  </r>
  <r>
    <d v="2026-03-28T22:00:00"/>
    <x v="0"/>
    <n v="22"/>
    <n v="22.082708430058329"/>
    <m/>
    <m/>
    <n v="9.6999999999999993"/>
    <n v="47.409655937497213"/>
    <m/>
    <m/>
    <n v="84"/>
  </r>
  <r>
    <d v="2026-03-28T23:00:00"/>
    <x v="0"/>
    <n v="23"/>
    <n v="22.163798502958329"/>
    <m/>
    <m/>
    <n v="9.3000000000000007"/>
    <n v="51.765102165649999"/>
    <m/>
    <m/>
    <n v="86"/>
  </r>
  <r>
    <d v="2026-03-29T00:00:00"/>
    <x v="0"/>
    <n v="0"/>
    <n v="22.600031122938891"/>
    <m/>
    <m/>
    <n v="8.3000000000000007"/>
    <n v="49.839324422788877"/>
    <m/>
    <m/>
    <n v="88"/>
  </r>
  <r>
    <d v="2026-03-29T01:00:00"/>
    <x v="0"/>
    <n v="1"/>
    <n v="22.89935298152778"/>
    <m/>
    <m/>
    <n v="7.9"/>
    <n v="47.57186644793611"/>
    <m/>
    <m/>
    <n v="87"/>
  </r>
  <r>
    <d v="2026-03-29T02:00:00"/>
    <x v="0"/>
    <n v="2"/>
    <n v="22.900654723475"/>
    <m/>
    <m/>
    <n v="7.2"/>
    <n v="46.419016280272217"/>
    <m/>
    <m/>
    <n v="87"/>
  </r>
  <r>
    <d v="2026-03-29T04:00:00"/>
    <x v="0"/>
    <n v="4"/>
    <n v="22.604785797480559"/>
    <m/>
    <m/>
    <n v="6.8"/>
    <n v="46.241592552705562"/>
    <m/>
    <m/>
    <n v="89"/>
  </r>
  <r>
    <d v="2026-03-29T05:00:00"/>
    <x v="0"/>
    <n v="5"/>
    <n v="22.11220314605556"/>
    <m/>
    <m/>
    <n v="6.5"/>
    <n v="47.144193163347218"/>
    <m/>
    <m/>
    <n v="90"/>
  </r>
  <r>
    <d v="2026-03-29T06:00:00"/>
    <x v="0"/>
    <n v="6"/>
    <n v="21.919250098083332"/>
    <m/>
    <m/>
    <n v="6"/>
    <n v="47.119555946261109"/>
    <m/>
    <m/>
    <n v="91"/>
  </r>
  <r>
    <d v="2026-03-29T07:00:00"/>
    <x v="0"/>
    <n v="7"/>
    <n v="22.35992542136389"/>
    <m/>
    <m/>
    <n v="5.7"/>
    <n v="45.535140086938888"/>
    <m/>
    <m/>
    <n v="92"/>
  </r>
  <r>
    <d v="2026-03-29T08:00:00"/>
    <x v="0"/>
    <n v="8"/>
    <n v="22.749933436197221"/>
    <m/>
    <m/>
    <n v="6.8"/>
    <n v="44.100143442919439"/>
    <m/>
    <m/>
    <n v="90"/>
  </r>
  <r>
    <d v="2026-03-29T09:00:00"/>
    <x v="0"/>
    <n v="9"/>
    <n v="23.456910188352779"/>
    <m/>
    <m/>
    <n v="8.4"/>
    <n v="42.001059382372233"/>
    <m/>
    <m/>
    <n v="86"/>
  </r>
  <r>
    <d v="2026-03-29T10:00:00"/>
    <x v="0"/>
    <n v="10"/>
    <n v="23.813795249666668"/>
    <m/>
    <m/>
    <n v="11"/>
    <n v="41.854363754708338"/>
    <m/>
    <m/>
    <n v="76"/>
  </r>
  <r>
    <d v="2026-03-29T11:00:00"/>
    <x v="0"/>
    <n v="11"/>
    <n v="23.880470852908331"/>
    <m/>
    <m/>
    <n v="13.7"/>
    <n v="42.592997036416669"/>
    <m/>
    <m/>
    <n v="65"/>
  </r>
  <r>
    <d v="2026-03-29T12:00:00"/>
    <x v="0"/>
    <n v="12"/>
    <n v="23.777670474838889"/>
    <m/>
    <m/>
    <n v="15.9"/>
    <n v="43.109002284377773"/>
    <m/>
    <m/>
    <n v="52"/>
  </r>
  <r>
    <d v="2026-03-29T13:00:00"/>
    <x v="0"/>
    <n v="13"/>
    <n v="23.47597454521112"/>
    <m/>
    <m/>
    <n v="17.399999999999999"/>
    <n v="37.072241574713892"/>
    <m/>
    <m/>
    <n v="45"/>
  </r>
  <r>
    <d v="2026-03-29T14:00:00"/>
    <x v="0"/>
    <n v="14"/>
    <n v="23.61660670016667"/>
    <m/>
    <m/>
    <n v="18.3"/>
    <n v="31.34399989536389"/>
    <m/>
    <m/>
    <n v="42"/>
  </r>
  <r>
    <d v="2026-03-29T15:00:00"/>
    <x v="0"/>
    <n v="15"/>
    <n v="23.723542034625002"/>
    <m/>
    <m/>
    <n v="18.899999999999999"/>
    <n v="29.959963564950002"/>
    <m/>
    <m/>
    <n v="37"/>
  </r>
  <r>
    <d v="2026-03-29T16:00:00"/>
    <x v="0"/>
    <n v="16"/>
    <n v="23.430986929549999"/>
    <m/>
    <m/>
    <n v="18.7"/>
    <n v="29.814320097913889"/>
    <m/>
    <m/>
    <n v="37"/>
  </r>
  <r>
    <d v="2026-03-29T17:00:00"/>
    <x v="0"/>
    <n v="17"/>
    <n v="23.29438804123334"/>
    <m/>
    <m/>
    <n v="18"/>
    <n v="31.552480520961112"/>
    <m/>
    <m/>
    <n v="41"/>
  </r>
  <r>
    <d v="2026-03-29T18:00:00"/>
    <x v="0"/>
    <n v="18"/>
    <n v="23.17615047874445"/>
    <m/>
    <m/>
    <n v="16.5"/>
    <n v="31.677400052286121"/>
    <m/>
    <m/>
    <n v="44"/>
  </r>
  <r>
    <d v="2026-03-29T19:00:00"/>
    <x v="0"/>
    <n v="19"/>
    <n v="22.979349847849999"/>
    <m/>
    <m/>
    <n v="14.4"/>
    <n v="36.626596757369448"/>
    <m/>
    <m/>
    <n v="48"/>
  </r>
  <r>
    <d v="2026-03-29T20:00:00"/>
    <x v="0"/>
    <n v="20"/>
    <n v="22.99007364695278"/>
    <m/>
    <m/>
    <n v="13.2"/>
    <n v="42.62516847721389"/>
    <m/>
    <m/>
    <n v="50"/>
  </r>
  <r>
    <d v="2026-03-29T21:00:00"/>
    <x v="0"/>
    <n v="21"/>
    <n v="23.09557821343612"/>
    <m/>
    <m/>
    <n v="13"/>
    <n v="47.692321928091673"/>
    <m/>
    <m/>
    <n v="53"/>
  </r>
  <r>
    <d v="2026-03-29T22:00:00"/>
    <x v="0"/>
    <n v="22"/>
    <n v="23.202123320188889"/>
    <m/>
    <m/>
    <n v="12.4"/>
    <n v="47.738423754802767"/>
    <m/>
    <m/>
    <n v="56"/>
  </r>
  <r>
    <d v="2026-03-29T23:00:00"/>
    <x v="0"/>
    <n v="23"/>
    <n v="23.60169842288612"/>
    <m/>
    <m/>
    <n v="11.7"/>
    <n v="49.243385803952783"/>
    <m/>
    <m/>
    <n v="58"/>
  </r>
  <r>
    <d v="2026-03-30T00:00:00"/>
    <x v="0"/>
    <n v="0"/>
    <n v="23.681484194955559"/>
    <m/>
    <m/>
    <n v="11.1"/>
    <n v="47.88456258028333"/>
    <m/>
    <m/>
    <n v="60"/>
  </r>
  <r>
    <d v="2026-03-30T01:00:00"/>
    <x v="0"/>
    <n v="1"/>
    <n v="23.756280380708329"/>
    <m/>
    <m/>
    <n v="10.7"/>
    <n v="46.637125635811117"/>
    <m/>
    <m/>
    <n v="61"/>
  </r>
  <r>
    <d v="2026-03-30T02:00:00"/>
    <x v="0"/>
    <n v="2"/>
    <n v="23.558303684116659"/>
    <m/>
    <m/>
    <n v="10.199999999999999"/>
    <n v="46.963480989819438"/>
    <m/>
    <m/>
    <n v="63"/>
  </r>
  <r>
    <d v="2026-03-30T03:00:00"/>
    <x v="0"/>
    <n v="3"/>
    <n v="23.07673895696945"/>
    <m/>
    <m/>
    <n v="9.6999999999999993"/>
    <n v="47.211635141130557"/>
    <m/>
    <m/>
    <n v="66"/>
  </r>
  <r>
    <d v="2026-03-30T04:00:00"/>
    <x v="0"/>
    <n v="4"/>
    <n v="22.799723926266669"/>
    <m/>
    <m/>
    <n v="8.9"/>
    <n v="47.170083042052767"/>
    <m/>
    <m/>
    <n v="69"/>
  </r>
  <r>
    <d v="2026-03-30T05:00:00"/>
    <x v="0"/>
    <n v="5"/>
    <n v="22.641925539311121"/>
    <m/>
    <m/>
    <n v="8.4"/>
    <n v="46.939840537841668"/>
    <m/>
    <m/>
    <n v="71"/>
  </r>
  <r>
    <d v="2026-03-30T06:00:00"/>
    <x v="0"/>
    <n v="6"/>
    <n v="22.568174288363888"/>
    <m/>
    <m/>
    <n v="8.1999999999999993"/>
    <n v="46.344436633741672"/>
    <m/>
    <m/>
    <n v="72"/>
  </r>
  <r>
    <d v="2026-03-30T07:00:00"/>
    <x v="0"/>
    <n v="7"/>
    <n v="22.563999851866669"/>
    <m/>
    <m/>
    <n v="8"/>
    <n v="45.645377342916667"/>
    <m/>
    <m/>
    <n v="72"/>
  </r>
  <r>
    <d v="2026-03-30T08:00:00"/>
    <x v="0"/>
    <n v="8"/>
    <n v="22.653381681452782"/>
    <m/>
    <m/>
    <n v="8.1999999999999993"/>
    <n v="44.147298500180561"/>
    <m/>
    <m/>
    <n v="71"/>
  </r>
  <r>
    <d v="2026-03-30T09:00:00"/>
    <x v="0"/>
    <n v="9"/>
    <n v="22.804580525452771"/>
    <m/>
    <m/>
    <n v="9.1999999999999993"/>
    <n v="43.52328794955833"/>
    <m/>
    <m/>
    <n v="69"/>
  </r>
  <r>
    <d v="2026-03-30T10:00:00"/>
    <x v="0"/>
    <n v="10"/>
    <n v="23.086945394975"/>
    <m/>
    <m/>
    <n v="10.5"/>
    <n v="42.547347461474999"/>
    <m/>
    <m/>
    <n v="66"/>
  </r>
  <r>
    <d v="2026-03-30T11:00:00"/>
    <x v="0"/>
    <n v="11"/>
    <n v="23.472865429355551"/>
    <m/>
    <m/>
    <n v="11.8"/>
    <n v="42.322448761033343"/>
    <m/>
    <m/>
    <n v="63"/>
  </r>
  <r>
    <d v="2026-03-30T12:00:00"/>
    <x v="0"/>
    <n v="12"/>
    <n v="23.969214890313889"/>
    <m/>
    <m/>
    <n v="14.2"/>
    <n v="44.131625525013902"/>
    <m/>
    <m/>
    <n v="58"/>
  </r>
  <r>
    <d v="2026-03-30T13:00:00"/>
    <x v="0"/>
    <n v="13"/>
    <n v="23.957849862191669"/>
    <m/>
    <m/>
    <n v="15.2"/>
    <n v="44.718267642163887"/>
    <m/>
    <m/>
    <n v="56"/>
  </r>
  <r>
    <d v="2026-03-30T14:00:00"/>
    <x v="0"/>
    <n v="14"/>
    <n v="23.944082859652781"/>
    <m/>
    <m/>
    <n v="15.9"/>
    <n v="44.143989871591657"/>
    <m/>
    <m/>
    <n v="56"/>
  </r>
  <r>
    <d v="2026-03-30T15:00:00"/>
    <x v="0"/>
    <n v="15"/>
    <n v="23.89977266948334"/>
    <m/>
    <m/>
    <n v="17.399999999999999"/>
    <n v="44.988166264775003"/>
    <m/>
    <m/>
    <n v="54"/>
  </r>
  <r>
    <d v="2026-03-30T16:00:00"/>
    <x v="0"/>
    <n v="16"/>
    <n v="23.889802564736112"/>
    <m/>
    <m/>
    <n v="18"/>
    <n v="46.761673750955559"/>
    <m/>
    <m/>
    <n v="53"/>
  </r>
  <r>
    <d v="2026-03-30T17:00:00"/>
    <x v="0"/>
    <n v="17"/>
    <n v="23.718214166955558"/>
    <m/>
    <m/>
    <n v="18"/>
    <n v="46.416978225736109"/>
    <m/>
    <m/>
    <n v="55"/>
  </r>
  <r>
    <d v="2026-03-30T18:00:00"/>
    <x v="0"/>
    <n v="18"/>
    <n v="23.673509633133332"/>
    <m/>
    <m/>
    <n v="16.600000000000001"/>
    <n v="46.89554167067778"/>
    <m/>
    <m/>
    <n v="67"/>
  </r>
  <r>
    <d v="2026-03-30T19:00:00"/>
    <x v="0"/>
    <n v="19"/>
    <n v="23.54036044515"/>
    <m/>
    <m/>
    <n v="14.5"/>
    <n v="47.102844437619439"/>
    <m/>
    <m/>
    <n v="72"/>
  </r>
  <r>
    <d v="2026-03-30T20:00:00"/>
    <x v="0"/>
    <n v="20"/>
    <n v="23.892967667383331"/>
    <m/>
    <m/>
    <n v="13.6"/>
    <n v="46.382818786669453"/>
    <m/>
    <m/>
    <n v="74"/>
  </r>
  <r>
    <d v="2026-03-30T21:00:00"/>
    <x v="0"/>
    <n v="21"/>
    <n v="23.765223729386111"/>
    <m/>
    <m/>
    <n v="13.1"/>
    <n v="48.953665583961111"/>
    <m/>
    <m/>
    <n v="72"/>
  </r>
  <r>
    <d v="2026-03-30T22:00:00"/>
    <x v="0"/>
    <n v="22"/>
    <n v="23.611793735141671"/>
    <m/>
    <m/>
    <n v="11.6"/>
    <n v="49.012055250955562"/>
    <m/>
    <m/>
    <n v="84"/>
  </r>
  <r>
    <d v="2026-03-30T23:00:00"/>
    <x v="0"/>
    <n v="23"/>
    <n v="23.574991998624999"/>
    <m/>
    <m/>
    <n v="11.4"/>
    <n v="48.572916039905557"/>
    <m/>
    <m/>
    <n v="84"/>
  </r>
  <r>
    <d v="2026-03-31T00:00:00"/>
    <x v="0"/>
    <n v="0"/>
    <n v="23.78398276993056"/>
    <m/>
    <m/>
    <n v="11.1"/>
    <n v="48.029366647063888"/>
    <m/>
    <m/>
    <n v="85"/>
  </r>
  <r>
    <d v="2026-03-31T01:00:00"/>
    <x v="0"/>
    <n v="1"/>
    <n v="23.855131080591661"/>
    <m/>
    <m/>
    <n v="10"/>
    <n v="47.422671314500001"/>
    <m/>
    <m/>
    <n v="91"/>
  </r>
  <r>
    <d v="2026-03-31T02:00:00"/>
    <x v="0"/>
    <n v="2"/>
    <n v="23.478275737994441"/>
    <m/>
    <m/>
    <n v="10"/>
    <n v="48.240159387269443"/>
    <m/>
    <m/>
    <n v="90"/>
  </r>
  <r>
    <d v="2026-03-31T03:00:00"/>
    <x v="0"/>
    <n v="3"/>
    <n v="23.19259431576112"/>
    <m/>
    <m/>
    <n v="10.199999999999999"/>
    <n v="48.127562878752776"/>
    <m/>
    <m/>
    <n v="87"/>
  </r>
  <r>
    <d v="2026-03-31T04:00:00"/>
    <x v="0"/>
    <n v="4"/>
    <n v="23.048634256924998"/>
    <m/>
    <m/>
    <n v="9.9"/>
    <n v="48.209767159158332"/>
    <m/>
    <m/>
    <n v="87"/>
  </r>
  <r>
    <d v="2026-03-31T05:00:00"/>
    <x v="0"/>
    <n v="5"/>
    <n v="22.95241007173334"/>
    <m/>
    <m/>
    <n v="9.4"/>
    <n v="48.255389586252782"/>
    <m/>
    <m/>
    <n v="90"/>
  </r>
  <r>
    <d v="2026-03-31T06:00:00"/>
    <x v="0"/>
    <n v="6"/>
    <n v="22.934477534141671"/>
    <m/>
    <m/>
    <n v="9.1999999999999993"/>
    <n v="48.052843917702781"/>
    <m/>
    <m/>
    <n v="91"/>
  </r>
  <r>
    <d v="2026-03-31T07:00:00"/>
    <x v="0"/>
    <n v="7"/>
    <n v="23.42773515569445"/>
    <m/>
    <m/>
    <n v="8.4"/>
    <n v="46.282486307544453"/>
    <m/>
    <m/>
    <n v="93"/>
  </r>
  <r>
    <d v="2026-03-31T08:00:00"/>
    <x v="0"/>
    <n v="8"/>
    <n v="23.42571330594722"/>
    <m/>
    <m/>
    <n v="10"/>
    <n v="46.728041441169452"/>
    <m/>
    <m/>
    <n v="91"/>
  </r>
  <r>
    <d v="2026-03-31T09:00:00"/>
    <x v="0"/>
    <n v="9"/>
    <n v="23.637956808052781"/>
    <m/>
    <m/>
    <n v="12.1"/>
    <n v="45.897241342725003"/>
    <m/>
    <m/>
    <n v="86"/>
  </r>
  <r>
    <d v="2026-03-31T10:00:00"/>
    <x v="0"/>
    <n v="10"/>
    <n v="24.091379727147221"/>
    <m/>
    <m/>
    <n v="14.1"/>
    <n v="44.787393445958337"/>
    <m/>
    <m/>
    <n v="79"/>
  </r>
  <r>
    <d v="2026-03-31T11:00:00"/>
    <x v="0"/>
    <n v="11"/>
    <n v="24.43788230796666"/>
    <m/>
    <m/>
    <n v="15.9"/>
    <n v="45.98809008363056"/>
    <m/>
    <m/>
    <n v="72"/>
  </r>
  <r>
    <d v="2026-03-31T12:00:00"/>
    <x v="0"/>
    <n v="12"/>
    <n v="24.399238115774999"/>
    <m/>
    <m/>
    <n v="17.3"/>
    <n v="47.497049211780563"/>
    <m/>
    <m/>
    <n v="66"/>
  </r>
  <r>
    <d v="2026-03-31T13:00:00"/>
    <x v="0"/>
    <n v="13"/>
    <n v="24.351175753069441"/>
    <m/>
    <m/>
    <n v="18.399999999999999"/>
    <n v="47.02262265649167"/>
    <m/>
    <m/>
    <n v="59"/>
  </r>
  <r>
    <d v="2026-03-31T14:00:00"/>
    <x v="0"/>
    <n v="14"/>
    <n v="24.334254734011111"/>
    <m/>
    <m/>
    <n v="18.7"/>
    <n v="46.811679290275002"/>
    <m/>
    <m/>
    <n v="54"/>
  </r>
  <r>
    <d v="2026-03-31T15:00:00"/>
    <x v="0"/>
    <n v="15"/>
    <n v="24.09176867902778"/>
    <m/>
    <m/>
    <n v="16.8"/>
    <n v="44.533741280161109"/>
    <m/>
    <m/>
    <n v="62"/>
  </r>
  <r>
    <d v="2026-03-31T16:00:00"/>
    <x v="0"/>
    <n v="16"/>
    <n v="23.54721652268611"/>
    <m/>
    <m/>
    <n v="14.1"/>
    <n v="40.476193647072222"/>
    <m/>
    <m/>
    <n v="85"/>
  </r>
  <r>
    <d v="2026-03-31T17:00:00"/>
    <x v="0"/>
    <n v="17"/>
    <n v="23.14565571315833"/>
    <m/>
    <m/>
    <n v="13.8"/>
    <n v="42.057761220069438"/>
    <m/>
    <m/>
    <n v="84"/>
  </r>
  <r>
    <d v="2026-03-31T18:00:00"/>
    <x v="0"/>
    <n v="18"/>
    <n v="23.16262720533889"/>
    <m/>
    <m/>
    <n v="14.1"/>
    <n v="41.687776941727783"/>
    <m/>
    <m/>
    <n v="83"/>
  </r>
  <r>
    <d v="2026-03-31T19:00:00"/>
    <x v="0"/>
    <n v="19"/>
    <n v="22.525205828886111"/>
    <m/>
    <m/>
    <n v="12.2"/>
    <n v="41.888010065300001"/>
    <m/>
    <m/>
    <n v="92"/>
  </r>
  <r>
    <d v="2026-03-31T20:00:00"/>
    <x v="0"/>
    <n v="20"/>
    <n v="22.606883516216669"/>
    <m/>
    <m/>
    <n v="11.5"/>
    <n v="42.718882541888888"/>
    <m/>
    <m/>
    <n v="94"/>
  </r>
  <r>
    <d v="2026-03-31T21:00:00"/>
    <x v="0"/>
    <n v="21"/>
    <n v="22.658876988966671"/>
    <m/>
    <m/>
    <n v="11.9"/>
    <n v="45.308523293430561"/>
    <m/>
    <m/>
    <n v="91"/>
  </r>
  <r>
    <d v="2026-03-31T22:00:00"/>
    <x v="0"/>
    <n v="22"/>
    <n v="23.558849102505562"/>
    <m/>
    <m/>
    <n v="10.9"/>
    <n v="44.752476016066673"/>
    <m/>
    <m/>
    <n v="95"/>
  </r>
  <r>
    <d v="2026-03-31T23:00:00"/>
    <x v="0"/>
    <n v="23"/>
    <n v="24.402161669805551"/>
    <m/>
    <m/>
    <n v="10.1"/>
    <n v="44.116288372463877"/>
    <m/>
    <m/>
    <n v="97"/>
  </r>
  <r>
    <d v="2026-04-01T00:00:00"/>
    <x v="1"/>
    <n v="0"/>
    <n v="24.516681519738889"/>
    <m/>
    <m/>
    <n v="9.3000000000000007"/>
    <n v="44.316999861530562"/>
    <m/>
    <m/>
    <n v="97"/>
  </r>
  <r>
    <d v="2026-04-01T01:00:00"/>
    <x v="1"/>
    <n v="1"/>
    <n v="24.42783981398334"/>
    <m/>
    <m/>
    <n v="8.1999999999999993"/>
    <n v="44.974245106286112"/>
    <m/>
    <m/>
    <n v="98"/>
  </r>
  <r>
    <d v="2026-04-01T02:00:00"/>
    <x v="1"/>
    <n v="2"/>
    <n v="23.983200397655551"/>
    <m/>
    <m/>
    <n v="7.5"/>
    <n v="47.115646563761111"/>
    <m/>
    <m/>
    <n v="100"/>
  </r>
  <r>
    <d v="2026-04-01T03:00:00"/>
    <x v="1"/>
    <n v="3"/>
    <n v="23.675076250699998"/>
    <m/>
    <m/>
    <n v="9.3000000000000007"/>
    <n v="47.306951401277779"/>
    <m/>
    <m/>
    <n v="98"/>
  </r>
  <r>
    <d v="2026-04-01T04:00:00"/>
    <x v="1"/>
    <n v="4"/>
    <n v="23.48610364546111"/>
    <m/>
    <m/>
    <n v="8.8000000000000007"/>
    <n v="47.434546828444446"/>
    <m/>
    <m/>
    <n v="100"/>
  </r>
  <r>
    <d v="2026-04-01T05:00:00"/>
    <x v="1"/>
    <n v="5"/>
    <n v="23.354725987108331"/>
    <m/>
    <m/>
    <n v="8.1"/>
    <n v="47.778096521325011"/>
    <m/>
    <m/>
    <n v="100"/>
  </r>
  <r>
    <d v="2026-04-01T06:00:00"/>
    <x v="1"/>
    <n v="6"/>
    <n v="23.27866030201389"/>
    <m/>
    <m/>
    <n v="7.9"/>
    <n v="47.702830487033339"/>
    <m/>
    <m/>
    <n v="100"/>
  </r>
  <r>
    <d v="2026-04-01T07:00:00"/>
    <x v="1"/>
    <n v="7"/>
    <n v="23.264721912327779"/>
    <m/>
    <m/>
    <n v="8.1999999999999993"/>
    <n v="47.41493129020833"/>
    <m/>
    <m/>
    <n v="100"/>
  </r>
  <r>
    <d v="2026-04-01T08:00:00"/>
    <x v="1"/>
    <n v="8"/>
    <n v="23.274534131483328"/>
    <m/>
    <m/>
    <n v="9.1"/>
    <n v="47.153901138650014"/>
    <m/>
    <m/>
    <n v="97"/>
  </r>
  <r>
    <d v="2026-04-01T09:00:00"/>
    <x v="1"/>
    <n v="9"/>
    <n v="23.275895943658341"/>
    <m/>
    <m/>
    <n v="10"/>
    <n v="47.330735705508339"/>
    <m/>
    <m/>
    <n v="98"/>
  </r>
  <r>
    <d v="2026-04-01T10:00:00"/>
    <x v="1"/>
    <n v="10"/>
    <n v="23.384968950980561"/>
    <m/>
    <m/>
    <n v="12.3"/>
    <n v="47.113181364491659"/>
    <m/>
    <m/>
    <n v="89"/>
  </r>
  <r>
    <d v="2026-04-01T11:00:00"/>
    <x v="1"/>
    <n v="11"/>
    <n v="23.71033723922778"/>
    <m/>
    <m/>
    <n v="13.9"/>
    <n v="48.42565628700833"/>
    <m/>
    <m/>
    <n v="80"/>
  </r>
  <r>
    <d v="2026-04-01T12:00:00"/>
    <x v="1"/>
    <n v="12"/>
    <n v="24.054377706136108"/>
    <m/>
    <m/>
    <n v="15.2"/>
    <n v="48.249580805977779"/>
    <m/>
    <m/>
    <n v="72"/>
  </r>
  <r>
    <d v="2026-04-01T13:00:00"/>
    <x v="1"/>
    <n v="13"/>
    <n v="24.09409674860833"/>
    <m/>
    <m/>
    <n v="15.8"/>
    <n v="48.701219276769443"/>
    <m/>
    <m/>
    <n v="70"/>
  </r>
  <r>
    <d v="2026-04-01T14:00:00"/>
    <x v="1"/>
    <n v="14"/>
    <n v="24.231023181913891"/>
    <m/>
    <m/>
    <n v="16.399999999999999"/>
    <n v="48.805977056961112"/>
    <m/>
    <m/>
    <n v="67"/>
  </r>
  <r>
    <d v="2026-04-01T15:00:00"/>
    <x v="1"/>
    <n v="15"/>
    <n v="24.243016653186121"/>
    <m/>
    <m/>
    <n v="16.3"/>
    <n v="49.221232997199998"/>
    <m/>
    <m/>
    <n v="65"/>
  </r>
  <r>
    <d v="2026-04-01T16:00:00"/>
    <x v="1"/>
    <n v="16"/>
    <n v="24.224056567516669"/>
    <m/>
    <m/>
    <n v="16.5"/>
    <n v="48.163795628580552"/>
    <m/>
    <m/>
    <n v="63"/>
  </r>
  <r>
    <d v="2026-04-01T17:00:00"/>
    <x v="1"/>
    <n v="17"/>
    <n v="24.122441690125001"/>
    <m/>
    <m/>
    <n v="16.2"/>
    <n v="48.178469653897217"/>
    <m/>
    <m/>
    <n v="63"/>
  </r>
  <r>
    <d v="2026-04-01T18:00:00"/>
    <x v="1"/>
    <n v="18"/>
    <n v="24.196981513124999"/>
    <m/>
    <m/>
    <n v="16"/>
    <n v="47.283483360697232"/>
    <m/>
    <m/>
    <n v="69"/>
  </r>
  <r>
    <d v="2026-04-01T19:00:00"/>
    <x v="1"/>
    <n v="19"/>
    <n v="24.14607734323889"/>
    <m/>
    <m/>
    <n v="12.5"/>
    <n v="47.712977272100012"/>
    <m/>
    <m/>
    <n v="88"/>
  </r>
  <r>
    <d v="2026-04-01T20:00:00"/>
    <x v="1"/>
    <n v="20"/>
    <n v="24.057789809555551"/>
    <m/>
    <m/>
    <n v="11.7"/>
    <n v="48.436402641313883"/>
    <m/>
    <m/>
    <n v="91"/>
  </r>
  <r>
    <d v="2026-04-01T21:00:00"/>
    <x v="1"/>
    <n v="21"/>
    <n v="24.120164347647229"/>
    <m/>
    <m/>
    <n v="11.2"/>
    <n v="50.946388030636122"/>
    <m/>
    <m/>
    <n v="94"/>
  </r>
  <r>
    <d v="2026-04-01T22:00:00"/>
    <x v="1"/>
    <n v="22"/>
    <n v="24.11498996192778"/>
    <m/>
    <m/>
    <n v="10.9"/>
    <n v="50.994971310952792"/>
    <m/>
    <m/>
    <n v="94"/>
  </r>
  <r>
    <d v="2026-04-01T23:00:00"/>
    <x v="1"/>
    <n v="23"/>
    <n v="23.994271046322229"/>
    <m/>
    <m/>
    <n v="10.199999999999999"/>
    <n v="50.00406831939722"/>
    <m/>
    <m/>
    <n v="96"/>
  </r>
  <r>
    <d v="2026-04-02T00:00:00"/>
    <x v="1"/>
    <n v="0"/>
    <n v="24.196699993083332"/>
    <m/>
    <m/>
    <n v="9.6"/>
    <n v="49.933488514925003"/>
    <m/>
    <m/>
    <n v="96"/>
  </r>
  <r>
    <d v="2026-04-02T01:00:00"/>
    <x v="1"/>
    <n v="1"/>
    <n v="24.17661842531389"/>
    <m/>
    <m/>
    <n v="9.1"/>
    <n v="50.137914164163881"/>
    <m/>
    <m/>
    <n v="96"/>
  </r>
  <r>
    <d v="2026-04-02T02:00:00"/>
    <x v="1"/>
    <n v="2"/>
    <n v="23.794978823791659"/>
    <m/>
    <m/>
    <n v="8.4"/>
    <n v="50.959067559580561"/>
    <m/>
    <m/>
    <n v="96"/>
  </r>
  <r>
    <d v="2026-04-02T03:00:00"/>
    <x v="1"/>
    <n v="3"/>
    <n v="23.52123758886389"/>
    <m/>
    <m/>
    <n v="8.6999999999999993"/>
    <n v="51.136414305130558"/>
    <m/>
    <m/>
    <n v="100"/>
  </r>
  <r>
    <d v="2026-04-02T04:00:00"/>
    <x v="1"/>
    <n v="4"/>
    <n v="23.35350404688889"/>
    <m/>
    <m/>
    <n v="8.5"/>
    <n v="50.954515288155562"/>
    <m/>
    <m/>
    <n v="100"/>
  </r>
  <r>
    <d v="2026-04-02T05:00:00"/>
    <x v="1"/>
    <n v="5"/>
    <n v="23.220661349344439"/>
    <m/>
    <m/>
    <n v="8.4"/>
    <n v="50.682346625022227"/>
    <m/>
    <m/>
    <n v="100"/>
  </r>
  <r>
    <d v="2026-04-02T06:00:00"/>
    <x v="1"/>
    <n v="6"/>
    <n v="23.254943214994441"/>
    <m/>
    <m/>
    <n v="7.7"/>
    <n v="50.177272027502767"/>
    <m/>
    <m/>
    <n v="100"/>
  </r>
  <r>
    <d v="2026-04-02T07:00:00"/>
    <x v="1"/>
    <n v="7"/>
    <n v="23.90052336923889"/>
    <m/>
    <m/>
    <n v="7.3"/>
    <n v="47.439088434641661"/>
    <m/>
    <m/>
    <n v="99"/>
  </r>
  <r>
    <d v="2026-04-02T08:00:00"/>
    <x v="1"/>
    <n v="8"/>
    <n v="24.480874487277781"/>
    <m/>
    <m/>
    <n v="7.7"/>
    <n v="45.567490714877778"/>
    <m/>
    <m/>
    <n v="97"/>
  </r>
  <r>
    <d v="2026-04-02T09:00:00"/>
    <x v="1"/>
    <n v="9"/>
    <n v="25.022535541450001"/>
    <m/>
    <m/>
    <n v="9"/>
    <n v="44.749212924941673"/>
    <m/>
    <m/>
    <n v="92"/>
  </r>
  <r>
    <d v="2026-04-02T10:00:00"/>
    <x v="1"/>
    <n v="10"/>
    <n v="25.335316739"/>
    <m/>
    <m/>
    <n v="11.4"/>
    <n v="45.497242259194451"/>
    <m/>
    <m/>
    <n v="88"/>
  </r>
  <r>
    <d v="2026-04-02T11:00:00"/>
    <x v="1"/>
    <n v="11"/>
    <n v="25.516771998413891"/>
    <m/>
    <m/>
    <n v="14.3"/>
    <n v="46.398499777136102"/>
    <m/>
    <m/>
    <n v="72"/>
  </r>
  <r>
    <d v="2026-04-02T12:00:00"/>
    <x v="1"/>
    <n v="12"/>
    <n v="25.350653765522221"/>
    <m/>
    <m/>
    <n v="15.7"/>
    <n v="47.88719534363333"/>
    <m/>
    <m/>
    <n v="64"/>
  </r>
  <r>
    <d v="2026-04-02T13:00:00"/>
    <x v="1"/>
    <n v="13"/>
    <n v="24.995782299661109"/>
    <m/>
    <m/>
    <n v="16.2"/>
    <n v="46.58144273208611"/>
    <m/>
    <m/>
    <n v="61"/>
  </r>
  <r>
    <d v="2026-04-02T14:00:00"/>
    <x v="1"/>
    <n v="14"/>
    <n v="24.252735818311109"/>
    <m/>
    <m/>
    <n v="16.399999999999999"/>
    <n v="44.051134031880537"/>
    <m/>
    <m/>
    <n v="60"/>
  </r>
  <r>
    <d v="2026-04-02T15:00:00"/>
    <x v="1"/>
    <n v="15"/>
    <n v="23.848502642016669"/>
    <m/>
    <m/>
    <n v="16.8"/>
    <n v="42.381993603208343"/>
    <m/>
    <m/>
    <n v="57"/>
  </r>
  <r>
    <d v="2026-04-02T16:00:00"/>
    <x v="1"/>
    <n v="16"/>
    <n v="24.049744773888889"/>
    <m/>
    <m/>
    <n v="17"/>
    <n v="43.625059966511117"/>
    <m/>
    <m/>
    <n v="55"/>
  </r>
  <r>
    <d v="2026-04-02T17:00:00"/>
    <x v="1"/>
    <n v="17"/>
    <n v="24.112879548599999"/>
    <m/>
    <m/>
    <n v="17"/>
    <n v="43.641129338313903"/>
    <m/>
    <m/>
    <n v="54"/>
  </r>
  <r>
    <d v="2026-04-02T18:00:00"/>
    <x v="1"/>
    <n v="18"/>
    <n v="23.77183898110556"/>
    <m/>
    <m/>
    <n v="16.2"/>
    <n v="47.443066903616661"/>
    <m/>
    <m/>
    <n v="66"/>
  </r>
  <r>
    <d v="2026-04-02T19:00:00"/>
    <x v="1"/>
    <n v="19"/>
    <n v="23.36407451103889"/>
    <m/>
    <m/>
    <n v="14.1"/>
    <n v="49.004623230186112"/>
    <m/>
    <m/>
    <n v="72"/>
  </r>
  <r>
    <d v="2026-04-02T20:00:00"/>
    <x v="1"/>
    <n v="20"/>
    <n v="22.92449623475833"/>
    <m/>
    <m/>
    <n v="12.7"/>
    <n v="49.909109880697223"/>
    <m/>
    <m/>
    <n v="75"/>
  </r>
  <r>
    <d v="2026-04-02T21:00:00"/>
    <x v="1"/>
    <n v="21"/>
    <n v="22.510377337902771"/>
    <m/>
    <m/>
    <n v="12.2"/>
    <n v="49.605528448936113"/>
    <m/>
    <m/>
    <n v="77"/>
  </r>
  <r>
    <d v="2026-04-02T22:00:00"/>
    <x v="1"/>
    <n v="22"/>
    <n v="22.541857725174999"/>
    <m/>
    <m/>
    <n v="11.7"/>
    <n v="46.791640957872232"/>
    <m/>
    <m/>
    <n v="84"/>
  </r>
  <r>
    <d v="2026-04-02T23:00:00"/>
    <x v="1"/>
    <n v="23"/>
    <n v="21.850392091397222"/>
    <m/>
    <m/>
    <n v="10.7"/>
    <n v="46.251954495930562"/>
    <m/>
    <m/>
    <n v="87"/>
  </r>
  <r>
    <d v="2026-04-03T00:00:00"/>
    <x v="1"/>
    <n v="0"/>
    <n v="21.624485764705561"/>
    <m/>
    <m/>
    <n v="9.6999999999999993"/>
    <n v="45.699942467558337"/>
    <m/>
    <m/>
    <n v="91"/>
  </r>
  <r>
    <d v="2026-04-03T01:00:00"/>
    <x v="1"/>
    <n v="1"/>
    <n v="21.674161260347219"/>
    <m/>
    <m/>
    <n v="9"/>
    <n v="47.748381065383327"/>
    <m/>
    <m/>
    <n v="94"/>
  </r>
  <r>
    <d v="2026-04-03T02:00:00"/>
    <x v="1"/>
    <n v="2"/>
    <n v="23.184029502194441"/>
    <m/>
    <m/>
    <n v="8.5"/>
    <n v="49.403890458261117"/>
    <m/>
    <m/>
    <n v="96"/>
  </r>
  <r>
    <d v="2026-04-03T03:00:00"/>
    <x v="1"/>
    <n v="3"/>
    <n v="23.399960639905551"/>
    <m/>
    <m/>
    <n v="8.6"/>
    <n v="50.024856272436097"/>
    <m/>
    <m/>
    <n v="95"/>
  </r>
  <r>
    <d v="2026-04-03T04:00:00"/>
    <x v="1"/>
    <n v="4"/>
    <n v="23.39767509925278"/>
    <m/>
    <m/>
    <n v="8.3000000000000007"/>
    <n v="50.598651821669449"/>
    <m/>
    <m/>
    <n v="96"/>
  </r>
  <r>
    <d v="2026-04-03T05:00:00"/>
    <x v="1"/>
    <n v="5"/>
    <n v="23.349349421311121"/>
    <m/>
    <m/>
    <n v="8"/>
    <n v="51.101078043100003"/>
    <m/>
    <m/>
    <n v="98"/>
  </r>
  <r>
    <d v="2026-04-03T06:00:00"/>
    <x v="1"/>
    <n v="6"/>
    <n v="23.308536165113889"/>
    <m/>
    <m/>
    <n v="7.6"/>
    <n v="51.195828778716667"/>
    <m/>
    <m/>
    <n v="95"/>
  </r>
  <r>
    <d v="2026-04-03T07:00:00"/>
    <x v="1"/>
    <n v="7"/>
    <n v="23.281533031966671"/>
    <m/>
    <m/>
    <n v="8.3000000000000007"/>
    <n v="51.29273215848611"/>
    <m/>
    <m/>
    <n v="92"/>
  </r>
  <r>
    <d v="2026-04-03T08:00:00"/>
    <x v="1"/>
    <n v="8"/>
    <n v="23.296126632094449"/>
    <m/>
    <m/>
    <n v="9.6"/>
    <n v="51.148798649163894"/>
    <m/>
    <m/>
    <n v="95"/>
  </r>
  <r>
    <d v="2026-04-03T09:00:00"/>
    <x v="1"/>
    <n v="9"/>
    <n v="23.325218895672229"/>
    <m/>
    <m/>
    <n v="10.6"/>
    <n v="50.821479750816671"/>
    <m/>
    <m/>
    <n v="95"/>
  </r>
  <r>
    <d v="2026-04-03T10:00:00"/>
    <x v="1"/>
    <n v="10"/>
    <n v="23.334055154980561"/>
    <m/>
    <m/>
    <n v="12.6"/>
    <n v="48.867386427388887"/>
    <m/>
    <m/>
    <n v="88"/>
  </r>
  <r>
    <d v="2026-04-03T11:00:00"/>
    <x v="1"/>
    <n v="11"/>
    <n v="23.435012811786109"/>
    <m/>
    <m/>
    <n v="13.9"/>
    <n v="48.664630408636107"/>
    <m/>
    <m/>
    <n v="80"/>
  </r>
  <r>
    <d v="2026-04-03T12:00:00"/>
    <x v="1"/>
    <n v="12"/>
    <n v="23.669449441402779"/>
    <m/>
    <m/>
    <n v="14.7"/>
    <n v="48.320452963830562"/>
    <m/>
    <m/>
    <n v="75"/>
  </r>
  <r>
    <d v="2026-04-03T13:00:00"/>
    <x v="1"/>
    <n v="13"/>
    <n v="22.50282365833889"/>
    <m/>
    <m/>
    <n v="15.7"/>
    <n v="46.946539428133327"/>
    <m/>
    <m/>
    <n v="70"/>
  </r>
  <r>
    <d v="2026-04-03T14:00:00"/>
    <x v="1"/>
    <n v="14"/>
    <n v="21.128788604747221"/>
    <m/>
    <m/>
    <n v="16.100000000000001"/>
    <n v="46.100945993316657"/>
    <m/>
    <m/>
    <n v="65"/>
  </r>
  <r>
    <d v="2026-04-03T15:00:00"/>
    <x v="1"/>
    <n v="15"/>
    <n v="21.32694821493611"/>
    <m/>
    <m/>
    <n v="16.8"/>
    <n v="46.086393125522221"/>
    <m/>
    <m/>
    <n v="61"/>
  </r>
  <r>
    <d v="2026-04-03T16:00:00"/>
    <x v="1"/>
    <n v="16"/>
    <n v="21.60133533631112"/>
    <m/>
    <m/>
    <n v="13.7"/>
    <n v="44.250751723047223"/>
    <m/>
    <m/>
    <n v="82"/>
  </r>
  <r>
    <d v="2026-04-03T17:00:00"/>
    <x v="1"/>
    <n v="17"/>
    <n v="21.724257045200002"/>
    <m/>
    <m/>
    <n v="14.7"/>
    <n v="42.36906158195"/>
    <m/>
    <m/>
    <n v="75"/>
  </r>
  <r>
    <d v="2026-04-03T18:00:00"/>
    <x v="1"/>
    <n v="18"/>
    <n v="21.774579200686109"/>
    <m/>
    <m/>
    <n v="14.2"/>
    <n v="42.349015551677773"/>
    <m/>
    <m/>
    <n v="80"/>
  </r>
  <r>
    <d v="2026-04-03T19:00:00"/>
    <x v="1"/>
    <n v="19"/>
    <n v="21.584384973500001"/>
    <m/>
    <m/>
    <n v="12.9"/>
    <n v="43.112881990375001"/>
    <m/>
    <m/>
    <n v="85"/>
  </r>
  <r>
    <d v="2026-04-03T20:00:00"/>
    <x v="1"/>
    <n v="20"/>
    <n v="21.279060176044439"/>
    <m/>
    <m/>
    <n v="11.6"/>
    <n v="41.013230320791671"/>
    <m/>
    <m/>
    <n v="88"/>
  </r>
  <r>
    <d v="2026-04-03T21:00:00"/>
    <x v="1"/>
    <n v="21"/>
    <n v="22.807470906727779"/>
    <m/>
    <m/>
    <n v="11.4"/>
    <n v="40.665510270544438"/>
    <m/>
    <m/>
    <n v="89"/>
  </r>
  <r>
    <d v="2026-04-03T22:00:00"/>
    <x v="1"/>
    <n v="22"/>
    <n v="23.340893605880559"/>
    <m/>
    <m/>
    <n v="10.5"/>
    <n v="42.397172754619447"/>
    <m/>
    <m/>
    <n v="91"/>
  </r>
  <r>
    <d v="2026-04-03T23:00:00"/>
    <x v="1"/>
    <n v="23"/>
    <n v="23.34696988730278"/>
    <m/>
    <m/>
    <n v="9.6"/>
    <n v="45.520310753269449"/>
    <m/>
    <m/>
    <n v="92"/>
  </r>
  <r>
    <d v="2026-04-04T00:00:00"/>
    <x v="1"/>
    <n v="0"/>
    <n v="23.353446153319439"/>
    <m/>
    <m/>
    <n v="8.9"/>
    <n v="47.432983752844443"/>
    <m/>
    <m/>
    <n v="95"/>
  </r>
  <r>
    <d v="2026-04-04T01:00:00"/>
    <x v="1"/>
    <n v="1"/>
    <n v="23.302087526783328"/>
    <m/>
    <m/>
    <n v="8.6"/>
    <n v="48.158650333261122"/>
    <m/>
    <m/>
    <n v="95"/>
  </r>
  <r>
    <d v="2026-04-04T02:00:00"/>
    <x v="1"/>
    <n v="2"/>
    <n v="23.214339655958341"/>
    <m/>
    <m/>
    <n v="7.9"/>
    <n v="47.760077766844439"/>
    <m/>
    <m/>
    <n v="96"/>
  </r>
  <r>
    <d v="2026-04-04T03:00:00"/>
    <x v="1"/>
    <n v="3"/>
    <n v="23.157806454252778"/>
    <m/>
    <m/>
    <n v="9.1"/>
    <n v="47.386076498844439"/>
    <m/>
    <m/>
    <n v="93"/>
  </r>
  <r>
    <d v="2026-04-04T04:00:00"/>
    <x v="1"/>
    <n v="4"/>
    <n v="23.113309656027781"/>
    <m/>
    <m/>
    <n v="9"/>
    <n v="47.123600137219448"/>
    <m/>
    <m/>
    <n v="93"/>
  </r>
  <r>
    <d v="2026-04-04T05:00:00"/>
    <x v="1"/>
    <n v="5"/>
    <n v="23.07961183702222"/>
    <m/>
    <m/>
    <n v="8.6999999999999993"/>
    <n v="46.630924000402779"/>
    <m/>
    <m/>
    <n v="94"/>
  </r>
  <r>
    <d v="2026-04-04T06:00:00"/>
    <x v="1"/>
    <n v="6"/>
    <n v="23.089079533880561"/>
    <m/>
    <m/>
    <n v="8.4"/>
    <n v="46.545447426791668"/>
    <m/>
    <m/>
    <n v="94"/>
  </r>
  <r>
    <d v="2026-04-04T07:00:00"/>
    <x v="1"/>
    <n v="7"/>
    <n v="23.411995561019442"/>
    <m/>
    <m/>
    <n v="8.4"/>
    <n v="45.827531958741673"/>
    <m/>
    <m/>
    <n v="94"/>
  </r>
  <r>
    <d v="2026-04-04T08:00:00"/>
    <x v="1"/>
    <n v="8"/>
    <n v="23.55613642931111"/>
    <m/>
    <m/>
    <n v="9.6"/>
    <n v="45.48669558741944"/>
    <m/>
    <m/>
    <n v="93"/>
  </r>
  <r>
    <d v="2026-04-04T09:00:00"/>
    <x v="1"/>
    <n v="9"/>
    <n v="24.218415447183329"/>
    <m/>
    <m/>
    <n v="11.5"/>
    <n v="43.516448391925003"/>
    <m/>
    <m/>
    <n v="88"/>
  </r>
  <r>
    <d v="2026-04-04T10:00:00"/>
    <x v="1"/>
    <n v="10"/>
    <n v="24.23344430743612"/>
    <m/>
    <m/>
    <n v="12.6"/>
    <n v="44.299152585644443"/>
    <m/>
    <m/>
    <n v="84"/>
  </r>
  <r>
    <d v="2026-04-04T11:00:00"/>
    <x v="1"/>
    <n v="11"/>
    <n v="24.275278965677781"/>
    <m/>
    <m/>
    <n v="14.7"/>
    <n v="44.684104180858327"/>
    <m/>
    <m/>
    <n v="76"/>
  </r>
  <r>
    <d v="2026-04-04T12:00:00"/>
    <x v="1"/>
    <n v="12"/>
    <n v="24.368196530222221"/>
    <m/>
    <m/>
    <n v="16.100000000000001"/>
    <n v="45.767391071475011"/>
    <m/>
    <m/>
    <n v="68"/>
  </r>
  <r>
    <d v="2026-04-04T13:00:00"/>
    <x v="1"/>
    <n v="13"/>
    <n v="24.55656592314444"/>
    <m/>
    <m/>
    <n v="16.3"/>
    <n v="46.688411944763892"/>
    <m/>
    <m/>
    <n v="66"/>
  </r>
  <r>
    <d v="2026-04-04T14:00:00"/>
    <x v="1"/>
    <n v="14"/>
    <n v="24.445120598236109"/>
    <m/>
    <m/>
    <n v="16.600000000000001"/>
    <n v="41.043965635816669"/>
    <m/>
    <m/>
    <n v="63"/>
  </r>
  <r>
    <d v="2026-04-04T15:00:00"/>
    <x v="1"/>
    <n v="15"/>
    <n v="24.436721321661111"/>
    <n v="25.587983908106771"/>
    <m/>
    <n v="14.2"/>
    <n v="42.658612286644441"/>
    <n v="40.943838693228187"/>
    <m/>
    <n v="78"/>
  </r>
  <r>
    <d v="2026-04-04T16:00:00"/>
    <x v="1"/>
    <n v="16"/>
    <n v="24.193552301038888"/>
    <n v="25.410360869933339"/>
    <m/>
    <n v="14.2"/>
    <n v="45.109583249288903"/>
    <n v="42.045472329144452"/>
    <m/>
    <n v="73"/>
  </r>
  <r>
    <d v="2026-04-04T17:00:00"/>
    <x v="1"/>
    <n v="17"/>
    <n v="23.775955764666669"/>
    <m/>
    <m/>
    <n v="15.1"/>
    <n v="45.177889331066673"/>
    <m/>
    <m/>
    <n v="65"/>
  </r>
  <r>
    <d v="2026-04-04T18:00:00"/>
    <x v="1"/>
    <n v="18"/>
    <n v="23.257119515986108"/>
    <n v="25.252453980092831"/>
    <m/>
    <n v="14.5"/>
    <n v="44.058058383622217"/>
    <n v="40.356450052320703"/>
    <m/>
    <n v="72"/>
  </r>
  <r>
    <d v="2026-04-04T19:00:00"/>
    <x v="1"/>
    <n v="19"/>
    <n v="22.958649443127779"/>
    <n v="24.643175600409091"/>
    <n v="24.540415449987531"/>
    <n v="12.8"/>
    <n v="44.024788614800002"/>
    <n v="44.915054509166673"/>
    <n v="56.121924773386787"/>
    <n v="75"/>
  </r>
  <r>
    <d v="2026-04-04T20:00:00"/>
    <x v="1"/>
    <n v="20"/>
    <n v="22.2377975731"/>
    <n v="24.33227549381667"/>
    <n v="24.650355495494441"/>
    <n v="11.4"/>
    <n v="44.165605779022222"/>
    <n v="43.834495522658329"/>
    <n v="54.564765382880559"/>
    <n v="80"/>
  </r>
  <r>
    <d v="2026-04-04T21:00:00"/>
    <x v="1"/>
    <n v="21"/>
    <n v="21.98270442036112"/>
    <n v="24.131826178166669"/>
    <n v="24.801270801558331"/>
    <n v="10.9"/>
    <n v="44.551442332433339"/>
    <n v="44.389739498888893"/>
    <n v="52.75832489676111"/>
    <n v="86"/>
  </r>
  <r>
    <d v="2026-04-04T22:00:00"/>
    <x v="1"/>
    <n v="22"/>
    <n v="21.88864925966945"/>
    <n v="24.336340595144449"/>
    <n v="24.85065109606111"/>
    <n v="9.9"/>
    <n v="45.908639120822222"/>
    <n v="44.208771960225"/>
    <n v="52.121652672330562"/>
    <n v="90"/>
  </r>
  <r>
    <d v="2026-04-04T23:00:00"/>
    <x v="1"/>
    <n v="23"/>
    <n v="22.122446712819439"/>
    <n v="24.564026484555558"/>
    <n v="24.888456240983331"/>
    <n v="10.1"/>
    <n v="45.490850790763893"/>
    <n v="42.24158519162777"/>
    <n v="51.795917476505558"/>
    <n v="90"/>
  </r>
  <r>
    <d v="2026-04-05T00:00:00"/>
    <x v="1"/>
    <n v="0"/>
    <n v="22.020320727163892"/>
    <n v="24.476016982905549"/>
    <n v="24.903305514177781"/>
    <n v="10.3"/>
    <n v="44.74849777050833"/>
    <n v="43.016823928547218"/>
    <n v="51.587045585688877"/>
    <n v="91"/>
  </r>
  <r>
    <d v="2026-04-05T01:00:00"/>
    <x v="1"/>
    <n v="1"/>
    <n v="21.656809695552781"/>
    <n v="24.167899451791669"/>
    <n v="24.907303572438892"/>
    <n v="9.6"/>
    <n v="43.214861416188889"/>
    <n v="43.312938769180562"/>
    <n v="51.34609592450834"/>
    <n v="89"/>
  </r>
  <r>
    <d v="2026-04-05T02:00:00"/>
    <x v="1"/>
    <n v="2"/>
    <n v="21.728925065611111"/>
    <n v="24.44983872505556"/>
    <n v="24.900995245038889"/>
    <n v="8.1999999999999993"/>
    <n v="42.77182391678889"/>
    <n v="39.75480335536389"/>
    <n v="51.043882189683337"/>
    <n v="79"/>
  </r>
  <r>
    <d v="2026-04-05T03:00:00"/>
    <x v="1"/>
    <n v="3"/>
    <n v="22.812801280799999"/>
    <n v="24.677583153425001"/>
    <n v="24.907938294905559"/>
    <n v="8.3000000000000007"/>
    <n v="46.348334178755557"/>
    <n v="41.726342640630563"/>
    <n v="50.420472220627772"/>
    <n v="64"/>
  </r>
  <r>
    <d v="2026-04-05T04:00:00"/>
    <x v="1"/>
    <n v="4"/>
    <n v="22.78781829576667"/>
    <n v="24.478525633038888"/>
    <n v="24.880524625011109"/>
    <n v="7.4"/>
    <n v="46.962969360041662"/>
    <n v="42.080996030477777"/>
    <n v="49.847962079652781"/>
    <n v="64"/>
  </r>
  <r>
    <d v="2026-04-05T05:00:00"/>
    <x v="1"/>
    <n v="5"/>
    <n v="22.716958643733332"/>
    <n v="24.357395940055561"/>
    <n v="24.856021312380559"/>
    <n v="6.5"/>
    <n v="46.713304126755553"/>
    <n v="41.902203072147223"/>
    <n v="49.389734238677782"/>
    <n v="67"/>
  </r>
  <r>
    <d v="2026-04-05T06:00:00"/>
    <x v="1"/>
    <n v="6"/>
    <n v="22.920253446591669"/>
    <n v="24.320242884877771"/>
    <n v="24.863398455247221"/>
    <n v="5.8"/>
    <n v="46.123349706769439"/>
    <n v="41.944679077772221"/>
    <n v="49.006211455888888"/>
    <n v="69"/>
  </r>
  <r>
    <d v="2026-04-05T07:00:00"/>
    <x v="1"/>
    <n v="7"/>
    <n v="23.771692891336109"/>
    <n v="24.888860011347219"/>
    <n v="24.875583528755559"/>
    <n v="6.3"/>
    <n v="43.102349230250013"/>
    <n v="41.407168514647218"/>
    <n v="48.684907917472223"/>
    <n v="66"/>
  </r>
  <r>
    <d v="2026-04-05T08:00:00"/>
    <x v="1"/>
    <n v="8"/>
    <n v="24.439330671763891"/>
    <n v="25.50745244901389"/>
    <n v="24.89170437049167"/>
    <n v="8"/>
    <n v="42.541536338563887"/>
    <n v="40.679390449972232"/>
    <n v="48.428977753352783"/>
    <n v="65"/>
  </r>
  <r>
    <d v="2026-04-05T09:00:00"/>
    <x v="1"/>
    <n v="9"/>
    <n v="24.68626096951667"/>
    <n v="25.762349334025"/>
    <n v="24.928100106477771"/>
    <n v="10.199999999999999"/>
    <n v="43.446860051733331"/>
    <n v="40.963047618058333"/>
    <n v="48.706025838263884"/>
    <n v="61"/>
  </r>
  <r>
    <d v="2026-04-05T10:00:00"/>
    <x v="1"/>
    <n v="10"/>
    <n v="24.773859599630551"/>
    <n v="25.783565840024998"/>
    <n v="24.973652345008329"/>
    <n v="11.1"/>
    <n v="43.714548259397219"/>
    <n v="41.489024135186114"/>
    <n v="48.938072152863889"/>
    <n v="57"/>
  </r>
  <r>
    <d v="2026-04-05T11:00:00"/>
    <x v="1"/>
    <n v="11"/>
    <n v="25.142250193505561"/>
    <n v="26.408881404105561"/>
    <n v="25.02474987301667"/>
    <n v="12.7"/>
    <n v="45.673263369805561"/>
    <n v="44.762330030133327"/>
    <n v="49.397236235105559"/>
    <n v="51"/>
  </r>
  <r>
    <d v="2026-04-05T12:00:00"/>
    <x v="1"/>
    <n v="12"/>
    <n v="25.135371358413892"/>
    <n v="26.644757296877781"/>
    <n v="25.081347075602778"/>
    <n v="13.1"/>
    <n v="48.981761223936111"/>
    <n v="44.371103286191669"/>
    <n v="50.161958401933333"/>
    <n v="33"/>
  </r>
  <r>
    <d v="2026-04-05T13:00:00"/>
    <x v="1"/>
    <n v="13"/>
    <n v="24.827897391886111"/>
    <n v="26.051848951111111"/>
    <n v="25.115204824336111"/>
    <n v="13.2"/>
    <n v="48.243407505383338"/>
    <n v="42.710982343469453"/>
    <n v="50.961071960308338"/>
    <n v="31"/>
  </r>
  <r>
    <d v="2026-04-05T14:00:00"/>
    <x v="1"/>
    <n v="14"/>
    <n v="24.392955036886111"/>
    <n v="25.11673539423056"/>
    <n v="25.073847079966669"/>
    <n v="13.5"/>
    <n v="36.438067672800003"/>
    <n v="34.573928918725002"/>
    <n v="50.067727880255553"/>
    <n v="31"/>
  </r>
  <r>
    <d v="2026-04-05T15:00:00"/>
    <x v="1"/>
    <n v="15"/>
    <n v="24.102566603547221"/>
    <n v="24.76102556396944"/>
    <n v="25.018367756561108"/>
    <n v="13.6"/>
    <n v="33.041525516924999"/>
    <n v="31.534835777677781"/>
    <n v="49.263855269644438"/>
    <n v="31"/>
  </r>
  <r>
    <d v="2026-04-05T16:00:00"/>
    <x v="1"/>
    <n v="16"/>
    <n v="23.833793485805561"/>
    <n v="24.543369731166671"/>
    <n v="24.970346724630559"/>
    <n v="13.3"/>
    <n v="30.78034484283889"/>
    <n v="29.891428189980559"/>
    <n v="48.592873238211112"/>
    <n v="32"/>
  </r>
  <r>
    <d v="2026-04-05T17:00:00"/>
    <x v="1"/>
    <n v="17"/>
    <n v="23.621639040575001"/>
    <n v="24.343929235080559"/>
    <n v="24.941162948288891"/>
    <n v="12.7"/>
    <n v="29.8801344042"/>
    <n v="29.169694218744439"/>
    <n v="47.944645578591668"/>
    <n v="34"/>
  </r>
  <r>
    <d v="2026-04-05T18:00:00"/>
    <x v="1"/>
    <n v="18"/>
    <n v="23.464557165491669"/>
    <n v="24.319481029155561"/>
    <n v="24.92532959308889"/>
    <n v="11.8"/>
    <n v="33.428857201477783"/>
    <n v="33.88399283891389"/>
    <n v="47.818509787161112"/>
    <n v="38"/>
  </r>
  <r>
    <d v="2026-04-05T19:00:00"/>
    <x v="1"/>
    <n v="19"/>
    <n v="23.565215347991671"/>
    <n v="24.75035875707778"/>
    <n v="24.92917033105833"/>
    <n v="10.3"/>
    <n v="37.284710271094447"/>
    <n v="36.838179251638877"/>
    <n v="48.281617657480552"/>
    <n v="42"/>
  </r>
  <r>
    <d v="2026-04-05T20:00:00"/>
    <x v="1"/>
    <n v="20"/>
    <n v="23.660606467699999"/>
    <n v="25.123534105625001"/>
    <n v="24.9336386614"/>
    <n v="9.1999999999999993"/>
    <n v="36.346360104230563"/>
    <n v="37.011361833430549"/>
    <n v="48.411546584911122"/>
    <n v="45"/>
  </r>
  <r>
    <d v="2026-04-05T21:00:00"/>
    <x v="1"/>
    <n v="21"/>
    <n v="23.65296573704444"/>
    <n v="25.397253401161109"/>
    <n v="24.950090591563889"/>
    <n v="8.8000000000000007"/>
    <n v="34.445958479300003"/>
    <n v="34.690148909866657"/>
    <n v="48.344947038411107"/>
    <n v="49"/>
  </r>
  <r>
    <d v="2026-04-05T22:00:00"/>
    <x v="1"/>
    <n v="22"/>
    <n v="23.51504650174445"/>
    <n v="25.443510687169439"/>
    <n v="24.951317009033328"/>
    <n v="7.8"/>
    <n v="39.036727852672222"/>
    <n v="37.326349704697222"/>
    <n v="47.263201790577767"/>
    <n v="55"/>
  </r>
  <r>
    <d v="2026-04-05T23:00:00"/>
    <x v="1"/>
    <n v="23"/>
    <n v="23.568580071294441"/>
    <n v="25.44694445747222"/>
    <n v="24.974969120730549"/>
    <n v="6.8"/>
    <n v="43.392395545727773"/>
    <n v="40.886978172305561"/>
    <n v="46.890676786133326"/>
    <n v="59"/>
  </r>
  <r>
    <d v="2026-04-06T00:00:00"/>
    <x v="1"/>
    <n v="0"/>
    <n v="23.431631164161111"/>
    <n v="25.179266679077781"/>
    <n v="24.971273730025001"/>
    <n v="5.8"/>
    <n v="45.476844662075003"/>
    <n v="40.667228092513888"/>
    <n v="46.449279516730549"/>
    <n v="64"/>
  </r>
  <r>
    <d v="2026-04-06T01:00:00"/>
    <x v="1"/>
    <n v="1"/>
    <n v="23.326222505563891"/>
    <n v="24.993851396699998"/>
    <n v="24.937841436525002"/>
    <n v="5"/>
    <n v="43.201240638927779"/>
    <n v="39.105847001675002"/>
    <n v="46.138719426658326"/>
    <n v="68"/>
  </r>
  <r>
    <d v="2026-04-06T02:00:00"/>
    <x v="1"/>
    <n v="2"/>
    <n v="23.276453367955561"/>
    <n v="24.715302413252768"/>
    <n v="24.89846108211389"/>
    <n v="4.5"/>
    <n v="42.232177908875002"/>
    <n v="39.747251586572219"/>
    <n v="46.024107332916657"/>
    <n v="70"/>
  </r>
  <r>
    <d v="2026-04-06T03:00:00"/>
    <x v="1"/>
    <n v="3"/>
    <n v="23.131014877436112"/>
    <n v="24.528991465686111"/>
    <n v="24.878056528419449"/>
    <n v="4.0999999999999996"/>
    <n v="43.183881071413893"/>
    <n v="40.453989175858332"/>
    <n v="45.933816238683328"/>
    <n v="69"/>
  </r>
  <r>
    <d v="2026-04-06T04:00:00"/>
    <x v="1"/>
    <n v="4"/>
    <n v="23.056462976969438"/>
    <n v="24.560849873011112"/>
    <n v="24.875881133341672"/>
    <n v="3.5"/>
    <n v="43.010527074519437"/>
    <n v="40.053279788944451"/>
    <n v="45.793302520288883"/>
    <n v="72"/>
  </r>
  <r>
    <d v="2026-04-06T05:00:00"/>
    <x v="1"/>
    <n v="5"/>
    <n v="22.972812514166659"/>
    <n v="24.34123163596945"/>
    <n v="24.860730234361121"/>
    <n v="3"/>
    <n v="42.835893490919439"/>
    <n v="40.104147620630563"/>
    <n v="45.653829562022217"/>
    <n v="73"/>
  </r>
  <r>
    <d v="2026-04-06T06:00:00"/>
    <x v="1"/>
    <n v="6"/>
    <n v="23.237258007502781"/>
    <n v="24.394616472338889"/>
    <n v="24.851742071208331"/>
    <n v="2.6"/>
    <n v="41.755622858374998"/>
    <n v="39.291851912974998"/>
    <n v="45.503103058066671"/>
    <n v="75"/>
  </r>
  <r>
    <d v="2026-04-06T07:00:00"/>
    <x v="1"/>
    <n v="7"/>
    <n v="24.141830100949999"/>
    <n v="24.98755007010833"/>
    <n v="24.86511894732778"/>
    <n v="3"/>
    <n v="39.041709766827779"/>
    <n v="38.477295157797222"/>
    <n v="45.35575729989722"/>
    <n v="74"/>
  </r>
  <r>
    <d v="2026-04-06T08:00:00"/>
    <x v="1"/>
    <n v="8"/>
    <n v="24.814574913558332"/>
    <n v="25.750815141833328"/>
    <n v="24.873190402888891"/>
    <n v="5.2"/>
    <n v="38.486180383261122"/>
    <n v="38.046027908472219"/>
    <n v="45.252221696249997"/>
    <n v="71"/>
  </r>
  <r>
    <d v="2026-04-06T09:00:00"/>
    <x v="1"/>
    <n v="9"/>
    <n v="25.277568224063891"/>
    <n v="26.443148159347221"/>
    <n v="24.876337601330562"/>
    <n v="8.6"/>
    <n v="38.748694280205562"/>
    <n v="37.984750420508327"/>
    <n v="45.189798079713889"/>
    <n v="61"/>
  </r>
  <r>
    <d v="2026-04-06T10:00:00"/>
    <x v="1"/>
    <n v="10"/>
    <n v="25.546931550055561"/>
    <n v="26.716984220552771"/>
    <n v="24.894461057991659"/>
    <n v="11.6"/>
    <n v="39.71222033596667"/>
    <n v="39.307345924544443"/>
    <n v="45.184988678241673"/>
    <n v="52"/>
  </r>
  <r>
    <d v="2026-04-06T11:00:00"/>
    <x v="1"/>
    <n v="11"/>
    <n v="25.57400554419722"/>
    <n v="27.139799662819449"/>
    <n v="24.926670772538891"/>
    <n v="13.9"/>
    <n v="41.106936779688887"/>
    <n v="39.633733664902778"/>
    <n v="45.178199315008328"/>
    <n v="40"/>
  </r>
  <r>
    <d v="2026-04-06T12:00:00"/>
    <x v="1"/>
    <n v="12"/>
    <n v="25.080576716591661"/>
    <n v="26.759344575383331"/>
    <n v="24.958485990761108"/>
    <n v="15.5"/>
    <n v="33.243000806250002"/>
    <n v="36.808577120991657"/>
    <n v="45.280792527047232"/>
    <n v="38"/>
  </r>
  <r>
    <d v="2026-04-06T13:00:00"/>
    <x v="1"/>
    <n v="13"/>
    <n v="24.488911483750002"/>
    <n v="26.274707389591669"/>
    <n v="24.986003969322219"/>
    <n v="16.7"/>
    <n v="30.08219562251945"/>
    <n v="34.340591164724998"/>
    <n v="46.909743507280552"/>
    <n v="37"/>
  </r>
  <r>
    <d v="2026-04-06T14:00:00"/>
    <x v="1"/>
    <n v="14"/>
    <n v="24.330820560838891"/>
    <n v="26.20639798564445"/>
    <n v="24.976106774158328"/>
    <n v="17.7"/>
    <n v="30.253185798630561"/>
    <n v="32.815324011847217"/>
    <n v="46.024363288975003"/>
    <n v="38"/>
  </r>
  <r>
    <d v="2026-04-06T15:00:00"/>
    <x v="1"/>
    <n v="15"/>
    <n v="23.81868157214722"/>
    <n v="25.65337183886389"/>
    <n v="24.940728719633331"/>
    <n v="18.7"/>
    <n v="27.476364156852771"/>
    <n v="29.060329389408331"/>
    <n v="45.430644689830558"/>
    <n v="34"/>
  </r>
  <r>
    <d v="2026-04-06T16:00:00"/>
    <x v="1"/>
    <n v="16"/>
    <n v="23.50686677400833"/>
    <n v="25.339714013247221"/>
    <n v="24.904894967516661"/>
    <n v="18.3"/>
    <n v="27.11020960121111"/>
    <n v="27.65522840285556"/>
    <n v="44.938044784172227"/>
    <n v="38"/>
  </r>
  <r>
    <d v="2026-04-06T17:00:00"/>
    <x v="1"/>
    <n v="17"/>
    <n v="23.192219443277779"/>
    <n v="25.157507716030551"/>
    <n v="24.88188903298612"/>
    <n v="17.2"/>
    <n v="26.852037685816668"/>
    <n v="27.3905705795"/>
    <n v="44.692193633391668"/>
    <n v="42"/>
  </r>
  <r>
    <d v="2026-04-06T18:00:00"/>
    <x v="1"/>
    <n v="18"/>
    <n v="23.38764228851667"/>
    <n v="24.84453945683612"/>
    <n v="24.864333410947221"/>
    <n v="13.7"/>
    <n v="31.40589687286111"/>
    <n v="31.284249907572232"/>
    <n v="44.800116951080561"/>
    <n v="66"/>
  </r>
  <r>
    <d v="2026-04-06T19:00:00"/>
    <x v="1"/>
    <n v="19"/>
    <n v="23.613644746369449"/>
    <n v="25.082081662647219"/>
    <n v="24.871856650755561"/>
    <n v="12"/>
    <n v="35.967530299208327"/>
    <n v="35.353314098844443"/>
    <n v="45.383851666933332"/>
    <n v="80"/>
  </r>
  <r>
    <d v="2026-04-06T20:00:00"/>
    <x v="1"/>
    <n v="20"/>
    <n v="23.610588756875"/>
    <n v="25.11397842474722"/>
    <n v="24.88109236833056"/>
    <n v="11"/>
    <n v="37.63842846347778"/>
    <n v="38.186908549400002"/>
    <n v="45.683911090369442"/>
    <n v="85"/>
  </r>
  <r>
    <d v="2026-04-06T21:00:00"/>
    <x v="1"/>
    <n v="21"/>
    <n v="23.553737201386109"/>
    <n v="24.948549341177781"/>
    <n v="24.876301715577771"/>
    <n v="10.3"/>
    <n v="37.382165799811112"/>
    <n v="37.887555246541673"/>
    <n v="45.236905139425012"/>
    <n v="94"/>
  </r>
  <r>
    <d v="2026-04-06T22:00:00"/>
    <x v="1"/>
    <n v="22"/>
    <n v="23.467219907747221"/>
    <n v="24.71815280525"/>
    <n v="24.87135661521112"/>
    <n v="9.6999999999999993"/>
    <n v="37.612480671738894"/>
    <n v="37.868609659491668"/>
    <n v="45.465598990788891"/>
    <n v="93"/>
  </r>
  <r>
    <d v="2026-04-06T23:00:00"/>
    <x v="1"/>
    <n v="23"/>
    <n v="23.360607957944438"/>
    <n v="24.537754764991661"/>
    <n v="24.860754373441669"/>
    <n v="8.3000000000000007"/>
    <n v="37.80822117828334"/>
    <n v="37.863949309961107"/>
    <n v="45.386307224872219"/>
    <n v="93"/>
  </r>
  <r>
    <d v="2026-04-07T00:00:00"/>
    <x v="1"/>
    <n v="0"/>
    <n v="23.082399026255551"/>
    <n v="24.46667438611389"/>
    <n v="24.859282385349999"/>
    <n v="6.9"/>
    <n v="37.610172587836111"/>
    <n v="35.423999063844441"/>
    <n v="45.589438977199997"/>
    <n v="91"/>
  </r>
  <r>
    <d v="2026-04-07T01:00:00"/>
    <x v="1"/>
    <n v="1"/>
    <n v="23.103630047108339"/>
    <n v="24.517126079291671"/>
    <n v="24.86076881493333"/>
    <n v="5.5"/>
    <n v="39.714357254758333"/>
    <n v="37.061587902625"/>
    <n v="45.661038447313892"/>
    <n v="90"/>
  </r>
  <r>
    <d v="2026-04-07T02:00:00"/>
    <x v="1"/>
    <n v="2"/>
    <n v="23.089564970033329"/>
    <n v="24.505387459061112"/>
    <n v="24.846661687880559"/>
    <n v="4.2"/>
    <n v="40.620965596191667"/>
    <n v="37.731777052897222"/>
    <n v="45.524958927869442"/>
    <n v="87"/>
  </r>
  <r>
    <d v="2026-04-07T03:00:00"/>
    <x v="1"/>
    <n v="3"/>
    <n v="23.00991702606111"/>
    <n v="24.452988723783331"/>
    <n v="24.81959481251112"/>
    <n v="4"/>
    <n v="41.263031463366673"/>
    <n v="38.385367501402783"/>
    <n v="45.330775368794441"/>
    <n v="79"/>
  </r>
  <r>
    <d v="2026-04-07T04:00:00"/>
    <x v="1"/>
    <n v="4"/>
    <n v="22.890344020197219"/>
    <n v="24.47476536872778"/>
    <n v="24.796962266641671"/>
    <n v="3.5"/>
    <n v="41.649467725163888"/>
    <n v="38.485425772316667"/>
    <n v="45.115200148836117"/>
    <n v="80"/>
  </r>
  <r>
    <d v="2026-04-07T05:00:00"/>
    <x v="1"/>
    <n v="5"/>
    <n v="22.812225421697221"/>
    <n v="24.20291266495278"/>
    <n v="24.78490715025556"/>
    <n v="2.9"/>
    <n v="41.696242953938892"/>
    <n v="38.791674694755557"/>
    <n v="44.93578649331667"/>
    <n v="83"/>
  </r>
  <r>
    <d v="2026-04-07T06:00:00"/>
    <x v="1"/>
    <n v="6"/>
    <n v="23.09188463525"/>
    <n v="24.271842605774999"/>
    <n v="24.784504189"/>
    <n v="2.4"/>
    <n v="40.789369276086113"/>
    <n v="38.390784211355559"/>
    <n v="44.807898222675"/>
    <n v="85"/>
  </r>
  <r>
    <d v="2026-04-07T07:00:00"/>
    <x v="1"/>
    <n v="7"/>
    <n v="24.09061998938056"/>
    <n v="24.856742965172231"/>
    <n v="24.771256825108331"/>
    <n v="2.5"/>
    <n v="37.945651981172233"/>
    <n v="37.461570107916657"/>
    <n v="44.751276499227778"/>
    <n v="83"/>
  </r>
  <r>
    <d v="2026-04-07T08:00:00"/>
    <x v="1"/>
    <n v="8"/>
    <n v="24.674151265913888"/>
    <n v="25.40627700579445"/>
    <n v="24.788999762344449"/>
    <n v="3.6"/>
    <n v="37.529517852955557"/>
    <n v="37.241745751605563"/>
    <n v="44.622494932619453"/>
    <n v="77"/>
  </r>
  <r>
    <d v="2026-04-07T09:00:00"/>
    <x v="1"/>
    <n v="9"/>
    <n v="25.09076836180278"/>
    <n v="25.793752988308331"/>
    <n v="24.796616209730551"/>
    <n v="5.3"/>
    <n v="37.698149943258329"/>
    <n v="37.589487851458337"/>
    <n v="44.61206804305278"/>
    <n v="71"/>
  </r>
  <r>
    <d v="2026-04-07T10:00:00"/>
    <x v="1"/>
    <n v="10"/>
    <n v="25.225104979200001"/>
    <n v="26.062570313047221"/>
    <n v="24.830191128108339"/>
    <n v="6.7"/>
    <n v="38.680994145349999"/>
    <n v="39.938223943258329"/>
    <n v="44.551323711661112"/>
    <n v="62"/>
  </r>
  <r>
    <d v="2026-04-07T11:00:00"/>
    <x v="1"/>
    <n v="11"/>
    <n v="25.269444784486112"/>
    <n v="26.35810769261111"/>
    <n v="24.84028256933334"/>
    <n v="7.7"/>
    <n v="40.024132728347219"/>
    <n v="39.898847445147233"/>
    <n v="44.561696026258339"/>
    <n v="54"/>
  </r>
  <r>
    <d v="2026-04-07T12:00:00"/>
    <x v="1"/>
    <n v="12"/>
    <n v="25.008307071002779"/>
    <n v="26.043979598913889"/>
    <n v="24.84851316403611"/>
    <n v="8.5"/>
    <n v="41.277137523580564"/>
    <n v="39.772755219322221"/>
    <n v="44.676122608688878"/>
    <n v="49"/>
  </r>
  <r>
    <d v="2026-04-07T13:00:00"/>
    <x v="1"/>
    <n v="13"/>
    <n v="24.862025529816659"/>
    <n v="25.946956679591661"/>
    <n v="24.83883083781112"/>
    <n v="9.4"/>
    <n v="42.555460950972233"/>
    <n v="40.256543324933332"/>
    <n v="44.555898578613878"/>
    <n v="45"/>
  </r>
  <r>
    <d v="2026-04-07T14:00:00"/>
    <x v="1"/>
    <n v="14"/>
    <n v="24.617114197555551"/>
    <n v="25.787987495252779"/>
    <n v="24.822305449316669"/>
    <n v="10.199999999999999"/>
    <n v="44.12648205641667"/>
    <n v="42.732846862630559"/>
    <n v="44.491099112552767"/>
    <n v="45"/>
  </r>
  <r>
    <d v="2026-04-07T15:00:00"/>
    <x v="1"/>
    <n v="15"/>
    <n v="23.521542453675"/>
    <n v="25.414324218936109"/>
    <n v="24.863039971541671"/>
    <n v="10"/>
    <n v="40.381724966105558"/>
    <n v="39.826611686366668"/>
    <n v="44.45748386604722"/>
    <n v="48"/>
  </r>
  <r>
    <d v="2026-04-07T16:00:00"/>
    <x v="1"/>
    <n v="16"/>
    <n v="22.488456674011111"/>
    <n v="25.102524434566661"/>
    <n v="24.891429210575001"/>
    <n v="9.9"/>
    <n v="34.385870587358333"/>
    <n v="32.617801092033332"/>
    <n v="44.710598222627773"/>
    <n v="47"/>
  </r>
  <r>
    <d v="2026-04-07T17:00:00"/>
    <x v="1"/>
    <n v="17"/>
    <n v="23.475725102211111"/>
    <n v="25.086570653544449"/>
    <n v="24.86979049879444"/>
    <n v="7"/>
    <n v="38.96756953543612"/>
    <n v="35.407640188013893"/>
    <n v="44.596517152688882"/>
    <n v="66"/>
  </r>
  <r>
    <d v="2026-04-07T18:00:00"/>
    <x v="1"/>
    <n v="18"/>
    <n v="23.62574406135278"/>
    <n v="25.258481389388891"/>
    <n v="24.837408630897219"/>
    <n v="6.6"/>
    <n v="45.881997636472221"/>
    <n v="42.628921389522233"/>
    <n v="44.313098218152781"/>
    <n v="70"/>
  </r>
  <r>
    <d v="2026-04-07T19:00:00"/>
    <x v="1"/>
    <n v="19"/>
    <n v="23.718377779625001"/>
    <n v="25.324490266769441"/>
    <n v="24.837182069613888"/>
    <n v="5.5"/>
    <n v="46.280766568591673"/>
    <n v="43.864348138366672"/>
    <n v="44.397033978511111"/>
    <n v="78"/>
  </r>
  <r>
    <d v="2026-04-07T20:00:00"/>
    <x v="1"/>
    <n v="20"/>
    <n v="23.781114972861111"/>
    <n v="25.326914878705551"/>
    <n v="24.841378512563889"/>
    <n v="4.8"/>
    <n v="44.884695719908343"/>
    <n v="40.845353496122222"/>
    <n v="46.852064137777766"/>
    <n v="81"/>
  </r>
  <r>
    <d v="2026-04-07T21:00:00"/>
    <x v="1"/>
    <n v="21"/>
    <n v="23.669208912152779"/>
    <n v="25.201653582780551"/>
    <n v="24.854064199266659"/>
    <n v="4.4000000000000004"/>
    <n v="44.064223401038888"/>
    <n v="40.993494516574998"/>
    <n v="47.463077356044451"/>
    <n v="87"/>
  </r>
  <r>
    <d v="2026-04-07T22:00:00"/>
    <x v="1"/>
    <n v="22"/>
    <n v="23.611247847630551"/>
    <n v="25.436387184286119"/>
    <n v="24.939319397908331"/>
    <n v="3.8"/>
    <n v="44.16175899164444"/>
    <n v="41.017878758888891"/>
    <n v="46.042714102347219"/>
    <n v="89"/>
  </r>
  <r>
    <d v="2026-04-07T23:00:00"/>
    <x v="1"/>
    <n v="23"/>
    <n v="23.91305684298889"/>
    <n v="25.479347291516671"/>
    <n v="24.953159129377781"/>
    <n v="2.2999999999999998"/>
    <n v="42.121099827325011"/>
    <n v="39.977663075311114"/>
    <n v="48.69292820030833"/>
    <n v="92"/>
  </r>
  <r>
    <d v="2026-04-08T00:00:00"/>
    <x v="1"/>
    <n v="0"/>
    <n v="24.092413697333331"/>
    <n v="25.741394185583331"/>
    <n v="24.954277638730559"/>
    <n v="2.5"/>
    <n v="41.294051981658328"/>
    <n v="39.069910386852783"/>
    <n v="45.816159975213893"/>
    <n v="93"/>
  </r>
  <r>
    <d v="2026-04-08T01:00:00"/>
    <x v="1"/>
    <n v="1"/>
    <n v="23.986838080288891"/>
    <n v="25.634061888205551"/>
    <n v="24.930444475477771"/>
    <n v="2.1"/>
    <n v="41.386279456505562"/>
    <n v="38.386554300041666"/>
    <n v="45.796948970519438"/>
    <n v="94"/>
  </r>
  <r>
    <d v="2026-04-08T02:00:00"/>
    <x v="1"/>
    <n v="2"/>
    <n v="23.545639407880561"/>
    <n v="25.419386094361109"/>
    <n v="24.925601423658328"/>
    <n v="1.6"/>
    <n v="42.093721416102781"/>
    <n v="38.392054243366672"/>
    <n v="46.071616135755562"/>
    <n v="94"/>
  </r>
  <r>
    <d v="2026-04-08T03:00:00"/>
    <x v="1"/>
    <n v="3"/>
    <n v="23.06051283050833"/>
    <n v="24.92251337555556"/>
    <n v="24.845156916511112"/>
    <n v="2.2000000000000002"/>
    <n v="42.580991154280561"/>
    <n v="38.205653299661108"/>
    <n v="45.055519415691663"/>
    <n v="92"/>
  </r>
  <r>
    <d v="2026-04-08T04:00:00"/>
    <x v="1"/>
    <n v="4"/>
    <n v="22.811457108519441"/>
    <n v="24.603234830541659"/>
    <n v="24.797084152552781"/>
    <n v="2.5"/>
    <n v="42.659644367105557"/>
    <n v="37.982675840394442"/>
    <n v="44.706742697494441"/>
    <n v="93"/>
  </r>
  <r>
    <d v="2026-04-08T05:00:00"/>
    <x v="1"/>
    <n v="5"/>
    <n v="22.64429426652222"/>
    <n v="24.45992506034445"/>
    <n v="24.756844623425"/>
    <n v="2"/>
    <n v="42.657376821930562"/>
    <n v="37.804666133669443"/>
    <n v="44.513001795027783"/>
    <n v="95"/>
  </r>
  <r>
    <d v="2026-04-08T06:00:00"/>
    <x v="1"/>
    <n v="6"/>
    <n v="22.56288921197778"/>
    <n v="24.41529973662222"/>
    <n v="24.73652250574445"/>
    <n v="1.7"/>
    <n v="42.389951395563891"/>
    <n v="37.588739990305562"/>
    <n v="44.384295697877768"/>
    <n v="96"/>
  </r>
  <r>
    <d v="2026-04-08T07:00:00"/>
    <x v="1"/>
    <n v="7"/>
    <n v="22.704277216133331"/>
    <n v="24.264253634736111"/>
    <n v="24.698939141183331"/>
    <n v="2"/>
    <n v="41.820005607555551"/>
    <n v="37.783485246119447"/>
    <n v="44.307139214272219"/>
    <n v="96"/>
  </r>
  <r>
    <d v="2026-04-08T08:00:00"/>
    <x v="1"/>
    <n v="8"/>
    <n v="23.158554293327779"/>
    <n v="24.393139093766671"/>
    <n v="24.677755438583329"/>
    <n v="3.1"/>
    <n v="40.608960344591672"/>
    <n v="37.914361778658332"/>
    <n v="44.226506068763889"/>
    <n v="91"/>
  </r>
  <r>
    <d v="2026-04-08T09:00:00"/>
    <x v="1"/>
    <n v="9"/>
    <n v="23.30999026429167"/>
    <n v="24.736310450844439"/>
    <n v="24.685844723513888"/>
    <n v="4.4000000000000004"/>
    <n v="40.359594931197229"/>
    <n v="37.657370005505562"/>
    <n v="44.158100038377768"/>
    <n v="89"/>
  </r>
  <r>
    <d v="2026-04-08T10:00:00"/>
    <x v="1"/>
    <n v="10"/>
    <n v="23.595666632875002"/>
    <n v="24.74887991806667"/>
    <n v="24.67234388967222"/>
    <n v="6"/>
    <n v="39.743858942700001"/>
    <n v="37.895628899608333"/>
    <n v="44.126672122188893"/>
    <n v="83"/>
  </r>
  <r>
    <d v="2026-04-08T11:00:00"/>
    <x v="1"/>
    <n v="11"/>
    <n v="23.862220249352781"/>
    <n v="24.984019457374998"/>
    <n v="24.658705443705561"/>
    <n v="7.2"/>
    <n v="40.697520379358338"/>
    <n v="40.593233825602773"/>
    <n v="44.094694380652783"/>
    <n v="73"/>
  </r>
  <r>
    <d v="2026-04-08T12:00:00"/>
    <x v="1"/>
    <n v="12"/>
    <n v="23.63695091014722"/>
    <n v="24.988620719219441"/>
    <n v="24.651728034366659"/>
    <n v="8.1"/>
    <n v="41.941913917247227"/>
    <n v="40.300962173580558"/>
    <n v="44.002620881497222"/>
    <n v="64"/>
  </r>
  <r>
    <d v="2026-04-08T13:00:00"/>
    <x v="1"/>
    <n v="13"/>
    <n v="22.090600154630561"/>
    <n v="24.698559131225"/>
    <n v="24.64187753079166"/>
    <n v="7.9"/>
    <n v="40.592110316011109"/>
    <n v="38.328550030630559"/>
    <n v="44.356106882052778"/>
    <n v="59"/>
  </r>
  <r>
    <d v="2026-04-08T14:00:00"/>
    <x v="1"/>
    <n v="14"/>
    <n v="22.946213838677771"/>
    <n v="24.754346916683328"/>
    <n v="24.612778747977771"/>
    <n v="7.8"/>
    <n v="40.593904574555559"/>
    <n v="38.773504352986123"/>
    <n v="44.093987301952779"/>
    <n v="58"/>
  </r>
  <r>
    <d v="2026-04-08T15:00:00"/>
    <x v="1"/>
    <n v="15"/>
    <n v="23.219059506183331"/>
    <n v="24.943851135538889"/>
    <n v="24.571677631883329"/>
    <n v="7.6"/>
    <n v="41.01379532010278"/>
    <n v="38.511030157930563"/>
    <n v="46.892974350247222"/>
    <n v="61"/>
  </r>
  <r>
    <d v="2026-04-08T16:00:00"/>
    <x v="1"/>
    <n v="16"/>
    <n v="23.336709061558331"/>
    <n v="25.23374832896112"/>
    <n v="24.491080140638889"/>
    <n v="7.3"/>
    <n v="42.329196586488891"/>
    <n v="39.742939903358327"/>
    <n v="50.90556482371111"/>
    <n v="66"/>
  </r>
  <r>
    <d v="2026-04-08T17:00:00"/>
    <x v="1"/>
    <n v="17"/>
    <n v="23.371112544691659"/>
    <n v="25.287750186250001"/>
    <n v="24.376645840363889"/>
    <n v="6.7"/>
    <n v="42.892958937419444"/>
    <n v="40.502058375658329"/>
    <n v="54.072168363358337"/>
    <n v="72"/>
  </r>
  <r>
    <d v="2026-04-08T18:00:00"/>
    <x v="1"/>
    <n v="18"/>
    <n v="23.379614686305558"/>
    <n v="25.106112392308329"/>
    <n v="24.539732344372229"/>
    <n v="6.7"/>
    <n v="42.381119533997222"/>
    <n v="39.646047827761123"/>
    <n v="49.790724250855547"/>
    <n v="70"/>
  </r>
  <r>
    <d v="2026-04-08T19:00:00"/>
    <x v="1"/>
    <n v="19"/>
    <n v="23.757668773113888"/>
    <n v="25.35815684413333"/>
    <n v="24.596935943097229"/>
    <n v="5.6"/>
    <n v="41.274284733774998"/>
    <n v="38.363622091733333"/>
    <n v="47.015657073983327"/>
    <n v="78"/>
  </r>
  <r>
    <d v="2026-04-08T20:00:00"/>
    <x v="1"/>
    <n v="20"/>
    <n v="23.43426728853056"/>
    <n v="25.118979118683331"/>
    <n v="24.619210481741661"/>
    <n v="4.5999999999999996"/>
    <n v="42.498416939413893"/>
    <n v="39.4931886404"/>
    <n v="45.864356351241668"/>
    <n v="83"/>
  </r>
  <r>
    <d v="2026-04-08T21:00:00"/>
    <x v="1"/>
    <n v="21"/>
    <n v="23.316157754919441"/>
    <n v="24.96581386919167"/>
    <n v="24.62385499900833"/>
    <n v="3.5"/>
    <n v="42.973685022538888"/>
    <n v="39.96394035182778"/>
    <n v="46.720494975725003"/>
    <n v="93"/>
  </r>
  <r>
    <d v="2026-04-08T22:00:00"/>
    <x v="1"/>
    <n v="22"/>
    <n v="23.374443264152781"/>
    <n v="24.893201892127781"/>
    <n v="24.617860984161108"/>
    <n v="3.1"/>
    <n v="42.051123975913889"/>
    <n v="42.428032635402779"/>
    <n v="45.605216542627772"/>
    <n v="94"/>
  </r>
  <r>
    <d v="2026-04-08T23:00:00"/>
    <x v="1"/>
    <n v="23"/>
    <n v="23.720139468555551"/>
    <n v="25.155299081016661"/>
    <n v="24.630578297749999"/>
    <n v="2.4"/>
    <n v="39.526493402772218"/>
    <n v="38.087288748713888"/>
    <n v="44.848042038319448"/>
    <n v="96"/>
  </r>
  <r>
    <d v="2026-04-09T00:00:00"/>
    <x v="1"/>
    <n v="0"/>
    <n v="23.595338390858331"/>
    <n v="25.23156960654444"/>
    <n v="24.626909442233341"/>
    <n v="2"/>
    <n v="39.496687315400003"/>
    <n v="37.467083214491673"/>
    <n v="44.510937784544439"/>
    <n v="97"/>
  </r>
  <r>
    <d v="2026-04-09T01:00:00"/>
    <x v="1"/>
    <n v="1"/>
    <n v="23.199516905816669"/>
    <n v="24.707711094683329"/>
    <n v="24.619488023911121"/>
    <n v="1.5"/>
    <n v="41.723036235561104"/>
    <n v="39.728072910297222"/>
    <n v="44.335825999447223"/>
    <n v="97"/>
  </r>
  <r>
    <d v="2026-04-09T02:00:00"/>
    <x v="1"/>
    <n v="2"/>
    <n v="22.70988535745278"/>
    <n v="24.349289005561111"/>
    <n v="24.61024404283333"/>
    <n v="1.1000000000000001"/>
    <n v="43.013162932766669"/>
    <n v="39.61400505238889"/>
    <n v="44.175003304161123"/>
    <n v="98"/>
  </r>
  <r>
    <d v="2026-04-09T03:00:00"/>
    <x v="1"/>
    <n v="3"/>
    <n v="22.46300548250278"/>
    <n v="24.15811225083889"/>
    <n v="24.59564639821944"/>
    <n v="1.3"/>
    <n v="43.223431376047223"/>
    <n v="39.192862578586109"/>
    <n v="44.042386251816673"/>
    <n v="95"/>
  </r>
  <r>
    <d v="2026-04-09T04:00:00"/>
    <x v="1"/>
    <n v="4"/>
    <n v="22.29336380853611"/>
    <n v="24.011704198716671"/>
    <n v="24.549780721727771"/>
    <n v="1.5"/>
    <n v="43.366606844016673"/>
    <n v="38.908625647538891"/>
    <n v="43.930765736052777"/>
    <n v="93"/>
  </r>
  <r>
    <d v="2026-04-09T05:00:00"/>
    <x v="1"/>
    <n v="5"/>
    <n v="22.14769000924445"/>
    <n v="23.835983120938891"/>
    <n v="24.514613936888889"/>
    <n v="1.5"/>
    <n v="43.473896010258329"/>
    <n v="38.745203910127778"/>
    <n v="43.816722153299999"/>
    <n v="93"/>
  </r>
  <r>
    <d v="2026-04-09T06:00:00"/>
    <x v="1"/>
    <n v="6"/>
    <n v="22.078611131897219"/>
    <n v="23.789555541269451"/>
    <n v="24.47144744626944"/>
    <n v="1.1000000000000001"/>
    <n v="43.245344464375002"/>
    <n v="38.682091126499998"/>
    <n v="43.729172377647217"/>
    <n v="94"/>
  </r>
  <r>
    <d v="2026-04-09T07:00:00"/>
    <x v="1"/>
    <n v="7"/>
    <n v="22.080065523261108"/>
    <n v="23.788529734436111"/>
    <n v="24.448382649733329"/>
    <n v="1.5"/>
    <n v="43.097577999769442"/>
    <n v="38.470745846494452"/>
    <n v="43.644576505916667"/>
    <n v="95"/>
  </r>
  <r>
    <d v="2026-04-09T08:00:00"/>
    <x v="1"/>
    <n v="8"/>
    <n v="22.166445007036121"/>
    <n v="23.688056250438891"/>
    <n v="24.420252570908328"/>
    <n v="3.2"/>
    <n v="42.849535335500001"/>
    <n v="38.928274536377778"/>
    <n v="43.5780739287"/>
    <n v="90"/>
  </r>
  <r>
    <d v="2026-04-09T09:00:00"/>
    <x v="1"/>
    <n v="9"/>
    <n v="22.050634052769439"/>
    <n v="23.680189659816669"/>
    <n v="24.384508669916659"/>
    <n v="5.4"/>
    <n v="43.130052344322223"/>
    <n v="38.656817664211111"/>
    <n v="43.502517526425002"/>
    <n v="85"/>
  </r>
  <r>
    <d v="2026-04-09T10:00:00"/>
    <x v="1"/>
    <n v="10"/>
    <n v="22.040631762450001"/>
    <n v="23.790861641972221"/>
    <n v="24.371617402727779"/>
    <n v="7.6"/>
    <n v="43.064324900255549"/>
    <n v="38.726062604205559"/>
    <n v="43.478382171666659"/>
    <n v="74"/>
  </r>
  <r>
    <d v="2026-04-09T11:00:00"/>
    <x v="1"/>
    <n v="11"/>
    <n v="22.787287896361111"/>
    <n v="24.528107397047229"/>
    <n v="24.388512784866659"/>
    <n v="9"/>
    <n v="44.39142840975277"/>
    <n v="42.956496036724992"/>
    <n v="43.380553772724987"/>
    <n v="64"/>
  </r>
  <r>
    <d v="2026-04-09T12:00:00"/>
    <x v="1"/>
    <n v="12"/>
    <n v="22.962554830119441"/>
    <n v="24.61886255626111"/>
    <n v="24.407623851075002"/>
    <n v="9.6"/>
    <n v="44.975540428375012"/>
    <n v="42.736073129363888"/>
    <n v="43.347878113155559"/>
    <n v="58"/>
  </r>
  <r>
    <d v="2026-04-09T13:00:00"/>
    <x v="1"/>
    <n v="13"/>
    <n v="23.17722845136112"/>
    <n v="24.73969623521111"/>
    <n v="24.416055660030551"/>
    <n v="9.4"/>
    <n v="46.374348345166673"/>
    <n v="43.662742075983338"/>
    <n v="43.384743977836109"/>
    <n v="53"/>
  </r>
  <r>
    <d v="2026-04-09T14:00:00"/>
    <x v="1"/>
    <n v="14"/>
    <n v="23.236551486475001"/>
    <n v="24.714170583611111"/>
    <n v="24.399403832105559"/>
    <n v="7.8"/>
    <n v="45.583016565305549"/>
    <n v="43.831565380850002"/>
    <n v="43.31424599521111"/>
    <n v="64"/>
  </r>
  <r>
    <d v="2026-04-09T15:00:00"/>
    <x v="1"/>
    <n v="15"/>
    <n v="23.036780501066669"/>
    <n v="24.631091128891669"/>
    <n v="24.372356299227771"/>
    <n v="7.1"/>
    <n v="45.033762972338877"/>
    <n v="42.603530172388894"/>
    <n v="43.209423682438889"/>
    <n v="70"/>
  </r>
  <r>
    <d v="2026-04-09T16:00:00"/>
    <x v="1"/>
    <n v="16"/>
    <n v="22.706914004261112"/>
    <n v="24.375869364602771"/>
    <n v="24.361374210419449"/>
    <n v="7.4"/>
    <n v="44.369706872605562"/>
    <n v="41.324154494375001"/>
    <n v="43.215736915461122"/>
    <n v="69"/>
  </r>
  <r>
    <d v="2026-04-09T17:00:00"/>
    <x v="1"/>
    <n v="17"/>
    <n v="22.75524235018333"/>
    <n v="24.675563896608331"/>
    <n v="24.37397868781666"/>
    <n v="6.8"/>
    <n v="49.058762137630559"/>
    <n v="46.356555471172221"/>
    <n v="43.102391889625011"/>
    <n v="75"/>
  </r>
  <r>
    <d v="2026-04-09T18:00:00"/>
    <x v="1"/>
    <n v="18"/>
    <n v="22.536401749577781"/>
    <n v="24.613951336688888"/>
    <n v="24.377923385477771"/>
    <n v="7.3"/>
    <n v="49.757585224650001"/>
    <n v="45.28422863266389"/>
    <n v="42.991546514705547"/>
    <n v="73"/>
  </r>
  <r>
    <d v="2026-04-09T19:00:00"/>
    <x v="1"/>
    <n v="19"/>
    <n v="22.310257835866661"/>
    <n v="24.369989302147221"/>
    <n v="24.37510344189722"/>
    <n v="7"/>
    <n v="49.009027244327783"/>
    <n v="42.265097663641669"/>
    <n v="43.015186670416661"/>
    <n v="67"/>
  </r>
  <r>
    <d v="2026-04-09T20:00:00"/>
    <x v="1"/>
    <n v="20"/>
    <n v="22.219444674733332"/>
    <n v="24.21554573950278"/>
    <n v="24.358986631097221"/>
    <n v="6.2"/>
    <n v="48.460635309363887"/>
    <n v="41.967267842719437"/>
    <n v="43.036068961308331"/>
    <n v="67"/>
  </r>
  <r>
    <d v="2026-04-09T21:00:00"/>
    <x v="1"/>
    <n v="21"/>
    <n v="22.271732486377768"/>
    <n v="24.238082770913891"/>
    <n v="24.354125427780559"/>
    <n v="4.8"/>
    <n v="49.361786940149997"/>
    <n v="43.232606250638888"/>
    <n v="43.026777830194447"/>
    <n v="79"/>
  </r>
  <r>
    <d v="2026-04-09T22:00:00"/>
    <x v="1"/>
    <n v="22"/>
    <n v="22.695308034772221"/>
    <n v="24.53521476245556"/>
    <n v="24.344499869930559"/>
    <n v="4.4000000000000004"/>
    <n v="46.256105539266663"/>
    <n v="42.405699113891657"/>
    <n v="43.063311366208332"/>
    <n v="84"/>
  </r>
  <r>
    <d v="2026-04-09T23:00:00"/>
    <x v="1"/>
    <n v="23"/>
    <n v="22.519420939877779"/>
    <n v="24.435920886841672"/>
    <n v="24.335298826833331"/>
    <n v="3.8"/>
    <n v="45.002690564969441"/>
    <n v="41.493174400097217"/>
    <n v="42.976022490194453"/>
    <n v="89"/>
  </r>
  <r>
    <d v="2026-04-10T00:00:00"/>
    <x v="1"/>
    <n v="0"/>
    <n v="22.477527071952771"/>
    <n v="24.418687643019439"/>
    <n v="24.314778323333329"/>
    <n v="3.5"/>
    <n v="44.724126827172221"/>
    <n v="41.38681097629167"/>
    <n v="43.030117378097223"/>
    <n v="92"/>
  </r>
  <r>
    <d v="2026-04-10T01:00:00"/>
    <x v="1"/>
    <n v="1"/>
    <n v="22.487916901472211"/>
    <n v="24.410709323397221"/>
    <n v="24.29647834383611"/>
    <n v="3.2"/>
    <n v="44.36961141746945"/>
    <n v="40.839377318938887"/>
    <n v="43.550481513333331"/>
    <n v="92"/>
  </r>
  <r>
    <d v="2026-04-10T02:00:00"/>
    <x v="1"/>
    <n v="2"/>
    <n v="22.240904897263889"/>
    <n v="24.322432919419441"/>
    <n v="24.332271072947229"/>
    <n v="2.8"/>
    <n v="43.49701948766667"/>
    <n v="38.831149243483338"/>
    <n v="45.431585612638891"/>
    <n v="93"/>
  </r>
  <r>
    <d v="2026-04-10T03:00:00"/>
    <x v="1"/>
    <n v="3"/>
    <n v="21.832852499911109"/>
    <n v="23.8336131529"/>
    <n v="24.380951253463891"/>
    <n v="2.2999999999999998"/>
    <n v="44.44273231895"/>
    <n v="39.283119305097223"/>
    <n v="44.238272097602781"/>
    <n v="93"/>
  </r>
  <r>
    <d v="2026-04-10T04:00:00"/>
    <x v="1"/>
    <n v="4"/>
    <n v="21.619593788719449"/>
    <n v="23.53229798212778"/>
    <n v="24.37170987821667"/>
    <n v="1.9"/>
    <n v="44.690893251475003"/>
    <n v="39.417032866799993"/>
    <n v="43.813781932605558"/>
    <n v="93"/>
  </r>
  <r>
    <d v="2026-04-10T05:00:00"/>
    <x v="1"/>
    <n v="5"/>
    <n v="21.464006520338891"/>
    <n v="23.34807042726111"/>
    <n v="24.326284459922221"/>
    <n v="1.4"/>
    <n v="44.758245074419449"/>
    <n v="39.374755011755553"/>
    <n v="43.616922392847222"/>
    <n v="96"/>
  </r>
  <r>
    <d v="2026-04-10T06:00:00"/>
    <x v="1"/>
    <n v="6"/>
    <n v="21.34596156870278"/>
    <n v="23.219720925425001"/>
    <n v="24.25320098980556"/>
    <n v="1.2"/>
    <n v="44.717977059950002"/>
    <n v="39.161961276227778"/>
    <n v="43.417165633241673"/>
    <n v="95"/>
  </r>
  <r>
    <d v="2026-04-10T07:00:00"/>
    <x v="1"/>
    <n v="7"/>
    <n v="21.27877899780556"/>
    <n v="23.05700062295"/>
    <n v="24.20395113578056"/>
    <n v="1.1000000000000001"/>
    <n v="44.488722194899999"/>
    <n v="38.976275918699997"/>
    <n v="43.274783553538889"/>
    <n v="94"/>
  </r>
  <r>
    <d v="2026-04-10T08:00:00"/>
    <x v="1"/>
    <n v="8"/>
    <n v="21.230445406736109"/>
    <n v="23.101468825444449"/>
    <n v="24.170096995955561"/>
    <n v="1.2"/>
    <n v="44.21453451020556"/>
    <n v="38.525211111125003"/>
    <n v="43.186090850597218"/>
    <n v="92"/>
  </r>
  <r>
    <d v="2026-04-10T09:00:00"/>
    <x v="1"/>
    <n v="9"/>
    <n v="21.228138059586112"/>
    <n v="22.982666907475"/>
    <n v="24.13885350761112"/>
    <n v="1.5"/>
    <n v="43.851826093799993"/>
    <n v="38.582424007663889"/>
    <n v="43.510609510027777"/>
    <n v="94"/>
  </r>
  <r>
    <d v="2026-04-10T10:00:00"/>
    <x v="1"/>
    <n v="10"/>
    <n v="21.39814000382778"/>
    <n v="23.52275250003056"/>
    <n v="24.125333210261111"/>
    <n v="1.8"/>
    <n v="43.831610703569453"/>
    <n v="40.418598305641673"/>
    <n v="44.119971624830562"/>
    <n v="93"/>
  </r>
  <r>
    <d v="2026-04-10T11:00:00"/>
    <x v="1"/>
    <n v="11"/>
    <n v="21.811451094405559"/>
    <n v="23.65801956567778"/>
    <n v="24.10329835863056"/>
    <n v="2"/>
    <n v="45.075248397713892"/>
    <n v="40.197413610586118"/>
    <n v="43.369542939819453"/>
    <n v="90"/>
  </r>
  <r>
    <d v="2026-04-10T12:00:00"/>
    <x v="1"/>
    <n v="12"/>
    <n v="22.118777512102781"/>
    <n v="23.640858038025002"/>
    <n v="24.08514981245278"/>
    <n v="2"/>
    <n v="43.750484964266668"/>
    <n v="39.14952694125278"/>
    <n v="43.265132302491658"/>
    <n v="91"/>
  </r>
  <r>
    <d v="2026-04-10T13:00:00"/>
    <x v="1"/>
    <n v="13"/>
    <n v="22.206756726194449"/>
    <n v="23.751030108684201"/>
    <n v="24.046362772902778"/>
    <n v="1.7"/>
    <n v="41.347252158619447"/>
    <n v="38.803900188596288"/>
    <n v="47.015084482911107"/>
    <n v="96"/>
  </r>
  <r>
    <d v="2026-04-10T14:00:00"/>
    <x v="1"/>
    <n v="14"/>
    <n v="22.48878861511389"/>
    <n v="24.18397941967222"/>
    <n v="23.95744009865556"/>
    <n v="2"/>
    <n v="40.996010640155554"/>
    <n v="37.985458495366657"/>
    <n v="49.386089639527768"/>
    <n v="94"/>
  </r>
  <r>
    <d v="2026-04-10T15:00:00"/>
    <x v="1"/>
    <n v="15"/>
    <n v="22.62427852488889"/>
    <n v="24.106582705436111"/>
    <n v="23.772821575694451"/>
    <n v="2.4"/>
    <n v="39.641485994552767"/>
    <n v="37.132141072827778"/>
    <n v="49.685803806227767"/>
    <n v="99"/>
  </r>
  <r>
    <d v="2026-04-10T16:00:00"/>
    <x v="1"/>
    <n v="16"/>
    <n v="22.48724728731111"/>
    <n v="23.858152876350001"/>
    <n v="23.682775252763889"/>
    <n v="2.5"/>
    <n v="39.567160001488887"/>
    <n v="37.172428741208343"/>
    <n v="49.138920566647222"/>
    <n v="95"/>
  </r>
  <r>
    <d v="2026-04-10T17:00:00"/>
    <x v="1"/>
    <n v="17"/>
    <n v="22.159851110922219"/>
    <n v="23.518090496825"/>
    <n v="23.874203131000002"/>
    <n v="2.6"/>
    <n v="39.621448789475011"/>
    <n v="37.506573419472218"/>
    <n v="46.253290299372232"/>
    <n v="93"/>
  </r>
  <r>
    <d v="2026-04-10T18:00:00"/>
    <x v="1"/>
    <n v="18"/>
    <n v="21.95303416253056"/>
    <n v="23.608791570494439"/>
    <n v="23.93478816064167"/>
    <n v="2.2999999999999998"/>
    <n v="40.538755810833337"/>
    <n v="39.094317917475003"/>
    <n v="44.999850157063889"/>
    <n v="93"/>
  </r>
  <r>
    <d v="2026-04-10T19:00:00"/>
    <x v="1"/>
    <n v="19"/>
    <n v="22.073353252775"/>
    <n v="23.999441225991671"/>
    <n v="23.963493660927771"/>
    <n v="1.8"/>
    <n v="41.651639719986107"/>
    <n v="39.183254449783327"/>
    <n v="44.432810536113891"/>
    <n v="97"/>
  </r>
  <r>
    <d v="2026-04-10T20:00:00"/>
    <x v="1"/>
    <n v="20"/>
    <n v="22.461806388469441"/>
    <n v="24.735842562730561"/>
    <n v="23.835755986700001"/>
    <n v="1.6"/>
    <n v="40.860936986808333"/>
    <n v="37.531472788041661"/>
    <n v="50.403627864880562"/>
    <n v="99"/>
  </r>
  <r>
    <d v="2026-04-10T21:00:00"/>
    <x v="1"/>
    <n v="21"/>
    <n v="22.60967832846945"/>
    <n v="24.937746390972219"/>
    <n v="23.769100965277779"/>
    <n v="1.8"/>
    <n v="40.589664197761103"/>
    <n v="37.252704493872223"/>
    <n v="50.907080913975001"/>
    <n v="98"/>
  </r>
  <r>
    <d v="2026-04-10T22:00:00"/>
    <x v="1"/>
    <n v="22"/>
    <n v="22.704792402288891"/>
    <n v="24.787250170997229"/>
    <n v="23.756504206963889"/>
    <n v="1"/>
    <n v="41.623422963486107"/>
    <n v="38.195749946711111"/>
    <n v="51.192779114647223"/>
    <n v="99"/>
  </r>
  <r>
    <d v="2026-04-10T23:00:00"/>
    <x v="1"/>
    <n v="23"/>
    <n v="22.60985066603611"/>
    <n v="24.339233767813891"/>
    <n v="23.63960362588611"/>
    <n v="1.2"/>
    <n v="43.637796905944448"/>
    <n v="41.428331014519443"/>
    <n v="53.791673651569447"/>
    <n v="99"/>
  </r>
  <r>
    <d v="2026-04-11T00:00:00"/>
    <x v="1"/>
    <n v="0"/>
    <n v="22.286954518980551"/>
    <n v="24.204048873847221"/>
    <n v="23.45923459242222"/>
    <n v="1.3"/>
    <n v="47.000563717613893"/>
    <n v="45.593512121647223"/>
    <n v="58.906399824041657"/>
    <n v="99"/>
  </r>
  <r>
    <d v="2026-04-11T01:00:00"/>
    <x v="1"/>
    <n v="1"/>
    <n v="22.023770202552779"/>
    <n v="24.109604571788889"/>
    <n v="23.29903545837222"/>
    <n v="1.5"/>
    <n v="51.343530811966673"/>
    <n v="46.987886181325003"/>
    <n v="60.892705008894453"/>
    <n v="99"/>
  </r>
  <r>
    <d v="2026-04-11T02:00:00"/>
    <x v="1"/>
    <n v="2"/>
    <n v="21.685243901969439"/>
    <n v="23.734948753169441"/>
    <n v="23.567784721333329"/>
    <n v="1.6"/>
    <n v="54.260736722252773"/>
    <n v="49.629182058147222"/>
    <n v="52.267591697391673"/>
    <n v="99"/>
  </r>
  <r>
    <d v="2026-04-11T03:00:00"/>
    <x v="1"/>
    <n v="3"/>
    <n v="21.282893493402771"/>
    <n v="23.21119777196667"/>
    <n v="23.631850412733328"/>
    <n v="1.4"/>
    <n v="54.381143831311121"/>
    <n v="49.512480663166663"/>
    <n v="48.78123374656667"/>
    <n v="99"/>
  </r>
  <r>
    <d v="2026-04-11T04:00:00"/>
    <x v="1"/>
    <n v="4"/>
    <n v="21.057405849544441"/>
    <n v="22.845174555691671"/>
    <n v="23.642644636899998"/>
    <n v="1"/>
    <n v="54.671601944811108"/>
    <n v="49.406227960236123"/>
    <n v="47.381307770105558"/>
    <n v="100"/>
  </r>
  <r>
    <d v="2026-04-11T05:00:00"/>
    <x v="1"/>
    <n v="5"/>
    <n v="20.883627975997221"/>
    <n v="22.588614314141669"/>
    <n v="23.638565694572229"/>
    <n v="0.8"/>
    <n v="54.736672244977782"/>
    <n v="49.265465843999998"/>
    <n v="46.552175693047218"/>
    <n v="100"/>
  </r>
  <r>
    <d v="2026-04-11T06:00:00"/>
    <x v="1"/>
    <n v="6"/>
    <n v="20.75903573384722"/>
    <n v="22.50765392940556"/>
    <n v="23.609076133913891"/>
    <n v="0.8"/>
    <n v="54.467885970897221"/>
    <n v="48.761180426638887"/>
    <n v="46.020470819397232"/>
    <n v="100"/>
  </r>
  <r>
    <d v="2026-04-11T07:00:00"/>
    <x v="1"/>
    <n v="7"/>
    <n v="20.72230555488056"/>
    <n v="22.379508455263888"/>
    <n v="23.568032619655561"/>
    <n v="1.1000000000000001"/>
    <n v="54.003039718261107"/>
    <n v="48.287807481286109"/>
    <n v="45.592885719383332"/>
    <n v="99"/>
  </r>
  <r>
    <d v="2026-04-11T08:00:00"/>
    <x v="1"/>
    <n v="8"/>
    <n v="20.751538573911109"/>
    <n v="22.302042720166671"/>
    <n v="23.57386091945278"/>
    <n v="1.9"/>
    <n v="53.393975047174997"/>
    <n v="47.798010194355562"/>
    <n v="45.235617403055556"/>
    <n v="95"/>
  </r>
  <r>
    <d v="2026-04-11T09:00:00"/>
    <x v="1"/>
    <n v="9"/>
    <n v="20.824988998224999"/>
    <n v="22.338596845516669"/>
    <n v="23.574049916341671"/>
    <n v="2.7"/>
    <n v="52.776378289122221"/>
    <n v="47.248818209302783"/>
    <n v="44.993124708591672"/>
    <n v="91"/>
  </r>
  <r>
    <d v="2026-04-11T10:00:00"/>
    <x v="1"/>
    <n v="10"/>
    <n v="20.885323403486112"/>
    <n v="22.59668417001112"/>
    <n v="23.56753906840278"/>
    <n v="3.3"/>
    <n v="52.25356718382222"/>
    <n v="48.134966394647222"/>
    <n v="44.745283957694447"/>
    <n v="87"/>
  </r>
  <r>
    <d v="2026-04-11T11:00:00"/>
    <x v="1"/>
    <n v="11"/>
    <n v="20.984217190075"/>
    <n v="22.838767960627781"/>
    <n v="23.551282902727781"/>
    <n v="4"/>
    <n v="52.950639623002779"/>
    <n v="48.020561019727779"/>
    <n v="47.48411744093611"/>
    <n v="87"/>
  </r>
  <r>
    <d v="2026-04-11T12:00:00"/>
    <x v="1"/>
    <n v="12"/>
    <n v="21.01245835893333"/>
    <n v="22.990678989897219"/>
    <n v="23.561596831683332"/>
    <n v="5.0999999999999996"/>
    <n v="55.772557895680563"/>
    <n v="49.519719992258331"/>
    <n v="45.389471427391669"/>
    <n v="76"/>
  </r>
  <r>
    <d v="2026-04-11T13:00:00"/>
    <x v="1"/>
    <n v="13"/>
    <n v="21.27372725033333"/>
    <n v="23.44850043950278"/>
    <n v="23.56202498915"/>
    <n v="5.9"/>
    <n v="54.335997556586108"/>
    <n v="48.419478620638891"/>
    <n v="48.781617556813892"/>
    <n v="69"/>
  </r>
  <r>
    <d v="2026-04-11T14:00:00"/>
    <x v="1"/>
    <n v="14"/>
    <n v="21.120737104055561"/>
    <n v="23.112945542133328"/>
    <n v="23.63995193084445"/>
    <n v="6.6"/>
    <n v="51.211854315533337"/>
    <n v="46.65305127694166"/>
    <n v="49.106432521819443"/>
    <n v="64"/>
  </r>
  <r>
    <d v="2026-04-11T15:00:00"/>
    <x v="1"/>
    <n v="15"/>
    <n v="21.044278994163889"/>
    <n v="23.211828181455559"/>
    <n v="23.734510682136111"/>
    <n v="6.3"/>
    <n v="50.511416413855557"/>
    <n v="46.786255789633337"/>
    <n v="46.670011137911111"/>
    <n v="65"/>
  </r>
  <r>
    <d v="2026-04-11T16:00:00"/>
    <x v="1"/>
    <n v="16"/>
    <n v="21.21391962225"/>
    <n v="23.599232306394441"/>
    <n v="23.77030908461667"/>
    <n v="6.1"/>
    <n v="52.311962444319448"/>
    <n v="46.959919675172223"/>
    <n v="45.875074292699999"/>
    <n v="67"/>
  </r>
  <r>
    <d v="2026-04-11T17:00:00"/>
    <x v="1"/>
    <n v="17"/>
    <n v="21.685948913588891"/>
    <n v="23.88485952163056"/>
    <n v="23.74012596436112"/>
    <n v="5.8"/>
    <n v="51.827291936480563"/>
    <n v="46.243694008969442"/>
    <n v="50.664485168130547"/>
    <n v="71"/>
  </r>
  <r>
    <d v="2026-04-11T18:00:00"/>
    <x v="1"/>
    <n v="18"/>
    <n v="21.537717557772229"/>
    <n v="23.977553181030551"/>
    <n v="23.554730025852781"/>
    <n v="5.5"/>
    <n v="50.735204971908331"/>
    <n v="46.123020196250003"/>
    <n v="55.026535060072213"/>
    <n v="74"/>
  </r>
  <r>
    <d v="2026-04-11T19:00:00"/>
    <x v="1"/>
    <n v="19"/>
    <n v="21.406727424977781"/>
    <n v="23.907348052627778"/>
    <n v="23.70576285145556"/>
    <n v="4.7"/>
    <n v="52.123156752100009"/>
    <n v="47.036233335830559"/>
    <n v="48.953207656658329"/>
    <n v="82"/>
  </r>
  <r>
    <d v="2026-04-11T20:00:00"/>
    <x v="1"/>
    <n v="20"/>
    <n v="21.370258281230551"/>
    <n v="23.903739026341668"/>
    <n v="23.29156793844167"/>
    <n v="4"/>
    <n v="50.58411753390277"/>
    <n v="45.321112996794447"/>
    <n v="56.866637171022226"/>
    <n v="84"/>
  </r>
  <r>
    <d v="2026-04-11T21:00:00"/>
    <x v="1"/>
    <n v="21"/>
    <n v="21.651129360627781"/>
    <n v="23.99924582121389"/>
    <n v="23.13400461620833"/>
    <n v="3.7"/>
    <n v="50.833624224602772"/>
    <n v="44.420044850325013"/>
    <n v="57.087570206005552"/>
    <n v="89"/>
  </r>
  <r>
    <d v="2026-04-11T22:00:00"/>
    <x v="1"/>
    <n v="22"/>
    <n v="21.366787143961108"/>
    <n v="23.69757686958333"/>
    <n v="23.337095647313891"/>
    <n v="2.6"/>
    <n v="52.28015855383611"/>
    <n v="45.662715802325003"/>
    <n v="52.797015322174992"/>
    <n v="91"/>
  </r>
  <r>
    <d v="2026-04-11T23:00:00"/>
    <x v="1"/>
    <n v="23"/>
    <n v="21.156902094608331"/>
    <n v="23.800523292952771"/>
    <n v="23.564897390427781"/>
    <n v="2"/>
    <n v="52.401514481699998"/>
    <n v="45.384199456663893"/>
    <n v="49.540850120036112"/>
    <n v="92"/>
  </r>
  <r>
    <d v="2026-04-12T00:00:00"/>
    <x v="1"/>
    <n v="0"/>
    <n v="21.182068253122221"/>
    <n v="23.66423766491112"/>
    <n v="23.278126707947219"/>
    <n v="2.2000000000000002"/>
    <n v="49.509126564627771"/>
    <n v="44.418173719294437"/>
    <n v="56.017441447355559"/>
    <n v="93"/>
  </r>
  <r>
    <d v="2026-04-12T01:00:00"/>
    <x v="1"/>
    <n v="1"/>
    <n v="21.52676646619722"/>
    <n v="23.675129340388889"/>
    <n v="23.058143785319441"/>
    <n v="2.2999999999999998"/>
    <n v="48.501214413294441"/>
    <n v="42.737900657561113"/>
    <n v="55.99394326466944"/>
    <n v="93"/>
  </r>
  <r>
    <d v="2026-04-12T02:00:00"/>
    <x v="1"/>
    <n v="2"/>
    <n v="21.277363288313889"/>
    <n v="23.758176927638889"/>
    <n v="23.309687692674999"/>
    <n v="2.2999999999999998"/>
    <n v="48.244802572341662"/>
    <n v="42.457040050344439"/>
    <n v="50.980921994244447"/>
    <n v="93"/>
  </r>
  <r>
    <d v="2026-04-12T03:00:00"/>
    <x v="1"/>
    <n v="3"/>
    <n v="20.788779985052781"/>
    <n v="23.24564396854722"/>
    <n v="23.433790269897219"/>
    <n v="3.5"/>
    <n v="48.986624207963892"/>
    <n v="42.237868002341663"/>
    <n v="48.394940543630561"/>
    <n v="91"/>
  </r>
  <r>
    <d v="2026-04-12T04:00:00"/>
    <x v="1"/>
    <n v="4"/>
    <n v="20.461057725625"/>
    <n v="22.894592044438891"/>
    <n v="23.458359393916659"/>
    <n v="2.8"/>
    <n v="48.75143245915833"/>
    <n v="41.706726431313889"/>
    <n v="47.285565397344442"/>
    <n v="92"/>
  </r>
  <r>
    <d v="2026-04-12T05:00:00"/>
    <x v="1"/>
    <n v="5"/>
    <n v="20.25808652585"/>
    <n v="22.608103920969441"/>
    <n v="23.437508708036109"/>
    <n v="2.2000000000000002"/>
    <n v="48.269059397644448"/>
    <n v="41.335151719450003"/>
    <n v="46.625834873283331"/>
    <n v="92"/>
  </r>
  <r>
    <d v="2026-04-12T06:00:00"/>
    <x v="1"/>
    <n v="6"/>
    <n v="20.2514528146"/>
    <n v="22.456511174438891"/>
    <n v="23.416531912383331"/>
    <n v="1.9"/>
    <n v="47.830860496105551"/>
    <n v="41.016999800841667"/>
    <n v="46.15083349768333"/>
    <n v="93"/>
  </r>
  <r>
    <d v="2026-04-12T07:00:00"/>
    <x v="1"/>
    <n v="7"/>
    <n v="20.53496118553889"/>
    <n v="22.390453165675002"/>
    <n v="23.39787024751945"/>
    <n v="2.6"/>
    <n v="46.800967157374998"/>
    <n v="40.991777668947222"/>
    <n v="45.78277975280556"/>
    <n v="92"/>
  </r>
  <r>
    <d v="2026-04-12T08:00:00"/>
    <x v="1"/>
    <n v="8"/>
    <n v="21.35358380225"/>
    <n v="22.741401105633329"/>
    <n v="23.38398461798889"/>
    <n v="3.9"/>
    <n v="44.236183864933331"/>
    <n v="40.947195000000001"/>
    <n v="45.412944722111114"/>
    <n v="92"/>
  </r>
  <r>
    <d v="2026-04-12T09:00:00"/>
    <x v="1"/>
    <n v="9"/>
    <n v="21.494724298986121"/>
    <n v="22.828655876533329"/>
    <n v="23.37987582063333"/>
    <n v="5.8"/>
    <n v="44.325650396536112"/>
    <n v="41.023539802294451"/>
    <n v="45.117988387383342"/>
    <n v="83"/>
  </r>
  <r>
    <d v="2026-04-12T10:00:00"/>
    <x v="1"/>
    <n v="10"/>
    <n v="21.781550526994451"/>
    <n v="23.057128311391661"/>
    <n v="23.412677086897219"/>
    <n v="7.7"/>
    <n v="43.925518802252782"/>
    <n v="40.952240283036112"/>
    <n v="44.830597824675003"/>
    <n v="67"/>
  </r>
  <r>
    <d v="2026-04-12T11:00:00"/>
    <x v="1"/>
    <n v="11"/>
    <n v="21.869937235799998"/>
    <n v="23.146300653661111"/>
    <n v="23.42406829293612"/>
    <n v="8.5"/>
    <n v="44.417601007050003"/>
    <n v="41.363564126277772"/>
    <n v="44.67526305781945"/>
    <n v="59"/>
  </r>
  <r>
    <d v="2026-04-12T12:00:00"/>
    <x v="1"/>
    <n v="12"/>
    <n v="21.89257263916944"/>
    <n v="23.549210205352779"/>
    <n v="23.418298926513891"/>
    <n v="8.9"/>
    <n v="47.172287468519443"/>
    <n v="43.494211505930558"/>
    <n v="44.545745547211112"/>
    <n v="55"/>
  </r>
  <r>
    <d v="2026-04-12T13:00:00"/>
    <x v="1"/>
    <n v="13"/>
    <n v="21.801155446372221"/>
    <n v="23.573404112072229"/>
    <n v="24.039033160522219"/>
    <n v="9.1"/>
    <n v="46.602489752641667"/>
    <n v="42.683650464083343"/>
    <n v="45.79281320919722"/>
    <n v="54"/>
  </r>
  <r>
    <d v="2026-04-12T14:00:00"/>
    <x v="1"/>
    <n v="14"/>
    <n v="21.520103656491671"/>
    <n v="23.379495195202779"/>
    <n v="24.218081391199998"/>
    <n v="9.3000000000000007"/>
    <n v="44.926913699025"/>
    <n v="39.588035352305553"/>
    <n v="45.25885965714167"/>
    <n v="54"/>
  </r>
  <r>
    <d v="2026-04-12T15:00:00"/>
    <x v="1"/>
    <n v="15"/>
    <n v="21.452002960377779"/>
    <n v="23.12614213505833"/>
    <n v="24.176179097594439"/>
    <n v="9.6999999999999993"/>
    <n v="45.241195187297222"/>
    <n v="41.728961159113886"/>
    <n v="46.823011546002782"/>
    <n v="50"/>
  </r>
  <r>
    <d v="2026-04-12T16:00:00"/>
    <x v="1"/>
    <n v="16"/>
    <n v="21.19475137605556"/>
    <n v="22.73545310582778"/>
    <n v="24.112244942566669"/>
    <n v="9.9"/>
    <n v="44.214880760730559"/>
    <n v="41.02646569739445"/>
    <n v="45.155544316002782"/>
    <n v="51"/>
  </r>
  <r>
    <d v="2026-04-12T17:00:00"/>
    <x v="1"/>
    <n v="17"/>
    <n v="20.700152179505551"/>
    <n v="22.36177101488056"/>
    <n v="24.06052938618889"/>
    <n v="9.8000000000000007"/>
    <n v="41.956101230436111"/>
    <n v="39.616406869750001"/>
    <n v="44.809597328647222"/>
    <n v="51"/>
  </r>
  <r>
    <d v="2026-04-12T18:00:00"/>
    <x v="1"/>
    <n v="18"/>
    <n v="20.74931006886667"/>
    <n v="22.696979412383332"/>
    <n v="24.03631699850278"/>
    <n v="9.1999999999999993"/>
    <n v="37.682780306305553"/>
    <n v="34.751538250369443"/>
    <n v="44.813211683302782"/>
    <n v="54"/>
  </r>
  <r>
    <d v="2026-04-12T19:00:00"/>
    <x v="1"/>
    <n v="19"/>
    <n v="21.279016727491669"/>
    <n v="22.91590147182222"/>
    <n v="24.004882077111109"/>
    <n v="7.7"/>
    <n v="38.454157753691668"/>
    <n v="36.451152530897232"/>
    <n v="44.323413370452784"/>
    <n v="65"/>
  </r>
  <r>
    <d v="2026-04-12T20:00:00"/>
    <x v="1"/>
    <n v="20"/>
    <n v="21.482292480824999"/>
    <n v="22.957908696936109"/>
    <n v="23.997138780136108"/>
    <n v="6.6"/>
    <n v="41.026393481733329"/>
    <n v="38.295066683133342"/>
    <n v="43.795695483638887"/>
    <n v="68"/>
  </r>
  <r>
    <d v="2026-04-12T21:00:00"/>
    <x v="1"/>
    <n v="21"/>
    <n v="21.436523291013891"/>
    <n v="23.024414983875001"/>
    <n v="23.990009234472229"/>
    <n v="5.9"/>
    <n v="42.055182002663891"/>
    <n v="39.765741116986113"/>
    <n v="43.409844419361121"/>
    <n v="74"/>
  </r>
  <r>
    <d v="2026-04-12T22:00:00"/>
    <x v="1"/>
    <n v="22"/>
    <n v="21.178824208911109"/>
    <n v="23.094686407166659"/>
    <n v="23.979871309686111"/>
    <n v="5.8"/>
    <n v="44.43201517506666"/>
    <n v="40.430053109697219"/>
    <n v="43.103204371408331"/>
    <n v="77"/>
  </r>
  <r>
    <d v="2026-04-12T23:00:00"/>
    <x v="1"/>
    <n v="23"/>
    <n v="21.02481478834445"/>
    <n v="22.930197146402779"/>
    <n v="23.946741328091669"/>
    <n v="5.2"/>
    <n v="45.907503752044448"/>
    <n v="40.952239816519437"/>
    <n v="42.861313241766659"/>
    <n v="79"/>
  </r>
  <r>
    <d v="2026-04-13T00:00:00"/>
    <x v="1"/>
    <n v="0"/>
    <n v="20.898915068511108"/>
    <n v="22.940148964338889"/>
    <n v="23.92569569354167"/>
    <n v="4.9000000000000004"/>
    <n v="45.976322431155552"/>
    <n v="42.05843836251389"/>
    <n v="42.635274559597221"/>
    <n v="80"/>
  </r>
  <r>
    <d v="2026-04-13T01:00:00"/>
    <x v="1"/>
    <n v="1"/>
    <n v="20.759811722713891"/>
    <n v="22.77628913741944"/>
    <n v="23.902111554525"/>
    <n v="4.4000000000000004"/>
    <n v="46.737033585502779"/>
    <n v="41.995112243761113"/>
    <n v="42.524356357563889"/>
    <n v="80"/>
  </r>
  <r>
    <d v="2026-04-13T02:00:00"/>
    <x v="1"/>
    <n v="2"/>
    <n v="20.56372653804722"/>
    <n v="22.373277377158331"/>
    <n v="23.877518949991661"/>
    <n v="3.7"/>
    <n v="47.993241239847222"/>
    <n v="42.159409025902782"/>
    <n v="42.500650009636111"/>
    <n v="80"/>
  </r>
  <r>
    <d v="2026-04-13T03:00:00"/>
    <x v="1"/>
    <n v="3"/>
    <n v="20.323930959030559"/>
    <n v="22.127005438738891"/>
    <n v="23.852508080997229"/>
    <n v="3.3"/>
    <n v="47.126310247730551"/>
    <n v="41.802528868433328"/>
    <n v="42.378458714261107"/>
    <n v="80"/>
  </r>
  <r>
    <d v="2026-04-13T04:00:00"/>
    <x v="1"/>
    <n v="4"/>
    <n v="20.12455299700833"/>
    <n v="21.95221413719722"/>
    <n v="23.82729014601389"/>
    <n v="3.1"/>
    <n v="47.001277074597233"/>
    <n v="41.201900667977768"/>
    <n v="42.142863281172232"/>
    <n v="80"/>
  </r>
  <r>
    <d v="2026-04-13T05:00:00"/>
    <x v="1"/>
    <n v="5"/>
    <n v="19.985535869438891"/>
    <n v="21.852289535977778"/>
    <n v="23.797426059719442"/>
    <n v="3"/>
    <n v="47.153957413077769"/>
    <n v="40.813132293158333"/>
    <n v="41.983603589499999"/>
    <n v="79"/>
  </r>
  <r>
    <d v="2026-04-13T06:00:00"/>
    <x v="1"/>
    <n v="6"/>
    <n v="20.434982707875001"/>
    <n v="22.062186258505559"/>
    <n v="23.777537711547222"/>
    <n v="2.9"/>
    <n v="45.585199315036107"/>
    <n v="40.238927498008337"/>
    <n v="41.870009965538891"/>
    <n v="80"/>
  </r>
  <r>
    <d v="2026-04-13T07:00:00"/>
    <x v="1"/>
    <n v="7"/>
    <n v="21.314837580136111"/>
    <n v="22.514036351816671"/>
    <n v="23.738991231341672"/>
    <n v="3.4"/>
    <n v="42.705943012877768"/>
    <n v="39.809642796422217"/>
    <n v="41.769862739261107"/>
    <n v="81"/>
  </r>
  <r>
    <d v="2026-04-13T08:00:00"/>
    <x v="1"/>
    <n v="8"/>
    <n v="21.931826445938889"/>
    <n v="23.066934547494441"/>
    <n v="23.718675763588891"/>
    <n v="5.3"/>
    <n v="42.295849388080548"/>
    <n v="39.266427763075001"/>
    <n v="41.745536713422219"/>
    <n v="79"/>
  </r>
  <r>
    <d v="2026-04-13T09:00:00"/>
    <x v="1"/>
    <n v="9"/>
    <n v="22.365478709877781"/>
    <n v="23.604659946711109"/>
    <n v="23.719018677588888"/>
    <n v="8.3000000000000007"/>
    <n v="42.495519669280561"/>
    <n v="39.406417303961113"/>
    <n v="41.746726755119447"/>
    <n v="72"/>
  </r>
  <r>
    <d v="2026-04-13T10:00:00"/>
    <x v="1"/>
    <n v="10"/>
    <n v="22.464773430408329"/>
    <n v="23.85690392289445"/>
    <n v="23.740036576372219"/>
    <n v="10.3"/>
    <n v="43.679454694463892"/>
    <n v="41.523663810999999"/>
    <n v="41.725490996122232"/>
    <n v="50"/>
  </r>
  <r>
    <d v="2026-04-13T11:00:00"/>
    <x v="1"/>
    <n v="11"/>
    <n v="22.366193989191672"/>
    <n v="24.274181494327781"/>
    <n v="23.770759541613891"/>
    <n v="11.3"/>
    <n v="46.818212378347233"/>
    <n v="46.021358565358327"/>
    <n v="41.750509275863891"/>
    <n v="45"/>
  </r>
  <r>
    <d v="2026-04-13T12:00:00"/>
    <x v="1"/>
    <n v="12"/>
    <n v="22.28115310113612"/>
    <n v="24.275900256136111"/>
    <n v="23.775129537783329"/>
    <n v="12.1"/>
    <n v="48.114059644850002"/>
    <n v="45.459857205947223"/>
    <n v="41.750398235666673"/>
    <n v="42"/>
  </r>
  <r>
    <d v="2026-04-13T13:00:00"/>
    <x v="1"/>
    <n v="13"/>
    <n v="22.11746679320278"/>
    <n v="23.95957895193612"/>
    <n v="23.77879604072222"/>
    <n v="12.6"/>
    <n v="46.375909624725011"/>
    <n v="42.247631823797221"/>
    <n v="41.538492028438888"/>
    <n v="40"/>
  </r>
  <r>
    <d v="2026-04-13T14:00:00"/>
    <x v="1"/>
    <n v="14"/>
    <n v="21.895244128097222"/>
    <n v="23.531501603836109"/>
    <n v="23.762635815477779"/>
    <n v="12.8"/>
    <n v="42.702461215444451"/>
    <n v="39.214407163877773"/>
    <n v="41.286905346591674"/>
    <n v="40"/>
  </r>
  <r>
    <d v="2026-04-13T15:00:00"/>
    <x v="1"/>
    <n v="15"/>
    <n v="21.818270809280559"/>
    <n v="23.645749765419449"/>
    <n v="23.74713917511389"/>
    <n v="12.9"/>
    <n v="42.087766428638894"/>
    <n v="39.960022147383327"/>
    <n v="41.263966402491668"/>
    <n v="42"/>
  </r>
  <r>
    <d v="2026-04-13T16:00:00"/>
    <x v="1"/>
    <n v="16"/>
    <n v="20.795364318430561"/>
    <n v="23.529313627086111"/>
    <n v="23.738685165833331"/>
    <n v="12.7"/>
    <n v="39.308536213397232"/>
    <n v="36.772782981830552"/>
    <n v="41.459949527569442"/>
    <n v="47"/>
  </r>
  <r>
    <d v="2026-04-13T17:00:00"/>
    <x v="1"/>
    <n v="17"/>
    <n v="21.498907114919451"/>
    <n v="23.567364561686109"/>
    <n v="23.72964769533333"/>
    <n v="12.3"/>
    <n v="45.381157049158332"/>
    <n v="40.738642824255557"/>
    <n v="41.460024083550003"/>
    <n v="49"/>
  </r>
  <r>
    <d v="2026-04-13T18:00:00"/>
    <x v="1"/>
    <n v="18"/>
    <n v="21.914906309986112"/>
    <n v="23.714670105116671"/>
    <n v="23.719944171963888"/>
    <n v="11.2"/>
    <n v="49.073312280125002"/>
    <n v="45.806182367444443"/>
    <n v="41.248046769844443"/>
    <n v="55"/>
  </r>
  <r>
    <d v="2026-04-13T19:00:00"/>
    <x v="1"/>
    <n v="19"/>
    <n v="22.27472030420833"/>
    <n v="24.18637074106389"/>
    <n v="23.727844754411109"/>
    <n v="10"/>
    <n v="48.648071749819437"/>
    <n v="46.519032669277777"/>
    <n v="40.932441980108329"/>
    <n v="60"/>
  </r>
  <r>
    <d v="2026-04-13T20:00:00"/>
    <x v="1"/>
    <n v="20"/>
    <n v="22.366366342963889"/>
    <n v="24.204909313011111"/>
    <n v="23.72714808111667"/>
    <n v="8.6"/>
    <n v="47.609207300900003"/>
    <n v="44.787931504033331"/>
    <n v="40.947297533947221"/>
    <n v="67"/>
  </r>
  <r>
    <d v="2026-04-13T21:00:00"/>
    <x v="1"/>
    <n v="21"/>
    <n v="22.466827473088891"/>
    <n v="24.277534799005551"/>
    <n v="23.72731422124167"/>
    <n v="7.4"/>
    <n v="46.554339877222219"/>
    <n v="43.743462213561124"/>
    <n v="40.985204085947217"/>
    <n v="77"/>
  </r>
  <r>
    <d v="2026-04-13T22:00:00"/>
    <x v="1"/>
    <n v="22"/>
    <n v="22.176530831249998"/>
    <n v="24.048046473852779"/>
    <n v="23.72499033261111"/>
    <n v="6.9"/>
    <n v="47.738455949030559"/>
    <n v="43.982744556516671"/>
    <n v="40.972416817569453"/>
    <n v="83"/>
  </r>
  <r>
    <d v="2026-04-13T23:00:00"/>
    <x v="1"/>
    <n v="23"/>
    <n v="22.168417786113888"/>
    <n v="23.906319611650002"/>
    <n v="23.71052923086112"/>
    <n v="6.6"/>
    <n v="47.765609380938884"/>
    <n v="43.879573533277778"/>
    <n v="41.019151301891668"/>
    <n v="82"/>
  </r>
  <r>
    <d v="2026-04-14T00:00:00"/>
    <x v="1"/>
    <n v="0"/>
    <n v="22.143010399019449"/>
    <n v="23.844716470702771"/>
    <n v="23.705101626072221"/>
    <n v="6.1"/>
    <n v="47.44707056531945"/>
    <n v="44.345553886677777"/>
    <n v="41.078346418027778"/>
    <n v="82"/>
  </r>
  <r>
    <d v="2026-04-14T01:00:00"/>
    <x v="1"/>
    <n v="1"/>
    <n v="21.990103939975"/>
    <n v="23.704591763694442"/>
    <n v="23.692480382313889"/>
    <n v="5.6"/>
    <n v="48.237319621202779"/>
    <n v="45.079811248672229"/>
    <n v="41.118354907080558"/>
    <n v="84"/>
  </r>
  <r>
    <d v="2026-04-14T02:00:00"/>
    <x v="1"/>
    <n v="2"/>
    <n v="21.65403572045"/>
    <n v="23.300450902733331"/>
    <n v="23.67725989945556"/>
    <n v="5.0999999999999996"/>
    <n v="49.283979407472223"/>
    <n v="43.949558611308333"/>
    <n v="41.188238129708331"/>
    <n v="85"/>
  </r>
  <r>
    <d v="2026-04-14T03:00:00"/>
    <x v="1"/>
    <n v="3"/>
    <n v="21.256480782263889"/>
    <n v="22.922890270197229"/>
    <n v="23.650813945225"/>
    <n v="5.5"/>
    <n v="49.461936384980561"/>
    <n v="43.609329724394449"/>
    <n v="41.335245095319443"/>
    <n v="82"/>
  </r>
  <r>
    <d v="2026-04-14T04:00:00"/>
    <x v="1"/>
    <n v="4"/>
    <n v="21.009458265277772"/>
    <n v="22.632442844047219"/>
    <n v="23.627887082591659"/>
    <n v="5.7"/>
    <n v="49.338036851636097"/>
    <n v="43.372543784525"/>
    <n v="41.482854985447233"/>
    <n v="78"/>
  </r>
  <r>
    <d v="2026-04-14T05:00:00"/>
    <x v="1"/>
    <n v="5"/>
    <n v="20.867352355366659"/>
    <n v="22.471696652463891"/>
    <n v="23.601563177138889"/>
    <n v="5.8"/>
    <n v="49.222095551305557"/>
    <n v="43.133601369130552"/>
    <n v="41.682422118872218"/>
    <n v="74"/>
  </r>
  <r>
    <d v="2026-04-14T06:00:00"/>
    <x v="1"/>
    <n v="6"/>
    <n v="20.830023197566661"/>
    <n v="22.329969948697219"/>
    <n v="23.571236158677781"/>
    <n v="5.9"/>
    <n v="48.946589994816662"/>
    <n v="43.121106227375002"/>
    <n v="41.938805325544443"/>
    <n v="72"/>
  </r>
  <r>
    <d v="2026-04-14T07:00:00"/>
    <x v="1"/>
    <n v="7"/>
    <n v="20.813546288230562"/>
    <n v="22.22530390631389"/>
    <n v="23.538618710449999"/>
    <n v="6.5"/>
    <n v="48.457649246597221"/>
    <n v="42.929907418611123"/>
    <n v="42.407923190761117"/>
    <n v="68"/>
  </r>
  <r>
    <d v="2026-04-14T08:00:00"/>
    <x v="1"/>
    <n v="8"/>
    <n v="20.87163031165278"/>
    <n v="22.173495547461108"/>
    <n v="23.533916635905559"/>
    <n v="7.1"/>
    <n v="47.648624530525012"/>
    <n v="42.411499406372222"/>
    <n v="42.859838266655551"/>
    <n v="66"/>
  </r>
  <r>
    <d v="2026-04-14T09:00:00"/>
    <x v="1"/>
    <n v="9"/>
    <n v="21.036830697177781"/>
    <n v="22.13638125109722"/>
    <n v="23.525303271861109"/>
    <n v="8.1999999999999993"/>
    <n v="46.860926445125003"/>
    <n v="41.901421730197221"/>
    <n v="43.208598643080563"/>
    <n v="64"/>
  </r>
  <r>
    <d v="2026-04-14T10:00:00"/>
    <x v="1"/>
    <n v="10"/>
    <n v="21.288426622797221"/>
    <n v="22.219608607916669"/>
    <n v="23.504139038155561"/>
    <n v="9.3000000000000007"/>
    <n v="45.752506382838902"/>
    <n v="42.002557910524999"/>
    <n v="43.732975777269438"/>
    <n v="57"/>
  </r>
  <r>
    <d v="2026-04-14T11:00:00"/>
    <x v="1"/>
    <n v="11"/>
    <n v="21.52166930509167"/>
    <n v="22.58191086688889"/>
    <n v="23.51562122507222"/>
    <n v="10.5"/>
    <n v="45.176409353511112"/>
    <n v="42.657955120099999"/>
    <n v="44.225066867102782"/>
    <n v="49"/>
  </r>
  <r>
    <d v="2026-04-14T12:00:00"/>
    <x v="1"/>
    <n v="12"/>
    <n v="21.55477463742778"/>
    <n v="23.087491761305561"/>
    <n v="23.505323086097221"/>
    <n v="11.3"/>
    <n v="46.804154698399998"/>
    <n v="42.311912139280558"/>
    <n v="44.039700687211109"/>
    <n v="43"/>
  </r>
  <r>
    <d v="2026-04-14T13:00:00"/>
    <x v="1"/>
    <n v="13"/>
    <n v="21.332005706166669"/>
    <n v="22.744846067655551"/>
    <n v="23.482896078880561"/>
    <n v="11.6"/>
    <n v="46.037993002886111"/>
    <n v="40.225148465055547"/>
    <n v="44.394762886286109"/>
    <n v="43"/>
  </r>
  <r>
    <d v="2026-04-14T14:00:00"/>
    <x v="1"/>
    <n v="14"/>
    <n v="21.042019274449999"/>
    <n v="22.346713157524999"/>
    <n v="23.47957334384445"/>
    <n v="10.4"/>
    <n v="41.76082282534167"/>
    <n v="38.188975433775013"/>
    <n v="44.500477535141663"/>
    <n v="49"/>
  </r>
  <r>
    <d v="2026-04-14T15:00:00"/>
    <x v="1"/>
    <n v="15"/>
    <n v="21.423843054641669"/>
    <n v="22.693435653261108"/>
    <n v="23.467684688011111"/>
    <n v="9.8000000000000007"/>
    <n v="44.240186648761117"/>
    <n v="40.164473788222217"/>
    <n v="43.223156299516667"/>
    <n v="56"/>
  </r>
  <r>
    <d v="2026-04-14T16:00:00"/>
    <x v="1"/>
    <n v="16"/>
    <n v="21.540499982736112"/>
    <n v="22.917826045052781"/>
    <n v="23.463055514711112"/>
    <n v="8.6999999999999993"/>
    <n v="44.064349035372217"/>
    <n v="40.793912044869437"/>
    <n v="42.91415401785278"/>
    <n v="64"/>
  </r>
  <r>
    <d v="2026-04-14T17:00:00"/>
    <x v="1"/>
    <n v="17"/>
    <n v="21.507653893291661"/>
    <n v="22.999813625172219"/>
    <n v="23.468028609761109"/>
    <n v="7.9"/>
    <n v="43.375152346666667"/>
    <n v="39.913088072141669"/>
    <n v="42.738516637405553"/>
    <n v="71"/>
  </r>
  <r>
    <d v="2026-04-14T18:00:00"/>
    <x v="1"/>
    <n v="18"/>
    <n v="21.50923429259722"/>
    <n v="23.059079794611112"/>
    <n v="23.475899669086111"/>
    <n v="7.5"/>
    <n v="44.563210403980563"/>
    <n v="41.688140283405559"/>
    <n v="43.400354738105563"/>
    <n v="73"/>
  </r>
  <r>
    <d v="2026-04-14T19:00:00"/>
    <x v="1"/>
    <n v="19"/>
    <n v="21.590347738991671"/>
    <n v="23.362608181338889"/>
    <n v="23.477449288097219"/>
    <n v="6.6"/>
    <n v="48.725527721313888"/>
    <n v="46.778857351566657"/>
    <n v="43.006571997219453"/>
    <n v="79"/>
  </r>
  <r>
    <d v="2026-04-14T20:00:00"/>
    <x v="1"/>
    <n v="20"/>
    <n v="21.398386918541661"/>
    <n v="23.058852024316661"/>
    <n v="23.515392375800001"/>
    <n v="6.3"/>
    <n v="50.20713063951667"/>
    <n v="45.174635641188878"/>
    <n v="43.063531646474992"/>
    <n v="82"/>
  </r>
  <r>
    <d v="2026-04-14T21:00:00"/>
    <x v="1"/>
    <n v="21"/>
    <n v="21.254801840713888"/>
    <n v="22.912914653966659"/>
    <n v="23.512340494013891"/>
    <n v="6.4"/>
    <n v="48.062728523080558"/>
    <n v="42.815163278438888"/>
    <n v="42.669416806091668"/>
    <n v="85"/>
  </r>
  <r>
    <d v="2026-04-14T22:00:00"/>
    <x v="1"/>
    <n v="22"/>
    <n v="21.31398059490278"/>
    <n v="23.051333597252778"/>
    <n v="23.487613986894441"/>
    <n v="6.1"/>
    <n v="47.32495251731666"/>
    <n v="44.02074904728611"/>
    <n v="42.843794001527783"/>
    <n v="86"/>
  </r>
  <r>
    <d v="2026-04-14T23:00:00"/>
    <x v="1"/>
    <n v="23"/>
    <n v="21.439012653586111"/>
    <n v="22.997222534966671"/>
    <n v="23.464100962974999"/>
    <n v="5.9"/>
    <n v="47.437730787061113"/>
    <n v="43.395553855508332"/>
    <n v="43.053117360880563"/>
    <n v="89"/>
  </r>
  <r>
    <d v="2026-04-15T00:00:00"/>
    <x v="1"/>
    <n v="0"/>
    <n v="21.626539055649999"/>
    <n v="23.073973015944439"/>
    <n v="23.43961747460834"/>
    <n v="5.6"/>
    <n v="46.878462833458343"/>
    <n v="43.388190034127767"/>
    <n v="42.91142442818056"/>
    <n v="91"/>
  </r>
  <r>
    <d v="2026-04-15T01:00:00"/>
    <x v="1"/>
    <n v="1"/>
    <n v="21.80946507406945"/>
    <n v="23.301891326766661"/>
    <n v="23.419784368022221"/>
    <n v="5.5"/>
    <n v="46.410558805080548"/>
    <n v="42.615624390955553"/>
    <n v="42.786665877972219"/>
    <n v="91"/>
  </r>
  <r>
    <d v="2026-04-15T02:00:00"/>
    <x v="1"/>
    <n v="2"/>
    <n v="21.778953256491661"/>
    <n v="23.318048185730561"/>
    <n v="23.402656097552779"/>
    <n v="5.4"/>
    <n v="46.34411222713333"/>
    <n v="42.693560459469438"/>
    <n v="42.663091615191668"/>
    <n v="92"/>
  </r>
  <r>
    <d v="2026-04-15T03:00:00"/>
    <x v="1"/>
    <n v="3"/>
    <n v="21.27950624968333"/>
    <n v="22.718245520544439"/>
    <n v="23.372613013247221"/>
    <n v="5.4"/>
    <n v="47.984839977902773"/>
    <n v="43.217219742272221"/>
    <n v="42.603583255022222"/>
    <n v="93"/>
  </r>
  <r>
    <d v="2026-04-15T04:00:00"/>
    <x v="1"/>
    <n v="4"/>
    <n v="20.866649425719441"/>
    <n v="22.46693483276389"/>
    <n v="23.342018939525001"/>
    <n v="5.5"/>
    <n v="49.058302170733327"/>
    <n v="43.450182569266673"/>
    <n v="42.590957896297219"/>
    <n v="93"/>
  </r>
  <r>
    <d v="2026-04-15T05:00:00"/>
    <x v="1"/>
    <n v="5"/>
    <n v="20.628354840233332"/>
    <n v="22.225565979852771"/>
    <n v="23.30456423049166"/>
    <n v="5.6"/>
    <n v="48.988054885666664"/>
    <n v="43.417155905813893"/>
    <n v="42.591558363597223"/>
    <n v="94"/>
  </r>
  <r>
    <d v="2026-04-15T06:00:00"/>
    <x v="1"/>
    <n v="6"/>
    <n v="20.484130261127781"/>
    <n v="22.074767399402781"/>
    <n v="23.25217810749167"/>
    <n v="5.7"/>
    <n v="48.968855378069442"/>
    <n v="43.175342235138878"/>
    <n v="42.610121826377778"/>
    <n v="94"/>
  </r>
  <r>
    <d v="2026-04-15T07:00:00"/>
    <x v="1"/>
    <n v="7"/>
    <n v="20.425762940066669"/>
    <n v="21.997331175777781"/>
    <n v="23.218117594091659"/>
    <n v="5.9"/>
    <n v="48.961070840363902"/>
    <n v="43.036335872499997"/>
    <n v="42.585062433705552"/>
    <n v="94"/>
  </r>
  <r>
    <d v="2026-04-15T08:00:00"/>
    <x v="1"/>
    <n v="8"/>
    <n v="20.424172866544449"/>
    <n v="21.868594206633329"/>
    <n v="23.21622246291389"/>
    <n v="6.6"/>
    <n v="48.726526487211117"/>
    <n v="43.02939119528056"/>
    <n v="42.652273331269448"/>
    <n v="90"/>
  </r>
  <r>
    <d v="2026-04-15T09:00:00"/>
    <x v="1"/>
    <n v="9"/>
    <n v="20.532409278308329"/>
    <n v="21.862679354258329"/>
    <n v="23.20532244813333"/>
    <n v="7"/>
    <n v="48.311152765280553"/>
    <n v="42.928065702644439"/>
    <n v="42.770367856133333"/>
    <n v="91"/>
  </r>
  <r>
    <d v="2026-04-15T10:00:00"/>
    <x v="1"/>
    <n v="10"/>
    <n v="20.715875627749998"/>
    <n v="21.82513553069445"/>
    <n v="23.19839470216111"/>
    <n v="8"/>
    <n v="47.927254712325002"/>
    <n v="43.035064874702783"/>
    <n v="42.858753846769453"/>
    <n v="84"/>
  </r>
  <r>
    <d v="2026-04-15T11:00:00"/>
    <x v="1"/>
    <n v="11"/>
    <n v="21.111037767075"/>
    <n v="22.126222135908339"/>
    <n v="23.186148385161111"/>
    <n v="9.3000000000000007"/>
    <n v="47.06861715243334"/>
    <n v="43.674991614066663"/>
    <n v="42.893029356891667"/>
    <n v="76"/>
  </r>
  <r>
    <d v="2026-04-15T12:00:00"/>
    <x v="1"/>
    <n v="12"/>
    <n v="21.153261075986109"/>
    <n v="22.431533023344439"/>
    <n v="23.18892726346667"/>
    <n v="10.8"/>
    <n v="49.026180944202771"/>
    <n v="45.145912518866673"/>
    <n v="42.870789456955549"/>
    <n v="68"/>
  </r>
  <r>
    <d v="2026-04-15T13:00:00"/>
    <x v="1"/>
    <n v="13"/>
    <n v="21.199212146080558"/>
    <n v="22.403145969394441"/>
    <n v="23.177967268677779"/>
    <n v="11.3"/>
    <n v="49.840856949519441"/>
    <n v="45.225921224422223"/>
    <n v="42.842634197211112"/>
    <n v="65"/>
  </r>
  <r>
    <d v="2026-04-15T14:00:00"/>
    <x v="1"/>
    <n v="14"/>
    <n v="21.236322671130559"/>
    <n v="22.44738558458333"/>
    <n v="23.172932896602781"/>
    <n v="11.6"/>
    <n v="49.991323342622223"/>
    <n v="45.939458627427783"/>
    <n v="42.813655939830561"/>
    <n v="63"/>
  </r>
  <r>
    <d v="2026-04-15T15:00:00"/>
    <x v="1"/>
    <n v="15"/>
    <n v="21.29805331313333"/>
    <n v="22.777223701008332"/>
    <n v="23.143505960019439"/>
    <n v="11.4"/>
    <n v="51.59000325435278"/>
    <n v="45.677360305325003"/>
    <n v="42.739355985452782"/>
    <n v="65"/>
  </r>
  <r>
    <d v="2026-04-15T16:00:00"/>
    <x v="1"/>
    <n v="16"/>
    <n v="21.263541104952779"/>
    <n v="23.177780122519451"/>
    <n v="23.150827637358329"/>
    <n v="11.6"/>
    <n v="51.881197424027782"/>
    <n v="45.072905715769437"/>
    <n v="42.64214059870833"/>
    <n v="64"/>
  </r>
  <r>
    <d v="2026-04-15T17:00:00"/>
    <x v="1"/>
    <n v="17"/>
    <n v="21.207409135399999"/>
    <n v="23.119008424161109"/>
    <n v="23.158250507308331"/>
    <n v="11.4"/>
    <n v="51.36491940681389"/>
    <n v="45.50699618885556"/>
    <n v="42.47973976763889"/>
    <n v="64"/>
  </r>
  <r>
    <d v="2026-04-15T18:00:00"/>
    <x v="1"/>
    <n v="18"/>
    <n v="20.954097871827781"/>
    <n v="22.62553301299722"/>
    <n v="23.162145409388891"/>
    <n v="11.4"/>
    <n v="48.899535003330563"/>
    <n v="45.605011408311107"/>
    <n v="42.756812586227767"/>
    <n v="66"/>
  </r>
  <r>
    <d v="2026-04-15T19:00:00"/>
    <x v="1"/>
    <n v="19"/>
    <n v="19.880362847099999"/>
    <n v="22.09314270957778"/>
    <n v="23.163778289191669"/>
    <n v="10.7"/>
    <n v="44.173931384069448"/>
    <n v="40.850880571911112"/>
    <n v="44.279142795730557"/>
    <n v="74"/>
  </r>
  <r>
    <d v="2026-04-15T20:00:00"/>
    <x v="1"/>
    <n v="20"/>
    <n v="20.538337819461109"/>
    <n v="22.12396444269444"/>
    <n v="23.130729734761111"/>
    <n v="8.1999999999999993"/>
    <n v="43.337680742088892"/>
    <n v="40.569089662186109"/>
    <n v="45.505647880038893"/>
    <n v="81"/>
  </r>
  <r>
    <d v="2026-04-15T21:00:00"/>
    <x v="1"/>
    <n v="21"/>
    <n v="20.973320440369449"/>
    <n v="22.660927414869441"/>
    <n v="23.060286878013891"/>
    <n v="7.9"/>
    <n v="45.962660987972221"/>
    <n v="42.767340479591667"/>
    <n v="48.312173316319438"/>
    <n v="83"/>
  </r>
  <r>
    <d v="2026-04-15T22:00:00"/>
    <x v="1"/>
    <n v="22"/>
    <n v="21.103070333424998"/>
    <n v="23.11656860346945"/>
    <n v="23.057376093675"/>
    <n v="7.4"/>
    <n v="50.560168396675003"/>
    <n v="46.327520299783338"/>
    <n v="44.932579467727777"/>
    <n v="84"/>
  </r>
  <r>
    <d v="2026-04-15T23:00:00"/>
    <x v="1"/>
    <n v="23"/>
    <n v="21.39884876491389"/>
    <n v="23.60097395471389"/>
    <n v="23.071756519255551"/>
    <n v="6.7"/>
    <n v="54.78331093966667"/>
    <n v="51.260854651905547"/>
    <n v="43.886510313647221"/>
    <n v="85"/>
  </r>
  <r>
    <d v="2026-04-16T00:00:00"/>
    <x v="1"/>
    <n v="0"/>
    <n v="21.512497279630551"/>
    <n v="23.58799617849445"/>
    <n v="23.08586121085278"/>
    <n v="6.2"/>
    <n v="53.071455792819442"/>
    <n v="48.896673465077782"/>
    <n v="43.610022766633342"/>
    <n v="86"/>
  </r>
  <r>
    <d v="2026-04-16T01:00:00"/>
    <x v="1"/>
    <n v="1"/>
    <n v="21.499451415297219"/>
    <n v="23.30614431124167"/>
    <n v="23.085499951686121"/>
    <n v="5.6"/>
    <n v="51.001768114013878"/>
    <n v="47.314244506366663"/>
    <n v="43.384717677783328"/>
    <n v="88"/>
  </r>
  <r>
    <d v="2026-04-16T02:00:00"/>
    <x v="1"/>
    <n v="2"/>
    <n v="20.858899773258329"/>
    <n v="22.833219419683331"/>
    <n v="23.06199337719444"/>
    <n v="5"/>
    <n v="51.715398266294443"/>
    <n v="45.520051042086124"/>
    <n v="43.233273674705551"/>
    <n v="89"/>
  </r>
  <r>
    <d v="2026-04-16T03:00:00"/>
    <x v="1"/>
    <n v="3"/>
    <n v="20.450226476686112"/>
    <n v="22.368680182241661"/>
    <n v="23.019442842613891"/>
    <n v="4.7"/>
    <n v="51.659631278561108"/>
    <n v="44.816558629172221"/>
    <n v="43.109796350591672"/>
    <n v="89"/>
  </r>
  <r>
    <d v="2026-04-16T04:00:00"/>
    <x v="1"/>
    <n v="4"/>
    <n v="20.219471304075"/>
    <n v="22.111445309274998"/>
    <n v="22.980936181644442"/>
    <n v="4.3"/>
    <n v="51.429783924147223"/>
    <n v="44.516309256513892"/>
    <n v="43.02438195314167"/>
    <n v="89"/>
  </r>
  <r>
    <d v="2026-04-16T05:00:00"/>
    <x v="1"/>
    <n v="5"/>
    <n v="20.091442028716671"/>
    <n v="21.962968926883331"/>
    <n v="22.958794193774999"/>
    <n v="3.6"/>
    <n v="51.042221178286113"/>
    <n v="44.322097953941672"/>
    <n v="42.962275700063891"/>
    <n v="90"/>
  </r>
  <r>
    <d v="2026-04-16T06:00:00"/>
    <x v="1"/>
    <n v="6"/>
    <n v="20.572996043152781"/>
    <n v="22.04417903496666"/>
    <n v="22.949756740922229"/>
    <n v="3.2"/>
    <n v="49.032485733994442"/>
    <n v="44.449651439652783"/>
    <n v="42.923138553108338"/>
    <n v="90"/>
  </r>
  <r>
    <d v="2026-04-16T07:00:00"/>
    <x v="1"/>
    <n v="7"/>
    <n v="21.330382432"/>
    <n v="22.559094055638891"/>
    <n v="22.926793420372221"/>
    <n v="4.8"/>
    <n v="46.363269885208332"/>
    <n v="43.848862569297218"/>
    <n v="42.883864941163893"/>
    <n v="87"/>
  </r>
  <r>
    <d v="2026-04-16T08:00:00"/>
    <x v="1"/>
    <n v="8"/>
    <n v="21.931693605"/>
    <n v="23.00905243921666"/>
    <n v="22.940522653361121"/>
    <n v="7.2"/>
    <n v="46.09264874099722"/>
    <n v="43.79159645635"/>
    <n v="42.860380486300002"/>
    <n v="84"/>
  </r>
  <r>
    <d v="2026-04-16T09:00:00"/>
    <x v="1"/>
    <n v="9"/>
    <n v="22.403352172761121"/>
    <n v="23.441512305233331"/>
    <n v="22.958467325241671"/>
    <n v="9.8000000000000007"/>
    <n v="46.508452930024987"/>
    <n v="44.093875622619443"/>
    <n v="43.078642419044449"/>
    <n v="76"/>
  </r>
  <r>
    <d v="2026-04-16T10:00:00"/>
    <x v="1"/>
    <n v="10"/>
    <n v="22.592225123011119"/>
    <n v="23.784568871869439"/>
    <n v="22.983367490174999"/>
    <n v="12.8"/>
    <n v="47.489463034905562"/>
    <n v="44.37779724746111"/>
    <n v="43.617880401522221"/>
    <n v="63"/>
  </r>
  <r>
    <d v="2026-04-16T11:00:00"/>
    <x v="1"/>
    <n v="11"/>
    <n v="22.632205086224999"/>
    <n v="23.95305227355"/>
    <n v="23.007856234333332"/>
    <n v="14.9"/>
    <n v="48.827668320649998"/>
    <n v="46.576528670041661"/>
    <n v="44.3438635125"/>
    <n v="51"/>
  </r>
  <r>
    <d v="2026-04-16T12:00:00"/>
    <x v="1"/>
    <n v="12"/>
    <n v="22.615816299877778"/>
    <n v="24.088416253594449"/>
    <n v="23.0368801989"/>
    <n v="16.399999999999999"/>
    <n v="50.737374095927777"/>
    <n v="46.19826196487778"/>
    <n v="44.939895560025001"/>
    <n v="45"/>
  </r>
  <r>
    <d v="2026-04-16T13:00:00"/>
    <x v="1"/>
    <n v="13"/>
    <n v="22.397282887333329"/>
    <n v="24.16818354840278"/>
    <n v="23.07002390771666"/>
    <n v="17.399999999999999"/>
    <n v="52.066467462172227"/>
    <n v="46.231120166827793"/>
    <n v="45.028001706283327"/>
    <n v="37"/>
  </r>
  <r>
    <d v="2026-04-16T14:00:00"/>
    <x v="1"/>
    <n v="14"/>
    <n v="22.31852635005"/>
    <n v="23.696385202824999"/>
    <n v="23.076766218633331"/>
    <n v="18"/>
    <n v="48.89637953839722"/>
    <n v="44.645548529774999"/>
    <n v="44.194539293647232"/>
    <n v="33"/>
  </r>
  <r>
    <d v="2026-04-16T15:00:00"/>
    <x v="1"/>
    <n v="15"/>
    <n v="22.27229877843612"/>
    <n v="23.503655766102771"/>
    <n v="23.083218195375"/>
    <n v="18.2"/>
    <n v="48.737387911652768"/>
    <n v="45.071651301838891"/>
    <n v="44.467538712788887"/>
    <n v="29"/>
  </r>
  <r>
    <d v="2026-04-16T16:00:00"/>
    <x v="1"/>
    <n v="16"/>
    <n v="22.122758641800001"/>
    <n v="23.454874565583332"/>
    <n v="23.0878370611"/>
    <n v="17.2"/>
    <n v="49.291111830863883"/>
    <n v="45.974657220388877"/>
    <n v="44.519789315702774"/>
    <n v="38"/>
  </r>
  <r>
    <d v="2026-04-16T17:00:00"/>
    <x v="1"/>
    <n v="17"/>
    <n v="22.025511597733331"/>
    <n v="23.434199994127781"/>
    <n v="23.080027733583329"/>
    <n v="16.8"/>
    <n v="50.90273515975278"/>
    <n v="48.08288611467222"/>
    <n v="44.685929680580557"/>
    <n v="42"/>
  </r>
  <r>
    <d v="2026-04-16T18:00:00"/>
    <x v="1"/>
    <n v="18"/>
    <n v="21.894782530583331"/>
    <n v="23.271941542022219"/>
    <n v="23.071138540883329"/>
    <n v="15.8"/>
    <n v="52.216538226852776"/>
    <n v="48.693885517694447"/>
    <n v="44.70541606369445"/>
    <n v="53"/>
  </r>
  <r>
    <d v="2026-04-16T19:00:00"/>
    <x v="1"/>
    <n v="19"/>
    <n v="21.53471824113333"/>
    <n v="23.039794255158331"/>
    <n v="23.066794193308329"/>
    <n v="14.2"/>
    <n v="44.229781528422222"/>
    <n v="42.200444491666673"/>
    <n v="44.692705726019447"/>
    <n v="56"/>
  </r>
  <r>
    <d v="2026-04-16T20:00:00"/>
    <x v="1"/>
    <n v="20"/>
    <n v="21.42982003681389"/>
    <n v="23.278890390658329"/>
    <n v="23.055238290730561"/>
    <n v="13"/>
    <n v="35.340365923527777"/>
    <n v="36.146869148625001"/>
    <n v="44.569080070233333"/>
    <n v="57"/>
  </r>
  <r>
    <d v="2026-04-16T21:00:00"/>
    <x v="1"/>
    <n v="21"/>
    <n v="21.561328633022221"/>
    <n v="23.282182064705559"/>
    <n v="23.04448597513333"/>
    <n v="12.8"/>
    <n v="35.178351125463891"/>
    <n v="37.865374236036111"/>
    <n v="44.379339957447222"/>
    <n v="56"/>
  </r>
  <r>
    <d v="2026-04-16T22:00:00"/>
    <x v="1"/>
    <n v="22"/>
    <n v="21.806308895400001"/>
    <n v="23.449480142322219"/>
    <n v="23.045734702724999"/>
    <n v="11.9"/>
    <n v="39.71054176361389"/>
    <n v="39.139154236708329"/>
    <n v="44.224012837261121"/>
    <n v="63"/>
  </r>
  <r>
    <d v="2026-04-16T23:00:00"/>
    <x v="1"/>
    <n v="23"/>
    <n v="21.986233558538888"/>
    <n v="23.292068487758328"/>
    <n v="23.049404747575"/>
    <n v="10.5"/>
    <n v="43.485472382580561"/>
    <n v="41.167063205722222"/>
    <n v="43.909477921530559"/>
    <n v="70"/>
  </r>
  <r>
    <d v="2026-04-17T00:00:00"/>
    <x v="1"/>
    <n v="0"/>
    <n v="21.998811919175001"/>
    <n v="23.323568030372218"/>
    <n v="23.043113643805551"/>
    <n v="9.9"/>
    <n v="44.750178926316657"/>
    <n v="42.247682755466663"/>
    <n v="43.662167193766663"/>
    <n v="70"/>
  </r>
  <r>
    <d v="2026-04-17T01:00:00"/>
    <x v="1"/>
    <n v="1"/>
    <n v="21.773543329841669"/>
    <n v="23.145780812988889"/>
    <n v="23.027931839605561"/>
    <n v="9.1999999999999993"/>
    <n v="46.247972303569441"/>
    <n v="42.869900601647217"/>
    <n v="43.486082229055562"/>
    <n v="71"/>
  </r>
  <r>
    <d v="2026-04-17T02:00:00"/>
    <x v="1"/>
    <n v="2"/>
    <n v="21.43725597078334"/>
    <n v="22.958369508250001"/>
    <n v="23.01705915877222"/>
    <n v="9"/>
    <n v="47.131948721363891"/>
    <n v="42.797593802008343"/>
    <n v="43.330562999569437"/>
    <n v="71"/>
  </r>
  <r>
    <d v="2026-04-17T03:00:00"/>
    <x v="1"/>
    <n v="3"/>
    <n v="21.248800799983329"/>
    <n v="22.81363946223334"/>
    <n v="22.999486006183329"/>
    <n v="10.4"/>
    <n v="47.460268307994447"/>
    <n v="42.76593852058889"/>
    <n v="43.192995819088893"/>
    <n v="68"/>
  </r>
  <r>
    <d v="2026-04-17T04:00:00"/>
    <x v="1"/>
    <n v="4"/>
    <n v="21.117081847358332"/>
    <n v="22.594169759338889"/>
    <n v="22.97684068518333"/>
    <n v="10.3"/>
    <n v="47.726707900080562"/>
    <n v="42.947265099530561"/>
    <n v="43.064002401244451"/>
    <n v="68"/>
  </r>
  <r>
    <d v="2026-04-17T05:00:00"/>
    <x v="1"/>
    <n v="5"/>
    <n v="21.039550730516659"/>
    <n v="22.518562647586108"/>
    <n v="22.936549583763892"/>
    <n v="10.4"/>
    <n v="47.827138435169452"/>
    <n v="42.999541123091667"/>
    <n v="42.974968699216667"/>
    <n v="67"/>
  </r>
  <r>
    <d v="2026-04-17T06:00:00"/>
    <x v="1"/>
    <n v="6"/>
    <n v="21.07869079472222"/>
    <n v="22.498327623119451"/>
    <n v="22.915277904694449"/>
    <n v="9.9"/>
    <n v="47.4333288622"/>
    <n v="43.143107460094448"/>
    <n v="42.889539282980557"/>
    <n v="67"/>
  </r>
  <r>
    <d v="2026-04-17T07:00:00"/>
    <x v="1"/>
    <n v="7"/>
    <n v="21.162714798622229"/>
    <n v="22.429777236730551"/>
    <n v="22.922609440791671"/>
    <n v="9.6999999999999993"/>
    <n v="46.956361280613883"/>
    <n v="43.236675036761113"/>
    <n v="42.80374687223334"/>
    <n v="70"/>
  </r>
  <r>
    <d v="2026-04-17T08:00:00"/>
    <x v="1"/>
    <n v="8"/>
    <n v="21.48351608685833"/>
    <n v="22.589016794561111"/>
    <n v="22.903712798661111"/>
    <n v="11.1"/>
    <n v="45.957095568438888"/>
    <n v="43.400807504722223"/>
    <n v="42.753865261841668"/>
    <n v="68"/>
  </r>
  <r>
    <d v="2026-04-17T09:00:00"/>
    <x v="1"/>
    <n v="9"/>
    <n v="21.829760028999999"/>
    <n v="22.682361678180559"/>
    <n v="22.904564695677781"/>
    <n v="12.2"/>
    <n v="45.181583493561121"/>
    <n v="43.777328485605558"/>
    <n v="42.71728544401666"/>
    <n v="65"/>
  </r>
  <r>
    <d v="2026-04-17T10:00:00"/>
    <x v="1"/>
    <n v="10"/>
    <n v="22.34045396036667"/>
    <n v="23.253458198091671"/>
    <n v="22.9100010244"/>
    <n v="14.1"/>
    <n v="45.064514548738877"/>
    <n v="44.343931400750002"/>
    <n v="42.774615491863891"/>
    <n v="61"/>
  </r>
  <r>
    <d v="2026-04-17T11:00:00"/>
    <x v="1"/>
    <n v="11"/>
    <n v="22.662003848133331"/>
    <n v="23.713104886941672"/>
    <n v="22.932702833572229"/>
    <n v="16.5"/>
    <n v="46.721119436336117"/>
    <n v="46.199133585422217"/>
    <n v="42.944375867600002"/>
    <n v="54"/>
  </r>
  <r>
    <d v="2026-04-17T12:00:00"/>
    <x v="1"/>
    <n v="12"/>
    <n v="22.761610894619441"/>
    <n v="24.012100782219441"/>
    <n v="23.006805119683332"/>
    <n v="17.7"/>
    <n v="46.507494362316663"/>
    <n v="45.976210628008339"/>
    <n v="46.139603070874998"/>
    <n v="39"/>
  </r>
  <r>
    <d v="2026-04-17T13:00:00"/>
    <x v="1"/>
    <n v="13"/>
    <n v="22.638724618866661"/>
    <n v="24.325589690925"/>
    <n v="23.240210470122221"/>
    <n v="18"/>
    <n v="44.508169637780561"/>
    <n v="43.216976626538887"/>
    <n v="51.580394191908333"/>
    <n v="37"/>
  </r>
  <r>
    <d v="2026-04-17T14:00:00"/>
    <x v="1"/>
    <n v="14"/>
    <n v="22.490667540430561"/>
    <n v="24.323565212302778"/>
    <n v="23.28948213628334"/>
    <n v="18.5"/>
    <n v="44.333289456630553"/>
    <n v="42.043969192661109"/>
    <n v="51.121750150522217"/>
    <n v="37"/>
  </r>
  <r>
    <d v="2026-04-17T15:00:00"/>
    <x v="1"/>
    <n v="15"/>
    <n v="22.331363018566659"/>
    <n v="24.296359773999999"/>
    <n v="23.28731835791945"/>
    <n v="16.7"/>
    <n v="43.028530905991673"/>
    <n v="42.276776513144448"/>
    <n v="51.198951777005547"/>
    <n v="53"/>
  </r>
  <r>
    <d v="2026-04-17T16:00:00"/>
    <x v="1"/>
    <n v="16"/>
    <n v="21.972734515969449"/>
    <n v="24.151784275705548"/>
    <n v="23.250735786105551"/>
    <n v="15.5"/>
    <n v="44.440581267486102"/>
    <n v="44.04207948327501"/>
    <n v="52.098298426641662"/>
    <n v="62"/>
  </r>
  <r>
    <d v="2026-04-17T17:00:00"/>
    <x v="1"/>
    <n v="17"/>
    <n v="21.624504269411108"/>
    <n v="23.860702105902771"/>
    <n v="23.149515287413891"/>
    <n v="13.8"/>
    <n v="47.41930667338611"/>
    <n v="46.626934062033342"/>
    <n v="51.198921684702782"/>
    <n v="71"/>
  </r>
  <r>
    <d v="2026-04-17T18:00:00"/>
    <x v="1"/>
    <n v="18"/>
    <n v="21.083209361005551"/>
    <n v="23.557480628688889"/>
    <n v="23.14747391341389"/>
    <n v="12.3"/>
    <n v="50.190876450444442"/>
    <n v="49.843423546261121"/>
    <n v="50.581201163897219"/>
    <n v="82"/>
  </r>
  <r>
    <d v="2026-04-17T19:00:00"/>
    <x v="1"/>
    <n v="19"/>
    <n v="20.509242823594441"/>
    <n v="23.260151930997221"/>
    <n v="23.126363465897221"/>
    <n v="11.6"/>
    <n v="51.544124430108333"/>
    <n v="50.970693354700003"/>
    <n v="50.136778935397217"/>
    <n v="89"/>
  </r>
  <r>
    <d v="2026-04-17T20:00:00"/>
    <x v="1"/>
    <n v="20"/>
    <n v="20.151326328372221"/>
    <n v="23.078582123486111"/>
    <n v="23.11513905831389"/>
    <n v="10.9"/>
    <n v="52.162980402286109"/>
    <n v="51.504007250905552"/>
    <n v="50.024112702416673"/>
    <n v="94"/>
  </r>
  <r>
    <d v="2026-04-17T21:00:00"/>
    <x v="1"/>
    <n v="21"/>
    <n v="20.118798445244451"/>
    <n v="23.22418468955556"/>
    <n v="23.100224612644439"/>
    <n v="10.8"/>
    <n v="54.331353888888891"/>
    <n v="50.740783473519443"/>
    <n v="49.510356582119442"/>
    <n v="95"/>
  </r>
  <r>
    <d v="2026-04-17T22:00:00"/>
    <x v="1"/>
    <n v="22"/>
    <n v="21.318685551744441"/>
    <n v="23.343139209783331"/>
    <n v="23.08008538704166"/>
    <n v="10.4"/>
    <n v="57.235069779641663"/>
    <n v="51.670483282263888"/>
    <n v="48.20477590182778"/>
    <n v="96"/>
  </r>
  <r>
    <d v="2026-04-17T23:00:00"/>
    <x v="1"/>
    <n v="23"/>
    <n v="21.579292388224999"/>
    <n v="23.396447187425"/>
    <n v="23.061151098633331"/>
    <n v="10.3"/>
    <n v="58.137360297427783"/>
    <n v="52.992006067025002"/>
    <n v="47.304694549361109"/>
    <n v="95"/>
  </r>
  <r>
    <d v="2026-04-18T00:00:00"/>
    <x v="1"/>
    <n v="0"/>
    <n v="21.608359177466671"/>
    <n v="23.714174446269439"/>
    <n v="23.06058327488056"/>
    <n v="10"/>
    <n v="59.061964143369437"/>
    <n v="53.228399259930548"/>
    <n v="46.696538191591657"/>
    <n v="96"/>
  </r>
  <r>
    <d v="2026-04-18T01:00:00"/>
    <x v="1"/>
    <n v="1"/>
    <n v="21.940770882224999"/>
    <n v="23.842044223388889"/>
    <n v="23.053238646080551"/>
    <n v="9.6999999999999993"/>
    <n v="57.604079056113903"/>
    <n v="50.751585868761111"/>
    <n v="46.195225302633332"/>
    <n v="95"/>
  </r>
  <r>
    <d v="2026-04-18T02:00:00"/>
    <x v="1"/>
    <n v="2"/>
    <n v="22.023277349627779"/>
    <n v="23.716893981508331"/>
    <n v="23.217176783555551"/>
    <n v="9.4"/>
    <n v="54.924535452586113"/>
    <n v="49.418402890836113"/>
    <n v="48.507881095544441"/>
    <n v="94"/>
  </r>
  <r>
    <d v="2026-04-18T03:00:00"/>
    <x v="1"/>
    <n v="3"/>
    <n v="21.637348802608329"/>
    <n v="23.363431764327771"/>
    <n v="23.287284721533339"/>
    <n v="8.4"/>
    <n v="56.435839740669437"/>
    <n v="50.986447415702777"/>
    <n v="50.303183775130563"/>
    <n v="87"/>
  </r>
  <r>
    <d v="2026-04-18T04:00:00"/>
    <x v="1"/>
    <n v="4"/>
    <n v="21.349848876836109"/>
    <n v="23.01681313694445"/>
    <n v="23.14077243248612"/>
    <n v="8.3000000000000007"/>
    <n v="58.036121696400002"/>
    <n v="52.191051156577778"/>
    <n v="47.778290291522218"/>
    <n v="86"/>
  </r>
  <r>
    <d v="2026-04-18T05:00:00"/>
    <x v="1"/>
    <n v="5"/>
    <n v="21.162578131122221"/>
    <n v="22.789099486136109"/>
    <n v="23.079030997675002"/>
    <n v="8.1"/>
    <n v="58.172823880708343"/>
    <n v="52.027143411883337"/>
    <n v="46.821186897230561"/>
    <n v="88"/>
  </r>
  <r>
    <d v="2026-04-18T06:00:00"/>
    <x v="1"/>
    <n v="6"/>
    <n v="21.022258283705561"/>
    <n v="22.62188242537778"/>
    <n v="23.03944830091389"/>
    <n v="7.7"/>
    <n v="57.860300389797217"/>
    <n v="51.441680846369437"/>
    <n v="46.315571548222223"/>
    <n v="93"/>
  </r>
  <r>
    <d v="2026-04-18T07:00:00"/>
    <x v="1"/>
    <n v="7"/>
    <n v="20.96963351300834"/>
    <n v="22.628553117994439"/>
    <n v="23.018182065861112"/>
    <n v="7.9"/>
    <n v="57.548173604063891"/>
    <n v="50.871713611683333"/>
    <n v="45.938337492886113"/>
    <n v="92"/>
  </r>
  <r>
    <d v="2026-04-18T08:00:00"/>
    <x v="1"/>
    <n v="8"/>
    <n v="21.00625689850833"/>
    <n v="22.433994478902768"/>
    <n v="22.98841753383612"/>
    <n v="8.1"/>
    <n v="56.985911599872232"/>
    <n v="50.907266208297223"/>
    <n v="45.676461372797228"/>
    <n v="91"/>
  </r>
  <r>
    <d v="2026-04-18T09:00:00"/>
    <x v="1"/>
    <n v="9"/>
    <n v="21.096863846647221"/>
    <n v="22.413455640708332"/>
    <n v="22.962556185383331"/>
    <n v="8.3000000000000007"/>
    <n v="55.887392836572218"/>
    <n v="50.241900686230558"/>
    <n v="45.425000517330552"/>
    <n v="91"/>
  </r>
  <r>
    <d v="2026-04-18T10:00:00"/>
    <x v="1"/>
    <n v="10"/>
    <n v="21.39428576755278"/>
    <n v="22.482544034475001"/>
    <n v="22.950097331077782"/>
    <n v="9.1999999999999993"/>
    <n v="54.185747757827777"/>
    <n v="50.045168505686107"/>
    <n v="45.22668872039722"/>
    <n v="86"/>
  </r>
  <r>
    <d v="2026-04-18T11:00:00"/>
    <x v="1"/>
    <n v="11"/>
    <n v="21.572147690605561"/>
    <n v="22.536068066088891"/>
    <n v="22.944166399063889"/>
    <n v="10.199999999999999"/>
    <n v="53.589890942438892"/>
    <n v="49.777169087166669"/>
    <n v="45.091813286138887"/>
    <n v="75"/>
  </r>
  <r>
    <d v="2026-04-18T12:00:00"/>
    <x v="1"/>
    <n v="12"/>
    <n v="21.68267804026944"/>
    <n v="23.017691255236109"/>
    <n v="22.943846765719439"/>
    <n v="10.7"/>
    <n v="54.556908719736121"/>
    <n v="53.16697418721111"/>
    <n v="44.911281158152782"/>
    <n v="73"/>
  </r>
  <r>
    <d v="2026-04-18T13:00:00"/>
    <x v="1"/>
    <n v="13"/>
    <n v="21.601675815191669"/>
    <n v="23.299364873616671"/>
    <n v="22.950930630491669"/>
    <n v="10.7"/>
    <n v="55.906831304038889"/>
    <n v="51.643062337555563"/>
    <n v="44.841657768211121"/>
    <n v="73"/>
  </r>
  <r>
    <d v="2026-04-18T14:00:00"/>
    <x v="1"/>
    <n v="14"/>
    <n v="21.505529659025001"/>
    <n v="23.210351278877781"/>
    <n v="22.947347931330551"/>
    <n v="10.6"/>
    <n v="55.311942274022222"/>
    <n v="49.851404672786117"/>
    <n v="44.763057847097222"/>
    <n v="76"/>
  </r>
  <r>
    <d v="2026-04-18T15:00:00"/>
    <x v="1"/>
    <n v="15"/>
    <n v="21.292203336716671"/>
    <n v="22.935198584022221"/>
    <n v="22.95155537199166"/>
    <n v="10.4"/>
    <n v="53.981678600077771"/>
    <n v="48.21522542867222"/>
    <n v="44.707765337586117"/>
    <n v="80"/>
  </r>
  <r>
    <d v="2026-04-18T16:00:00"/>
    <x v="1"/>
    <n v="16"/>
    <n v="21.082734049180559"/>
    <n v="22.752975411508331"/>
    <n v="22.948249730724999"/>
    <n v="10.3"/>
    <n v="52.030214140805562"/>
    <n v="47.181381707594447"/>
    <n v="44.652334506024999"/>
    <n v="84"/>
  </r>
  <r>
    <d v="2026-04-18T17:00:00"/>
    <x v="1"/>
    <n v="17"/>
    <n v="20.94426264866112"/>
    <n v="22.82887872825556"/>
    <n v="22.944403449863891"/>
    <n v="10"/>
    <n v="51.404198499544442"/>
    <n v="46.744463705266668"/>
    <n v="44.616681185686112"/>
    <n v="85"/>
  </r>
  <r>
    <d v="2026-04-18T18:00:00"/>
    <x v="1"/>
    <n v="18"/>
    <n v="20.965848340830551"/>
    <n v="23.056669070363888"/>
    <n v="22.97185602485278"/>
    <n v="9.4"/>
    <n v="53.562221092402773"/>
    <n v="47.637246702280557"/>
    <n v="45.839355556938891"/>
    <n v="95"/>
  </r>
  <r>
    <d v="2026-04-18T19:00:00"/>
    <x v="1"/>
    <n v="19"/>
    <n v="21.052539400563891"/>
    <n v="23.23538328820834"/>
    <n v="23.071043864930559"/>
    <n v="8.9"/>
    <n v="53.243251351894443"/>
    <n v="47.298585486402779"/>
    <n v="53.456586083336113"/>
    <n v="96"/>
  </r>
  <r>
    <d v="2026-04-18T20:00:00"/>
    <x v="1"/>
    <n v="20"/>
    <n v="21.265120354002779"/>
    <n v="23.397509622552771"/>
    <n v="23.21455891415"/>
    <n v="8.5"/>
    <n v="54.350165180066682"/>
    <n v="47.608941596086112"/>
    <n v="54.271493700972222"/>
    <n v="96"/>
  </r>
  <r>
    <d v="2026-04-18T21:00:00"/>
    <x v="1"/>
    <n v="21"/>
    <n v="21.334333656711109"/>
    <n v="23.337284607972219"/>
    <n v="23.483185031230558"/>
    <n v="8.6"/>
    <n v="53.620337881219449"/>
    <n v="48.204672831308329"/>
    <n v="54.300656182725"/>
    <n v="97"/>
  </r>
  <r>
    <d v="2026-04-18T22:00:00"/>
    <x v="1"/>
    <n v="22"/>
    <n v="21.457380303116661"/>
    <n v="23.36338850469722"/>
    <n v="23.282445537241671"/>
    <n v="8.6"/>
    <n v="54.08533418253888"/>
    <n v="50.038536672141667"/>
    <n v="49.534798939544451"/>
    <n v="97"/>
  </r>
  <r>
    <d v="2026-04-18T23:00:00"/>
    <x v="1"/>
    <n v="23"/>
    <n v="21.82233468973056"/>
    <n v="23.26468463417778"/>
    <n v="23.22597274332222"/>
    <n v="8.3000000000000007"/>
    <n v="53.246943887669438"/>
    <n v="49.649473873786107"/>
    <n v="47.974136191027767"/>
    <n v="97"/>
  </r>
  <r>
    <d v="2026-04-19T00:00:00"/>
    <x v="1"/>
    <n v="0"/>
    <n v="21.938748834986111"/>
    <n v="23.293882935572221"/>
    <n v="23.193917114616671"/>
    <n v="8.1"/>
    <n v="52.49098146294444"/>
    <n v="48.163535596944449"/>
    <n v="47.159171652155557"/>
    <n v="97"/>
  </r>
  <r>
    <d v="2026-04-19T01:00:00"/>
    <x v="1"/>
    <n v="1"/>
    <n v="22.034938011416671"/>
    <n v="23.294709075730559"/>
    <n v="23.203194720036109"/>
    <n v="7.9"/>
    <n v="51.64599300216944"/>
    <n v="47.395885827719447"/>
    <n v="46.598806288919441"/>
    <n v="97"/>
  </r>
  <r>
    <d v="2026-04-19T02:00:00"/>
    <x v="1"/>
    <n v="2"/>
    <n v="21.951461406447219"/>
    <n v="23.258446601155551"/>
    <n v="23.21102958042778"/>
    <n v="8"/>
    <n v="51.503672347633326"/>
    <n v="47.70663232375"/>
    <n v="46.184424947772222"/>
    <n v="94"/>
  </r>
  <r>
    <d v="2026-04-19T03:00:00"/>
    <x v="1"/>
    <n v="3"/>
    <n v="21.541563597825"/>
    <n v="22.924913008669449"/>
    <n v="23.188235899011119"/>
    <n v="7.8"/>
    <n v="51.836224314741663"/>
    <n v="48.043715543241667"/>
    <n v="45.920944791972232"/>
    <n v="91"/>
  </r>
  <r>
    <d v="2026-04-19T04:00:00"/>
    <x v="1"/>
    <n v="4"/>
    <n v="21.319114006608331"/>
    <n v="22.83928828608056"/>
    <n v="23.159069072636111"/>
    <n v="7.8"/>
    <n v="51.737956125441663"/>
    <n v="47.591571701272223"/>
    <n v="45.721235812072223"/>
    <n v="94"/>
  </r>
  <r>
    <d v="2026-04-19T05:00:00"/>
    <x v="1"/>
    <n v="5"/>
    <n v="21.201295347011111"/>
    <n v="22.804532204697221"/>
    <n v="23.152083449991661"/>
    <n v="7.7"/>
    <n v="51.733096025088891"/>
    <n v="47.150604476036122"/>
    <n v="45.538553774725003"/>
    <n v="95"/>
  </r>
  <r>
    <d v="2026-04-19T06:00:00"/>
    <x v="1"/>
    <n v="6"/>
    <n v="21.114253798413891"/>
    <n v="22.55506959885556"/>
    <n v="23.133722341036108"/>
    <n v="7.4"/>
    <n v="51.6090568272"/>
    <n v="47.436344937877777"/>
    <n v="45.387817384741659"/>
    <n v="97"/>
  </r>
  <r>
    <d v="2026-04-19T07:00:00"/>
    <x v="1"/>
    <n v="7"/>
    <n v="21.100278246097229"/>
    <n v="22.529447772380561"/>
    <n v="23.117304467961109"/>
    <n v="7.5"/>
    <n v="51.213618413055563"/>
    <n v="47.120484814222223"/>
    <n v="45.246969818136108"/>
    <n v="95"/>
  </r>
  <r>
    <d v="2026-04-19T08:00:00"/>
    <x v="1"/>
    <n v="8"/>
    <n v="21.137680227425001"/>
    <n v="22.44818878941944"/>
    <n v="23.095374848077778"/>
    <n v="8"/>
    <n v="50.801657994669448"/>
    <n v="46.886123618461113"/>
    <n v="45.125386317791673"/>
    <n v="94"/>
  </r>
  <r>
    <d v="2026-04-19T09:00:00"/>
    <x v="1"/>
    <n v="9"/>
    <n v="21.345811152480561"/>
    <n v="22.50020525848889"/>
    <n v="23.07045736776945"/>
    <n v="8.8000000000000007"/>
    <n v="49.812823001775001"/>
    <n v="46.433623047813889"/>
    <n v="45.028067483277773"/>
    <n v="87"/>
  </r>
  <r>
    <d v="2026-04-19T10:00:00"/>
    <x v="1"/>
    <n v="10"/>
    <n v="21.355251429386112"/>
    <n v="22.546878126161111"/>
    <n v="23.06827807746944"/>
    <n v="10.1"/>
    <n v="49.587718497880552"/>
    <n v="46.06905776245555"/>
    <n v="44.921789274200002"/>
    <n v="76"/>
  </r>
  <r>
    <d v="2026-04-19T11:00:00"/>
    <x v="1"/>
    <n v="11"/>
    <n v="21.27088877066112"/>
    <n v="22.40788444730833"/>
    <n v="23.045693325138888"/>
    <n v="10.5"/>
    <n v="49.854818116358331"/>
    <n v="46.226760623799997"/>
    <n v="44.870680191902778"/>
    <n v="74"/>
  </r>
  <r>
    <d v="2026-04-19T12:00:00"/>
    <x v="1"/>
    <n v="12"/>
    <n v="21.252500120194441"/>
    <n v="22.4955181853"/>
    <n v="23.01594307746112"/>
    <n v="10.8"/>
    <n v="49.89992339133611"/>
    <n v="46.977872627833342"/>
    <n v="44.824093173708341"/>
    <n v="72"/>
  </r>
  <r>
    <d v="2026-04-19T13:00:00"/>
    <x v="1"/>
    <n v="13"/>
    <n v="21.243063377919441"/>
    <n v="22.810416830547229"/>
    <n v="23.019195834947219"/>
    <n v="9.6999999999999993"/>
    <n v="50.889806984083343"/>
    <n v="48.644287979141673"/>
    <n v="44.72099737372222"/>
    <n v="74"/>
  </r>
  <r>
    <d v="2026-04-19T14:00:00"/>
    <x v="1"/>
    <n v="14"/>
    <n v="21.252330609147229"/>
    <n v="23.12422269704723"/>
    <n v="23.034806716944441"/>
    <n v="9.8000000000000007"/>
    <n v="53.441598697049997"/>
    <n v="48.051080185611113"/>
    <n v="44.67823604863333"/>
    <n v="73"/>
  </r>
  <r>
    <d v="2026-04-19T15:00:00"/>
    <x v="1"/>
    <n v="15"/>
    <n v="21.314628354438891"/>
    <n v="22.94647548570833"/>
    <n v="23.049750173033331"/>
    <n v="9.1"/>
    <n v="53.265960547311117"/>
    <n v="48.527223883344448"/>
    <n v="44.593661843938889"/>
    <n v="71"/>
  </r>
  <r>
    <d v="2026-04-19T16:00:00"/>
    <x v="1"/>
    <n v="16"/>
    <n v="21.062908781444449"/>
    <n v="22.650836622541661"/>
    <n v="23.053444566444441"/>
    <n v="9.1"/>
    <n v="51.207868201122217"/>
    <n v="47.20664834454444"/>
    <n v="44.527650537583327"/>
    <n v="69"/>
  </r>
  <r>
    <d v="2026-04-19T17:00:00"/>
    <x v="1"/>
    <n v="17"/>
    <n v="21.110130768772219"/>
    <n v="21.935999993341671"/>
    <n v="23.239260123849999"/>
    <n v="8.8000000000000007"/>
    <n v="50.571894990366673"/>
    <n v="50.038811085913892"/>
    <n v="51.020005514388892"/>
    <n v="66"/>
  </r>
  <r>
    <d v="2026-04-19T18:00:00"/>
    <x v="1"/>
    <n v="18"/>
    <n v="21.292472990730559"/>
    <n v="22.744043234508339"/>
    <n v="23.24547054388611"/>
    <n v="8.5"/>
    <n v="52.340578808219448"/>
    <n v="49.322106788452778"/>
    <n v="51.023257729411121"/>
    <n v="62"/>
  </r>
  <r>
    <d v="2026-04-19T19:00:00"/>
    <x v="1"/>
    <n v="19"/>
    <n v="21.22901040533333"/>
    <n v="22.98846301203611"/>
    <n v="23.20245416468056"/>
    <n v="8"/>
    <n v="53.708940906144448"/>
    <n v="50.243929358197221"/>
    <n v="47.944928382611117"/>
    <n v="63"/>
  </r>
  <r>
    <d v="2026-04-19T20:00:00"/>
    <x v="1"/>
    <n v="20"/>
    <n v="21.24471185317222"/>
    <n v="23.062899321647219"/>
    <n v="23.243909734630549"/>
    <n v="7.6"/>
    <n v="54.073351543874999"/>
    <n v="49.840085871322223"/>
    <n v="48.113063850933337"/>
    <n v="63"/>
  </r>
  <r>
    <d v="2026-04-19T21:00:00"/>
    <x v="1"/>
    <n v="21"/>
    <n v="21.298870114119438"/>
    <n v="22.989743145449999"/>
    <n v="23.307352815383339"/>
    <n v="6.9"/>
    <n v="53.157125595308337"/>
    <n v="49.001897884969438"/>
    <n v="46.806473585205559"/>
    <n v="68"/>
  </r>
  <r>
    <d v="2026-04-19T22:00:00"/>
    <x v="1"/>
    <n v="22"/>
    <n v="21.164143100541661"/>
    <n v="22.701529801300001"/>
    <n v="23.387545090747221"/>
    <n v="5.3"/>
    <n v="53.38309886778611"/>
    <n v="49.197888340258338"/>
    <n v="46.627398739197233"/>
    <n v="72"/>
  </r>
  <r>
    <d v="2026-04-19T23:00:00"/>
    <x v="1"/>
    <n v="23"/>
    <n v="21.192580049183331"/>
    <n v="23.117366006274999"/>
    <n v="23.428834247525"/>
    <n v="4.3"/>
    <n v="53.941609878377768"/>
    <n v="49.070982520658333"/>
    <n v="46.628792057086123"/>
    <n v="76"/>
  </r>
  <r>
    <d v="2026-04-20T00:00:00"/>
    <x v="1"/>
    <n v="0"/>
    <n v="21.527889536788891"/>
    <n v="23.096752760997219"/>
    <n v="23.411915072683328"/>
    <n v="3.6"/>
    <n v="50.035468937277777"/>
    <n v="45.953013143822233"/>
    <n v="45.383354587649997"/>
    <n v="80"/>
  </r>
  <r>
    <d v="2026-04-20T01:00:00"/>
    <x v="1"/>
    <n v="1"/>
    <n v="21.55925781178334"/>
    <n v="23.048295228233329"/>
    <n v="23.423445795886121"/>
    <n v="2.9"/>
    <n v="47.880303682369451"/>
    <n v="44.900425051880553"/>
    <n v="45.106635476224987"/>
    <n v="83"/>
  </r>
  <r>
    <d v="2026-04-20T02:00:00"/>
    <x v="1"/>
    <n v="2"/>
    <n v="21.509759511799999"/>
    <n v="23.031478634930551"/>
    <n v="23.44231990704445"/>
    <n v="2.2000000000000002"/>
    <n v="48.10434959335555"/>
    <n v="44.791221805124998"/>
    <n v="44.594938256386122"/>
    <n v="86"/>
  </r>
  <r>
    <d v="2026-04-20T03:00:00"/>
    <x v="1"/>
    <n v="3"/>
    <n v="21.304029627430559"/>
    <n v="22.800579955588891"/>
    <n v="23.403520213149999"/>
    <n v="2"/>
    <n v="48.77328533334444"/>
    <n v="45.214239305349992"/>
    <n v="44.453868332847229"/>
    <n v="84"/>
  </r>
  <r>
    <d v="2026-04-20T04:00:00"/>
    <x v="1"/>
    <n v="4"/>
    <n v="20.795831473941671"/>
    <n v="22.513286905030551"/>
    <n v="23.31254650975"/>
    <n v="1.4"/>
    <n v="50.103701110022222"/>
    <n v="44.973765568394441"/>
    <n v="44.097386082111122"/>
    <n v="86"/>
  </r>
  <r>
    <d v="2026-04-20T05:00:00"/>
    <x v="1"/>
    <n v="5"/>
    <n v="20.533235704744449"/>
    <n v="22.112171741569441"/>
    <n v="23.237739968416669"/>
    <n v="1"/>
    <n v="50.146832719525001"/>
    <n v="44.953498795666668"/>
    <n v="43.828309175052773"/>
    <n v="86"/>
  </r>
  <r>
    <d v="2026-04-20T06:00:00"/>
    <x v="1"/>
    <n v="6"/>
    <n v="21.141977287169439"/>
    <n v="22.21928183627222"/>
    <n v="23.165186576455561"/>
    <n v="0.7"/>
    <n v="47.183394333069451"/>
    <n v="44.253510398125002"/>
    <n v="43.592746293155557"/>
    <n v="87"/>
  </r>
  <r>
    <d v="2026-04-20T07:00:00"/>
    <x v="1"/>
    <n v="7"/>
    <n v="21.830984142999998"/>
    <n v="22.697285957108331"/>
    <n v="23.11519205662778"/>
    <n v="1.5"/>
    <n v="44.601864059747221"/>
    <n v="43.630609704208332"/>
    <n v="43.413828700397232"/>
    <n v="86"/>
  </r>
  <r>
    <d v="2026-04-20T08:00:00"/>
    <x v="1"/>
    <n v="8"/>
    <n v="21.878282304350002"/>
    <n v="22.84923066591945"/>
    <n v="23.106570124511109"/>
    <n v="3.2"/>
    <n v="45.135890620394441"/>
    <n v="43.523953588938888"/>
    <n v="43.25546797943889"/>
    <n v="79"/>
  </r>
  <r>
    <d v="2026-04-20T09:00:00"/>
    <x v="1"/>
    <n v="9"/>
    <n v="21.50758368303612"/>
    <n v="22.505547408630552"/>
    <n v="23.077206888755551"/>
    <n v="5"/>
    <n v="46.656148421780557"/>
    <n v="44.754197780288877"/>
    <n v="43.17001017848056"/>
    <n v="69"/>
  </r>
  <r>
    <d v="2026-04-20T10:00:00"/>
    <x v="1"/>
    <n v="10"/>
    <n v="21.18451494273889"/>
    <n v="22.336212194169441"/>
    <n v="23.063399540627771"/>
    <n v="6.2"/>
    <n v="47.600499894252778"/>
    <n v="44.43662226738612"/>
    <n v="43.077973917474999"/>
    <n v="56"/>
  </r>
  <r>
    <d v="2026-04-20T11:00:00"/>
    <x v="1"/>
    <n v="11"/>
    <n v="21.460991661080559"/>
    <n v="22.593636503238891"/>
    <n v="23.052750221813891"/>
    <n v="6.7"/>
    <n v="46.684032225330562"/>
    <n v="44.973030336866657"/>
    <n v="43.03507560907223"/>
    <n v="51"/>
  </r>
  <r>
    <d v="2026-04-20T12:00:00"/>
    <x v="1"/>
    <n v="12"/>
    <n v="21.710647508791659"/>
    <n v="22.99390957455833"/>
    <n v="23.046318187933331"/>
    <n v="7.5"/>
    <n v="47.384362169088888"/>
    <n v="46.204611288319448"/>
    <n v="43.03642380262778"/>
    <n v="48"/>
  </r>
  <r>
    <d v="2026-04-20T13:00:00"/>
    <x v="1"/>
    <n v="13"/>
    <n v="21.810489690863889"/>
    <n v="23.099580083513889"/>
    <n v="23.048903350083339"/>
    <n v="7.6"/>
    <n v="48.782350154583327"/>
    <n v="46.709811866175002"/>
    <n v="42.996306799386112"/>
    <n v="49"/>
  </r>
  <r>
    <d v="2026-04-20T14:00:00"/>
    <x v="1"/>
    <n v="14"/>
    <n v="22.022209861741668"/>
    <n v="23.345844979605559"/>
    <n v="23.049111016049999"/>
    <n v="7.8"/>
    <n v="49.443706877813888"/>
    <n v="48.194693192022221"/>
    <n v="43.021120510774999"/>
    <n v="50"/>
  </r>
  <r>
    <d v="2026-04-20T15:00:00"/>
    <x v="1"/>
    <n v="15"/>
    <n v="21.970227520419449"/>
    <n v="23.323609928277779"/>
    <n v="23.05087649127778"/>
    <n v="7.2"/>
    <n v="49.538022155913893"/>
    <n v="47.088718042894442"/>
    <n v="42.988703894100013"/>
    <n v="53"/>
  </r>
  <r>
    <d v="2026-04-20T16:00:00"/>
    <x v="1"/>
    <n v="16"/>
    <n v="21.897899855161111"/>
    <n v="23.35541612719722"/>
    <n v="23.115156310708329"/>
    <n v="7.1"/>
    <n v="49.277076082819441"/>
    <n v="46.018993303561111"/>
    <n v="45.823785857355553"/>
    <n v="54"/>
  </r>
  <r>
    <d v="2026-04-20T17:00:00"/>
    <x v="1"/>
    <n v="17"/>
    <n v="21.8523744112"/>
    <n v="23.32838053764722"/>
    <n v="23.15310299900834"/>
    <n v="6.8"/>
    <n v="50.119881552769442"/>
    <n v="46.491444255674999"/>
    <n v="48.343006276808332"/>
    <n v="54"/>
  </r>
  <r>
    <d v="2026-04-20T18:00:00"/>
    <x v="1"/>
    <n v="18"/>
    <n v="21.680074109930551"/>
    <n v="23.092641427819441"/>
    <n v="23.10368897718611"/>
    <n v="6.6"/>
    <n v="52.970367876958328"/>
    <n v="50.811666700355552"/>
    <n v="45.550065288205559"/>
    <n v="57"/>
  </r>
  <r>
    <d v="2026-04-20T19:00:00"/>
    <x v="1"/>
    <n v="19"/>
    <n v="21.343529400600001"/>
    <n v="23.491320271080561"/>
    <n v="23.073687710697211"/>
    <n v="6.1"/>
    <n v="52.957145194283328"/>
    <n v="48.043009968080561"/>
    <n v="44.96642812176389"/>
    <n v="60"/>
  </r>
  <r>
    <d v="2026-04-20T20:00:00"/>
    <x v="1"/>
    <n v="20"/>
    <n v="21.182628433266672"/>
    <n v="23.28846039225278"/>
    <n v="23.056517614474998"/>
    <n v="5.6"/>
    <n v="52.239062199830563"/>
    <n v="47.184895807277783"/>
    <n v="55.327626205180557"/>
    <n v="65"/>
  </r>
  <r>
    <d v="2026-04-20T21:00:00"/>
    <x v="1"/>
    <n v="21"/>
    <n v="21.250813668063891"/>
    <n v="23.833341334791669"/>
    <n v="22.965745235075001"/>
    <n v="5.3"/>
    <n v="52.530280022861113"/>
    <n v="45.271717798036107"/>
    <n v="55.047001585063889"/>
    <n v="68"/>
  </r>
  <r>
    <d v="2026-04-20T22:00:00"/>
    <x v="1"/>
    <n v="22"/>
    <n v="21.338938561627771"/>
    <n v="23.713125590016659"/>
    <n v="22.88779948466944"/>
    <n v="4.4000000000000004"/>
    <n v="51.37527794481111"/>
    <n v="44.264863508197223"/>
    <n v="54.113832101744443"/>
    <n v="74"/>
  </r>
  <r>
    <d v="2026-04-20T23:00:00"/>
    <x v="1"/>
    <n v="23"/>
    <n v="21.32189348036389"/>
    <n v="23.706540246561111"/>
    <n v="22.967055579352781"/>
    <n v="3.8"/>
    <n v="50.122806209875002"/>
    <n v="44.766633627386113"/>
    <n v="48.498549541569453"/>
    <n v="77"/>
  </r>
  <r>
    <d v="2026-04-21T00:00:00"/>
    <x v="1"/>
    <n v="0"/>
    <n v="21.249946048483331"/>
    <n v="23.860511878502781"/>
    <n v="23.10983326657222"/>
    <n v="3.2"/>
    <n v="51.168216463969443"/>
    <n v="45.790694542952771"/>
    <n v="47.608902574047221"/>
    <n v="77"/>
  </r>
  <r>
    <d v="2026-04-21T01:00:00"/>
    <x v="1"/>
    <n v="1"/>
    <n v="21.295987325502772"/>
    <n v="23.672799570199999"/>
    <n v="23.18828425845"/>
    <n v="2.4"/>
    <n v="51.338796317575003"/>
    <n v="45.550233336408333"/>
    <n v="46.156199278180559"/>
    <n v="82"/>
  </r>
  <r>
    <d v="2026-04-21T02:00:00"/>
    <x v="1"/>
    <n v="2"/>
    <n v="21.312929036174999"/>
    <n v="23.254761842105559"/>
    <n v="23.20148435666389"/>
    <n v="1.7"/>
    <n v="50.25251616615833"/>
    <n v="45.915733783636107"/>
    <n v="44.99341641311667"/>
    <n v="85"/>
  </r>
  <r>
    <d v="2026-04-21T03:00:00"/>
    <x v="1"/>
    <n v="3"/>
    <n v="21.04161078336945"/>
    <n v="22.791417662225001"/>
    <n v="23.23688557137222"/>
    <n v="1.3"/>
    <n v="49.576049239644441"/>
    <n v="44.898807218066672"/>
    <n v="46.788593485275008"/>
    <n v="85"/>
  </r>
  <r>
    <d v="2026-04-21T04:00:00"/>
    <x v="1"/>
    <n v="4"/>
    <n v="20.540109613952779"/>
    <n v="22.471837781036111"/>
    <n v="23.138836842444441"/>
    <n v="0.5"/>
    <n v="49.626674618975002"/>
    <n v="43.647292392650002"/>
    <n v="44.653775932352779"/>
    <n v="86"/>
  </r>
  <r>
    <d v="2026-04-21T05:00:00"/>
    <x v="1"/>
    <n v="5"/>
    <n v="20.30207293405833"/>
    <n v="22.184372526788891"/>
    <n v="23.071893868430561"/>
    <n v="-0.3"/>
    <n v="49.100082471127777"/>
    <n v="43.055729836205558"/>
    <n v="43.875771508905558"/>
    <n v="86"/>
  </r>
  <r>
    <d v="2026-04-21T06:00:00"/>
    <x v="1"/>
    <n v="6"/>
    <n v="20.90100403920912"/>
    <n v="22.396531915971739"/>
    <n v="23.018562146598949"/>
    <n v="-0.4"/>
    <n v="46.374308982922081"/>
    <n v="42.492009101324783"/>
    <n v="43.421900642576851"/>
    <n v="87"/>
  </r>
  <r>
    <d v="2026-04-21T07:00:00"/>
    <x v="1"/>
    <n v="7"/>
    <n v="21.61678416333611"/>
    <n v="22.755536296405559"/>
    <n v="22.942984937322219"/>
    <n v="1"/>
    <n v="43.309637878905562"/>
    <n v="41.878125966627771"/>
    <n v="43.089382704994442"/>
    <n v="86"/>
  </r>
  <r>
    <d v="2026-04-21T08:00:00"/>
    <x v="1"/>
    <n v="8"/>
    <n v="22.08899847354445"/>
    <n v="23.204567542116671"/>
    <n v="22.823680382047218"/>
    <n v="3.2"/>
    <n v="43.047733623788893"/>
    <n v="41.445635293380562"/>
    <n v="42.85955923100834"/>
    <n v="80"/>
  </r>
  <r>
    <d v="2026-04-21T09:00:00"/>
    <x v="1"/>
    <n v="9"/>
    <n v="22.254524490441671"/>
    <n v="23.404572383580561"/>
    <n v="22.742639189661109"/>
    <n v="5.0999999999999996"/>
    <n v="43.530156853027783"/>
    <n v="41.829636858469442"/>
    <n v="42.705108415044442"/>
    <n v="70"/>
  </r>
  <r>
    <d v="2026-04-21T10:00:00"/>
    <x v="1"/>
    <n v="10"/>
    <n v="22.03549391474445"/>
    <n v="23.320397573194441"/>
    <n v="22.675749916605561"/>
    <n v="6.6"/>
    <n v="44.955464686002777"/>
    <n v="42.977053665769439"/>
    <n v="42.575432054847219"/>
    <n v="58"/>
  </r>
  <r>
    <d v="2026-04-21T11:00:00"/>
    <x v="1"/>
    <n v="11"/>
    <n v="22.060800766374999"/>
    <n v="23.510583074438891"/>
    <n v="22.654734273422221"/>
    <n v="7.5"/>
    <n v="45.659968903677793"/>
    <n v="43.577607166394444"/>
    <n v="42.947202293336112"/>
    <n v="49"/>
  </r>
  <r>
    <d v="2026-04-21T12:00:00"/>
    <x v="1"/>
    <n v="12"/>
    <n v="22.152272063224999"/>
    <n v="23.215732220238891"/>
    <n v="22.71509267416112"/>
    <n v="7.9"/>
    <n v="45.564361738788897"/>
    <n v="43.064137601986111"/>
    <n v="42.614338860941672"/>
    <n v="46"/>
  </r>
  <r>
    <d v="2026-04-21T13:00:00"/>
    <x v="1"/>
    <n v="13"/>
    <n v="22.033952983955551"/>
    <n v="23.10852572481112"/>
    <n v="22.787663761716669"/>
    <n v="8.1999999999999993"/>
    <n v="45.922897201952772"/>
    <n v="43.143868362372217"/>
    <n v="42.333894416038888"/>
    <n v="44"/>
  </r>
  <r>
    <d v="2026-04-21T14:00:00"/>
    <x v="1"/>
    <n v="14"/>
    <n v="21.982790550625001"/>
    <n v="23.09406302982778"/>
    <n v="22.83606890606389"/>
    <n v="8.4"/>
    <n v="45.946518415283343"/>
    <n v="43.416925963855547"/>
    <n v="42.134360788566667"/>
    <n v="43"/>
  </r>
  <r>
    <d v="2026-04-21T15:00:00"/>
    <x v="1"/>
    <n v="15"/>
    <n v="21.745954387952779"/>
    <n v="23.110753728566671"/>
    <n v="22.86945765104722"/>
    <n v="8.3000000000000007"/>
    <n v="46.39172690969167"/>
    <n v="44.319273521044451"/>
    <n v="42.338069393911113"/>
    <n v="43"/>
  </r>
  <r>
    <d v="2026-04-21T16:00:00"/>
    <x v="1"/>
    <n v="16"/>
    <n v="21.789958907233331"/>
    <n v="23.33170785585277"/>
    <n v="22.8826110087"/>
    <n v="8.1999999999999993"/>
    <n v="47.273430639308337"/>
    <n v="44.552438901238887"/>
    <n v="41.974716683416673"/>
    <n v="43"/>
  </r>
  <r>
    <d v="2026-04-21T17:00:00"/>
    <x v="1"/>
    <n v="17"/>
    <n v="21.804423444394441"/>
    <n v="23.89688626358334"/>
    <n v="22.895425982297219"/>
    <n v="7.6"/>
    <n v="48.457009303924998"/>
    <n v="44.379723663122228"/>
    <n v="41.624290087780558"/>
    <n v="43"/>
  </r>
  <r>
    <d v="2026-04-21T18:00:00"/>
    <x v="1"/>
    <n v="18"/>
    <n v="21.998869316055561"/>
    <n v="24.527850210716661"/>
    <n v="22.91921121387222"/>
    <n v="7.2"/>
    <n v="52.053023367125"/>
    <n v="47.70124376651389"/>
    <n v="41.387028179244453"/>
    <n v="49"/>
  </r>
  <r>
    <d v="2026-04-21T19:00:00"/>
    <x v="1"/>
    <n v="19"/>
    <n v="21.96640469843889"/>
    <n v="24.299346417863891"/>
    <n v="22.928779490730559"/>
    <n v="6.6"/>
    <n v="52.186192165141662"/>
    <n v="47.456816184525003"/>
    <n v="41.213291852355553"/>
    <n v="54"/>
  </r>
  <r>
    <d v="2026-04-21T20:00:00"/>
    <x v="1"/>
    <n v="20"/>
    <n v="21.518877328605559"/>
    <n v="23.697045485686111"/>
    <n v="22.92569176098333"/>
    <n v="5.6"/>
    <n v="51.616813722255557"/>
    <n v="43.239498474430548"/>
    <n v="40.957990028997223"/>
    <n v="60"/>
  </r>
  <r>
    <d v="2026-04-21T21:00:00"/>
    <x v="1"/>
    <n v="21"/>
    <n v="21.213346603008329"/>
    <n v="23.32436717686112"/>
    <n v="22.927412882672229"/>
    <n v="5.6"/>
    <n v="49.679768244308342"/>
    <n v="41.569078285463888"/>
    <n v="40.795211241802782"/>
    <n v="61"/>
  </r>
  <r>
    <d v="2026-04-21T22:00:00"/>
    <x v="1"/>
    <n v="22"/>
    <n v="21.22001164251111"/>
    <n v="23.238841911413889"/>
    <n v="22.98700933203612"/>
    <n v="5"/>
    <n v="52.419729665875003"/>
    <n v="45.633027773838883"/>
    <n v="42.441053197236123"/>
    <n v="66"/>
  </r>
  <r>
    <d v="2026-04-21T23:00:00"/>
    <x v="1"/>
    <n v="23"/>
    <n v="21.552238231711112"/>
    <n v="23.204918002930551"/>
    <n v="22.92245544722778"/>
    <n v="4"/>
    <n v="48.465808626677777"/>
    <n v="44.517282012577773"/>
    <n v="43.402499820797217"/>
    <n v="70"/>
  </r>
  <r>
    <d v="2026-04-22T00:00:00"/>
    <x v="1"/>
    <n v="0"/>
    <n v="21.707471586930559"/>
    <n v="23.36615391040278"/>
    <n v="22.950401065758339"/>
    <n v="3.9"/>
    <n v="44.427217188177771"/>
    <n v="41.466788026808331"/>
    <n v="42.091608485827777"/>
    <n v="72"/>
  </r>
  <r>
    <d v="2026-04-22T01:00:00"/>
    <x v="1"/>
    <n v="1"/>
    <n v="21.367787162763889"/>
    <n v="23.060919029227779"/>
    <n v="23.06040997263333"/>
    <n v="3.8"/>
    <n v="45.225805398697219"/>
    <n v="42.171377031655553"/>
    <n v="43.409194604994447"/>
    <n v="73"/>
  </r>
  <r>
    <d v="2026-04-22T02:00:00"/>
    <x v="1"/>
    <n v="2"/>
    <n v="20.924384654400001"/>
    <n v="22.542190610888891"/>
    <n v="23.118624777775"/>
    <n v="3.4"/>
    <n v="46.958805108172221"/>
    <n v="42.950740713922222"/>
    <n v="42.729302437808343"/>
    <n v="74"/>
  </r>
  <r>
    <d v="2026-04-22T03:00:00"/>
    <x v="1"/>
    <n v="3"/>
    <n v="20.680029631924999"/>
    <n v="22.254235066969439"/>
    <n v="23.161607027702772"/>
    <n v="3.6"/>
    <n v="47.372733850541657"/>
    <n v="42.438054066297219"/>
    <n v="42.132420108613893"/>
    <n v="70"/>
  </r>
  <r>
    <d v="2026-04-22T04:00:00"/>
    <x v="1"/>
    <n v="4"/>
    <n v="20.50376101328612"/>
    <n v="22.102904527905551"/>
    <n v="23.206068769624999"/>
    <n v="3.2"/>
    <n v="47.436258606144442"/>
    <n v="42.440164018416667"/>
    <n v="41.858079873525007"/>
    <n v="74"/>
  </r>
  <r>
    <d v="2026-04-22T05:00:00"/>
    <x v="1"/>
    <n v="5"/>
    <n v="20.386243763366672"/>
    <n v="21.928820248894439"/>
    <n v="23.240909778019439"/>
    <n v="2.7"/>
    <n v="47.28176917933888"/>
    <n v="42.289469883972217"/>
    <n v="41.704184182277778"/>
    <n v="76"/>
  </r>
  <r>
    <d v="2026-04-22T06:00:00"/>
    <x v="1"/>
    <n v="6"/>
    <n v="20.30869365672778"/>
    <n v="21.790865349630561"/>
    <n v="23.261194526997219"/>
    <n v="2.7"/>
    <n v="47.449136228263889"/>
    <n v="42.115287536688889"/>
    <n v="41.582486029594442"/>
    <n v="75"/>
  </r>
  <r>
    <d v="2026-04-22T07:00:00"/>
    <x v="1"/>
    <n v="7"/>
    <n v="20.286566634252779"/>
    <n v="21.703486487452778"/>
    <n v="23.253181184713888"/>
    <n v="3.2"/>
    <n v="47.391926255338888"/>
    <n v="42.089097457833333"/>
    <n v="41.470588823530562"/>
    <n v="73"/>
  </r>
  <r>
    <d v="2026-04-22T08:00:00"/>
    <x v="1"/>
    <n v="8"/>
    <n v="20.352868296455551"/>
    <n v="21.697223572624999"/>
    <n v="23.177259107705559"/>
    <n v="4"/>
    <n v="47.135001382719437"/>
    <n v="42.341380939841663"/>
    <n v="41.294706654619439"/>
    <n v="70"/>
  </r>
  <r>
    <d v="2026-04-22T09:00:00"/>
    <x v="1"/>
    <n v="9"/>
    <n v="20.65926729623056"/>
    <n v="21.789319725483331"/>
    <n v="23.084157434708331"/>
    <n v="5.5"/>
    <n v="46.367201932705562"/>
    <n v="42.588798162102783"/>
    <n v="41.155261195463893"/>
    <n v="65"/>
  </r>
  <r>
    <d v="2026-04-22T10:00:00"/>
    <x v="1"/>
    <n v="10"/>
    <n v="21.197870390561111"/>
    <n v="22.30531422230278"/>
    <n v="23.032797416522229"/>
    <n v="6.6"/>
    <n v="46.550667654469443"/>
    <n v="45.998988639275012"/>
    <n v="41.639035445875002"/>
    <n v="52"/>
  </r>
  <r>
    <d v="2026-04-22T11:00:00"/>
    <x v="1"/>
    <n v="11"/>
    <n v="21.283637944369449"/>
    <n v="22.481545944383331"/>
    <n v="23.104579017877779"/>
    <n v="7.7"/>
    <n v="48.41537936006111"/>
    <n v="44.908297266605558"/>
    <n v="44.133761912013888"/>
    <n v="47"/>
  </r>
  <r>
    <d v="2026-04-22T12:00:00"/>
    <x v="1"/>
    <n v="12"/>
    <n v="21.225065916708331"/>
    <n v="22.43625984688612"/>
    <n v="23.191377037297219"/>
    <n v="7.3"/>
    <n v="48.637957760655553"/>
    <n v="44.957649545211112"/>
    <n v="43.070790845230562"/>
    <n v="52"/>
  </r>
  <r>
    <d v="2026-04-22T13:00:00"/>
    <x v="1"/>
    <n v="13"/>
    <n v="21.178094603866661"/>
    <n v="22.60264440008611"/>
    <n v="23.253186480441659"/>
    <n v="6.8"/>
    <n v="49.295504977408328"/>
    <n v="44.906852945377778"/>
    <n v="42.057081544002777"/>
    <n v="56"/>
  </r>
  <r>
    <d v="2026-04-22T14:00:00"/>
    <x v="1"/>
    <n v="14"/>
    <n v="21.22968213470833"/>
    <n v="22.504244569069439"/>
    <n v="23.25563145465"/>
    <n v="6.1"/>
    <n v="47.833684453327777"/>
    <n v="44.41060367798611"/>
    <n v="42.737267447599997"/>
    <n v="66"/>
  </r>
  <r>
    <d v="2026-04-22T15:00:00"/>
    <x v="1"/>
    <n v="15"/>
    <n v="21.213867318422221"/>
    <n v="22.34539166431945"/>
    <n v="23.14342662269722"/>
    <n v="6.5"/>
    <n v="46.826957482583332"/>
    <n v="42.922774907061118"/>
    <n v="42.015960095069438"/>
    <n v="63"/>
  </r>
  <r>
    <d v="2026-04-22T16:00:00"/>
    <x v="1"/>
    <n v="16"/>
    <n v="21.203930341511111"/>
    <n v="22.473125834638889"/>
    <n v="23.10198995525278"/>
    <n v="6.9"/>
    <n v="45.963040799341663"/>
    <n v="42.085290267497221"/>
    <n v="42.692065926713887"/>
    <n v="58"/>
  </r>
  <r>
    <d v="2026-04-22T17:00:00"/>
    <x v="1"/>
    <n v="17"/>
    <n v="21.257235021572221"/>
    <n v="22.694311668691661"/>
    <n v="23.052573465750001"/>
    <n v="7.1"/>
    <n v="45.399863438724999"/>
    <n v="42.456025277719441"/>
    <n v="41.92296246014444"/>
    <n v="53"/>
  </r>
  <r>
    <d v="2026-04-22T18:00:00"/>
    <x v="1"/>
    <n v="18"/>
    <n v="21.18034534385556"/>
    <n v="22.69295844839445"/>
    <n v="22.998596404886111"/>
    <n v="7.2"/>
    <n v="43.747885139922232"/>
    <n v="40.797269341813887"/>
    <n v="41.158726969988891"/>
    <n v="56"/>
  </r>
  <r>
    <d v="2026-04-22T19:00:00"/>
    <x v="1"/>
    <n v="19"/>
    <n v="21.18149416678056"/>
    <n v="22.490161487147219"/>
    <n v="22.942980215519441"/>
    <n v="6.8"/>
    <n v="43.84320158288611"/>
    <n v="40.937548658991673"/>
    <n v="41.038949185777781"/>
    <n v="66"/>
  </r>
  <r>
    <d v="2026-04-22T20:00:00"/>
    <x v="1"/>
    <n v="20"/>
    <n v="21.568629236733329"/>
    <n v="23.29056621069445"/>
    <n v="22.93454643933612"/>
    <n v="6.1"/>
    <n v="44.262695154005563"/>
    <n v="40.884779543947232"/>
    <n v="40.918060666625003"/>
    <n v="70"/>
  </r>
  <r>
    <d v="2026-04-22T21:00:00"/>
    <x v="1"/>
    <n v="21"/>
    <n v="21.748276812561109"/>
    <n v="23.383055192488889"/>
    <n v="22.914835376238891"/>
    <n v="5.9"/>
    <n v="43.957835388408341"/>
    <n v="40.857706563358327"/>
    <n v="40.792695677163891"/>
    <n v="68"/>
  </r>
  <r>
    <d v="2026-04-22T22:00:00"/>
    <x v="1"/>
    <n v="22"/>
    <n v="21.591705755169439"/>
    <n v="23.083120643286112"/>
    <n v="22.905046926863889"/>
    <n v="4.5999999999999996"/>
    <n v="44.126541867602768"/>
    <n v="42.000630499466673"/>
    <n v="40.694484718702782"/>
    <n v="71"/>
  </r>
  <r>
    <d v="2026-04-22T23:00:00"/>
    <x v="1"/>
    <n v="23"/>
    <n v="21.336468639974999"/>
    <n v="22.756064652838891"/>
    <n v="22.883373029516669"/>
    <n v="3.8"/>
    <n v="44.405423553513891"/>
    <n v="42.523949183377781"/>
    <n v="40.626296816766668"/>
    <n v="71"/>
  </r>
  <r>
    <d v="2026-04-23T00:00:00"/>
    <x v="1"/>
    <n v="0"/>
    <n v="21.227653444611111"/>
    <n v="22.906562667977781"/>
    <n v="22.857129125524999"/>
    <n v="3.3"/>
    <n v="45.269631105822221"/>
    <n v="43.225771179116663"/>
    <n v="40.569161697469447"/>
    <n v="71"/>
  </r>
  <r>
    <d v="2026-04-23T01:00:00"/>
    <x v="1"/>
    <n v="1"/>
    <n v="21.404282893794441"/>
    <n v="22.922119536869449"/>
    <n v="22.834433953147219"/>
    <n v="3"/>
    <n v="44.576758448180563"/>
    <n v="41.876852136344439"/>
    <n v="40.519422170672222"/>
    <n v="71"/>
  </r>
  <r>
    <d v="2026-04-23T02:00:00"/>
    <x v="1"/>
    <n v="2"/>
    <n v="21.171720165438892"/>
    <n v="22.679814282544449"/>
    <n v="22.818849497908332"/>
    <n v="2.6"/>
    <n v="46.152350694180548"/>
    <n v="42.990289001466671"/>
    <n v="40.495168047316668"/>
    <n v="74"/>
  </r>
  <r>
    <d v="2026-04-23T03:00:00"/>
    <x v="1"/>
    <n v="3"/>
    <n v="20.712425756958329"/>
    <n v="22.247037142386109"/>
    <n v="22.782165849502778"/>
    <n v="2.6"/>
    <n v="49.651587632133328"/>
    <n v="45.837206086861109"/>
    <n v="40.490239173816668"/>
    <n v="72"/>
  </r>
  <r>
    <d v="2026-04-23T04:00:00"/>
    <x v="1"/>
    <n v="4"/>
    <n v="20.433845758419441"/>
    <n v="22.016113705363889"/>
    <n v="22.755100472858331"/>
    <n v="2.7"/>
    <n v="49.255174295930551"/>
    <n v="44.942866031313883"/>
    <n v="40.464206828591657"/>
    <n v="68"/>
  </r>
  <r>
    <d v="2026-04-23T05:00:00"/>
    <x v="1"/>
    <n v="5"/>
    <n v="20.31700038155833"/>
    <n v="21.799163375163889"/>
    <n v="22.728705877783341"/>
    <n v="2.8"/>
    <n v="48.559062304450002"/>
    <n v="44.190752004277783"/>
    <n v="40.451321798622217"/>
    <n v="66"/>
  </r>
  <r>
    <d v="2026-04-23T06:00:00"/>
    <x v="1"/>
    <n v="6"/>
    <n v="20.79939173227222"/>
    <n v="21.962127819774999"/>
    <n v="22.708877945719451"/>
    <n v="2.6"/>
    <n v="45.936602546991672"/>
    <n v="43.101498456933342"/>
    <n v="40.415619490580553"/>
    <n v="68"/>
  </r>
  <r>
    <d v="2026-04-23T07:00:00"/>
    <x v="1"/>
    <n v="7"/>
    <n v="21.353086017205559"/>
    <n v="22.345128852897229"/>
    <n v="22.69792235586111"/>
    <n v="3.6"/>
    <n v="43.639379784108343"/>
    <n v="41.979351528452767"/>
    <n v="40.383683719888893"/>
    <n v="67"/>
  </r>
  <r>
    <d v="2026-04-23T08:00:00"/>
    <x v="1"/>
    <n v="8"/>
    <n v="21.80303379031945"/>
    <n v="22.824010234888888"/>
    <n v="22.696583708477771"/>
    <n v="4.9000000000000004"/>
    <n v="43.79626873293055"/>
    <n v="41.569205554663888"/>
    <n v="40.356089350405547"/>
    <n v="67"/>
  </r>
  <r>
    <d v="2026-04-23T09:00:00"/>
    <x v="1"/>
    <n v="9"/>
    <n v="21.755408567911111"/>
    <n v="22.984596369188889"/>
    <n v="22.703630224194441"/>
    <n v="7.2"/>
    <n v="44.357876359047218"/>
    <n v="41.71369223874445"/>
    <n v="40.318335386972223"/>
    <n v="61"/>
  </r>
  <r>
    <d v="2026-04-23T10:00:00"/>
    <x v="1"/>
    <n v="10"/>
    <n v="21.546509613216671"/>
    <n v="22.836994742819439"/>
    <n v="22.694117419236111"/>
    <n v="8.6"/>
    <n v="45.318608940455562"/>
    <n v="43.03153886561666"/>
    <n v="40.268305652119437"/>
    <n v="55"/>
  </r>
  <r>
    <d v="2026-04-23T11:00:00"/>
    <x v="1"/>
    <n v="11"/>
    <n v="21.644420262858329"/>
    <n v="23.134950879794449"/>
    <n v="22.681743709022221"/>
    <n v="9"/>
    <n v="51.318337379911107"/>
    <n v="51.597382551816658"/>
    <n v="40.232515269674998"/>
    <n v="55"/>
  </r>
  <r>
    <d v="2026-04-23T12:00:00"/>
    <x v="1"/>
    <n v="12"/>
    <n v="21.563969368877778"/>
    <n v="23.21724039675556"/>
    <n v="22.686839431266659"/>
    <n v="10"/>
    <n v="53.628030903377777"/>
    <n v="50.780261711097218"/>
    <n v="40.234456950930557"/>
    <n v="55"/>
  </r>
  <r>
    <d v="2026-04-23T13:00:00"/>
    <x v="1"/>
    <n v="13"/>
    <n v="21.589034579822229"/>
    <n v="23.653923920025001"/>
    <n v="22.694415949888889"/>
    <n v="11.2"/>
    <n v="53.387959851152779"/>
    <n v="49.233042496033327"/>
    <n v="40.379331332913893"/>
    <n v="51"/>
  </r>
  <r>
    <d v="2026-04-23T14:00:00"/>
    <x v="1"/>
    <n v="14"/>
    <n v="21.560456558663891"/>
    <n v="24.396537068213888"/>
    <n v="22.687749649522221"/>
    <n v="9.5"/>
    <n v="51.848560168152773"/>
    <n v="45.556477045030562"/>
    <n v="40.17663145059722"/>
    <n v="68"/>
  </r>
  <r>
    <d v="2026-04-23T15:00:00"/>
    <x v="1"/>
    <n v="15"/>
    <n v="21.517924835925001"/>
    <n v="24.422779159533331"/>
    <n v="22.695732241747219"/>
    <n v="8.6"/>
    <n v="52.219959593558343"/>
    <n v="43.820414356483333"/>
    <n v="40.11696524149167"/>
    <n v="61"/>
  </r>
  <r>
    <d v="2026-04-23T16:00:00"/>
    <x v="1"/>
    <n v="16"/>
    <n v="21.37197663878333"/>
    <n v="23.172596740686121"/>
    <n v="22.70545891888333"/>
    <n v="6.4"/>
    <n v="50.582594138877766"/>
    <n v="45.894168857274998"/>
    <n v="40.273508393972229"/>
    <n v="82"/>
  </r>
  <r>
    <d v="2026-04-23T17:00:00"/>
    <x v="1"/>
    <n v="17"/>
    <n v="21.27845335005"/>
    <n v="22.966850370813891"/>
    <n v="22.690966066666661"/>
    <n v="6.2"/>
    <n v="49.670547679236108"/>
    <n v="45.44749651925833"/>
    <n v="40.256976882447219"/>
    <n v="82"/>
  </r>
  <r>
    <d v="2026-04-23T18:00:00"/>
    <x v="1"/>
    <n v="18"/>
    <n v="21.20799749130833"/>
    <n v="23.144278429475001"/>
    <n v="22.682365509827779"/>
    <n v="6.1"/>
    <n v="50.722275267091668"/>
    <n v="45.799311740397222"/>
    <n v="40.272631442916669"/>
    <n v="82"/>
  </r>
  <r>
    <d v="2026-04-23T19:00:00"/>
    <x v="1"/>
    <n v="19"/>
    <n v="21.180171997774998"/>
    <n v="23.320344570883339"/>
    <n v="22.763403215661111"/>
    <n v="5.0999999999999996"/>
    <n v="58.690195966894443"/>
    <n v="52.63203995234722"/>
    <n v="43.359865828452783"/>
    <n v="85"/>
  </r>
  <r>
    <d v="2026-04-23T20:00:00"/>
    <x v="1"/>
    <n v="20"/>
    <n v="21.53992680413889"/>
    <n v="23.651429259566669"/>
    <n v="22.731411277111111"/>
    <n v="3.9"/>
    <n v="54.357936289080563"/>
    <n v="48.47218833000278"/>
    <n v="42.366941900133327"/>
    <n v="89"/>
  </r>
  <r>
    <d v="2026-04-23T21:00:00"/>
    <x v="1"/>
    <n v="21"/>
    <n v="21.458003302436111"/>
    <n v="23.82162531320833"/>
    <n v="22.70388369203333"/>
    <n v="3.7"/>
    <n v="53.567572339947219"/>
    <n v="46.903274549805559"/>
    <n v="41.641531757172217"/>
    <n v="91"/>
  </r>
  <r>
    <d v="2026-04-23T22:00:00"/>
    <x v="1"/>
    <n v="22"/>
    <n v="21.27619321555278"/>
    <n v="23.433715985872219"/>
    <n v="22.686265527211109"/>
    <n v="2.9"/>
    <n v="55.523501850794453"/>
    <n v="48.944152627630558"/>
    <n v="41.472629221108328"/>
    <n v="91"/>
  </r>
  <r>
    <d v="2026-04-23T23:00:00"/>
    <x v="1"/>
    <n v="23"/>
    <n v="21.244978707552779"/>
    <n v="24.466365895330551"/>
    <n v="22.67424371970278"/>
    <n v="2.6"/>
    <n v="55.512135357311109"/>
    <n v="47.176077106244442"/>
    <n v="41.494503092519437"/>
    <n v="89"/>
  </r>
  <r>
    <d v="2026-04-24T00:00:00"/>
    <x v="1"/>
    <n v="0"/>
    <n v="21.162102649180561"/>
    <n v="24.448973119972219"/>
    <n v="22.667104946927779"/>
    <n v="2"/>
    <n v="54.448700326447231"/>
    <n v="45.780352509436113"/>
    <n v="41.52839486394722"/>
    <n v="92"/>
  </r>
  <r>
    <d v="2026-04-24T01:00:00"/>
    <x v="1"/>
    <n v="1"/>
    <n v="21.1872833151"/>
    <n v="24.447202216377772"/>
    <n v="22.659394891155561"/>
    <n v="1.6"/>
    <n v="52.269142595113891"/>
    <n v="44.39627208986667"/>
    <n v="41.291955327525002"/>
    <n v="94"/>
  </r>
  <r>
    <d v="2026-04-24T02:00:00"/>
    <x v="1"/>
    <n v="2"/>
    <n v="20.977071456788892"/>
    <n v="24.084837417344449"/>
    <n v="22.644227434763891"/>
    <n v="1.3"/>
    <n v="51.179145725347219"/>
    <n v="43.361276512750003"/>
    <n v="41.141471651613891"/>
    <n v="96"/>
  </r>
  <r>
    <d v="2026-04-24T03:00:00"/>
    <x v="1"/>
    <n v="3"/>
    <n v="20.478704047866671"/>
    <n v="23.809603129883332"/>
    <n v="22.612511725991659"/>
    <n v="0.9"/>
    <n v="51.549575288619437"/>
    <n v="42.315310036344442"/>
    <n v="41.074396464869437"/>
    <n v="91"/>
  </r>
  <r>
    <d v="2026-04-24T04:00:00"/>
    <x v="1"/>
    <n v="4"/>
    <n v="20.211475577188889"/>
    <n v="23.447320593022219"/>
    <n v="22.584626332877779"/>
    <n v="0.9"/>
    <n v="51.657877124266662"/>
    <n v="42.133549457424998"/>
    <n v="41.085049360955558"/>
    <n v="91"/>
  </r>
  <r>
    <d v="2026-04-24T05:00:00"/>
    <x v="1"/>
    <n v="5"/>
    <n v="20.04985670041944"/>
    <n v="23.187635920102771"/>
    <n v="22.563904167438888"/>
    <n v="0.9"/>
    <n v="51.43790066975"/>
    <n v="41.913733667016658"/>
    <n v="41.084429396294453"/>
    <n v="92"/>
  </r>
  <r>
    <d v="2026-04-24T06:00:00"/>
    <x v="1"/>
    <n v="6"/>
    <n v="19.9513315194"/>
    <n v="23.009819373247229"/>
    <n v="22.545070424619439"/>
    <n v="1"/>
    <n v="51.156940700019447"/>
    <n v="41.832726613280563"/>
    <n v="41.11065688330833"/>
    <n v="92"/>
  </r>
  <r>
    <d v="2026-04-24T07:00:00"/>
    <x v="1"/>
    <n v="7"/>
    <n v="19.89691870113333"/>
    <n v="22.86529370023889"/>
    <n v="22.530576814730551"/>
    <n v="1"/>
    <n v="51.035196725561121"/>
    <n v="41.809026495269443"/>
    <n v="41.246040488733342"/>
    <n v="92"/>
  </r>
  <r>
    <d v="2026-04-24T08:00:00"/>
    <x v="1"/>
    <n v="8"/>
    <n v="19.891665559252768"/>
    <n v="22.777180300225002"/>
    <n v="22.51426494"/>
    <n v="1.5"/>
    <n v="50.83067419146667"/>
    <n v="41.800484590791662"/>
    <n v="41.439904230736111"/>
    <n v="90"/>
  </r>
  <r>
    <d v="2026-04-24T09:00:00"/>
    <x v="1"/>
    <n v="9"/>
    <n v="19.910998713727778"/>
    <n v="22.680123183275001"/>
    <n v="22.508515004241669"/>
    <n v="2.1"/>
    <n v="50.404219676283333"/>
    <n v="41.643377138411111"/>
    <n v="41.689036385327768"/>
    <n v="89"/>
  </r>
  <r>
    <d v="2026-04-24T10:00:00"/>
    <x v="1"/>
    <n v="10"/>
    <n v="19.887860616619449"/>
    <n v="22.536273451386108"/>
    <n v="22.49880684465278"/>
    <n v="2.7"/>
    <n v="50.164331541708329"/>
    <n v="41.628470102400001"/>
    <n v="42.039597371644447"/>
    <n v="81"/>
  </r>
  <r>
    <d v="2026-04-24T11:00:00"/>
    <x v="1"/>
    <n v="11"/>
    <n v="20.081916595966671"/>
    <n v="22.737838719202781"/>
    <n v="22.499818022144439"/>
    <n v="4.4000000000000004"/>
    <n v="53.251893520616669"/>
    <n v="44.591512190425"/>
    <n v="42.302797662263892"/>
    <n v="68"/>
  </r>
  <r>
    <d v="2026-04-24T12:00:00"/>
    <x v="1"/>
    <n v="12"/>
    <n v="20.52612468481389"/>
    <n v="23.079541665511108"/>
    <n v="22.497639609688889"/>
    <n v="5.6"/>
    <n v="53.402052082849998"/>
    <n v="45.149368381283331"/>
    <n v="42.731189862597233"/>
    <n v="57"/>
  </r>
  <r>
    <d v="2026-04-24T13:00:00"/>
    <x v="1"/>
    <n v="13"/>
    <n v="20.597037112369449"/>
    <n v="23.230980219191661"/>
    <n v="22.51517237925"/>
    <n v="6.3"/>
    <n v="51.161352929133344"/>
    <n v="43.85354932526667"/>
    <n v="42.950688461127783"/>
    <n v="52"/>
  </r>
  <r>
    <d v="2026-04-24T14:00:00"/>
    <x v="1"/>
    <n v="14"/>
    <n v="20.687322089830559"/>
    <n v="23.342638405513888"/>
    <n v="22.522337070036109"/>
    <n v="6.8"/>
    <n v="51.170080132033341"/>
    <n v="43.073506204983339"/>
    <n v="43.31201616194722"/>
    <n v="50"/>
  </r>
  <r>
    <d v="2026-04-24T15:00:00"/>
    <x v="1"/>
    <n v="15"/>
    <n v="20.986907046538889"/>
    <n v="23.935435943283331"/>
    <n v="22.620243841941669"/>
    <n v="6"/>
    <n v="50.719799666841659"/>
    <n v="43.479435337788892"/>
    <n v="46.150331211400001"/>
    <n v="51"/>
  </r>
  <r>
    <d v="2026-04-24T16:00:00"/>
    <x v="1"/>
    <n v="16"/>
    <n v="20.986575702677779"/>
    <n v="23.881405430383332"/>
    <n v="22.71659073844722"/>
    <n v="6.6"/>
    <n v="52.584117734116667"/>
    <n v="46.305097915872231"/>
    <n v="46.079777430805557"/>
    <n v="49"/>
  </r>
  <r>
    <d v="2026-04-24T17:00:00"/>
    <x v="1"/>
    <n v="17"/>
    <n v="20.851812465169441"/>
    <n v="23.781448847786109"/>
    <n v="22.742729300602772"/>
    <n v="6.2"/>
    <n v="52.091631909461121"/>
    <n v="44.05879175390556"/>
    <n v="44.782124314208339"/>
    <n v="50"/>
  </r>
  <r>
    <d v="2026-04-24T18:00:00"/>
    <x v="1"/>
    <n v="18"/>
    <n v="20.71333449039167"/>
    <n v="23.34819248820834"/>
    <n v="22.715746179552781"/>
    <n v="5.7"/>
    <n v="51.629830520502772"/>
    <n v="43.626707462963893"/>
    <n v="44.188240722680561"/>
    <n v="54"/>
  </r>
  <r>
    <d v="2026-04-24T19:00:00"/>
    <x v="1"/>
    <n v="19"/>
    <n v="20.64181330300833"/>
    <n v="22.84095519641944"/>
    <n v="22.68445863540833"/>
    <n v="4.9000000000000004"/>
    <n v="51.537842758147228"/>
    <n v="45.135734054644438"/>
    <n v="43.316712244763892"/>
    <n v="60"/>
  </r>
  <r>
    <d v="2026-04-24T20:00:00"/>
    <x v="1"/>
    <n v="20"/>
    <n v="20.54824740282222"/>
    <n v="22.712804347691669"/>
    <n v="22.672459003647219"/>
    <n v="4.0999999999999996"/>
    <n v="52.180094817850012"/>
    <n v="44.834167143841661"/>
    <n v="44.791299383061109"/>
    <n v="63"/>
  </r>
  <r>
    <d v="2026-04-24T21:00:00"/>
    <x v="1"/>
    <n v="21"/>
    <n v="20.425856108766659"/>
    <n v="22.454927980250002"/>
    <n v="22.601842386711109"/>
    <n v="2.2000000000000002"/>
    <n v="51.11342246572778"/>
    <n v="44.460747839755562"/>
    <n v="44.490209895269452"/>
    <n v="75"/>
  </r>
  <r>
    <d v="2026-04-24T22:00:00"/>
    <x v="1"/>
    <n v="22"/>
    <n v="20.396274620413891"/>
    <n v="22.646443008686109"/>
    <n v="22.56675807411667"/>
    <n v="2.2000000000000002"/>
    <n v="52.363631490288903"/>
    <n v="47.128615144186107"/>
    <n v="43.034689162483318"/>
    <n v="76"/>
  </r>
  <r>
    <d v="2026-04-24T23:00:00"/>
    <x v="1"/>
    <n v="23"/>
    <n v="20.411614226866661"/>
    <n v="22.790298314186121"/>
    <n v="22.541265204252781"/>
    <n v="2.1"/>
    <n v="53.488672811430561"/>
    <n v="47.205480906822217"/>
    <n v="42.342392354805547"/>
    <n v="75"/>
  </r>
  <r>
    <d v="2026-04-25T00:00:00"/>
    <x v="1"/>
    <n v="0"/>
    <n v="20.407181053658331"/>
    <n v="22.81463043393612"/>
    <n v="22.528160151694451"/>
    <n v="1.5"/>
    <n v="52.265403809519448"/>
    <n v="45.786706284480552"/>
    <n v="41.946479463547227"/>
    <n v="77"/>
  </r>
  <r>
    <d v="2026-04-25T01:00:00"/>
    <x v="1"/>
    <n v="1"/>
    <n v="20.304350184891671"/>
    <n v="22.819282195688888"/>
    <n v="22.50540236928612"/>
    <n v="0.9"/>
    <n v="51.133035886608333"/>
    <n v="46.247329604080562"/>
    <n v="41.987989948516663"/>
    <n v="77"/>
  </r>
  <r>
    <d v="2026-04-25T02:00:00"/>
    <x v="1"/>
    <n v="2"/>
    <n v="19.958495034677771"/>
    <n v="22.612994425305551"/>
    <n v="22.543265032230561"/>
    <n v="0.6"/>
    <n v="51.418839699591672"/>
    <n v="43.844468876388888"/>
    <n v="43.401435236930553"/>
    <n v="75"/>
  </r>
  <r>
    <d v="2026-04-25T03:00:00"/>
    <x v="1"/>
    <n v="3"/>
    <n v="19.635486140975001"/>
    <n v="22.297582910888892"/>
    <n v="22.589201458394449"/>
    <n v="-0.3"/>
    <n v="50.416553705908328"/>
    <n v="42.904998472647229"/>
    <n v="42.229313873205562"/>
    <n v="72"/>
  </r>
  <r>
    <d v="2026-04-25T04:00:00"/>
    <x v="1"/>
    <n v="4"/>
    <n v="19.439865004594441"/>
    <n v="22.128189768916659"/>
    <n v="22.58668721851112"/>
    <n v="-0.7"/>
    <n v="49.844425882675012"/>
    <n v="42.087373903536111"/>
    <n v="41.853224283427778"/>
    <n v="72"/>
  </r>
  <r>
    <d v="2026-04-25T05:00:00"/>
    <x v="1"/>
    <n v="5"/>
    <n v="19.417942033663891"/>
    <n v="21.934932941566672"/>
    <n v="22.541471756050001"/>
    <n v="-0.9"/>
    <n v="49.37716428630555"/>
    <n v="41.458130577047221"/>
    <n v="41.503363369500001"/>
    <n v="72"/>
  </r>
  <r>
    <d v="2026-04-25T06:00:00"/>
    <x v="1"/>
    <n v="6"/>
    <n v="20.097530979788889"/>
    <n v="22.041752990475"/>
    <n v="22.49855482234722"/>
    <n v="-0.7"/>
    <n v="46.538118914377783"/>
    <n v="41.661363970622219"/>
    <n v="41.219663609480563"/>
    <n v="73"/>
  </r>
  <r>
    <d v="2026-04-25T07:00:00"/>
    <x v="1"/>
    <n v="7"/>
    <n v="20.796720953461111"/>
    <n v="22.283647301319441"/>
    <n v="22.476167552669441"/>
    <n v="0.8"/>
    <n v="44.54308763846111"/>
    <n v="41.513401512647221"/>
    <n v="41.004378929816667"/>
    <n v="73"/>
  </r>
  <r>
    <d v="2026-04-25T08:00:00"/>
    <x v="1"/>
    <n v="8"/>
    <n v="21.325858357780561"/>
    <n v="22.682440924808329"/>
    <n v="22.463172183527771"/>
    <n v="3"/>
    <n v="44.81005727997222"/>
    <n v="41.896810903175002"/>
    <n v="40.90701430822778"/>
    <n v="68"/>
  </r>
  <r>
    <d v="2026-04-25T09:00:00"/>
    <x v="1"/>
    <n v="9"/>
    <n v="21.739066666586108"/>
    <n v="22.95244278523333"/>
    <n v="22.463901776683329"/>
    <n v="5.4"/>
    <n v="45.556516915888878"/>
    <n v="42.566880656563889"/>
    <n v="40.994021245255553"/>
    <n v="59"/>
  </r>
  <r>
    <d v="2026-04-25T10:00:00"/>
    <x v="1"/>
    <n v="10"/>
    <n v="21.948429628227771"/>
    <n v="23.274455172391669"/>
    <n v="22.525481090447219"/>
    <n v="7.5"/>
    <n v="45.867704950911111"/>
    <n v="42.917473051366663"/>
    <n v="42.952112057252783"/>
    <n v="50"/>
  </r>
  <r>
    <d v="2026-04-25T11:00:00"/>
    <x v="1"/>
    <n v="11"/>
    <n v="22.292301416991659"/>
    <n v="23.769690158980559"/>
    <n v="22.692880209055559"/>
    <n v="9.1"/>
    <n v="47.004797400088883"/>
    <n v="43.745078275761109"/>
    <n v="46.343413568191657"/>
    <n v="44"/>
  </r>
  <r>
    <d v="2026-04-25T12:00:00"/>
    <x v="1"/>
    <n v="12"/>
    <n v="22.021151499233341"/>
    <n v="23.613572354488891"/>
    <n v="22.831556037116659"/>
    <n v="10.7"/>
    <n v="46.736364265572227"/>
    <n v="43.284581988655553"/>
    <n v="45.798610414016672"/>
    <n v="39"/>
  </r>
  <r>
    <d v="2026-04-25T13:00:00"/>
    <x v="1"/>
    <n v="13"/>
    <n v="21.623393472911111"/>
    <n v="23.414868913374999"/>
    <n v="22.77918475148056"/>
    <n v="11.3"/>
    <n v="46.817910853480562"/>
    <n v="42.293055148930563"/>
    <n v="43.449196934313882"/>
    <n v="38"/>
  </r>
  <r>
    <d v="2026-04-25T14:00:00"/>
    <x v="1"/>
    <n v="14"/>
    <n v="21.246086119977772"/>
    <n v="23.237485106038889"/>
    <n v="22.729454745958328"/>
    <n v="11.8"/>
    <n v="43.888773810119439"/>
    <n v="41.579259452705557"/>
    <n v="42.994863240222223"/>
    <n v="38"/>
  </r>
  <r>
    <d v="2026-04-25T15:00:00"/>
    <x v="1"/>
    <n v="15"/>
    <n v="20.522876235799998"/>
    <n v="22.97947435356944"/>
    <n v="22.665205322697229"/>
    <n v="12.6"/>
    <n v="35.420802668797222"/>
    <n v="39.051418972469442"/>
    <n v="42.750559259655553"/>
    <n v="36"/>
  </r>
  <r>
    <d v="2026-04-25T16:00:00"/>
    <x v="1"/>
    <n v="16"/>
    <n v="20.43218869536944"/>
    <n v="22.748347265880561"/>
    <n v="22.617488277002771"/>
    <n v="12.2"/>
    <n v="35.232209916758343"/>
    <n v="36.842249621111122"/>
    <n v="42.567668505758327"/>
    <n v="44"/>
  </r>
  <r>
    <d v="2026-04-25T17:00:00"/>
    <x v="1"/>
    <n v="17"/>
    <n v="20.81547271888056"/>
    <n v="22.530169269208329"/>
    <n v="22.57226512566945"/>
    <n v="11"/>
    <n v="39.955597860866668"/>
    <n v="37.294653710358332"/>
    <n v="42.530347131200003"/>
    <n v="52"/>
  </r>
  <r>
    <d v="2026-04-25T18:00:00"/>
    <x v="1"/>
    <n v="18"/>
    <n v="20.754493865783331"/>
    <n v="22.389795962825001"/>
    <n v="22.545531674838891"/>
    <n v="10.7"/>
    <n v="41.793174783097221"/>
    <n v="38.574140407730553"/>
    <n v="42.45262658431389"/>
    <n v="57"/>
  </r>
  <r>
    <d v="2026-04-25T19:00:00"/>
    <x v="1"/>
    <n v="19"/>
    <n v="20.785885846225"/>
    <n v="22.346379683919452"/>
    <n v="22.546475281500001"/>
    <n v="9.6"/>
    <n v="42.952268972511114"/>
    <n v="39.953469209266657"/>
    <n v="42.498751559411112"/>
    <n v="66"/>
  </r>
  <r>
    <d v="2026-04-25T20:00:00"/>
    <x v="1"/>
    <n v="20"/>
    <n v="20.960931323058329"/>
    <n v="22.422673047761108"/>
    <n v="22.605762511075"/>
    <n v="9.3000000000000007"/>
    <n v="44.739712894255547"/>
    <n v="41.38748792557778"/>
    <n v="42.814514481049997"/>
    <n v="67"/>
  </r>
  <r>
    <d v="2026-04-25T21:00:00"/>
    <x v="1"/>
    <n v="21"/>
    <n v="20.997291554963891"/>
    <n v="22.652784205586109"/>
    <n v="22.670505650550002"/>
    <n v="9.9"/>
    <n v="45.904029258169452"/>
    <n v="42.008836989652771"/>
    <n v="42.456334525730561"/>
    <n v="61"/>
  </r>
  <r>
    <d v="2026-04-25T22:00:00"/>
    <x v="1"/>
    <n v="22"/>
    <n v="21.083954508449999"/>
    <n v="22.76245128745833"/>
    <n v="22.75428887953889"/>
    <n v="9.5"/>
    <n v="47.353318444633338"/>
    <n v="44.049391070380558"/>
    <n v="42.774801978399999"/>
    <n v="61"/>
  </r>
  <r>
    <d v="2026-04-25T23:00:00"/>
    <x v="1"/>
    <n v="23"/>
    <n v="21.292384211886109"/>
    <n v="22.872502573355561"/>
    <n v="22.734145319627771"/>
    <n v="9.6"/>
    <n v="43.512843653538887"/>
    <n v="41.410252395377782"/>
    <n v="41.809826353250003"/>
    <n v="61"/>
  </r>
  <r>
    <d v="2026-04-26T00:00:00"/>
    <x v="1"/>
    <n v="0"/>
    <n v="21.370938730708328"/>
    <n v="22.945403650338889"/>
    <n v="22.796224847480559"/>
    <n v="9.6"/>
    <n v="42.768815204880553"/>
    <n v="39.748851494569443"/>
    <n v="44.240950063974999"/>
    <n v="60"/>
  </r>
  <r>
    <d v="2026-04-26T01:00:00"/>
    <x v="1"/>
    <n v="1"/>
    <n v="21.482677451502781"/>
    <n v="22.99781412600834"/>
    <n v="22.796943401566661"/>
    <n v="9.9"/>
    <n v="43.311273313655562"/>
    <n v="40.444313031033332"/>
    <n v="43.002732015630563"/>
    <n v="57"/>
  </r>
  <r>
    <d v="2026-04-26T02:00:00"/>
    <x v="1"/>
    <n v="2"/>
    <n v="21.408888680899999"/>
    <n v="23.142825170641672"/>
    <n v="22.89855839794722"/>
    <n v="9.9"/>
    <n v="44.315287973036106"/>
    <n v="40.877695455691672"/>
    <n v="44.057013068366658"/>
    <n v="56"/>
  </r>
  <r>
    <d v="2026-04-26T03:00:00"/>
    <x v="1"/>
    <n v="3"/>
    <n v="20.995141631869441"/>
    <n v="22.987820933675"/>
    <n v="22.94526214482778"/>
    <n v="9.4"/>
    <n v="45.572030835500001"/>
    <n v="40.989691810930559"/>
    <n v="43.962283656141672"/>
    <n v="61"/>
  </r>
  <r>
    <d v="2026-04-26T04:00:00"/>
    <x v="1"/>
    <n v="4"/>
    <n v="20.568168623822221"/>
    <n v="22.70355874321945"/>
    <n v="22.898694061008332"/>
    <n v="9.1"/>
    <n v="46.651045574972223"/>
    <n v="41.023535001369453"/>
    <n v="42.674636749819449"/>
    <n v="62"/>
  </r>
  <r>
    <d v="2026-04-26T05:00:00"/>
    <x v="1"/>
    <n v="5"/>
    <n v="20.32329152780833"/>
    <n v="22.441755890511111"/>
    <n v="22.824333743855551"/>
    <n v="9.1999999999999993"/>
    <n v="46.882728829800008"/>
    <n v="40.972052474455559"/>
    <n v="42.057719177869437"/>
    <n v="62"/>
  </r>
  <r>
    <d v="2026-04-26T06:00:00"/>
    <x v="1"/>
    <n v="6"/>
    <n v="20.373281620450001"/>
    <n v="22.303570439561121"/>
    <n v="22.747936909936112"/>
    <n v="8.6999999999999993"/>
    <n v="46.686642152247217"/>
    <n v="40.996703721055553"/>
    <n v="41.686852316338893"/>
    <n v="65"/>
  </r>
  <r>
    <d v="2026-04-26T07:00:00"/>
    <x v="1"/>
    <n v="7"/>
    <n v="20.661186759324998"/>
    <n v="22.427435071244449"/>
    <n v="22.68318207564722"/>
    <n v="9.6"/>
    <n v="45.505443021788892"/>
    <n v="40.873471618205564"/>
    <n v="41.445997575863892"/>
    <n v="65"/>
  </r>
  <r>
    <d v="2026-04-26T08:00:00"/>
    <x v="1"/>
    <n v="8"/>
    <n v="21.314400700252779"/>
    <n v="22.629124922494441"/>
    <n v="22.647382405236112"/>
    <n v="11"/>
    <n v="43.286040087413888"/>
    <n v="40.801895633988892"/>
    <n v="41.270055802305563"/>
    <n v="65"/>
  </r>
  <r>
    <d v="2026-04-26T09:00:00"/>
    <x v="1"/>
    <n v="9"/>
    <n v="21.816816188469438"/>
    <n v="22.923063047986108"/>
    <n v="22.635426652111111"/>
    <n v="13"/>
    <n v="42.336299682055561"/>
    <n v="41.41587667764167"/>
    <n v="41.120582108222223"/>
    <n v="60"/>
  </r>
  <r>
    <d v="2026-04-26T10:00:00"/>
    <x v="1"/>
    <n v="10"/>
    <n v="22.00041962930834"/>
    <n v="23.260496184961109"/>
    <n v="22.629025572050001"/>
    <n v="14.8"/>
    <n v="43.082580589005552"/>
    <n v="41.966815231358332"/>
    <n v="41.073695943733327"/>
    <n v="55"/>
  </r>
  <r>
    <d v="2026-04-26T11:00:00"/>
    <x v="1"/>
    <n v="11"/>
    <n v="21.860942900947219"/>
    <n v="23.36112514126112"/>
    <n v="22.623353383897221"/>
    <n v="15.5"/>
    <n v="44.90586538193611"/>
    <n v="42.329984886569441"/>
    <n v="41.009332015200002"/>
    <n v="54"/>
  </r>
  <r>
    <d v="2026-04-26T12:00:00"/>
    <x v="1"/>
    <n v="12"/>
    <n v="21.695934846188891"/>
    <n v="23.299436136388891"/>
    <n v="22.613093747258329"/>
    <n v="16.899999999999999"/>
    <n v="45.262155217097217"/>
    <n v="42.33316145914722"/>
    <n v="40.972173429066657"/>
    <n v="50"/>
  </r>
  <r>
    <d v="2026-04-26T13:00:00"/>
    <x v="1"/>
    <n v="13"/>
    <n v="21.65985180300833"/>
    <n v="23.387352211355559"/>
    <n v="22.62827809415278"/>
    <n v="18.100000000000001"/>
    <n v="46.653158848511112"/>
    <n v="44.334160644616667"/>
    <n v="41.797107652047217"/>
    <n v="47"/>
  </r>
  <r>
    <d v="2026-04-26T14:00:00"/>
    <x v="1"/>
    <n v="14"/>
    <n v="21.78823796347222"/>
    <n v="23.480062354255551"/>
    <n v="22.846836735225001"/>
    <n v="17.5"/>
    <n v="46.931564307983336"/>
    <n v="43.544502072874998"/>
    <n v="44.810870519141673"/>
    <n v="44"/>
  </r>
  <r>
    <d v="2026-04-26T15:00:00"/>
    <x v="1"/>
    <n v="15"/>
    <n v="21.929603026822221"/>
    <n v="23.633787669288889"/>
    <n v="22.91918291834445"/>
    <n v="17.7"/>
    <n v="46.129864381499999"/>
    <n v="42.469308459136109"/>
    <n v="45.011099364413887"/>
    <n v="46"/>
  </r>
  <r>
    <d v="2026-04-26T16:00:00"/>
    <x v="1"/>
    <n v="16"/>
    <n v="21.737550844491668"/>
    <n v="23.369700258181059"/>
    <n v="22.7782887888551"/>
    <n v="14"/>
    <n v="46.114617081798457"/>
    <n v="42.633187497267038"/>
    <n v="48.838837702140097"/>
    <n v="69"/>
  </r>
  <r>
    <d v="2026-04-26T17:00:00"/>
    <x v="1"/>
    <n v="17"/>
    <n v="21.908390429594441"/>
    <n v="23.380899866116671"/>
    <n v="22.886523019624999"/>
    <n v="8.9"/>
    <n v="45.900204270602778"/>
    <n v="42.577143546549998"/>
    <n v="46.480853462838887"/>
    <n v="92"/>
  </r>
  <r>
    <d v="2026-04-26T18:00:00"/>
    <x v="1"/>
    <n v="18"/>
    <n v="21.667155065652778"/>
    <n v="23.2691960342"/>
    <n v="22.874426206294441"/>
    <n v="6.4"/>
    <n v="47.963223455066668"/>
    <n v="43.52637808796667"/>
    <n v="44.881961999086123"/>
    <n v="93"/>
  </r>
  <r>
    <d v="2026-04-26T19:00:00"/>
    <x v="1"/>
    <n v="19"/>
    <n v="21.222112139949999"/>
    <n v="23.239935860625"/>
    <n v="22.832422099627781"/>
    <n v="5.6"/>
    <n v="50.017283204447217"/>
    <n v="46.907583243241668"/>
    <n v="44.680694572813891"/>
    <n v="91"/>
  </r>
  <r>
    <d v="2026-04-26T20:00:00"/>
    <x v="1"/>
    <n v="20"/>
    <n v="21.222849553402771"/>
    <n v="23.566681600527779"/>
    <n v="22.792579410147219"/>
    <n v="5.3"/>
    <n v="54.810853180286109"/>
    <n v="49.739162976488899"/>
    <n v="44.431866808058338"/>
    <n v="90"/>
  </r>
  <r>
    <d v="2026-04-26T21:00:00"/>
    <x v="1"/>
    <n v="21"/>
    <n v="21.49040097349166"/>
    <n v="23.79430127820833"/>
    <n v="22.78561836465833"/>
    <n v="4.2"/>
    <n v="59.805840711183329"/>
    <n v="52.204310885441657"/>
    <n v="44.853216537066658"/>
    <n v="88"/>
  </r>
  <r>
    <d v="2026-04-26T22:00:00"/>
    <x v="1"/>
    <n v="22"/>
    <n v="21.492745795041671"/>
    <n v="23.621903269583331"/>
    <n v="22.888809307272229"/>
    <n v="3.2"/>
    <n v="60.036194596738888"/>
    <n v="52.156269450108333"/>
    <n v="49.10738571465555"/>
    <n v="85"/>
  </r>
  <r>
    <d v="2026-04-26T23:00:00"/>
    <x v="1"/>
    <n v="23"/>
    <n v="21.46632331644722"/>
    <n v="23.469683264775"/>
    <n v="22.91873425761111"/>
    <n v="2.6"/>
    <n v="60.199286048705552"/>
    <n v="52.345590699972213"/>
    <n v="46.744459083713878"/>
    <n v="85"/>
  </r>
  <r>
    <d v="2026-04-27T00:00:00"/>
    <x v="1"/>
    <n v="0"/>
    <n v="21.35052584259445"/>
    <n v="23.386119055658341"/>
    <n v="22.940285648833331"/>
    <n v="2.4"/>
    <n v="59.972139269300008"/>
    <n v="52.145230214588892"/>
    <n v="46.927782010300007"/>
    <n v="83"/>
  </r>
  <r>
    <d v="2026-04-27T01:00:00"/>
    <x v="1"/>
    <n v="1"/>
    <n v="20.88984186341667"/>
    <n v="23.105352705536109"/>
    <n v="22.878821247905559"/>
    <n v="2.5"/>
    <n v="60.288231252436113"/>
    <n v="52.206856466536117"/>
    <n v="46.480098895188888"/>
    <n v="81"/>
  </r>
  <r>
    <d v="2026-04-27T02:00:00"/>
    <x v="1"/>
    <n v="2"/>
    <n v="20.55119305718333"/>
    <n v="22.826827833116671"/>
    <n v="22.786444652433332"/>
    <n v="2.2000000000000002"/>
    <n v="60.495135643944451"/>
    <n v="51.71202636432222"/>
    <n v="45.385734882411107"/>
    <n v="75"/>
  </r>
  <r>
    <d v="2026-04-27T03:00:00"/>
    <x v="1"/>
    <n v="3"/>
    <n v="20.30808422453056"/>
    <n v="22.652706424941659"/>
    <n v="22.714630235497221"/>
    <n v="2"/>
    <n v="60.368315350138893"/>
    <n v="51.162664394136108"/>
    <n v="44.537560077013893"/>
    <n v="67"/>
  </r>
  <r>
    <d v="2026-04-27T04:00:00"/>
    <x v="1"/>
    <n v="4"/>
    <n v="20.134826771775"/>
    <n v="22.447211984905561"/>
    <n v="22.65499604555556"/>
    <n v="1.7"/>
    <n v="60.170810295352773"/>
    <n v="51.014479154666667"/>
    <n v="44.099412020397217"/>
    <n v="64"/>
  </r>
  <r>
    <d v="2026-04-27T05:00:00"/>
    <x v="1"/>
    <n v="5"/>
    <n v="20.083964165322222"/>
    <n v="22.310647610975"/>
    <n v="22.623754016444451"/>
    <n v="1.3"/>
    <n v="59.497992945700013"/>
    <n v="50.657139379147218"/>
    <n v="43.698002279469442"/>
    <n v="66"/>
  </r>
  <r>
    <d v="2026-04-27T06:00:00"/>
    <x v="1"/>
    <n v="6"/>
    <n v="20.731790470588891"/>
    <n v="22.45702104431945"/>
    <n v="22.581503011191671"/>
    <n v="1.2"/>
    <n v="56.580254862700002"/>
    <n v="50.339231909574998"/>
    <n v="43.257868633874999"/>
    <n v="68"/>
  </r>
  <r>
    <d v="2026-04-27T07:00:00"/>
    <x v="1"/>
    <n v="7"/>
    <n v="21.309791181086108"/>
    <n v="22.66497037428611"/>
    <n v="22.572667041661109"/>
    <n v="1.9"/>
    <n v="54.790137321455553"/>
    <n v="51.882614784772223"/>
    <n v="43.117995772119443"/>
    <n v="67"/>
  </r>
  <r>
    <d v="2026-04-27T08:00:00"/>
    <x v="1"/>
    <n v="8"/>
    <n v="21.656065553866672"/>
    <n v="22.870078245794449"/>
    <n v="22.57363891108611"/>
    <n v="3.1"/>
    <n v="53.137543250647219"/>
    <n v="51.859512967741672"/>
    <n v="43.204617053791672"/>
    <n v="61"/>
  </r>
  <r>
    <d v="2026-04-27T09:00:00"/>
    <x v="1"/>
    <n v="9"/>
    <n v="21.660135171661111"/>
    <n v="23.08226216378333"/>
    <n v="22.582222573530551"/>
    <n v="3.8"/>
    <n v="53.446037368902779"/>
    <n v="50.967822272941667"/>
    <n v="43.207627265875011"/>
    <n v="56"/>
  </r>
  <r>
    <d v="2026-04-27T10:00:00"/>
    <x v="1"/>
    <n v="10"/>
    <n v="21.533880570208339"/>
    <n v="23.047779566402781"/>
    <n v="22.582277619275001"/>
    <n v="4.8"/>
    <n v="53.049154773883338"/>
    <n v="49.872289169922233"/>
    <n v="43.30493341585278"/>
    <n v="52"/>
  </r>
  <r>
    <d v="2026-04-27T11:00:00"/>
    <x v="1"/>
    <n v="11"/>
    <n v="21.516584083513891"/>
    <n v="23.095745648836111"/>
    <n v="22.584083511638891"/>
    <n v="5.2"/>
    <n v="54.696534036797217"/>
    <n v="51.671730791244443"/>
    <n v="43.570369306922217"/>
    <n v="48"/>
  </r>
  <r>
    <d v="2026-04-27T12:00:00"/>
    <x v="1"/>
    <n v="12"/>
    <n v="21.511185165175"/>
    <n v="23.284556203388892"/>
    <n v="22.579464560169441"/>
    <n v="5.2"/>
    <n v="55.777993008002767"/>
    <n v="51.997897529955559"/>
    <n v="43.451060718794452"/>
    <n v="45"/>
  </r>
  <r>
    <d v="2026-04-27T13:00:00"/>
    <x v="1"/>
    <n v="13"/>
    <n v="21.497405901630561"/>
    <n v="23.314340048055559"/>
    <n v="22.57308352311389"/>
    <n v="5.9"/>
    <n v="54.669105350299994"/>
    <n v="50.323937196175002"/>
    <n v="43.380448108708329"/>
    <n v="42"/>
  </r>
  <r>
    <d v="2026-04-27T14:00:00"/>
    <x v="1"/>
    <n v="14"/>
    <n v="21.487101959161109"/>
    <n v="23.479214767155561"/>
    <n v="22.569536057583331"/>
    <n v="7"/>
    <n v="54.539566748766667"/>
    <n v="48.76241616949445"/>
    <n v="43.231853930719438"/>
    <n v="36"/>
  </r>
  <r>
    <d v="2026-04-27T15:00:00"/>
    <x v="1"/>
    <n v="15"/>
    <n v="21.462803241280561"/>
    <n v="23.409553574947221"/>
    <n v="22.571166797627779"/>
    <n v="7.4"/>
    <n v="52.351903786299999"/>
    <n v="47.653552055616657"/>
    <n v="43.50962497562778"/>
    <n v="34"/>
  </r>
  <r>
    <d v="2026-04-27T16:00:00"/>
    <x v="1"/>
    <n v="16"/>
    <n v="21.321971126916669"/>
    <n v="23.28620096485"/>
    <n v="22.56712187153056"/>
    <n v="7.8"/>
    <n v="52.054657313472227"/>
    <n v="46.104779615908328"/>
    <n v="43.467874673808332"/>
    <n v="32"/>
  </r>
  <r>
    <d v="2026-04-27T17:00:00"/>
    <x v="1"/>
    <n v="17"/>
    <n v="21.295006088558331"/>
    <n v="23.353763725402771"/>
    <n v="22.556749469683329"/>
    <n v="7.9"/>
    <n v="52.445835022450012"/>
    <n v="46.010644705711108"/>
    <n v="43.370235558677777"/>
    <n v="33"/>
  </r>
  <r>
    <d v="2026-04-27T18:00:00"/>
    <x v="1"/>
    <n v="18"/>
    <n v="21.307122866255561"/>
    <n v="23.379388850350001"/>
    <n v="22.546391342808331"/>
    <n v="7.8"/>
    <n v="52.712827832774998"/>
    <n v="46.061540989141669"/>
    <n v="43.045498776472222"/>
    <n v="36"/>
  </r>
  <r>
    <d v="2026-04-27T19:00:00"/>
    <x v="1"/>
    <n v="19"/>
    <n v="21.12895871140833"/>
    <n v="23.109872283366659"/>
    <n v="22.52804684363889"/>
    <n v="6.7"/>
    <n v="53.067325408647228"/>
    <n v="47.908884433183339"/>
    <n v="42.590530913775012"/>
    <n v="44"/>
  </r>
  <r>
    <d v="2026-04-27T20:00:00"/>
    <x v="1"/>
    <n v="20"/>
    <n v="20.80430488641111"/>
    <n v="22.826545124397221"/>
    <n v="22.51237207591112"/>
    <n v="5.9"/>
    <n v="54.770531111341683"/>
    <n v="49.472095628644453"/>
    <n v="42.376067936316673"/>
    <n v="45"/>
  </r>
  <r>
    <d v="2026-04-27T21:00:00"/>
    <x v="1"/>
    <n v="21"/>
    <n v="21.121914127183331"/>
    <n v="23.045716029188881"/>
    <n v="22.508620226291669"/>
    <n v="4.9000000000000004"/>
    <n v="52.654282388633327"/>
    <n v="47.436022919863888"/>
    <n v="42.346789699825003"/>
    <n v="54"/>
  </r>
  <r>
    <d v="2026-04-27T22:00:00"/>
    <x v="1"/>
    <n v="22"/>
    <n v="21.267032248549999"/>
    <n v="23.449497804444441"/>
    <n v="22.510453617694441"/>
    <n v="4.2"/>
    <n v="52.272300779297218"/>
    <n v="48.07873326944167"/>
    <n v="42.01607520118889"/>
    <n v="59"/>
  </r>
  <r>
    <d v="2026-04-27T23:00:00"/>
    <x v="1"/>
    <n v="23"/>
    <n v="21.240771435844451"/>
    <n v="23.46970746838889"/>
    <n v="22.519648369394449"/>
    <n v="3.5"/>
    <n v="55.127915203402779"/>
    <n v="50.064849999305558"/>
    <n v="41.795459461880561"/>
    <n v="62"/>
  </r>
  <r>
    <d v="2026-04-28T00:00:00"/>
    <x v="1"/>
    <n v="0"/>
    <n v="21.342757477733329"/>
    <n v="23.494171007388889"/>
    <n v="22.578310144208331"/>
    <n v="3.3"/>
    <n v="52.892982860258343"/>
    <n v="48.506944983011117"/>
    <n v="41.73762747072778"/>
    <n v="66"/>
  </r>
  <r>
    <d v="2026-04-28T01:00:00"/>
    <x v="1"/>
    <n v="1"/>
    <n v="21.20507170225833"/>
    <n v="23.08643713814444"/>
    <n v="22.723825169194441"/>
    <n v="3"/>
    <n v="51.684625018316673"/>
    <n v="47.312937264986111"/>
    <n v="43.143955719525003"/>
    <n v="68"/>
  </r>
  <r>
    <d v="2026-04-28T02:00:00"/>
    <x v="1"/>
    <n v="2"/>
    <n v="20.639032533741659"/>
    <n v="22.614373202427771"/>
    <n v="22.803692649452781"/>
    <n v="2.6"/>
    <n v="55.138362780772219"/>
    <n v="48.29285573110834"/>
    <n v="43.589297101858342"/>
    <n v="70"/>
  </r>
  <r>
    <d v="2026-04-28T03:00:00"/>
    <x v="1"/>
    <n v="3"/>
    <n v="20.235184419827771"/>
    <n v="22.072307109427779"/>
    <n v="22.82171197023056"/>
    <n v="1.9"/>
    <n v="54.060040590044451"/>
    <n v="47.285299940677781"/>
    <n v="42.320186437952778"/>
    <n v="74"/>
  </r>
  <r>
    <d v="2026-04-28T04:00:00"/>
    <x v="1"/>
    <n v="4"/>
    <n v="19.98051543533612"/>
    <n v="21.949639129641671"/>
    <n v="22.814816811741661"/>
    <n v="1.5"/>
    <n v="52.961987576552779"/>
    <n v="45.781002139022227"/>
    <n v="41.781385558858332"/>
    <n v="75"/>
  </r>
  <r>
    <d v="2026-04-28T05:00:00"/>
    <x v="1"/>
    <n v="5"/>
    <n v="19.93744695220278"/>
    <n v="21.785811202541659"/>
    <n v="22.738586286202779"/>
    <n v="1.2"/>
    <n v="51.976473552158332"/>
    <n v="44.964664341233338"/>
    <n v="41.471659460963878"/>
    <n v="77"/>
  </r>
  <r>
    <d v="2026-04-28T06:00:00"/>
    <x v="1"/>
    <n v="6"/>
    <n v="20.58776979025"/>
    <n v="22.002352228408331"/>
    <n v="22.659362614330561"/>
    <n v="1.1000000000000001"/>
    <n v="48.229645407494438"/>
    <n v="44.260235455647233"/>
    <n v="41.23836464575556"/>
    <n v="77"/>
  </r>
  <r>
    <d v="2026-04-28T07:00:00"/>
    <x v="1"/>
    <n v="7"/>
    <n v="21.239259369194439"/>
    <n v="22.55767333958612"/>
    <n v="22.618315758891669"/>
    <n v="2.4"/>
    <n v="46.047320882519443"/>
    <n v="43.454141433541672"/>
    <n v="41.059599102183327"/>
    <n v="76"/>
  </r>
  <r>
    <d v="2026-04-28T08:00:00"/>
    <x v="1"/>
    <n v="8"/>
    <n v="21.775674922438888"/>
    <n v="23.09317886935834"/>
    <n v="22.601185548955559"/>
    <n v="4.4000000000000004"/>
    <n v="44.911670833386118"/>
    <n v="43.299727094322229"/>
    <n v="40.985980651344448"/>
    <n v="69"/>
  </r>
  <r>
    <d v="2026-04-28T09:00:00"/>
    <x v="1"/>
    <n v="9"/>
    <n v="22.07854416493889"/>
    <n v="23.32681025318611"/>
    <n v="22.59883378190834"/>
    <n v="6.8"/>
    <n v="45.978815472766662"/>
    <n v="44.058287034569453"/>
    <n v="41.219750837469441"/>
    <n v="60"/>
  </r>
  <r>
    <d v="2026-04-28T10:00:00"/>
    <x v="1"/>
    <n v="10"/>
    <n v="21.868294405311111"/>
    <n v="23.298077482558341"/>
    <n v="22.609916586922221"/>
    <n v="8.1999999999999993"/>
    <n v="47.873217940694452"/>
    <n v="44.792167663513887"/>
    <n v="41.661523530183338"/>
    <n v="49"/>
  </r>
  <r>
    <d v="2026-04-28T11:00:00"/>
    <x v="1"/>
    <n v="11"/>
    <n v="21.699312753766659"/>
    <n v="23.357276932563892"/>
    <n v="22.646333105916671"/>
    <n v="8.6999999999999993"/>
    <n v="49.181262096327778"/>
    <n v="46.883939135963892"/>
    <n v="43.035553927733332"/>
    <n v="41"/>
  </r>
  <r>
    <d v="2026-04-28T12:00:00"/>
    <x v="1"/>
    <n v="12"/>
    <n v="21.742725863516672"/>
    <n v="23.480491939886111"/>
    <n v="22.634037022225002"/>
    <n v="8.8000000000000007"/>
    <n v="54.640384203797232"/>
    <n v="51.499388299294438"/>
    <n v="43.05718192006389"/>
    <n v="39"/>
  </r>
  <r>
    <d v="2026-04-28T13:00:00"/>
    <x v="1"/>
    <n v="13"/>
    <n v="21.715733597075001"/>
    <n v="23.407095734713891"/>
    <n v="22.606120933844451"/>
    <n v="9.3000000000000007"/>
    <n v="51.096977686200013"/>
    <n v="46.842475291402771"/>
    <n v="42.085654335033333"/>
    <n v="39"/>
  </r>
  <r>
    <d v="2026-04-28T14:00:00"/>
    <x v="1"/>
    <n v="14"/>
    <n v="21.667021045766671"/>
    <n v="23.36668221018612"/>
    <n v="22.59360178407778"/>
    <n v="9.8000000000000007"/>
    <n v="51.09523442161111"/>
    <n v="47.793756751611113"/>
    <n v="42.401343350397219"/>
    <n v="36"/>
  </r>
  <r>
    <d v="2026-04-28T15:00:00"/>
    <x v="1"/>
    <n v="15"/>
    <n v="21.73346783039166"/>
    <n v="23.422162664411111"/>
    <n v="22.693750889719439"/>
    <n v="9.6"/>
    <n v="51.959265090541663"/>
    <n v="48.743232290436111"/>
    <n v="46.077701114397229"/>
    <n v="37"/>
  </r>
  <r>
    <d v="2026-04-28T16:00:00"/>
    <x v="1"/>
    <n v="16"/>
    <n v="21.580932039052779"/>
    <n v="23.165311380258331"/>
    <n v="22.764768813275001"/>
    <n v="9.1999999999999993"/>
    <n v="48.585552494794449"/>
    <n v="47.198338218700002"/>
    <n v="46.186847512283329"/>
    <n v="40"/>
  </r>
  <r>
    <d v="2026-04-28T17:00:00"/>
    <x v="1"/>
    <n v="17"/>
    <n v="21.352468619974999"/>
    <n v="22.824389855083339"/>
    <n v="22.816871086569449"/>
    <n v="8.6999999999999993"/>
    <n v="47.957831334441657"/>
    <n v="45.298680739238883"/>
    <n v="45.197356425147227"/>
    <n v="42"/>
  </r>
  <r>
    <d v="2026-04-28T18:00:00"/>
    <x v="1"/>
    <n v="18"/>
    <n v="21.27210205651112"/>
    <n v="22.878682591630561"/>
    <n v="22.885555661649999"/>
    <n v="7.2"/>
    <n v="47.078407006630563"/>
    <n v="44.091491908655549"/>
    <n v="44.891511806763887"/>
    <n v="55"/>
  </r>
  <r>
    <d v="2026-04-28T19:00:00"/>
    <x v="1"/>
    <n v="19"/>
    <n v="21.104183544552779"/>
    <n v="22.832594681541661"/>
    <n v="22.926806304005559"/>
    <n v="6.3"/>
    <n v="48.518133982575002"/>
    <n v="44.773705021974997"/>
    <n v="44.543237984144447"/>
    <n v="61"/>
  </r>
  <r>
    <d v="2026-04-28T20:00:00"/>
    <x v="1"/>
    <n v="20"/>
    <n v="20.925364565313892"/>
    <n v="22.626125847236111"/>
    <n v="22.96475102710556"/>
    <n v="5"/>
    <n v="49.958074629183329"/>
    <n v="44.871818430369437"/>
    <n v="44.017261077161123"/>
    <n v="65"/>
  </r>
  <r>
    <d v="2026-04-28T21:00:00"/>
    <x v="1"/>
    <n v="21"/>
    <n v="21.07346691153889"/>
    <n v="22.739247103463889"/>
    <n v="22.973240297058339"/>
    <n v="4.4000000000000004"/>
    <n v="50.511085735872221"/>
    <n v="47.764539258202781"/>
    <n v="44.564973980238882"/>
    <n v="72"/>
  </r>
  <r>
    <d v="2026-04-28T22:00:00"/>
    <x v="1"/>
    <n v="22"/>
    <n v="21.49615481038612"/>
    <n v="23.349123702152781"/>
    <n v="22.975648287788889"/>
    <n v="3.9"/>
    <n v="54.430826106241661"/>
    <n v="54.485681869561112"/>
    <n v="50.599309045241661"/>
    <n v="75"/>
  </r>
  <r>
    <d v="2026-04-28T23:00:00"/>
    <x v="1"/>
    <n v="23"/>
    <n v="21.614127927327772"/>
    <n v="23.317805529772219"/>
    <n v="22.90649648362778"/>
    <n v="3"/>
    <n v="53.572413069041673"/>
    <n v="53.009771452163903"/>
    <n v="47.206909232186113"/>
    <n v="77"/>
  </r>
  <r>
    <d v="2026-04-29T00:00:00"/>
    <x v="1"/>
    <n v="0"/>
    <n v="21.65474546871944"/>
    <n v="23.28864430202778"/>
    <n v="22.821285730838891"/>
    <n v="2.2999999999999998"/>
    <n v="51.136686434308331"/>
    <n v="50.243700322047218"/>
    <n v="44.596951563369451"/>
    <n v="75"/>
  </r>
  <r>
    <d v="2026-04-29T01:00:00"/>
    <x v="1"/>
    <n v="1"/>
    <n v="21.606503408133332"/>
    <n v="23.309274138411109"/>
    <n v="22.77197045631112"/>
    <n v="1.6"/>
    <n v="50.353905312527779"/>
    <n v="48.411413891444447"/>
    <n v="43.545814575791667"/>
    <n v="75"/>
  </r>
  <r>
    <d v="2026-04-29T02:00:00"/>
    <x v="1"/>
    <n v="2"/>
    <n v="21.055484270800001"/>
    <n v="22.960849080483332"/>
    <n v="22.724073347202779"/>
    <n v="1.1000000000000001"/>
    <n v="50.915761761252782"/>
    <n v="46.166705443780558"/>
    <n v="42.864719066852778"/>
    <n v="75"/>
  </r>
  <r>
    <d v="2026-04-29T03:00:00"/>
    <x v="1"/>
    <n v="3"/>
    <n v="20.489684778730549"/>
    <n v="22.372427294541659"/>
    <n v="22.66508252165"/>
    <n v="0.7"/>
    <n v="50.937541482497217"/>
    <n v="45.640853471947217"/>
    <n v="42.38290844586389"/>
    <n v="75"/>
  </r>
  <r>
    <d v="2026-04-29T04:00:00"/>
    <x v="1"/>
    <n v="4"/>
    <n v="20.176904707666669"/>
    <n v="22.071144205786108"/>
    <n v="22.609786758427781"/>
    <n v="0"/>
    <n v="50.98752992419444"/>
    <n v="45.039100374247219"/>
    <n v="42.093938996272222"/>
    <n v="78"/>
  </r>
  <r>
    <d v="2026-04-29T05:00:00"/>
    <x v="1"/>
    <n v="5"/>
    <n v="20.12373418030834"/>
    <n v="21.91674414157778"/>
    <n v="22.57618322833056"/>
    <n v="-0.5"/>
    <n v="50.287776136508327"/>
    <n v="44.420018433233338"/>
    <n v="41.763525825088891"/>
    <n v="79"/>
  </r>
  <r>
    <d v="2026-04-29T06:00:00"/>
    <x v="1"/>
    <n v="6"/>
    <n v="20.83071479824444"/>
    <n v="22.111868752336111"/>
    <n v="22.543063557252779"/>
    <n v="-0.2"/>
    <n v="46.428771179761107"/>
    <n v="43.91163106870556"/>
    <n v="41.52899351295833"/>
    <n v="79"/>
  </r>
  <r>
    <d v="2026-04-29T07:00:00"/>
    <x v="1"/>
    <n v="7"/>
    <n v="21.479032921188889"/>
    <n v="22.479781409380561"/>
    <n v="22.53077695390833"/>
    <n v="1.3"/>
    <n v="44.850200799191668"/>
    <n v="43.440687707750001"/>
    <n v="41.391836158141672"/>
    <n v="79"/>
  </r>
  <r>
    <d v="2026-04-29T08:00:00"/>
    <x v="1"/>
    <n v="8"/>
    <n v="22.05001291941112"/>
    <n v="22.932138281566669"/>
    <n v="22.537676478488891"/>
    <n v="3.6"/>
    <n v="43.744194291352777"/>
    <n v="43.452220161594447"/>
    <n v="41.312188665480562"/>
    <n v="73"/>
  </r>
  <r>
    <d v="2026-04-29T09:00:00"/>
    <x v="1"/>
    <n v="9"/>
    <n v="22.412453828322221"/>
    <n v="23.283895123822219"/>
    <n v="22.55583500584444"/>
    <n v="6.3"/>
    <n v="44.050136680652777"/>
    <n v="43.922443666797221"/>
    <n v="41.379535696952779"/>
    <n v="61"/>
  </r>
  <r>
    <d v="2026-04-29T10:00:00"/>
    <x v="1"/>
    <n v="10"/>
    <n v="22.47472324149167"/>
    <n v="23.483832904886121"/>
    <n v="22.583252009566671"/>
    <n v="7.7"/>
    <n v="45.174164192861113"/>
    <n v="44.243287731716663"/>
    <n v="41.785618275880559"/>
    <n v="46"/>
  </r>
  <r>
    <d v="2026-04-29T11:00:00"/>
    <x v="1"/>
    <n v="11"/>
    <n v="22.253345992300002"/>
    <n v="23.687267480625"/>
    <n v="22.59875038151111"/>
    <n v="8.4"/>
    <n v="48.25885965830556"/>
    <n v="44.396614274149997"/>
    <n v="41.94831353499444"/>
    <n v="40"/>
  </r>
  <r>
    <d v="2026-04-29T12:00:00"/>
    <x v="1"/>
    <n v="12"/>
    <n v="22.25347194626389"/>
    <n v="23.672714989900001"/>
    <n v="22.597389170063892"/>
    <n v="8.8000000000000007"/>
    <n v="48.699625227416668"/>
    <n v="44.807256799847217"/>
    <n v="41.969047069677778"/>
    <n v="40"/>
  </r>
  <r>
    <d v="2026-04-29T13:00:00"/>
    <x v="1"/>
    <n v="13"/>
    <n v="22.175898039905562"/>
    <n v="23.500738454105559"/>
    <n v="22.606546971933341"/>
    <n v="9.3000000000000007"/>
    <n v="49.366433517916668"/>
    <n v="45.283297621016658"/>
    <n v="42.437684334683333"/>
    <n v="43"/>
  </r>
  <r>
    <d v="2026-04-29T14:00:00"/>
    <x v="1"/>
    <n v="14"/>
    <n v="21.955481869452779"/>
    <n v="23.367559610558331"/>
    <n v="22.60313868619167"/>
    <n v="9.6999999999999993"/>
    <n v="49.016053500872232"/>
    <n v="45.166906401272222"/>
    <n v="42.417959859050001"/>
    <n v="45"/>
  </r>
  <r>
    <d v="2026-04-29T15:00:00"/>
    <x v="1"/>
    <n v="15"/>
    <n v="21.816390736527779"/>
    <n v="23.180434049863891"/>
    <n v="22.590979519036111"/>
    <n v="10.1"/>
    <n v="46.246492143811111"/>
    <n v="43.18612937563055"/>
    <n v="41.593647355047217"/>
    <n v="42"/>
  </r>
  <r>
    <d v="2026-04-29T16:00:00"/>
    <x v="1"/>
    <n v="16"/>
    <n v="21.639764322138891"/>
    <n v="23.191646789577771"/>
    <n v="22.57673456518889"/>
    <n v="10.1"/>
    <n v="46.581382731250002"/>
    <n v="43.372246596972218"/>
    <n v="41.79082689537222"/>
    <n v="42"/>
  </r>
  <r>
    <d v="2026-04-29T17:00:00"/>
    <x v="1"/>
    <n v="17"/>
    <n v="21.734392686149999"/>
    <n v="23.372682131513891"/>
    <n v="22.566785451783339"/>
    <n v="8.6"/>
    <n v="49.217770473288887"/>
    <n v="47.781030403944442"/>
    <n v="41.896176228911109"/>
    <n v="45"/>
  </r>
  <r>
    <d v="2026-04-29T18:00:00"/>
    <x v="1"/>
    <n v="18"/>
    <n v="21.64034243465834"/>
    <n v="23.388096566030551"/>
    <n v="22.558360892836109"/>
    <n v="6.6"/>
    <n v="50.027794253213891"/>
    <n v="46.918471321611122"/>
    <n v="41.718812648947221"/>
    <n v="64"/>
  </r>
  <r>
    <d v="2026-04-29T19:00:00"/>
    <x v="1"/>
    <n v="19"/>
    <n v="21.414264348749999"/>
    <n v="23.416133255788889"/>
    <n v="22.617915776602771"/>
    <n v="6.8"/>
    <n v="50.76866614155"/>
    <n v="45.978394746444451"/>
    <n v="41.900974038597219"/>
    <n v="66"/>
  </r>
  <r>
    <d v="2026-04-29T20:00:00"/>
    <x v="1"/>
    <n v="20"/>
    <n v="21.107970463086112"/>
    <n v="23.615980727263889"/>
    <n v="22.630618325894439"/>
    <n v="5"/>
    <n v="51.120375244088883"/>
    <n v="43.972312603647232"/>
    <n v="41.588890533133331"/>
    <n v="76"/>
  </r>
  <r>
    <d v="2026-04-29T21:00:00"/>
    <x v="1"/>
    <n v="21"/>
    <n v="20.886381620213889"/>
    <n v="23.912443973861109"/>
    <n v="22.60208049945556"/>
    <n v="4.5"/>
    <n v="50.57299720319444"/>
    <n v="43.427046981888893"/>
    <n v="41.140477460705547"/>
    <n v="77"/>
  </r>
  <r>
    <d v="2026-04-29T22:00:00"/>
    <x v="1"/>
    <n v="22"/>
    <n v="21.045739827944441"/>
    <n v="23.375409982602768"/>
    <n v="22.58612807386945"/>
    <n v="3.8"/>
    <n v="50.080355045997223"/>
    <n v="45.724490242366663"/>
    <n v="40.422387882841669"/>
    <n v="83"/>
  </r>
  <r>
    <d v="2026-04-29T23:00:00"/>
    <x v="1"/>
    <n v="23"/>
    <n v="21.17549284155"/>
    <n v="23.235519312127771"/>
    <n v="22.57175666505"/>
    <n v="3.1"/>
    <n v="54.293371751738881"/>
    <n v="49.711984487869437"/>
    <n v="40.526307754772219"/>
    <n v="84"/>
  </r>
  <r>
    <d v="2026-04-30T00:00:00"/>
    <x v="1"/>
    <n v="0"/>
    <n v="21.231639023872219"/>
    <n v="23.191953082230551"/>
    <n v="22.556850597172211"/>
    <n v="2.9"/>
    <n v="56.193589004141657"/>
    <n v="51.180058783741657"/>
    <n v="40.46612258030278"/>
    <n v="81"/>
  </r>
  <r>
    <d v="2026-04-30T01:00:00"/>
    <x v="1"/>
    <n v="1"/>
    <n v="20.943704335025"/>
    <n v="23.059420493466661"/>
    <n v="22.542101053088889"/>
    <n v="1.9"/>
    <n v="57.331778323247228"/>
    <n v="52.414172269075003"/>
    <n v="40.405166121811106"/>
    <n v="83"/>
  </r>
  <r>
    <d v="2026-04-30T02:00:00"/>
    <x v="1"/>
    <n v="2"/>
    <n v="20.524033165836109"/>
    <n v="22.679529346597221"/>
    <n v="22.52217987745"/>
    <n v="1.2"/>
    <n v="59.650339584261111"/>
    <n v="53.688719088686113"/>
    <n v="40.324315114733331"/>
    <n v="85"/>
  </r>
  <r>
    <d v="2026-04-30T03:00:00"/>
    <x v="1"/>
    <n v="3"/>
    <n v="20.2253722827"/>
    <n v="22.363219027425"/>
    <n v="22.494923098122211"/>
    <n v="0.9"/>
    <n v="59.655229781374999"/>
    <n v="53.133535326924999"/>
    <n v="40.249491500591667"/>
    <n v="85"/>
  </r>
  <r>
    <d v="2026-04-30T04:00:00"/>
    <x v="1"/>
    <n v="4"/>
    <n v="20.002990825874999"/>
    <n v="22.043744571725"/>
    <n v="22.471145832772219"/>
    <n v="0.6"/>
    <n v="59.482467644269441"/>
    <n v="52.495189763833338"/>
    <n v="40.182985747252779"/>
    <n v="87"/>
  </r>
  <r>
    <d v="2026-04-30T05:00:00"/>
    <x v="1"/>
    <n v="5"/>
    <n v="19.992645159847221"/>
    <n v="21.908030328069451"/>
    <n v="22.441190187230561"/>
    <n v="0.2"/>
    <n v="59.096217444322207"/>
    <n v="52.115111016649998"/>
    <n v="40.15606607313611"/>
    <n v="88"/>
  </r>
  <r>
    <d v="2026-04-30T06:00:00"/>
    <x v="1"/>
    <n v="6"/>
    <n v="20.684278969841671"/>
    <n v="22.13817678805556"/>
    <n v="22.427601043338889"/>
    <n v="0.3"/>
    <n v="57.396535172316668"/>
    <n v="51.583770854166673"/>
    <n v="40.115713236552779"/>
    <n v="88"/>
  </r>
  <r>
    <d v="2026-04-30T07:00:00"/>
    <x v="1"/>
    <n v="7"/>
    <n v="21.281644013069439"/>
    <n v="22.473801158099999"/>
    <n v="22.43014984099166"/>
    <n v="1.6"/>
    <n v="56.28074962077222"/>
    <n v="52.923735707933332"/>
    <n v="40.083322316088889"/>
    <n v="88"/>
  </r>
  <r>
    <d v="2026-04-30T08:00:00"/>
    <x v="1"/>
    <n v="8"/>
    <n v="21.836160808391671"/>
    <n v="22.97251792610556"/>
    <n v="22.439215890886111"/>
    <n v="3.9"/>
    <n v="51.826980042411122"/>
    <n v="53.257953471800001"/>
    <n v="40.071242927813891"/>
    <n v="80"/>
  </r>
  <r>
    <d v="2026-04-30T09:00:00"/>
    <x v="1"/>
    <n v="9"/>
    <n v="22.197423399388889"/>
    <n v="23.433322040330559"/>
    <n v="22.45957092942222"/>
    <n v="6.3"/>
    <n v="51.960509753219441"/>
    <n v="52.950404645713888"/>
    <n v="40.387477076480558"/>
    <n v="67"/>
  </r>
  <r>
    <d v="2026-04-30T10:00:00"/>
    <x v="1"/>
    <n v="10"/>
    <n v="22.01804985705833"/>
    <n v="23.42335511953334"/>
    <n v="22.49873300210556"/>
    <n v="7.5"/>
    <n v="54.222317328963889"/>
    <n v="52.499109724919442"/>
    <n v="40.79876010568055"/>
    <n v="57"/>
  </r>
  <r>
    <d v="2026-04-30T11:00:00"/>
    <x v="1"/>
    <n v="11"/>
    <n v="21.904058674491669"/>
    <n v="23.4130740847"/>
    <n v="22.511177709183329"/>
    <n v="8.4"/>
    <n v="55.534784661097227"/>
    <n v="52.150781801508337"/>
    <n v="41.100214754413891"/>
    <n v="52"/>
  </r>
  <r>
    <d v="2026-04-30T12:00:00"/>
    <x v="1"/>
    <n v="12"/>
    <n v="22.133183065497221"/>
    <n v="23.731192892072219"/>
    <n v="22.536071506436109"/>
    <n v="8.8000000000000007"/>
    <n v="56.488727117369443"/>
    <n v="51.891857394002777"/>
    <n v="41.851738695380561"/>
    <n v="49"/>
  </r>
  <r>
    <d v="2026-04-30T13:00:00"/>
    <x v="1"/>
    <n v="13"/>
    <n v="21.94598244946112"/>
    <n v="23.719286801541671"/>
    <n v="22.564293593758329"/>
    <n v="9"/>
    <n v="57.353415135730557"/>
    <n v="51.255973045397219"/>
    <n v="42.488102672163883"/>
    <n v="47"/>
  </r>
  <r>
    <d v="2026-04-30T14:00:00"/>
    <x v="1"/>
    <n v="14"/>
    <n v="21.838962669008328"/>
    <n v="23.607610063494452"/>
    <n v="22.72053733017222"/>
    <n v="8.9"/>
    <n v="55.852653248344453"/>
    <n v="50.552681576169448"/>
    <n v="46.876133251797221"/>
    <n v="47"/>
  </r>
  <r>
    <d v="2026-04-30T15:00:00"/>
    <x v="1"/>
    <n v="15"/>
    <n v="21.606767563255559"/>
    <n v="23.500724013377781"/>
    <n v="22.707033654008331"/>
    <n v="8"/>
    <n v="54.774624028772223"/>
    <n v="51.128044660347221"/>
    <n v="45.30047662162778"/>
    <n v="50"/>
  </r>
  <r>
    <d v="2026-04-30T16:00:00"/>
    <x v="1"/>
    <n v="16"/>
    <n v="21.548466710349999"/>
    <n v="23.283406852477778"/>
    <n v="22.734498947705561"/>
    <n v="8.3000000000000007"/>
    <n v="54.072012862911123"/>
    <n v="49.786294745230563"/>
    <n v="45.28082047097778"/>
    <n v="50"/>
  </r>
  <r>
    <d v="2026-04-30T17:00:00"/>
    <x v="1"/>
    <n v="17"/>
    <n v="21.516978214080559"/>
    <n v="23.165729637022221"/>
    <n v="22.715744485302778"/>
    <n v="8"/>
    <n v="53.884895238502772"/>
    <n v="49.017882290347217"/>
    <n v="44.559369836258327"/>
    <n v="50"/>
  </r>
  <r>
    <d v="2026-04-30T18:00:00"/>
    <x v="1"/>
    <n v="18"/>
    <n v="21.602470775838881"/>
    <n v="23.304023070663892"/>
    <n v="22.679022416744441"/>
    <n v="7.5"/>
    <n v="53.649700127513889"/>
    <n v="49.860468875841661"/>
    <n v="43.777037522158338"/>
    <n v="52"/>
  </r>
  <r>
    <d v="2026-04-30T19:00:00"/>
    <x v="1"/>
    <n v="19"/>
    <n v="21.54810504025"/>
    <n v="23.39237566620556"/>
    <n v="22.70553963704722"/>
    <n v="6.6"/>
    <n v="54.133093683186111"/>
    <n v="49.929672909319443"/>
    <n v="45.587167701094451"/>
    <n v="61"/>
  </r>
  <r>
    <d v="2026-04-30T20:00:00"/>
    <x v="1"/>
    <n v="20"/>
    <n v="21.462049736197219"/>
    <n v="23.454096813505551"/>
    <n v="22.786105260977781"/>
    <n v="5.0999999999999996"/>
    <n v="53.309531120922223"/>
    <n v="47.913178661483329"/>
    <n v="50.357504079847217"/>
    <n v="71"/>
  </r>
  <r>
    <d v="2026-04-30T21:00:00"/>
    <x v="1"/>
    <n v="21"/>
    <n v="21.395756315077779"/>
    <n v="23.374539049725001"/>
    <n v="22.792700497416661"/>
    <n v="4.8"/>
    <n v="54.083494852347222"/>
    <n v="49.855492185552777"/>
    <n v="47.765591075261113"/>
    <n v="76"/>
  </r>
  <r>
    <d v="2026-04-30T22:00:00"/>
    <x v="1"/>
    <n v="22"/>
    <n v="21.473341867766671"/>
    <n v="23.310563798855551"/>
    <n v="22.747890677480559"/>
    <n v="4.4000000000000004"/>
    <n v="53.478136927219452"/>
    <n v="48.88991409430556"/>
    <n v="45.160847972241669"/>
    <n v="77"/>
  </r>
  <r>
    <d v="2026-04-30T23:00:00"/>
    <x v="1"/>
    <n v="23"/>
    <n v="21.51569171048056"/>
    <n v="23.29243208113056"/>
    <n v="22.694927188099999"/>
    <n v="3.6"/>
    <n v="52.660033040952783"/>
    <n v="47.590593445969439"/>
    <n v="43.961609542427773"/>
    <n v="81"/>
  </r>
  <r>
    <d v="2026-05-01T00:00:00"/>
    <x v="2"/>
    <n v="0"/>
    <n v="21.565525960561111"/>
    <n v="23.37243953500278"/>
    <n v="22.647732885255561"/>
    <n v="3.2"/>
    <n v="51.794965554338887"/>
    <n v="46.626485164922222"/>
    <n v="43.173485512524998"/>
    <n v="83"/>
  </r>
  <r>
    <d v="2026-05-01T01:00:00"/>
    <x v="2"/>
    <n v="1"/>
    <n v="21.513576151058331"/>
    <n v="23.604716986930551"/>
    <n v="22.624006931894439"/>
    <n v="2.7"/>
    <n v="51.546146164974999"/>
    <n v="47.847342406283332"/>
    <n v="43.026430864983332"/>
    <n v="84"/>
  </r>
  <r>
    <d v="2026-05-01T02:00:00"/>
    <x v="2"/>
    <n v="2"/>
    <n v="21.108242327530562"/>
    <n v="23.10093690682778"/>
    <n v="22.593665487933329"/>
    <n v="2"/>
    <n v="53.917654119550001"/>
    <n v="49.167417283527783"/>
    <n v="42.579465533975011"/>
    <n v="87"/>
  </r>
  <r>
    <d v="2026-05-01T03:00:00"/>
    <x v="2"/>
    <n v="3"/>
    <n v="20.726143366969449"/>
    <n v="22.648950616625001"/>
    <n v="22.54441031694445"/>
    <n v="1.9"/>
    <n v="56.228078954222219"/>
    <n v="49.896762263686107"/>
    <n v="42.099387674708332"/>
    <n v="88"/>
  </r>
  <r>
    <d v="2026-05-01T04:00:00"/>
    <x v="2"/>
    <n v="4"/>
    <n v="20.457039766244449"/>
    <n v="22.434836330155552"/>
    <n v="22.505702712913891"/>
    <n v="1.7"/>
    <n v="55.861900223124998"/>
    <n v="48.758606080311118"/>
    <n v="41.771731497938887"/>
    <n v="90"/>
  </r>
  <r>
    <d v="2026-05-01T05:00:00"/>
    <x v="2"/>
    <n v="5"/>
    <n v="20.27576932884444"/>
    <n v="22.165189342516669"/>
    <n v="22.47574324510833"/>
    <n v="1.3"/>
    <n v="55.291241399791673"/>
    <n v="48.410795927433327"/>
    <n v="41.524158259072223"/>
    <n v="91"/>
  </r>
  <r>
    <d v="2026-05-01T06:00:00"/>
    <x v="2"/>
    <n v="6"/>
    <n v="20.24499559745"/>
    <n v="22.10941058246112"/>
    <n v="22.450187626283331"/>
    <n v="1.2"/>
    <n v="54.370273256183332"/>
    <n v="47.548614233091662"/>
    <n v="41.315295875416673"/>
    <n v="92"/>
  </r>
  <r>
    <d v="2026-05-01T07:00:00"/>
    <x v="2"/>
    <n v="7"/>
    <n v="20.23441689328612"/>
    <n v="21.94493403770278"/>
    <n v="22.42787774538056"/>
    <n v="2.4"/>
    <n v="53.688907054813889"/>
    <n v="47.220199133441668"/>
    <n v="41.163224602411113"/>
    <n v="90"/>
  </r>
  <r>
    <d v="2026-05-01T08:00:00"/>
    <x v="2"/>
    <n v="8"/>
    <n v="20.24499792930278"/>
    <n v="21.867225022391661"/>
    <n v="22.407727035752782"/>
    <n v="4.5"/>
    <n v="52.916719079680547"/>
    <n v="46.814644264400002"/>
    <n v="41.030787225936109"/>
    <n v="82"/>
  </r>
  <r>
    <d v="2026-05-01T09:00:00"/>
    <x v="2"/>
    <n v="9"/>
    <n v="20.514838629483329"/>
    <n v="21.834593297061112"/>
    <n v="22.393266086377778"/>
    <n v="6.2"/>
    <n v="51.235845961052767"/>
    <n v="46.244203403358327"/>
    <n v="40.912331887433332"/>
    <n v="69"/>
  </r>
  <r>
    <d v="2026-05-01T10:00:00"/>
    <x v="2"/>
    <n v="10"/>
    <n v="20.759442955461111"/>
    <n v="21.883828434911109"/>
    <n v="22.381304995183331"/>
    <n v="7.5"/>
    <n v="49.782252702938877"/>
    <n v="46.135987574375001"/>
    <n v="40.811417130066673"/>
    <n v="63"/>
  </r>
  <r>
    <d v="2026-05-01T11:00:00"/>
    <x v="2"/>
    <n v="11"/>
    <n v="20.717411375894439"/>
    <n v="21.867009002158341"/>
    <n v="22.37082614116666"/>
    <n v="8.3000000000000007"/>
    <n v="49.988113450261118"/>
    <n v="45.90624712109723"/>
    <n v="40.738932239299999"/>
    <n v="57"/>
  </r>
  <r>
    <d v="2026-05-01T12:00:00"/>
    <x v="2"/>
    <n v="12"/>
    <n v="21.090799722288889"/>
    <n v="22.352043391816661"/>
    <n v="22.358638750422219"/>
    <n v="8.6"/>
    <n v="48.660358582752792"/>
    <n v="46.666061198027784"/>
    <n v="40.657400594522223"/>
    <n v="52"/>
  </r>
  <r>
    <d v="2026-05-01T13:00:00"/>
    <x v="2"/>
    <n v="13"/>
    <n v="21.210262646613891"/>
    <n v="22.73437330188889"/>
    <n v="22.35877768649722"/>
    <n v="8.8000000000000007"/>
    <n v="50.772224110816673"/>
    <n v="48.236113341194446"/>
    <n v="40.520981080405562"/>
    <n v="49"/>
  </r>
  <r>
    <d v="2026-05-01T14:00:00"/>
    <x v="2"/>
    <n v="14"/>
    <n v="21.275305555866669"/>
    <n v="22.960443023952781"/>
    <n v="22.361428485538891"/>
    <n v="9.1"/>
    <n v="49.138630859127773"/>
    <n v="45.071865175947231"/>
    <n v="40.384554261541673"/>
    <n v="47"/>
  </r>
  <r>
    <d v="2026-05-01T15:00:00"/>
    <x v="2"/>
    <n v="15"/>
    <n v="21.203229569877781"/>
    <n v="22.979130942552771"/>
    <n v="22.35970960732778"/>
    <n v="7.4"/>
    <n v="49.965643058588888"/>
    <n v="45.387407173977778"/>
    <n v="40.405904754488887"/>
    <n v="59"/>
  </r>
  <r>
    <d v="2026-05-01T16:00:00"/>
    <x v="2"/>
    <n v="16"/>
    <n v="21.219389051330559"/>
    <n v="23.02241061168889"/>
    <n v="22.36510798529444"/>
    <n v="8.6999999999999993"/>
    <n v="49.950418095377778"/>
    <n v="45.494216354930558"/>
    <n v="40.383305248402777"/>
    <n v="53"/>
  </r>
  <r>
    <d v="2026-05-01T17:00:00"/>
    <x v="2"/>
    <n v="17"/>
    <n v="21.17951163064722"/>
    <n v="23.074071159980559"/>
    <n v="22.383448291261111"/>
    <n v="8.6999999999999993"/>
    <n v="51.315832308105563"/>
    <n v="47.823037529600008"/>
    <n v="40.416316260675003"/>
    <n v="55"/>
  </r>
  <r>
    <d v="2026-05-01T18:00:00"/>
    <x v="2"/>
    <n v="18"/>
    <n v="20.963286607977778"/>
    <n v="22.77371441754444"/>
    <n v="22.376555548222221"/>
    <n v="7.1"/>
    <n v="51.29532016673889"/>
    <n v="46.046280268947221"/>
    <n v="40.426852306722218"/>
    <n v="60"/>
  </r>
  <r>
    <d v="2026-05-01T19:00:00"/>
    <x v="2"/>
    <n v="19"/>
    <n v="20.70228023109722"/>
    <n v="22.456227454430561"/>
    <n v="22.362864764936109"/>
    <n v="6.9"/>
    <n v="51.721096075252781"/>
    <n v="46.699697208724992"/>
    <n v="40.219348004650001"/>
    <n v="63"/>
  </r>
  <r>
    <d v="2026-05-01T20:00:00"/>
    <x v="2"/>
    <n v="20"/>
    <n v="20.520646617336109"/>
    <n v="22.481520568983331"/>
    <n v="22.356317604008339"/>
    <n v="5.4"/>
    <n v="52.136705783347217"/>
    <n v="46.520769847166669"/>
    <n v="40.064261449383331"/>
    <n v="71"/>
  </r>
  <r>
    <d v="2026-05-01T21:00:00"/>
    <x v="2"/>
    <n v="21"/>
    <n v="20.479077774622219"/>
    <n v="22.931579541074999"/>
    <n v="22.342019375294441"/>
    <n v="5.0999999999999996"/>
    <n v="57.313239836747222"/>
    <n v="49.858948799213891"/>
    <n v="39.865417617541667"/>
    <n v="70"/>
  </r>
  <r>
    <d v="2026-05-01T22:00:00"/>
    <x v="2"/>
    <n v="22"/>
    <n v="20.823457605766659"/>
    <n v="23.494407861494441"/>
    <n v="22.349427528705561"/>
    <n v="4.9000000000000004"/>
    <n v="57.866453887702768"/>
    <n v="50.566569388452777"/>
    <n v="39.777897323058333"/>
    <n v="71"/>
  </r>
  <r>
    <d v="2026-05-01T23:00:00"/>
    <x v="2"/>
    <n v="23"/>
    <n v="21.180917049044449"/>
    <n v="23.355532602050001"/>
    <n v="22.356345868508331"/>
    <n v="4.0999999999999996"/>
    <n v="54.914262078391673"/>
    <n v="48.824694193361097"/>
    <n v="39.729656092016668"/>
    <n v="75"/>
  </r>
  <r>
    <d v="2026-05-02T00:00:00"/>
    <x v="2"/>
    <n v="0"/>
    <n v="21.265944246741672"/>
    <n v="23.215658047775001"/>
    <n v="22.355738695427771"/>
    <n v="3.7"/>
    <n v="52.373350309149998"/>
    <n v="47.126604337594443"/>
    <n v="39.655556775280552"/>
    <n v="78"/>
  </r>
  <r>
    <d v="2026-05-02T01:00:00"/>
    <x v="2"/>
    <n v="1"/>
    <n v="21.034843866069441"/>
    <n v="22.98950006842778"/>
    <n v="22.34459903644445"/>
    <n v="3.6"/>
    <n v="51.546242558513889"/>
    <n v="47.090814371719439"/>
    <n v="39.570565013775003"/>
    <n v="76"/>
  </r>
  <r>
    <d v="2026-05-02T02:00:00"/>
    <x v="2"/>
    <n v="2"/>
    <n v="20.83274720490833"/>
    <n v="22.737255209080551"/>
    <n v="22.32861439813334"/>
    <n v="3.4"/>
    <n v="50.110749562963889"/>
    <n v="45.542204716888882"/>
    <n v="39.491601086433327"/>
    <n v="73"/>
  </r>
  <r>
    <d v="2026-05-02T03:00:00"/>
    <x v="2"/>
    <n v="3"/>
    <n v="20.54951380905834"/>
    <n v="22.44936589516945"/>
    <n v="22.364242998497222"/>
    <n v="1.7"/>
    <n v="49.273071611836109"/>
    <n v="44.597115891527778"/>
    <n v="41.619750825808332"/>
    <n v="77"/>
  </r>
  <r>
    <d v="2026-05-02T04:00:00"/>
    <x v="2"/>
    <n v="4"/>
    <n v="20.05779639934444"/>
    <n v="21.931145825891669"/>
    <n v="22.322398629283331"/>
    <n v="1.4"/>
    <n v="49.686901955683332"/>
    <n v="43.647287754466667"/>
    <n v="40.911497244827778"/>
    <n v="74"/>
  </r>
  <r>
    <d v="2026-05-02T05:00:00"/>
    <x v="2"/>
    <n v="5"/>
    <n v="19.951558313080561"/>
    <n v="21.73601402124444"/>
    <n v="22.27536750581389"/>
    <n v="1"/>
    <n v="49.339584955958337"/>
    <n v="42.994719909127781"/>
    <n v="40.147939328769453"/>
    <n v="74"/>
  </r>
  <r>
    <d v="2026-05-02T06:00:00"/>
    <x v="2"/>
    <n v="6"/>
    <n v="20.595039995963891"/>
    <n v="22.008924958005551"/>
    <n v="22.254820472847221"/>
    <n v="1"/>
    <n v="45.990099677930552"/>
    <n v="42.995953532158332"/>
    <n v="39.836715047427781"/>
    <n v="75"/>
  </r>
  <r>
    <d v="2026-05-02T07:00:00"/>
    <x v="2"/>
    <n v="7"/>
    <n v="21.196343216447222"/>
    <n v="22.348024767622221"/>
    <n v="22.248598743827781"/>
    <n v="2.4"/>
    <n v="44.210496286016671"/>
    <n v="42.269986063925003"/>
    <n v="39.646462733061107"/>
    <n v="78"/>
  </r>
  <r>
    <d v="2026-05-02T08:00:00"/>
    <x v="2"/>
    <n v="8"/>
    <n v="21.69949520455555"/>
    <n v="22.798567077477781"/>
    <n v="22.247706385219441"/>
    <n v="4.7"/>
    <n v="42.68846134691389"/>
    <n v="42.09443366928889"/>
    <n v="39.514984848408332"/>
    <n v="73"/>
  </r>
  <r>
    <d v="2026-05-02T09:00:00"/>
    <x v="2"/>
    <n v="9"/>
    <n v="22.049791035477771"/>
    <n v="23.168978611572221"/>
    <n v="22.257941030558332"/>
    <n v="7.8"/>
    <n v="42.762679287616663"/>
    <n v="41.806292515561111"/>
    <n v="39.409439561605559"/>
    <n v="43"/>
  </r>
  <r>
    <d v="2026-05-02T10:00:00"/>
    <x v="2"/>
    <n v="10"/>
    <n v="22.037405030102779"/>
    <n v="23.369804996597221"/>
    <n v="22.269178991127781"/>
    <n v="8.6999999999999993"/>
    <n v="43.860184962030552"/>
    <n v="41.823926072355562"/>
    <n v="39.366561074494442"/>
    <n v="41"/>
  </r>
  <r>
    <d v="2026-05-02T11:00:00"/>
    <x v="2"/>
    <n v="11"/>
    <n v="22.10734668188611"/>
    <n v="23.61771235091944"/>
    <n v="22.282596741791671"/>
    <n v="9.3000000000000007"/>
    <n v="45.228551419052771"/>
    <n v="42.782955784255563"/>
    <n v="39.402244729627768"/>
    <n v="41"/>
  </r>
  <r>
    <d v="2026-05-02T12:00:00"/>
    <x v="2"/>
    <n v="12"/>
    <n v="22.039236312652768"/>
    <n v="23.611263740005551"/>
    <n v="22.303163443391671"/>
    <n v="9.8000000000000007"/>
    <n v="47.190974967611112"/>
    <n v="43.104378212738887"/>
    <n v="39.246638384433332"/>
    <n v="41"/>
  </r>
  <r>
    <d v="2026-05-02T13:00:00"/>
    <x v="2"/>
    <n v="13"/>
    <n v="21.705698655900001"/>
    <n v="23.266947414327781"/>
    <n v="22.307403850452779"/>
    <n v="10.1"/>
    <n v="46.748780849724987"/>
    <n v="43.143488582711122"/>
    <n v="39.266050321772219"/>
    <n v="41"/>
  </r>
  <r>
    <d v="2026-05-02T14:00:00"/>
    <x v="2"/>
    <n v="14"/>
    <n v="21.514968803933328"/>
    <n v="22.98865679911944"/>
    <n v="22.30463647586112"/>
    <n v="10.199999999999999"/>
    <n v="46.253158699191673"/>
    <n v="42.215169766852767"/>
    <n v="39.14019731102222"/>
    <n v="40"/>
  </r>
  <r>
    <d v="2026-05-02T15:00:00"/>
    <x v="2"/>
    <n v="15"/>
    <n v="21.70014508861945"/>
    <n v="22.819594095883328"/>
    <n v="22.303016901997221"/>
    <n v="10.7"/>
    <n v="44.888121214183343"/>
    <n v="42.128556683038887"/>
    <n v="39.119990746349998"/>
    <n v="38"/>
  </r>
  <r>
    <d v="2026-05-02T16:00:00"/>
    <x v="2"/>
    <n v="16"/>
    <n v="21.718163825775001"/>
    <n v="22.79424717901945"/>
    <n v="22.295484127316669"/>
    <n v="10.7"/>
    <n v="44.023013543725"/>
    <n v="42.626863879866669"/>
    <n v="39.144098594833331"/>
    <n v="38"/>
  </r>
  <r>
    <d v="2026-05-02T17:00:00"/>
    <x v="2"/>
    <n v="17"/>
    <n v="21.464184971347219"/>
    <n v="22.744563335502779"/>
    <n v="22.257299040741671"/>
    <n v="10.6"/>
    <n v="40.720633247758343"/>
    <n v="39.524976621450001"/>
    <n v="38.462311100077777"/>
    <n v="37"/>
  </r>
  <r>
    <d v="2026-05-02T18:00:00"/>
    <x v="2"/>
    <n v="18"/>
    <n v="21.19009720133889"/>
    <n v="22.60038942498889"/>
    <n v="22.210835295550002"/>
    <n v="10.3"/>
    <n v="37.110217507069443"/>
    <n v="37.289273626936108"/>
    <n v="37.974360283816672"/>
    <n v="42"/>
  </r>
  <r>
    <d v="2026-05-02T19:00:00"/>
    <x v="2"/>
    <n v="19"/>
    <n v="21.04146726264722"/>
    <n v="22.519556922758341"/>
    <n v="22.22117701908056"/>
    <n v="9.6999999999999993"/>
    <n v="40.455873075647233"/>
    <n v="40.172074194602779"/>
    <n v="38.36920721963611"/>
    <n v="62"/>
  </r>
  <r>
    <d v="2026-05-02T20:00:00"/>
    <x v="2"/>
    <n v="20"/>
    <n v="20.657446914272221"/>
    <n v="22.665473189147221"/>
    <n v="22.216403743658329"/>
    <n v="8.6"/>
    <n v="41.466333536338887"/>
    <n v="38.467057722230557"/>
    <n v="38.369956100194443"/>
    <n v="61"/>
  </r>
  <r>
    <d v="2026-05-02T21:00:00"/>
    <x v="2"/>
    <n v="21"/>
    <n v="20.572658911666672"/>
    <n v="22.86422540912778"/>
    <n v="22.2120836512"/>
    <n v="7.6"/>
    <n v="41.424645361694438"/>
    <n v="37.493883360027773"/>
    <n v="38.367937192827782"/>
    <n v="57"/>
  </r>
  <r>
    <d v="2026-05-02T22:00:00"/>
    <x v="2"/>
    <n v="22"/>
    <n v="21.050565639858331"/>
    <n v="23.235312765586109"/>
    <n v="22.20825025675833"/>
    <n v="6.4"/>
    <n v="40.310541735258333"/>
    <n v="38.419244690786108"/>
    <n v="38.350905894847223"/>
    <n v="62"/>
  </r>
  <r>
    <d v="2026-05-02T23:00:00"/>
    <x v="2"/>
    <n v="23"/>
    <n v="21.305344384116669"/>
    <n v="23.300968758211109"/>
    <n v="22.215401548313888"/>
    <n v="5.9"/>
    <n v="40.274196246241672"/>
    <n v="37.034504169952783"/>
    <n v="38.429616953474998"/>
    <n v="63"/>
  </r>
  <r>
    <d v="2026-05-03T00:00:00"/>
    <x v="2"/>
    <n v="0"/>
    <n v="21.441756696919441"/>
    <n v="23.383508713986121"/>
    <n v="22.234470815047221"/>
    <n v="5.7"/>
    <n v="41.087462293011122"/>
    <n v="37.64737171937778"/>
    <n v="38.486732018658337"/>
    <n v="65"/>
  </r>
  <r>
    <d v="2026-05-03T01:00:00"/>
    <x v="2"/>
    <n v="1"/>
    <n v="21.476567124216668"/>
    <n v="23.356207588388891"/>
    <n v="22.24483346832222"/>
    <n v="5.2"/>
    <n v="41.446521923388893"/>
    <n v="38.478214929688889"/>
    <n v="38.515026610508343"/>
    <n v="68"/>
  </r>
  <r>
    <d v="2026-05-03T02:00:00"/>
    <x v="2"/>
    <n v="2"/>
    <n v="21.207108322952781"/>
    <n v="22.886343561558331"/>
    <n v="22.231501262497229"/>
    <n v="4.7"/>
    <n v="41.160649002088888"/>
    <n v="38.618220576641669"/>
    <n v="38.511609154911113"/>
    <n v="71"/>
  </r>
  <r>
    <d v="2026-05-03T03:00:00"/>
    <x v="2"/>
    <n v="3"/>
    <n v="20.59444658938056"/>
    <n v="22.410048987774999"/>
    <n v="22.207696021416659"/>
    <n v="3.8"/>
    <n v="42.534629922791673"/>
    <n v="39.149331689283343"/>
    <n v="38.568510474286107"/>
    <n v="70"/>
  </r>
  <r>
    <d v="2026-05-03T04:00:00"/>
    <x v="2"/>
    <n v="4"/>
    <n v="20.27571167292222"/>
    <n v="22.16498754991666"/>
    <n v="22.191334757919449"/>
    <n v="2.7"/>
    <n v="43.384766033900007"/>
    <n v="38.908501410574999"/>
    <n v="38.601817379627782"/>
    <n v="71"/>
  </r>
  <r>
    <d v="2026-05-03T05:00:00"/>
    <x v="2"/>
    <n v="5"/>
    <n v="20.26754670215556"/>
    <n v="22.028904360266669"/>
    <n v="22.171695767700001"/>
    <n v="1.9"/>
    <n v="43.315422939577779"/>
    <n v="38.925581021908343"/>
    <n v="38.61787569681389"/>
    <n v="73"/>
  </r>
  <r>
    <d v="2026-05-03T06:00:00"/>
    <x v="2"/>
    <n v="6"/>
    <n v="20.94775574924445"/>
    <n v="22.200186522844451"/>
    <n v="22.157375611066669"/>
    <n v="2"/>
    <n v="40.506317899458331"/>
    <n v="38.543824587658328"/>
    <n v="38.644013216538887"/>
    <n v="76"/>
  </r>
  <r>
    <d v="2026-05-03T07:00:00"/>
    <x v="2"/>
    <n v="7"/>
    <n v="21.560065367622219"/>
    <n v="22.59223557076945"/>
    <n v="22.15518236511112"/>
    <n v="3.7"/>
    <n v="39.718764095505563"/>
    <n v="38.345437090719443"/>
    <n v="38.680998401324999"/>
    <n v="73"/>
  </r>
  <r>
    <d v="2026-05-03T08:00:00"/>
    <x v="2"/>
    <n v="8"/>
    <n v="22.124941276133331"/>
    <n v="23.118721961605559"/>
    <n v="22.174067850736112"/>
    <n v="6.5"/>
    <n v="39.875178854774987"/>
    <n v="38.64251128475555"/>
    <n v="38.757770106916666"/>
    <n v="70"/>
  </r>
  <r>
    <d v="2026-05-03T09:00:00"/>
    <x v="2"/>
    <n v="9"/>
    <n v="22.493940793516671"/>
    <n v="23.359442561163888"/>
    <n v="22.203039582075"/>
    <n v="10.199999999999999"/>
    <n v="40.45494816776111"/>
    <n v="39.468228786611121"/>
    <n v="39.061526604886112"/>
    <n v="52"/>
  </r>
  <r>
    <d v="2026-05-03T10:00:00"/>
    <x v="2"/>
    <n v="10"/>
    <n v="22.586652783200002"/>
    <n v="23.546568481325"/>
    <n v="22.234735257633329"/>
    <n v="11.4"/>
    <n v="41.061096369930553"/>
    <n v="40.235966393022217"/>
    <n v="39.381038523394452"/>
    <n v="34"/>
  </r>
  <r>
    <d v="2026-05-03T11:00:00"/>
    <x v="2"/>
    <n v="11"/>
    <n v="22.44997745034722"/>
    <n v="23.574269646569441"/>
    <n v="22.265985671627771"/>
    <n v="12"/>
    <n v="42.344354898394442"/>
    <n v="40.754346993216672"/>
    <n v="39.674662132547219"/>
    <n v="34"/>
  </r>
  <r>
    <d v="2026-05-03T12:00:00"/>
    <x v="2"/>
    <n v="12"/>
    <n v="22.184632598822219"/>
    <n v="23.537735423336109"/>
    <n v="22.268985616547219"/>
    <n v="12.6"/>
    <n v="43.72172274764722"/>
    <n v="41.085476021416682"/>
    <n v="39.644164159111106"/>
    <n v="34"/>
  </r>
  <r>
    <d v="2026-05-03T13:00:00"/>
    <x v="2"/>
    <n v="13"/>
    <n v="22.195371613088891"/>
    <n v="23.599701213677779"/>
    <n v="22.28426024141389"/>
    <n v="13.3"/>
    <n v="46.199071862322228"/>
    <n v="44.212276207369449"/>
    <n v="40.096363653344447"/>
    <n v="35"/>
  </r>
  <r>
    <d v="2026-05-03T14:00:00"/>
    <x v="2"/>
    <n v="14"/>
    <n v="22.53100069870834"/>
    <n v="23.494081007775002"/>
    <n v="22.313694038677781"/>
    <n v="13.6"/>
    <n v="45.504263295383332"/>
    <n v="43.551514944175011"/>
    <n v="40.759570565052783"/>
    <n v="36"/>
  </r>
  <r>
    <d v="2026-05-03T15:00:00"/>
    <x v="2"/>
    <n v="15"/>
    <n v="22.679500414855561"/>
    <n v="23.51177490308611"/>
    <n v="22.343999715491659"/>
    <n v="14.7"/>
    <n v="44.721616435691672"/>
    <n v="43.264343312683337"/>
    <n v="41.184868883461121"/>
    <n v="32"/>
  </r>
  <r>
    <d v="2026-05-03T16:00:00"/>
    <x v="2"/>
    <n v="16"/>
    <n v="22.739901283252781"/>
    <n v="23.519748846927779"/>
    <n v="22.362416053222219"/>
    <n v="14.8"/>
    <n v="44.588629858441671"/>
    <n v="43.449677012850003"/>
    <n v="41.499245112413902"/>
    <n v="33"/>
  </r>
  <r>
    <d v="2026-05-03T17:00:00"/>
    <x v="2"/>
    <n v="17"/>
    <n v="22.377556925638888"/>
    <n v="23.39816038988889"/>
    <n v="22.37119538635833"/>
    <n v="14.5"/>
    <n v="43.96806680638889"/>
    <n v="43.032357624205552"/>
    <n v="41.591083227872232"/>
    <n v="34"/>
  </r>
  <r>
    <d v="2026-05-03T18:00:00"/>
    <x v="2"/>
    <n v="18"/>
    <n v="21.968279972566659"/>
    <n v="23.35345793001666"/>
    <n v="22.365653152450001"/>
    <n v="14"/>
    <n v="35.172335734780553"/>
    <n v="38.159897383494453"/>
    <n v="41.74697873638889"/>
    <n v="36"/>
  </r>
  <r>
    <d v="2026-05-03T19:00:00"/>
    <x v="2"/>
    <n v="19"/>
    <n v="21.763669211650001"/>
    <n v="23.01869520944722"/>
    <n v="22.34763852550833"/>
    <n v="12.7"/>
    <n v="33.371450542508327"/>
    <n v="34.902766308497227"/>
    <n v="41.618418395547216"/>
    <n v="57"/>
  </r>
  <r>
    <d v="2026-05-03T20:00:00"/>
    <x v="2"/>
    <n v="20"/>
    <n v="21.607195936991669"/>
    <n v="22.846568940136109"/>
    <n v="22.324208777999999"/>
    <n v="10.9"/>
    <n v="34.895345498908327"/>
    <n v="35.001960110272229"/>
    <n v="41.303044532188892"/>
    <n v="55"/>
  </r>
  <r>
    <d v="2026-05-03T21:00:00"/>
    <x v="2"/>
    <n v="21"/>
    <n v="21.58440005372778"/>
    <n v="22.83350829489444"/>
    <n v="22.30579166565278"/>
    <n v="10.6"/>
    <n v="40.532262844474992"/>
    <n v="39.298598011324998"/>
    <n v="40.845501126013893"/>
    <n v="53"/>
  </r>
  <r>
    <d v="2026-05-03T22:00:00"/>
    <x v="2"/>
    <n v="22"/>
    <n v="21.566592003386109"/>
    <n v="22.930584415236108"/>
    <n v="22.290500310727779"/>
    <n v="9.5"/>
    <n v="42.748530360208342"/>
    <n v="40.229270912838892"/>
    <n v="40.5397913758"/>
    <n v="61"/>
  </r>
  <r>
    <d v="2026-05-03T23:00:00"/>
    <x v="2"/>
    <n v="23"/>
    <n v="21.85659623058611"/>
    <n v="23.325775042658339"/>
    <n v="22.281860620427778"/>
    <n v="7.9"/>
    <n v="42.830439828236109"/>
    <n v="39.826267808427779"/>
    <n v="40.303375783338893"/>
    <n v="67"/>
  </r>
  <r>
    <d v="2026-05-04T00:00:00"/>
    <x v="2"/>
    <n v="0"/>
    <n v="22.040857209241661"/>
    <n v="23.653248278475001"/>
    <n v="22.290749695275"/>
    <n v="6.8"/>
    <n v="44.029749921475002"/>
    <n v="43.859929816786106"/>
    <n v="40.079804995416659"/>
    <n v="72"/>
  </r>
  <r>
    <d v="2026-05-04T01:00:00"/>
    <x v="2"/>
    <n v="1"/>
    <n v="21.746722014972221"/>
    <n v="23.460428198355562"/>
    <n v="22.298028164236111"/>
    <n v="6.3"/>
    <n v="46.077181901338889"/>
    <n v="44.130551575863898"/>
    <n v="39.912025083825"/>
    <n v="69"/>
  </r>
  <r>
    <d v="2026-05-04T02:00:00"/>
    <x v="2"/>
    <n v="2"/>
    <n v="21.444281360969441"/>
    <n v="23.135078189891669"/>
    <n v="22.2757351634"/>
    <n v="5.8"/>
    <n v="48.668458670833331"/>
    <n v="46.98379454982777"/>
    <n v="39.807971994261123"/>
    <n v="69"/>
  </r>
  <r>
    <d v="2026-05-04T03:00:00"/>
    <x v="2"/>
    <n v="3"/>
    <n v="21.189553438225001"/>
    <n v="22.918933888102782"/>
    <n v="22.25908333927778"/>
    <n v="5.3"/>
    <n v="48.623428993241667"/>
    <n v="45.031313952169448"/>
    <n v="39.722802529211123"/>
    <n v="71"/>
  </r>
  <r>
    <d v="2026-05-04T04:00:00"/>
    <x v="2"/>
    <n v="4"/>
    <n v="21.038644306122219"/>
    <n v="22.673076554808329"/>
    <n v="22.248027772680551"/>
    <n v="5.2"/>
    <n v="48.026274887438888"/>
    <n v="44.444808420747222"/>
    <n v="39.651626031191668"/>
    <n v="69"/>
  </r>
  <r>
    <d v="2026-05-04T05:00:00"/>
    <x v="2"/>
    <n v="5"/>
    <n v="21.102609491211108"/>
    <n v="22.578676910241661"/>
    <n v="22.235514237447219"/>
    <n v="5.0999999999999996"/>
    <n v="47.041555613402778"/>
    <n v="43.880989808599999"/>
    <n v="39.592513140286108"/>
    <n v="68"/>
  </r>
  <r>
    <d v="2026-05-04T06:00:00"/>
    <x v="2"/>
    <n v="6"/>
    <n v="21.684638518675001"/>
    <n v="22.781969517688889"/>
    <n v="22.230819659472221"/>
    <n v="5.6"/>
    <n v="45.416399940783329"/>
    <n v="43.112774081255559"/>
    <n v="39.554082729222223"/>
    <n v="70"/>
  </r>
  <r>
    <d v="2026-05-04T07:00:00"/>
    <x v="2"/>
    <n v="7"/>
    <n v="22.243867981366659"/>
    <n v="23.29378818034445"/>
    <n v="22.237916653555551"/>
    <n v="7.2"/>
    <n v="44.889558128527767"/>
    <n v="42.728112093719453"/>
    <n v="39.575583112872224"/>
    <n v="69"/>
  </r>
  <r>
    <d v="2026-05-04T08:00:00"/>
    <x v="2"/>
    <n v="8"/>
    <n v="22.73790024603333"/>
    <n v="23.632917911966668"/>
    <n v="22.276183337847229"/>
    <n v="9.8000000000000007"/>
    <n v="44.647302714661123"/>
    <n v="43.183439958138898"/>
    <n v="40.339006730644442"/>
    <n v="65"/>
  </r>
  <r>
    <d v="2026-05-04T09:00:00"/>
    <x v="2"/>
    <n v="9"/>
    <n v="23.07980655644722"/>
    <n v="24.015786100713889"/>
    <n v="22.341585457111108"/>
    <n v="13.4"/>
    <n v="45.014555953605559"/>
    <n v="43.437774676216662"/>
    <n v="41.465487987505547"/>
    <n v="51"/>
  </r>
  <r>
    <d v="2026-05-04T10:00:00"/>
    <x v="2"/>
    <n v="10"/>
    <n v="23.20491411848889"/>
    <n v="24.178054030194449"/>
    <n v="22.40378072476944"/>
    <n v="15.6"/>
    <n v="45.659261978052783"/>
    <n v="44.905005343005548"/>
    <n v="42.506224969886112"/>
    <n v="41"/>
  </r>
  <r>
    <d v="2026-05-04T11:00:00"/>
    <x v="2"/>
    <n v="11"/>
    <n v="23.293121930550001"/>
    <n v="24.60338925781112"/>
    <n v="22.45636530601945"/>
    <n v="16.7"/>
    <n v="46.114021385683337"/>
    <n v="45.068905746411112"/>
    <n v="43.424923642597228"/>
    <n v="37"/>
  </r>
  <r>
    <d v="2026-05-04T12:00:00"/>
    <x v="2"/>
    <n v="12"/>
    <n v="23.220550985438891"/>
    <n v="24.69239594930556"/>
    <n v="22.49844818074444"/>
    <n v="17.399999999999999"/>
    <n v="48.170740264538892"/>
    <n v="48.386942170772222"/>
    <n v="44.144485414655563"/>
    <n v="36"/>
  </r>
  <r>
    <d v="2026-05-04T13:00:00"/>
    <x v="2"/>
    <n v="13"/>
    <n v="23.094678450997229"/>
    <n v="24.831932089302779"/>
    <n v="22.5385284525"/>
    <n v="18"/>
    <n v="50.532289270322217"/>
    <n v="48.849407596530561"/>
    <n v="44.931394770422223"/>
    <n v="36"/>
  </r>
  <r>
    <d v="2026-05-04T14:00:00"/>
    <x v="2"/>
    <n v="14"/>
    <n v="23.040652590747229"/>
    <n v="24.898466473886121"/>
    <n v="22.553291337200001"/>
    <n v="18.399999999999999"/>
    <n v="50.748960256361109"/>
    <n v="47.618416442305552"/>
    <n v="45.529127914019448"/>
    <n v="36"/>
  </r>
  <r>
    <d v="2026-05-04T15:00:00"/>
    <x v="2"/>
    <n v="15"/>
    <n v="22.97845660181666"/>
    <n v="24.83654290864445"/>
    <n v="22.564722672005551"/>
    <n v="19.100000000000001"/>
    <n v="50.446180776186111"/>
    <n v="46.947444648811121"/>
    <n v="45.850345745969442"/>
    <n v="34"/>
  </r>
  <r>
    <d v="2026-05-04T16:00:00"/>
    <x v="2"/>
    <n v="16"/>
    <n v="22.824792237397219"/>
    <n v="24.61937904257778"/>
    <n v="22.784985228222219"/>
    <n v="19.7"/>
    <n v="48.076579276297217"/>
    <n v="44.775163746977789"/>
    <n v="50.480625759299997"/>
    <n v="37"/>
  </r>
  <r>
    <d v="2026-05-04T17:00:00"/>
    <x v="2"/>
    <n v="17"/>
    <n v="22.65899002520834"/>
    <n v="24.40693146476389"/>
    <n v="22.742258937652771"/>
    <n v="19.5"/>
    <n v="40.234805991236122"/>
    <n v="39.810101181541668"/>
    <n v="48.305615101433339"/>
    <n v="38"/>
  </r>
  <r>
    <d v="2026-05-04T18:00:00"/>
    <x v="2"/>
    <n v="18"/>
    <n v="22.689017935513888"/>
    <n v="24.33145033128611"/>
    <n v="22.868675925619449"/>
    <n v="19"/>
    <n v="42.239492526922227"/>
    <n v="40.787321436844451"/>
    <n v="50.36861858569722"/>
    <n v="41"/>
  </r>
  <r>
    <d v="2026-05-04T19:00:00"/>
    <x v="2"/>
    <n v="19"/>
    <n v="22.490865221555559"/>
    <n v="24.29334318475556"/>
    <n v="23.018705882736111"/>
    <n v="17.5"/>
    <n v="44.930403662819451"/>
    <n v="43.145552624386113"/>
    <n v="52.166164830041659"/>
    <n v="61"/>
  </r>
  <r>
    <d v="2026-05-04T20:00:00"/>
    <x v="2"/>
    <n v="20"/>
    <n v="22.279020872258329"/>
    <n v="24.017967679816671"/>
    <n v="22.874208951427779"/>
    <n v="14.8"/>
    <n v="45.745663079905547"/>
    <n v="43.550921062086111"/>
    <n v="49.988859876402778"/>
    <n v="66"/>
  </r>
  <r>
    <d v="2026-05-04T21:00:00"/>
    <x v="2"/>
    <n v="21"/>
    <n v="22.135914072627781"/>
    <n v="23.934697556305551"/>
    <n v="22.795802048966671"/>
    <n v="14.3"/>
    <n v="46.894026935461113"/>
    <n v="43.654795106258327"/>
    <n v="48.28266670645278"/>
    <n v="62"/>
  </r>
  <r>
    <d v="2026-05-04T22:00:00"/>
    <x v="2"/>
    <n v="22"/>
    <n v="22.31278871064444"/>
    <n v="23.933188061277779"/>
    <n v="22.768042953661109"/>
    <n v="13.9"/>
    <n v="48.76271659053333"/>
    <n v="45.25917564800833"/>
    <n v="47.075114697605557"/>
    <n v="58"/>
  </r>
  <r>
    <d v="2026-05-04T23:00:00"/>
    <x v="2"/>
    <n v="23"/>
    <n v="22.376947765194441"/>
    <n v="23.95198573288333"/>
    <n v="22.741911314227771"/>
    <n v="12.9"/>
    <n v="48.757000065472234"/>
    <n v="45.086210519261108"/>
    <n v="46.094992050902782"/>
    <n v="59"/>
  </r>
  <r>
    <d v="2026-05-05T00:00:00"/>
    <x v="2"/>
    <n v="0"/>
    <n v="22.347637586763891"/>
    <n v="24.152430382763889"/>
    <n v="22.667034911586111"/>
    <n v="11.6"/>
    <n v="48.901457106072222"/>
    <n v="44.980116744208338"/>
    <n v="45.318050387777781"/>
    <n v="62"/>
  </r>
  <r>
    <d v="2026-05-05T01:00:00"/>
    <x v="2"/>
    <n v="1"/>
    <n v="22.19563233735833"/>
    <n v="24.04945975288889"/>
    <n v="22.625329758774999"/>
    <n v="10.7"/>
    <n v="50.629070085694451"/>
    <n v="46.084430951005572"/>
    <n v="44.68440628430556"/>
    <n v="64"/>
  </r>
  <r>
    <d v="2026-05-05T02:00:00"/>
    <x v="2"/>
    <n v="2"/>
    <n v="21.942320790013891"/>
    <n v="23.75108494466112"/>
    <n v="22.598621716402779"/>
    <n v="9.8000000000000007"/>
    <n v="53.774975534091674"/>
    <n v="48.32777598784444"/>
    <n v="44.224055191763888"/>
    <n v="67"/>
  </r>
  <r>
    <d v="2026-05-05T03:00:00"/>
    <x v="2"/>
    <n v="3"/>
    <n v="21.715900834038891"/>
    <n v="23.576295236747221"/>
    <n v="22.590166155477771"/>
    <n v="10"/>
    <n v="53.398045613824998"/>
    <n v="47.521682941527779"/>
    <n v="43.815090159475012"/>
    <n v="63"/>
  </r>
  <r>
    <d v="2026-05-05T04:00:00"/>
    <x v="2"/>
    <n v="4"/>
    <n v="21.547866805147219"/>
    <n v="23.374303936152781"/>
    <n v="22.565551592224999"/>
    <n v="9.4"/>
    <n v="52.503777532205547"/>
    <n v="46.523958240566657"/>
    <n v="43.51104840318056"/>
    <n v="65"/>
  </r>
  <r>
    <d v="2026-05-05T05:00:00"/>
    <x v="2"/>
    <n v="5"/>
    <n v="21.49491597965833"/>
    <n v="23.274162187016671"/>
    <n v="22.54409591552222"/>
    <n v="8.6999999999999993"/>
    <n v="51.820968965719437"/>
    <n v="46.382759985847223"/>
    <n v="43.216613603969442"/>
    <n v="67"/>
  </r>
  <r>
    <d v="2026-05-05T06:00:00"/>
    <x v="2"/>
    <n v="6"/>
    <n v="21.856707581725001"/>
    <n v="23.280583718261109"/>
    <n v="22.533430683216661"/>
    <n v="8.9"/>
    <n v="49.642874302477793"/>
    <n v="46.136042228177779"/>
    <n v="42.943453827233327"/>
    <n v="68"/>
  </r>
  <r>
    <d v="2026-05-05T07:00:00"/>
    <x v="2"/>
    <n v="7"/>
    <n v="22.364576954252779"/>
    <n v="23.469617934683331"/>
    <n v="22.538042653041671"/>
    <n v="10.6"/>
    <n v="47.462643971247218"/>
    <n v="45.764722417788903"/>
    <n v="42.934203065011111"/>
    <n v="66"/>
  </r>
  <r>
    <d v="2026-05-05T08:00:00"/>
    <x v="2"/>
    <n v="8"/>
    <n v="22.75241475289722"/>
    <n v="23.80260621411389"/>
    <n v="22.575633684466659"/>
    <n v="13"/>
    <n v="47.622109631394437"/>
    <n v="45.930854390694442"/>
    <n v="43.908510787430551"/>
    <n v="64"/>
  </r>
  <r>
    <d v="2026-05-05T09:00:00"/>
    <x v="2"/>
    <n v="9"/>
    <n v="23.12405657055556"/>
    <n v="24.149168151655559"/>
    <n v="22.649647045630559"/>
    <n v="16.8"/>
    <n v="47.938458548605553"/>
    <n v="45.952431666199999"/>
    <n v="45.334079921144443"/>
    <n v="53"/>
  </r>
  <r>
    <d v="2026-05-05T10:00:00"/>
    <x v="2"/>
    <n v="10"/>
    <n v="23.333030329077779"/>
    <n v="24.44139947090278"/>
    <n v="22.724231925280549"/>
    <n v="19.3"/>
    <n v="48.455348415119438"/>
    <n v="46.408016028963893"/>
    <n v="46.538181157952778"/>
    <n v="46"/>
  </r>
  <r>
    <d v="2026-05-05T11:00:00"/>
    <x v="2"/>
    <n v="11"/>
    <n v="23.503340104447229"/>
    <n v="24.701310626869439"/>
    <n v="22.782726758083331"/>
    <n v="21"/>
    <n v="49.399526416022233"/>
    <n v="47.256001897422223"/>
    <n v="47.554181604197233"/>
    <n v="39"/>
  </r>
  <r>
    <d v="2026-05-05T12:00:00"/>
    <x v="2"/>
    <n v="12"/>
    <n v="23.613913560358331"/>
    <n v="24.761098016394438"/>
    <n v="22.821603513344439"/>
    <n v="21.9"/>
    <n v="49.450707029438888"/>
    <n v="47.188867706827772"/>
    <n v="48.495946787149997"/>
    <n v="37"/>
  </r>
  <r>
    <d v="2026-05-05T13:00:00"/>
    <x v="2"/>
    <n v="13"/>
    <n v="23.518302791316671"/>
    <n v="24.729223632983331"/>
    <n v="22.869672267988889"/>
    <n v="22.4"/>
    <n v="49.911796509866662"/>
    <n v="47.219961532755562"/>
    <n v="49.150022730783327"/>
    <n v="37"/>
  </r>
  <r>
    <d v="2026-05-05T14:00:00"/>
    <x v="2"/>
    <n v="14"/>
    <n v="23.447219267419442"/>
    <n v="24.721000614780561"/>
    <n v="22.910175213216661"/>
    <n v="22.8"/>
    <n v="50.704780678855549"/>
    <n v="47.437733991102782"/>
    <n v="49.633265205136112"/>
    <n v="37"/>
  </r>
  <r>
    <d v="2026-05-05T15:00:00"/>
    <x v="2"/>
    <n v="15"/>
    <n v="23.454890549052781"/>
    <n v="24.724145786055551"/>
    <n v="22.952027194872219"/>
    <n v="23.7"/>
    <n v="50.226754710163881"/>
    <n v="47.258627348188888"/>
    <n v="50.009299126630559"/>
    <n v="31"/>
  </r>
  <r>
    <d v="2026-05-05T16:00:00"/>
    <x v="2"/>
    <n v="16"/>
    <n v="23.499945177461111"/>
    <n v="24.923262458883329"/>
    <n v="22.956878140200001"/>
    <n v="23.8"/>
    <n v="44.985430932258332"/>
    <n v="47.389602426827793"/>
    <n v="50.153845586277782"/>
    <n v="30"/>
  </r>
  <r>
    <d v="2026-05-05T17:00:00"/>
    <x v="2"/>
    <n v="17"/>
    <n v="23.454998169888889"/>
    <n v="25.10861080920278"/>
    <n v="22.956472648624999"/>
    <n v="23.5"/>
    <n v="48.811423770205558"/>
    <n v="46.744982417899998"/>
    <n v="50.339786484094439"/>
    <n v="31"/>
  </r>
  <r>
    <d v="2026-05-05T18:00:00"/>
    <x v="2"/>
    <n v="18"/>
    <n v="23.429633764130561"/>
    <n v="24.973247420261121"/>
    <n v="22.972155332983331"/>
    <n v="22.9"/>
    <n v="49.967221255830559"/>
    <n v="46.83573181632778"/>
    <n v="50.605703401005549"/>
    <n v="33"/>
  </r>
  <r>
    <d v="2026-05-05T19:00:00"/>
    <x v="2"/>
    <n v="19"/>
    <n v="23.271041313125"/>
    <n v="24.721333259122218"/>
    <n v="22.98378008281945"/>
    <n v="21.1"/>
    <n v="49.02506329738889"/>
    <n v="47.107528869886117"/>
    <n v="50.579085459894443"/>
    <n v="48"/>
  </r>
  <r>
    <d v="2026-05-05T20:00:00"/>
    <x v="2"/>
    <n v="20"/>
    <n v="23.290447517474998"/>
    <n v="24.76558943891111"/>
    <n v="22.99329334782222"/>
    <n v="18.600000000000001"/>
    <n v="51.831262444069438"/>
    <n v="48.083336702433343"/>
    <n v="50.339148993144448"/>
    <n v="60"/>
  </r>
  <r>
    <d v="2026-05-05T21:00:00"/>
    <x v="2"/>
    <n v="21"/>
    <n v="23.371827121391661"/>
    <n v="24.71408532096666"/>
    <n v="22.96661724229444"/>
    <n v="17.5"/>
    <n v="53.84207657520556"/>
    <n v="49.387620795894442"/>
    <n v="48.903454363024998"/>
    <n v="58"/>
  </r>
  <r>
    <d v="2026-05-05T22:00:00"/>
    <x v="2"/>
    <n v="22"/>
    <n v="23.48145071668333"/>
    <n v="24.90479540706944"/>
    <n v="22.931703585097221"/>
    <n v="17.3"/>
    <n v="53.203174613572223"/>
    <n v="48.36992012840556"/>
    <n v="47.038316497072223"/>
    <n v="55"/>
  </r>
  <r>
    <d v="2026-05-05T23:00:00"/>
    <x v="2"/>
    <n v="23"/>
    <n v="23.391853621441669"/>
    <n v="24.961989004755559"/>
    <n v="22.90428692442222"/>
    <n v="16.600000000000001"/>
    <n v="52.623511707191682"/>
    <n v="49.317449422813887"/>
    <n v="45.864122930500002"/>
    <n v="51"/>
  </r>
  <r>
    <d v="2026-05-06T00:00:00"/>
    <x v="2"/>
    <n v="0"/>
    <n v="23.20724805931944"/>
    <n v="24.82290920735834"/>
    <n v="22.886540137605561"/>
    <n v="15.4"/>
    <n v="54.5939190737"/>
    <n v="50.816567713127768"/>
    <n v="45.437611014455548"/>
    <n v="53"/>
  </r>
  <r>
    <d v="2026-05-06T01:00:00"/>
    <x v="2"/>
    <n v="1"/>
    <n v="22.84602456664166"/>
    <n v="24.246364723058331"/>
    <n v="22.870120052983332"/>
    <n v="14.4"/>
    <n v="56.377496888608327"/>
    <n v="53.822629986658328"/>
    <n v="45.174657405222227"/>
    <n v="52"/>
  </r>
  <r>
    <d v="2026-05-06T02:00:00"/>
    <x v="2"/>
    <n v="2"/>
    <n v="22.568414272719441"/>
    <n v="23.94162870996945"/>
    <n v="22.851734571052781"/>
    <n v="13.7"/>
    <n v="57.336887724258332"/>
    <n v="55.139333320113899"/>
    <n v="44.774429370177778"/>
    <n v="50"/>
  </r>
  <r>
    <d v="2026-05-06T03:00:00"/>
    <x v="2"/>
    <n v="3"/>
    <n v="22.40019232220833"/>
    <n v="23.827486756502779"/>
    <n v="22.831539751849999"/>
    <n v="12.7"/>
    <n v="57.738066178105562"/>
    <n v="55.210718767141678"/>
    <n v="44.408057862827768"/>
    <n v="58"/>
  </r>
  <r>
    <d v="2026-05-06T04:00:00"/>
    <x v="2"/>
    <n v="4"/>
    <n v="22.25078304440278"/>
    <n v="23.602533703374998"/>
    <n v="22.82267915735833"/>
    <n v="12.2"/>
    <n v="57.904664580608333"/>
    <n v="55.342383542419441"/>
    <n v="44.066285807405563"/>
    <n v="58"/>
  </r>
  <r>
    <d v="2026-05-06T05:00:00"/>
    <x v="2"/>
    <n v="5"/>
    <n v="22.20853768140833"/>
    <n v="23.488012675850001"/>
    <n v="22.815984100113891"/>
    <n v="11.5"/>
    <n v="57.720457827869438"/>
    <n v="54.915854164702779"/>
    <n v="43.755172327694453"/>
    <n v="61"/>
  </r>
  <r>
    <d v="2026-05-06T06:00:00"/>
    <x v="2"/>
    <n v="6"/>
    <n v="22.611225256583332"/>
    <n v="23.603812459566669"/>
    <n v="22.809487470858329"/>
    <n v="11.5"/>
    <n v="55.396228293050001"/>
    <n v="53.028913710700003"/>
    <n v="43.526202128102767"/>
    <n v="63"/>
  </r>
  <r>
    <d v="2026-05-06T07:00:00"/>
    <x v="2"/>
    <n v="7"/>
    <n v="23.043093604625"/>
    <n v="23.878555962844441"/>
    <n v="22.822642950780551"/>
    <n v="12.7"/>
    <n v="53.737326831252773"/>
    <n v="53.72573272110278"/>
    <n v="43.475260372752778"/>
    <n v="64"/>
  </r>
  <r>
    <d v="2026-05-06T08:00:00"/>
    <x v="2"/>
    <n v="8"/>
    <n v="23.430843777519438"/>
    <n v="24.217168292863889"/>
    <n v="22.862719175327779"/>
    <n v="14.7"/>
    <n v="53.401376172852792"/>
    <n v="53.481816048861113"/>
    <n v="44.098041180975002"/>
    <n v="58"/>
  </r>
  <r>
    <d v="2026-05-06T09:00:00"/>
    <x v="2"/>
    <n v="9"/>
    <n v="23.81150406161111"/>
    <n v="24.748880395058329"/>
    <n v="22.938686212052779"/>
    <n v="18.100000000000001"/>
    <n v="52.944329664249999"/>
    <n v="53.208243962772222"/>
    <n v="45.475942714108328"/>
    <n v="47"/>
  </r>
  <r>
    <d v="2026-05-06T10:00:00"/>
    <x v="2"/>
    <n v="10"/>
    <n v="24.126537339627781"/>
    <n v="25.123936735436111"/>
    <n v="23.04492503734167"/>
    <n v="21.1"/>
    <n v="53.988684898700001"/>
    <n v="52.922322378311122"/>
    <n v="47.696477054386122"/>
    <n v="40"/>
  </r>
  <r>
    <d v="2026-05-06T11:00:00"/>
    <x v="2"/>
    <n v="11"/>
    <n v="24.203158697313889"/>
    <n v="25.1916327229"/>
    <n v="23.138056173691659"/>
    <n v="23.3"/>
    <n v="54.288643021013883"/>
    <n v="53.445566447516661"/>
    <n v="49.68990468382777"/>
    <n v="36"/>
  </r>
  <r>
    <d v="2026-05-06T12:00:00"/>
    <x v="2"/>
    <n v="12"/>
    <n v="24.226722177197221"/>
    <n v="25.355978722419451"/>
    <n v="23.19587396396944"/>
    <n v="24.9"/>
    <n v="55.166841868286113"/>
    <n v="52.451640606519447"/>
    <n v="50.680483499902778"/>
    <n v="30"/>
  </r>
  <r>
    <d v="2026-05-06T13:00:00"/>
    <x v="2"/>
    <n v="13"/>
    <n v="24.04069071669722"/>
    <n v="25.287685678102768"/>
    <n v="23.220817104413889"/>
    <n v="25.4"/>
    <n v="51.08118147138611"/>
    <n v="45.613677645902783"/>
    <n v="50.423943758255547"/>
    <n v="26"/>
  </r>
  <r>
    <d v="2026-05-06T14:00:00"/>
    <x v="2"/>
    <n v="14"/>
    <n v="23.643422912277771"/>
    <n v="25.002426569269449"/>
    <n v="23.214745626913889"/>
    <n v="25.6"/>
    <n v="48.630637904486122"/>
    <n v="43.773304194588889"/>
    <n v="49.739039850344447"/>
    <n v="25"/>
  </r>
  <r>
    <d v="2026-05-06T15:00:00"/>
    <x v="2"/>
    <n v="15"/>
    <n v="23.685598906483332"/>
    <n v="25.135215088502779"/>
    <n v="23.195527522688892"/>
    <n v="26.4"/>
    <n v="42.93050805271389"/>
    <n v="37.782886693027777"/>
    <n v="49.040503022225003"/>
    <n v="22"/>
  </r>
  <r>
    <d v="2026-05-06T16:00:00"/>
    <x v="2"/>
    <n v="16"/>
    <n v="23.844852263100002"/>
    <n v="25.341051657477781"/>
    <n v="23.192940459163889"/>
    <n v="26.5"/>
    <n v="38.384449890080553"/>
    <n v="35.673776519424997"/>
    <n v="48.229654024725001"/>
    <n v="22"/>
  </r>
  <r>
    <d v="2026-05-06T17:00:00"/>
    <x v="2"/>
    <n v="17"/>
    <n v="23.869590137519442"/>
    <n v="25.398061377855559"/>
    <n v="23.195993088852781"/>
    <n v="26.2"/>
    <n v="38.451165843022217"/>
    <n v="35.796992853330558"/>
    <n v="47.95801577318889"/>
    <n v="23"/>
  </r>
  <r>
    <d v="2026-05-06T18:00:00"/>
    <x v="2"/>
    <n v="18"/>
    <n v="23.81385162322222"/>
    <n v="25.236100435036111"/>
    <n v="23.21196113992778"/>
    <n v="25.5"/>
    <n v="37.117296309791669"/>
    <n v="34.266129599433327"/>
    <n v="47.65688104440278"/>
    <n v="25"/>
  </r>
  <r>
    <d v="2026-05-06T19:00:00"/>
    <x v="2"/>
    <n v="19"/>
    <n v="23.591312358838891"/>
    <n v="24.92522124938889"/>
    <n v="23.201839649755559"/>
    <n v="23.7"/>
    <n v="37.289824577072217"/>
    <n v="33.101598229611113"/>
    <n v="47.336024915827778"/>
    <n v="35"/>
  </r>
  <r>
    <d v="2026-05-06T20:00:00"/>
    <x v="2"/>
    <n v="20"/>
    <n v="23.523392132872221"/>
    <n v="25.133467673211111"/>
    <n v="23.200549364461111"/>
    <n v="21.6"/>
    <n v="40.380115747666672"/>
    <n v="38.697338115130563"/>
    <n v="47.39660205578889"/>
    <n v="40"/>
  </r>
  <r>
    <d v="2026-05-06T21:00:00"/>
    <x v="2"/>
    <n v="21"/>
    <n v="23.680259475675001"/>
    <n v="25.30271476284166"/>
    <n v="23.234727549319441"/>
    <n v="20.3"/>
    <n v="43.884484686772232"/>
    <n v="40.488439949413888"/>
    <n v="47.829869924319439"/>
    <n v="40"/>
  </r>
  <r>
    <d v="2026-05-06T22:00:00"/>
    <x v="2"/>
    <n v="22"/>
    <n v="23.784649767491668"/>
    <n v="25.548440887466661"/>
    <n v="23.255045968341669"/>
    <n v="19.600000000000001"/>
    <n v="44.274154927141673"/>
    <n v="41.573037852622221"/>
    <n v="47.747984329430551"/>
    <n v="41"/>
  </r>
  <r>
    <d v="2026-05-06T23:00:00"/>
    <x v="2"/>
    <n v="23"/>
    <n v="24.03682514760834"/>
    <n v="25.714644875836111"/>
    <n v="23.287398947433331"/>
    <n v="18.7"/>
    <n v="45.50437846373611"/>
    <n v="42.102896666180563"/>
    <n v="47.779616909675013"/>
    <n v="42"/>
  </r>
  <r>
    <d v="2026-05-07T00:00:00"/>
    <x v="2"/>
    <n v="0"/>
    <n v="24.164007059705561"/>
    <n v="25.782445706966669"/>
    <n v="23.320310860627782"/>
    <n v="17.899999999999999"/>
    <n v="46.930003937622217"/>
    <n v="45.415632161369437"/>
    <n v="47.827521790311103"/>
    <n v="42"/>
  </r>
  <r>
    <d v="2026-05-07T01:00:00"/>
    <x v="2"/>
    <n v="1"/>
    <n v="24.143235289"/>
    <n v="25.537875068194442"/>
    <n v="23.337338570144439"/>
    <n v="16.8"/>
    <n v="51.101911178444453"/>
    <n v="49.666142114638888"/>
    <n v="47.862556799900013"/>
    <n v="47"/>
  </r>
  <r>
    <d v="2026-05-07T02:00:00"/>
    <x v="2"/>
    <n v="2"/>
    <n v="23.868400884780559"/>
    <n v="25.248969227991669"/>
    <n v="23.34905794895278"/>
    <n v="15.7"/>
    <n v="52.74687561635556"/>
    <n v="50.541633201169446"/>
    <n v="47.959178985155553"/>
    <n v="53"/>
  </r>
  <r>
    <d v="2026-05-07T03:00:00"/>
    <x v="2"/>
    <n v="3"/>
    <n v="23.574123132438888"/>
    <n v="24.889255472411111"/>
    <n v="23.335288498730549"/>
    <n v="15.5"/>
    <n v="54.662083948283332"/>
    <n v="51.693310655302767"/>
    <n v="47.928128319127779"/>
    <n v="54"/>
  </r>
  <r>
    <d v="2026-05-07T04:00:00"/>
    <x v="2"/>
    <n v="4"/>
    <n v="23.362959349074998"/>
    <n v="24.678876092694441"/>
    <n v="23.33228902605833"/>
    <n v="15.2"/>
    <n v="55.215934419572228"/>
    <n v="50.979002840249997"/>
    <n v="47.940989878825"/>
    <n v="53"/>
  </r>
  <r>
    <d v="2026-05-07T05:00:00"/>
    <x v="2"/>
    <n v="5"/>
    <n v="23.309108498091661"/>
    <n v="24.530497046711108"/>
    <n v="23.314939567152781"/>
    <n v="14.7"/>
    <n v="55.12576841372222"/>
    <n v="51.437302722038893"/>
    <n v="47.557741519083329"/>
    <n v="52"/>
  </r>
  <r>
    <d v="2026-05-07T06:00:00"/>
    <x v="2"/>
    <n v="6"/>
    <n v="23.558146340786109"/>
    <n v="24.636980767627779"/>
    <n v="23.301710001225"/>
    <n v="14.9"/>
    <n v="53.177114429458342"/>
    <n v="50.534867361688889"/>
    <n v="46.747945844494453"/>
    <n v="51"/>
  </r>
  <r>
    <d v="2026-05-07T07:00:00"/>
    <x v="2"/>
    <n v="7"/>
    <n v="23.93351744674445"/>
    <n v="24.962086842180561"/>
    <n v="23.317431816827771"/>
    <n v="16.3"/>
    <n v="52.15093678995833"/>
    <n v="50.067229336680562"/>
    <n v="46.682440823752778"/>
    <n v="49"/>
  </r>
  <r>
    <d v="2026-05-07T08:00:00"/>
    <x v="2"/>
    <n v="8"/>
    <n v="24.311288079591659"/>
    <n v="25.379878412455561"/>
    <n v="23.37886119778889"/>
    <n v="18.399999999999999"/>
    <n v="52.28505637779444"/>
    <n v="49.73332582176667"/>
    <n v="47.919674823522222"/>
    <n v="45"/>
  </r>
  <r>
    <d v="2026-05-07T09:00:00"/>
    <x v="2"/>
    <n v="9"/>
    <n v="24.766088683130562"/>
    <n v="25.764019413355559"/>
    <n v="23.47099449205"/>
    <n v="21.7"/>
    <n v="51.592860928627779"/>
    <n v="49.76343327076944"/>
    <n v="49.82154205417222"/>
    <n v="36"/>
  </r>
  <r>
    <d v="2026-05-07T10:00:00"/>
    <x v="2"/>
    <n v="10"/>
    <n v="25.10617564543611"/>
    <n v="26.214878445052779"/>
    <n v="23.563378690858329"/>
    <n v="24.3"/>
    <n v="51.872385320708332"/>
    <n v="50.192033199111123"/>
    <n v="51.652832278188889"/>
    <n v="33"/>
  </r>
  <r>
    <d v="2026-05-07T11:00:00"/>
    <x v="2"/>
    <n v="11"/>
    <n v="25.221915399430561"/>
    <n v="26.828581794333331"/>
    <n v="23.633756465466661"/>
    <n v="26.2"/>
    <n v="47.525644688666667"/>
    <n v="39.248820062308333"/>
    <n v="51.975145526266672"/>
    <n v="29"/>
  </r>
  <r>
    <d v="2026-05-07T12:00:00"/>
    <x v="2"/>
    <n v="12"/>
    <n v="25.080340381866659"/>
    <n v="26.819565179747219"/>
    <n v="23.631789019541671"/>
    <n v="27.2"/>
    <n v="34.256399028016673"/>
    <n v="28.80374869779445"/>
    <n v="49.829856285080552"/>
    <n v="22"/>
  </r>
  <r>
    <d v="2026-05-07T13:00:00"/>
    <x v="2"/>
    <n v="13"/>
    <n v="24.892854196816671"/>
    <n v="26.64847929503334"/>
    <n v="23.617438961188881"/>
    <n v="27.7"/>
    <n v="31.127300049527779"/>
    <n v="28.46103401792778"/>
    <n v="48.455951126305557"/>
    <n v="21"/>
  </r>
  <r>
    <d v="2026-05-07T14:00:00"/>
    <x v="2"/>
    <n v="14"/>
    <n v="24.721346126988891"/>
    <n v="26.53776197019722"/>
    <n v="23.609216870911109"/>
    <n v="27.8"/>
    <n v="31.384306550311109"/>
    <n v="28.019771597927772"/>
    <n v="47.680773229305551"/>
    <n v="21"/>
  </r>
  <r>
    <d v="2026-05-07T15:00:00"/>
    <x v="2"/>
    <n v="15"/>
    <n v="24.748308150386109"/>
    <n v="26.514831978349999"/>
    <n v="23.602200647258329"/>
    <n v="28.1"/>
    <n v="30.271235632863888"/>
    <n v="30.263399657591659"/>
    <n v="47.122712789330564"/>
    <n v="20"/>
  </r>
  <r>
    <d v="2026-05-07T16:00:00"/>
    <x v="2"/>
    <n v="16"/>
    <n v="24.769922788241669"/>
    <n v="26.577753665880561"/>
    <n v="23.61687814595556"/>
    <n v="28"/>
    <n v="31.726527679644441"/>
    <n v="32.022679275533328"/>
    <n v="46.968580850263884"/>
    <n v="20"/>
  </r>
  <r>
    <d v="2026-05-07T17:00:00"/>
    <x v="2"/>
    <n v="17"/>
    <n v="24.84593357958056"/>
    <n v="26.569815279099998"/>
    <n v="23.638774104863892"/>
    <n v="27.5"/>
    <n v="30.171233283658331"/>
    <n v="28.18738363164444"/>
    <n v="46.632035904830559"/>
    <n v="22"/>
  </r>
  <r>
    <d v="2026-05-07T18:00:00"/>
    <x v="2"/>
    <n v="18"/>
    <n v="24.758234975788891"/>
    <n v="26.428216130708329"/>
    <n v="23.66272825248889"/>
    <n v="26.6"/>
    <n v="30.15474662826389"/>
    <n v="27.21066868142222"/>
    <n v="46.248181085647218"/>
    <n v="25"/>
  </r>
  <r>
    <d v="2026-05-07T19:00:00"/>
    <x v="2"/>
    <n v="19"/>
    <n v="24.56823213583333"/>
    <n v="26.00904425451111"/>
    <n v="23.671628111625001"/>
    <n v="25.3"/>
    <n v="30.365565846883332"/>
    <n v="30.344744753558331"/>
    <n v="46.111789928566672"/>
    <n v="31"/>
  </r>
  <r>
    <d v="2026-05-07T20:00:00"/>
    <x v="2"/>
    <n v="20"/>
    <n v="24.30220176993889"/>
    <n v="25.869249497725001"/>
    <n v="23.686350195561111"/>
    <n v="23"/>
    <n v="29.693230901174999"/>
    <n v="33.655652789897218"/>
    <n v="46.195853313252783"/>
    <n v="42"/>
  </r>
  <r>
    <d v="2026-05-07T21:00:00"/>
    <x v="2"/>
    <n v="21"/>
    <n v="23.788812950163891"/>
    <n v="25.602748120891661"/>
    <n v="23.699895401763889"/>
    <n v="21.7"/>
    <n v="31.935040662630559"/>
    <n v="33.207039410013877"/>
    <n v="46.19621152378334"/>
    <n v="41"/>
  </r>
  <r>
    <d v="2026-05-07T22:00:00"/>
    <x v="2"/>
    <n v="22"/>
    <n v="23.772392590908339"/>
    <n v="25.452648458380551"/>
    <n v="23.698177427586121"/>
    <n v="21.1"/>
    <n v="34.723361635027779"/>
    <n v="34.280162283255557"/>
    <n v="46.180697757916668"/>
    <n v="41"/>
  </r>
  <r>
    <d v="2026-05-07T23:00:00"/>
    <x v="2"/>
    <n v="23"/>
    <n v="24.287671172130551"/>
    <n v="25.494307595491659"/>
    <n v="23.71651340909445"/>
    <n v="20.399999999999999"/>
    <n v="38.067191129622223"/>
    <n v="36.34491475101111"/>
    <n v="46.350926516361113"/>
    <n v="40"/>
  </r>
  <r>
    <d v="2026-05-08T00:00:00"/>
    <x v="2"/>
    <n v="0"/>
    <n v="24.716894243305561"/>
    <n v="25.754578595252781"/>
    <n v="23.77056793090556"/>
    <n v="19.600000000000001"/>
    <n v="39.159866269561121"/>
    <n v="37.500507418783343"/>
    <n v="46.703347111819447"/>
    <n v="42"/>
  </r>
  <r>
    <d v="2026-05-08T01:00:00"/>
    <x v="2"/>
    <n v="1"/>
    <n v="24.55589736044444"/>
    <n v="25.535497064000001"/>
    <n v="23.796655857127771"/>
    <n v="18.600000000000001"/>
    <n v="41.746017679019452"/>
    <n v="40.424343080205553"/>
    <n v="46.946615407400003"/>
    <n v="46"/>
  </r>
  <r>
    <d v="2026-05-08T02:00:00"/>
    <x v="2"/>
    <n v="2"/>
    <n v="24.329495287425001"/>
    <n v="25.329082088377781"/>
    <n v="23.797555487613892"/>
    <n v="17.8"/>
    <n v="43.200364266113887"/>
    <n v="41.188384515933329"/>
    <n v="47.01009836471389"/>
    <n v="49"/>
  </r>
  <r>
    <d v="2026-05-08T03:00:00"/>
    <x v="2"/>
    <n v="3"/>
    <n v="24.155203999583328"/>
    <n v="25.194448494075001"/>
    <n v="23.792638921513891"/>
    <n v="17.100000000000001"/>
    <n v="43.917035333588892"/>
    <n v="42.070800581180563"/>
    <n v="46.925653075097223"/>
    <n v="49"/>
  </r>
  <r>
    <d v="2026-05-08T04:00:00"/>
    <x v="2"/>
    <n v="4"/>
    <n v="24.034702915191669"/>
    <n v="25.090701892672229"/>
    <n v="23.784854712952779"/>
    <n v="16.399999999999999"/>
    <n v="44.525752360141666"/>
    <n v="42.705665308005557"/>
    <n v="46.67346336356389"/>
    <n v="51"/>
  </r>
  <r>
    <d v="2026-05-08T05:00:00"/>
    <x v="2"/>
    <n v="5"/>
    <n v="24.03506512660833"/>
    <n v="25.016675083738889"/>
    <n v="23.77500028830833"/>
    <n v="15.7"/>
    <n v="44.587806486713887"/>
    <n v="42.769904616469439"/>
    <n v="46.347369893708333"/>
    <n v="52"/>
  </r>
  <r>
    <d v="2026-05-08T06:00:00"/>
    <x v="2"/>
    <n v="6"/>
    <n v="24.377026086661111"/>
    <n v="25.241627832774999"/>
    <n v="23.779534369519439"/>
    <n v="15.7"/>
    <n v="43.283547626463893"/>
    <n v="42.33407744680278"/>
    <n v="46.317379578916672"/>
    <n v="52"/>
  </r>
  <r>
    <d v="2026-05-08T07:00:00"/>
    <x v="2"/>
    <n v="7"/>
    <n v="24.84153425978889"/>
    <n v="25.613023011269441"/>
    <n v="23.824187685794438"/>
    <n v="16.8"/>
    <n v="43.081826354655561"/>
    <n v="42.726604530347217"/>
    <n v="46.751632038380563"/>
    <n v="50"/>
  </r>
  <r>
    <d v="2026-05-08T08:00:00"/>
    <x v="2"/>
    <n v="8"/>
    <n v="25.31906898588333"/>
    <n v="26.106799688322219"/>
    <n v="23.894444907975"/>
    <n v="18.5"/>
    <n v="43.581541531047229"/>
    <n v="42.824508937574997"/>
    <n v="47.754534418725001"/>
    <n v="46"/>
  </r>
  <r>
    <d v="2026-05-08T09:00:00"/>
    <x v="2"/>
    <n v="9"/>
    <n v="25.67087487014722"/>
    <n v="26.431129944580562"/>
    <n v="23.975028013177781"/>
    <n v="21.3"/>
    <n v="44.126959134263892"/>
    <n v="43.494644992427773"/>
    <n v="48.735350776241667"/>
    <n v="37"/>
  </r>
  <r>
    <d v="2026-05-08T10:00:00"/>
    <x v="2"/>
    <n v="10"/>
    <n v="25.8931283298"/>
    <n v="26.78028743864445"/>
    <n v="24.050324373252771"/>
    <n v="23.6"/>
    <n v="45.318070703447233"/>
    <n v="44.155255812199997"/>
    <n v="49.717909117372223"/>
    <n v="33"/>
  </r>
  <r>
    <d v="2026-05-08T11:00:00"/>
    <x v="2"/>
    <n v="11"/>
    <n v="26.03098622185556"/>
    <n v="27.156420573677771"/>
    <n v="24.099063335844441"/>
    <n v="25.4"/>
    <n v="46.615658628516663"/>
    <n v="46.83104469001389"/>
    <n v="49.740232116083327"/>
    <n v="30"/>
  </r>
  <r>
    <d v="2026-05-08T12:00:00"/>
    <x v="2"/>
    <n v="12"/>
    <n v="25.875104306783332"/>
    <n v="27.087419110205559"/>
    <n v="24.15524482955"/>
    <n v="26.4"/>
    <n v="47.47799264432777"/>
    <n v="45.740516937797217"/>
    <n v="50.807845571149997"/>
    <n v="27"/>
  </r>
  <r>
    <d v="2026-05-08T13:00:00"/>
    <x v="2"/>
    <n v="13"/>
    <n v="25.735464338947221"/>
    <n v="26.966163632030561"/>
    <n v="24.20059877355278"/>
    <n v="26.6"/>
    <n v="48.314857328450003"/>
    <n v="45.909450756394449"/>
    <n v="51.446590158769453"/>
    <n v="27"/>
  </r>
  <r>
    <d v="2026-05-08T14:00:00"/>
    <x v="2"/>
    <n v="14"/>
    <n v="25.673194301697219"/>
    <n v="27.071738519050001"/>
    <n v="24.223313226702771"/>
    <n v="26.7"/>
    <n v="48.534034310797217"/>
    <n v="45.523814174963888"/>
    <n v="51.769012183688893"/>
    <n v="27"/>
  </r>
  <r>
    <d v="2026-05-08T15:00:00"/>
    <x v="2"/>
    <n v="15"/>
    <n v="25.674403196941661"/>
    <n v="26.998038692011111"/>
    <n v="24.24772930913889"/>
    <n v="27.1"/>
    <n v="48.772168959811118"/>
    <n v="47.126641933736103"/>
    <n v="51.933663858247222"/>
    <n v="23"/>
  </r>
  <r>
    <d v="2026-05-08T16:00:00"/>
    <x v="2"/>
    <n v="16"/>
    <n v="25.648878155599999"/>
    <n v="27.017018521324999"/>
    <n v="24.27804271451112"/>
    <n v="26.8"/>
    <n v="49.805787130941667"/>
    <n v="48.054931814366661"/>
    <n v="52.143642470741668"/>
    <n v="23"/>
  </r>
  <r>
    <d v="2026-05-08T17:00:00"/>
    <x v="2"/>
    <n v="17"/>
    <n v="25.622630179383329"/>
    <n v="26.837838034058329"/>
    <n v="24.302481570969441"/>
    <n v="26.2"/>
    <n v="50.200735204233332"/>
    <n v="47.606980446247213"/>
    <n v="52.324611404750001"/>
    <n v="25"/>
  </r>
  <r>
    <d v="2026-05-08T18:00:00"/>
    <x v="2"/>
    <n v="18"/>
    <n v="25.530423276286111"/>
    <n v="26.723968878425001"/>
    <n v="24.27087265340278"/>
    <n v="25.3"/>
    <n v="49.467540578188881"/>
    <n v="47.65893595331945"/>
    <n v="50.206259097344443"/>
    <n v="28"/>
  </r>
  <r>
    <d v="2026-05-08T19:00:00"/>
    <x v="2"/>
    <n v="19"/>
    <n v="25.307059648225"/>
    <n v="26.441903225124999"/>
    <n v="24.22117902133612"/>
    <n v="23.6"/>
    <n v="46.308855100636123"/>
    <n v="45.029311565419441"/>
    <n v="48.453243282024999"/>
    <n v="35"/>
  </r>
  <r>
    <d v="2026-05-08T20:00:00"/>
    <x v="2"/>
    <n v="20"/>
    <n v="25.085882125680559"/>
    <n v="26.190955270377771"/>
    <n v="24.188724435197219"/>
    <n v="21.9"/>
    <n v="44.489166416141671"/>
    <n v="42.924107174472233"/>
    <n v="47.442666967533327"/>
    <n v="41"/>
  </r>
  <r>
    <d v="2026-05-08T21:00:00"/>
    <x v="2"/>
    <n v="21"/>
    <n v="24.926614350477781"/>
    <n v="25.900837549322219"/>
    <n v="24.169677292005559"/>
    <n v="20.9"/>
    <n v="43.697394930041668"/>
    <n v="41.875781076402781"/>
    <n v="46.685260641716667"/>
    <n v="39"/>
  </r>
  <r>
    <d v="2026-05-08T22:00:00"/>
    <x v="2"/>
    <n v="22"/>
    <n v="24.794639970383329"/>
    <n v="25.706151751044441"/>
    <n v="24.15102024703333"/>
    <n v="19.899999999999999"/>
    <n v="42.386031752366669"/>
    <n v="41.041621865469438"/>
    <n v="46.112680543647222"/>
    <n v="39"/>
  </r>
  <r>
    <d v="2026-05-08T23:00:00"/>
    <x v="2"/>
    <n v="23"/>
    <n v="23.872638986697229"/>
    <n v="25.720008905322221"/>
    <n v="24.148861139991659"/>
    <n v="18.899999999999999"/>
    <n v="38.572190078230562"/>
    <n v="38.626131953444443"/>
    <n v="45.857093373858334"/>
    <n v="41"/>
  </r>
  <r>
    <d v="2026-05-09T00:00:00"/>
    <x v="2"/>
    <n v="0"/>
    <n v="22.16796620885"/>
    <n v="25.740798371963891"/>
    <n v="24.22668093061111"/>
    <n v="18"/>
    <n v="37.33282378423889"/>
    <n v="35.123335032105558"/>
    <n v="46.506119509380561"/>
    <n v="44"/>
  </r>
  <r>
    <d v="2026-05-09T01:00:00"/>
    <x v="2"/>
    <n v="1"/>
    <n v="23.783595807438889"/>
    <n v="25.684994437663889"/>
    <n v="24.290317019930551"/>
    <n v="16.899999999999999"/>
    <n v="44.435660583552767"/>
    <n v="41.406640407677777"/>
    <n v="46.916245106561121"/>
    <n v="48"/>
  </r>
  <r>
    <d v="2026-05-09T02:00:00"/>
    <x v="2"/>
    <n v="2"/>
    <n v="24.135265630011109"/>
    <n v="25.468023675044449"/>
    <n v="24.39867964522222"/>
    <n v="15.8"/>
    <n v="47.922684357874999"/>
    <n v="45.419829706761107"/>
    <n v="46.400486298875002"/>
    <n v="53"/>
  </r>
  <r>
    <d v="2026-05-09T03:00:00"/>
    <x v="2"/>
    <n v="3"/>
    <n v="24.180332895513889"/>
    <n v="25.41450405897778"/>
    <n v="24.427751327222222"/>
    <n v="14.8"/>
    <n v="48.434184909116667"/>
    <n v="45.570084652102771"/>
    <n v="45.901340912558339"/>
    <n v="57"/>
  </r>
  <r>
    <d v="2026-05-09T04:00:00"/>
    <x v="2"/>
    <n v="4"/>
    <n v="24.156614452513889"/>
    <n v="25.37221449684445"/>
    <n v="24.405603252711121"/>
    <n v="14"/>
    <n v="48.450284410394453"/>
    <n v="45.498579477055557"/>
    <n v="45.497971854425003"/>
    <n v="59"/>
  </r>
  <r>
    <d v="2026-05-09T05:00:00"/>
    <x v="2"/>
    <n v="5"/>
    <n v="24.276155179774999"/>
    <n v="25.343784413577779"/>
    <n v="24.384751455991669"/>
    <n v="13.4"/>
    <n v="47.838471609594443"/>
    <n v="45.455822536944453"/>
    <n v="45.126596281813882"/>
    <n v="60"/>
  </r>
  <r>
    <d v="2026-05-09T06:00:00"/>
    <x v="2"/>
    <n v="6"/>
    <n v="24.595295720744449"/>
    <n v="25.40645797300833"/>
    <n v="24.360425932733332"/>
    <n v="13.4"/>
    <n v="45.859785899280553"/>
    <n v="45.213934441638877"/>
    <n v="44.857187591447222"/>
    <n v="57"/>
  </r>
  <r>
    <d v="2026-05-09T07:00:00"/>
    <x v="2"/>
    <n v="7"/>
    <n v="25.099814627027779"/>
    <n v="25.838504825369441"/>
    <n v="24.356574095972221"/>
    <n v="14.7"/>
    <n v="44.530576105672232"/>
    <n v="45.104534338650012"/>
    <n v="44.708614653827773"/>
    <n v="52"/>
  </r>
  <r>
    <d v="2026-05-09T08:00:00"/>
    <x v="2"/>
    <n v="8"/>
    <n v="25.389128106105559"/>
    <n v="26.314267155597221"/>
    <n v="24.373175055674999"/>
    <n v="16.5"/>
    <n v="44.873715207619448"/>
    <n v="44.877738859927767"/>
    <n v="44.795289847336107"/>
    <n v="46"/>
  </r>
  <r>
    <d v="2026-05-09T09:00:00"/>
    <x v="2"/>
    <n v="9"/>
    <n v="25.812356482591671"/>
    <n v="26.82639464374445"/>
    <n v="24.414414583066659"/>
    <n v="18.8"/>
    <n v="45.106800486216663"/>
    <n v="44.784013190563883"/>
    <n v="45.292278970216671"/>
    <n v="38"/>
  </r>
  <r>
    <d v="2026-05-09T10:00:00"/>
    <x v="2"/>
    <n v="10"/>
    <n v="26.045514080977771"/>
    <n v="27.04902224212778"/>
    <n v="24.478589139772222"/>
    <n v="20.9"/>
    <n v="46.059695761130563"/>
    <n v="45.413606498405557"/>
    <n v="46.118822784061109"/>
    <n v="33"/>
  </r>
  <r>
    <d v="2026-05-09T11:00:00"/>
    <x v="2"/>
    <n v="11"/>
    <n v="26.10248340585278"/>
    <n v="27.386051441016669"/>
    <n v="24.607874717366659"/>
    <n v="22.2"/>
    <n v="42.739306932461112"/>
    <n v="45.607545621100002"/>
    <n v="49.210308517419442"/>
    <n v="30"/>
  </r>
  <r>
    <d v="2026-05-09T12:00:00"/>
    <x v="2"/>
    <n v="12"/>
    <n v="25.77446826666112"/>
    <n v="27.428013444746671"/>
    <n v="24.690412563980559"/>
    <n v="23.2"/>
    <n v="38.082383220066667"/>
    <n v="43.543837625839998"/>
    <n v="49.613555273119438"/>
    <n v="29"/>
  </r>
  <r>
    <d v="2026-05-09T13:00:00"/>
    <x v="2"/>
    <n v="13"/>
    <n v="25.377177820033332"/>
    <m/>
    <n v="24.898376559436109"/>
    <n v="23.9"/>
    <n v="30.78237211998611"/>
    <m/>
    <n v="46.853920068625001"/>
    <n v="27"/>
  </r>
  <r>
    <d v="2026-05-09T14:00:00"/>
    <x v="2"/>
    <n v="14"/>
    <n v="25.361721898241669"/>
    <m/>
    <n v="24.983665104263888"/>
    <n v="24.4"/>
    <n v="32.107069241108327"/>
    <m/>
    <n v="46.689888591269437"/>
    <n v="27"/>
  </r>
  <r>
    <d v="2026-05-09T15:00:00"/>
    <x v="2"/>
    <n v="15"/>
    <n v="25.61710493067778"/>
    <m/>
    <n v="24.957335654541659"/>
    <n v="24.8"/>
    <n v="34.225169928911107"/>
    <m/>
    <n v="47.187990172630563"/>
    <n v="24"/>
  </r>
  <r>
    <d v="2026-05-09T16:00:00"/>
    <x v="2"/>
    <n v="16"/>
    <n v="25.73923524656945"/>
    <m/>
    <n v="24.847260001974998"/>
    <n v="24.5"/>
    <n v="29.099351470477782"/>
    <m/>
    <n v="46.64670073658889"/>
    <n v="25"/>
  </r>
  <r>
    <d v="2026-05-09T17:00:00"/>
    <x v="2"/>
    <n v="17"/>
    <n v="25.799795480822219"/>
    <m/>
    <n v="24.81325994968056"/>
    <n v="24"/>
    <n v="28.34969216106111"/>
    <m/>
    <n v="46.655775868455557"/>
    <n v="27"/>
  </r>
  <r>
    <d v="2026-05-09T18:00:00"/>
    <x v="2"/>
    <n v="18"/>
    <n v="25.542188140683329"/>
    <m/>
    <n v="24.804277707202768"/>
    <n v="23.6"/>
    <n v="31.104649872505551"/>
    <m/>
    <n v="46.53015155991389"/>
    <n v="28"/>
  </r>
  <r>
    <d v="2026-05-09T19:00:00"/>
    <x v="2"/>
    <n v="19"/>
    <n v="24.877737236419449"/>
    <m/>
    <n v="24.808147748811109"/>
    <n v="22.6"/>
    <n v="36.404492206630557"/>
    <m/>
    <n v="46.486096168452782"/>
    <n v="31"/>
  </r>
  <r>
    <d v="2026-05-09T20:00:00"/>
    <x v="2"/>
    <n v="20"/>
    <n v="23.848352730355561"/>
    <m/>
    <n v="24.90301799104445"/>
    <n v="20.2"/>
    <n v="39.868535641219452"/>
    <m/>
    <n v="46.837739655883333"/>
    <n v="48"/>
  </r>
  <r>
    <d v="2026-05-09T21:00:00"/>
    <x v="2"/>
    <n v="21"/>
    <n v="23.605612610747219"/>
    <m/>
    <n v="25.006314739619441"/>
    <n v="18.7"/>
    <n v="40.850371089669437"/>
    <m/>
    <n v="46.825770703047233"/>
    <n v="61"/>
  </r>
  <r>
    <d v="2026-05-09T22:00:00"/>
    <x v="2"/>
    <n v="22"/>
    <n v="23.97211473626945"/>
    <m/>
    <n v="24.988509374713889"/>
    <n v="17.899999999999999"/>
    <n v="40.119840019000002"/>
    <m/>
    <n v="46.395582457327777"/>
    <n v="67"/>
  </r>
  <r>
    <d v="2026-05-09T23:00:00"/>
    <x v="2"/>
    <n v="23"/>
    <n v="23.96659795104167"/>
    <m/>
    <n v="24.94110246443611"/>
    <n v="17.3"/>
    <n v="41.447971494691657"/>
    <m/>
    <n v="46.171091558450001"/>
    <n v="68"/>
  </r>
  <r>
    <d v="2026-05-10T00:00:00"/>
    <x v="2"/>
    <n v="0"/>
    <n v="24.1524371171"/>
    <m/>
    <n v="24.902952986391661"/>
    <n v="16.7"/>
    <n v="41.36276565507778"/>
    <m/>
    <n v="46.263634605491667"/>
    <n v="70"/>
  </r>
  <r>
    <d v="2026-05-10T01:00:00"/>
    <x v="2"/>
    <n v="1"/>
    <n v="23.00867271478889"/>
    <m/>
    <n v="24.90281455162777"/>
    <n v="16.3"/>
    <n v="43.760732048688887"/>
    <m/>
    <n v="46.969862558499997"/>
    <n v="72"/>
  </r>
  <r>
    <d v="2026-05-10T02:00:00"/>
    <x v="2"/>
    <n v="2"/>
    <n v="23.002932252861111"/>
    <m/>
    <n v="24.886759465050002"/>
    <n v="15.9"/>
    <n v="44.023776520544452"/>
    <m/>
    <n v="47.340840596083332"/>
    <n v="73"/>
  </r>
  <r>
    <d v="2026-05-10T03:00:00"/>
    <x v="2"/>
    <n v="3"/>
    <n v="24.174956119869449"/>
    <m/>
    <n v="24.868906845766659"/>
    <n v="15.4"/>
    <n v="41.96013114706944"/>
    <m/>
    <n v="47.632391704622222"/>
    <n v="78"/>
  </r>
  <r>
    <d v="2026-05-10T04:00:00"/>
    <x v="2"/>
    <n v="4"/>
    <n v="24.045327925938889"/>
    <m/>
    <n v="24.844237847580551"/>
    <n v="14.8"/>
    <n v="41.626592819288888"/>
    <m/>
    <n v="47.737629181575002"/>
    <n v="79"/>
  </r>
  <r>
    <d v="2026-05-10T05:00:00"/>
    <x v="2"/>
    <n v="5"/>
    <n v="24.029530610636112"/>
    <m/>
    <n v="24.822795881541669"/>
    <n v="14.2"/>
    <n v="41.219242491324998"/>
    <m/>
    <n v="47.61778569511111"/>
    <n v="81"/>
  </r>
  <r>
    <d v="2026-05-10T06:00:00"/>
    <x v="2"/>
    <n v="6"/>
    <n v="24.471075330547219"/>
    <m/>
    <n v="24.81423125308611"/>
    <n v="14.1"/>
    <n v="40.114268223641673"/>
    <m/>
    <n v="47.503687063169437"/>
    <n v="80"/>
  </r>
  <r>
    <d v="2026-05-10T07:00:00"/>
    <x v="2"/>
    <n v="7"/>
    <n v="25.065125388927779"/>
    <m/>
    <n v="24.83515861322222"/>
    <n v="15.1"/>
    <n v="39.662500379902781"/>
    <m/>
    <n v="47.765320288233333"/>
    <n v="74"/>
  </r>
  <r>
    <d v="2026-05-10T08:00:00"/>
    <x v="2"/>
    <n v="8"/>
    <n v="25.547177127674999"/>
    <m/>
    <n v="24.868297621383331"/>
    <n v="17.100000000000001"/>
    <n v="39.42091536157222"/>
    <m/>
    <n v="47.92789184363334"/>
    <n v="63"/>
  </r>
  <r>
    <d v="2026-05-10T09:00:00"/>
    <x v="2"/>
    <n v="9"/>
    <n v="25.854622010572221"/>
    <m/>
    <n v="24.919743032930551"/>
    <n v="19.399999999999999"/>
    <n v="39.737420887908343"/>
    <m/>
    <n v="48.19208860893611"/>
    <n v="53"/>
  </r>
  <r>
    <d v="2026-05-10T10:00:00"/>
    <x v="2"/>
    <n v="10"/>
    <n v="26.030665870038892"/>
    <m/>
    <n v="24.97020514802222"/>
    <n v="21.8"/>
    <n v="39.862929726383342"/>
    <m/>
    <n v="48.368921342366662"/>
    <n v="44"/>
  </r>
  <r>
    <d v="2026-05-10T11:00:00"/>
    <x v="2"/>
    <n v="11"/>
    <n v="25.977476650300002"/>
    <m/>
    <n v="25.00504808398334"/>
    <n v="23.5"/>
    <n v="40.193853010802783"/>
    <m/>
    <n v="48.424043382222223"/>
    <n v="36"/>
  </r>
  <r>
    <d v="2026-05-10T12:00:00"/>
    <x v="2"/>
    <n v="12"/>
    <n v="25.94629478158333"/>
    <m/>
    <n v="25.044556738441671"/>
    <n v="24.2"/>
    <n v="40.99250049074444"/>
    <m/>
    <n v="48.758876693513884"/>
    <n v="30"/>
  </r>
  <r>
    <d v="2026-05-10T13:00:00"/>
    <x v="2"/>
    <n v="13"/>
    <n v="26.073048971358329"/>
    <m/>
    <n v="25.066343253072219"/>
    <n v="24.8"/>
    <n v="37.922259296950003"/>
    <m/>
    <n v="48.62762114197222"/>
    <n v="27"/>
  </r>
  <r>
    <d v="2026-05-10T14:00:00"/>
    <x v="2"/>
    <n v="14"/>
    <n v="25.83814661916945"/>
    <m/>
    <n v="25.058952464286111"/>
    <n v="24.7"/>
    <n v="34.081038773102783"/>
    <m/>
    <n v="48.110475470852784"/>
    <n v="27"/>
  </r>
  <r>
    <d v="2026-05-10T15:00:00"/>
    <x v="2"/>
    <n v="15"/>
    <n v="25.578910935716671"/>
    <m/>
    <n v="25.046842138694441"/>
    <n v="25.2"/>
    <n v="32.583095552316671"/>
    <m/>
    <n v="47.634382285402779"/>
    <n v="25"/>
  </r>
  <r>
    <d v="2026-05-10T16:00:00"/>
    <x v="2"/>
    <n v="16"/>
    <n v="25.161527154611111"/>
    <m/>
    <n v="25.04635057816667"/>
    <n v="25.2"/>
    <n v="31.759014798683332"/>
    <m/>
    <n v="47.401769825877778"/>
    <n v="24"/>
  </r>
  <r>
    <d v="2026-05-10T17:00:00"/>
    <x v="2"/>
    <n v="17"/>
    <n v="24.993250457024999"/>
    <n v="26.293519977744321"/>
    <n v="25.15616733198334"/>
    <n v="25"/>
    <n v="33.013067358150003"/>
    <n v="35.840751498379298"/>
    <n v="48.145549822100001"/>
    <n v="25"/>
  </r>
  <r>
    <d v="2026-05-10T18:00:00"/>
    <x v="2"/>
    <n v="18"/>
    <n v="25.252846037575001"/>
    <n v="26.64088731564722"/>
    <n v="25.305507982744441"/>
    <n v="22"/>
    <n v="31.860718041466669"/>
    <n v="35.238401548419453"/>
    <n v="47.369327854977783"/>
    <n v="42"/>
  </r>
  <r>
    <d v="2026-05-10T19:00:00"/>
    <x v="2"/>
    <n v="19"/>
    <n v="24.479334626499998"/>
    <n v="26.93180937350278"/>
    <n v="25.38864031393889"/>
    <n v="21.1"/>
    <n v="32.551973480983342"/>
    <n v="34.785384452530558"/>
    <n v="46.814644920274993"/>
    <n v="50"/>
  </r>
  <r>
    <d v="2026-05-10T20:00:00"/>
    <x v="2"/>
    <n v="20"/>
    <n v="23.73360741844445"/>
    <n v="26.874879712261109"/>
    <n v="25.353169966799999"/>
    <n v="20.2"/>
    <n v="35.354636619205557"/>
    <n v="33.783304260158332"/>
    <n v="47.423779846000002"/>
    <n v="56"/>
  </r>
  <r>
    <d v="2026-05-10T21:00:00"/>
    <x v="2"/>
    <n v="21"/>
    <n v="23.39605905463889"/>
    <n v="26.554176132113891"/>
    <n v="25.30882406255278"/>
    <n v="18.3"/>
    <n v="36.814097222800001"/>
    <n v="34.737371920758328"/>
    <n v="47.541148913736123"/>
    <n v="68"/>
  </r>
  <r>
    <d v="2026-05-10T22:00:00"/>
    <x v="2"/>
    <n v="22"/>
    <n v="22.82151403158889"/>
    <n v="26.529065122769438"/>
    <n v="25.28560571022777"/>
    <n v="17.8"/>
    <n v="39.180949258180561"/>
    <n v="35.002089952219443"/>
    <n v="47.701128742377783"/>
    <n v="71"/>
  </r>
  <r>
    <d v="2026-05-10T23:00:00"/>
    <x v="2"/>
    <n v="23"/>
    <n v="24.13296997571944"/>
    <n v="26.874999080075"/>
    <n v="25.24087865792222"/>
    <n v="17.399999999999999"/>
    <n v="38.581819488380553"/>
    <n v="35.937783689016662"/>
    <n v="47.724210543608343"/>
    <n v="73"/>
  </r>
  <r>
    <d v="2026-05-11T00:00:00"/>
    <x v="2"/>
    <n v="0"/>
    <n v="24.300382856355551"/>
    <n v="27.373265428491671"/>
    <n v="25.253938281391669"/>
    <n v="17"/>
    <n v="40.005958455452777"/>
    <n v="36.815137436461121"/>
    <n v="47.598944154219453"/>
    <n v="76"/>
  </r>
  <r>
    <d v="2026-05-11T01:00:00"/>
    <x v="2"/>
    <n v="1"/>
    <n v="24.497753163027781"/>
    <n v="26.89489760010278"/>
    <n v="25.273250192027781"/>
    <n v="16.5"/>
    <n v="42.132656061052778"/>
    <n v="38.844419646086109"/>
    <n v="47.733036155408342"/>
    <n v="80"/>
  </r>
  <r>
    <d v="2026-05-11T02:00:00"/>
    <x v="2"/>
    <n v="2"/>
    <n v="24.830964839680561"/>
    <n v="26.328989313127771"/>
    <n v="25.260164752952779"/>
    <n v="16"/>
    <n v="42.868146997677783"/>
    <n v="40.311664878044454"/>
    <n v="47.706418808011108"/>
    <n v="81"/>
  </r>
  <r>
    <d v="2026-05-11T03:00:00"/>
    <x v="2"/>
    <n v="3"/>
    <n v="24.748193604825001"/>
    <n v="26.026619180347222"/>
    <n v="25.23325810541667"/>
    <n v="15.9"/>
    <n v="42.828770433997221"/>
    <n v="40.691571978716667"/>
    <n v="47.681126248836108"/>
    <n v="85"/>
  </r>
  <r>
    <d v="2026-05-11T04:00:00"/>
    <x v="2"/>
    <n v="4"/>
    <n v="24.63013989612222"/>
    <n v="25.79715518111389"/>
    <n v="25.22021144230278"/>
    <n v="15.4"/>
    <n v="42.288756002105558"/>
    <n v="40.330794226291673"/>
    <n v="47.656988835616673"/>
    <n v="84"/>
  </r>
  <r>
    <d v="2026-05-11T05:00:00"/>
    <x v="2"/>
    <n v="5"/>
    <n v="24.533936800052771"/>
    <n v="25.615360554325001"/>
    <n v="25.20292534665278"/>
    <n v="14.9"/>
    <n v="41.590038051866657"/>
    <n v="39.611819048805557"/>
    <n v="47.608937050858337"/>
    <n v="85"/>
  </r>
  <r>
    <d v="2026-05-11T06:00:00"/>
    <x v="2"/>
    <n v="6"/>
    <n v="24.510856957141659"/>
    <n v="25.410169711350001"/>
    <n v="25.19741646532222"/>
    <n v="14.9"/>
    <n v="41.503099520513892"/>
    <n v="40.338016299708343"/>
    <n v="47.560916265677783"/>
    <n v="84"/>
  </r>
  <r>
    <d v="2026-05-11T07:00:00"/>
    <x v="2"/>
    <n v="7"/>
    <n v="24.683578494727779"/>
    <n v="25.40537590550278"/>
    <n v="25.194897488300001"/>
    <n v="15.9"/>
    <n v="41.410509253969437"/>
    <n v="40.827170015611109"/>
    <n v="47.583433639394443"/>
    <n v="77"/>
  </r>
  <r>
    <d v="2026-05-11T08:00:00"/>
    <x v="2"/>
    <n v="8"/>
    <n v="24.84307857216389"/>
    <n v="25.414710332555561"/>
    <n v="25.20003822598056"/>
    <n v="16.600000000000001"/>
    <n v="41.848960225202767"/>
    <n v="41.331087277730553"/>
    <n v="47.605963706261122"/>
    <n v="72"/>
  </r>
  <r>
    <d v="2026-05-11T09:00:00"/>
    <x v="2"/>
    <n v="9"/>
    <n v="25.04763399004722"/>
    <n v="25.61283515305556"/>
    <n v="25.21411100478889"/>
    <n v="17.600000000000001"/>
    <n v="42.564343068813891"/>
    <n v="41.439254322244437"/>
    <n v="47.70328873082223"/>
    <n v="68"/>
  </r>
  <r>
    <d v="2026-05-11T10:00:00"/>
    <x v="2"/>
    <n v="10"/>
    <n v="25.125353345005561"/>
    <n v="25.747244337908331"/>
    <n v="25.226141926158331"/>
    <n v="18.5"/>
    <n v="42.064901861363893"/>
    <n v="41.458021597891673"/>
    <n v="47.726174569147219"/>
    <n v="60"/>
  </r>
  <r>
    <d v="2026-05-11T11:00:00"/>
    <x v="2"/>
    <n v="11"/>
    <n v="25.22548664996112"/>
    <n v="26.171184433941669"/>
    <n v="25.25031728873056"/>
    <n v="19.7"/>
    <n v="40.43425470448333"/>
    <n v="39.920914433791673"/>
    <n v="47.771988627911107"/>
    <n v="52"/>
  </r>
  <r>
    <d v="2026-05-11T12:00:00"/>
    <x v="2"/>
    <n v="12"/>
    <n v="25.285286089166672"/>
    <n v="26.257793348880561"/>
    <n v="25.273492713708329"/>
    <n v="20.7"/>
    <n v="38.828033607102768"/>
    <n v="39.715013240561113"/>
    <n v="47.780024400566667"/>
    <n v="48"/>
  </r>
  <r>
    <d v="2026-05-11T13:00:00"/>
    <x v="2"/>
    <n v="13"/>
    <n v="25.29555892593611"/>
    <n v="26.246027660025"/>
    <n v="25.394495952447219"/>
    <n v="20.100000000000001"/>
    <n v="38.148967214922223"/>
    <n v="38.510980716636112"/>
    <n v="48.695130173244451"/>
    <n v="51"/>
  </r>
  <r>
    <d v="2026-05-11T14:00:00"/>
    <x v="2"/>
    <n v="14"/>
    <n v="25.135987934427771"/>
    <n v="26.173336613499998"/>
    <n v="25.377707824325"/>
    <n v="19.399999999999999"/>
    <n v="40.043640619874999"/>
    <n v="39.163874370780562"/>
    <n v="49.768009360686108"/>
    <n v="56"/>
  </r>
  <r>
    <d v="2026-05-11T15:00:00"/>
    <x v="2"/>
    <n v="15"/>
    <n v="24.97675311909444"/>
    <n v="26.193425074358331"/>
    <n v="25.344258457841661"/>
    <n v="18.2"/>
    <n v="45.904214778819437"/>
    <n v="43.547216551347233"/>
    <n v="49.04290495741111"/>
    <n v="60"/>
  </r>
  <r>
    <d v="2026-05-11T16:00:00"/>
    <x v="2"/>
    <n v="16"/>
    <n v="24.909027544111112"/>
    <n v="26.360711422008329"/>
    <n v="25.341146807763892"/>
    <n v="18.2"/>
    <n v="49.314175624155553"/>
    <n v="46.141410665697229"/>
    <n v="48.608163955125001"/>
    <n v="61"/>
  </r>
  <r>
    <d v="2026-05-11T17:00:00"/>
    <x v="2"/>
    <n v="17"/>
    <n v="24.545600371858331"/>
    <n v="26.210860300197229"/>
    <n v="25.370386046552781"/>
    <n v="18.8"/>
    <n v="49.362505092911121"/>
    <n v="47.021119663819441"/>
    <n v="48.656353493747218"/>
    <n v="57"/>
  </r>
  <r>
    <d v="2026-05-11T18:00:00"/>
    <x v="2"/>
    <n v="18"/>
    <n v="23.216465837541669"/>
    <n v="25.821929812633329"/>
    <n v="25.382610851891659"/>
    <n v="18.2"/>
    <n v="49.302057251652784"/>
    <n v="46.678400442572219"/>
    <n v="48.681597873111109"/>
    <n v="60"/>
  </r>
  <r>
    <d v="2026-05-11T19:00:00"/>
    <x v="2"/>
    <n v="19"/>
    <n v="22.54550540235833"/>
    <n v="25.48460280230556"/>
    <n v="25.383666062955559"/>
    <n v="17.100000000000001"/>
    <n v="51.328908272638891"/>
    <n v="46.234768881966673"/>
    <n v="48.733094243436113"/>
    <n v="68"/>
  </r>
  <r>
    <d v="2026-05-11T20:00:00"/>
    <x v="2"/>
    <n v="20"/>
    <n v="23.128593839361109"/>
    <n v="25.301853257977779"/>
    <n v="25.371813798738891"/>
    <n v="16.3"/>
    <n v="51.476643543136113"/>
    <n v="47.389744953591673"/>
    <n v="48.878792421386123"/>
    <n v="74"/>
  </r>
  <r>
    <d v="2026-05-11T21:00:00"/>
    <x v="2"/>
    <n v="21"/>
    <n v="24.03956140579167"/>
    <n v="25.56502134758334"/>
    <n v="25.37454696007778"/>
    <n v="15.4"/>
    <n v="51.422090322327769"/>
    <n v="48.65046616442222"/>
    <n v="49.014405325961121"/>
    <n v="83"/>
  </r>
  <r>
    <d v="2026-05-11T22:00:00"/>
    <x v="2"/>
    <n v="22"/>
    <n v="24.434428892524998"/>
    <n v="26.235449793058329"/>
    <n v="25.385011487561108"/>
    <n v="14.9"/>
    <n v="51.963758476844447"/>
    <n v="48.440668793522228"/>
    <n v="48.965062663958328"/>
    <n v="86"/>
  </r>
  <r>
    <d v="2026-05-11T23:00:00"/>
    <x v="2"/>
    <n v="23"/>
    <n v="24.79952988737222"/>
    <n v="26.642983689411111"/>
    <n v="25.40823393777222"/>
    <n v="14.4"/>
    <n v="50.363436829247213"/>
    <n v="46.561063271249999"/>
    <n v="48.799515713658337"/>
    <n v="90"/>
  </r>
  <r>
    <d v="2026-05-12T00:00:00"/>
    <x v="2"/>
    <n v="0"/>
    <n v="24.950788828169451"/>
    <n v="26.64732659655278"/>
    <n v="25.42398401454167"/>
    <n v="14.3"/>
    <n v="49.278164239086117"/>
    <n v="45.893848421444439"/>
    <n v="48.929020253177782"/>
    <n v="90"/>
  </r>
  <r>
    <d v="2026-05-12T01:00:00"/>
    <x v="2"/>
    <n v="1"/>
    <n v="25.028007892813889"/>
    <n v="26.709937427719439"/>
    <n v="25.445048002875001"/>
    <n v="14.2"/>
    <n v="48.901844441197227"/>
    <n v="45.600613525861121"/>
    <n v="48.964366521044447"/>
    <n v="90"/>
  </r>
  <r>
    <d v="2026-05-12T02:00:00"/>
    <x v="2"/>
    <n v="2"/>
    <n v="24.900062808380561"/>
    <n v="26.215378495711111"/>
    <n v="25.437154381180559"/>
    <n v="14"/>
    <n v="49.072526183249998"/>
    <n v="46.859924860024996"/>
    <n v="49.00394817937778"/>
    <n v="88"/>
  </r>
  <r>
    <d v="2026-05-12T03:00:00"/>
    <x v="2"/>
    <n v="3"/>
    <n v="24.530819575636109"/>
    <n v="25.684048235024999"/>
    <n v="25.432110771550001"/>
    <n v="13.8"/>
    <n v="48.88153994092778"/>
    <n v="46.84019520563055"/>
    <n v="49.016216248752777"/>
    <n v="90"/>
  </r>
  <r>
    <d v="2026-05-12T04:00:00"/>
    <x v="2"/>
    <n v="4"/>
    <n v="24.284860477522219"/>
    <n v="25.394023553555559"/>
    <n v="25.417773653244438"/>
    <n v="13.7"/>
    <n v="48.357556865852779"/>
    <n v="46.402085700433332"/>
    <n v="49.070861080972207"/>
    <n v="89"/>
  </r>
  <r>
    <d v="2026-05-12T05:00:00"/>
    <x v="2"/>
    <n v="5"/>
    <n v="24.138844687155551"/>
    <n v="25.170668111830551"/>
    <n v="25.400881110866671"/>
    <n v="13"/>
    <n v="47.683152993711111"/>
    <n v="46.044364372650001"/>
    <n v="49.089480814399998"/>
    <n v="90"/>
  </r>
  <r>
    <d v="2026-05-12T06:00:00"/>
    <x v="2"/>
    <n v="6"/>
    <n v="24.21125922803612"/>
    <n v="25.286417183766659"/>
    <n v="25.393071398319449"/>
    <n v="12.6"/>
    <n v="46.919527304955551"/>
    <n v="45.561907955227781"/>
    <n v="49.072734458433331"/>
    <n v="90"/>
  </r>
  <r>
    <d v="2026-05-12T07:00:00"/>
    <x v="2"/>
    <n v="7"/>
    <n v="24.61658519425556"/>
    <n v="25.648615914716672"/>
    <n v="25.391055272713889"/>
    <n v="13.7"/>
    <n v="44.799654994158338"/>
    <n v="44.065679404983342"/>
    <n v="48.896718158686113"/>
    <n v="83"/>
  </r>
  <r>
    <d v="2026-05-12T08:00:00"/>
    <x v="2"/>
    <n v="8"/>
    <n v="25.24731599379167"/>
    <n v="25.93323482812222"/>
    <n v="25.405496843375001"/>
    <n v="15.5"/>
    <n v="42.817763041900008"/>
    <n v="41.718465278352767"/>
    <n v="48.811335492830558"/>
    <n v="69"/>
  </r>
  <r>
    <d v="2026-05-12T09:00:00"/>
    <x v="2"/>
    <n v="9"/>
    <n v="25.695121992686111"/>
    <n v="26.27184073399722"/>
    <n v="25.459545139447229"/>
    <n v="17.2"/>
    <n v="42.40503367031944"/>
    <n v="39.992854508372233"/>
    <n v="48.873070493730552"/>
    <n v="56"/>
  </r>
  <r>
    <d v="2026-05-12T10:00:00"/>
    <x v="2"/>
    <n v="10"/>
    <n v="25.828081106097219"/>
    <n v="26.656417405008341"/>
    <n v="25.504469239497219"/>
    <n v="18.100000000000001"/>
    <n v="42.076191764094439"/>
    <n v="40.624610839825003"/>
    <n v="48.886339369463883"/>
    <n v="50"/>
  </r>
  <r>
    <d v="2026-05-12T11:00:00"/>
    <x v="2"/>
    <n v="11"/>
    <n v="25.801923180755551"/>
    <n v="27.124984220919441"/>
    <n v="25.519270579699999"/>
    <n v="19.2"/>
    <n v="40.215192348836119"/>
    <n v="38.399348206858328"/>
    <n v="48.93537758946389"/>
    <n v="45"/>
  </r>
  <r>
    <d v="2026-05-12T12:00:00"/>
    <x v="2"/>
    <n v="12"/>
    <n v="25.748962272549999"/>
    <n v="27.057273398105561"/>
    <n v="25.536909041522222"/>
    <n v="20.100000000000001"/>
    <n v="38.978796578791673"/>
    <n v="37.198207211705558"/>
    <n v="48.700630510077779"/>
    <n v="42"/>
  </r>
  <r>
    <d v="2026-05-12T13:00:00"/>
    <x v="2"/>
    <n v="13"/>
    <n v="25.553736956647221"/>
    <n v="26.750898484455561"/>
    <n v="25.541297974358329"/>
    <n v="20.8"/>
    <n v="35.774203333630552"/>
    <n v="36.760062097641672"/>
    <n v="48.467774485919449"/>
    <n v="40"/>
  </r>
  <r>
    <d v="2026-05-12T14:00:00"/>
    <x v="2"/>
    <n v="14"/>
    <n v="25.372417776330561"/>
    <n v="26.391687590947221"/>
    <n v="25.54061847777778"/>
    <n v="21.8"/>
    <n v="33.77328463935833"/>
    <n v="34.185101387650001"/>
    <n v="48.164090736550001"/>
    <n v="35"/>
  </r>
  <r>
    <d v="2026-05-12T15:00:00"/>
    <x v="2"/>
    <n v="15"/>
    <n v="25.37718739340556"/>
    <n v="26.286276871980562"/>
    <n v="25.542825880933329"/>
    <n v="21.9"/>
    <n v="33.833185416305561"/>
    <n v="34.47873827823333"/>
    <n v="47.922818537425002"/>
    <n v="36"/>
  </r>
  <r>
    <d v="2026-05-12T16:00:00"/>
    <x v="2"/>
    <n v="16"/>
    <n v="25.37968829410833"/>
    <n v="26.327864215649999"/>
    <n v="25.54551982516945"/>
    <n v="21.9"/>
    <n v="33.254312206383332"/>
    <n v="33.877687788847219"/>
    <n v="47.739469422675"/>
    <n v="35"/>
  </r>
  <r>
    <d v="2026-05-12T17:00:00"/>
    <x v="2"/>
    <n v="17"/>
    <n v="25.39892055053889"/>
    <n v="26.258283567241669"/>
    <n v="25.561713733980561"/>
    <n v="21.6"/>
    <n v="32.520601506855563"/>
    <n v="32.789909451133333"/>
    <n v="47.551278787874999"/>
    <n v="37"/>
  </r>
  <r>
    <d v="2026-05-12T18:00:00"/>
    <x v="2"/>
    <n v="18"/>
    <n v="25.276292525925001"/>
    <n v="26.43850940680278"/>
    <n v="25.560737636805559"/>
    <n v="21.3"/>
    <n v="32.397699753700003"/>
    <n v="32.860110295758339"/>
    <n v="46.651010270249998"/>
    <n v="39"/>
  </r>
  <r>
    <d v="2026-05-12T19:00:00"/>
    <x v="2"/>
    <n v="19"/>
    <n v="25.050871663847222"/>
    <n v="26.221828888033329"/>
    <n v="25.546138995713889"/>
    <n v="20.8"/>
    <n v="32.070117757600002"/>
    <n v="33.265459778091667"/>
    <n v="46.553928917094453"/>
    <n v="41"/>
  </r>
  <r>
    <d v="2026-05-12T20:00:00"/>
    <x v="2"/>
    <n v="20"/>
    <n v="24.716789773113891"/>
    <n v="26.129207626888888"/>
    <n v="25.56331168768056"/>
    <n v="19.3"/>
    <n v="32.643982959961107"/>
    <n v="33.025128059544443"/>
    <n v="46.660882049536113"/>
    <n v="52"/>
  </r>
  <r>
    <d v="2026-05-12T21:00:00"/>
    <x v="2"/>
    <n v="21"/>
    <n v="24.84427724831944"/>
    <n v="26.080335416791659"/>
    <n v="25.562451750175001"/>
    <n v="18.100000000000001"/>
    <n v="34.275579486013889"/>
    <n v="33.948267183952773"/>
    <n v="46.66631337645277"/>
    <n v="59"/>
  </r>
  <r>
    <d v="2026-05-12T22:00:00"/>
    <x v="2"/>
    <n v="22"/>
    <n v="24.940491599219449"/>
    <n v="26.41059825984722"/>
    <n v="25.57727842148056"/>
    <n v="16.899999999999999"/>
    <n v="36.225332668408328"/>
    <n v="35.780742936133343"/>
    <n v="46.682003342219453"/>
    <n v="63"/>
  </r>
  <r>
    <d v="2026-05-12T23:00:00"/>
    <x v="2"/>
    <n v="23"/>
    <n v="24.96382662715834"/>
    <n v="26.566366867700001"/>
    <n v="25.59624853529445"/>
    <n v="15.9"/>
    <n v="35.811651735869447"/>
    <n v="34.396655298622221"/>
    <n v="46.690378234413878"/>
    <n v="66"/>
  </r>
  <r>
    <d v="2026-05-13T00:00:00"/>
    <x v="2"/>
    <n v="0"/>
    <n v="25.089964867797221"/>
    <n v="26.32998779010833"/>
    <n v="25.62285349673056"/>
    <n v="15.4"/>
    <n v="34.601281202311107"/>
    <n v="34.166256353397223"/>
    <n v="46.635030257033328"/>
    <n v="64"/>
  </r>
  <r>
    <d v="2026-05-13T01:00:00"/>
    <x v="2"/>
    <n v="1"/>
    <n v="24.804488937661109"/>
    <n v="25.652530228852779"/>
    <n v="25.598792832463889"/>
    <n v="15"/>
    <n v="35.100926088633337"/>
    <n v="34.988690376000001"/>
    <n v="46.588717090938893"/>
    <n v="60"/>
  </r>
  <r>
    <d v="2026-05-13T02:00:00"/>
    <x v="2"/>
    <n v="2"/>
    <n v="24.51767985804166"/>
    <n v="25.172262579566659"/>
    <n v="25.582585021683329"/>
    <n v="14.3"/>
    <n v="36.030662350311111"/>
    <n v="36.053409157277777"/>
    <n v="46.535625979238887"/>
    <n v="61"/>
  </r>
  <r>
    <d v="2026-05-13T03:00:00"/>
    <x v="2"/>
    <n v="3"/>
    <n v="24.304084860841659"/>
    <n v="24.938938138705559"/>
    <n v="25.561666810786111"/>
    <n v="13.5"/>
    <n v="36.767689889233331"/>
    <n v="36.675604395097217"/>
    <n v="46.510055117144447"/>
    <n v="69"/>
  </r>
  <r>
    <d v="2026-05-13T04:00:00"/>
    <x v="2"/>
    <n v="4"/>
    <n v="24.13037002522778"/>
    <n v="24.943422655236109"/>
    <n v="25.547959513647221"/>
    <n v="12.6"/>
    <n v="37.331153003486108"/>
    <n v="36.837224414988889"/>
    <n v="46.498971754741667"/>
    <n v="74"/>
  </r>
  <r>
    <d v="2026-05-13T05:00:00"/>
    <x v="2"/>
    <n v="5"/>
    <n v="24.097953843033331"/>
    <n v="24.741879553061111"/>
    <n v="25.535702187791671"/>
    <n v="11.8"/>
    <n v="37.605237455480562"/>
    <n v="37.689083176161112"/>
    <n v="46.505291355963891"/>
    <n v="79"/>
  </r>
  <r>
    <d v="2026-05-13T06:00:00"/>
    <x v="2"/>
    <n v="6"/>
    <n v="24.518854840319449"/>
    <n v="25.129635567486108"/>
    <n v="25.542232821452782"/>
    <n v="12.3"/>
    <n v="37.396733103063887"/>
    <n v="37.715549579944451"/>
    <n v="46.528239622152768"/>
    <n v="77"/>
  </r>
  <r>
    <d v="2026-05-13T07:00:00"/>
    <x v="2"/>
    <n v="7"/>
    <n v="25.104415590055559"/>
    <n v="25.689017127338889"/>
    <n v="25.56205483360278"/>
    <n v="14.1"/>
    <n v="37.468835573613887"/>
    <n v="37.461216925925001"/>
    <n v="46.603739151575013"/>
    <n v="69"/>
  </r>
  <r>
    <d v="2026-05-13T08:00:00"/>
    <x v="2"/>
    <n v="8"/>
    <n v="25.661184756605561"/>
    <n v="26.078296468783339"/>
    <n v="25.62249205700833"/>
    <n v="16.5"/>
    <n v="37.974930247038877"/>
    <n v="37.423718980113883"/>
    <n v="46.764897628236113"/>
    <n v="61"/>
  </r>
  <r>
    <d v="2026-05-13T09:00:00"/>
    <x v="2"/>
    <n v="9"/>
    <n v="26.03671973322222"/>
    <n v="26.424734884177781"/>
    <n v="25.665665963027781"/>
    <n v="18.899999999999999"/>
    <n v="38.061548285933327"/>
    <n v="37.067332739925"/>
    <n v="47.022463578011113"/>
    <n v="53"/>
  </r>
  <r>
    <d v="2026-05-13T10:00:00"/>
    <x v="2"/>
    <n v="10"/>
    <n v="26.166326692461109"/>
    <n v="26.642095814438889"/>
    <n v="25.705248806575"/>
    <n v="20.100000000000001"/>
    <n v="37.472913760652773"/>
    <n v="36.782530411477779"/>
    <n v="47.166093935386108"/>
    <n v="46"/>
  </r>
  <r>
    <d v="2026-05-13T11:00:00"/>
    <x v="2"/>
    <n v="11"/>
    <n v="26.181202901824999"/>
    <n v="27.012639998094439"/>
    <n v="25.742083167205561"/>
    <n v="20.7"/>
    <n v="36.609313678980563"/>
    <n v="35.565120281455563"/>
    <n v="47.220217053238883"/>
    <n v="43"/>
  </r>
  <r>
    <d v="2026-05-13T12:00:00"/>
    <x v="2"/>
    <n v="12"/>
    <n v="26.19885673153334"/>
    <n v="27.011544061983329"/>
    <n v="25.764268628172221"/>
    <n v="21.5"/>
    <n v="32.989567993727782"/>
    <n v="33.296281664205551"/>
    <n v="47.035382303694441"/>
    <n v="38"/>
  </r>
  <r>
    <d v="2026-05-13T13:00:00"/>
    <x v="2"/>
    <n v="13"/>
    <n v="26.070954874455559"/>
    <n v="26.750793257605551"/>
    <n v="25.781152374486108"/>
    <n v="22.2"/>
    <n v="31.262525993730549"/>
    <n v="32.524388383066672"/>
    <n v="46.776850612158327"/>
    <n v="35"/>
  </r>
  <r>
    <d v="2026-05-13T14:00:00"/>
    <x v="2"/>
    <n v="14"/>
    <n v="25.779877370461111"/>
    <n v="26.277540764008329"/>
    <n v="25.780624826197229"/>
    <n v="22.8"/>
    <n v="29.105781156730561"/>
    <n v="30.53545137548333"/>
    <n v="46.508274505466659"/>
    <n v="33"/>
  </r>
  <r>
    <d v="2026-05-13T15:00:00"/>
    <x v="2"/>
    <n v="15"/>
    <n v="25.627516999444438"/>
    <n v="26.16150311865"/>
    <n v="25.771249724541661"/>
    <n v="23.7"/>
    <n v="29.54693452819167"/>
    <n v="30.513219346877779"/>
    <n v="46.257995767799997"/>
    <n v="33"/>
  </r>
  <r>
    <d v="2026-05-13T16:00:00"/>
    <x v="2"/>
    <n v="16"/>
    <n v="25.696863663066669"/>
    <n v="26.032345922152771"/>
    <n v="25.766749970447229"/>
    <n v="23.2"/>
    <n v="30.352733432019441"/>
    <n v="31.266323172408331"/>
    <n v="46.137297523761113"/>
    <n v="35"/>
  </r>
  <r>
    <d v="2026-05-13T17:00:00"/>
    <x v="2"/>
    <n v="17"/>
    <n v="25.6646245624"/>
    <n v="25.81470440455"/>
    <n v="25.766174780094449"/>
    <n v="22.9"/>
    <n v="31.581876501336112"/>
    <n v="32.548582048522221"/>
    <n v="46.047267110186112"/>
    <n v="38"/>
  </r>
  <r>
    <d v="2026-05-13T18:00:00"/>
    <x v="2"/>
    <n v="18"/>
    <n v="25.32227499985278"/>
    <n v="25.725714725622229"/>
    <n v="25.769006319833331"/>
    <n v="22.2"/>
    <n v="37.236979292941669"/>
    <n v="37.84366064270278"/>
    <n v="46.286960469430561"/>
    <n v="40"/>
  </r>
  <r>
    <d v="2026-05-13T19:00:00"/>
    <x v="2"/>
    <n v="19"/>
    <n v="25.187069523472221"/>
    <n v="25.831450015486109"/>
    <n v="25.83606916465278"/>
    <n v="21.4"/>
    <n v="39.064258719744451"/>
    <n v="38.722857904658333"/>
    <n v="47.395143454361111"/>
    <n v="44"/>
  </r>
  <r>
    <d v="2026-05-13T20:00:00"/>
    <x v="2"/>
    <n v="20"/>
    <n v="24.970531538183341"/>
    <n v="25.56120103720556"/>
    <n v="25.858105984908331"/>
    <n v="19.8"/>
    <n v="40.676272214891668"/>
    <n v="40.04927791119723"/>
    <n v="46.886109259408343"/>
    <n v="53"/>
  </r>
  <r>
    <d v="2026-05-13T21:00:00"/>
    <x v="2"/>
    <n v="21"/>
    <n v="24.900041993375002"/>
    <n v="25.547233347799999"/>
    <n v="25.871423031677779"/>
    <n v="18.100000000000001"/>
    <n v="42.271747034000001"/>
    <n v="41.55006270543889"/>
    <n v="46.836227342577779"/>
    <n v="66"/>
  </r>
  <r>
    <d v="2026-05-13T22:00:00"/>
    <x v="2"/>
    <n v="22"/>
    <n v="25.057860555874999"/>
    <n v="25.744692129975"/>
    <n v="25.948680440486111"/>
    <n v="17.8"/>
    <n v="44.293827123258318"/>
    <n v="43.950190314463889"/>
    <n v="46.912621495952777"/>
    <n v="69"/>
  </r>
  <r>
    <d v="2026-05-13T23:00:00"/>
    <x v="2"/>
    <n v="23"/>
    <n v="24.543907424522221"/>
    <n v="25.738811688827781"/>
    <n v="25.922722390466671"/>
    <n v="16.7"/>
    <n v="44.166838943772227"/>
    <n v="43.637775575299997"/>
    <n v="47.141042000308339"/>
    <n v="78"/>
  </r>
  <r>
    <d v="2026-05-14T00:00:00"/>
    <x v="2"/>
    <n v="0"/>
    <n v="24.16832339606389"/>
    <n v="25.740179986077781"/>
    <n v="25.913965674827779"/>
    <n v="15.7"/>
    <n v="44.544214399747233"/>
    <n v="43.473775342602778"/>
    <n v="47.308633358655563"/>
    <n v="84"/>
  </r>
  <r>
    <d v="2026-05-14T01:00:00"/>
    <x v="2"/>
    <n v="1"/>
    <n v="24.226992302930551"/>
    <n v="25.985989336841669"/>
    <n v="25.906485972183329"/>
    <n v="15.2"/>
    <n v="44.649714209391668"/>
    <n v="42.411482600152773"/>
    <n v="47.531287080555558"/>
    <n v="86"/>
  </r>
  <r>
    <d v="2026-05-14T02:00:00"/>
    <x v="2"/>
    <n v="2"/>
    <n v="24.975057027849999"/>
    <n v="26.067051317341669"/>
    <n v="25.911382041025"/>
    <n v="14.7"/>
    <n v="43.638709361519439"/>
    <n v="41.879682371675003"/>
    <n v="47.588313515402781"/>
    <n v="89"/>
  </r>
  <r>
    <d v="2026-05-14T03:00:00"/>
    <x v="2"/>
    <n v="3"/>
    <n v="24.839507790297219"/>
    <n v="26.029799300922221"/>
    <n v="25.908869216611109"/>
    <n v="14.6"/>
    <n v="43.706168604830559"/>
    <n v="41.732318861391668"/>
    <n v="47.669393180833332"/>
    <n v="92"/>
  </r>
  <r>
    <d v="2026-05-14T04:00:00"/>
    <x v="2"/>
    <n v="4"/>
    <n v="24.593594302041659"/>
    <n v="25.32357816464722"/>
    <n v="25.89645470446667"/>
    <n v="14.5"/>
    <n v="43.568149625183338"/>
    <n v="42.522818969130562"/>
    <n v="47.748964121369447"/>
    <n v="93"/>
  </r>
  <r>
    <d v="2026-05-14T05:00:00"/>
    <x v="2"/>
    <n v="5"/>
    <n v="24.45555942573889"/>
    <n v="25.341894028986111"/>
    <n v="25.890638497522222"/>
    <n v="13.9"/>
    <n v="44.907346861916658"/>
    <n v="43.366199044558343"/>
    <n v="47.792784852322221"/>
    <n v="97"/>
  </r>
  <r>
    <d v="2026-05-14T06:00:00"/>
    <x v="2"/>
    <n v="6"/>
    <n v="24.391886800550001"/>
    <n v="25.099442201605559"/>
    <n v="25.885564415758331"/>
    <n v="14.1"/>
    <n v="45.383793760288889"/>
    <n v="44.185442137011108"/>
    <n v="47.895350711847222"/>
    <n v="95"/>
  </r>
  <r>
    <d v="2026-05-14T07:00:00"/>
    <x v="2"/>
    <n v="7"/>
    <n v="24.351562704644451"/>
    <n v="24.868845653558331"/>
    <n v="25.88066708981944"/>
    <n v="14.6"/>
    <n v="46.317337269588883"/>
    <n v="45.40775142848333"/>
    <n v="48.011669019241673"/>
    <n v="90"/>
  </r>
  <r>
    <d v="2026-05-14T08:00:00"/>
    <x v="2"/>
    <n v="8"/>
    <n v="24.3634753915"/>
    <n v="24.852017450375001"/>
    <n v="25.87983402685833"/>
    <n v="14.3"/>
    <n v="46.801942330697223"/>
    <n v="45.983590923877777"/>
    <n v="48.197164736244453"/>
    <n v="89"/>
  </r>
  <r>
    <d v="2026-05-14T09:00:00"/>
    <x v="2"/>
    <n v="9"/>
    <n v="24.461105102541669"/>
    <n v="24.817164786533329"/>
    <n v="25.88397228246944"/>
    <n v="16"/>
    <n v="46.468573961288882"/>
    <n v="46.034825773172223"/>
    <n v="48.286192057669439"/>
    <n v="77"/>
  </r>
  <r>
    <d v="2026-05-14T10:00:00"/>
    <x v="2"/>
    <n v="10"/>
    <n v="24.970088330683328"/>
    <n v="25.192784095983331"/>
    <n v="25.894806285616671"/>
    <n v="16.8"/>
    <n v="44.512201560986107"/>
    <n v="44.862980488172219"/>
    <n v="48.204656093852783"/>
    <n v="72"/>
  </r>
  <r>
    <d v="2026-05-14T11:00:00"/>
    <x v="2"/>
    <n v="11"/>
    <n v="25.47059209798056"/>
    <n v="25.949292863041659"/>
    <n v="25.918966015294441"/>
    <n v="17.399999999999999"/>
    <n v="44.753199680711113"/>
    <n v="45.013374464658327"/>
    <n v="47.774498058247218"/>
    <n v="68"/>
  </r>
  <r>
    <d v="2026-05-14T12:00:00"/>
    <x v="2"/>
    <n v="12"/>
    <n v="25.793753772091659"/>
    <n v="26.298087864536111"/>
    <n v="25.934397129375"/>
    <n v="18.600000000000001"/>
    <n v="45.143603591913887"/>
    <n v="44.730183550675001"/>
    <n v="47.15087727057778"/>
    <n v="63"/>
  </r>
  <r>
    <d v="2026-05-14T13:00:00"/>
    <x v="2"/>
    <n v="13"/>
    <n v="25.82856783765277"/>
    <n v="26.429386062236109"/>
    <n v="25.956647014247221"/>
    <n v="20.399999999999999"/>
    <n v="45.369784817247222"/>
    <n v="44.901991092319442"/>
    <n v="46.887857338622219"/>
    <n v="51"/>
  </r>
  <r>
    <d v="2026-05-14T14:00:00"/>
    <x v="2"/>
    <n v="14"/>
    <n v="25.837909387213891"/>
    <n v="26.659076490069442"/>
    <n v="25.99448681708612"/>
    <n v="16.8"/>
    <n v="44.919255829263882"/>
    <n v="44.974770436424997"/>
    <n v="47.216437274788888"/>
    <n v="66"/>
  </r>
  <r>
    <d v="2026-05-14T15:00:00"/>
    <x v="2"/>
    <n v="15"/>
    <n v="25.181897456024998"/>
    <n v="26.167649463741672"/>
    <n v="26.003784530727781"/>
    <n v="19.100000000000001"/>
    <n v="41.691052177597221"/>
    <n v="41.434987533691661"/>
    <n v="47.369041538902771"/>
    <n v="51"/>
  </r>
  <r>
    <d v="2026-05-14T16:00:00"/>
    <x v="2"/>
    <n v="16"/>
    <n v="24.882080139955558"/>
    <n v="25.779373096122221"/>
    <n v="25.990534476288889"/>
    <n v="16.899999999999999"/>
    <n v="39.940581793594447"/>
    <n v="40.018374784205562"/>
    <n v="47.309373538363893"/>
    <n v="64"/>
  </r>
  <r>
    <d v="2026-05-14T17:00:00"/>
    <x v="2"/>
    <n v="17"/>
    <n v="24.602057613447219"/>
    <n v="25.20442595182778"/>
    <n v="25.969415102994439"/>
    <n v="18"/>
    <n v="37.497707209283327"/>
    <n v="37.565237766838891"/>
    <n v="47.161317555549999"/>
    <n v="56"/>
  </r>
  <r>
    <d v="2026-05-14T18:00:00"/>
    <x v="2"/>
    <n v="18"/>
    <n v="24.30064431581112"/>
    <n v="24.698029244227779"/>
    <n v="25.93770774636112"/>
    <n v="17.8"/>
    <n v="36.761817228391671"/>
    <n v="37.022481831569444"/>
    <n v="46.906651737772222"/>
    <n v="52"/>
  </r>
  <r>
    <d v="2026-05-14T19:00:00"/>
    <x v="2"/>
    <n v="19"/>
    <n v="23.98913013269722"/>
    <n v="24.395181617555551"/>
    <n v="25.920680149241669"/>
    <n v="17.100000000000001"/>
    <n v="36.912946827444443"/>
    <n v="37.533390365330561"/>
    <n v="46.768844163816659"/>
    <n v="55"/>
  </r>
  <r>
    <d v="2026-05-14T20:00:00"/>
    <x v="2"/>
    <n v="20"/>
    <n v="23.549383116341669"/>
    <n v="24.171026476236111"/>
    <n v="25.896102806847221"/>
    <n v="15.9"/>
    <n v="37.058031867808332"/>
    <n v="37.28383914238055"/>
    <n v="46.576213933388892"/>
    <n v="64"/>
  </r>
  <r>
    <d v="2026-05-14T21:00:00"/>
    <x v="2"/>
    <n v="21"/>
    <n v="23.0981263168017"/>
    <n v="24.057125851449999"/>
    <n v="25.87945720396111"/>
    <n v="15.1"/>
    <n v="38.414703234006247"/>
    <n v="38.124111317577778"/>
    <n v="46.462969539372217"/>
    <n v="67"/>
  </r>
  <r>
    <d v="2026-05-14T22:00:00"/>
    <x v="2"/>
    <n v="22"/>
    <m/>
    <n v="24.072022774802779"/>
    <n v="25.862852935700001"/>
    <n v="13.9"/>
    <m/>
    <n v="39.13125626331945"/>
    <n v="46.419969524319441"/>
    <n v="73"/>
  </r>
  <r>
    <d v="2026-05-14T23:00:00"/>
    <x v="2"/>
    <n v="23"/>
    <m/>
    <n v="24.182266672130559"/>
    <n v="25.863895618050002"/>
    <n v="12.7"/>
    <m/>
    <n v="40.437099751955557"/>
    <n v="46.491359568641663"/>
    <n v="82"/>
  </r>
  <r>
    <d v="2026-05-15T00:00:00"/>
    <x v="2"/>
    <n v="0"/>
    <m/>
    <n v="24.19164617534167"/>
    <n v="25.861256359966671"/>
    <n v="11.9"/>
    <m/>
    <n v="40.119488807525002"/>
    <n v="46.515153974072227"/>
    <n v="89"/>
  </r>
  <r>
    <d v="2026-05-15T01:00:00"/>
    <x v="2"/>
    <n v="1"/>
    <m/>
    <n v="24.053478853102771"/>
    <n v="25.840818469950001"/>
    <n v="11.3"/>
    <m/>
    <n v="40.171179761600001"/>
    <n v="46.580989766808337"/>
    <n v="93"/>
  </r>
  <r>
    <d v="2026-05-15T02:00:00"/>
    <x v="2"/>
    <n v="2"/>
    <m/>
    <n v="23.983356010169441"/>
    <n v="25.835188477252771"/>
    <n v="10.7"/>
    <m/>
    <n v="40.589560647708332"/>
    <n v="46.488220172577783"/>
    <n v="94"/>
  </r>
  <r>
    <d v="2026-05-15T03:00:00"/>
    <x v="2"/>
    <n v="3"/>
    <m/>
    <n v="24.187804036791661"/>
    <n v="25.847382814736111"/>
    <n v="10.6"/>
    <m/>
    <n v="41.25058046788056"/>
    <n v="46.21474330040278"/>
    <n v="94"/>
  </r>
  <r>
    <d v="2026-05-15T04:00:00"/>
    <x v="2"/>
    <n v="4"/>
    <m/>
    <n v="24.299360954200001"/>
    <n v="25.862327060716659"/>
    <n v="10.4"/>
    <m/>
    <n v="41.780057142186109"/>
    <n v="46.028494214677778"/>
    <n v="93"/>
  </r>
  <r>
    <d v="2026-05-15T05:00:00"/>
    <x v="2"/>
    <n v="5"/>
    <m/>
    <n v="24.38069614846389"/>
    <n v="25.87034107948611"/>
    <n v="10.3"/>
    <m/>
    <n v="42.312338787800002"/>
    <n v="45.892339362122222"/>
    <n v="92"/>
  </r>
  <r>
    <d v="2026-05-15T06:00:00"/>
    <x v="2"/>
    <n v="6"/>
    <m/>
    <n v="24.443473875530561"/>
    <n v="25.884584861050001"/>
    <n v="10.7"/>
    <m/>
    <n v="42.851681742658343"/>
    <n v="45.774588146213887"/>
    <n v="88"/>
  </r>
  <r>
    <d v="2026-05-15T07:00:00"/>
    <x v="2"/>
    <n v="7"/>
    <m/>
    <n v="24.490194357452779"/>
    <n v="25.885534266347221"/>
    <n v="11.4"/>
    <m/>
    <n v="43.283252159358327"/>
    <n v="45.67198130488611"/>
    <n v="80"/>
  </r>
  <r>
    <d v="2026-05-15T08:00:00"/>
    <x v="2"/>
    <n v="8"/>
    <m/>
    <n v="24.546118209075001"/>
    <n v="25.882950689486108"/>
    <n v="12.1"/>
    <m/>
    <n v="43.479172614236113"/>
    <n v="45.586049364766673"/>
    <n v="75"/>
  </r>
  <r>
    <d v="2026-05-15T09:00:00"/>
    <x v="2"/>
    <n v="9"/>
    <n v="24.32153865515378"/>
    <n v="24.68434571571111"/>
    <n v="25.892531063597222"/>
    <n v="12.9"/>
    <n v="44.371236002855333"/>
    <n v="43.576986254438893"/>
    <n v="45.486770225319447"/>
    <n v="71"/>
  </r>
  <r>
    <d v="2026-05-15T10:00:00"/>
    <x v="2"/>
    <n v="10"/>
    <n v="24.45071901307778"/>
    <n v="25.005699657797219"/>
    <n v="25.907909885824999"/>
    <n v="13.8"/>
    <n v="44.736358368211107"/>
    <n v="44.023253758572217"/>
    <n v="45.387633638561113"/>
    <n v="68"/>
  </r>
  <r>
    <d v="2026-05-15T11:00:00"/>
    <x v="2"/>
    <n v="11"/>
    <n v="24.555673088358329"/>
    <n v="25.57865352323612"/>
    <n v="25.923556327447219"/>
    <n v="14.7"/>
    <n v="45.35493729746667"/>
    <n v="43.903115325305563"/>
    <n v="45.290816644597221"/>
    <n v="66"/>
  </r>
  <r>
    <d v="2026-05-15T12:00:00"/>
    <x v="2"/>
    <n v="12"/>
    <n v="24.63261220482222"/>
    <n v="25.436334896449999"/>
    <n v="25.89687459627222"/>
    <n v="15.4"/>
    <n v="44.087560810183327"/>
    <n v="43.127488300869437"/>
    <n v="46.428169869300007"/>
    <n v="63"/>
  </r>
  <r>
    <d v="2026-05-15T13:00:00"/>
    <x v="2"/>
    <n v="13"/>
    <n v="23.897202860583331"/>
    <n v="25.150980511680551"/>
    <n v="25.365976160002781"/>
    <n v="16.2"/>
    <n v="38.555473177886107"/>
    <n v="37.929018446113894"/>
    <n v="47.91941054857778"/>
    <n v="61"/>
  </r>
  <r>
    <d v="2026-05-15T14:00:00"/>
    <x v="2"/>
    <n v="14"/>
    <n v="23.600268052461111"/>
    <n v="24.88147786115"/>
    <n v="25.751062233869451"/>
    <n v="16.399999999999999"/>
    <n v="38.359356970358327"/>
    <n v="37.290872384330562"/>
    <n v="46.61920029245556"/>
    <n v="62"/>
  </r>
  <r>
    <d v="2026-05-15T15:00:00"/>
    <x v="2"/>
    <n v="15"/>
    <n v="23.32705666266969"/>
    <n v="24.825480027074999"/>
    <n v="25.946772211719441"/>
    <n v="16.899999999999999"/>
    <n v="39.216269438536372"/>
    <n v="37.573757094180557"/>
    <n v="46.386157024463891"/>
    <n v="59"/>
  </r>
  <r>
    <d v="2026-05-15T16:00:00"/>
    <x v="2"/>
    <n v="16"/>
    <m/>
    <n v="24.515654982769441"/>
    <n v="26.03823365726112"/>
    <n v="16.5"/>
    <m/>
    <n v="37.17427197429722"/>
    <n v="46.243158915897233"/>
    <n v="61"/>
  </r>
  <r>
    <d v="2026-05-15T17:00:00"/>
    <x v="2"/>
    <n v="17"/>
    <m/>
    <n v="24.661476890394439"/>
    <n v="26.047821161991671"/>
    <n v="16.8"/>
    <m/>
    <n v="37.803592949266672"/>
    <n v="46.193751841844438"/>
    <n v="59"/>
  </r>
  <r>
    <d v="2026-05-15T18:00:00"/>
    <x v="2"/>
    <n v="18"/>
    <m/>
    <n v="24.808544139102779"/>
    <n v="26.09248820363889"/>
    <n v="16.600000000000001"/>
    <m/>
    <n v="38.072335554719437"/>
    <n v="46.029416868272222"/>
    <n v="59"/>
  </r>
  <r>
    <d v="2026-05-15T19:00:00"/>
    <x v="2"/>
    <n v="19"/>
    <m/>
    <n v="24.69684678328333"/>
    <n v="25.429416045252779"/>
    <n v="16.2"/>
    <m/>
    <n v="38.661052604994453"/>
    <n v="46.613975641025"/>
    <n v="59"/>
  </r>
  <r>
    <d v="2026-05-15T20:00:00"/>
    <x v="2"/>
    <n v="20"/>
    <m/>
    <n v="24.777392336747219"/>
    <n v="24.95500735472778"/>
    <n v="15.8"/>
    <m/>
    <n v="38.543144992169438"/>
    <n v="47.334575120344446"/>
    <n v="64"/>
  </r>
  <r>
    <d v="2026-05-15T21:00:00"/>
    <x v="2"/>
    <n v="21"/>
    <n v="23.703444911602439"/>
    <n v="24.624822502541669"/>
    <n v="24.962674052130559"/>
    <n v="15.5"/>
    <n v="42.02677725148434"/>
    <n v="39.977554351466672"/>
    <n v="48.500610795061107"/>
    <n v="66"/>
  </r>
  <r>
    <d v="2026-05-15T22:00:00"/>
    <x v="2"/>
    <n v="22"/>
    <n v="23.9253760671"/>
    <n v="24.918754234897222"/>
    <n v="25.19079280593612"/>
    <n v="13.9"/>
    <n v="44.032825569452783"/>
    <n v="41.707158372030563"/>
    <n v="50.355069806922216"/>
    <n v="74"/>
  </r>
  <r>
    <d v="2026-05-15T23:00:00"/>
    <x v="2"/>
    <n v="23"/>
    <n v="24.548390965097219"/>
    <n v="25.491530838180559"/>
    <n v="25.538735985386111"/>
    <n v="13"/>
    <n v="44.384914573175003"/>
    <n v="44.217664214419443"/>
    <n v="48.007268294052778"/>
    <n v="79"/>
  </r>
  <r>
    <d v="2026-05-16T00:00:00"/>
    <x v="2"/>
    <n v="0"/>
    <n v="25.06657418098056"/>
    <n v="25.847985669258328"/>
    <n v="25.79840530578889"/>
    <n v="12.2"/>
    <n v="44.605657958475"/>
    <n v="43.44275879728611"/>
    <n v="47.013678670102777"/>
    <n v="83"/>
  </r>
  <r>
    <d v="2026-05-16T01:00:00"/>
    <x v="2"/>
    <n v="1"/>
    <n v="24.400870106336111"/>
    <n v="26.121663431636112"/>
    <n v="25.995200928463891"/>
    <n v="11.5"/>
    <n v="43.83529506873333"/>
    <n v="42.737002034597232"/>
    <n v="46.718684432972232"/>
    <n v="86"/>
  </r>
  <r>
    <d v="2026-05-16T02:00:00"/>
    <x v="2"/>
    <n v="2"/>
    <n v="23.345148732005551"/>
    <n v="26.08778140435"/>
    <n v="26.106462734502781"/>
    <n v="11.1"/>
    <n v="44.282789398994453"/>
    <n v="42.36547735874445"/>
    <n v="47.956848841336097"/>
    <n v="88"/>
  </r>
  <r>
    <d v="2026-05-16T03:00:00"/>
    <x v="2"/>
    <n v="3"/>
    <n v="23.06088487068611"/>
    <n v="25.902619568675"/>
    <n v="26.113329651183331"/>
    <n v="10.7"/>
    <n v="44.9225636623"/>
    <n v="42.233822178341661"/>
    <n v="48.75155767407778"/>
    <n v="91"/>
  </r>
  <r>
    <d v="2026-05-16T04:00:00"/>
    <x v="2"/>
    <n v="4"/>
    <n v="22.50775199153334"/>
    <n v="25.51250958219444"/>
    <n v="26.253225389286111"/>
    <n v="10.1"/>
    <n v="45.26890283474166"/>
    <n v="41.639478186433337"/>
    <n v="48.039384606194439"/>
    <n v="93"/>
  </r>
  <r>
    <d v="2026-05-16T05:00:00"/>
    <x v="2"/>
    <n v="5"/>
    <n v="22.409006782530561"/>
    <n v="25.209245066080559"/>
    <n v="26.318918758300001"/>
    <n v="9.6999999999999993"/>
    <n v="45.090111325366671"/>
    <n v="41.117771612219443"/>
    <n v="47.753484460316663"/>
    <n v="94"/>
  </r>
  <r>
    <d v="2026-05-16T06:00:00"/>
    <x v="2"/>
    <n v="6"/>
    <n v="23.89832291358611"/>
    <n v="25.30051785985556"/>
    <n v="26.37155504650833"/>
    <n v="10.5"/>
    <n v="42.351199886886107"/>
    <n v="41.026877870572221"/>
    <n v="47.601291723658328"/>
    <n v="92"/>
  </r>
  <r>
    <d v="2026-05-16T07:00:00"/>
    <x v="2"/>
    <n v="7"/>
    <n v="25.274631293525001"/>
    <n v="25.770727485616661"/>
    <n v="26.406127393222221"/>
    <n v="12.3"/>
    <n v="40.966285179463888"/>
    <n v="41.023984495947218"/>
    <n v="47.37071377614722"/>
    <n v="84"/>
  </r>
  <r>
    <d v="2026-05-16T08:00:00"/>
    <x v="2"/>
    <n v="8"/>
    <n v="25.864719985050002"/>
    <n v="26.640175730025"/>
    <n v="26.39451116530833"/>
    <n v="14.6"/>
    <n v="39.921285171594441"/>
    <n v="39.921097025155547"/>
    <n v="47.108919682372232"/>
    <n v="75"/>
  </r>
  <r>
    <d v="2026-05-16T09:00:00"/>
    <x v="2"/>
    <n v="9"/>
    <n v="26.291174733675"/>
    <n v="26.66293545079445"/>
    <n v="26.370405515180561"/>
    <n v="16.5"/>
    <n v="39.367790812600013"/>
    <n v="40.21972679054722"/>
    <n v="46.889166086355551"/>
    <n v="64"/>
  </r>
  <r>
    <d v="2026-05-16T10:00:00"/>
    <x v="2"/>
    <n v="10"/>
    <n v="26.502423840224999"/>
    <n v="26.689741398769439"/>
    <n v="26.361972244783331"/>
    <n v="17.899999999999999"/>
    <n v="38.285513742411112"/>
    <n v="40.138369943144447"/>
    <n v="46.922988414369449"/>
    <n v="57"/>
  </r>
  <r>
    <d v="2026-05-16T11:00:00"/>
    <x v="2"/>
    <n v="11"/>
    <n v="26.509542776613891"/>
    <n v="26.70820073236667"/>
    <n v="26.358911092349999"/>
    <n v="18.5"/>
    <n v="38.385906244927767"/>
    <n v="40.471810309052778"/>
    <n v="46.937369688636117"/>
    <n v="53"/>
  </r>
  <r>
    <d v="2026-05-16T12:00:00"/>
    <x v="2"/>
    <n v="12"/>
    <n v="26.35274565941112"/>
    <n v="26.884848383872221"/>
    <n v="26.46619950658889"/>
    <n v="18.7"/>
    <n v="36.538349800250003"/>
    <n v="40.483164377644442"/>
    <n v="49.555904269063888"/>
    <n v="53"/>
  </r>
  <r>
    <d v="2026-05-16T13:00:00"/>
    <x v="2"/>
    <n v="13"/>
    <n v="25.887798169238891"/>
    <n v="26.925468123008329"/>
    <n v="26.483344809888891"/>
    <n v="19.7"/>
    <n v="35.956574857024997"/>
    <n v="39.275993740297217"/>
    <n v="49.372796910152779"/>
    <n v="49"/>
  </r>
  <r>
    <d v="2026-05-16T14:00:00"/>
    <x v="2"/>
    <n v="14"/>
    <n v="26.07592314848333"/>
    <n v="26.84593505823333"/>
    <n v="26.424122785630558"/>
    <n v="19.899999999999999"/>
    <n v="36.02644286953889"/>
    <n v="37.54435063455"/>
    <n v="48.551242509488887"/>
    <n v="48"/>
  </r>
  <r>
    <d v="2026-05-16T15:00:00"/>
    <x v="2"/>
    <n v="15"/>
    <n v="26.182613629544441"/>
    <n v="26.626875289397219"/>
    <n v="26.390338195375001"/>
    <n v="20.9"/>
    <n v="36.040860253483338"/>
    <n v="37.523069366194441"/>
    <n v="48.10580338949444"/>
    <n v="44"/>
  </r>
  <r>
    <d v="2026-05-16T16:00:00"/>
    <x v="2"/>
    <n v="16"/>
    <n v="25.519095212591669"/>
    <n v="26.680038411375001"/>
    <n v="26.351533745499999"/>
    <n v="21.3"/>
    <n v="35.543517237747217"/>
    <n v="36.578686439005558"/>
    <n v="47.706347267036108"/>
    <n v="43"/>
  </r>
  <r>
    <d v="2026-05-16T17:00:00"/>
    <x v="2"/>
    <n v="17"/>
    <n v="25.222988722086111"/>
    <n v="26.629038732127778"/>
    <n v="26.323943841488891"/>
    <n v="20.6"/>
    <n v="35.420375374875"/>
    <n v="34.847233338688888"/>
    <n v="47.312594599038881"/>
    <n v="45"/>
  </r>
  <r>
    <d v="2026-05-16T18:00:00"/>
    <x v="2"/>
    <n v="18"/>
    <n v="25.01963188791666"/>
    <n v="26.244879369475001"/>
    <n v="26.11086947281667"/>
    <n v="20.2"/>
    <n v="35.744021015358342"/>
    <n v="35.165808338174998"/>
    <n v="46.704481535730558"/>
    <n v="47"/>
  </r>
  <r>
    <d v="2026-05-16T19:00:00"/>
    <x v="2"/>
    <n v="19"/>
    <n v="24.987344285933329"/>
    <n v="26.38560592098333"/>
    <n v="25.932241813777779"/>
    <n v="19.8"/>
    <n v="36.885409427833331"/>
    <n v="36.489483418416668"/>
    <n v="47.398201615894443"/>
    <n v="49"/>
  </r>
  <r>
    <d v="2026-05-16T20:00:00"/>
    <x v="2"/>
    <n v="20"/>
    <n v="24.751399576388891"/>
    <n v="26.485434646177779"/>
    <n v="25.954694722794439"/>
    <n v="18.899999999999999"/>
    <n v="37.715367524199998"/>
    <n v="37.14021540249167"/>
    <n v="47.812496286697218"/>
    <n v="54"/>
  </r>
  <r>
    <d v="2026-05-16T21:00:00"/>
    <x v="2"/>
    <n v="21"/>
    <n v="23.941985746438888"/>
    <n v="26.487606586008329"/>
    <n v="25.89905588946112"/>
    <n v="18.600000000000001"/>
    <n v="39.082088209905557"/>
    <n v="36.968703573480553"/>
    <n v="47.42376400817222"/>
    <n v="57"/>
  </r>
  <r>
    <d v="2026-05-16T22:00:00"/>
    <x v="2"/>
    <n v="22"/>
    <n v="22.247988442941661"/>
    <n v="26.45023176850556"/>
    <n v="26.06240864916111"/>
    <n v="18"/>
    <n v="43.165545549024998"/>
    <n v="36.127719581302777"/>
    <n v="47.054178269977783"/>
    <n v="59"/>
  </r>
  <r>
    <d v="2026-05-16T23:00:00"/>
    <x v="2"/>
    <n v="23"/>
    <n v="24.076619080524999"/>
    <n v="26.191717586694441"/>
    <n v="26.139823743936109"/>
    <n v="17"/>
    <n v="41.225668452758327"/>
    <n v="37.998967251908333"/>
    <n v="46.86578575179167"/>
    <n v="63"/>
  </r>
  <r>
    <d v="2026-05-17T00:00:00"/>
    <x v="2"/>
    <n v="0"/>
    <n v="25.115469291952781"/>
    <n v="25.989600834400001"/>
    <n v="26.180022910922229"/>
    <n v="16.5"/>
    <n v="39.604145201374997"/>
    <n v="39.136139207350013"/>
    <n v="46.67894086476111"/>
    <n v="65"/>
  </r>
  <r>
    <d v="2026-05-17T01:00:00"/>
    <x v="2"/>
    <n v="1"/>
    <n v="25.210450929347221"/>
    <n v="25.921585363422221"/>
    <n v="26.200660780011109"/>
    <n v="15.7"/>
    <n v="39.494591097425001"/>
    <n v="39.245052983641664"/>
    <n v="46.556363247833332"/>
    <n v="68"/>
  </r>
  <r>
    <d v="2026-05-17T02:00:00"/>
    <x v="2"/>
    <n v="2"/>
    <n v="25.096545352349999"/>
    <n v="26.006944615586111"/>
    <n v="26.081403847302781"/>
    <n v="15.1"/>
    <n v="39.652728669811111"/>
    <n v="39.153697339116668"/>
    <n v="48.202714066252781"/>
    <n v="70"/>
  </r>
  <r>
    <d v="2026-05-17T03:00:00"/>
    <x v="2"/>
    <n v="3"/>
    <n v="24.99536736881667"/>
    <n v="25.71956956678056"/>
    <n v="26.142580924808328"/>
    <n v="14.9"/>
    <n v="40.315188921050002"/>
    <n v="40.181913136788893"/>
    <n v="47.678529965269441"/>
    <n v="70"/>
  </r>
  <r>
    <d v="2026-05-17T04:00:00"/>
    <x v="2"/>
    <n v="4"/>
    <n v="24.847028886238888"/>
    <n v="25.496227749105561"/>
    <n v="26.180616429002779"/>
    <n v="14.3"/>
    <n v="40.028310826155547"/>
    <n v="39.591043785136122"/>
    <n v="47.063984133313888"/>
    <n v="72"/>
  </r>
  <r>
    <d v="2026-05-17T05:00:00"/>
    <x v="2"/>
    <n v="5"/>
    <n v="24.839580710402771"/>
    <n v="25.337822058263889"/>
    <n v="26.171889049430561"/>
    <n v="14.4"/>
    <n v="39.532575940347222"/>
    <n v="39.371166409722221"/>
    <n v="46.843037957349999"/>
    <n v="71"/>
  </r>
  <r>
    <d v="2026-05-17T06:00:00"/>
    <x v="2"/>
    <n v="6"/>
    <n v="25.199274991072219"/>
    <n v="25.353880367138888"/>
    <n v="26.175973293036112"/>
    <n v="14.4"/>
    <n v="38.795217192447218"/>
    <n v="39.855677200630552"/>
    <n v="46.690854797963887"/>
    <n v="71"/>
  </r>
  <r>
    <d v="2026-05-17T07:00:00"/>
    <x v="2"/>
    <n v="7"/>
    <n v="25.112597997386111"/>
    <n v="25.223537929369439"/>
    <n v="26.18107331145556"/>
    <n v="15.6"/>
    <n v="39.267766124433329"/>
    <n v="40.016318837591662"/>
    <n v="46.583864979525003"/>
    <n v="66"/>
  </r>
  <r>
    <d v="2026-05-17T08:00:00"/>
    <x v="2"/>
    <n v="8"/>
    <n v="24.28081343625"/>
    <n v="24.884204976666659"/>
    <n v="26.176927387666669"/>
    <n v="17.3"/>
    <n v="41.584560073111113"/>
    <n v="40.937273916308342"/>
    <n v="46.841937414238878"/>
    <n v="59"/>
  </r>
  <r>
    <d v="2026-05-17T09:00:00"/>
    <x v="2"/>
    <n v="9"/>
    <n v="24.029055469949999"/>
    <n v="24.853798491133329"/>
    <n v="26.16722200875278"/>
    <n v="18"/>
    <n v="44.079879566850003"/>
    <n v="42.459778360372219"/>
    <n v="47.011523187816657"/>
    <n v="58"/>
  </r>
  <r>
    <d v="2026-05-17T10:00:00"/>
    <x v="2"/>
    <n v="10"/>
    <n v="23.888737362674998"/>
    <n v="24.883922198488889"/>
    <n v="26.167527522433328"/>
    <n v="18"/>
    <n v="46.269231832719441"/>
    <n v="43.968521512052767"/>
    <n v="46.868963547438888"/>
    <n v="64"/>
  </r>
  <r>
    <d v="2026-05-17T11:00:00"/>
    <x v="2"/>
    <n v="11"/>
    <n v="24.116192636233329"/>
    <n v="24.782008967338889"/>
    <n v="26.166833515650001"/>
    <n v="17.100000000000001"/>
    <n v="46.683380961102777"/>
    <n v="44.831187006886097"/>
    <n v="46.692284698241671"/>
    <n v="77"/>
  </r>
  <r>
    <d v="2026-05-17T12:00:00"/>
    <x v="2"/>
    <n v="12"/>
    <n v="24.662514376005561"/>
    <n v="24.933357885555559"/>
    <n v="26.166528130669441"/>
    <n v="19.399999999999999"/>
    <n v="46.911855052458328"/>
    <n v="45.836990276633337"/>
    <n v="46.565527043980559"/>
    <n v="68"/>
  </r>
  <r>
    <d v="2026-05-17T13:00:00"/>
    <x v="2"/>
    <n v="13"/>
    <n v="25.306381002583329"/>
    <n v="25.50727628432778"/>
    <n v="26.183211875383339"/>
    <n v="21.2"/>
    <n v="47.147102911505563"/>
    <n v="47.597950287180559"/>
    <n v="46.566113181219443"/>
    <n v="61"/>
  </r>
  <r>
    <d v="2026-05-17T14:00:00"/>
    <x v="2"/>
    <n v="14"/>
    <n v="25.54936943337778"/>
    <n v="25.869475838972221"/>
    <n v="26.229245512547219"/>
    <n v="22.8"/>
    <n v="46.905226431255556"/>
    <n v="46.572555924183327"/>
    <n v="47.657133871480561"/>
    <n v="57"/>
  </r>
  <r>
    <d v="2026-05-17T15:00:00"/>
    <x v="2"/>
    <n v="15"/>
    <n v="25.370373012716659"/>
    <n v="26.019757406555559"/>
    <n v="26.266368655388892"/>
    <n v="24.2"/>
    <n v="48.374234217327768"/>
    <n v="46.869065240138887"/>
    <n v="49.134438337263887"/>
    <n v="52"/>
  </r>
  <r>
    <d v="2026-05-17T16:00:00"/>
    <x v="2"/>
    <n v="16"/>
    <n v="24.90106559734167"/>
    <n v="26.06514677331112"/>
    <n v="26.296129333269441"/>
    <n v="18.3"/>
    <n v="50.585375545550001"/>
    <n v="47.64813770318333"/>
    <n v="50.007384568930561"/>
    <n v="85"/>
  </r>
  <r>
    <d v="2026-05-17T17:00:00"/>
    <x v="2"/>
    <n v="17"/>
    <n v="24.682127210925"/>
    <n v="26.094717069983329"/>
    <n v="26.32256223701944"/>
    <n v="20.399999999999999"/>
    <n v="51.333545362797217"/>
    <n v="48.266458760838887"/>
    <n v="51.148845254894447"/>
    <n v="74"/>
  </r>
  <r>
    <d v="2026-05-17T18:00:00"/>
    <x v="2"/>
    <n v="18"/>
    <n v="24.539004258916659"/>
    <n v="25.679189366925002"/>
    <n v="26.339787288050001"/>
    <n v="21.3"/>
    <n v="50.732892692963887"/>
    <n v="47.744484787772222"/>
    <n v="51.413567545602781"/>
    <n v="69"/>
  </r>
  <r>
    <d v="2026-05-17T19:00:00"/>
    <x v="2"/>
    <n v="19"/>
    <n v="23.176446447494449"/>
    <n v="25.12223653586944"/>
    <n v="26.302223916174999"/>
    <n v="16.899999999999999"/>
    <n v="52.124726675155557"/>
    <n v="47.427972492986108"/>
    <n v="51.857012300908337"/>
    <n v="93"/>
  </r>
  <r>
    <d v="2026-05-17T20:00:00"/>
    <x v="2"/>
    <n v="20"/>
    <n v="23.156259680963888"/>
    <n v="24.644818767347221"/>
    <n v="26.242413422266669"/>
    <n v="16.5"/>
    <n v="50.347169497069437"/>
    <n v="46.500406963580559"/>
    <n v="51.286942717533329"/>
    <n v="95"/>
  </r>
  <r>
    <d v="2026-05-17T21:00:00"/>
    <x v="2"/>
    <n v="21"/>
    <n v="22.715314014697221"/>
    <n v="24.704754137130561"/>
    <n v="26.227157406772221"/>
    <n v="16.7"/>
    <n v="51.86732517627221"/>
    <n v="47.017256610775"/>
    <n v="50.892016470188892"/>
    <n v="92"/>
  </r>
  <r>
    <d v="2026-05-17T22:00:00"/>
    <x v="2"/>
    <n v="22"/>
    <n v="22.939475436922219"/>
    <n v="25.142203675274999"/>
    <n v="26.237967136752779"/>
    <n v="16.3"/>
    <n v="53.515696274683343"/>
    <n v="48.760191585163888"/>
    <n v="50.81566346213333"/>
    <n v="93"/>
  </r>
  <r>
    <d v="2026-05-17T23:00:00"/>
    <x v="2"/>
    <n v="23"/>
    <n v="23.324482830274999"/>
    <n v="25.528130685886111"/>
    <n v="26.257717019391659"/>
    <n v="16"/>
    <n v="53.359779765802777"/>
    <n v="48.659830074322223"/>
    <n v="50.873304499127777"/>
    <n v="93"/>
  </r>
  <r>
    <d v="2026-05-18T00:00:00"/>
    <x v="2"/>
    <n v="0"/>
    <n v="23.232095480272221"/>
    <n v="25.49827506430556"/>
    <n v="26.261919311"/>
    <n v="15.9"/>
    <n v="52.87495850705556"/>
    <n v="48.422093588625003"/>
    <n v="50.682687750177777"/>
    <n v="93"/>
  </r>
  <r>
    <d v="2026-05-18T01:00:00"/>
    <x v="2"/>
    <n v="1"/>
    <n v="23.099142873613889"/>
    <n v="25.329231903083329"/>
    <n v="26.254421236894441"/>
    <n v="15.5"/>
    <n v="51.516899198336112"/>
    <n v="47.441579866347219"/>
    <n v="50.531585639791672"/>
    <n v="93"/>
  </r>
  <r>
    <d v="2026-05-18T02:00:00"/>
    <x v="2"/>
    <n v="2"/>
    <n v="23.02036132266667"/>
    <n v="25.27062009423889"/>
    <n v="26.247944039736112"/>
    <n v="15.4"/>
    <n v="51.585572713872217"/>
    <n v="47.192441480611109"/>
    <n v="50.352534827213887"/>
    <n v="93"/>
  </r>
  <r>
    <d v="2026-05-18T03:00:00"/>
    <x v="2"/>
    <n v="3"/>
    <n v="22.79178663889445"/>
    <n v="25.02907022240278"/>
    <n v="26.228876653275002"/>
    <n v="15.5"/>
    <n v="52.295117907600002"/>
    <n v="47.310129666163903"/>
    <n v="50.321501526302782"/>
    <n v="95"/>
  </r>
  <r>
    <d v="2026-05-18T04:00:00"/>
    <x v="2"/>
    <n v="4"/>
    <n v="22.615143302422229"/>
    <n v="24.733494215233328"/>
    <n v="26.208925848174999"/>
    <n v="14.7"/>
    <n v="52.503317124869447"/>
    <n v="47.173392079724998"/>
    <n v="50.297056638022219"/>
    <n v="96"/>
  </r>
  <r>
    <d v="2026-05-18T05:00:00"/>
    <x v="2"/>
    <n v="5"/>
    <n v="22.48015633126111"/>
    <n v="24.597143937819439"/>
    <n v="26.189565245466671"/>
    <n v="14.2"/>
    <n v="52.90146285750555"/>
    <n v="47.366695450211097"/>
    <n v="50.27588907223889"/>
    <n v="96"/>
  </r>
  <r>
    <d v="2026-05-18T06:00:00"/>
    <x v="2"/>
    <n v="6"/>
    <n v="22.68642345513333"/>
    <n v="24.61565262501945"/>
    <n v="26.176639089988889"/>
    <n v="14.6"/>
    <n v="52.728014995613897"/>
    <n v="47.698328058138877"/>
    <n v="50.255238290369448"/>
    <n v="96"/>
  </r>
  <r>
    <d v="2026-05-18T07:00:00"/>
    <x v="2"/>
    <n v="7"/>
    <n v="23.212394032066669"/>
    <n v="24.769488451400001"/>
    <n v="26.179304977469439"/>
    <n v="15.9"/>
    <n v="50.73292963121667"/>
    <n v="47.005235773469437"/>
    <n v="50.170530524855558"/>
    <n v="92"/>
  </r>
  <r>
    <d v="2026-05-18T08:00:00"/>
    <x v="2"/>
    <n v="8"/>
    <n v="24.319626576855551"/>
    <n v="24.95632918508889"/>
    <n v="26.181828523530559"/>
    <n v="17.600000000000001"/>
    <n v="47.830076313349998"/>
    <n v="46.898443734788877"/>
    <n v="50.037662107158333"/>
    <n v="81"/>
  </r>
  <r>
    <d v="2026-05-18T09:00:00"/>
    <x v="2"/>
    <n v="9"/>
    <n v="25.01512626126944"/>
    <n v="25.201963016613892"/>
    <n v="26.200242052494449"/>
    <n v="19.399999999999999"/>
    <n v="46.466079238511107"/>
    <n v="46.720396059547227"/>
    <n v="49.921700682508337"/>
    <n v="71"/>
  </r>
  <r>
    <d v="2026-05-18T10:00:00"/>
    <x v="2"/>
    <n v="10"/>
    <n v="25.138773558433329"/>
    <n v="25.272840669766669"/>
    <n v="26.210772703311111"/>
    <n v="20.6"/>
    <n v="46.595012602799997"/>
    <n v="47.160337703283339"/>
    <n v="49.876630163977779"/>
    <n v="66"/>
  </r>
  <r>
    <d v="2026-05-18T11:00:00"/>
    <x v="2"/>
    <n v="11"/>
    <n v="25.322420451052778"/>
    <n v="25.52807368079722"/>
    <n v="26.226103602636108"/>
    <n v="21.6"/>
    <n v="47.763445803983331"/>
    <n v="47.774271090583333"/>
    <n v="49.695917401783333"/>
    <n v="63"/>
  </r>
  <r>
    <d v="2026-05-18T12:00:00"/>
    <x v="2"/>
    <n v="12"/>
    <n v="25.576390552119449"/>
    <n v="26.138229110194441"/>
    <n v="26.25443093537778"/>
    <n v="22.6"/>
    <n v="48.914350388233338"/>
    <n v="48.287775335905557"/>
    <n v="49.727389976744441"/>
    <n v="63"/>
  </r>
  <r>
    <d v="2026-05-18T13:00:00"/>
    <x v="2"/>
    <n v="13"/>
    <n v="25.802359828619441"/>
    <n v="26.17570142633889"/>
    <n v="26.28151789710833"/>
    <n v="23.5"/>
    <n v="49.222695285511122"/>
    <n v="48.369542679858327"/>
    <n v="49.819860815174998"/>
    <n v="62"/>
  </r>
  <r>
    <d v="2026-05-18T14:00:00"/>
    <x v="2"/>
    <n v="14"/>
    <n v="25.98224875230833"/>
    <n v="26.166071617219441"/>
    <n v="26.312846719083339"/>
    <n v="24.5"/>
    <n v="48.184354424172227"/>
    <n v="48.345568847425"/>
    <n v="49.861968732308327"/>
    <n v="60"/>
  </r>
  <r>
    <d v="2026-05-18T15:00:00"/>
    <x v="2"/>
    <n v="15"/>
    <n v="26.065668935372219"/>
    <n v="26.22717157581112"/>
    <n v="26.33327512008611"/>
    <n v="25.9"/>
    <n v="45.340354432572219"/>
    <n v="45.871126019897233"/>
    <n v="49.714446127569452"/>
    <n v="46"/>
  </r>
  <r>
    <d v="2026-05-18T16:00:00"/>
    <x v="2"/>
    <n v="16"/>
    <n v="26.03908029299722"/>
    <n v="26.156177492766659"/>
    <n v="26.346573911630561"/>
    <n v="25.6"/>
    <n v="45.141879415027773"/>
    <n v="46.554388745713887"/>
    <n v="49.629613354794436"/>
    <n v="50"/>
  </r>
  <r>
    <d v="2026-05-18T17:00:00"/>
    <x v="2"/>
    <n v="17"/>
    <n v="26.04848903734722"/>
    <n v="26.19202566581389"/>
    <n v="26.360858714113888"/>
    <n v="23.8"/>
    <n v="47.779225422616669"/>
    <n v="47.842744839236111"/>
    <n v="49.608067119397226"/>
    <n v="65"/>
  </r>
  <r>
    <d v="2026-05-18T18:00:00"/>
    <x v="2"/>
    <n v="18"/>
    <n v="26.033826325486121"/>
    <n v="26.36050098400278"/>
    <n v="26.376217824358331"/>
    <n v="22.6"/>
    <n v="48.18967272639722"/>
    <n v="48.650783133247216"/>
    <n v="49.769893129086107"/>
    <n v="68"/>
  </r>
  <r>
    <d v="2026-05-18T19:00:00"/>
    <x v="2"/>
    <n v="19"/>
    <n v="25.942249711597221"/>
    <n v="26.608187158083339"/>
    <n v="26.39788095691112"/>
    <n v="21.8"/>
    <n v="49.31032325266667"/>
    <n v="48.735531743800003"/>
    <n v="49.959347933072223"/>
    <n v="73"/>
  </r>
  <r>
    <d v="2026-05-18T20:00:00"/>
    <x v="2"/>
    <n v="20"/>
    <n v="25.763999055361111"/>
    <n v="26.483354418213889"/>
    <n v="26.434756008547222"/>
    <n v="20.3"/>
    <n v="49.571438206091663"/>
    <n v="50.733566660125"/>
    <n v="50.151079145099999"/>
    <n v="80"/>
  </r>
  <r>
    <d v="2026-05-18T21:00:00"/>
    <x v="2"/>
    <n v="21"/>
    <n v="25.44724965526666"/>
    <n v="26.162508381005551"/>
    <n v="26.448392640313891"/>
    <n v="19.100000000000001"/>
    <n v="51.175326273444448"/>
    <n v="52.097991205988883"/>
    <n v="50.577018069277777"/>
    <n v="78"/>
  </r>
  <r>
    <d v="2026-05-18T22:00:00"/>
    <x v="2"/>
    <n v="22"/>
    <n v="24.820820564636112"/>
    <n v="25.93034546908056"/>
    <n v="26.431103084391669"/>
    <n v="18.399999999999999"/>
    <n v="54.015287303672217"/>
    <n v="53.495315915566657"/>
    <n v="52.178838021422223"/>
    <n v="79"/>
  </r>
  <r>
    <d v="2026-05-18T23:00:00"/>
    <x v="2"/>
    <n v="23"/>
    <n v="24.537527352447221"/>
    <n v="26.160880157722222"/>
    <n v="26.146219318791669"/>
    <n v="18"/>
    <n v="55.646677672780562"/>
    <n v="53.81824812221388"/>
    <n v="61.493515057774999"/>
    <n v="80"/>
  </r>
  <r>
    <d v="2026-05-19T00:00:00"/>
    <x v="2"/>
    <n v="0"/>
    <n v="24.523113452063889"/>
    <n v="26.234554645997221"/>
    <n v="26.121957771341659"/>
    <n v="17.2"/>
    <n v="55.619376255055563"/>
    <n v="53.605722532958339"/>
    <n v="60.640389936786107"/>
    <n v="84"/>
  </r>
  <r>
    <d v="2026-05-19T01:00:00"/>
    <x v="2"/>
    <n v="1"/>
    <n v="24.411085729625"/>
    <n v="26.038689066455561"/>
    <n v="26.290482767238888"/>
    <n v="16.5"/>
    <n v="54.292262835336111"/>
    <n v="52.623268405019452"/>
    <n v="56.84781118803334"/>
    <n v="87"/>
  </r>
  <r>
    <d v="2026-05-19T02:00:00"/>
    <x v="2"/>
    <n v="2"/>
    <n v="24.453451044430551"/>
    <n v="26.013394986358328"/>
    <n v="25.99833085383333"/>
    <n v="16"/>
    <n v="51.788763036913878"/>
    <n v="50.58388797330278"/>
    <n v="60.13262422239444"/>
    <n v="88"/>
  </r>
  <r>
    <d v="2026-05-19T03:00:00"/>
    <x v="2"/>
    <n v="3"/>
    <n v="24.454324461258331"/>
    <n v="25.965718410069449"/>
    <n v="25.836187767330561"/>
    <n v="16.600000000000001"/>
    <n v="49.716100823411097"/>
    <n v="48.626726434205551"/>
    <n v="58.920185003005571"/>
    <n v="84"/>
  </r>
  <r>
    <d v="2026-05-19T04:00:00"/>
    <x v="2"/>
    <n v="4"/>
    <n v="24.20683599454167"/>
    <n v="25.59222710346944"/>
    <n v="25.966570505841659"/>
    <n v="16.3"/>
    <n v="48.505432460100003"/>
    <n v="47.945618558861113"/>
    <n v="56.424678190836111"/>
    <n v="79"/>
  </r>
  <r>
    <d v="2026-05-19T05:00:00"/>
    <x v="2"/>
    <n v="5"/>
    <n v="24.506922947288889"/>
    <n v="25.02752240248056"/>
    <n v="26.112149367352771"/>
    <n v="16.2"/>
    <n v="42.554362758194443"/>
    <n v="42.996107523047222"/>
    <n v="54.097798857925"/>
    <n v="76"/>
  </r>
  <r>
    <d v="2026-05-19T06:00:00"/>
    <x v="2"/>
    <n v="6"/>
    <n v="25.184792540286111"/>
    <n v="25.033726729913891"/>
    <n v="26.129865380547219"/>
    <n v="17.100000000000001"/>
    <n v="37.992849225511122"/>
    <n v="38.984637793855562"/>
    <n v="52.827598083449999"/>
    <n v="71"/>
  </r>
  <r>
    <d v="2026-05-19T07:00:00"/>
    <x v="2"/>
    <n v="7"/>
    <n v="25.770219770127781"/>
    <n v="25.442150876533329"/>
    <n v="26.14065401506944"/>
    <n v="18.899999999999999"/>
    <n v="36.371566637505559"/>
    <n v="36.947151013711121"/>
    <n v="51.669836776855547"/>
    <n v="63"/>
  </r>
  <r>
    <d v="2026-05-19T08:00:00"/>
    <x v="2"/>
    <n v="8"/>
    <n v="26.222681839736111"/>
    <n v="25.941556008319441"/>
    <n v="26.173090311313889"/>
    <n v="21.2"/>
    <n v="35.552831839713889"/>
    <n v="35.861688369441673"/>
    <n v="50.839000453336112"/>
    <n v="54"/>
  </r>
  <r>
    <d v="2026-05-19T09:00:00"/>
    <x v="2"/>
    <n v="9"/>
    <n v="26.603110976300002"/>
    <n v="26.468504915324999"/>
    <n v="26.225175527580561"/>
    <n v="24.6"/>
    <n v="35.983957143588889"/>
    <n v="36.483235818116661"/>
    <n v="50.409442770116669"/>
    <n v="42"/>
  </r>
  <r>
    <d v="2026-05-19T10:00:00"/>
    <x v="2"/>
    <n v="10"/>
    <n v="26.83692704855833"/>
    <n v="26.837107363297221"/>
    <n v="26.282280825011121"/>
    <n v="26.4"/>
    <n v="35.601437286161108"/>
    <n v="36.651830305663893"/>
    <n v="50.051831832430558"/>
    <n v="37"/>
  </r>
  <r>
    <d v="2026-05-19T11:00:00"/>
    <x v="2"/>
    <n v="11"/>
    <n v="27.06728935790278"/>
    <n v="27.267809883986111"/>
    <n v="26.338062286544439"/>
    <n v="27.9"/>
    <n v="33.874593934227782"/>
    <n v="35.037094229758331"/>
    <n v="49.69274874079445"/>
    <n v="34"/>
  </r>
  <r>
    <d v="2026-05-19T12:00:00"/>
    <x v="2"/>
    <n v="12"/>
    <n v="27.213603767683331"/>
    <n v="27.23676714594167"/>
    <n v="26.381205710072219"/>
    <n v="29"/>
    <n v="30.47465466217222"/>
    <n v="32.928930201186112"/>
    <n v="48.507734851055552"/>
    <n v="32"/>
  </r>
  <r>
    <d v="2026-05-19T13:00:00"/>
    <x v="2"/>
    <n v="13"/>
    <n v="27.242027292852779"/>
    <n v="27.255958614063889"/>
    <n v="26.407850120986112"/>
    <n v="28.9"/>
    <n v="29.459453152441661"/>
    <n v="31.771311705905561"/>
    <n v="47.661022961091668"/>
    <n v="32"/>
  </r>
  <r>
    <d v="2026-05-19T14:00:00"/>
    <x v="2"/>
    <n v="14"/>
    <n v="27.325273112400001"/>
    <n v="27.458401749708329"/>
    <n v="26.486288102369439"/>
    <n v="26.8"/>
    <n v="29.794923186666669"/>
    <n v="31.450344017466669"/>
    <n v="47.263774508619441"/>
    <n v="39"/>
  </r>
  <r>
    <d v="2026-05-19T15:00:00"/>
    <x v="2"/>
    <n v="15"/>
    <n v="27.005267057238889"/>
    <n v="27.423146727358329"/>
    <n v="26.61441573957778"/>
    <n v="29.5"/>
    <n v="29.71040080068612"/>
    <n v="31.141180472969442"/>
    <n v="46.382096621677782"/>
    <n v="21"/>
  </r>
  <r>
    <d v="2026-05-19T16:00:00"/>
    <x v="2"/>
    <n v="16"/>
    <n v="24.746077204066669"/>
    <n v="27.042740355063891"/>
    <n v="26.688613322975002"/>
    <n v="28.4"/>
    <n v="31.443956408930561"/>
    <n v="31.257388339661109"/>
    <n v="45.84272725786667"/>
    <n v="25"/>
  </r>
  <r>
    <d v="2026-05-19T17:00:00"/>
    <x v="2"/>
    <n v="17"/>
    <n v="25.394218049233331"/>
    <n v="26.88546548567777"/>
    <n v="26.66820259176945"/>
    <n v="26.2"/>
    <n v="35.660783957136111"/>
    <n v="33.212201437777779"/>
    <n v="45.884861157522217"/>
    <n v="33"/>
  </r>
  <r>
    <d v="2026-05-19T18:00:00"/>
    <x v="2"/>
    <n v="18"/>
    <n v="25.810723442625001"/>
    <n v="27.008964862627771"/>
    <n v="26.640002517691659"/>
    <n v="25.8"/>
    <n v="35.003809154308342"/>
    <n v="31.789090411722221"/>
    <n v="45.875772931100002"/>
    <n v="37"/>
  </r>
  <r>
    <d v="2026-05-19T19:00:00"/>
    <x v="2"/>
    <n v="19"/>
    <n v="25.05933119451112"/>
    <n v="26.70976094618889"/>
    <n v="26.626921022388888"/>
    <n v="25.2"/>
    <n v="35.756679112077776"/>
    <n v="33.781553221261113"/>
    <n v="45.99501994784444"/>
    <n v="39"/>
  </r>
  <r>
    <d v="2026-05-19T20:00:00"/>
    <x v="2"/>
    <n v="20"/>
    <n v="26.47078333709722"/>
    <n v="27.026995719455559"/>
    <n v="26.648914567930561"/>
    <n v="23.9"/>
    <n v="36.450869454933333"/>
    <n v="37.729827910069453"/>
    <n v="46.386011921452777"/>
    <n v="46"/>
  </r>
  <r>
    <d v="2026-05-19T21:00:00"/>
    <x v="2"/>
    <n v="21"/>
    <n v="25.705706220825"/>
    <n v="26.494281206641659"/>
    <n v="26.647583468594441"/>
    <n v="23.5"/>
    <n v="39.181150193127777"/>
    <n v="38.132818347313894"/>
    <n v="46.988690266702783"/>
    <n v="45"/>
  </r>
  <r>
    <d v="2026-05-19T22:00:00"/>
    <x v="2"/>
    <n v="22"/>
    <n v="25.56157985836667"/>
    <n v="26.358488327955559"/>
    <n v="26.63761074816389"/>
    <n v="22.6"/>
    <n v="43.576547757261118"/>
    <n v="39.951356401552779"/>
    <n v="47.142793689683323"/>
    <n v="47"/>
  </r>
  <r>
    <d v="2026-05-19T23:00:00"/>
    <x v="2"/>
    <n v="23"/>
    <n v="25.641102003777771"/>
    <n v="26.422397653861111"/>
    <n v="26.646714458855559"/>
    <n v="21.8"/>
    <n v="40.192185418208332"/>
    <n v="39.170664666100002"/>
    <n v="47.425271536688889"/>
    <n v="51"/>
  </r>
  <r>
    <d v="2026-05-20T00:00:00"/>
    <x v="2"/>
    <n v="0"/>
    <n v="26.473925944911109"/>
    <n v="26.662037567116659"/>
    <n v="26.660940534183339"/>
    <n v="21.1"/>
    <n v="37.542384933850002"/>
    <n v="39.903040750658327"/>
    <n v="47.550671732336113"/>
    <n v="53"/>
  </r>
  <r>
    <d v="2026-05-20T01:00:00"/>
    <x v="2"/>
    <n v="1"/>
    <n v="26.56092961572222"/>
    <n v="26.79370943713333"/>
    <n v="26.676278001850001"/>
    <n v="20.3"/>
    <n v="37.094941614494452"/>
    <n v="38.678688742544438"/>
    <n v="47.646610961649998"/>
    <n v="56"/>
  </r>
  <r>
    <d v="2026-05-20T02:00:00"/>
    <x v="2"/>
    <n v="2"/>
    <n v="25.86011526745834"/>
    <n v="25.99889560473056"/>
    <n v="26.660257910847221"/>
    <n v="19.899999999999999"/>
    <n v="37.609877922216661"/>
    <n v="38.689759811819442"/>
    <n v="47.619527917861113"/>
    <n v="58"/>
  </r>
  <r>
    <d v="2026-05-20T03:00:00"/>
    <x v="2"/>
    <n v="3"/>
    <n v="25.436016871008331"/>
    <n v="25.588515581536111"/>
    <n v="26.639483583991659"/>
    <n v="19.8"/>
    <n v="38.416199788730559"/>
    <n v="39.078549337222221"/>
    <n v="47.608591507388887"/>
    <n v="60"/>
  </r>
  <r>
    <d v="2026-05-20T04:00:00"/>
    <x v="2"/>
    <n v="4"/>
    <n v="25.098669613508331"/>
    <n v="25.16091100165"/>
    <n v="26.612013737836111"/>
    <n v="18.899999999999999"/>
    <n v="38.92344920871944"/>
    <n v="39.692324873052783"/>
    <n v="47.559630584666671"/>
    <n v="61"/>
  </r>
  <r>
    <d v="2026-05-20T05:00:00"/>
    <x v="2"/>
    <n v="5"/>
    <n v="24.966092738155549"/>
    <n v="25.006480202883331"/>
    <n v="26.586532050916659"/>
    <n v="18.600000000000001"/>
    <n v="39.421317172886113"/>
    <n v="40.189303985452767"/>
    <n v="47.554246627458333"/>
    <n v="60"/>
  </r>
  <r>
    <d v="2026-05-20T06:00:00"/>
    <x v="2"/>
    <n v="6"/>
    <n v="25.19812594381111"/>
    <n v="24.994728585019441"/>
    <n v="26.585828098391669"/>
    <n v="19"/>
    <n v="39.508631642627783"/>
    <n v="40.719812428619441"/>
    <n v="47.560639153627783"/>
    <n v="59"/>
  </r>
  <r>
    <d v="2026-05-20T07:00:00"/>
    <x v="2"/>
    <n v="7"/>
    <n v="25.693754939922218"/>
    <n v="25.344842468263892"/>
    <n v="26.59999379790278"/>
    <n v="20.6"/>
    <n v="39.738584370055563"/>
    <n v="41.064380589750002"/>
    <n v="47.55020566564167"/>
    <n v="53"/>
  </r>
  <r>
    <d v="2026-05-20T08:00:00"/>
    <x v="2"/>
    <n v="8"/>
    <n v="26.27625487695833"/>
    <n v="25.746916411041671"/>
    <n v="26.625294041988891"/>
    <n v="22.3"/>
    <n v="39.571755675788893"/>
    <n v="40.881643292958337"/>
    <n v="47.521552556538893"/>
    <n v="49"/>
  </r>
  <r>
    <d v="2026-05-20T09:00:00"/>
    <x v="2"/>
    <n v="9"/>
    <n v="26.745490614805561"/>
    <n v="26.227526849197229"/>
    <n v="26.653767929733331"/>
    <n v="25"/>
    <n v="37.932832755747221"/>
    <n v="39.04622466461111"/>
    <n v="47.702960598797233"/>
    <n v="40"/>
  </r>
  <r>
    <d v="2026-05-20T10:00:00"/>
    <x v="2"/>
    <n v="10"/>
    <n v="27.078322156161111"/>
    <n v="26.734308646744442"/>
    <n v="26.69329101553889"/>
    <n v="26.2"/>
    <n v="36.315369472861107"/>
    <n v="37.708290109402782"/>
    <n v="47.827583698811111"/>
    <n v="37"/>
  </r>
  <r>
    <d v="2026-05-20T11:00:00"/>
    <x v="2"/>
    <n v="11"/>
    <n v="27.363554774016659"/>
    <n v="27.166682005697229"/>
    <n v="26.723238907205559"/>
    <n v="27.4"/>
    <n v="33.488118726544442"/>
    <n v="35.295659668119448"/>
    <n v="47.543428271227782"/>
    <n v="35"/>
  </r>
  <r>
    <d v="2026-05-20T12:00:00"/>
    <x v="2"/>
    <n v="12"/>
    <n v="27.441971700511111"/>
    <n v="27.21028360133889"/>
    <n v="26.759157691925001"/>
    <n v="27.9"/>
    <n v="33.558480833141672"/>
    <n v="35.304604382019448"/>
    <n v="47.384437454077784"/>
    <n v="33"/>
  </r>
  <r>
    <d v="2026-05-20T13:00:00"/>
    <x v="2"/>
    <n v="13"/>
    <n v="27.417333699030561"/>
    <n v="27.244849815275"/>
    <n v="26.78318008602222"/>
    <n v="28.5"/>
    <n v="32.066964245355557"/>
    <n v="34.473840614350003"/>
    <n v="46.980665511950001"/>
    <n v="33"/>
  </r>
  <r>
    <d v="2026-05-20T14:00:00"/>
    <x v="2"/>
    <n v="14"/>
    <n v="27.433140590572229"/>
    <n v="27.29948121881111"/>
    <n v="26.803857519991659"/>
    <n v="28.8"/>
    <n v="32.252827396450002"/>
    <n v="34.547719736177783"/>
    <n v="46.752512709402772"/>
    <n v="32"/>
  </r>
  <r>
    <d v="2026-05-20T15:00:00"/>
    <x v="2"/>
    <n v="15"/>
    <n v="27.442483172058331"/>
    <n v="27.282050976830561"/>
    <n v="26.825631855994441"/>
    <n v="27.3"/>
    <n v="31.815657256588889"/>
    <n v="34.231163755363887"/>
    <n v="46.577061230600002"/>
    <n v="32"/>
  </r>
  <r>
    <d v="2026-05-20T16:00:00"/>
    <x v="2"/>
    <n v="16"/>
    <n v="27.565427678305561"/>
    <n v="27.307714771094439"/>
    <n v="26.846680477113889"/>
    <n v="27.1"/>
    <n v="31.307841821025001"/>
    <n v="34.066792197086109"/>
    <n v="46.344370240072223"/>
    <n v="31"/>
  </r>
  <r>
    <d v="2026-05-20T17:00:00"/>
    <x v="2"/>
    <n v="17"/>
    <n v="27.627096654894441"/>
    <n v="27.869489343647221"/>
    <n v="26.880691412522221"/>
    <n v="26.6"/>
    <n v="30.97048281578612"/>
    <n v="34.163020884466668"/>
    <n v="46.397755146469443"/>
    <n v="33"/>
  </r>
  <r>
    <d v="2026-05-20T18:00:00"/>
    <x v="2"/>
    <n v="18"/>
    <n v="27.253433842858328"/>
    <n v="27.56329770095833"/>
    <n v="26.905353830936111"/>
    <n v="26.7"/>
    <n v="32.845008577966667"/>
    <n v="34.056680633266673"/>
    <n v="46.252212039563886"/>
    <n v="36"/>
  </r>
  <r>
    <d v="2026-05-20T19:00:00"/>
    <x v="2"/>
    <n v="19"/>
    <n v="26.619547589433331"/>
    <n v="27.32986302428333"/>
    <n v="26.935310282844441"/>
    <n v="26.1"/>
    <n v="37.291696871777781"/>
    <n v="37.801847561455553"/>
    <n v="46.853672709480563"/>
    <n v="39"/>
  </r>
  <r>
    <d v="2026-05-20T20:00:00"/>
    <x v="2"/>
    <n v="20"/>
    <n v="26.784337306194441"/>
    <n v="27.359794122419441"/>
    <n v="26.966719122758331"/>
    <n v="25.1"/>
    <n v="37.489910038266657"/>
    <n v="37.724973372836111"/>
    <n v="47.337297565233342"/>
    <n v="45"/>
  </r>
  <r>
    <d v="2026-05-20T21:00:00"/>
    <x v="2"/>
    <n v="21"/>
    <n v="26.25969487435556"/>
    <n v="27.536361775083328"/>
    <n v="26.985289727647221"/>
    <n v="24.4"/>
    <n v="38.061973550977783"/>
    <n v="38.267895775508329"/>
    <n v="47.662309836277778"/>
    <n v="47"/>
  </r>
  <r>
    <d v="2026-05-20T22:00:00"/>
    <x v="2"/>
    <n v="22"/>
    <n v="26.70878290786111"/>
    <n v="27.873591668025"/>
    <n v="27.017934263324999"/>
    <n v="23.2"/>
    <n v="40.972668674763888"/>
    <n v="41.853231904916662"/>
    <n v="48.243700242766657"/>
    <n v="52"/>
  </r>
  <r>
    <d v="2026-05-20T23:00:00"/>
    <x v="2"/>
    <n v="23"/>
    <n v="26.50399334424722"/>
    <n v="27.583781078433329"/>
    <n v="27.048024411850001"/>
    <n v="22.1"/>
    <n v="39.659721912880563"/>
    <n v="39.153108656966673"/>
    <n v="48.529233760219448"/>
    <n v="56"/>
  </r>
  <r>
    <d v="2026-05-21T00:00:00"/>
    <x v="2"/>
    <n v="0"/>
    <n v="26.853355514686111"/>
    <n v="27.602000443769441"/>
    <n v="27.043889230966659"/>
    <n v="21.5"/>
    <n v="37.215639573666671"/>
    <n v="37.594143904416669"/>
    <n v="48.233052283247218"/>
    <n v="57"/>
  </r>
  <r>
    <d v="2026-05-21T01:00:00"/>
    <x v="2"/>
    <n v="1"/>
    <n v="24.456614190511111"/>
    <n v="26.37124237742778"/>
    <n v="27.006443080299999"/>
    <n v="20.9"/>
    <n v="37.009385315680561"/>
    <n v="34.915030668375003"/>
    <n v="47.717400606388892"/>
    <n v="59"/>
  </r>
  <r>
    <d v="2026-05-21T02:00:00"/>
    <x v="2"/>
    <n v="2"/>
    <n v="25.584090100636111"/>
    <n v="26.096213505800009"/>
    <n v="26.960065812247219"/>
    <n v="20.2"/>
    <n v="37.811557552880558"/>
    <n v="37.278932867727782"/>
    <n v="47.397267607522217"/>
    <n v="62"/>
  </r>
  <r>
    <d v="2026-05-21T03:00:00"/>
    <x v="2"/>
    <n v="3"/>
    <n v="25.69366108093611"/>
    <n v="25.699104715086111"/>
    <n v="26.929558529200001"/>
    <n v="19.3"/>
    <n v="36.328445007902779"/>
    <n v="37.03912485774444"/>
    <n v="47.22103835522222"/>
    <n v="64"/>
  </r>
  <r>
    <d v="2026-05-21T04:00:00"/>
    <x v="2"/>
    <n v="4"/>
    <n v="25.447517167175"/>
    <n v="25.503093451488891"/>
    <n v="26.927486426538891"/>
    <n v="18.600000000000001"/>
    <n v="36.95661094865833"/>
    <n v="37.498975671477773"/>
    <n v="47.139737292216672"/>
    <n v="66"/>
  </r>
  <r>
    <d v="2026-05-21T05:00:00"/>
    <x v="2"/>
    <n v="5"/>
    <n v="25.591198388663891"/>
    <n v="25.25502199612222"/>
    <n v="26.90700606253333"/>
    <n v="17.8"/>
    <n v="35.404496529444437"/>
    <n v="37.015515691927781"/>
    <n v="47.039237122311107"/>
    <n v="68"/>
  </r>
  <r>
    <d v="2026-05-21T06:00:00"/>
    <x v="2"/>
    <n v="6"/>
    <n v="26.32543121833611"/>
    <n v="25.700121501550001"/>
    <n v="26.899440864174998"/>
    <n v="18"/>
    <n v="34.1104518418"/>
    <n v="36.440565475547217"/>
    <n v="46.857567132069441"/>
    <n v="62"/>
  </r>
  <r>
    <d v="2026-05-21T07:00:00"/>
    <x v="2"/>
    <n v="7"/>
    <n v="26.951056291622219"/>
    <n v="25.993638341191659"/>
    <n v="26.91268405192778"/>
    <n v="19.2"/>
    <n v="33.553147985444447"/>
    <n v="36.311412814169437"/>
    <n v="46.753152488830551"/>
    <n v="54"/>
  </r>
  <r>
    <d v="2026-05-21T08:00:00"/>
    <x v="2"/>
    <n v="8"/>
    <n v="27.122171667172221"/>
    <n v="26.40565735154167"/>
    <n v="26.940101990900001"/>
    <n v="21.6"/>
    <n v="35.174256203538903"/>
    <n v="37.049022548975003"/>
    <n v="46.764816066588892"/>
    <n v="47"/>
  </r>
  <r>
    <d v="2026-05-21T09:00:00"/>
    <x v="2"/>
    <n v="9"/>
    <n v="27.567530391563889"/>
    <n v="27.084409991141669"/>
    <n v="26.973153773488889"/>
    <n v="25"/>
    <n v="35.891415695555551"/>
    <n v="37.281939721361113"/>
    <n v="46.830370673700003"/>
    <n v="39"/>
  </r>
  <r>
    <d v="2026-05-21T10:00:00"/>
    <x v="2"/>
    <n v="10"/>
    <n v="27.860752603419449"/>
    <n v="27.697651853777781"/>
    <n v="27.015545285616671"/>
    <n v="26.9"/>
    <n v="36.422162513986109"/>
    <n v="37.789012474927773"/>
    <n v="46.93673648528334"/>
    <n v="34"/>
  </r>
  <r>
    <d v="2026-05-21T11:00:00"/>
    <x v="2"/>
    <n v="11"/>
    <n v="27.99845070356945"/>
    <n v="28.22072111114722"/>
    <n v="27.064982478758331"/>
    <n v="28"/>
    <n v="38.832203846266673"/>
    <n v="39.686886285605553"/>
    <n v="46.826144331608333"/>
    <n v="30"/>
  </r>
  <r>
    <d v="2026-05-21T12:00:00"/>
    <x v="2"/>
    <n v="12"/>
    <n v="28.015380881925001"/>
    <n v="28.421792882363889"/>
    <n v="27.10068455273333"/>
    <n v="29.3"/>
    <n v="41.283712659266662"/>
    <n v="40.740395557399999"/>
    <n v="46.77238334580278"/>
    <n v="25"/>
  </r>
  <r>
    <d v="2026-05-21T13:00:00"/>
    <x v="2"/>
    <n v="13"/>
    <n v="27.699377346519441"/>
    <n v="28.255527220713891"/>
    <n v="27.133936183877779"/>
    <n v="29.7"/>
    <n v="40.351704140802781"/>
    <n v="40.611855702369454"/>
    <n v="46.715820600477777"/>
    <n v="22"/>
  </r>
  <r>
    <d v="2026-05-21T14:00:00"/>
    <x v="2"/>
    <n v="14"/>
    <n v="26.08955741809444"/>
    <n v="27.678858697452771"/>
    <n v="27.133151763572229"/>
    <n v="29.7"/>
    <n v="34.323777320866668"/>
    <n v="33.546736249086123"/>
    <n v="46.582813842152767"/>
    <n v="20"/>
  </r>
  <r>
    <d v="2026-05-21T15:00:00"/>
    <x v="2"/>
    <n v="15"/>
    <n v="26.400034821883331"/>
    <n v="27.703890204894449"/>
    <n v="27.120024635425001"/>
    <n v="30.7"/>
    <n v="35.608588617472222"/>
    <n v="35.006074517827777"/>
    <n v="46.380467874224998"/>
    <n v="16"/>
  </r>
  <r>
    <d v="2026-05-21T16:00:00"/>
    <x v="2"/>
    <n v="16"/>
    <n v="27.36176991361944"/>
    <n v="28.18853485644722"/>
    <n v="27.149598049175001"/>
    <n v="30.9"/>
    <n v="39.827960904219452"/>
    <n v="39.610303011344442"/>
    <n v="46.51872223670555"/>
    <n v="15"/>
  </r>
  <r>
    <d v="2026-05-21T17:00:00"/>
    <x v="2"/>
    <n v="17"/>
    <n v="26.343127975011111"/>
    <n v="27.867161758455559"/>
    <n v="27.168327771516669"/>
    <n v="30.7"/>
    <n v="38.191599282002777"/>
    <n v="37.132493364627777"/>
    <n v="46.280182258783327"/>
    <n v="15"/>
  </r>
  <r>
    <d v="2026-05-21T18:00:00"/>
    <x v="2"/>
    <n v="18"/>
    <n v="25.110159962286112"/>
    <n v="27.337494834380561"/>
    <n v="27.141286681044441"/>
    <n v="30.2"/>
    <n v="34.457230979691673"/>
    <n v="32.273279078344437"/>
    <n v="45.979963323716667"/>
    <n v="16"/>
  </r>
  <r>
    <d v="2026-05-21T19:00:00"/>
    <x v="2"/>
    <n v="19"/>
    <n v="26.591318243052779"/>
    <n v="27.534917954633329"/>
    <n v="27.1496599705"/>
    <n v="29.1"/>
    <n v="37.065494845252779"/>
    <n v="36.093843421666669"/>
    <n v="46.008571001966658"/>
    <n v="20"/>
  </r>
  <r>
    <d v="2026-05-21T20:00:00"/>
    <x v="2"/>
    <n v="20"/>
    <n v="26.85480387118611"/>
    <n v="27.60524118478056"/>
    <n v="27.18110812371944"/>
    <n v="27.3"/>
    <n v="40.633708889730563"/>
    <n v="39.718534750977767"/>
    <n v="46.464929502274998"/>
    <n v="27"/>
  </r>
  <r>
    <d v="2026-05-21T21:00:00"/>
    <x v="2"/>
    <n v="21"/>
    <n v="27.152780528344451"/>
    <n v="27.786839666774998"/>
    <n v="27.251247399008331"/>
    <n v="26.5"/>
    <n v="44.242188990619447"/>
    <n v="43.368594354899997"/>
    <n v="47.382521466094438"/>
    <n v="27"/>
  </r>
  <r>
    <d v="2026-05-21T22:00:00"/>
    <x v="2"/>
    <n v="22"/>
    <n v="27.672794783844449"/>
    <n v="27.952850426988888"/>
    <n v="27.266608376766669"/>
    <n v="25.3"/>
    <n v="43.564030033897218"/>
    <n v="43.043116972377781"/>
    <n v="46.636739363700002"/>
    <n v="26"/>
  </r>
  <r>
    <d v="2026-05-21T23:00:00"/>
    <x v="2"/>
    <n v="23"/>
    <n v="27.841706511013889"/>
    <n v="28.36440142745834"/>
    <n v="27.292742162444441"/>
    <n v="24.1"/>
    <n v="43.872037908555548"/>
    <n v="45.150020945319433"/>
    <n v="46.225239013847222"/>
    <n v="27"/>
  </r>
  <r>
    <d v="2026-05-22T00:00:00"/>
    <x v="2"/>
    <n v="0"/>
    <n v="27.751919136855559"/>
    <n v="28.450850812388889"/>
    <n v="27.30229954276945"/>
    <n v="22.9"/>
    <n v="43.733955615605559"/>
    <n v="42.929168507597218"/>
    <n v="45.91979199118888"/>
    <n v="29"/>
  </r>
  <r>
    <d v="2026-05-22T01:00:00"/>
    <x v="2"/>
    <n v="1"/>
    <n v="26.802067266141659"/>
    <n v="28.028940634224998"/>
    <n v="27.38960821339445"/>
    <n v="22"/>
    <n v="41.048335988147223"/>
    <n v="40.726658739661111"/>
    <n v="48.61784288316111"/>
    <n v="31"/>
  </r>
  <r>
    <d v="2026-05-22T02:00:00"/>
    <x v="2"/>
    <n v="2"/>
    <n v="25.009521698758331"/>
    <n v="26.931585209569441"/>
    <n v="27.299848453955558"/>
    <n v="21.3"/>
    <n v="36.042583283986112"/>
    <n v="33.771443685949997"/>
    <n v="46.935134874944453"/>
    <n v="33"/>
  </r>
  <r>
    <d v="2026-05-22T03:00:00"/>
    <x v="2"/>
    <n v="3"/>
    <n v="26.353366874319441"/>
    <n v="27.351302546225"/>
    <n v="27.278141684308331"/>
    <n v="20.3"/>
    <n v="39.262943570086108"/>
    <n v="37.395625140536112"/>
    <n v="46.34136787181388"/>
    <n v="37"/>
  </r>
  <r>
    <d v="2026-05-22T04:00:00"/>
    <x v="2"/>
    <n v="4"/>
    <n v="26.71350353568333"/>
    <n v="27.230285201597219"/>
    <n v="27.275665926858331"/>
    <n v="19.3"/>
    <n v="40.830795907655563"/>
    <n v="39.83644697493056"/>
    <n v="45.950993799102783"/>
    <n v="40"/>
  </r>
  <r>
    <d v="2026-05-22T05:00:00"/>
    <x v="2"/>
    <n v="5"/>
    <n v="26.97566987893056"/>
    <n v="27.254050810027781"/>
    <n v="27.26497464554167"/>
    <n v="18.8"/>
    <n v="41.48704046616389"/>
    <n v="40.638488741661121"/>
    <n v="45.742546469041663"/>
    <n v="42"/>
  </r>
  <r>
    <d v="2026-05-22T06:00:00"/>
    <x v="2"/>
    <n v="6"/>
    <n v="27.477735154525"/>
    <n v="27.564416358522219"/>
    <n v="27.27471626948056"/>
    <n v="19.5"/>
    <n v="40.430693786683328"/>
    <n v="41.305661346922228"/>
    <n v="45.551612096719452"/>
    <n v="42"/>
  </r>
  <r>
    <d v="2026-05-22T07:00:00"/>
    <x v="2"/>
    <n v="7"/>
    <n v="27.989383222402779"/>
    <n v="28.11117515340278"/>
    <n v="27.298072676588891"/>
    <n v="21"/>
    <n v="40.897202424222222"/>
    <n v="41.659492921130557"/>
    <n v="45.426363838083333"/>
    <n v="41"/>
  </r>
  <r>
    <d v="2026-05-22T08:00:00"/>
    <x v="2"/>
    <n v="8"/>
    <n v="28.435803550372221"/>
    <n v="28.593552161947219"/>
    <n v="27.34486859464722"/>
    <n v="23"/>
    <n v="41.33513370363611"/>
    <n v="42.255537075091667"/>
    <n v="45.563277344475011"/>
    <n v="40"/>
  </r>
  <r>
    <d v="2026-05-22T09:00:00"/>
    <x v="2"/>
    <n v="9"/>
    <n v="28.78744685341389"/>
    <n v="28.851103218902779"/>
    <n v="27.404482943205551"/>
    <n v="26"/>
    <n v="41.730374025880558"/>
    <n v="43.084113899844453"/>
    <n v="45.980561642652781"/>
    <n v="37"/>
  </r>
  <r>
    <d v="2026-05-22T10:00:00"/>
    <x v="2"/>
    <n v="10"/>
    <n v="28.970826299402781"/>
    <n v="29.171040436475"/>
    <n v="27.473034870591661"/>
    <n v="27.9"/>
    <n v="42.662930700094442"/>
    <n v="43.911942404005551"/>
    <n v="46.750402437244453"/>
    <n v="35"/>
  </r>
  <r>
    <d v="2026-05-22T11:00:00"/>
    <x v="2"/>
    <n v="11"/>
    <n v="27.560920506388889"/>
    <n v="29.283936450991661"/>
    <n v="27.506726217330559"/>
    <n v="29.5"/>
    <n v="38.946024717291657"/>
    <n v="38.072188586508332"/>
    <n v="46.878558152533337"/>
    <n v="31"/>
  </r>
  <r>
    <d v="2026-05-22T12:00:00"/>
    <x v="2"/>
    <n v="12"/>
    <n v="28.43999304201667"/>
    <n v="29.17201586703333"/>
    <n v="27.519989956461121"/>
    <n v="30.5"/>
    <n v="41.643714667347218"/>
    <n v="40.11295006598889"/>
    <n v="47.008836103022233"/>
    <n v="28"/>
  </r>
  <r>
    <d v="2026-05-22T13:00:00"/>
    <x v="2"/>
    <n v="13"/>
    <n v="27.84226931930278"/>
    <n v="28.878943685483328"/>
    <n v="27.558220216622221"/>
    <n v="31.2"/>
    <n v="40.545689619477777"/>
    <n v="39.667479643013891"/>
    <n v="47.163363153483338"/>
    <n v="23"/>
  </r>
  <r>
    <d v="2026-05-22T14:00:00"/>
    <x v="2"/>
    <n v="14"/>
    <n v="27.742079552177781"/>
    <n v="28.819045730911121"/>
    <n v="27.553275639569449"/>
    <n v="30.9"/>
    <n v="39.776863265772221"/>
    <n v="38.688996823983331"/>
    <n v="46.844227785897218"/>
    <n v="22"/>
  </r>
  <r>
    <d v="2026-05-22T15:00:00"/>
    <x v="2"/>
    <n v="15"/>
    <n v="26.36949402833611"/>
    <n v="28.171785754538892"/>
    <n v="27.52793939563611"/>
    <n v="31.2"/>
    <n v="36.156160618838889"/>
    <n v="35.664908627413887"/>
    <n v="46.231555048427794"/>
    <n v="20"/>
  </r>
  <r>
    <d v="2026-05-22T16:00:00"/>
    <x v="2"/>
    <n v="16"/>
    <n v="26.443736747647229"/>
    <n v="28.18987528992777"/>
    <n v="27.48935852241944"/>
    <n v="29.4"/>
    <n v="38.3456933585"/>
    <n v="37.048197837027779"/>
    <n v="45.654373889388893"/>
    <n v="27"/>
  </r>
  <r>
    <d v="2026-05-22T17:00:00"/>
    <x v="2"/>
    <n v="17"/>
    <n v="27.054781299369441"/>
    <n v="28.267154268366671"/>
    <n v="27.495160413897221"/>
    <n v="29.3"/>
    <n v="39.886867070649998"/>
    <n v="37.617472281522218"/>
    <n v="45.671022383244441"/>
    <n v="28"/>
  </r>
  <r>
    <d v="2026-05-22T18:00:00"/>
    <x v="2"/>
    <n v="18"/>
    <n v="26.766936002158332"/>
    <n v="28.06780233698333"/>
    <n v="27.50122195042222"/>
    <n v="28.9"/>
    <n v="37.46446113733333"/>
    <n v="36.395624131458327"/>
    <n v="45.694558288855553"/>
    <n v="29"/>
  </r>
  <r>
    <d v="2026-05-22T19:00:00"/>
    <x v="2"/>
    <n v="19"/>
    <n v="26.493722892413889"/>
    <n v="27.413122153050001"/>
    <n v="27.516331279749998"/>
    <n v="28.1"/>
    <n v="38.143709415136108"/>
    <n v="38.354539881474999"/>
    <n v="45.719150771913888"/>
    <n v="31"/>
  </r>
  <r>
    <d v="2026-05-22T20:00:00"/>
    <x v="2"/>
    <n v="20"/>
    <n v="26.660506565936121"/>
    <n v="26.744801625800001"/>
    <n v="27.518832966419438"/>
    <n v="26.9"/>
    <n v="41.58208100492778"/>
    <n v="42.063766979308333"/>
    <n v="46.048763048188903"/>
    <n v="35"/>
  </r>
  <r>
    <d v="2026-05-22T21:00:00"/>
    <x v="2"/>
    <n v="21"/>
    <n v="26.839300351077771"/>
    <n v="26.64667623765834"/>
    <n v="27.525608904527768"/>
    <n v="26.1"/>
    <n v="40.806780714819453"/>
    <n v="41.901160232036112"/>
    <n v="46.658127038986123"/>
    <n v="39"/>
  </r>
  <r>
    <d v="2026-05-22T22:00:00"/>
    <x v="2"/>
    <n v="22"/>
    <n v="26.867730500558331"/>
    <n v="26.67425903237778"/>
    <n v="27.53630320719445"/>
    <n v="24.8"/>
    <n v="39.898495185844453"/>
    <n v="41.805307576475002"/>
    <n v="46.896805877694447"/>
    <n v="45"/>
  </r>
  <r>
    <d v="2026-05-22T23:00:00"/>
    <x v="2"/>
    <n v="23"/>
    <n v="26.433590184833331"/>
    <n v="26.64057982178889"/>
    <n v="27.530919781152779"/>
    <n v="23.7"/>
    <n v="41.297927133794452"/>
    <n v="42.240122051491682"/>
    <n v="47.068254301705558"/>
    <n v="48"/>
  </r>
  <r>
    <d v="2026-05-23T00:00:00"/>
    <x v="2"/>
    <n v="0"/>
    <n v="24.061649635575002"/>
    <n v="26.721116158911109"/>
    <n v="27.543743618825001"/>
    <n v="22.9"/>
    <n v="47.394185079916667"/>
    <n v="45.554753842680562"/>
    <n v="47.450476069313893"/>
    <n v="50"/>
  </r>
  <r>
    <d v="2026-05-23T01:00:00"/>
    <x v="2"/>
    <n v="1"/>
    <n v="25.08466234639722"/>
    <n v="26.643629775372229"/>
    <n v="27.56521661869445"/>
    <n v="22.1"/>
    <n v="45.830108386002777"/>
    <n v="45.821096682697217"/>
    <n v="47.686913194916663"/>
    <n v="52"/>
  </r>
  <r>
    <d v="2026-05-23T02:00:00"/>
    <x v="2"/>
    <n v="2"/>
    <n v="25.357575042280558"/>
    <n v="26.649214358427781"/>
    <n v="27.56205839725278"/>
    <n v="21.1"/>
    <n v="43.897418208405547"/>
    <n v="44.456684429077782"/>
    <n v="47.85917188175555"/>
    <n v="56"/>
  </r>
  <r>
    <d v="2026-05-23T03:00:00"/>
    <x v="2"/>
    <n v="3"/>
    <n v="25.575727868194441"/>
    <n v="26.6892971368"/>
    <n v="27.567943410655559"/>
    <n v="19.600000000000001"/>
    <n v="43.857033490008327"/>
    <n v="44.635762730772221"/>
    <n v="47.832919678458332"/>
    <n v="71"/>
  </r>
  <r>
    <d v="2026-05-23T04:00:00"/>
    <x v="2"/>
    <n v="4"/>
    <n v="25.231605774750001"/>
    <n v="26.63169764198889"/>
    <n v="27.581583663183331"/>
    <n v="19"/>
    <n v="45.760832694902781"/>
    <n v="44.938447232883327"/>
    <n v="47.785978340463878"/>
    <n v="73"/>
  </r>
  <r>
    <d v="2026-05-23T05:00:00"/>
    <x v="2"/>
    <n v="5"/>
    <n v="25.291626292988891"/>
    <n v="26.42644988790278"/>
    <n v="27.573275263302779"/>
    <n v="18.600000000000001"/>
    <n v="45.080282929497223"/>
    <n v="44.356068590633328"/>
    <n v="47.671640916163888"/>
    <n v="74"/>
  </r>
  <r>
    <d v="2026-05-23T06:00:00"/>
    <x v="2"/>
    <n v="6"/>
    <n v="26.188088408361111"/>
    <n v="26.540446300452789"/>
    <n v="27.570558910672229"/>
    <n v="19.2"/>
    <n v="42.685355850202782"/>
    <n v="43.260678816138892"/>
    <n v="47.531191833894447"/>
    <n v="71"/>
  </r>
  <r>
    <d v="2026-05-23T07:00:00"/>
    <x v="2"/>
    <n v="7"/>
    <n v="27.278096496855561"/>
    <n v="27.019018675830559"/>
    <n v="27.583522101508329"/>
    <n v="20.8"/>
    <n v="40.953368059508342"/>
    <n v="41.84888226134445"/>
    <n v="47.371841699672217"/>
    <n v="63"/>
  </r>
  <r>
    <d v="2026-05-23T08:00:00"/>
    <x v="2"/>
    <n v="8"/>
    <n v="27.65734179551389"/>
    <n v="27.31484331904722"/>
    <n v="27.606489836708331"/>
    <n v="23.1"/>
    <n v="41.285052744047221"/>
    <n v="42.194158510569437"/>
    <n v="47.392775363986111"/>
    <n v="54"/>
  </r>
  <r>
    <d v="2026-05-23T09:00:00"/>
    <x v="2"/>
    <n v="9"/>
    <n v="28.304911709877771"/>
    <n v="27.919764148399999"/>
    <n v="27.65920956923889"/>
    <n v="25.2"/>
    <n v="39.687808432936123"/>
    <n v="40.230868107580562"/>
    <n v="47.848380742377778"/>
    <n v="44"/>
  </r>
  <r>
    <d v="2026-05-23T10:00:00"/>
    <x v="2"/>
    <n v="10"/>
    <n v="28.615114010658331"/>
    <n v="28.352816326149998"/>
    <n v="27.711242182294441"/>
    <n v="26.8"/>
    <n v="37.678347300219443"/>
    <n v="37.649900283547233"/>
    <n v="48.054252022616673"/>
    <n v="38"/>
  </r>
  <r>
    <d v="2026-05-23T11:00:00"/>
    <x v="2"/>
    <n v="11"/>
    <n v="28.649211355730561"/>
    <n v="28.51465655190556"/>
    <n v="27.742297900622219"/>
    <n v="27.8"/>
    <n v="38.263197967430557"/>
    <n v="38.516484972911108"/>
    <n v="47.802733593941667"/>
    <n v="35"/>
  </r>
  <r>
    <d v="2026-05-23T12:00:00"/>
    <x v="2"/>
    <n v="12"/>
    <n v="28.660462738144449"/>
    <n v="28.877728496538889"/>
    <n v="27.820026462563892"/>
    <n v="28.6"/>
    <n v="38.231284326044452"/>
    <n v="38.277400170427782"/>
    <n v="48.34784826792778"/>
    <n v="33"/>
  </r>
  <r>
    <d v="2026-05-23T13:00:00"/>
    <x v="2"/>
    <n v="13"/>
    <n v="27.38165794870833"/>
    <n v="28.314129407652771"/>
    <n v="27.89623880372778"/>
    <n v="27"/>
    <n v="33.015087823077778"/>
    <n v="34.502375807450001"/>
    <n v="48.500906162299998"/>
    <n v="37"/>
  </r>
  <r>
    <d v="2026-05-23T14:00:00"/>
    <x v="2"/>
    <n v="14"/>
    <n v="27.072123710572221"/>
    <n v="27.95886617354445"/>
    <n v="27.957232698158329"/>
    <n v="19.600000000000001"/>
    <n v="35.189939951097223"/>
    <n v="35.54083167856944"/>
    <n v="47.853481198247223"/>
    <n v="85"/>
  </r>
  <r>
    <d v="2026-05-23T15:00:00"/>
    <x v="2"/>
    <n v="15"/>
    <n v="27.504308776497229"/>
    <n v="27.978249880997222"/>
    <n v="28.034231407488889"/>
    <n v="25.1"/>
    <n v="41.424818098716663"/>
    <n v="40.590005576180552"/>
    <n v="49.822927107352783"/>
    <n v="46"/>
  </r>
  <r>
    <d v="2026-05-23T16:00:00"/>
    <x v="2"/>
    <n v="16"/>
    <n v="26.635964944394441"/>
    <n v="27.752963366833331"/>
    <n v="27.851776409038891"/>
    <n v="26.5"/>
    <n v="47.018331729622219"/>
    <n v="44.694253200302782"/>
    <n v="52.538724268425"/>
    <n v="36"/>
  </r>
  <r>
    <d v="2026-05-23T17:00:00"/>
    <x v="2"/>
    <n v="17"/>
    <n v="26.549962202774999"/>
    <n v="27.951647575036109"/>
    <n v="28.075803764044451"/>
    <n v="24.3"/>
    <n v="48.990203741438883"/>
    <n v="46.495092705247217"/>
    <n v="50.969293150883338"/>
    <n v="43"/>
  </r>
  <r>
    <d v="2026-05-23T18:00:00"/>
    <x v="2"/>
    <n v="18"/>
    <n v="26.692380026861109"/>
    <n v="27.516062672511111"/>
    <n v="28.216684875780551"/>
    <n v="23.9"/>
    <n v="48.055678853083329"/>
    <n v="47.222645910516668"/>
    <n v="53.24058188416388"/>
    <n v="48"/>
  </r>
  <r>
    <d v="2026-05-23T19:00:00"/>
    <x v="2"/>
    <n v="19"/>
    <n v="25.716582248588889"/>
    <n v="27.128488389963891"/>
    <n v="28.181161602169439"/>
    <n v="23.6"/>
    <n v="48.105542104450002"/>
    <n v="46.398289651747227"/>
    <n v="51.845683963680557"/>
    <n v="49"/>
  </r>
  <r>
    <d v="2026-05-23T20:00:00"/>
    <x v="2"/>
    <n v="20"/>
    <n v="25.77156270902778"/>
    <n v="27.137981942138889"/>
    <n v="28.244379060841659"/>
    <n v="22.6"/>
    <n v="50.662147382874998"/>
    <n v="48.745877847324998"/>
    <n v="51.52880835930555"/>
    <n v="54"/>
  </r>
  <r>
    <d v="2026-05-23T21:00:00"/>
    <x v="2"/>
    <n v="21"/>
    <n v="25.418029243744449"/>
    <n v="27.140504164825"/>
    <n v="28.286932731911111"/>
    <n v="20.8"/>
    <n v="51.561545224874997"/>
    <n v="49.649158089672227"/>
    <n v="51.615392409297222"/>
    <n v="60"/>
  </r>
  <r>
    <d v="2026-05-23T22:00:00"/>
    <x v="2"/>
    <n v="22"/>
    <n v="25.028320027525002"/>
    <n v="27.29873195641111"/>
    <n v="28.389731494799999"/>
    <n v="20.399999999999999"/>
    <n v="51.846836168833327"/>
    <n v="48.915762767694453"/>
    <n v="51.041485236474998"/>
    <n v="64"/>
  </r>
  <r>
    <d v="2026-05-23T23:00:00"/>
    <x v="2"/>
    <n v="23"/>
    <n v="25.226390835213891"/>
    <n v="27.31702760533889"/>
    <n v="28.29863507620556"/>
    <n v="20.2"/>
    <n v="51.80034767105834"/>
    <n v="48.126276920952783"/>
    <n v="52.59805401077778"/>
    <n v="66"/>
  </r>
  <r>
    <d v="2026-05-24T00:00:00"/>
    <x v="2"/>
    <n v="0"/>
    <n v="24.226745889713889"/>
    <n v="27.36106223913611"/>
    <n v="28.2664388"/>
    <n v="19.8"/>
    <n v="53.454282346294441"/>
    <n v="47.177099134477778"/>
    <n v="51.257083264499997"/>
    <n v="68"/>
  </r>
  <r>
    <d v="2026-05-24T01:00:00"/>
    <x v="2"/>
    <n v="1"/>
    <n v="22.16916279565833"/>
    <n v="27.27472629634444"/>
    <n v="28.195787710133331"/>
    <n v="19.3"/>
    <n v="59.442797559233327"/>
    <n v="45.833667760241667"/>
    <n v="51.772241735988892"/>
    <n v="71"/>
  </r>
  <r>
    <d v="2026-05-24T02:00:00"/>
    <x v="2"/>
    <n v="2"/>
    <n v="21.87157225153889"/>
    <n v="27.31240352573889"/>
    <n v="28.21889635285833"/>
    <n v="18.8"/>
    <n v="60.327412283980557"/>
    <n v="45.572362359886107"/>
    <n v="51.322491131483339"/>
    <n v="74"/>
  </r>
  <r>
    <d v="2026-05-24T03:00:00"/>
    <x v="2"/>
    <n v="3"/>
    <n v="22.15175936658056"/>
    <n v="27.027688400216661"/>
    <n v="28.14283001542778"/>
    <n v="16.100000000000001"/>
    <n v="58.558414213858327"/>
    <n v="45.669970146408332"/>
    <n v="52.173461453825013"/>
    <n v="89"/>
  </r>
  <r>
    <d v="2026-05-24T04:00:00"/>
    <x v="2"/>
    <n v="4"/>
    <n v="22.321650038527778"/>
    <n v="26.366984650811109"/>
    <n v="28.07204664605834"/>
    <n v="15.7"/>
    <n v="56.878570843266672"/>
    <n v="45.730876257544452"/>
    <n v="51.055631459911112"/>
    <n v="93"/>
  </r>
  <r>
    <d v="2026-05-24T05:00:00"/>
    <x v="2"/>
    <n v="5"/>
    <n v="22.407503347313892"/>
    <n v="26.15178840911944"/>
    <n v="28.019351937519449"/>
    <n v="15.4"/>
    <n v="55.379895951497218"/>
    <n v="45.196197497900002"/>
    <n v="50.451649174383327"/>
    <n v="94"/>
  </r>
  <r>
    <d v="2026-05-24T06:00:00"/>
    <x v="2"/>
    <n v="6"/>
    <n v="24.131057579408331"/>
    <n v="26.193162622725001"/>
    <n v="27.993074069266669"/>
    <n v="16"/>
    <n v="49.649499862702783"/>
    <n v="44.600818553247223"/>
    <n v="49.967249897599999"/>
    <n v="89"/>
  </r>
  <r>
    <d v="2026-05-24T07:00:00"/>
    <x v="2"/>
    <n v="7"/>
    <n v="25.540772167219441"/>
    <n v="26.275691864563889"/>
    <n v="27.98829633702778"/>
    <n v="17.5"/>
    <n v="44.978671130397217"/>
    <n v="43.603513305661117"/>
    <n v="49.551043286358329"/>
    <n v="78"/>
  </r>
  <r>
    <d v="2026-05-24T08:00:00"/>
    <x v="2"/>
    <n v="8"/>
    <n v="26.415850243511109"/>
    <n v="26.39675528793056"/>
    <n v="27.97645561474722"/>
    <n v="19.3"/>
    <n v="41.597839480344447"/>
    <n v="42.22350338495"/>
    <n v="49.206820112847218"/>
    <n v="67"/>
  </r>
  <r>
    <d v="2026-05-24T09:00:00"/>
    <x v="2"/>
    <n v="9"/>
    <n v="27.077366631263889"/>
    <n v="26.854008985230561"/>
    <n v="27.987701966930551"/>
    <n v="20.399999999999999"/>
    <n v="40.261183906802778"/>
    <n v="40.804997094258333"/>
    <n v="48.968681946466667"/>
    <n v="64"/>
  </r>
  <r>
    <d v="2026-05-24T10:00:00"/>
    <x v="2"/>
    <n v="10"/>
    <n v="27.320683991986112"/>
    <n v="27.074717293733329"/>
    <n v="28.00294605245"/>
    <n v="21.7"/>
    <n v="38.295384652047218"/>
    <n v="38.974721031844453"/>
    <n v="48.713324683000003"/>
    <n v="57"/>
  </r>
  <r>
    <d v="2026-05-24T11:00:00"/>
    <x v="2"/>
    <n v="11"/>
    <n v="27.303734394366671"/>
    <n v="27.321017102894441"/>
    <n v="28.01530533611389"/>
    <n v="22.7"/>
    <n v="37.125154057355552"/>
    <n v="39.014473609044451"/>
    <n v="48.454333019486107"/>
    <n v="51"/>
  </r>
  <r>
    <d v="2026-05-24T12:00:00"/>
    <x v="2"/>
    <n v="12"/>
    <n v="27.049733943547221"/>
    <n v="27.51896836878333"/>
    <n v="28.008592396400001"/>
    <n v="23.5"/>
    <n v="35.26719018170278"/>
    <n v="36.790545302413889"/>
    <n v="48.241765003705552"/>
    <n v="48"/>
  </r>
  <r>
    <d v="2026-05-24T13:00:00"/>
    <x v="2"/>
    <n v="13"/>
    <n v="26.895697551670828"/>
    <n v="27.468436768033339"/>
    <n v="28.088150655072219"/>
    <n v="24"/>
    <n v="35.685875302279157"/>
    <n v="36.424576901127779"/>
    <n v="48.002119859980553"/>
    <n v="44"/>
  </r>
  <r>
    <d v="2026-05-24T14:00:00"/>
    <x v="2"/>
    <n v="14"/>
    <m/>
    <n v="27.473861616025001"/>
    <n v="28.273318010044449"/>
    <n v="24"/>
    <m/>
    <n v="35.444185869213889"/>
    <n v="47.866087793391671"/>
    <n v="43"/>
  </r>
  <r>
    <d v="2026-05-24T15:00:00"/>
    <x v="2"/>
    <n v="15"/>
    <n v="26.48695483852979"/>
    <n v="27.647649278955559"/>
    <n v="28.28829402761389"/>
    <n v="25.4"/>
    <n v="32.435869710737791"/>
    <n v="33.764815229"/>
    <n v="46.54937383818055"/>
    <n v="34"/>
  </r>
  <r>
    <d v="2026-05-24T16:00:00"/>
    <x v="2"/>
    <n v="16"/>
    <n v="26.815691689869439"/>
    <n v="27.529934431086112"/>
    <n v="28.186316350919441"/>
    <n v="25.1"/>
    <n v="32.202546543519453"/>
    <n v="35.000411219880547"/>
    <n v="46.072554491763889"/>
    <n v="32"/>
  </r>
  <r>
    <d v="2026-05-24T17:00:00"/>
    <x v="2"/>
    <n v="17"/>
    <n v="26.880377901669441"/>
    <n v="27.400171469069441"/>
    <n v="28.238305620752779"/>
    <n v="25.2"/>
    <n v="31.57020798183056"/>
    <n v="34.111624970122222"/>
    <n v="46.542916888447223"/>
    <n v="30"/>
  </r>
  <r>
    <d v="2026-05-24T18:00:00"/>
    <x v="2"/>
    <n v="18"/>
    <n v="26.806754061677779"/>
    <n v="27.406421142458331"/>
    <n v="28.224962609738888"/>
    <n v="24.8"/>
    <n v="32.023898755608343"/>
    <n v="34.258140273475"/>
    <n v="46.498115267141657"/>
    <n v="29"/>
  </r>
  <r>
    <d v="2026-05-24T19:00:00"/>
    <x v="2"/>
    <n v="19"/>
    <n v="26.783240015033329"/>
    <n v="27.403232427238891"/>
    <n v="28.207687447600001"/>
    <n v="24"/>
    <n v="32.430668329330558"/>
    <n v="35.268053849638903"/>
    <n v="46.527823955133329"/>
    <n v="31"/>
  </r>
  <r>
    <d v="2026-05-24T20:00:00"/>
    <x v="2"/>
    <n v="20"/>
    <n v="26.30335999344166"/>
    <n v="27.207872126897211"/>
    <n v="28.19631266687778"/>
    <n v="23"/>
    <n v="33.711095919119437"/>
    <n v="35.696228651924997"/>
    <n v="46.434572408094454"/>
    <n v="32"/>
  </r>
  <r>
    <d v="2026-05-24T21:00:00"/>
    <x v="2"/>
    <n v="21"/>
    <n v="24.990502992244441"/>
    <n v="27.47062994263333"/>
    <n v="27.748169853438881"/>
    <n v="21.7"/>
    <n v="37.410731347313892"/>
    <n v="36.682017701833338"/>
    <n v="45.799372257155561"/>
    <n v="39"/>
  </r>
  <r>
    <d v="2026-05-24T22:00:00"/>
    <x v="2"/>
    <n v="22"/>
    <n v="22.25419860326112"/>
    <n v="27.367907351711111"/>
    <n v="27.135905909652781"/>
    <n v="20.5"/>
    <n v="41.309386989425001"/>
    <n v="34.252411974441657"/>
    <n v="44.332345579036122"/>
    <n v="42"/>
  </r>
  <r>
    <d v="2026-05-24T23:00:00"/>
    <x v="2"/>
    <n v="23"/>
    <n v="21.872715893961111"/>
    <n v="27.33505257781389"/>
    <n v="26.963175364755561"/>
    <n v="19.7"/>
    <n v="41.829197110800003"/>
    <n v="33.699181878241667"/>
    <n v="44.118075172238889"/>
    <n v="45"/>
  </r>
  <r>
    <d v="2026-05-25T00:00:00"/>
    <x v="2"/>
    <n v="0"/>
    <n v="21.705371380305561"/>
    <n v="27.053827367930559"/>
    <n v="26.918585952000001"/>
    <n v="18.8"/>
    <n v="42.104084780374997"/>
    <n v="34.432028502149997"/>
    <n v="44.103688356200003"/>
    <n v="49"/>
  </r>
  <r>
    <d v="2026-05-25T01:00:00"/>
    <x v="2"/>
    <n v="1"/>
    <n v="21.12653579734722"/>
    <n v="26.60971599201666"/>
    <n v="27.375400915124999"/>
    <n v="17.7"/>
    <n v="44.080014356094438"/>
    <n v="34.444379235247219"/>
    <n v="44.535984698305562"/>
    <n v="55"/>
  </r>
  <r>
    <d v="2026-05-25T02:00:00"/>
    <x v="2"/>
    <n v="2"/>
    <n v="20.653100461747229"/>
    <n v="26.04877611645556"/>
    <n v="27.615400734352772"/>
    <n v="17.100000000000001"/>
    <n v="44.410884951991669"/>
    <n v="34.289402696166668"/>
    <n v="44.616481424769439"/>
    <n v="58"/>
  </r>
  <r>
    <d v="2026-05-25T03:00:00"/>
    <x v="2"/>
    <n v="3"/>
    <n v="20.245050386930561"/>
    <n v="25.83457914798889"/>
    <n v="27.690779451333331"/>
    <n v="16.2"/>
    <n v="45.300647036502788"/>
    <n v="34.413260610133342"/>
    <n v="44.583035983905553"/>
    <n v="63"/>
  </r>
  <r>
    <d v="2026-05-25T04:00:00"/>
    <x v="2"/>
    <n v="4"/>
    <n v="19.572982413794449"/>
    <n v="25.597910767152779"/>
    <n v="27.726028617794441"/>
    <n v="15.5"/>
    <n v="47.577195210119449"/>
    <n v="35.115240965244453"/>
    <n v="44.570646592075001"/>
    <n v="65"/>
  </r>
  <r>
    <d v="2026-05-25T05:00:00"/>
    <x v="2"/>
    <n v="5"/>
    <n v="20.172071862180559"/>
    <n v="25.754925914738891"/>
    <n v="27.759547661280561"/>
    <n v="14.9"/>
    <n v="49.126577047133338"/>
    <n v="36.239562533219441"/>
    <n v="44.591599573688889"/>
    <n v="68"/>
  </r>
  <r>
    <d v="2026-05-25T06:00:00"/>
    <x v="2"/>
    <n v="6"/>
    <n v="22.744852912936111"/>
    <n v="26.306729851602778"/>
    <n v="27.794491235463891"/>
    <n v="15.8"/>
    <n v="43.922131201363896"/>
    <n v="37.987866488327782"/>
    <n v="44.929739292155553"/>
    <n v="65"/>
  </r>
  <r>
    <d v="2026-05-25T07:00:00"/>
    <x v="2"/>
    <n v="7"/>
    <n v="24.386672093066661"/>
    <n v="26.698875428105559"/>
    <n v="27.836742431147218"/>
    <n v="17.7"/>
    <n v="38.956917285655557"/>
    <n v="37.266301330122218"/>
    <n v="45.023131879894443"/>
    <n v="58"/>
  </r>
  <r>
    <d v="2026-05-25T08:00:00"/>
    <x v="2"/>
    <n v="8"/>
    <n v="25.496054280211109"/>
    <n v="27.13022955769722"/>
    <n v="27.915337438272221"/>
    <n v="20.100000000000001"/>
    <n v="37.159869274261112"/>
    <n v="36.743705984338888"/>
    <n v="45.123508807158338"/>
    <n v="50"/>
  </r>
  <r>
    <d v="2026-05-25T09:00:00"/>
    <x v="2"/>
    <n v="9"/>
    <n v="24.945618119716659"/>
    <n v="27.05912299384444"/>
    <n v="27.978117439502778"/>
    <n v="21.9"/>
    <n v="40.202904404788889"/>
    <n v="37.919706024080561"/>
    <n v="45.193030689872216"/>
    <n v="44"/>
  </r>
  <r>
    <d v="2026-05-25T10:00:00"/>
    <x v="2"/>
    <n v="10"/>
    <n v="25.632431844525001"/>
    <n v="27.185197141549999"/>
    <n v="27.977853606627772"/>
    <n v="18.7"/>
    <n v="38.990388020713887"/>
    <n v="37.359173260749998"/>
    <n v="45.350243911013898"/>
    <n v="65"/>
  </r>
  <r>
    <d v="2026-05-25T11:00:00"/>
    <x v="2"/>
    <n v="11"/>
    <n v="22.405122958780559"/>
    <n v="27.106018638991671"/>
    <n v="28.010094828955559"/>
    <n v="21.4"/>
    <n v="51.832942633547233"/>
    <n v="40.862091873680562"/>
    <n v="45.588998436341662"/>
    <n v="51"/>
  </r>
  <r>
    <d v="2026-05-25T12:00:00"/>
    <x v="2"/>
    <n v="12"/>
    <n v="24.400102964861109"/>
    <n v="27.14121362348056"/>
    <n v="28.000037690477779"/>
    <n v="22.7"/>
    <n v="47.659263347611109"/>
    <n v="41.623104788472233"/>
    <n v="46.013532673019448"/>
    <n v="48"/>
  </r>
  <r>
    <d v="2026-05-25T13:00:00"/>
    <x v="2"/>
    <n v="13"/>
    <n v="25.159165379408339"/>
    <n v="27.138617985113889"/>
    <n v="27.995583150072221"/>
    <n v="23.6"/>
    <n v="43.170485117894437"/>
    <n v="39.419282644452778"/>
    <n v="46.121508513055552"/>
    <n v="47"/>
  </r>
  <r>
    <d v="2026-05-25T14:00:00"/>
    <x v="2"/>
    <n v="14"/>
    <n v="25.707201539147221"/>
    <n v="27.272866679130551"/>
    <n v="27.998638824586109"/>
    <n v="24"/>
    <n v="41.38757288170833"/>
    <n v="38.891394449572232"/>
    <n v="46.13908553200833"/>
    <n v="42"/>
  </r>
  <r>
    <d v="2026-05-25T15:00:00"/>
    <x v="2"/>
    <n v="15"/>
    <n v="25.729202889216669"/>
    <n v="27.41116256242222"/>
    <n v="28.00364866269722"/>
    <n v="23.6"/>
    <n v="37.204633480180561"/>
    <n v="36.407866436394443"/>
    <n v="46.107638023652783"/>
    <n v="45"/>
  </r>
  <r>
    <d v="2026-05-25T16:00:00"/>
    <x v="2"/>
    <n v="16"/>
    <n v="25.82952846678889"/>
    <n v="27.47840369713612"/>
    <n v="28.003211959972219"/>
    <n v="23.9"/>
    <n v="32.091070485558333"/>
    <n v="31.92760947027222"/>
    <n v="45.760858753863893"/>
    <n v="36"/>
  </r>
  <r>
    <d v="2026-05-25T17:00:00"/>
    <x v="2"/>
    <n v="17"/>
    <n v="25.80684773466389"/>
    <n v="27.413034119916659"/>
    <n v="27.681037005288889"/>
    <n v="23.6"/>
    <n v="30.941507730347219"/>
    <n v="32.192284640341668"/>
    <n v="42.503101961727779"/>
    <n v="32"/>
  </r>
  <r>
    <d v="2026-05-25T18:00:00"/>
    <x v="2"/>
    <n v="18"/>
    <n v="25.556082938944449"/>
    <m/>
    <n v="27.322347444066661"/>
    <n v="22.7"/>
    <n v="30.615346280583331"/>
    <m/>
    <n v="43.032411162794453"/>
    <n v="35"/>
  </r>
  <r>
    <d v="2026-05-25T19:00:00"/>
    <x v="2"/>
    <n v="19"/>
    <n v="24.86018994214167"/>
    <n v="27.06026327644879"/>
    <n v="27.23136320255556"/>
    <n v="21.6"/>
    <n v="32.781817122411113"/>
    <n v="35.804712484160383"/>
    <n v="42.761659739727783"/>
    <n v="39"/>
  </r>
  <r>
    <d v="2026-05-25T20:00:00"/>
    <x v="2"/>
    <n v="20"/>
    <n v="23.653179880366672"/>
    <n v="27.30850433165277"/>
    <n v="27.01477402308333"/>
    <n v="20.399999999999999"/>
    <n v="36.041723080808332"/>
    <n v="33.027092024000012"/>
    <n v="42.794655590475003"/>
    <n v="45"/>
  </r>
  <r>
    <d v="2026-05-25T21:00:00"/>
    <x v="2"/>
    <n v="21"/>
    <n v="22.86309465415"/>
    <n v="27.202446880588891"/>
    <n v="26.72370853400556"/>
    <n v="19.399999999999999"/>
    <n v="37.487529716105549"/>
    <n v="33.363980977622219"/>
    <n v="42.913789631336108"/>
    <n v="49"/>
  </r>
  <r>
    <d v="2026-05-25T22:00:00"/>
    <x v="2"/>
    <n v="22"/>
    <n v="22.884748427544451"/>
    <n v="26.940273554952778"/>
    <n v="26.74265852509722"/>
    <n v="18.5"/>
    <n v="37.111682950261113"/>
    <n v="33.152723452141657"/>
    <n v="42.485520864913887"/>
    <n v="52"/>
  </r>
  <r>
    <d v="2026-05-25T23:00:00"/>
    <x v="2"/>
    <n v="23"/>
    <n v="22.81781890323612"/>
    <n v="26.848972104641661"/>
    <n v="26.794829447211111"/>
    <n v="17.7"/>
    <n v="37.740949366927779"/>
    <n v="34.793074181324997"/>
    <n v="42.801180841680562"/>
    <n v="54"/>
  </r>
  <r>
    <d v="2026-05-26T00:00:00"/>
    <x v="2"/>
    <n v="0"/>
    <n v="22.913014763650001"/>
    <n v="26.82013487985278"/>
    <n v="26.842408199913891"/>
    <n v="17.100000000000001"/>
    <n v="36.138578603891673"/>
    <n v="34.378158479605553"/>
    <n v="42.192893926244437"/>
    <n v="55"/>
  </r>
  <r>
    <d v="2026-05-26T01:00:00"/>
    <x v="2"/>
    <n v="1"/>
    <n v="22.234813972030551"/>
    <n v="26.638578611850001"/>
    <n v="26.962378332175"/>
    <n v="16.600000000000001"/>
    <n v="36.552384297258328"/>
    <n v="31.72142267378333"/>
    <n v="41.501381026319443"/>
    <n v="55"/>
  </r>
  <r>
    <d v="2026-05-26T02:00:00"/>
    <x v="2"/>
    <n v="2"/>
    <n v="21.289422975255562"/>
    <n v="26.22594566331945"/>
    <n v="27.494223696133329"/>
    <n v="16.2"/>
    <n v="39.060000954466673"/>
    <n v="32.09199547776111"/>
    <n v="42.06089737452222"/>
    <n v="55"/>
  </r>
  <r>
    <d v="2026-05-26T03:00:00"/>
    <x v="2"/>
    <n v="3"/>
    <n v="20.551688374305559"/>
    <n v="25.685707435411121"/>
    <n v="27.768285243441671"/>
    <n v="15.4"/>
    <n v="40.917208428172223"/>
    <n v="32.408318178108338"/>
    <n v="41.989046391591657"/>
    <n v="57"/>
  </r>
  <r>
    <d v="2026-05-26T04:00:00"/>
    <x v="2"/>
    <n v="4"/>
    <n v="20.904929957986109"/>
    <n v="25.378356499052781"/>
    <n v="27.56328359986945"/>
    <n v="14.6"/>
    <n v="41.206734802772232"/>
    <n v="33.571748914663893"/>
    <n v="42.453039311619442"/>
    <n v="61"/>
  </r>
  <r>
    <d v="2026-05-26T05:00:00"/>
    <x v="2"/>
    <n v="5"/>
    <n v="20.784382104555561"/>
    <n v="25.142131974775001"/>
    <n v="27.52191192251389"/>
    <n v="14.3"/>
    <n v="42.113203937397223"/>
    <n v="34.329809390469443"/>
    <n v="42.684192393525002"/>
    <n v="63"/>
  </r>
  <r>
    <d v="2026-05-26T06:00:00"/>
    <x v="2"/>
    <n v="6"/>
    <n v="21.098078561938891"/>
    <n v="25.09777456988056"/>
    <n v="27.537982092341672"/>
    <n v="14.8"/>
    <n v="42.221632977627777"/>
    <n v="35.043148387022228"/>
    <n v="42.821186986000008"/>
    <n v="61"/>
  </r>
  <r>
    <d v="2026-05-26T07:00:00"/>
    <x v="2"/>
    <n v="7"/>
    <n v="22.621739307297229"/>
    <n v="25.523681918244449"/>
    <n v="27.61526592445556"/>
    <n v="16"/>
    <n v="39.383767159980557"/>
    <n v="34.919512454269437"/>
    <n v="42.884735368591663"/>
    <n v="59"/>
  </r>
  <r>
    <d v="2026-05-26T08:00:00"/>
    <x v="2"/>
    <n v="8"/>
    <n v="23.11415150017778"/>
    <n v="25.85091921235556"/>
    <n v="27.820278205783332"/>
    <n v="17.2"/>
    <n v="38.733986067025"/>
    <n v="34.84083251018334"/>
    <n v="42.777010315202773"/>
    <n v="56"/>
  </r>
  <r>
    <d v="2026-05-26T09:00:00"/>
    <x v="2"/>
    <n v="9"/>
    <n v="23.119175738038891"/>
    <n v="25.66943211993889"/>
    <n v="27.6694293485"/>
    <n v="18.600000000000001"/>
    <n v="39.212168962805563"/>
    <n v="35.387593398902773"/>
    <n v="43.145681691119449"/>
    <n v="51"/>
  </r>
  <r>
    <d v="2026-05-26T10:00:00"/>
    <x v="2"/>
    <n v="10"/>
    <n v="22.921437854027779"/>
    <n v="25.587001760680561"/>
    <n v="27.622935260683331"/>
    <n v="19.100000000000001"/>
    <n v="40.059099507636112"/>
    <n v="36.086462222575001"/>
    <n v="43.359948260783327"/>
    <n v="49"/>
  </r>
  <r>
    <d v="2026-05-26T11:00:00"/>
    <x v="2"/>
    <n v="11"/>
    <n v="22.846775225805558"/>
    <n v="26.01889740803334"/>
    <n v="27.630583286144439"/>
    <n v="18.3"/>
    <n v="40.180805724227781"/>
    <n v="36.817057308016658"/>
    <n v="43.518535824169447"/>
    <n v="53"/>
  </r>
  <r>
    <d v="2026-05-26T12:00:00"/>
    <x v="2"/>
    <n v="12"/>
    <n v="23.311821505108341"/>
    <n v="26.190163392700001"/>
    <n v="27.661580965350002"/>
    <n v="17.3"/>
    <n v="35.445466862327777"/>
    <n v="33.773428736511107"/>
    <n v="43.381338115758332"/>
    <n v="55"/>
  </r>
  <r>
    <d v="2026-05-26T13:00:00"/>
    <x v="2"/>
    <n v="13"/>
    <n v="22.788451984072221"/>
    <n v="26.021989301775001"/>
    <n v="27.636066613497221"/>
    <n v="17.2"/>
    <n v="36.480770359488893"/>
    <n v="33.490357341519449"/>
    <n v="43.126537936908328"/>
    <n v="53"/>
  </r>
  <r>
    <d v="2026-05-26T14:00:00"/>
    <x v="2"/>
    <n v="14"/>
    <n v="23.118545620405559"/>
    <n v="25.470815737158329"/>
    <n v="27.63478730890278"/>
    <n v="18"/>
    <n v="33.964069359177778"/>
    <n v="32.404160122644441"/>
    <n v="42.927175802024998"/>
    <n v="47"/>
  </r>
  <r>
    <d v="2026-05-26T15:00:00"/>
    <x v="2"/>
    <n v="15"/>
    <n v="23.161162162008331"/>
    <n v="25.38338099816389"/>
    <n v="27.633832775244439"/>
    <n v="18"/>
    <n v="33.527277916713892"/>
    <n v="32.567490278511109"/>
    <n v="42.803144316163888"/>
    <n v="45"/>
  </r>
  <r>
    <d v="2026-05-26T16:00:00"/>
    <x v="2"/>
    <n v="16"/>
    <n v="23.025383005416671"/>
    <n v="25.411633233994451"/>
    <n v="27.64005933010278"/>
    <n v="18"/>
    <n v="32.999366258202777"/>
    <n v="31.644221515624999"/>
    <n v="42.597401284900002"/>
    <n v="42"/>
  </r>
  <r>
    <d v="2026-05-26T17:00:00"/>
    <x v="2"/>
    <n v="17"/>
    <n v="22.7683261231"/>
    <n v="25.35325425803612"/>
    <n v="27.63072927511945"/>
    <n v="18.100000000000001"/>
    <n v="31.945638093986108"/>
    <n v="30.348847400972229"/>
    <n v="42.356472386780553"/>
    <n v="41"/>
  </r>
  <r>
    <d v="2026-05-26T18:00:00"/>
    <x v="2"/>
    <n v="18"/>
    <n v="22.62832495083056"/>
    <n v="25.476022103736121"/>
    <n v="27.518937690969452"/>
    <n v="18.399999999999999"/>
    <n v="28.381549343263892"/>
    <n v="27.930447004911109"/>
    <n v="40.81842464416389"/>
    <n v="38"/>
  </r>
  <r>
    <d v="2026-05-26T19:00:00"/>
    <x v="2"/>
    <n v="19"/>
    <n v="22.099359510652778"/>
    <n v="25.7963138639"/>
    <n v="27.06762325341111"/>
    <n v="18"/>
    <n v="26.654611700991669"/>
    <n v="25.751634395372221"/>
    <n v="37.71333119361389"/>
    <n v="35"/>
  </r>
  <r>
    <d v="2026-05-26T20:00:00"/>
    <x v="2"/>
    <n v="20"/>
    <n v="20.965688125425"/>
    <n v="25.913618318644438"/>
    <n v="27.318017985269449"/>
    <n v="17.100000000000001"/>
    <n v="28.625852233244441"/>
    <n v="25.75073396826944"/>
    <n v="39.379923383327771"/>
    <n v="35"/>
  </r>
  <r>
    <d v="2026-05-26T21:00:00"/>
    <x v="2"/>
    <n v="21"/>
    <n v="19.945027649688889"/>
    <n v="25.686685533355561"/>
    <n v="27.443246719311109"/>
    <n v="15.9"/>
    <n v="30.125675960974998"/>
    <n v="25.952253362994441"/>
    <n v="39.687617761386122"/>
    <n v="41"/>
  </r>
  <r>
    <d v="2026-05-26T22:00:00"/>
    <x v="2"/>
    <n v="22"/>
    <n v="19.164767300313891"/>
    <n v="25.58852635215278"/>
    <n v="27.473800500974999"/>
    <n v="15.7"/>
    <n v="31.974027622113891"/>
    <n v="25.45929475957222"/>
    <n v="39.670784842291667"/>
    <n v="42"/>
  </r>
  <r>
    <d v="2026-05-26T23:00:00"/>
    <x v="2"/>
    <n v="23"/>
    <n v="21.511575095297221"/>
    <n v="25.684223221913889"/>
    <n v="27.390447238641659"/>
    <n v="15.3"/>
    <n v="31.204571114419441"/>
    <n v="27.59896071453889"/>
    <n v="39.191441735441657"/>
    <n v="42"/>
  </r>
  <r>
    <d v="2026-05-27T00:00:00"/>
    <x v="2"/>
    <n v="0"/>
    <n v="22.83670383824445"/>
    <n v="25.881704548413889"/>
    <n v="26.36212581363889"/>
    <n v="13.7"/>
    <n v="29.340624410977771"/>
    <n v="28.169031082061121"/>
    <n v="37.571720653116657"/>
    <n v="50"/>
  </r>
  <r>
    <d v="2026-05-27T01:00:00"/>
    <x v="2"/>
    <n v="1"/>
    <n v="23.226162076286109"/>
    <n v="25.826693204424998"/>
    <n v="26.449961889097221"/>
    <n v="12.4"/>
    <n v="29.484312126094451"/>
    <n v="28.571962559297219"/>
    <n v="38.367563589597218"/>
    <n v="58"/>
  </r>
  <r>
    <d v="2026-05-27T02:00:00"/>
    <x v="2"/>
    <n v="2"/>
    <n v="22.756173628677779"/>
    <n v="25.25459052793612"/>
    <n v="27.040124641530561"/>
    <n v="11.5"/>
    <n v="31.532416206699999"/>
    <n v="29.437323210722219"/>
    <n v="39.214521700675"/>
    <n v="63"/>
  </r>
  <r>
    <d v="2026-05-27T03:00:00"/>
    <x v="2"/>
    <n v="3"/>
    <n v="22.142050823041671"/>
    <n v="24.87186361661389"/>
    <n v="27.20300344149166"/>
    <n v="11.1"/>
    <n v="33.55315356771667"/>
    <n v="30.795590835133329"/>
    <n v="39.664842955369437"/>
    <n v="61"/>
  </r>
  <r>
    <d v="2026-05-27T04:00:00"/>
    <x v="2"/>
    <n v="4"/>
    <n v="21.80902950946944"/>
    <n v="24.63751085548612"/>
    <n v="27.265294638858339"/>
    <n v="10.7"/>
    <n v="34.667313873333327"/>
    <n v="31.561570866763891"/>
    <n v="39.961931195297218"/>
    <n v="65"/>
  </r>
  <r>
    <d v="2026-05-27T05:00:00"/>
    <x v="2"/>
    <n v="5"/>
    <n v="21.583106649147229"/>
    <n v="24.447564829630551"/>
    <n v="27.293289287655561"/>
    <n v="11.7"/>
    <n v="36.458821799127783"/>
    <n v="32.770400502994441"/>
    <n v="40.232820381833328"/>
    <n v="64"/>
  </r>
  <r>
    <d v="2026-05-27T06:00:00"/>
    <x v="2"/>
    <n v="6"/>
    <n v="21.54659259183612"/>
    <n v="24.397067488316669"/>
    <n v="27.316741237386111"/>
    <n v="12.1"/>
    <n v="37.176192969066669"/>
    <n v="33.328979596772221"/>
    <n v="40.511470853405562"/>
    <n v="66"/>
  </r>
  <r>
    <d v="2026-05-27T07:00:00"/>
    <x v="2"/>
    <n v="7"/>
    <n v="21.88574500535"/>
    <n v="24.200091736097221"/>
    <n v="27.320606005847221"/>
    <n v="11.9"/>
    <n v="38.858306525800003"/>
    <n v="35.11995272461111"/>
    <n v="40.797535853091667"/>
    <n v="74"/>
  </r>
  <r>
    <d v="2026-05-27T08:00:00"/>
    <x v="2"/>
    <n v="8"/>
    <n v="22.279011610966659"/>
    <n v="24.444805498608329"/>
    <n v="27.35339289832222"/>
    <n v="11.6"/>
    <n v="41.937908779638889"/>
    <n v="37.583796550666669"/>
    <n v="41.214217108747221"/>
    <n v="91"/>
  </r>
  <r>
    <d v="2026-05-27T09:00:00"/>
    <x v="2"/>
    <n v="9"/>
    <n v="22.798832075644441"/>
    <n v="24.562751023505559"/>
    <n v="27.388375278877781"/>
    <n v="13.3"/>
    <n v="43.474108827336103"/>
    <n v="39.541937451005552"/>
    <n v="41.674356863677779"/>
    <n v="86"/>
  </r>
  <r>
    <d v="2026-05-27T10:00:00"/>
    <x v="2"/>
    <n v="10"/>
    <n v="23.514355600527779"/>
    <n v="24.95892822869444"/>
    <n v="27.420751002283328"/>
    <n v="15.1"/>
    <n v="43.194117264627778"/>
    <n v="41.445360931038891"/>
    <n v="42.065678781519438"/>
    <n v="80"/>
  </r>
  <r>
    <d v="2026-05-27T11:00:00"/>
    <x v="2"/>
    <n v="11"/>
    <n v="24.047383237508331"/>
    <n v="25.561657758866669"/>
    <n v="27.45743380571389"/>
    <n v="16.3"/>
    <n v="41.428975195077783"/>
    <n v="42.069476754486111"/>
    <n v="42.350784878600003"/>
    <n v="73"/>
  </r>
  <r>
    <d v="2026-05-27T12:00:00"/>
    <x v="2"/>
    <n v="12"/>
    <n v="24.221411564627768"/>
    <n v="25.64421723205"/>
    <n v="27.477956298827781"/>
    <n v="16.399999999999999"/>
    <n v="41.287848289141657"/>
    <n v="43.837529709297222"/>
    <n v="42.602690610197229"/>
    <n v="63"/>
  </r>
  <r>
    <d v="2026-05-27T13:00:00"/>
    <x v="2"/>
    <n v="13"/>
    <n v="24.570833751799999"/>
    <n v="25.84189404741112"/>
    <n v="27.500212445713888"/>
    <n v="18"/>
    <n v="41.565489617841671"/>
    <n v="44.177171976855547"/>
    <n v="42.763934660747218"/>
    <n v="51"/>
  </r>
  <r>
    <d v="2026-05-27T14:00:00"/>
    <x v="2"/>
    <n v="14"/>
    <n v="24.697500900424998"/>
    <n v="25.888641194408329"/>
    <n v="27.52376744318056"/>
    <n v="17.100000000000001"/>
    <n v="40.386682031197218"/>
    <n v="41.116782892505562"/>
    <n v="42.97932746093889"/>
    <n v="52"/>
  </r>
  <r>
    <d v="2026-05-27T15:00:00"/>
    <x v="2"/>
    <n v="15"/>
    <n v="24.5698525076"/>
    <n v="25.641544216905551"/>
    <n v="26.896041944425001"/>
    <n v="19.100000000000001"/>
    <n v="38.448164102083332"/>
    <n v="38.511098353549997"/>
    <n v="45.848458907655562"/>
    <n v="45"/>
  </r>
  <r>
    <d v="2026-05-27T16:00:00"/>
    <x v="2"/>
    <n v="16"/>
    <n v="24.495863527802779"/>
    <n v="25.494138337758329"/>
    <n v="26.41349561797222"/>
    <n v="19.399999999999999"/>
    <n v="37.505811341725"/>
    <n v="37.164651744449998"/>
    <n v="45.644255649322218"/>
    <n v="48"/>
  </r>
  <r>
    <d v="2026-05-27T17:00:00"/>
    <x v="2"/>
    <n v="17"/>
    <n v="24.415147446108332"/>
    <n v="25.45967639417222"/>
    <n v="26.25815127641944"/>
    <n v="19.399999999999999"/>
    <n v="38.344357027127778"/>
    <n v="38.185098239088887"/>
    <n v="46.898096887569437"/>
    <n v="49"/>
  </r>
  <r>
    <d v="2026-05-27T18:00:00"/>
    <x v="2"/>
    <n v="18"/>
    <n v="23.897313267480559"/>
    <n v="25.360751476027779"/>
    <n v="26.103938742322221"/>
    <n v="17.7"/>
    <n v="40.293425353761108"/>
    <n v="38.50236823005833"/>
    <n v="47.139240066666673"/>
    <n v="58"/>
  </r>
  <r>
    <d v="2026-05-27T19:00:00"/>
    <x v="2"/>
    <n v="19"/>
    <n v="22.94786745305278"/>
    <n v="25.21792205983056"/>
    <n v="25.860913573377779"/>
    <n v="17.399999999999999"/>
    <n v="42.254475650233339"/>
    <n v="38.936529943825001"/>
    <n v="47.260002499688888"/>
    <n v="61"/>
  </r>
  <r>
    <d v="2026-05-27T20:00:00"/>
    <x v="2"/>
    <n v="20"/>
    <n v="22.718408514252779"/>
    <n v="24.94847306777222"/>
    <n v="26.501579835522222"/>
    <n v="16.2"/>
    <n v="41.831192898780557"/>
    <n v="39.715800294213892"/>
    <n v="45.644026865502781"/>
    <n v="57"/>
  </r>
  <r>
    <d v="2026-05-27T21:00:00"/>
    <x v="2"/>
    <n v="21"/>
    <n v="22.490006790755551"/>
    <n v="25.06530658626389"/>
    <n v="26.825536502261109"/>
    <n v="13.8"/>
    <n v="41.338078813283332"/>
    <n v="38.70458649502222"/>
    <n v="45.054006415108333"/>
    <n v="66"/>
  </r>
  <r>
    <d v="2026-05-27T22:00:00"/>
    <x v="2"/>
    <n v="22"/>
    <n v="22.597137593275001"/>
    <n v="25.181302886499999"/>
    <n v="26.973759723541669"/>
    <n v="12.9"/>
    <n v="37.353452504402767"/>
    <n v="36.034488967433333"/>
    <n v="44.588276038849997"/>
    <n v="68"/>
  </r>
  <r>
    <d v="2026-05-27T23:00:00"/>
    <x v="2"/>
    <n v="23"/>
    <n v="21.857882394825001"/>
    <n v="25.17059100171112"/>
    <n v="27.051575558286121"/>
    <n v="11.6"/>
    <n v="37.879753687591673"/>
    <n v="36.753214289066669"/>
    <n v="44.212656087280557"/>
    <n v="67"/>
  </r>
  <r>
    <d v="2026-05-28T00:00:00"/>
    <x v="2"/>
    <n v="0"/>
    <n v="22.099410509575002"/>
    <n v="25.221326750544449"/>
    <n v="27.09520702081667"/>
    <n v="10.7"/>
    <n v="36.141493864372222"/>
    <n v="34.574743685952782"/>
    <n v="43.888114630172232"/>
    <n v="71"/>
  </r>
  <r>
    <d v="2026-05-28T01:00:00"/>
    <x v="2"/>
    <n v="1"/>
    <n v="21.725847060416669"/>
    <n v="25.110553521063888"/>
    <n v="26.985135864416659"/>
    <n v="10.199999999999999"/>
    <n v="36.617640750738893"/>
    <n v="33.652674393513877"/>
    <n v="42.798781158819438"/>
    <n v="74"/>
  </r>
  <r>
    <d v="2026-05-28T02:00:00"/>
    <x v="2"/>
    <n v="2"/>
    <n v="21.409527302486111"/>
    <n v="24.479938012958328"/>
    <n v="26.996303267083331"/>
    <n v="9.9"/>
    <n v="36.206605577233333"/>
    <n v="32.989425213794448"/>
    <n v="42.658116245986122"/>
    <n v="75"/>
  </r>
  <r>
    <d v="2026-05-28T03:00:00"/>
    <x v="2"/>
    <n v="3"/>
    <n v="21.384113266461121"/>
    <n v="24.085851775155561"/>
    <n v="27.009171739241669"/>
    <n v="9.4"/>
    <n v="34.657104377433328"/>
    <n v="31.86557971961944"/>
    <n v="42.313448267177783"/>
    <n v="69"/>
  </r>
  <r>
    <d v="2026-05-28T04:00:00"/>
    <x v="2"/>
    <n v="4"/>
    <n v="21.25585965397222"/>
    <n v="23.775597781586111"/>
    <n v="26.988733872375001"/>
    <n v="8.9"/>
    <n v="34.462295919052778"/>
    <n v="31.70994801166389"/>
    <n v="41.852253134416657"/>
    <n v="73"/>
  </r>
  <r>
    <d v="2026-05-28T05:00:00"/>
    <x v="2"/>
    <n v="5"/>
    <n v="21.663054036022221"/>
    <n v="23.798840912058331"/>
    <n v="26.981580563711109"/>
    <n v="8.6"/>
    <n v="34.05481930446944"/>
    <n v="32.05462831881389"/>
    <n v="41.713897201777783"/>
    <n v="75"/>
  </r>
  <r>
    <d v="2026-05-28T06:00:00"/>
    <x v="2"/>
    <n v="6"/>
    <n v="22.947067564933331"/>
    <n v="24.295758829033328"/>
    <n v="27.005674839958331"/>
    <n v="9.3000000000000007"/>
    <n v="31.30084321096389"/>
    <n v="31.747412384688889"/>
    <n v="41.695553569713887"/>
    <n v="70"/>
  </r>
  <r>
    <d v="2026-05-28T07:00:00"/>
    <x v="2"/>
    <n v="7"/>
    <n v="23.88744569640556"/>
    <n v="24.683068077616671"/>
    <n v="27.053646986327781"/>
    <n v="10.5"/>
    <n v="30.205278937441669"/>
    <n v="31.29529394914444"/>
    <n v="41.685191411819453"/>
    <n v="63"/>
  </r>
  <r>
    <d v="2026-05-28T08:00:00"/>
    <x v="2"/>
    <n v="8"/>
    <n v="24.47926461821389"/>
    <n v="25.058027954019451"/>
    <n v="27.101638977575"/>
    <n v="11.6"/>
    <n v="29.127437597027779"/>
    <n v="31.120702090508331"/>
    <n v="41.687449849119453"/>
    <n v="58"/>
  </r>
  <r>
    <d v="2026-05-28T09:00:00"/>
    <x v="2"/>
    <n v="9"/>
    <n v="24.588068469172221"/>
    <n v="25.14429823007222"/>
    <n v="27.132130935263891"/>
    <n v="12.5"/>
    <n v="28.67940128496944"/>
    <n v="30.839954831755549"/>
    <n v="41.677629873697221"/>
    <n v="55"/>
  </r>
  <r>
    <d v="2026-05-28T10:00:00"/>
    <x v="2"/>
    <n v="10"/>
    <n v="24.55752798649722"/>
    <n v="25.103479292725002"/>
    <n v="27.147074719630549"/>
    <n v="13.3"/>
    <n v="27.91030954018056"/>
    <n v="30.325338474658331"/>
    <n v="41.612988611480553"/>
    <n v="50"/>
  </r>
  <r>
    <d v="2026-05-28T11:00:00"/>
    <x v="2"/>
    <n v="11"/>
    <n v="24.045653867369442"/>
    <n v="25.040754829352771"/>
    <n v="27.160611927377779"/>
    <n v="14.5"/>
    <n v="26.970167350919439"/>
    <n v="29.738077438625002"/>
    <n v="41.417682862461113"/>
    <n v="43"/>
  </r>
  <r>
    <d v="2026-05-28T12:00:00"/>
    <x v="2"/>
    <n v="12"/>
    <n v="23.93537191321667"/>
    <n v="25.376097343566659"/>
    <n v="27.15985153931944"/>
    <n v="15.8"/>
    <n v="27.26218632963889"/>
    <n v="29.792442796700001"/>
    <n v="41.287198362319437"/>
    <n v="40"/>
  </r>
  <r>
    <d v="2026-05-28T13:00:00"/>
    <x v="2"/>
    <n v="13"/>
    <n v="23.85965786537222"/>
    <n v="25.329908082772221"/>
    <n v="27.169249919283331"/>
    <n v="16.600000000000001"/>
    <n v="26.651861785547229"/>
    <n v="28.016878122638889"/>
    <n v="41.11633791003333"/>
    <n v="38"/>
  </r>
  <r>
    <d v="2026-05-28T14:00:00"/>
    <x v="2"/>
    <n v="14"/>
    <n v="23.393769575972229"/>
    <n v="25.274156442075"/>
    <n v="26.53974084007222"/>
    <n v="17.100000000000001"/>
    <n v="29.995968956688891"/>
    <n v="29.659205883399999"/>
    <n v="39.000928381636108"/>
    <n v="37"/>
  </r>
  <r>
    <d v="2026-05-28T15:00:00"/>
    <x v="2"/>
    <n v="15"/>
    <n v="21.517793676280561"/>
    <n v="24.93363330787777"/>
    <n v="26.178866773908339"/>
    <n v="13.7"/>
    <n v="30.708348757744449"/>
    <n v="28.6663823751"/>
    <n v="38.288102037066672"/>
    <n v="51"/>
  </r>
  <r>
    <d v="2026-05-28T16:00:00"/>
    <x v="2"/>
    <n v="16"/>
    <n v="20.987778549686109"/>
    <n v="24.971562174755551"/>
    <n v="25.40766286691111"/>
    <n v="13.2"/>
    <n v="32.537489169594437"/>
    <n v="29.412569008930561"/>
    <n v="38.604365268919437"/>
    <n v="53"/>
  </r>
  <r>
    <d v="2026-05-28T17:00:00"/>
    <x v="2"/>
    <n v="17"/>
    <n v="22.902090987516669"/>
    <n v="24.992614686930551"/>
    <n v="25.41764618524445"/>
    <n v="14.3"/>
    <n v="28.085274216533328"/>
    <n v="28.58297398180833"/>
    <n v="37.19710576536945"/>
    <n v="50"/>
  </r>
  <r>
    <d v="2026-05-28T18:00:00"/>
    <x v="2"/>
    <n v="18"/>
    <n v="22.98234161054167"/>
    <n v="24.68495092931111"/>
    <n v="26.070240994799999"/>
    <n v="14.1"/>
    <n v="27.211493238308339"/>
    <n v="27.498732752527779"/>
    <n v="38.204181144049997"/>
    <n v="48"/>
  </r>
  <r>
    <d v="2026-05-28T19:00:00"/>
    <x v="2"/>
    <n v="19"/>
    <n v="23.001801071038891"/>
    <n v="24.802690452724999"/>
    <n v="26.457663767447219"/>
    <n v="12.6"/>
    <n v="29.444085212419441"/>
    <n v="29.563137519261112"/>
    <n v="38.830279497705547"/>
    <n v="51"/>
  </r>
  <r>
    <d v="2026-05-28T20:00:00"/>
    <x v="2"/>
    <n v="20"/>
    <n v="22.491520013063891"/>
    <n v="24.92839899173056"/>
    <n v="26.63305915683334"/>
    <n v="11.3"/>
    <n v="31.65468381743889"/>
    <n v="30.656745755344449"/>
    <n v="39.384149982844441"/>
    <n v="60"/>
  </r>
  <r>
    <d v="2026-05-28T21:00:00"/>
    <x v="2"/>
    <n v="21"/>
    <n v="22.386288621288891"/>
    <n v="24.843281603788888"/>
    <n v="26.723790499158341"/>
    <n v="10.5"/>
    <n v="31.160305163316671"/>
    <n v="29.994617826652771"/>
    <n v="39.555443796658331"/>
    <n v="67"/>
  </r>
  <r>
    <d v="2026-05-28T22:00:00"/>
    <x v="2"/>
    <n v="22"/>
    <n v="22.551699348247219"/>
    <n v="25.452605003847221"/>
    <n v="26.808341480633331"/>
    <n v="9.9"/>
    <n v="32.735042204075"/>
    <n v="33.921039540061109"/>
    <n v="39.890510847738888"/>
    <n v="72"/>
  </r>
  <r>
    <d v="2026-05-28T23:00:00"/>
    <x v="2"/>
    <n v="23"/>
    <n v="22.600432878377781"/>
    <n v="25.711670046922219"/>
    <n v="26.909773466636111"/>
    <n v="9.1"/>
    <n v="33.640015220591671"/>
    <n v="36.440825141611107"/>
    <n v="40.27611221414444"/>
    <n v="78"/>
  </r>
  <r>
    <d v="2026-05-29T00:00:00"/>
    <x v="2"/>
    <n v="0"/>
    <n v="22.25708789689444"/>
    <n v="25.599486981527772"/>
    <n v="26.95962493031945"/>
    <n v="8.6999999999999993"/>
    <n v="34.347343275916657"/>
    <n v="34.437200637661107"/>
    <n v="40.512782771169448"/>
    <n v="80"/>
  </r>
  <r>
    <d v="2026-05-29T01:00:00"/>
    <x v="2"/>
    <n v="1"/>
    <n v="21.47824170103334"/>
    <n v="25.406625576638891"/>
    <n v="26.976018589872229"/>
    <n v="8.3000000000000007"/>
    <n v="35.579339601961117"/>
    <n v="32.285082149930552"/>
    <n v="40.613101537288891"/>
    <n v="79"/>
  </r>
  <r>
    <d v="2026-05-29T02:00:00"/>
    <x v="2"/>
    <n v="2"/>
    <n v="21.179481845877781"/>
    <n v="24.966341936336111"/>
    <n v="26.975397845186109"/>
    <n v="7.9"/>
    <n v="36.309684515819448"/>
    <n v="32.776964916441671"/>
    <n v="40.65558824173889"/>
    <n v="80"/>
  </r>
  <r>
    <d v="2026-05-29T03:00:00"/>
    <x v="2"/>
    <n v="3"/>
    <n v="21.123056669330559"/>
    <n v="24.63480756532778"/>
    <n v="26.962420910266669"/>
    <n v="7.5"/>
    <n v="36.630879908697217"/>
    <n v="33.406659658541663"/>
    <n v="40.718773538997219"/>
    <n v="82"/>
  </r>
  <r>
    <d v="2026-05-29T04:00:00"/>
    <x v="2"/>
    <n v="4"/>
    <n v="20.914807646391669"/>
    <n v="24.462987879627772"/>
    <n v="26.953785398122221"/>
    <n v="7.1"/>
    <n v="37.105353311613889"/>
    <n v="33.268029656736111"/>
    <n v="40.764361589572232"/>
    <n v="82"/>
  </r>
  <r>
    <d v="2026-05-29T05:00:00"/>
    <x v="2"/>
    <n v="5"/>
    <n v="21.65314484816945"/>
    <n v="24.586290457016659"/>
    <n v="26.95124503841112"/>
    <n v="7"/>
    <n v="35.450994418291657"/>
    <n v="32.587798512230563"/>
    <n v="40.795727348727773"/>
    <n v="80"/>
  </r>
  <r>
    <d v="2026-05-29T06:00:00"/>
    <x v="2"/>
    <n v="6"/>
    <n v="23.078880743672219"/>
    <n v="24.951335682044441"/>
    <n v="26.966986475652771"/>
    <n v="7.9"/>
    <n v="32.456957245791664"/>
    <n v="33.141480807547218"/>
    <n v="40.806363166336112"/>
    <n v="78"/>
  </r>
  <r>
    <d v="2026-05-29T07:00:00"/>
    <x v="2"/>
    <n v="7"/>
    <n v="24.03155476626111"/>
    <n v="25.497022373836121"/>
    <n v="26.99563084355"/>
    <n v="9.1999999999999993"/>
    <n v="32.383082851694454"/>
    <n v="33.01890947482778"/>
    <n v="40.916797542305552"/>
    <n v="72"/>
  </r>
  <r>
    <d v="2026-05-29T08:00:00"/>
    <x v="2"/>
    <n v="8"/>
    <n v="24.83944722647778"/>
    <n v="25.979424881650001"/>
    <n v="27.030894051552771"/>
    <n v="10.6"/>
    <n v="31.678153671213892"/>
    <n v="33.079461205211111"/>
    <n v="41.11538517971389"/>
    <n v="68"/>
  </r>
  <r>
    <d v="2026-05-29T09:00:00"/>
    <x v="2"/>
    <n v="9"/>
    <n v="25.1838352557"/>
    <n v="26.268010720613891"/>
    <n v="27.069154963405559"/>
    <n v="11.5"/>
    <n v="31.33127278864167"/>
    <n v="33.208174974355551"/>
    <n v="41.308387534880559"/>
    <n v="61"/>
  </r>
  <r>
    <d v="2026-05-29T10:00:00"/>
    <x v="2"/>
    <n v="10"/>
    <n v="25.31433354083056"/>
    <n v="26.49379944264167"/>
    <n v="27.103659816911112"/>
    <n v="12.6"/>
    <n v="30.771801472452779"/>
    <n v="33.128230066977778"/>
    <n v="41.454974618350001"/>
    <n v="54"/>
  </r>
  <r>
    <d v="2026-05-29T11:00:00"/>
    <x v="2"/>
    <n v="11"/>
    <n v="25.187412958652772"/>
    <n v="26.72411062846945"/>
    <n v="27.196366572791661"/>
    <n v="13.5"/>
    <n v="30.019277241533331"/>
    <n v="39.109969767580559"/>
    <n v="41.503024861266667"/>
    <n v="46"/>
  </r>
  <r>
    <d v="2026-05-29T12:00:00"/>
    <x v="2"/>
    <n v="12"/>
    <n v="25.063946466925"/>
    <n v="26.61863060309722"/>
    <n v="27.224412731377779"/>
    <n v="14.1"/>
    <n v="31.077624700522222"/>
    <n v="38.807821340419437"/>
    <n v="41.548838030933332"/>
    <n v="41"/>
  </r>
  <r>
    <d v="2026-05-29T13:00:00"/>
    <x v="2"/>
    <n v="13"/>
    <n v="25.05135316788056"/>
    <n v="26.619155500497229"/>
    <n v="27.172080546002778"/>
    <n v="14.2"/>
    <n v="33.057528190730558"/>
    <n v="36.397482753655559"/>
    <n v="41.709808708127767"/>
    <n v="43"/>
  </r>
  <r>
    <d v="2026-05-29T14:00:00"/>
    <x v="2"/>
    <n v="14"/>
    <n v="24.580504471108341"/>
    <n v="26.61192670938334"/>
    <n v="27.220976547641669"/>
    <n v="15.1"/>
    <n v="33.075815650674997"/>
    <n v="34.79218906801389"/>
    <n v="41.776087255022233"/>
    <n v="46"/>
  </r>
  <r>
    <d v="2026-05-29T15:00:00"/>
    <x v="2"/>
    <n v="15"/>
    <n v="22.06579768512778"/>
    <n v="26.089690540241669"/>
    <n v="27.187323441450001"/>
    <n v="14.5"/>
    <n v="30.625551336263889"/>
    <n v="29.065823162244449"/>
    <n v="41.565162660130561"/>
    <n v="44"/>
  </r>
  <r>
    <d v="2026-05-29T16:00:00"/>
    <x v="2"/>
    <n v="16"/>
    <n v="21.67836226318056"/>
    <n v="25.809979518622221"/>
    <n v="27.158152575063891"/>
    <n v="15"/>
    <n v="30.149318690838889"/>
    <n v="27.813141015725002"/>
    <n v="41.13679686243055"/>
    <n v="43"/>
  </r>
  <r>
    <d v="2026-05-29T17:00:00"/>
    <x v="2"/>
    <n v="17"/>
    <n v="20.898503659241669"/>
    <n v="25.824247685908329"/>
    <n v="27.142487797516669"/>
    <n v="14.8"/>
    <n v="33.479128558955559"/>
    <n v="28.540355307997221"/>
    <n v="40.933816510466663"/>
    <n v="44"/>
  </r>
  <r>
    <d v="2026-05-29T18:00:00"/>
    <x v="2"/>
    <n v="18"/>
    <n v="23.020304084736111"/>
    <n v="26.06547640966944"/>
    <n v="27.133620180249999"/>
    <n v="13.9"/>
    <n v="35.086229378749998"/>
    <n v="33.435495057683333"/>
    <n v="40.926922504630561"/>
    <n v="47"/>
  </r>
  <r>
    <d v="2026-05-29T19:00:00"/>
    <x v="2"/>
    <n v="19"/>
    <n v="23.911895510316668"/>
    <n v="26.327175555069449"/>
    <n v="27.14321397311112"/>
    <n v="13.1"/>
    <n v="36.218344700525002"/>
    <n v="35.761794740649997"/>
    <n v="41.827695742002781"/>
    <n v="51"/>
  </r>
  <r>
    <d v="2026-05-29T20:00:00"/>
    <x v="2"/>
    <n v="20"/>
    <n v="23.523024833383332"/>
    <n v="26.143443190955551"/>
    <n v="27.16764536170556"/>
    <n v="11.8"/>
    <n v="39.139740751466668"/>
    <n v="40.949658554741667"/>
    <n v="44.230724026475002"/>
    <n v="59"/>
  </r>
  <r>
    <d v="2026-05-29T21:00:00"/>
    <x v="2"/>
    <n v="21"/>
    <n v="22.999938269433329"/>
    <n v="25.75307996405278"/>
    <n v="27.359886103413888"/>
    <n v="10.5"/>
    <n v="40.398597722563878"/>
    <n v="43.859629445783327"/>
    <n v="43.437074260402767"/>
    <n v="68"/>
  </r>
  <r>
    <d v="2026-05-29T22:00:00"/>
    <x v="2"/>
    <n v="22"/>
    <n v="22.63302916536945"/>
    <n v="25.486262511236109"/>
    <n v="27.25456912318333"/>
    <n v="9.6"/>
    <n v="41.548956020561107"/>
    <n v="43.974486191141672"/>
    <n v="44.032698999808332"/>
    <n v="75"/>
  </r>
  <r>
    <d v="2026-05-29T23:00:00"/>
    <x v="2"/>
    <n v="23"/>
    <n v="22.61763071335556"/>
    <n v="25.718100311861111"/>
    <n v="27.104597654266669"/>
    <n v="9.1999999999999993"/>
    <n v="41.839187807847217"/>
    <n v="45.130054712911111"/>
    <n v="45.095871683125011"/>
    <n v="79"/>
  </r>
  <r>
    <d v="2026-05-30T00:00:00"/>
    <x v="2"/>
    <n v="0"/>
    <n v="22.803977214483339"/>
    <n v="25.812749375336111"/>
    <n v="27.369290820972221"/>
    <n v="8.8000000000000007"/>
    <n v="39.00393727504445"/>
    <n v="44.215222386894453"/>
    <n v="44.231358650438892"/>
    <n v="81"/>
  </r>
  <r>
    <d v="2026-05-30T01:00:00"/>
    <x v="2"/>
    <n v="1"/>
    <n v="22.394587467722221"/>
    <n v="25.723650872638888"/>
    <n v="27.394762600022229"/>
    <n v="8.1"/>
    <n v="40.208023013694451"/>
    <n v="41.300983327588888"/>
    <n v="43.971102322075012"/>
    <n v="83"/>
  </r>
  <r>
    <d v="2026-05-30T02:00:00"/>
    <x v="2"/>
    <n v="2"/>
    <n v="21.53894266794444"/>
    <n v="25.18399859731112"/>
    <n v="27.338751979569441"/>
    <n v="7.4"/>
    <n v="40.31487893024444"/>
    <n v="39.658459954513887"/>
    <n v="43.60176745735"/>
    <n v="85"/>
  </r>
  <r>
    <d v="2026-05-30T03:00:00"/>
    <x v="2"/>
    <n v="3"/>
    <n v="21.231188779658339"/>
    <n v="24.803797210194439"/>
    <n v="27.26080708603056"/>
    <n v="7.2"/>
    <n v="39.322180910072227"/>
    <n v="38.222632888491667"/>
    <n v="43.184505113116657"/>
    <n v="83"/>
  </r>
  <r>
    <d v="2026-05-30T04:00:00"/>
    <x v="2"/>
    <n v="4"/>
    <n v="20.97960874934444"/>
    <n v="24.604472618591672"/>
    <n v="27.186978107891669"/>
    <n v="6.5"/>
    <n v="38.609975547758332"/>
    <n v="37.42884481136111"/>
    <n v="42.813814601988888"/>
    <n v="87"/>
  </r>
  <r>
    <d v="2026-05-30T05:00:00"/>
    <x v="2"/>
    <n v="5"/>
    <n v="20.994541786577781"/>
    <n v="24.53419977253612"/>
    <n v="27.13584862499167"/>
    <n v="6.1"/>
    <n v="38.248074158630551"/>
    <n v="34.917656838511107"/>
    <n v="42.490648911580557"/>
    <n v="89"/>
  </r>
  <r>
    <d v="2026-05-30T06:00:00"/>
    <x v="2"/>
    <n v="6"/>
    <n v="21.441268750433331"/>
    <n v="24.583953581297219"/>
    <n v="27.11128182121945"/>
    <n v="6.8"/>
    <n v="37.706621358983327"/>
    <n v="34.246954134836109"/>
    <n v="42.270376372105552"/>
    <n v="86"/>
  </r>
  <r>
    <d v="2026-05-30T07:00:00"/>
    <x v="2"/>
    <n v="7"/>
    <n v="22.82066884109167"/>
    <n v="24.93405320683889"/>
    <n v="27.09685704818056"/>
    <n v="8.1999999999999993"/>
    <n v="35.641403510922217"/>
    <n v="35.682402810200003"/>
    <n v="42.165065547655551"/>
    <n v="79"/>
  </r>
  <r>
    <d v="2026-05-30T08:00:00"/>
    <x v="2"/>
    <n v="8"/>
    <n v="23.623790451455552"/>
    <n v="25.267583528419451"/>
    <n v="27.106334192475"/>
    <n v="9.6"/>
    <n v="34.166591526330564"/>
    <n v="35.715929988644447"/>
    <n v="42.137722480736109"/>
    <n v="72"/>
  </r>
  <r>
    <d v="2026-05-30T09:00:00"/>
    <x v="2"/>
    <n v="9"/>
    <n v="23.944607265586111"/>
    <n v="25.427686573169439"/>
    <n v="27.120047908105558"/>
    <n v="11.2"/>
    <n v="33.656964849416667"/>
    <n v="35.676436386155551"/>
    <n v="42.159671568249998"/>
    <n v="64"/>
  </r>
  <r>
    <d v="2026-05-30T10:00:00"/>
    <x v="2"/>
    <n v="10"/>
    <n v="24.12848732243333"/>
    <n v="25.580598807049999"/>
    <n v="27.130079664463889"/>
    <n v="12.4"/>
    <n v="31.49926822542778"/>
    <n v="34.454138855408331"/>
    <n v="42.133321345391657"/>
    <n v="56"/>
  </r>
  <r>
    <d v="2026-05-30T11:00:00"/>
    <x v="2"/>
    <n v="11"/>
    <n v="24.329989707422229"/>
    <n v="25.782063333427772"/>
    <n v="27.142075017766668"/>
    <n v="12.5"/>
    <n v="30.532948590530559"/>
    <n v="33.589178662938878"/>
    <n v="42.07989231851667"/>
    <n v="54"/>
  </r>
  <r>
    <d v="2026-05-30T12:00:00"/>
    <x v="2"/>
    <n v="12"/>
    <n v="24.193218900447221"/>
    <n v="25.991244288594441"/>
    <n v="27.14631048906389"/>
    <n v="13"/>
    <n v="31.971040369038889"/>
    <n v="34.204772803002783"/>
    <n v="42.020179556322233"/>
    <n v="52"/>
  </r>
  <r>
    <d v="2026-05-30T13:00:00"/>
    <x v="2"/>
    <n v="13"/>
    <n v="23.724890906097219"/>
    <n v="26.230747417055561"/>
    <n v="27.14339783980833"/>
    <n v="12.9"/>
    <n v="33.889228153327778"/>
    <n v="34.124580554399998"/>
    <n v="41.990743553958332"/>
    <n v="53"/>
  </r>
  <r>
    <d v="2026-05-30T14:00:00"/>
    <x v="2"/>
    <n v="14"/>
    <n v="23.163088063899998"/>
    <n v="26.223027380274999"/>
    <n v="27.141997730469441"/>
    <n v="12.8"/>
    <n v="36.597469090599994"/>
    <n v="35.644647238050013"/>
    <n v="42.118289262694447"/>
    <n v="53"/>
  </r>
  <r>
    <d v="2026-05-30T15:00:00"/>
    <x v="2"/>
    <n v="15"/>
    <n v="23.07746226554444"/>
    <n v="26.106268151841661"/>
    <n v="27.136277995047219"/>
    <n v="14.4"/>
    <n v="35.982583774524997"/>
    <n v="34.069522528786123"/>
    <n v="42.100258275122222"/>
    <n v="52"/>
  </r>
  <r>
    <d v="2026-05-30T16:00:00"/>
    <x v="2"/>
    <n v="16"/>
    <n v="22.70537036641667"/>
    <n v="25.949916218563889"/>
    <n v="27.13366800771945"/>
    <n v="13.6"/>
    <n v="36.707531207955562"/>
    <n v="33.081000974877767"/>
    <n v="42.022452266527779"/>
    <n v="54"/>
  </r>
  <r>
    <d v="2026-05-30T17:00:00"/>
    <x v="2"/>
    <n v="17"/>
    <n v="23.041540862044439"/>
    <n v="25.75836908218611"/>
    <n v="27.128833013586121"/>
    <n v="10.8"/>
    <n v="37.469954354119437"/>
    <n v="34.651238600266673"/>
    <n v="42.024221044730552"/>
    <n v="78"/>
  </r>
  <r>
    <d v="2026-05-30T18:00:00"/>
    <x v="2"/>
    <n v="18"/>
    <n v="22.878943845275"/>
    <n v="25.510583607058329"/>
    <n v="27.124012148125001"/>
    <n v="10.3"/>
    <n v="36.755070726297227"/>
    <n v="33.959451595375"/>
    <n v="42.010781877527783"/>
    <n v="80"/>
  </r>
  <r>
    <d v="2026-05-30T19:00:00"/>
    <x v="2"/>
    <n v="19"/>
    <n v="22.730021040038888"/>
    <n v="25.60617842435833"/>
    <n v="27.077356533366672"/>
    <n v="11"/>
    <n v="37.751979358441673"/>
    <n v="35.079568353466669"/>
    <n v="41.973100187850001"/>
    <n v="75"/>
  </r>
  <r>
    <d v="2026-05-30T20:00:00"/>
    <x v="2"/>
    <n v="20"/>
    <n v="22.466360424363891"/>
    <n v="25.632862806313891"/>
    <n v="27.050194823847221"/>
    <n v="10.7"/>
    <n v="40.187019634161118"/>
    <n v="36.483734607197228"/>
    <n v="42.198759358825001"/>
    <n v="77"/>
  </r>
  <r>
    <d v="2026-05-30T21:00:00"/>
    <x v="2"/>
    <n v="21"/>
    <n v="22.258333872636111"/>
    <n v="25.540057496625"/>
    <n v="27.039527889247221"/>
    <n v="9.8000000000000007"/>
    <n v="40.724857145549997"/>
    <n v="36.684818821022219"/>
    <n v="42.356527329044447"/>
    <n v="82"/>
  </r>
  <r>
    <d v="2026-05-30T22:00:00"/>
    <x v="2"/>
    <n v="22"/>
    <n v="22.08005936824722"/>
    <n v="25.338340531225001"/>
    <n v="27.043897472030551"/>
    <n v="9.6"/>
    <n v="40.584610269494441"/>
    <n v="35.867360422613892"/>
    <n v="42.403757590444442"/>
    <n v="82"/>
  </r>
  <r>
    <d v="2026-05-30T23:00:00"/>
    <x v="2"/>
    <n v="23"/>
    <n v="21.942919974022221"/>
    <n v="25.137144784183331"/>
    <n v="27.021980552091659"/>
    <n v="9"/>
    <n v="40.794922852249996"/>
    <n v="35.794186966897222"/>
    <n v="42.450959992455559"/>
    <n v="86"/>
  </r>
  <r>
    <d v="2026-05-31T00:00:00"/>
    <x v="2"/>
    <n v="0"/>
    <n v="21.80427185192778"/>
    <n v="25.112931096294449"/>
    <n v="27.014784268686121"/>
    <n v="8.4"/>
    <n v="41.443839130802779"/>
    <n v="36.325013524494437"/>
    <n v="42.471704804005547"/>
    <n v="87"/>
  </r>
  <r>
    <d v="2026-05-31T01:00:00"/>
    <x v="2"/>
    <n v="1"/>
    <n v="21.056449004041671"/>
    <n v="24.978827840877781"/>
    <n v="27.008892697694449"/>
    <n v="7.7"/>
    <n v="44.387365619861107"/>
    <n v="37.593370629477768"/>
    <n v="42.608221366505553"/>
    <n v="91"/>
  </r>
  <r>
    <d v="2026-05-31T02:00:00"/>
    <x v="2"/>
    <n v="2"/>
    <n v="21.11549725536111"/>
    <n v="24.73251677835556"/>
    <n v="26.991087448066661"/>
    <n v="7.3"/>
    <n v="42.15755823699444"/>
    <n v="36.757183627072223"/>
    <n v="42.610139286855564"/>
    <n v="94"/>
  </r>
  <r>
    <d v="2026-05-31T03:00:00"/>
    <x v="2"/>
    <n v="3"/>
    <n v="21.068108693061109"/>
    <n v="24.520222574600002"/>
    <n v="26.965928489541671"/>
    <n v="6.6"/>
    <n v="40.94283915583889"/>
    <n v="36.168912075741673"/>
    <n v="42.518444947572227"/>
    <n v="96"/>
  </r>
  <r>
    <d v="2026-05-31T04:00:00"/>
    <x v="2"/>
    <n v="4"/>
    <n v="20.94913660834445"/>
    <n v="24.372155146855551"/>
    <n v="26.946980129155559"/>
    <n v="6.4"/>
    <n v="40.208273514875003"/>
    <n v="36.090880394288888"/>
    <n v="42.385693729116667"/>
    <n v="97"/>
  </r>
  <r>
    <d v="2026-05-31T05:00:00"/>
    <x v="2"/>
    <n v="5"/>
    <n v="21.128717808066671"/>
    <n v="24.372142869727771"/>
    <n v="26.9298133357"/>
    <n v="6.2"/>
    <n v="39.262264931733327"/>
    <n v="35.599927589677783"/>
    <n v="42.248047638588893"/>
    <n v="96"/>
  </r>
  <r>
    <d v="2026-05-31T06:00:00"/>
    <x v="2"/>
    <n v="6"/>
    <n v="21.156081439947229"/>
    <n v="24.313968687113888"/>
    <n v="26.90653183799445"/>
    <n v="7"/>
    <n v="39.718657522180557"/>
    <n v="35.149928738147217"/>
    <n v="42.139503811163891"/>
    <n v="96"/>
  </r>
  <r>
    <d v="2026-05-31T07:00:00"/>
    <x v="2"/>
    <n v="7"/>
    <n v="22.08613350563056"/>
    <n v="24.441374292580559"/>
    <n v="26.903023861538891"/>
    <n v="8.6999999999999993"/>
    <n v="38.189419186816657"/>
    <n v="35.012392395980562"/>
    <n v="42.104194170077783"/>
    <n v="89"/>
  </r>
  <r>
    <d v="2026-05-31T08:00:00"/>
    <x v="2"/>
    <n v="8"/>
    <n v="22.629227132027779"/>
    <n v="24.59667160848889"/>
    <n v="26.904642803874999"/>
    <n v="10.8"/>
    <n v="37.037746572613891"/>
    <n v="35.173944703719442"/>
    <n v="42.113333647286119"/>
    <n v="73"/>
  </r>
  <r>
    <d v="2026-05-31T09:00:00"/>
    <x v="2"/>
    <n v="9"/>
    <n v="23.07620196601389"/>
    <n v="24.72453856416945"/>
    <n v="26.91982159968612"/>
    <n v="12.2"/>
    <n v="35.902140233052783"/>
    <n v="35.273109701177781"/>
    <n v="42.093091066550002"/>
    <n v="65"/>
  </r>
  <r>
    <d v="2026-05-31T10:00:00"/>
    <x v="2"/>
    <n v="10"/>
    <n v="23.913140309033331"/>
    <n v="25.01344522219167"/>
    <n v="26.93091281576945"/>
    <n v="13.3"/>
    <n v="33.386877437444447"/>
    <n v="35.557690883408327"/>
    <n v="42.092924293411109"/>
    <n v="58"/>
  </r>
  <r>
    <d v="2026-05-31T11:00:00"/>
    <x v="2"/>
    <n v="11"/>
    <n v="23.94242016923889"/>
    <n v="25.089887937941668"/>
    <n v="26.94643478334444"/>
    <n v="13.9"/>
    <n v="32.732053235516673"/>
    <n v="35.430112338813892"/>
    <n v="42.03219976394444"/>
    <n v="53"/>
  </r>
  <r>
    <d v="2026-05-31T12:00:00"/>
    <x v="2"/>
    <n v="12"/>
    <n v="23.077188719216661"/>
    <n v="25.29046874570556"/>
    <n v="26.948059151150002"/>
    <n v="13.8"/>
    <n v="35.910396949322219"/>
    <n v="35.232991433797217"/>
    <n v="41.947526996688893"/>
    <n v="52"/>
  </r>
  <r>
    <d v="2026-05-31T13:00:00"/>
    <x v="2"/>
    <n v="13"/>
    <n v="22.53984648329444"/>
    <n v="25.04946588686667"/>
    <n v="26.94953003801945"/>
    <n v="14"/>
    <n v="38.954937226686113"/>
    <n v="35.220939757886107"/>
    <n v="42.076668220266669"/>
    <n v="51"/>
  </r>
  <r>
    <d v="2026-05-31T14:00:00"/>
    <x v="2"/>
    <n v="14"/>
    <n v="22.978841506327779"/>
    <n v="25.27474011613333"/>
    <n v="26.923477490566668"/>
    <n v="14.2"/>
    <n v="38.693126806461123"/>
    <n v="37.556536777805562"/>
    <n v="42.436094443611111"/>
    <n v="54"/>
  </r>
  <r>
    <d v="2026-05-31T15:00:00"/>
    <x v="2"/>
    <n v="15"/>
    <n v="22.050826026966661"/>
    <n v="25.625920846905551"/>
    <n v="26.942163016522219"/>
    <n v="12.7"/>
    <n v="37.541767616236122"/>
    <n v="35.113295392152772"/>
    <n v="42.435835104580562"/>
    <n v="65"/>
  </r>
  <r>
    <d v="2026-05-31T16:00:00"/>
    <x v="2"/>
    <n v="16"/>
    <n v="22.280049373294439"/>
    <n v="25.487817018005561"/>
    <n v="26.941833009580549"/>
    <n v="14.2"/>
    <n v="37.510085627097233"/>
    <n v="34.774366728855547"/>
    <n v="42.254839846277783"/>
    <n v="61"/>
  </r>
  <r>
    <d v="2026-05-31T17:00:00"/>
    <x v="2"/>
    <n v="17"/>
    <n v="22.12955347413612"/>
    <n v="25.70381810627222"/>
    <n v="26.94988715599445"/>
    <n v="12.7"/>
    <n v="35.950305471358327"/>
    <n v="34.422698188208336"/>
    <n v="42.169760716536111"/>
    <n v="70"/>
  </r>
  <r>
    <d v="2026-05-31T18:00:00"/>
    <x v="2"/>
    <n v="18"/>
    <n v="22.069381675252771"/>
    <n v="25.65915743267778"/>
    <n v="26.964239085077779"/>
    <n v="12.7"/>
    <n v="37.389685975611108"/>
    <n v="34.384248281533331"/>
    <n v="42.036485177044447"/>
    <n v="67"/>
  </r>
  <r>
    <d v="2026-05-31T19:00:00"/>
    <x v="2"/>
    <n v="19"/>
    <n v="22.565817653841659"/>
    <n v="25.446710167991661"/>
    <n v="26.961751492133331"/>
    <n v="12.4"/>
    <n v="37.834842325083343"/>
    <n v="34.56238020053889"/>
    <n v="42.046487504302782"/>
    <n v="68"/>
  </r>
  <r>
    <d v="2026-05-31T20:00:00"/>
    <x v="2"/>
    <n v="20"/>
    <n v="22.07793750590556"/>
    <n v="25.090626145488891"/>
    <n v="26.956717919022221"/>
    <n v="11.8"/>
    <n v="38.469824976061112"/>
    <n v="34.741680116655552"/>
    <n v="42.081124788886108"/>
    <n v="75"/>
  </r>
  <r>
    <d v="2026-05-31T21:00:00"/>
    <x v="2"/>
    <n v="21"/>
    <n v="21.055896083263889"/>
    <n v="25.129457540197219"/>
    <n v="26.93423551725278"/>
    <n v="11"/>
    <n v="41.705645771044438"/>
    <n v="35.784755613327768"/>
    <n v="42.358654463458329"/>
    <n v="77"/>
  </r>
  <r>
    <d v="2026-05-31T22:00:00"/>
    <x v="2"/>
    <n v="22"/>
    <n v="20.85882876156667"/>
    <n v="25.432494138761111"/>
    <n v="26.927888902005559"/>
    <n v="10.1"/>
    <n v="42.428585086169441"/>
    <n v="35.813235412633333"/>
    <n v="42.434940504258329"/>
    <n v="84"/>
  </r>
  <r>
    <d v="2026-05-31T23:00:00"/>
    <x v="2"/>
    <n v="23"/>
    <n v="22.283985163722221"/>
    <n v="25.46043599629445"/>
    <n v="26.93732433639444"/>
    <n v="9.5"/>
    <n v="41.753624375783332"/>
    <n v="37.402416145219441"/>
    <n v="42.318238099208337"/>
    <n v="87"/>
  </r>
  <r>
    <d v="2026-06-01T00:00:00"/>
    <x v="3"/>
    <n v="0"/>
    <n v="23.98062427611389"/>
    <n v="26.35552689575"/>
    <n v="26.965917941597219"/>
    <n v="8.9"/>
    <n v="41.45192455809444"/>
    <n v="37.530691209033328"/>
    <n v="42.189450840441673"/>
    <n v="90"/>
  </r>
  <r>
    <d v="2026-06-01T01:00:00"/>
    <x v="3"/>
    <n v="1"/>
    <n v="24.750726317047221"/>
    <n v="26.767384212949999"/>
    <n v="27.099585769991659"/>
    <n v="8.3000000000000007"/>
    <n v="42.669333579316657"/>
    <n v="39.415961078300001"/>
    <n v="41.95519591816111"/>
    <n v="92"/>
  </r>
  <r>
    <d v="2026-06-01T02:00:00"/>
    <x v="3"/>
    <n v="2"/>
    <n v="22.504597970750002"/>
    <n v="26.151783011905561"/>
    <n v="27.07615570404722"/>
    <n v="7.9"/>
    <n v="42.359013549972232"/>
    <n v="39.052548326086111"/>
    <n v="42.426750346094451"/>
    <n v="93"/>
  </r>
  <r>
    <d v="2026-06-01T03:00:00"/>
    <x v="3"/>
    <n v="3"/>
    <n v="20.350266758324999"/>
    <n v="25.119506852388891"/>
    <n v="26.983809909677781"/>
    <n v="7.6"/>
    <n v="41.520826489783339"/>
    <n v="34.963893709202772"/>
    <n v="42.458098616925"/>
    <n v="93"/>
  </r>
  <r>
    <d v="2026-06-01T04:00:00"/>
    <x v="3"/>
    <n v="4"/>
    <n v="19.808092086805551"/>
    <n v="24.56743765521389"/>
    <n v="26.932899992863891"/>
    <n v="7.3"/>
    <n v="41.356817669922208"/>
    <n v="34.258904222211108"/>
    <n v="42.223959172725003"/>
    <n v="92"/>
  </r>
  <r>
    <d v="2026-06-01T05:00:00"/>
    <x v="3"/>
    <n v="5"/>
    <n v="19.888054501452778"/>
    <n v="24.195140148141661"/>
    <n v="26.87385622769445"/>
    <n v="7.2"/>
    <n v="40.498357693158333"/>
    <n v="34.155907515027778"/>
    <n v="42.037371832838893"/>
    <n v="92"/>
  </r>
  <r>
    <d v="2026-06-01T06:00:00"/>
    <x v="3"/>
    <n v="6"/>
    <n v="20.667498908969449"/>
    <n v="24.280791991594441"/>
    <n v="26.83086846477778"/>
    <n v="8.1"/>
    <n v="38.728186433266657"/>
    <n v="33.897804005080559"/>
    <n v="41.922302697091673"/>
    <n v="89"/>
  </r>
  <r>
    <d v="2026-06-01T07:00:00"/>
    <x v="3"/>
    <n v="7"/>
    <n v="20.749007560066669"/>
    <n v="24.280207139077781"/>
    <n v="26.807514372916671"/>
    <n v="9.6"/>
    <n v="38.864441200063887"/>
    <n v="34.084876791733329"/>
    <n v="41.836502757169448"/>
    <n v="83"/>
  </r>
  <r>
    <d v="2026-06-01T08:00:00"/>
    <x v="3"/>
    <n v="8"/>
    <n v="21.62259785310556"/>
    <n v="24.349506338783328"/>
    <n v="26.785833167813891"/>
    <n v="11.7"/>
    <n v="37.318858254591667"/>
    <n v="34.141423678000002"/>
    <n v="41.786862535711123"/>
    <n v="76"/>
  </r>
  <r>
    <d v="2026-06-01T09:00:00"/>
    <x v="3"/>
    <n v="9"/>
    <n v="22.33362360314722"/>
    <n v="24.333193432691669"/>
    <n v="26.791959365427768"/>
    <n v="13.1"/>
    <n v="36.58182774769444"/>
    <n v="34.384376157322222"/>
    <n v="41.780779360322221"/>
    <n v="70"/>
  </r>
  <r>
    <d v="2026-06-01T10:00:00"/>
    <x v="3"/>
    <n v="10"/>
    <n v="23.798533293386111"/>
    <n v="25.065756764347221"/>
    <n v="26.89546702468056"/>
    <n v="13.8"/>
    <n v="37.658877782236111"/>
    <n v="39.742662406572222"/>
    <n v="41.730498915858327"/>
    <n v="63"/>
  </r>
  <r>
    <d v="2026-06-01T11:00:00"/>
    <x v="3"/>
    <n v="11"/>
    <n v="24.63359210108333"/>
    <n v="25.801017807213888"/>
    <n v="26.838691201138889"/>
    <n v="14.6"/>
    <n v="39.177092036655559"/>
    <n v="39.854413741377783"/>
    <n v="41.975126460594453"/>
    <n v="56"/>
  </r>
  <r>
    <d v="2026-06-01T12:00:00"/>
    <x v="3"/>
    <n v="12"/>
    <n v="24.519168717574999"/>
    <n v="25.87767555356945"/>
    <n v="26.862269025408331"/>
    <n v="16.5"/>
    <n v="35.581562290077777"/>
    <n v="38.702788164294446"/>
    <n v="42.279947481294442"/>
    <n v="56"/>
  </r>
  <r>
    <d v="2026-06-01T13:00:00"/>
    <x v="3"/>
    <n v="13"/>
    <n v="23.894781344205551"/>
    <n v="25.757565893358329"/>
    <n v="26.867778021611109"/>
    <n v="17"/>
    <n v="36.086346944011112"/>
    <n v="37.822828205283344"/>
    <n v="42.272092958616668"/>
    <n v="52"/>
  </r>
  <r>
    <d v="2026-06-01T14:00:00"/>
    <x v="3"/>
    <n v="14"/>
    <n v="22.504622780449999"/>
    <n v="25.603275490180561"/>
    <n v="26.859086752075001"/>
    <n v="15.2"/>
    <n v="35.779949400091667"/>
    <n v="35.768798877647221"/>
    <n v="42.162914580219443"/>
    <n v="59"/>
  </r>
  <r>
    <d v="2026-06-01T15:00:00"/>
    <x v="3"/>
    <n v="15"/>
    <n v="22.097191377577779"/>
    <n v="25.569374678211108"/>
    <n v="26.840899182738891"/>
    <n v="14.7"/>
    <n v="35.60645283941944"/>
    <n v="32.972117477061111"/>
    <n v="41.983964935186123"/>
    <n v="67"/>
  </r>
  <r>
    <d v="2026-06-01T16:00:00"/>
    <x v="3"/>
    <n v="16"/>
    <n v="22.35934450138333"/>
    <n v="25.742192325805561"/>
    <n v="26.835667359575002"/>
    <n v="16.5"/>
    <n v="38.614051735363887"/>
    <n v="35.299153198255553"/>
    <n v="41.913924733008344"/>
    <n v="57"/>
  </r>
  <r>
    <d v="2026-06-01T17:00:00"/>
    <x v="3"/>
    <n v="17"/>
    <n v="23.396217837827781"/>
    <n v="25.826043466938891"/>
    <n v="26.833219527674999"/>
    <n v="16.7"/>
    <n v="38.883552573005552"/>
    <n v="36.41614256588889"/>
    <n v="42.052521606319438"/>
    <n v="56"/>
  </r>
  <r>
    <d v="2026-06-01T18:00:00"/>
    <x v="3"/>
    <n v="18"/>
    <n v="23.217462449441669"/>
    <n v="25.81471300523333"/>
    <n v="26.847968628747221"/>
    <n v="15.8"/>
    <n v="38.90219364283611"/>
    <n v="37.014921550441663"/>
    <n v="42.254400343080562"/>
    <n v="62"/>
  </r>
  <r>
    <d v="2026-06-01T19:00:00"/>
    <x v="3"/>
    <n v="19"/>
    <n v="23.096308340936119"/>
    <n v="25.826245987947221"/>
    <n v="26.836614429375"/>
    <n v="13.2"/>
    <n v="40.315970145830562"/>
    <n v="37.018834822149998"/>
    <n v="42.452689632783333"/>
    <n v="79"/>
  </r>
  <r>
    <d v="2026-06-01T20:00:00"/>
    <x v="3"/>
    <n v="20"/>
    <n v="22.940451628177779"/>
    <n v="25.756968134972219"/>
    <n v="26.83422909719167"/>
    <n v="12.9"/>
    <n v="41.486347174530557"/>
    <n v="37.434828419191668"/>
    <n v="42.611480020469443"/>
    <n v="84"/>
  </r>
  <r>
    <d v="2026-06-01T21:00:00"/>
    <x v="3"/>
    <n v="21"/>
    <n v="22.577383225005558"/>
    <n v="25.745886984922219"/>
    <n v="26.826047632933331"/>
    <n v="12.7"/>
    <n v="42.884807571263877"/>
    <n v="38.793978872141672"/>
    <n v="42.804288081372221"/>
    <n v="87"/>
  </r>
  <r>
    <d v="2026-06-01T22:00:00"/>
    <x v="3"/>
    <n v="22"/>
    <n v="22.86000802117778"/>
    <n v="25.722132767680559"/>
    <n v="26.836861904025"/>
    <n v="12.1"/>
    <n v="43.271699846608342"/>
    <n v="38.79896621089167"/>
    <n v="42.874914456583333"/>
    <n v="88"/>
  </r>
  <r>
    <d v="2026-06-01T23:00:00"/>
    <x v="3"/>
    <n v="23"/>
    <n v="22.992683215566672"/>
    <n v="25.773322605527781"/>
    <n v="26.847548917925"/>
    <n v="11.6"/>
    <n v="41.536746381694449"/>
    <n v="39.361060172194449"/>
    <n v="42.975611516797223"/>
    <n v="87"/>
  </r>
  <r>
    <d v="2026-06-02T00:00:00"/>
    <x v="3"/>
    <n v="0"/>
    <n v="23.108137444213881"/>
    <n v="25.963031341197219"/>
    <n v="26.842423392213892"/>
    <n v="11.2"/>
    <n v="39.723684580366672"/>
    <n v="39.77279627795"/>
    <n v="43.004862654325002"/>
    <n v="87"/>
  </r>
  <r>
    <d v="2026-06-02T01:00:00"/>
    <x v="3"/>
    <n v="1"/>
    <n v="22.832676128500001"/>
    <n v="25.77573051880556"/>
    <n v="26.805183115933328"/>
    <n v="10.8"/>
    <n v="40.226990469077784"/>
    <n v="37.815898440477767"/>
    <n v="43.386627398844439"/>
    <n v="87"/>
  </r>
  <r>
    <d v="2026-06-02T02:00:00"/>
    <x v="3"/>
    <n v="2"/>
    <n v="22.42136472900556"/>
    <n v="25.475984249452779"/>
    <n v="26.797076288652772"/>
    <n v="10.3"/>
    <n v="42.612053592052781"/>
    <n v="38.807941288352779"/>
    <n v="43.477370829386111"/>
    <n v="87"/>
  </r>
  <r>
    <d v="2026-06-02T03:00:00"/>
    <x v="3"/>
    <n v="3"/>
    <n v="22.087551715188891"/>
    <n v="25.167624030666669"/>
    <n v="26.79625318184722"/>
    <n v="10.199999999999999"/>
    <n v="42.652838569561112"/>
    <n v="38.23882358197222"/>
    <n v="43.437582799825002"/>
    <n v="85"/>
  </r>
  <r>
    <d v="2026-06-02T04:00:00"/>
    <x v="3"/>
    <n v="4"/>
    <n v="21.84245476603056"/>
    <n v="24.87620683566945"/>
    <n v="26.769012818086111"/>
    <n v="9.6999999999999993"/>
    <n v="41.850367953794439"/>
    <n v="37.584873560769452"/>
    <n v="43.343573900294437"/>
    <n v="85"/>
  </r>
  <r>
    <d v="2026-06-02T05:00:00"/>
    <x v="3"/>
    <n v="5"/>
    <n v="22.504897138822219"/>
    <n v="24.883512359988892"/>
    <n v="26.734117198180559"/>
    <n v="9.3000000000000007"/>
    <n v="40.258569078436111"/>
    <n v="37.436969252402783"/>
    <n v="43.27132210552778"/>
    <n v="85"/>
  </r>
  <r>
    <d v="2026-06-02T06:00:00"/>
    <x v="3"/>
    <n v="6"/>
    <n v="23.483810033694439"/>
    <n v="25.304460546102771"/>
    <n v="26.732753379477781"/>
    <n v="10.199999999999999"/>
    <n v="38.438654995072227"/>
    <n v="37.504027052366673"/>
    <n v="43.22570631436389"/>
    <n v="82"/>
  </r>
  <r>
    <d v="2026-06-02T07:00:00"/>
    <x v="3"/>
    <n v="7"/>
    <n v="24.546673740780559"/>
    <n v="25.894055386630551"/>
    <n v="26.737129711513891"/>
    <n v="12.2"/>
    <n v="37.98005961636111"/>
    <n v="36.762216885505552"/>
    <n v="43.252924901644441"/>
    <n v="77"/>
  </r>
  <r>
    <d v="2026-06-02T08:00:00"/>
    <x v="3"/>
    <n v="8"/>
    <n v="25.321396075869441"/>
    <n v="26.52655447101111"/>
    <n v="26.76601673527222"/>
    <n v="14.8"/>
    <n v="37.926813059683333"/>
    <n v="36.975304912658331"/>
    <n v="43.254008994227767"/>
    <n v="68"/>
  </r>
  <r>
    <d v="2026-06-02T09:00:00"/>
    <x v="3"/>
    <n v="9"/>
    <n v="25.84527954306667"/>
    <n v="26.89767312534444"/>
    <n v="26.802011975586112"/>
    <n v="18"/>
    <n v="38.018482848525011"/>
    <n v="37.449008705661107"/>
    <n v="43.258101652249998"/>
    <n v="56"/>
  </r>
  <r>
    <d v="2026-06-02T10:00:00"/>
    <x v="3"/>
    <n v="10"/>
    <n v="25.83501886806944"/>
    <n v="27.091541922644439"/>
    <n v="26.857599454950002"/>
    <n v="19.899999999999999"/>
    <n v="38.694106131719437"/>
    <n v="37.526405473808332"/>
    <n v="43.310479083263893"/>
    <n v="43"/>
  </r>
  <r>
    <d v="2026-06-02T11:00:00"/>
    <x v="3"/>
    <n v="11"/>
    <n v="25.841313460255549"/>
    <n v="27.42487200936111"/>
    <n v="26.87173285202778"/>
    <n v="20.8"/>
    <n v="38.582047022302767"/>
    <n v="38.260541487327778"/>
    <n v="43.393425215233329"/>
    <n v="39"/>
  </r>
  <r>
    <d v="2026-06-02T12:00:00"/>
    <x v="3"/>
    <n v="12"/>
    <n v="25.812573894547221"/>
    <n v="27.36922120009444"/>
    <n v="26.865500221074999"/>
    <n v="21.7"/>
    <n v="36.987003476169441"/>
    <n v="34.963802880827778"/>
    <n v="43.361426497313893"/>
    <n v="36"/>
  </r>
  <r>
    <d v="2026-06-02T13:00:00"/>
    <x v="3"/>
    <n v="13"/>
    <n v="25.635286324838891"/>
    <n v="27.24722018396389"/>
    <n v="26.87557560250556"/>
    <n v="22.4"/>
    <n v="35.582944840958334"/>
    <n v="36.10177139919444"/>
    <n v="43.369778052158331"/>
    <n v="33"/>
  </r>
  <r>
    <d v="2026-06-02T14:00:00"/>
    <x v="3"/>
    <n v="14"/>
    <n v="25.546749134766671"/>
    <n v="27.14403261509166"/>
    <n v="26.86697218230556"/>
    <n v="22.5"/>
    <n v="35.63123791296389"/>
    <n v="35.421917162497223"/>
    <n v="43.440333206894451"/>
    <n v="33"/>
  </r>
  <r>
    <d v="2026-06-02T15:00:00"/>
    <x v="3"/>
    <n v="15"/>
    <n v="25.281520938016669"/>
    <n v="26.934766077836109"/>
    <n v="26.860779183583329"/>
    <n v="22.9"/>
    <n v="32.710466886658331"/>
    <n v="31.560709581813889"/>
    <n v="43.336036347158327"/>
    <n v="32"/>
  </r>
  <r>
    <d v="2026-06-02T16:00:00"/>
    <x v="3"/>
    <n v="16"/>
    <n v="24.893382410669449"/>
    <n v="26.726766871094441"/>
    <n v="26.86297276671111"/>
    <n v="23"/>
    <n v="31.008519012269449"/>
    <n v="33.004568974591663"/>
    <n v="43.058765212125003"/>
    <n v="32"/>
  </r>
  <r>
    <d v="2026-06-02T17:00:00"/>
    <x v="3"/>
    <n v="17"/>
    <n v="24.721693032008329"/>
    <n v="26.435074340438891"/>
    <n v="26.837536022019449"/>
    <n v="22.8"/>
    <n v="30.327791542766661"/>
    <n v="30.802961974386111"/>
    <n v="42.864930286000003"/>
    <n v="33"/>
  </r>
  <r>
    <d v="2026-06-02T18:00:00"/>
    <x v="3"/>
    <n v="18"/>
    <n v="24.569474941805559"/>
    <n v="26.187915821938891"/>
    <n v="26.828833707025002"/>
    <n v="22.3"/>
    <n v="29.715589464172229"/>
    <n v="30.52842335430833"/>
    <n v="42.638167918477777"/>
    <n v="34"/>
  </r>
  <r>
    <d v="2026-06-02T19:00:00"/>
    <x v="3"/>
    <n v="19"/>
    <n v="23.87624311362778"/>
    <n v="26.125370780833329"/>
    <n v="26.808101474061111"/>
    <n v="21.6"/>
    <n v="31.368326305172221"/>
    <n v="31.147965375933332"/>
    <n v="42.09297362765556"/>
    <n v="37"/>
  </r>
  <r>
    <d v="2026-06-02T20:00:00"/>
    <x v="3"/>
    <n v="20"/>
    <n v="23.29218109783611"/>
    <n v="26.266987547505561"/>
    <n v="26.298197534116671"/>
    <n v="20.100000000000001"/>
    <n v="33.168574501019442"/>
    <n v="31.992175026716659"/>
    <n v="40.743874103469437"/>
    <n v="44"/>
  </r>
  <r>
    <d v="2026-06-02T21:00:00"/>
    <x v="3"/>
    <n v="21"/>
    <n v="22.65749430406667"/>
    <n v="26.485434970611109"/>
    <n v="26.008893044013892"/>
    <n v="18.899999999999999"/>
    <n v="34.726515694308333"/>
    <n v="32.449564469072222"/>
    <n v="41.232039825638893"/>
    <n v="46"/>
  </r>
  <r>
    <d v="2026-06-02T22:00:00"/>
    <x v="3"/>
    <n v="22"/>
    <n v="22.248243716141669"/>
    <n v="26.341835713277771"/>
    <n v="26.107225380866659"/>
    <n v="17.899999999999999"/>
    <n v="34.461379838194453"/>
    <n v="31.43318981937222"/>
    <n v="41.076067256616668"/>
    <n v="50"/>
  </r>
  <r>
    <d v="2026-06-02T23:00:00"/>
    <x v="3"/>
    <n v="23"/>
    <n v="21.970338885769451"/>
    <n v="25.630726448711108"/>
    <n v="26.42768452899444"/>
    <n v="16.5"/>
    <n v="33.97221448846944"/>
    <n v="30.38585820933611"/>
    <n v="41.316935127086111"/>
    <n v="61"/>
  </r>
  <r>
    <d v="2026-06-03T00:00:00"/>
    <x v="3"/>
    <n v="0"/>
    <n v="21.491270125052779"/>
    <n v="25.226460120027781"/>
    <n v="26.500372193661111"/>
    <n v="15"/>
    <n v="36.758843906180552"/>
    <n v="31.273715144394441"/>
    <n v="41.349794899886113"/>
    <n v="70"/>
  </r>
  <r>
    <d v="2026-06-03T01:00:00"/>
    <x v="3"/>
    <n v="1"/>
    <n v="23.026596318080561"/>
    <n v="25.40424286406666"/>
    <n v="26.53105079898889"/>
    <n v="13.8"/>
    <n v="38.641997119344452"/>
    <n v="34.450236092819438"/>
    <n v="41.675912964491673"/>
    <n v="76"/>
  </r>
  <r>
    <d v="2026-06-03T02:00:00"/>
    <x v="3"/>
    <n v="2"/>
    <n v="23.52034801488611"/>
    <n v="25.08835489424445"/>
    <n v="26.576237520591661"/>
    <n v="12.8"/>
    <n v="36.02022591942778"/>
    <n v="33.647246522447233"/>
    <n v="41.781608250516662"/>
    <n v="81"/>
  </r>
  <r>
    <d v="2026-06-03T03:00:00"/>
    <x v="3"/>
    <n v="3"/>
    <n v="23.57740416576944"/>
    <n v="24.956566455583332"/>
    <n v="26.583086406486121"/>
    <n v="12.4"/>
    <n v="35.269304492366658"/>
    <n v="33.304927199449999"/>
    <n v="41.791969504955553"/>
    <n v="86"/>
  </r>
  <r>
    <d v="2026-06-03T04:00:00"/>
    <x v="3"/>
    <n v="4"/>
    <n v="23.57583660764444"/>
    <n v="24.80229665361945"/>
    <n v="26.571750148058332"/>
    <n v="11.6"/>
    <n v="35.155760489525001"/>
    <n v="33.636850092219447"/>
    <n v="41.791122208574997"/>
    <n v="88"/>
  </r>
  <r>
    <d v="2026-06-03T05:00:00"/>
    <x v="3"/>
    <n v="5"/>
    <n v="23.94811136678333"/>
    <n v="24.91137619071111"/>
    <n v="26.574608185786111"/>
    <n v="11.2"/>
    <n v="34.906763194613887"/>
    <n v="34.403689188761113"/>
    <n v="41.861310171558337"/>
    <n v="90"/>
  </r>
  <r>
    <d v="2026-06-03T06:00:00"/>
    <x v="3"/>
    <n v="6"/>
    <n v="24.63303933121389"/>
    <n v="25.33370147693612"/>
    <n v="26.593933189116669"/>
    <n v="12.6"/>
    <n v="34.807223428347221"/>
    <n v="34.885226509277778"/>
    <n v="42.029176013647223"/>
    <n v="81"/>
  </r>
  <r>
    <d v="2026-06-03T07:00:00"/>
    <x v="3"/>
    <n v="7"/>
    <n v="25.435757297836108"/>
    <n v="25.986183764466659"/>
    <n v="26.624380676074999"/>
    <n v="15.5"/>
    <n v="34.394441718944442"/>
    <n v="32.870872711274998"/>
    <n v="42.182581410516669"/>
    <n v="67"/>
  </r>
  <r>
    <d v="2026-06-03T08:00:00"/>
    <x v="3"/>
    <n v="8"/>
    <n v="25.933261106072219"/>
    <n v="26.56414039188612"/>
    <n v="26.666070332927781"/>
    <n v="18.5"/>
    <n v="34.09638791375"/>
    <n v="31.609391850925"/>
    <n v="42.27664235098333"/>
    <n v="53"/>
  </r>
  <r>
    <d v="2026-06-03T09:00:00"/>
    <x v="3"/>
    <n v="9"/>
    <n v="26.130313998419439"/>
    <n v="26.84063021482222"/>
    <n v="26.73903393673611"/>
    <n v="21.7"/>
    <n v="34.292442228241669"/>
    <n v="31.578904429686109"/>
    <n v="42.323155449744441"/>
    <n v="37"/>
  </r>
  <r>
    <d v="2026-06-03T10:00:00"/>
    <x v="3"/>
    <n v="10"/>
    <n v="26.341940310030559"/>
    <n v="27.126584155355559"/>
    <n v="26.813567220344439"/>
    <n v="23.1"/>
    <n v="33.941722590736113"/>
    <n v="33.125142966880553"/>
    <n v="42.375773464061112"/>
    <n v="30"/>
  </r>
  <r>
    <d v="2026-06-03T11:00:00"/>
    <x v="3"/>
    <n v="11"/>
    <n v="26.31407574680556"/>
    <n v="27.33756791591389"/>
    <n v="26.783249945527771"/>
    <n v="23.9"/>
    <n v="30.766498139119449"/>
    <n v="28.781261582174999"/>
    <n v="42.320131993572232"/>
    <n v="27"/>
  </r>
  <r>
    <d v="2026-06-03T12:00:00"/>
    <x v="3"/>
    <n v="12"/>
    <n v="25.928542229725"/>
    <n v="27.22135350855833"/>
    <n v="26.755046281497219"/>
    <n v="24.6"/>
    <n v="27.45082530823889"/>
    <n v="28.649674373002771"/>
    <n v="40.860316150888892"/>
    <n v="25"/>
  </r>
  <r>
    <d v="2026-06-03T13:00:00"/>
    <x v="3"/>
    <n v="13"/>
    <n v="25.46859188609444"/>
    <n v="26.78880061475833"/>
    <n v="26.636670301900001"/>
    <n v="24.3"/>
    <n v="26.91453948797778"/>
    <n v="29.522040609333331"/>
    <n v="39.930287336233327"/>
    <n v="25"/>
  </r>
  <r>
    <d v="2026-06-03T14:00:00"/>
    <x v="3"/>
    <n v="14"/>
    <n v="25.23548549845556"/>
    <n v="26.47334754546111"/>
    <n v="26.51052834568889"/>
    <n v="24"/>
    <n v="26.71185200205278"/>
    <n v="27.952224965458331"/>
    <n v="38.807310204655558"/>
    <n v="26"/>
  </r>
  <r>
    <d v="2026-06-03T15:00:00"/>
    <x v="3"/>
    <n v="15"/>
    <n v="25.41554771314722"/>
    <n v="26.302619552272219"/>
    <n v="26.47434062994445"/>
    <n v="25.1"/>
    <n v="26.562592372411121"/>
    <n v="27.374127581422218"/>
    <n v="38.493852661002776"/>
    <n v="24"/>
  </r>
  <r>
    <d v="2026-06-03T16:00:00"/>
    <x v="3"/>
    <n v="16"/>
    <n v="25.40279984754444"/>
    <n v="26.37388998623889"/>
    <n v="26.477701755188889"/>
    <n v="24.3"/>
    <n v="28.847543619500001"/>
    <n v="29.396221566308331"/>
    <n v="39.803753205647219"/>
    <n v="25"/>
  </r>
  <r>
    <d v="2026-06-03T17:00:00"/>
    <x v="3"/>
    <n v="17"/>
    <n v="25.398002069311111"/>
    <n v="26.39915689055"/>
    <n v="26.411040607555559"/>
    <n v="24.6"/>
    <n v="27.856276301763891"/>
    <n v="28.29751333115"/>
    <n v="39.94890175062222"/>
    <n v="25"/>
  </r>
  <r>
    <d v="2026-06-03T18:00:00"/>
    <x v="3"/>
    <n v="18"/>
    <n v="25.312965464177779"/>
    <n v="26.550064846783329"/>
    <n v="26.530435899619441"/>
    <n v="24.2"/>
    <n v="29.167863315747219"/>
    <n v="30.327849172788891"/>
    <n v="40.165502937266673"/>
    <n v="26"/>
  </r>
  <r>
    <d v="2026-06-03T19:00:00"/>
    <x v="3"/>
    <n v="19"/>
    <n v="25.07529091276945"/>
    <n v="26.540330884516671"/>
    <n v="26.639353576913891"/>
    <n v="23.6"/>
    <n v="29.932908622894441"/>
    <n v="32.643246458783331"/>
    <n v="40.630569659072222"/>
    <n v="29"/>
  </r>
  <r>
    <d v="2026-06-03T20:00:00"/>
    <x v="3"/>
    <n v="20"/>
    <n v="24.304654390808331"/>
    <n v="26.22505225034444"/>
    <n v="26.658378855194449"/>
    <n v="22.5"/>
    <n v="32.705234548241663"/>
    <n v="34.443352451769442"/>
    <n v="41.051862116905554"/>
    <n v="35"/>
  </r>
  <r>
    <d v="2026-06-03T21:00:00"/>
    <x v="3"/>
    <n v="21"/>
    <n v="23.711074584019439"/>
    <n v="26.014994431908331"/>
    <n v="26.688046516438892"/>
    <n v="21.4"/>
    <n v="35.163887068966673"/>
    <n v="35.075557474030553"/>
    <n v="41.189429063155558"/>
    <n v="40"/>
  </r>
  <r>
    <d v="2026-06-03T22:00:00"/>
    <x v="3"/>
    <n v="22"/>
    <n v="22.84406805676667"/>
    <n v="26.824894448722219"/>
    <n v="26.54705459892778"/>
    <n v="20.8"/>
    <n v="38.597290503013888"/>
    <n v="37.343116272041669"/>
    <n v="42.723577298308328"/>
    <n v="42"/>
  </r>
  <r>
    <d v="2026-06-03T23:00:00"/>
    <x v="3"/>
    <n v="23"/>
    <n v="22.865751195333331"/>
    <n v="26.405662943452779"/>
    <n v="26.21512583659722"/>
    <n v="19.8"/>
    <n v="39.887350128130556"/>
    <n v="36.372073780894453"/>
    <n v="44.900289695447221"/>
    <n v="46"/>
  </r>
  <r>
    <d v="2026-06-04T00:00:00"/>
    <x v="3"/>
    <n v="0"/>
    <n v="24.074496317686108"/>
    <n v="26.232011667941659"/>
    <n v="26.383443293475001"/>
    <n v="18.7"/>
    <n v="41.735897769438893"/>
    <n v="39.019103671455561"/>
    <n v="45.481079357736121"/>
    <n v="51"/>
  </r>
  <r>
    <d v="2026-06-04T01:00:00"/>
    <x v="3"/>
    <n v="1"/>
    <n v="22.183085409577771"/>
    <n v="26.047558257516659"/>
    <n v="26.593984077088891"/>
    <n v="17.8"/>
    <n v="39.961973558266671"/>
    <n v="37.909501832825001"/>
    <n v="44.129061122555562"/>
    <n v="56"/>
  </r>
  <r>
    <d v="2026-06-04T02:00:00"/>
    <x v="3"/>
    <n v="2"/>
    <n v="21.400208926077781"/>
    <n v="25.548481941763889"/>
    <n v="26.6556085313"/>
    <n v="17"/>
    <n v="41.119645741241662"/>
    <n v="35.063963523452777"/>
    <n v="43.432769255469452"/>
    <n v="58"/>
  </r>
  <r>
    <d v="2026-06-04T03:00:00"/>
    <x v="3"/>
    <n v="3"/>
    <n v="21.049131546819439"/>
    <n v="24.82254479215278"/>
    <n v="26.62195163337778"/>
    <n v="17.899999999999999"/>
    <n v="42.5929688513"/>
    <n v="35.958663225475"/>
    <n v="43.154306219533339"/>
    <n v="55"/>
  </r>
  <r>
    <d v="2026-06-04T04:00:00"/>
    <x v="3"/>
    <n v="4"/>
    <n v="20.709416994369441"/>
    <n v="24.470452244480551"/>
    <n v="26.607423617916659"/>
    <n v="17.3"/>
    <n v="44.537635662186112"/>
    <n v="37.383587521850004"/>
    <n v="43.13643521638889"/>
    <n v="58"/>
  </r>
  <r>
    <d v="2026-06-04T05:00:00"/>
    <x v="3"/>
    <n v="5"/>
    <n v="20.314971675563889"/>
    <n v="24.192619701169441"/>
    <n v="26.570673731433331"/>
    <n v="16.5"/>
    <n v="46.078181447216672"/>
    <n v="38.06991176564167"/>
    <n v="43.224608478027783"/>
    <n v="62"/>
  </r>
  <r>
    <d v="2026-06-04T06:00:00"/>
    <x v="3"/>
    <n v="6"/>
    <n v="20.15813603211112"/>
    <n v="24.00010856308333"/>
    <n v="26.546617759616659"/>
    <n v="16.399999999999999"/>
    <n v="47.526999792263886"/>
    <n v="38.938900271549997"/>
    <n v="43.327977713436113"/>
    <n v="64"/>
  </r>
  <r>
    <d v="2026-06-04T07:00:00"/>
    <x v="3"/>
    <n v="7"/>
    <n v="20.58778585210278"/>
    <n v="24.020421665788891"/>
    <n v="26.55936149882222"/>
    <n v="16.7"/>
    <n v="48.66285442119166"/>
    <n v="40.59901918592778"/>
    <n v="43.502217630202779"/>
    <n v="63"/>
  </r>
  <r>
    <d v="2026-06-04T08:00:00"/>
    <x v="3"/>
    <n v="8"/>
    <n v="21.278480941194449"/>
    <n v="23.79063485567778"/>
    <n v="26.596655170580561"/>
    <n v="17.2"/>
    <n v="47.479799043527777"/>
    <n v="41.468053099486113"/>
    <n v="43.753225941680562"/>
    <n v="62"/>
  </r>
  <r>
    <d v="2026-06-04T09:00:00"/>
    <x v="3"/>
    <n v="9"/>
    <n v="21.604516129522221"/>
    <n v="23.844606439797221"/>
    <n v="25.900806497525"/>
    <n v="18"/>
    <n v="49.276730391772233"/>
    <n v="43.096501701538891"/>
    <n v="47.932607160741668"/>
    <n v="60"/>
  </r>
  <r>
    <d v="2026-06-04T10:00:00"/>
    <x v="3"/>
    <n v="10"/>
    <n v="22.02275326085833"/>
    <n v="24.03393649241389"/>
    <n v="25.356559189974998"/>
    <n v="18.899999999999999"/>
    <n v="47.597861573105547"/>
    <n v="43.091107753097219"/>
    <n v="49.898925731722223"/>
    <n v="56"/>
  </r>
  <r>
    <d v="2026-06-04T11:00:00"/>
    <x v="3"/>
    <n v="11"/>
    <n v="22.072106395663891"/>
    <n v="24.382209910575"/>
    <n v="25.229660948636109"/>
    <n v="19.7"/>
    <n v="47.657807519980558"/>
    <n v="42.692606092036108"/>
    <n v="50.595323165633339"/>
    <n v="53"/>
  </r>
  <r>
    <d v="2026-06-04T12:00:00"/>
    <x v="3"/>
    <n v="12"/>
    <n v="22.483298126638889"/>
    <n v="24.685917925497229"/>
    <n v="25.394321681333331"/>
    <n v="20.7"/>
    <n v="46.75090078948611"/>
    <n v="41.678095355258328"/>
    <n v="49.323098429502778"/>
    <n v="49"/>
  </r>
  <r>
    <d v="2026-06-04T13:00:00"/>
    <x v="3"/>
    <n v="13"/>
    <n v="23.064054626869449"/>
    <n v="24.75825895214167"/>
    <n v="25.928467125800001"/>
    <n v="22.6"/>
    <n v="43.846441160869439"/>
    <n v="40.826398306477778"/>
    <n v="47.673660926602793"/>
    <n v="41"/>
  </r>
  <r>
    <d v="2026-06-04T14:00:00"/>
    <x v="3"/>
    <n v="14"/>
    <n v="22.874991795741661"/>
    <n v="24.70965481371389"/>
    <n v="26.106277619744439"/>
    <n v="20.6"/>
    <n v="44.680559439349999"/>
    <n v="40.846019410930552"/>
    <n v="46.961907980563893"/>
    <n v="48"/>
  </r>
  <r>
    <d v="2026-06-04T15:00:00"/>
    <x v="3"/>
    <n v="15"/>
    <n v="23.820698251655561"/>
    <n v="24.817792515797219"/>
    <n v="25.946524764452779"/>
    <n v="20.5"/>
    <n v="43.882216615291668"/>
    <n v="42.095999927363891"/>
    <n v="48.807421410083329"/>
    <n v="54"/>
  </r>
  <r>
    <d v="2026-06-04T16:00:00"/>
    <x v="3"/>
    <n v="16"/>
    <n v="23.860982565238888"/>
    <n v="24.970376667016659"/>
    <n v="25.704383681341671"/>
    <n v="20.5"/>
    <n v="45.317807905858338"/>
    <n v="43.387048250305547"/>
    <n v="50.188331970519442"/>
    <n v="56"/>
  </r>
  <r>
    <d v="2026-06-04T17:00:00"/>
    <x v="3"/>
    <n v="17"/>
    <n v="23.951988749424999"/>
    <n v="24.767252247075"/>
    <n v="26.115633196386121"/>
    <n v="20"/>
    <n v="46.107035435283343"/>
    <n v="44.643014146358333"/>
    <n v="48.491671368827781"/>
    <n v="58"/>
  </r>
  <r>
    <d v="2026-06-04T18:00:00"/>
    <x v="3"/>
    <n v="18"/>
    <n v="23.57208505861389"/>
    <n v="24.971456631433341"/>
    <n v="26.278968922705559"/>
    <n v="20.100000000000001"/>
    <n v="47.170546990230562"/>
    <n v="45.024766242952779"/>
    <n v="48.033564400255557"/>
    <n v="63"/>
  </r>
  <r>
    <d v="2026-06-04T19:00:00"/>
    <x v="3"/>
    <n v="19"/>
    <n v="23.30171758561945"/>
    <n v="24.95266237745556"/>
    <n v="26.411648206597221"/>
    <n v="19.3"/>
    <n v="46.863581920686109"/>
    <n v="44.140153841736122"/>
    <n v="47.676012149169438"/>
    <n v="66"/>
  </r>
  <r>
    <d v="2026-06-04T20:00:00"/>
    <x v="3"/>
    <n v="20"/>
    <n v="23.633276798463889"/>
    <n v="24.65380629541945"/>
    <n v="26.48654097445278"/>
    <n v="18.399999999999999"/>
    <n v="47.186794106883333"/>
    <n v="45.050404490672207"/>
    <n v="47.442949610272223"/>
    <n v="70"/>
  </r>
  <r>
    <d v="2026-06-04T21:00:00"/>
    <x v="3"/>
    <n v="21"/>
    <n v="23.046579099908332"/>
    <n v="24.574537514425"/>
    <n v="26.60967024650278"/>
    <n v="18.2"/>
    <n v="48.049376454897221"/>
    <n v="45.223131792125002"/>
    <n v="47.252234035400001"/>
    <n v="67"/>
  </r>
  <r>
    <d v="2026-06-04T22:00:00"/>
    <x v="3"/>
    <n v="22"/>
    <n v="22.693357618163891"/>
    <n v="24.59124785665"/>
    <n v="26.649016699336109"/>
    <n v="18.100000000000001"/>
    <n v="48.074849422491667"/>
    <n v="44.299675327980559"/>
    <n v="47.219126072500003"/>
    <n v="68"/>
  </r>
  <r>
    <d v="2026-06-04T23:00:00"/>
    <x v="3"/>
    <n v="23"/>
    <n v="22.662550622811111"/>
    <n v="24.273930401505559"/>
    <n v="26.53071261288056"/>
    <n v="17.8"/>
    <n v="46.953570043041672"/>
    <n v="43.439326097313888"/>
    <n v="47.245946891216668"/>
    <n v="68"/>
  </r>
  <r>
    <d v="2026-06-05T00:00:00"/>
    <x v="3"/>
    <n v="0"/>
    <n v="23.204499129155561"/>
    <n v="24.427897489986108"/>
    <n v="26.495030407372219"/>
    <n v="17.600000000000001"/>
    <n v="45.257738083827768"/>
    <n v="42.619136300236107"/>
    <n v="47.15129220638056"/>
    <n v="69"/>
  </r>
  <r>
    <d v="2026-06-05T01:00:00"/>
    <x v="3"/>
    <n v="1"/>
    <n v="23.02743214718333"/>
    <n v="24.13980618078612"/>
    <n v="26.472533569822222"/>
    <n v="16.7"/>
    <n v="45.613843178750002"/>
    <n v="43.267882916702767"/>
    <n v="47.070220148111112"/>
    <n v="73"/>
  </r>
  <r>
    <d v="2026-06-05T02:00:00"/>
    <x v="3"/>
    <n v="2"/>
    <n v="21.923054876616661"/>
    <n v="24.058966325002771"/>
    <n v="26.441670555886109"/>
    <n v="16"/>
    <n v="49.134258344391661"/>
    <n v="43.962423787600002"/>
    <n v="47.158972999041659"/>
    <n v="76"/>
  </r>
  <r>
    <d v="2026-06-05T03:00:00"/>
    <x v="3"/>
    <n v="3"/>
    <n v="22.11294502643333"/>
    <n v="23.79981518248611"/>
    <n v="26.422894458502778"/>
    <n v="15.7"/>
    <n v="49.564286683349998"/>
    <n v="45.089875448863893"/>
    <n v="47.261086333769448"/>
    <n v="81"/>
  </r>
  <r>
    <d v="2026-06-05T04:00:00"/>
    <x v="3"/>
    <n v="4"/>
    <n v="22.410804690394439"/>
    <n v="23.71269506629444"/>
    <n v="26.419283072338889"/>
    <n v="15.5"/>
    <n v="48.954091595405551"/>
    <n v="45.474120628900003"/>
    <n v="47.288336154869448"/>
    <n v="81"/>
  </r>
  <r>
    <d v="2026-06-05T05:00:00"/>
    <x v="3"/>
    <n v="5"/>
    <n v="22.838479070580561"/>
    <n v="23.642371482113891"/>
    <n v="26.39928105511666"/>
    <n v="15.3"/>
    <n v="47.738219126138887"/>
    <n v="45.512341250919441"/>
    <n v="47.320381727272228"/>
    <n v="81"/>
  </r>
  <r>
    <d v="2026-06-05T06:00:00"/>
    <x v="3"/>
    <n v="6"/>
    <n v="23.462238488375"/>
    <n v="23.887104050066672"/>
    <n v="26.39052506917222"/>
    <n v="15.8"/>
    <n v="45.480026770783333"/>
    <n v="44.812768458427783"/>
    <n v="47.363280827213877"/>
    <n v="78"/>
  </r>
  <r>
    <d v="2026-06-05T07:00:00"/>
    <x v="3"/>
    <n v="7"/>
    <n v="23.796423049133331"/>
    <n v="24.303659639647229"/>
    <n v="26.410468916025"/>
    <n v="17"/>
    <n v="44.983182035461112"/>
    <n v="44.138700252644448"/>
    <n v="47.385689427908318"/>
    <n v="71"/>
  </r>
  <r>
    <d v="2026-06-05T08:00:00"/>
    <x v="3"/>
    <n v="8"/>
    <n v="24.51612010651111"/>
    <n v="24.503401381475001"/>
    <n v="26.429495939022221"/>
    <n v="19.2"/>
    <n v="42.513781971172222"/>
    <n v="43.268680061169448"/>
    <n v="47.414221760600007"/>
    <n v="61"/>
  </r>
  <r>
    <d v="2026-06-05T09:00:00"/>
    <x v="3"/>
    <n v="9"/>
    <n v="25.749377106222219"/>
    <n v="25.099706513661111"/>
    <n v="26.465819973686109"/>
    <n v="21.6"/>
    <n v="39.237567018977778"/>
    <n v="40.880448409938893"/>
    <n v="47.329045098916673"/>
    <n v="51"/>
  </r>
  <r>
    <d v="2026-06-05T10:00:00"/>
    <x v="3"/>
    <n v="10"/>
    <n v="25.51195653712778"/>
    <n v="25.60553532757778"/>
    <n v="26.523357988527781"/>
    <n v="22.3"/>
    <n v="39.201386329461108"/>
    <n v="40.141043944755559"/>
    <n v="47.100755663944447"/>
    <n v="48"/>
  </r>
  <r>
    <d v="2026-06-05T11:00:00"/>
    <x v="3"/>
    <n v="11"/>
    <n v="25.58874316351389"/>
    <n v="26.05451667697778"/>
    <n v="26.515572941897229"/>
    <n v="23.1"/>
    <n v="38.861334053013891"/>
    <n v="40.738311900852779"/>
    <n v="47.468641275047219"/>
    <n v="46"/>
  </r>
  <r>
    <d v="2026-06-05T12:00:00"/>
    <x v="3"/>
    <n v="12"/>
    <n v="25.569057649369441"/>
    <n v="26.11686041071944"/>
    <n v="26.389452118391659"/>
    <n v="23.8"/>
    <n v="38.230043002741667"/>
    <n v="38.767693006261112"/>
    <n v="48.032512357377783"/>
    <n v="44"/>
  </r>
  <r>
    <d v="2026-06-05T13:00:00"/>
    <x v="3"/>
    <n v="13"/>
    <n v="25.599280508152781"/>
    <n v="26.163499652130561"/>
    <n v="26.370674925566661"/>
    <n v="24.2"/>
    <n v="38.387895845741667"/>
    <n v="38.553603819783334"/>
    <n v="47.978937660547217"/>
    <n v="44"/>
  </r>
  <r>
    <d v="2026-06-05T14:00:00"/>
    <x v="3"/>
    <n v="14"/>
    <n v="25.623131533927779"/>
    <n v="26.315387756002771"/>
    <n v="26.384547629577771"/>
    <n v="24.7"/>
    <n v="38.546049909327778"/>
    <n v="38.66469775875278"/>
    <n v="48.02506335733333"/>
    <n v="41"/>
  </r>
  <r>
    <d v="2026-06-05T15:00:00"/>
    <x v="3"/>
    <n v="15"/>
    <n v="25.680802186680559"/>
    <n v="26.319079424252781"/>
    <n v="26.410792229930561"/>
    <n v="25.6"/>
    <n v="38.285935827575003"/>
    <n v="38.410895853336122"/>
    <n v="47.989621631177783"/>
    <n v="37"/>
  </r>
  <r>
    <d v="2026-06-05T16:00:00"/>
    <x v="3"/>
    <n v="16"/>
    <n v="25.640658024541661"/>
    <n v="26.2137227407"/>
    <n v="26.546257033194451"/>
    <n v="25.7"/>
    <n v="38.766784263425002"/>
    <n v="39.199729065494452"/>
    <n v="47.426193722180557"/>
    <n v="36"/>
  </r>
  <r>
    <d v="2026-06-05T17:00:00"/>
    <x v="3"/>
    <n v="17"/>
    <n v="25.678575611774999"/>
    <n v="26.364609854708331"/>
    <n v="26.638294595783339"/>
    <n v="25.7"/>
    <n v="40.272821755438891"/>
    <n v="39.845788367300003"/>
    <n v="47.104505366691662"/>
    <n v="36"/>
  </r>
  <r>
    <d v="2026-06-05T18:00:00"/>
    <x v="3"/>
    <n v="18"/>
    <n v="25.728640026605561"/>
    <n v="26.205631551088889"/>
    <n v="26.692074237705562"/>
    <n v="25.4"/>
    <n v="40.313107530575003"/>
    <n v="40.126184632086122"/>
    <n v="46.849958014841668"/>
    <n v="36"/>
  </r>
  <r>
    <d v="2026-06-05T19:00:00"/>
    <x v="3"/>
    <n v="19"/>
    <n v="25.907126619080561"/>
    <n v="26.235931412641669"/>
    <n v="26.66015584317222"/>
    <n v="24.7"/>
    <n v="41.817156271222217"/>
    <n v="41.952949776308337"/>
    <n v="49.571085432072223"/>
    <n v="39"/>
  </r>
  <r>
    <d v="2026-06-05T20:00:00"/>
    <x v="3"/>
    <n v="20"/>
    <n v="25.504087127947219"/>
    <n v="26.115517328497219"/>
    <n v="26.683760044083328"/>
    <n v="23.2"/>
    <n v="42.284475406530561"/>
    <n v="42.152349101094451"/>
    <n v="49.222736683100003"/>
    <n v="46"/>
  </r>
  <r>
    <d v="2026-06-05T21:00:00"/>
    <x v="3"/>
    <n v="21"/>
    <n v="25.038069579216661"/>
    <n v="25.712721749291671"/>
    <n v="26.78388099895556"/>
    <n v="22.2"/>
    <n v="42.212064415874998"/>
    <n v="41.45443865034445"/>
    <n v="48.018230687586112"/>
    <n v="49"/>
  </r>
  <r>
    <d v="2026-06-05T22:00:00"/>
    <x v="3"/>
    <n v="22"/>
    <n v="24.926181059188892"/>
    <n v="25.571838323522229"/>
    <n v="27.021945233419441"/>
    <n v="21.4"/>
    <n v="42.067594075833327"/>
    <n v="41.236244684377773"/>
    <n v="47.213451169755558"/>
    <n v="52"/>
  </r>
  <r>
    <d v="2026-06-05T23:00:00"/>
    <x v="3"/>
    <n v="23"/>
    <n v="24.582105876705551"/>
    <n v="25.70746856138889"/>
    <n v="27.097117060708332"/>
    <n v="20.6"/>
    <n v="43.01680181216944"/>
    <n v="41.541798932438887"/>
    <n v="46.86604828339722"/>
    <n v="54"/>
  </r>
  <r>
    <d v="2026-06-06T00:00:00"/>
    <x v="3"/>
    <n v="0"/>
    <n v="24.085147597700001"/>
    <n v="25.739700663747229"/>
    <n v="26.876101075499999"/>
    <n v="19.5"/>
    <n v="43.738115269663894"/>
    <n v="42.856702369713886"/>
    <n v="47.056411875397217"/>
    <n v="59"/>
  </r>
  <r>
    <d v="2026-06-06T01:00:00"/>
    <x v="3"/>
    <n v="1"/>
    <n v="23.76665443112222"/>
    <n v="25.54029640291667"/>
    <n v="26.772032439622219"/>
    <n v="18.899999999999999"/>
    <n v="44.761823997147218"/>
    <n v="43.595810194686123"/>
    <n v="47.100333022891668"/>
    <n v="62"/>
  </r>
  <r>
    <d v="2026-06-06T02:00:00"/>
    <x v="3"/>
    <n v="2"/>
    <n v="23.178159087138891"/>
    <n v="25.370086055316669"/>
    <n v="26.763030478619449"/>
    <n v="18.100000000000001"/>
    <n v="46.544644133816668"/>
    <n v="43.194888265858332"/>
    <n v="47.076877035199999"/>
    <n v="66"/>
  </r>
  <r>
    <d v="2026-06-06T03:00:00"/>
    <x v="3"/>
    <n v="3"/>
    <n v="22.991633896477779"/>
    <n v="25.038495887591669"/>
    <n v="26.733060121583328"/>
    <n v="17.2"/>
    <n v="45.510961845397233"/>
    <n v="41.935177501144437"/>
    <n v="46.93015352498611"/>
    <n v="69"/>
  </r>
  <r>
    <d v="2026-06-06T04:00:00"/>
    <x v="3"/>
    <n v="4"/>
    <n v="22.29206792301666"/>
    <n v="24.970055205313891"/>
    <n v="26.709967868572221"/>
    <n v="16.5"/>
    <n v="47.491434867666669"/>
    <n v="42.242115439638887"/>
    <n v="46.899572407241664"/>
    <n v="73"/>
  </r>
  <r>
    <d v="2026-06-06T05:00:00"/>
    <x v="3"/>
    <n v="5"/>
    <n v="22.664955290313891"/>
    <n v="25.1798413675"/>
    <n v="26.707873487911112"/>
    <n v="15.8"/>
    <n v="47.112223852700012"/>
    <n v="42.065706299858327"/>
    <n v="46.86012242731389"/>
    <n v="77"/>
  </r>
  <r>
    <d v="2026-06-06T06:00:00"/>
    <x v="3"/>
    <n v="6"/>
    <n v="24.190206970644439"/>
    <n v="25.80059417456944"/>
    <n v="26.680827815352771"/>
    <n v="17.100000000000001"/>
    <n v="43.100364701891657"/>
    <n v="40.972536854088887"/>
    <n v="46.830194528688892"/>
    <n v="71"/>
  </r>
  <r>
    <d v="2026-06-06T07:00:00"/>
    <x v="3"/>
    <n v="7"/>
    <n v="25.511143294791669"/>
    <n v="25.970214575858339"/>
    <n v="26.735184590688888"/>
    <n v="19.7"/>
    <n v="40.85659563500834"/>
    <n v="40.117182321761113"/>
    <n v="46.610607194341668"/>
    <n v="60"/>
  </r>
  <r>
    <d v="2026-06-06T08:00:00"/>
    <x v="3"/>
    <n v="8"/>
    <n v="26.555897413558331"/>
    <n v="26.8705336238"/>
    <n v="26.790775442922222"/>
    <n v="22.3"/>
    <n v="38.886438066483329"/>
    <n v="38.121760880927773"/>
    <n v="46.547551644983344"/>
    <n v="48"/>
  </r>
  <r>
    <d v="2026-06-06T09:00:00"/>
    <x v="3"/>
    <n v="9"/>
    <n v="27.552003885838889"/>
    <n v="27.203405193277771"/>
    <n v="26.800139165041671"/>
    <n v="24.3"/>
    <n v="35.737128482349988"/>
    <n v="36.21420259544167"/>
    <n v="46.559012093638891"/>
    <n v="41"/>
  </r>
  <r>
    <d v="2026-06-06T10:00:00"/>
    <x v="3"/>
    <n v="10"/>
    <n v="27.03725699132222"/>
    <n v="27.492023237969441"/>
    <n v="26.82535902130833"/>
    <n v="25.6"/>
    <n v="34.789036961666667"/>
    <n v="33.876945768461113"/>
    <n v="46.366001071749999"/>
    <n v="35"/>
  </r>
  <r>
    <d v="2026-06-06T11:00:00"/>
    <x v="3"/>
    <n v="11"/>
    <n v="26.86749551626389"/>
    <n v="27.517351333583331"/>
    <n v="26.858300156011111"/>
    <n v="26.5"/>
    <n v="34.314192244974997"/>
    <n v="33.788007478711108"/>
    <n v="46.146776053391669"/>
    <n v="32"/>
  </r>
  <r>
    <d v="2026-06-06T12:00:00"/>
    <x v="3"/>
    <n v="12"/>
    <n v="26.824387813177779"/>
    <n v="27.506237104033332"/>
    <n v="26.873359807808331"/>
    <n v="27.2"/>
    <n v="35.050241807455564"/>
    <n v="34.830247396702781"/>
    <n v="46.042368004936122"/>
    <n v="30"/>
  </r>
  <r>
    <d v="2026-06-06T13:00:00"/>
    <x v="3"/>
    <n v="13"/>
    <n v="26.809394842352781"/>
    <n v="27.405144279477781"/>
    <n v="26.90971765649445"/>
    <n v="27.9"/>
    <n v="34.212927038736098"/>
    <n v="34.163709529966667"/>
    <n v="45.99144107247222"/>
    <n v="28"/>
  </r>
  <r>
    <d v="2026-06-06T14:00:00"/>
    <x v="3"/>
    <n v="14"/>
    <n v="26.761476748247219"/>
    <n v="27.272020806566669"/>
    <n v="26.92405863253056"/>
    <n v="28.4"/>
    <n v="34.81086688104444"/>
    <n v="34.526170748122219"/>
    <n v="46.053281430075003"/>
    <n v="28"/>
  </r>
  <r>
    <d v="2026-06-06T15:00:00"/>
    <x v="3"/>
    <n v="15"/>
    <n v="26.560062741119442"/>
    <n v="27.045313340202771"/>
    <n v="26.924444695911109"/>
    <n v="28.7"/>
    <n v="34.680062537527782"/>
    <n v="34.260267917488903"/>
    <n v="45.925185529536122"/>
    <n v="27"/>
  </r>
  <r>
    <d v="2026-06-06T16:00:00"/>
    <x v="3"/>
    <n v="16"/>
    <n v="26.484602782044451"/>
    <n v="26.806969734905561"/>
    <n v="26.92355502194722"/>
    <n v="28.6"/>
    <n v="34.211962332855563"/>
    <n v="34.336369001216667"/>
    <n v="45.801907352147232"/>
    <n v="27"/>
  </r>
  <r>
    <d v="2026-06-06T17:00:00"/>
    <x v="3"/>
    <n v="17"/>
    <n v="26.515149959908332"/>
    <n v="26.77386090401944"/>
    <n v="26.93236115321389"/>
    <n v="28.4"/>
    <n v="35.369456610116657"/>
    <n v="35.356356333602783"/>
    <n v="45.680864143547218"/>
    <n v="28"/>
  </r>
  <r>
    <d v="2026-06-06T18:00:00"/>
    <x v="3"/>
    <n v="18"/>
    <n v="26.498987835419442"/>
    <n v="26.88303712164722"/>
    <n v="27.001113725402771"/>
    <n v="28"/>
    <n v="37.863521512372223"/>
    <n v="37.493105821113893"/>
    <n v="45.839854741194443"/>
    <n v="28"/>
  </r>
  <r>
    <d v="2026-06-06T19:00:00"/>
    <x v="3"/>
    <n v="19"/>
    <n v="26.417211047930561"/>
    <n v="27.011198386661111"/>
    <n v="27.042113484102781"/>
    <n v="27"/>
    <n v="38.899704077519438"/>
    <n v="40.168213540344453"/>
    <n v="46.096953417955547"/>
    <n v="30"/>
  </r>
  <r>
    <d v="2026-06-06T20:00:00"/>
    <x v="3"/>
    <n v="20"/>
    <n v="26.21086493341112"/>
    <n v="26.883201084713889"/>
    <n v="27.045820907355559"/>
    <n v="26"/>
    <n v="40.212080853594443"/>
    <n v="41.616836980919437"/>
    <n v="46.583537712994449"/>
    <n v="32"/>
  </r>
  <r>
    <d v="2026-06-06T21:00:00"/>
    <x v="3"/>
    <n v="21"/>
    <n v="26.036239764802779"/>
    <n v="26.82116548888056"/>
    <n v="26.835341351316671"/>
    <n v="24.9"/>
    <n v="41.322248266763893"/>
    <n v="43.036032077866672"/>
    <n v="50.816848651286108"/>
    <n v="39"/>
  </r>
  <r>
    <d v="2026-06-06T22:00:00"/>
    <x v="3"/>
    <n v="22"/>
    <n v="25.695838751283329"/>
    <n v="26.882978929788891"/>
    <n v="27.110480450119439"/>
    <n v="23.7"/>
    <n v="40.886951782669449"/>
    <n v="45.833803336527779"/>
    <n v="48.928060325805554"/>
    <n v="47"/>
  </r>
  <r>
    <d v="2026-06-06T23:00:00"/>
    <x v="3"/>
    <n v="23"/>
    <n v="25.545139839763891"/>
    <n v="26.99920660233056"/>
    <n v="27.452748224902781"/>
    <n v="22.9"/>
    <n v="42.370038432091668"/>
    <n v="48.947119714313892"/>
    <n v="48.722200761288889"/>
    <n v="52"/>
  </r>
  <r>
    <d v="2026-06-07T00:00:00"/>
    <x v="3"/>
    <n v="0"/>
    <n v="25.318708303111109"/>
    <n v="27.02280800004722"/>
    <n v="27.622801500074999"/>
    <n v="22"/>
    <n v="42.715945530602767"/>
    <n v="48.48908830694166"/>
    <n v="48.205157665352779"/>
    <n v="54"/>
  </r>
  <r>
    <d v="2026-06-07T01:00:00"/>
    <x v="3"/>
    <n v="1"/>
    <n v="24.958701300175001"/>
    <n v="26.869523955605558"/>
    <n v="27.627571540086109"/>
    <n v="21"/>
    <n v="44.498347503205558"/>
    <n v="48.574589660061122"/>
    <n v="49.844875161780557"/>
    <n v="58"/>
  </r>
  <r>
    <d v="2026-06-07T02:00:00"/>
    <x v="3"/>
    <n v="2"/>
    <n v="24.317435952825001"/>
    <n v="26.53427854972778"/>
    <n v="27.47481483323056"/>
    <n v="19.899999999999999"/>
    <n v="47.421174984952792"/>
    <n v="48.532067433386111"/>
    <n v="50.15611880543333"/>
    <n v="62"/>
  </r>
  <r>
    <d v="2026-06-07T03:00:00"/>
    <x v="3"/>
    <n v="3"/>
    <n v="23.905511871522229"/>
    <n v="26.171180411872221"/>
    <n v="27.491302464416659"/>
    <n v="19.2"/>
    <n v="47.010437812844451"/>
    <n v="47.522579245588886"/>
    <n v="49.729289046538888"/>
    <n v="64"/>
  </r>
  <r>
    <d v="2026-06-07T04:00:00"/>
    <x v="3"/>
    <n v="4"/>
    <n v="23.621300698011112"/>
    <n v="26.08957685423611"/>
    <n v="27.511556899830559"/>
    <n v="18"/>
    <n v="45.459248143416673"/>
    <n v="45.710661905241672"/>
    <n v="49.365387353438877"/>
    <n v="70"/>
  </r>
  <r>
    <d v="2026-06-07T05:00:00"/>
    <x v="3"/>
    <n v="5"/>
    <n v="24.15706111301111"/>
    <n v="25.987912859872221"/>
    <n v="27.485090885075"/>
    <n v="17.5"/>
    <n v="44.834141773633327"/>
    <n v="45.022096673619437"/>
    <n v="48.925347019500002"/>
    <n v="73"/>
  </r>
  <r>
    <d v="2026-06-07T06:00:00"/>
    <x v="3"/>
    <n v="6"/>
    <n v="25.306675930286112"/>
    <n v="26.220935547602771"/>
    <n v="27.40206312148889"/>
    <n v="18.399999999999999"/>
    <n v="45.056574215616671"/>
    <n v="44.915985969255559"/>
    <n v="48.712652870666673"/>
    <n v="70"/>
  </r>
  <r>
    <d v="2026-06-07T07:00:00"/>
    <x v="3"/>
    <n v="7"/>
    <n v="26.29660092774445"/>
    <n v="26.882714182819441"/>
    <n v="27.360061842372222"/>
    <n v="20"/>
    <n v="44.951003407827777"/>
    <n v="43.320248819469441"/>
    <n v="48.560644945336122"/>
    <n v="63"/>
  </r>
  <r>
    <d v="2026-06-07T08:00:00"/>
    <x v="3"/>
    <n v="8"/>
    <n v="27.198479747033328"/>
    <n v="27.315413281772219"/>
    <n v="27.365190072511108"/>
    <n v="22.3"/>
    <n v="42.952925963463883"/>
    <n v="42.275493996850003"/>
    <n v="48.242365501633337"/>
    <n v="53"/>
  </r>
  <r>
    <d v="2026-06-07T09:00:00"/>
    <x v="3"/>
    <n v="9"/>
    <n v="28.071551260138889"/>
    <n v="27.989372772069441"/>
    <n v="27.4171650563"/>
    <n v="24.8"/>
    <n v="39.586276273988886"/>
    <n v="40.314684571472228"/>
    <n v="48.035276887919451"/>
    <n v="45"/>
  </r>
  <r>
    <d v="2026-06-07T10:00:00"/>
    <x v="3"/>
    <n v="10"/>
    <n v="27.559831830797229"/>
    <n v="28.005215190480559"/>
    <n v="27.538918942227781"/>
    <n v="26.4"/>
    <n v="38.128619476261107"/>
    <n v="37.691059019780553"/>
    <n v="47.880722597027777"/>
    <n v="39"/>
  </r>
  <r>
    <d v="2026-06-07T11:00:00"/>
    <x v="3"/>
    <n v="11"/>
    <n v="27.371543997894449"/>
    <n v="28.107923554399999"/>
    <n v="27.492712380183331"/>
    <n v="27.3"/>
    <n v="36.910614940080563"/>
    <n v="35.682423925866672"/>
    <n v="47.561683418772219"/>
    <n v="33"/>
  </r>
  <r>
    <d v="2026-06-07T12:00:00"/>
    <x v="3"/>
    <n v="12"/>
    <n v="27.227741823150001"/>
    <n v="28.000685318877789"/>
    <n v="27.5699168264"/>
    <n v="28"/>
    <n v="37.315951138430563"/>
    <n v="37.158082999061108"/>
    <n v="47.670691917888888"/>
    <n v="33"/>
  </r>
  <r>
    <d v="2026-06-07T13:00:00"/>
    <x v="3"/>
    <n v="13"/>
    <n v="27.21854875745278"/>
    <n v="27.992288137972221"/>
    <n v="27.59271577170556"/>
    <n v="28.7"/>
    <n v="35.82810474748333"/>
    <n v="35.262136514272221"/>
    <n v="47.691612128897233"/>
    <n v="32"/>
  </r>
  <r>
    <d v="2026-06-07T14:00:00"/>
    <x v="3"/>
    <n v="14"/>
    <n v="27.36434194636389"/>
    <n v="28.01373276367778"/>
    <n v="27.52675512205278"/>
    <n v="28.9"/>
    <n v="34.691674469200002"/>
    <n v="34.463326690300001"/>
    <n v="46.721564548327777"/>
    <n v="32"/>
  </r>
  <r>
    <d v="2026-06-07T15:00:00"/>
    <x v="3"/>
    <n v="15"/>
    <n v="27.308396780263891"/>
    <n v="27.745466814963891"/>
    <n v="27.703299232658331"/>
    <n v="29.5"/>
    <n v="33.173817567755563"/>
    <n v="34.080503344902773"/>
    <n v="46.31897215645278"/>
    <n v="30"/>
  </r>
  <r>
    <d v="2026-06-07T16:00:00"/>
    <x v="3"/>
    <n v="16"/>
    <n v="27.59687953248056"/>
    <n v="27.938280253961111"/>
    <n v="27.634971948583331"/>
    <n v="29.1"/>
    <n v="31.97688473428612"/>
    <n v="34.056278370866671"/>
    <n v="46.203182698969442"/>
    <n v="32"/>
  </r>
  <r>
    <d v="2026-06-07T17:00:00"/>
    <x v="3"/>
    <n v="17"/>
    <n v="27.561664183147229"/>
    <n v="28.065241923052781"/>
    <n v="27.58534703671944"/>
    <n v="27.2"/>
    <n v="31.748972109572229"/>
    <n v="33.447152791530563"/>
    <n v="46.278849808694453"/>
    <n v="39"/>
  </r>
  <r>
    <d v="2026-06-07T18:00:00"/>
    <x v="3"/>
    <n v="18"/>
    <n v="27.330840561641661"/>
    <n v="28.209770192511112"/>
    <n v="27.733368103808331"/>
    <n v="27.2"/>
    <n v="32.802381899902777"/>
    <n v="33.628163613697232"/>
    <n v="45.738268444138889"/>
    <n v="37"/>
  </r>
  <r>
    <d v="2026-06-07T19:00:00"/>
    <x v="3"/>
    <n v="19"/>
    <n v="26.978009059158332"/>
    <n v="28.135563402105561"/>
    <n v="27.65880007489444"/>
    <n v="26.7"/>
    <n v="34.315387057313892"/>
    <n v="34.552047814963892"/>
    <n v="45.96006081905"/>
    <n v="38"/>
  </r>
  <r>
    <d v="2026-06-07T20:00:00"/>
    <x v="3"/>
    <n v="20"/>
    <n v="26.490236785130548"/>
    <n v="28.020826545555561"/>
    <n v="27.744426954541659"/>
    <n v="25.8"/>
    <n v="36.339604818272221"/>
    <n v="35.600656062655553"/>
    <n v="46.164835199427777"/>
    <n v="40"/>
  </r>
  <r>
    <d v="2026-06-07T21:00:00"/>
    <x v="3"/>
    <n v="21"/>
    <n v="25.54336279281112"/>
    <n v="28.089978231797222"/>
    <n v="27.551314631388891"/>
    <n v="24.8"/>
    <n v="37.208318827311111"/>
    <n v="34.739505063236123"/>
    <n v="45.497170267630558"/>
    <n v="43"/>
  </r>
  <r>
    <d v="2026-06-07T22:00:00"/>
    <x v="3"/>
    <n v="22"/>
    <n v="25.178949468266669"/>
    <n v="28.030232177525001"/>
    <n v="27.417806474827771"/>
    <n v="23.6"/>
    <n v="37.664473824147223"/>
    <n v="34.724670137491671"/>
    <n v="45.086926587441667"/>
    <n v="47"/>
  </r>
  <r>
    <d v="2026-06-07T23:00:00"/>
    <x v="3"/>
    <n v="23"/>
    <n v="25.570728148711112"/>
    <n v="27.864351056972229"/>
    <n v="27.598287554358329"/>
    <n v="22.3"/>
    <n v="38.700436104650002"/>
    <n v="37.436948148619443"/>
    <n v="46.039490672491667"/>
    <n v="51"/>
  </r>
  <r>
    <d v="2026-06-08T00:00:00"/>
    <x v="3"/>
    <n v="0"/>
    <n v="24.816798609172221"/>
    <n v="27.676876186844439"/>
    <n v="27.70534366327778"/>
    <n v="21.1"/>
    <n v="39.544421264802779"/>
    <n v="37.110905306366668"/>
    <n v="46.090583035077778"/>
    <n v="53"/>
  </r>
  <r>
    <d v="2026-06-08T01:00:00"/>
    <x v="3"/>
    <n v="1"/>
    <n v="24.06109331027778"/>
    <n v="26.970375046299999"/>
    <n v="27.636262930786121"/>
    <n v="20.3"/>
    <n v="39.144773525355554"/>
    <n v="36.709887779863891"/>
    <n v="46.069318021288893"/>
    <n v="52"/>
  </r>
  <r>
    <d v="2026-06-08T02:00:00"/>
    <x v="3"/>
    <n v="2"/>
    <n v="23.950224841669439"/>
    <n v="26.729458208061111"/>
    <n v="27.815385032327779"/>
    <n v="19.8"/>
    <n v="37.678265877266668"/>
    <n v="35.272637108169441"/>
    <n v="45.689770382336107"/>
    <n v="49"/>
  </r>
  <r>
    <d v="2026-06-08T03:00:00"/>
    <x v="3"/>
    <n v="3"/>
    <n v="23.189653359502771"/>
    <n v="26.094987723963889"/>
    <n v="27.868122264458339"/>
    <n v="18.600000000000001"/>
    <n v="36.956062089133333"/>
    <n v="33.842412964722222"/>
    <n v="45.188413586644437"/>
    <n v="54"/>
  </r>
  <r>
    <d v="2026-06-08T04:00:00"/>
    <x v="3"/>
    <n v="4"/>
    <n v="22.72820395376111"/>
    <n v="25.85044090928611"/>
    <n v="27.938362891069449"/>
    <n v="17.8"/>
    <n v="35.388017404405559"/>
    <n v="32.233702455524998"/>
    <n v="44.417297299700003"/>
    <n v="56"/>
  </r>
  <r>
    <d v="2026-06-08T05:00:00"/>
    <x v="3"/>
    <n v="5"/>
    <n v="22.986477887380559"/>
    <n v="25.765353823244439"/>
    <n v="27.871003294666671"/>
    <n v="17.3"/>
    <n v="34.256466795097218"/>
    <n v="31.480609170866671"/>
    <n v="43.897122895483342"/>
    <n v="58"/>
  </r>
  <r>
    <d v="2026-06-08T06:00:00"/>
    <x v="3"/>
    <n v="6"/>
    <n v="24.659161980563891"/>
    <n v="26.40915639226111"/>
    <n v="27.832225672316671"/>
    <n v="17.899999999999999"/>
    <n v="32.630733375283327"/>
    <n v="31.786752753091669"/>
    <n v="43.627374563080558"/>
    <n v="56"/>
  </r>
  <r>
    <d v="2026-06-08T07:00:00"/>
    <x v="3"/>
    <n v="7"/>
    <n v="26.144046025480559"/>
    <n v="26.958453716383332"/>
    <n v="27.80000147521945"/>
    <n v="19.399999999999999"/>
    <n v="31.25451961640556"/>
    <n v="31.64703174558889"/>
    <n v="43.540500086383332"/>
    <n v="50"/>
  </r>
  <r>
    <d v="2026-06-08T08:00:00"/>
    <x v="3"/>
    <n v="8"/>
    <n v="26.725888988880559"/>
    <n v="27.517141614469448"/>
    <n v="27.826273693166659"/>
    <n v="21.6"/>
    <n v="30.55854789012778"/>
    <n v="31.028615185100001"/>
    <n v="43.460879227183327"/>
    <n v="44"/>
  </r>
  <r>
    <d v="2026-06-08T09:00:00"/>
    <x v="3"/>
    <n v="9"/>
    <n v="27.356768646836109"/>
    <n v="27.983484091197219"/>
    <n v="27.81652989715278"/>
    <n v="24.4"/>
    <n v="31.417887962649999"/>
    <n v="31.183295596122221"/>
    <n v="43.533589413316669"/>
    <n v="39"/>
  </r>
  <r>
    <d v="2026-06-08T10:00:00"/>
    <x v="3"/>
    <n v="10"/>
    <n v="27.611499583008332"/>
    <n v="28.461869107913891"/>
    <n v="27.810194259083332"/>
    <n v="26.1"/>
    <n v="30.34027249538056"/>
    <n v="30.427005567961121"/>
    <n v="43.592208698977778"/>
    <n v="38"/>
  </r>
  <r>
    <d v="2026-06-08T11:00:00"/>
    <x v="3"/>
    <n v="11"/>
    <n v="27.725371285830551"/>
    <n v="28.830757036072221"/>
    <n v="27.867409193602779"/>
    <n v="27.4"/>
    <n v="29.01301974615"/>
    <n v="31.409147417225"/>
    <n v="43.484323309397219"/>
    <n v="35"/>
  </r>
  <r>
    <d v="2026-06-08T12:00:00"/>
    <x v="3"/>
    <n v="12"/>
    <n v="27.772483895491661"/>
    <n v="28.830312166386111"/>
    <n v="27.94963076991111"/>
    <n v="27.9"/>
    <n v="28.981913218824999"/>
    <n v="29.406919460258329"/>
    <n v="43.546368468441671"/>
    <n v="33"/>
  </r>
  <r>
    <d v="2026-06-08T13:00:00"/>
    <x v="3"/>
    <n v="13"/>
    <n v="27.697412340222218"/>
    <n v="28.58446606408333"/>
    <n v="28.01296791455"/>
    <n v="28.2"/>
    <n v="29.324815710438891"/>
    <n v="30.919770103513891"/>
    <n v="43.771050559288888"/>
    <n v="34"/>
  </r>
  <r>
    <d v="2026-06-08T14:00:00"/>
    <x v="3"/>
    <n v="14"/>
    <n v="25.75922585521111"/>
    <n v="27.710308069891671"/>
    <n v="27.97939332210278"/>
    <n v="24.9"/>
    <n v="32.47707252440555"/>
    <n v="31.462461554933341"/>
    <n v="43.105539384697217"/>
    <n v="49"/>
  </r>
  <r>
    <d v="2026-06-08T15:00:00"/>
    <x v="3"/>
    <n v="15"/>
    <n v="26.787230464149999"/>
    <n v="28.068118283674998"/>
    <n v="27.984304856624998"/>
    <n v="27.9"/>
    <n v="40.342988183741667"/>
    <n v="36.939659257858331"/>
    <n v="43.395010184613888"/>
    <n v="35"/>
  </r>
  <r>
    <d v="2026-06-08T16:00:00"/>
    <x v="3"/>
    <n v="16"/>
    <n v="27.078506335638892"/>
    <n v="28.27849065561945"/>
    <n v="28.008442400330551"/>
    <n v="28.3"/>
    <n v="42.689301483686108"/>
    <n v="39.888142025675002"/>
    <n v="44.595425948577777"/>
    <n v="33"/>
  </r>
  <r>
    <d v="2026-06-08T17:00:00"/>
    <x v="3"/>
    <n v="17"/>
    <n v="27.210064991025"/>
    <n v="28.449627763397221"/>
    <n v="28.009973468591671"/>
    <n v="28.1"/>
    <n v="45.880781296044439"/>
    <n v="43.748717002863891"/>
    <n v="45.028868800066668"/>
    <n v="33"/>
  </r>
  <r>
    <d v="2026-06-08T18:00:00"/>
    <x v="3"/>
    <n v="18"/>
    <n v="26.245118563811111"/>
    <n v="28.17414210925833"/>
    <n v="27.99386626582778"/>
    <n v="26.2"/>
    <n v="40.674213534674998"/>
    <n v="40.826117553522216"/>
    <n v="44.917944131636112"/>
    <n v="43"/>
  </r>
  <r>
    <d v="2026-06-08T19:00:00"/>
    <x v="3"/>
    <n v="19"/>
    <n v="25.65106553641667"/>
    <n v="27.923379231394449"/>
    <n v="27.947974368924999"/>
    <n v="25.3"/>
    <n v="40.611703560400002"/>
    <n v="39.374907700580557"/>
    <n v="44.834782596658343"/>
    <n v="47"/>
  </r>
  <r>
    <d v="2026-06-08T20:00:00"/>
    <x v="3"/>
    <n v="20"/>
    <n v="26.826757844888888"/>
    <n v="28.18405157139722"/>
    <n v="28.301990356219449"/>
    <n v="24.1"/>
    <n v="44.301858432619447"/>
    <n v="42.407258288116672"/>
    <n v="44.508339292897233"/>
    <n v="55"/>
  </r>
  <r>
    <d v="2026-06-08T21:00:00"/>
    <x v="3"/>
    <n v="21"/>
    <n v="26.44737023864722"/>
    <n v="27.90030354492778"/>
    <n v="28.358161918758331"/>
    <n v="22.5"/>
    <n v="42.302363772966672"/>
    <n v="43.108853985791683"/>
    <n v="44.59441016525556"/>
    <n v="62"/>
  </r>
  <r>
    <d v="2026-06-08T22:00:00"/>
    <x v="3"/>
    <n v="22"/>
    <n v="25.537252152763891"/>
    <n v="27.959308551802781"/>
    <n v="28.416151703716661"/>
    <n v="21.4"/>
    <n v="45.354764237955557"/>
    <n v="42.611335766288889"/>
    <n v="45.544916406302782"/>
    <n v="66"/>
  </r>
  <r>
    <d v="2026-06-08T23:00:00"/>
    <x v="3"/>
    <n v="23"/>
    <n v="25.250634003636112"/>
    <n v="27.952013536888892"/>
    <n v="27.868282296622219"/>
    <n v="20.7"/>
    <n v="45.583556237211113"/>
    <n v="42.093359980197221"/>
    <n v="50.330537982480557"/>
    <n v="69"/>
  </r>
  <r>
    <d v="2026-06-09T00:00:00"/>
    <x v="3"/>
    <n v="0"/>
    <n v="24.81020919454167"/>
    <n v="27.451561620974999"/>
    <n v="28.272645605911091"/>
    <n v="20"/>
    <n v="46.894165781922233"/>
    <n v="43.071617483197222"/>
    <n v="48.439694165892291"/>
    <n v="71"/>
  </r>
  <r>
    <d v="2026-06-09T01:00:00"/>
    <x v="3"/>
    <n v="1"/>
    <n v="24.393426493105551"/>
    <n v="27.010579995705559"/>
    <n v="28.6501510843303"/>
    <n v="19.100000000000001"/>
    <n v="47.593960631880563"/>
    <n v="42.91496755800555"/>
    <n v="48.316230022782023"/>
    <n v="75"/>
  </r>
  <r>
    <d v="2026-06-09T02:00:00"/>
    <x v="3"/>
    <n v="2"/>
    <n v="24.06470646544722"/>
    <n v="26.72990143828056"/>
    <n v="28.355802732230678"/>
    <n v="18.3"/>
    <n v="47.946041477919437"/>
    <n v="42.58064131566389"/>
    <n v="47.344292360770908"/>
    <n v="79"/>
  </r>
  <r>
    <d v="2026-06-09T03:00:00"/>
    <x v="3"/>
    <n v="3"/>
    <n v="23.777873545472222"/>
    <n v="26.53169859796111"/>
    <n v="28.063806079266669"/>
    <n v="17.100000000000001"/>
    <n v="48.298121192577781"/>
    <n v="42.437478996811109"/>
    <n v="47.531038463808343"/>
    <n v="90"/>
  </r>
  <r>
    <d v="2026-06-09T04:00:00"/>
    <x v="3"/>
    <n v="4"/>
    <n v="23.783488014083328"/>
    <n v="26.44017740603611"/>
    <n v="27.995377174958328"/>
    <n v="16.2"/>
    <n v="48.203233919644447"/>
    <n v="42.315921153088887"/>
    <n v="47.382126039322223"/>
    <n v="93"/>
  </r>
  <r>
    <d v="2026-06-09T05:00:00"/>
    <x v="3"/>
    <n v="5"/>
    <n v="24.112488952680561"/>
    <n v="26.485461863538891"/>
    <n v="27.819036015061108"/>
    <n v="15.9"/>
    <n v="47.310648093363888"/>
    <n v="42.233689113697217"/>
    <n v="47.535273777922221"/>
    <n v="93"/>
  </r>
  <r>
    <d v="2026-06-09T06:00:00"/>
    <x v="3"/>
    <n v="6"/>
    <n v="25.317761251855561"/>
    <n v="26.826386933072229"/>
    <n v="27.846105282791669"/>
    <n v="16.7"/>
    <n v="44.495754725799998"/>
    <n v="42.125915418977783"/>
    <n v="47.400906754136109"/>
    <n v="88"/>
  </r>
  <r>
    <d v="2026-06-09T07:00:00"/>
    <x v="3"/>
    <n v="7"/>
    <n v="26.369769595872221"/>
    <n v="27.339231642444449"/>
    <n v="27.939564442788889"/>
    <n v="18.399999999999999"/>
    <n v="43.247937470274998"/>
    <n v="41.855937631877779"/>
    <n v="47.172728987544453"/>
    <n v="79"/>
  </r>
  <r>
    <d v="2026-06-09T08:00:00"/>
    <x v="3"/>
    <n v="8"/>
    <n v="27.212900302441671"/>
    <n v="27.646712118469441"/>
    <n v="28.056713044994449"/>
    <n v="20.399999999999999"/>
    <n v="42.964591222566668"/>
    <n v="42.513306486391663"/>
    <n v="46.929729635461108"/>
    <n v="69"/>
  </r>
  <r>
    <d v="2026-06-09T09:00:00"/>
    <x v="3"/>
    <n v="9"/>
    <n v="27.697576563761121"/>
    <n v="28.130084073005548"/>
    <n v="28.08654533046111"/>
    <n v="22.7"/>
    <n v="43.291286222797233"/>
    <n v="42.540634364897222"/>
    <n v="46.98242186346112"/>
    <n v="60"/>
  </r>
  <r>
    <d v="2026-06-09T10:00:00"/>
    <x v="3"/>
    <n v="10"/>
    <n v="27.833764432677778"/>
    <n v="28.340338072944441"/>
    <n v="27.954585584191669"/>
    <n v="23.9"/>
    <n v="43.090940614633332"/>
    <n v="42.037694435922234"/>
    <n v="47.342598911219447"/>
    <n v="56"/>
  </r>
  <r>
    <d v="2026-06-09T11:00:00"/>
    <x v="3"/>
    <n v="11"/>
    <n v="27.921494373877781"/>
    <n v="28.636495999491672"/>
    <n v="27.976163964655559"/>
    <n v="24.8"/>
    <n v="43.256184566741673"/>
    <n v="44.47526356858333"/>
    <n v="47.454690776855557"/>
    <n v="54"/>
  </r>
  <r>
    <d v="2026-06-09T12:00:00"/>
    <x v="3"/>
    <n v="12"/>
    <n v="27.79860733698056"/>
    <n v="28.831889506997221"/>
    <n v="27.992639005099999"/>
    <n v="25.5"/>
    <n v="42.678953747130556"/>
    <n v="43.067643528372223"/>
    <n v="47.344458912505559"/>
    <n v="50"/>
  </r>
  <r>
    <d v="2026-06-09T13:00:00"/>
    <x v="3"/>
    <n v="13"/>
    <n v="27.751929731091671"/>
    <n v="28.7523062213"/>
    <n v="28.012940982844441"/>
    <n v="26.2"/>
    <n v="42.784233313955554"/>
    <n v="42.332067187983327"/>
    <n v="47.471876394602781"/>
    <n v="48"/>
  </r>
  <r>
    <d v="2026-06-09T14:00:00"/>
    <x v="3"/>
    <n v="14"/>
    <n v="27.72772214282778"/>
    <n v="28.76905896128611"/>
    <n v="28.061637963399999"/>
    <n v="26.6"/>
    <n v="42.776266692783338"/>
    <n v="43.632092919641671"/>
    <n v="47.942329928375003"/>
    <n v="45"/>
  </r>
  <r>
    <d v="2026-06-09T15:00:00"/>
    <x v="3"/>
    <n v="15"/>
    <n v="27.816676793897219"/>
    <n v="28.52557009598889"/>
    <n v="28.072165924324999"/>
    <n v="26.8"/>
    <n v="38.86119286508611"/>
    <n v="41.546063285863887"/>
    <n v="47.603212516011112"/>
    <n v="43"/>
  </r>
  <r>
    <d v="2026-06-09T16:00:00"/>
    <x v="3"/>
    <n v="16"/>
    <n v="27.916952830202771"/>
    <n v="28.467078482358328"/>
    <n v="28.08380369620556"/>
    <n v="26.9"/>
    <n v="36.780203620730553"/>
    <n v="39.233731197497221"/>
    <n v="47.417490221786103"/>
    <n v="41"/>
  </r>
  <r>
    <d v="2026-06-09T17:00:00"/>
    <x v="3"/>
    <n v="17"/>
    <n v="27.76229660016666"/>
    <n v="28.554292299011109"/>
    <n v="28.50451248552222"/>
    <n v="26.5"/>
    <n v="35.894935547469437"/>
    <n v="37.978503900716667"/>
    <n v="46.55379628351389"/>
    <n v="42"/>
  </r>
  <r>
    <d v="2026-06-09T18:00:00"/>
    <x v="3"/>
    <n v="18"/>
    <n v="27.496434115283339"/>
    <n v="28.708910522850001"/>
    <m/>
    <n v="25.9"/>
    <n v="36.341909171050013"/>
    <n v="38.792241185599991"/>
    <m/>
    <n v="44"/>
  </r>
  <r>
    <d v="2026-06-09T19:00:00"/>
    <x v="3"/>
    <n v="19"/>
    <m/>
    <m/>
    <m/>
    <n v="25.1"/>
    <m/>
    <m/>
    <m/>
    <n v="45"/>
  </r>
  <r>
    <d v="2026-06-09T20:00:00"/>
    <x v="3"/>
    <n v="20"/>
    <m/>
    <m/>
    <m/>
    <n v="24"/>
    <m/>
    <m/>
    <m/>
    <n v="50"/>
  </r>
  <r>
    <d v="2026-06-09T21:00:00"/>
    <x v="3"/>
    <n v="21"/>
    <m/>
    <m/>
    <m/>
    <n v="23.4"/>
    <m/>
    <m/>
    <m/>
    <n v="52"/>
  </r>
  <r>
    <d v="2026-06-09T22:00:00"/>
    <x v="3"/>
    <n v="22"/>
    <n v="26.545840132072431"/>
    <n v="28.556651110394"/>
    <m/>
    <n v="22.2"/>
    <n v="40.872642635344377"/>
    <n v="38.729246839014358"/>
    <m/>
    <n v="56"/>
  </r>
  <r>
    <d v="2026-06-09T23:00:00"/>
    <x v="3"/>
    <n v="23"/>
    <n v="26.3689710031"/>
    <n v="28.44376717050833"/>
    <m/>
    <n v="21"/>
    <n v="41.482362328675002"/>
    <n v="38.915639321999997"/>
    <m/>
    <n v="61"/>
  </r>
  <r>
    <d v="2026-06-10T00:00:00"/>
    <x v="3"/>
    <n v="0"/>
    <m/>
    <m/>
    <m/>
    <n v="20.100000000000001"/>
    <m/>
    <m/>
    <m/>
    <n v="66"/>
  </r>
  <r>
    <d v="2026-06-10T01:00:00"/>
    <x v="3"/>
    <n v="1"/>
    <m/>
    <m/>
    <m/>
    <n v="19.5"/>
    <m/>
    <m/>
    <m/>
    <n v="68"/>
  </r>
  <r>
    <d v="2026-06-10T02:00:00"/>
    <x v="3"/>
    <n v="2"/>
    <m/>
    <m/>
    <m/>
    <n v="18.600000000000001"/>
    <m/>
    <m/>
    <m/>
    <n v="72"/>
  </r>
  <r>
    <d v="2026-06-10T03:00:00"/>
    <x v="3"/>
    <n v="3"/>
    <m/>
    <m/>
    <m/>
    <n v="17.399999999999999"/>
    <m/>
    <m/>
    <m/>
    <n v="80"/>
  </r>
  <r>
    <d v="2026-06-10T04:00:00"/>
    <x v="3"/>
    <n v="4"/>
    <m/>
    <m/>
    <m/>
    <n v="16.5"/>
    <m/>
    <m/>
    <m/>
    <n v="86"/>
  </r>
  <r>
    <d v="2026-06-10T05:00:00"/>
    <x v="3"/>
    <n v="5"/>
    <m/>
    <m/>
    <m/>
    <n v="16.2"/>
    <m/>
    <m/>
    <m/>
    <n v="89"/>
  </r>
  <r>
    <d v="2026-06-10T06:00:00"/>
    <x v="3"/>
    <n v="6"/>
    <m/>
    <m/>
    <m/>
    <n v="16.899999999999999"/>
    <m/>
    <m/>
    <m/>
    <n v="85"/>
  </r>
  <r>
    <d v="2026-06-10T07:00:00"/>
    <x v="3"/>
    <n v="7"/>
    <m/>
    <m/>
    <m/>
    <n v="18.600000000000001"/>
    <m/>
    <m/>
    <m/>
    <n v="77"/>
  </r>
  <r>
    <d v="2026-06-10T08:00:00"/>
    <x v="3"/>
    <n v="8"/>
    <m/>
    <m/>
    <m/>
    <n v="20.5"/>
    <m/>
    <m/>
    <m/>
    <n v="67"/>
  </r>
  <r>
    <d v="2026-06-10T09:00:00"/>
    <x v="3"/>
    <n v="9"/>
    <m/>
    <m/>
    <m/>
    <n v="22.6"/>
    <m/>
    <m/>
    <m/>
    <n v="57"/>
  </r>
  <r>
    <d v="2026-06-10T10:00:00"/>
    <x v="3"/>
    <n v="10"/>
    <m/>
    <m/>
    <m/>
    <n v="23.6"/>
    <m/>
    <m/>
    <m/>
    <n v="52"/>
  </r>
  <r>
    <d v="2026-06-10T11:00:00"/>
    <x v="3"/>
    <n v="11"/>
    <m/>
    <m/>
    <m/>
    <n v="24.3"/>
    <m/>
    <m/>
    <m/>
    <n v="48"/>
  </r>
  <r>
    <d v="2026-06-10T12:00:00"/>
    <x v="3"/>
    <n v="12"/>
    <m/>
    <m/>
    <m/>
    <n v="25.2"/>
    <m/>
    <m/>
    <m/>
    <n v="47"/>
  </r>
  <r>
    <d v="2026-06-10T13:00:00"/>
    <x v="3"/>
    <n v="13"/>
    <m/>
    <m/>
    <m/>
    <n v="26.7"/>
    <m/>
    <m/>
    <m/>
    <n v="44"/>
  </r>
  <r>
    <d v="2026-06-10T14:00:00"/>
    <x v="3"/>
    <n v="14"/>
    <m/>
    <m/>
    <m/>
    <n v="27.3"/>
    <m/>
    <m/>
    <m/>
    <n v="42"/>
  </r>
  <r>
    <d v="2026-06-10T15:00:00"/>
    <x v="3"/>
    <n v="15"/>
    <n v="26.701513353289052"/>
    <n v="27.871336275523571"/>
    <n v="27.81728991693296"/>
    <n v="27.4"/>
    <n v="38.165739340376383"/>
    <n v="36.973451249930001"/>
    <n v="45.264056246807002"/>
    <n v="42"/>
  </r>
  <r>
    <d v="2026-06-10T16:00:00"/>
    <x v="3"/>
    <n v="16"/>
    <n v="25.444461492452771"/>
    <n v="27.52853700211945"/>
    <n v="27.182887805452779"/>
    <n v="27.6"/>
    <n v="34.099224347875001"/>
    <n v="32.730289188933327"/>
    <n v="43.310298348661121"/>
    <n v="41"/>
  </r>
  <r>
    <d v="2026-06-10T17:00:00"/>
    <x v="3"/>
    <n v="17"/>
    <n v="26.25443041679722"/>
    <n v="27.857392456100001"/>
    <n v="27.677250288952781"/>
    <n v="27.4"/>
    <n v="37.366593051069437"/>
    <n v="36.096197141363888"/>
    <n v="43.414320506330561"/>
    <n v="41"/>
  </r>
  <r>
    <d v="2026-06-10T18:00:00"/>
    <x v="3"/>
    <n v="18"/>
    <n v="27.30027694129722"/>
    <n v="28.325267842316659"/>
    <n v="28.305933169208728"/>
    <n v="26.9"/>
    <n v="41.288981941133343"/>
    <n v="39.689171523161122"/>
    <n v="44.304672388320533"/>
    <n v="43"/>
  </r>
  <r>
    <d v="2026-06-10T19:00:00"/>
    <x v="3"/>
    <n v="19"/>
    <n v="27.630673086461108"/>
    <n v="28.230397880350001"/>
    <n v="28.32625023236389"/>
    <n v="26.3"/>
    <n v="41.807831992641667"/>
    <n v="40.493719634341673"/>
    <n v="45.772854824936111"/>
    <n v="44"/>
  </r>
  <r>
    <d v="2026-06-10T20:00:00"/>
    <x v="3"/>
    <n v="20"/>
    <n v="27.7733972909"/>
    <n v="28.125305653891669"/>
    <n v="28.431054761330561"/>
    <n v="24.7"/>
    <n v="41.619828974388888"/>
    <n v="40.844386016755557"/>
    <n v="45.449585130427778"/>
    <n v="50"/>
  </r>
  <r>
    <d v="2026-06-10T21:00:00"/>
    <x v="3"/>
    <n v="21"/>
    <n v="27.76659462026667"/>
    <n v="28.09331587496667"/>
    <n v="28.481931322099999"/>
    <n v="23.5"/>
    <n v="41.58624029887222"/>
    <n v="41.598122869172222"/>
    <n v="45.452656276611123"/>
    <n v="58"/>
  </r>
  <r>
    <d v="2026-06-10T22:00:00"/>
    <x v="3"/>
    <n v="22"/>
    <n v="27.240714160858332"/>
    <n v="28.290455466997219"/>
    <n v="28.574599930386121"/>
    <n v="22.6"/>
    <n v="42.453370523852783"/>
    <n v="43.474950386033328"/>
    <n v="45.833591405649997"/>
    <n v="64"/>
  </r>
  <r>
    <d v="2026-06-10T23:00:00"/>
    <x v="3"/>
    <n v="23"/>
    <n v="26.602305058399999"/>
    <n v="28.244344873058331"/>
    <n v="28.756628104250002"/>
    <n v="21.7"/>
    <n v="44.400342389966667"/>
    <n v="43.287751112133328"/>
    <n v="48.954066762511111"/>
    <n v="70"/>
  </r>
  <r>
    <d v="2026-06-11T00:00:00"/>
    <x v="3"/>
    <n v="0"/>
    <n v="26.996458015386111"/>
    <n v="28.291458135472219"/>
    <n v="28.26171988793056"/>
    <n v="20.7"/>
    <n v="42.818541744144447"/>
    <n v="41.53146470720278"/>
    <n v="50.42904500541389"/>
    <n v="76"/>
  </r>
  <r>
    <d v="2026-06-11T01:00:00"/>
    <x v="3"/>
    <n v="1"/>
    <n v="25.083737664575001"/>
    <n v="27.40782463671389"/>
    <n v="28.507520128683339"/>
    <n v="19.8"/>
    <n v="42.355112881280562"/>
    <n v="38.640730704891673"/>
    <n v="48.287946172355547"/>
    <n v="81"/>
  </r>
  <r>
    <d v="2026-06-11T02:00:00"/>
    <x v="3"/>
    <n v="2"/>
    <n v="24.356217379886111"/>
    <n v="26.81171135280556"/>
    <n v="28.423379983324999"/>
    <n v="19.3"/>
    <n v="46.705112061983343"/>
    <n v="40.24872391750278"/>
    <n v="47.263214511166673"/>
    <n v="84"/>
  </r>
  <r>
    <d v="2026-06-11T03:00:00"/>
    <x v="3"/>
    <n v="3"/>
    <n v="24.336160944949999"/>
    <n v="27.285901303597221"/>
    <n v="28.474141393813891"/>
    <n v="18.600000000000001"/>
    <n v="50.530969517072222"/>
    <n v="43.740518747300001"/>
    <n v="47.567041752891669"/>
    <n v="82"/>
  </r>
  <r>
    <d v="2026-06-11T04:00:00"/>
    <x v="3"/>
    <n v="4"/>
    <n v="24.257808140991671"/>
    <n v="27.29629814056111"/>
    <n v="28.442810088213889"/>
    <n v="18.100000000000001"/>
    <n v="51.031074641408338"/>
    <n v="44.053606154891668"/>
    <n v="47.736872557888887"/>
    <n v="85"/>
  </r>
  <r>
    <d v="2026-06-11T05:00:00"/>
    <x v="3"/>
    <n v="5"/>
    <n v="25.18045453006944"/>
    <n v="27.406932481408329"/>
    <n v="28.44819595045556"/>
    <n v="17.899999999999999"/>
    <n v="48.440386428241659"/>
    <n v="44.272094675777772"/>
    <n v="47.728752764636113"/>
    <n v="85"/>
  </r>
  <r>
    <d v="2026-06-11T06:00:00"/>
    <x v="3"/>
    <n v="6"/>
    <n v="26.726118731250001"/>
    <n v="27.472583429161109"/>
    <n v="28.437241057172219"/>
    <n v="18.8"/>
    <n v="44.664657073916658"/>
    <n v="43.699216430652783"/>
    <n v="47.667031426208332"/>
    <n v="82"/>
  </r>
  <r>
    <d v="2026-06-11T07:00:00"/>
    <x v="3"/>
    <n v="7"/>
    <n v="27.743315811033341"/>
    <n v="28.073793781397221"/>
    <n v="28.480711958099999"/>
    <n v="20.7"/>
    <n v="43.523857850577777"/>
    <n v="42.506223254483331"/>
    <n v="47.51202609434722"/>
    <n v="72"/>
  </r>
  <r>
    <d v="2026-06-11T08:00:00"/>
    <x v="3"/>
    <n v="8"/>
    <n v="28.50276692821944"/>
    <n v="28.781748976888888"/>
    <n v="28.555665859280559"/>
    <n v="23"/>
    <n v="42.412463187380553"/>
    <n v="41.470853039291661"/>
    <n v="47.405248450475"/>
    <n v="61"/>
  </r>
  <r>
    <d v="2026-06-11T09:00:00"/>
    <x v="3"/>
    <n v="9"/>
    <n v="29.711457724072229"/>
    <n v="29.094468987374999"/>
    <n v="28.60155318106111"/>
    <n v="25.8"/>
    <n v="38.754152862541673"/>
    <n v="39.457800881475002"/>
    <n v="47.540377615838892"/>
    <n v="49"/>
  </r>
  <r>
    <d v="2026-06-11T10:00:00"/>
    <x v="3"/>
    <n v="10"/>
    <n v="28.810242381288891"/>
    <n v="29.383316867744441"/>
    <n v="28.733856922813889"/>
    <n v="27.2"/>
    <n v="38.375388692833333"/>
    <n v="38.149871689769441"/>
    <n v="47.369366264466663"/>
    <n v="43"/>
  </r>
  <r>
    <d v="2026-06-11T11:00:00"/>
    <x v="3"/>
    <n v="11"/>
    <n v="28.270672722294449"/>
    <n v="29.384786144997221"/>
    <n v="28.801773818963881"/>
    <n v="28"/>
    <n v="37.538308963894451"/>
    <n v="37.700695090100012"/>
    <n v="47.800159330536111"/>
    <n v="39"/>
  </r>
  <r>
    <d v="2026-06-11T12:00:00"/>
    <x v="3"/>
    <n v="12"/>
    <n v="27.16252240153889"/>
    <n v="28.747235298977781"/>
    <n v="28.659377424058331"/>
    <n v="29"/>
    <n v="34.362815864391663"/>
    <n v="34.341588808144436"/>
    <n v="47.469391808158328"/>
    <n v="37"/>
  </r>
  <r>
    <d v="2026-06-11T13:00:00"/>
    <x v="3"/>
    <n v="13"/>
    <n v="25.944300352500001"/>
    <n v="27.792088470161112"/>
    <n v="28.569448175880549"/>
    <n v="29.9"/>
    <n v="33.77691946508611"/>
    <n v="33.286466238186122"/>
    <n v="47.147338506558327"/>
    <n v="34"/>
  </r>
  <r>
    <d v="2026-06-11T14:00:00"/>
    <x v="3"/>
    <n v="14"/>
    <n v="25.54781535305278"/>
    <n v="27.54962059714444"/>
    <n v="28.30344145589444"/>
    <n v="29.8"/>
    <n v="33.516221723977779"/>
    <n v="32.25965602040278"/>
    <n v="44.660827058622232"/>
    <n v="34"/>
  </r>
  <r>
    <d v="2026-06-11T15:00:00"/>
    <x v="3"/>
    <n v="15"/>
    <n v="25.29277889599722"/>
    <n v="27.274195932558332"/>
    <n v="28.294515244052779"/>
    <n v="28.8"/>
    <n v="33.171259159666668"/>
    <n v="31.613018930780559"/>
    <n v="44.303486909011113"/>
    <n v="37"/>
  </r>
  <r>
    <d v="2026-06-11T16:00:00"/>
    <x v="3"/>
    <n v="16"/>
    <n v="25.788892264911109"/>
    <n v="27.533541047647219"/>
    <n v="28.567720616241669"/>
    <n v="29.3"/>
    <n v="37.645597704500013"/>
    <n v="35.806751796594448"/>
    <n v="45.110915514608337"/>
    <n v="34"/>
  </r>
  <r>
    <d v="2026-06-11T17:00:00"/>
    <x v="3"/>
    <n v="17"/>
    <n v="27.224182924122221"/>
    <n v="28.038844363794439"/>
    <n v="28.798352671669441"/>
    <n v="29.2"/>
    <n v="45.365245420344444"/>
    <n v="44.495725954141669"/>
    <n v="45.794414814930562"/>
    <n v="32"/>
  </r>
  <r>
    <d v="2026-06-11T18:00:00"/>
    <x v="3"/>
    <n v="18"/>
    <n v="27.444775876897221"/>
    <n v="28.17706452100278"/>
    <n v="29.11191854696667"/>
    <n v="27.6"/>
    <n v="47.756382900072218"/>
    <n v="47.051235433922223"/>
    <n v="47.777646157405549"/>
    <n v="37"/>
  </r>
  <r>
    <d v="2026-06-11T19:00:00"/>
    <x v="3"/>
    <n v="19"/>
    <n v="25.626722998419439"/>
    <n v="27.34660900635"/>
    <n v="29.081685978302779"/>
    <n v="26.2"/>
    <n v="39.205161201422221"/>
    <n v="37.75938737081389"/>
    <n v="47.986162541441672"/>
    <n v="43"/>
  </r>
  <r>
    <d v="2026-06-11T20:00:00"/>
    <x v="3"/>
    <n v="20"/>
    <n v="26.030777312763892"/>
    <n v="27.583808595724999"/>
    <n v="28.73153992664167"/>
    <n v="25.3"/>
    <n v="40.706674884958339"/>
    <n v="38.618116480422223"/>
    <n v="47.576852505763888"/>
    <n v="49"/>
  </r>
  <r>
    <d v="2026-06-11T21:00:00"/>
    <x v="3"/>
    <n v="21"/>
    <n v="27.3475769836"/>
    <n v="28.353616497891661"/>
    <n v="28.728049361633332"/>
    <n v="23.9"/>
    <n v="44.788704230797229"/>
    <n v="45.048978313616672"/>
    <n v="49.767632659305562"/>
    <n v="55"/>
  </r>
  <r>
    <d v="2026-06-11T22:00:00"/>
    <x v="3"/>
    <n v="22"/>
    <n v="26.90943275131945"/>
    <n v="28.083114278161109"/>
    <n v="28.947410724436111"/>
    <n v="22.5"/>
    <n v="43.974235976441662"/>
    <n v="43.678233318263892"/>
    <n v="50.517156512108329"/>
    <n v="64"/>
  </r>
  <r>
    <d v="2026-06-11T23:00:00"/>
    <x v="3"/>
    <n v="23"/>
    <n v="25.538583578322221"/>
    <n v="27.263599042275001"/>
    <n v="29.21391770793333"/>
    <n v="21.5"/>
    <n v="38.010829606975001"/>
    <n v="36.545332758244442"/>
    <n v="47.599963363016663"/>
    <n v="71"/>
  </r>
  <r>
    <d v="2026-06-12T00:00:00"/>
    <x v="3"/>
    <n v="0"/>
    <n v="26.534690295766669"/>
    <n v="28.01024983376389"/>
    <n v="29.079854852080551"/>
    <n v="20.8"/>
    <n v="40.61270707441389"/>
    <n v="39.490132253988889"/>
    <n v="47.163035651772219"/>
    <n v="76"/>
  </r>
  <r>
    <d v="2026-06-12T01:00:00"/>
    <x v="3"/>
    <n v="1"/>
    <n v="25.2042387656"/>
    <n v="27.336103066536111"/>
    <n v="29.028686008472221"/>
    <n v="20.399999999999999"/>
    <n v="34.485630319883327"/>
    <n v="33.158721750822217"/>
    <n v="45.888452570605558"/>
    <n v="78"/>
  </r>
  <r>
    <d v="2026-06-12T02:00:00"/>
    <x v="3"/>
    <n v="2"/>
    <n v="24.219390876261109"/>
    <n v="26.97434352824445"/>
    <n v="28.982965209636109"/>
    <n v="20.100000000000001"/>
    <n v="36.701147058858332"/>
    <n v="33.297141011319447"/>
    <n v="44.628386026063893"/>
    <n v="79"/>
  </r>
  <r>
    <d v="2026-06-12T03:00:00"/>
    <x v="3"/>
    <n v="3"/>
    <n v="26.002482475680559"/>
    <n v="27.232203099647229"/>
    <n v="29.052707944613889"/>
    <n v="19.899999999999999"/>
    <n v="40.155835605805557"/>
    <n v="37.97109709782778"/>
    <n v="45.458644935930558"/>
    <n v="77"/>
  </r>
  <r>
    <d v="2026-06-12T04:00:00"/>
    <x v="3"/>
    <n v="4"/>
    <n v="25.409599915575001"/>
    <n v="27.445301746930561"/>
    <n v="29.1600429961"/>
    <n v="19.399999999999999"/>
    <n v="48.639285866730553"/>
    <n v="41.784858590852792"/>
    <n v="45.953088855099999"/>
    <n v="79"/>
  </r>
  <r>
    <d v="2026-06-12T05:00:00"/>
    <x v="3"/>
    <n v="5"/>
    <n v="25.489868218347219"/>
    <n v="27.476969768577771"/>
    <n v="29.155562182524999"/>
    <n v="18.8"/>
    <n v="50.657078346186097"/>
    <n v="44.397295205586111"/>
    <n v="46.470392863897217"/>
    <n v="81"/>
  </r>
  <r>
    <d v="2026-06-12T06:00:00"/>
    <x v="3"/>
    <n v="6"/>
    <n v="26.75233224785833"/>
    <n v="27.84573892125556"/>
    <n v="29.11025257587222"/>
    <n v="19.7"/>
    <n v="47.656020051994439"/>
    <n v="44.667740337633333"/>
    <n v="46.702212518780563"/>
    <n v="77"/>
  </r>
  <r>
    <d v="2026-06-12T07:00:00"/>
    <x v="3"/>
    <n v="7"/>
    <n v="28.08641993845"/>
    <n v="28.535453374338889"/>
    <n v="29.09280925664444"/>
    <n v="21.4"/>
    <n v="44.825044482513903"/>
    <n v="43.944370873769437"/>
    <n v="46.728310437319443"/>
    <n v="67"/>
  </r>
  <r>
    <d v="2026-06-12T08:00:00"/>
    <x v="3"/>
    <n v="8"/>
    <n v="28.99731175966944"/>
    <n v="29.095830902811109"/>
    <n v="29.101940929608329"/>
    <n v="23.7"/>
    <n v="44.119768234180562"/>
    <n v="44.111088077594452"/>
    <n v="46.846104296847223"/>
    <n v="55"/>
  </r>
  <r>
    <d v="2026-06-12T09:00:00"/>
    <x v="3"/>
    <n v="9"/>
    <n v="30.17057808117778"/>
    <n v="29.521384495736111"/>
    <n v="29.118580992744441"/>
    <n v="25.7"/>
    <n v="41.180709047958338"/>
    <n v="43.313909877202782"/>
    <n v="47.079285375286098"/>
    <n v="47"/>
  </r>
  <r>
    <d v="2026-06-12T10:00:00"/>
    <x v="3"/>
    <n v="10"/>
    <n v="29.252756971299998"/>
    <n v="29.689639135891671"/>
    <n v="29.162258929825001"/>
    <n v="26.9"/>
    <n v="43.468894362594448"/>
    <n v="43.147666773702781"/>
    <n v="47.65825222880278"/>
    <n v="43"/>
  </r>
  <r>
    <d v="2026-06-12T11:00:00"/>
    <x v="3"/>
    <n v="11"/>
    <n v="28.042019234611111"/>
    <n v="29.33847322569444"/>
    <n v="29.333909346938889"/>
    <n v="28"/>
    <n v="38.736116587477781"/>
    <n v="39.728978218947233"/>
    <n v="48.986209219188893"/>
    <n v="40"/>
  </r>
  <r>
    <d v="2026-06-12T12:00:00"/>
    <x v="3"/>
    <n v="12"/>
    <n v="26.41790272291389"/>
    <n v="28.541970756211111"/>
    <n v="29.116172693536111"/>
    <n v="28.9"/>
    <n v="33.024555508805562"/>
    <n v="32.503926275283327"/>
    <n v="45.618352503563891"/>
    <n v="37"/>
  </r>
  <r>
    <d v="2026-06-12T13:00:00"/>
    <x v="3"/>
    <n v="13"/>
    <n v="25.789602840752771"/>
    <n v="27.944349392472219"/>
    <n v="29.15177729886668"/>
    <n v="29.6"/>
    <n v="34.255115126855557"/>
    <n v="32.215324599530547"/>
    <n v="45.126747695955551"/>
    <n v="37"/>
  </r>
  <r>
    <d v="2026-06-12T14:00:00"/>
    <x v="3"/>
    <n v="14"/>
    <n v="25.75098134508611"/>
    <n v="27.80414549530833"/>
    <n v="29.15554588010556"/>
    <n v="29.9"/>
    <n v="36.464974284519442"/>
    <n v="34.532120325402779"/>
    <n v="44.916254539441667"/>
    <n v="35"/>
  </r>
  <r>
    <d v="2026-06-12T15:00:00"/>
    <x v="3"/>
    <n v="15"/>
    <n v="25.66464089285833"/>
    <n v="27.637823395449999"/>
    <n v="29.226160755774998"/>
    <n v="27.6"/>
    <n v="37.299721584691667"/>
    <n v="35.46592868004722"/>
    <n v="45.436271718852787"/>
    <n v="38"/>
  </r>
  <r>
    <d v="2026-06-12T16:00:00"/>
    <x v="3"/>
    <n v="16"/>
    <n v="26.654479879388891"/>
    <n v="28.245348150925"/>
    <n v="29.269046500933332"/>
    <n v="27.3"/>
    <n v="45.612767871475"/>
    <n v="43.17930311798056"/>
    <n v="45.95746219158611"/>
    <n v="42"/>
  </r>
  <r>
    <d v="2026-06-12T17:00:00"/>
    <x v="3"/>
    <n v="17"/>
    <n v="26.112521922969449"/>
    <n v="28.051027350363889"/>
    <n v="29.357358003447221"/>
    <n v="27.3"/>
    <n v="40.598658776205554"/>
    <n v="38.791600467730561"/>
    <n v="46.047961479416671"/>
    <n v="42"/>
  </r>
  <r>
    <d v="2026-06-12T18:00:00"/>
    <x v="3"/>
    <n v="18"/>
    <n v="26.974286760849999"/>
    <n v="28.064995030763889"/>
    <n v="29.410323752022219"/>
    <n v="26.9"/>
    <n v="41.970397804122221"/>
    <n v="40.15386198779445"/>
    <n v="46.047841345097233"/>
    <n v="43"/>
  </r>
  <r>
    <d v="2026-06-12T19:00:00"/>
    <x v="3"/>
    <n v="19"/>
    <n v="27.044733367305561"/>
    <n v="28.008164297069449"/>
    <n v="29.470081071083332"/>
    <n v="26.7"/>
    <n v="44.658093578783337"/>
    <n v="42.849711998433328"/>
    <n v="46.834137769897218"/>
    <n v="43"/>
  </r>
  <r>
    <d v="2026-06-12T20:00:00"/>
    <x v="3"/>
    <n v="20"/>
    <n v="26.52969264607222"/>
    <n v="27.533029420141659"/>
    <n v="29.572389997702771"/>
    <n v="25.9"/>
    <n v="45.292752529961113"/>
    <n v="43.464512696041673"/>
    <n v="47.577699575533337"/>
    <n v="46"/>
  </r>
  <r>
    <d v="2026-06-12T21:00:00"/>
    <x v="3"/>
    <n v="21"/>
    <n v="25.301490472958331"/>
    <n v="27.079279865441659"/>
    <n v="29.51546031226944"/>
    <n v="24.4"/>
    <n v="47.080442590152778"/>
    <n v="43.664853831249992"/>
    <n v="47.724514679211097"/>
    <n v="53"/>
  </r>
  <r>
    <d v="2026-06-12T22:00:00"/>
    <x v="3"/>
    <n v="22"/>
    <n v="25.426956410033331"/>
    <n v="27.300997247072221"/>
    <n v="29.443212500461112"/>
    <n v="23.5"/>
    <n v="44.546773817236108"/>
    <n v="42.552764273377782"/>
    <n v="47.426145060091663"/>
    <n v="62"/>
  </r>
  <r>
    <d v="2026-06-12T23:00:00"/>
    <x v="3"/>
    <n v="23"/>
    <n v="25.778024022377771"/>
    <n v="27.75002999011944"/>
    <n v="29.478238629466659"/>
    <n v="22.6"/>
    <n v="45.079309806174997"/>
    <n v="43.029731589027783"/>
    <n v="47.380546059527781"/>
    <n v="64"/>
  </r>
  <r>
    <d v="2026-06-13T00:00:00"/>
    <x v="3"/>
    <n v="0"/>
    <n v="25.759878294208331"/>
    <n v="27.852626002000001"/>
    <n v="29.546466300388889"/>
    <n v="21.8"/>
    <n v="45.918024367266668"/>
    <n v="42.679405819222218"/>
    <n v="47.299621640102778"/>
    <n v="67"/>
  </r>
  <r>
    <d v="2026-06-13T01:00:00"/>
    <x v="3"/>
    <n v="1"/>
    <n v="25.836647318536109"/>
    <n v="28.142636799186111"/>
    <n v="29.640764815575"/>
    <n v="21"/>
    <n v="47.3143814417"/>
    <n v="44.221778231380561"/>
    <n v="47.305217471563893"/>
    <n v="71"/>
  </r>
  <r>
    <d v="2026-06-13T02:00:00"/>
    <x v="3"/>
    <n v="2"/>
    <n v="25.158387607097222"/>
    <n v="28.083991486563889"/>
    <n v="29.695665216933332"/>
    <n v="20.6"/>
    <n v="48.864778616827778"/>
    <n v="44.510238410869441"/>
    <n v="47.657544840655547"/>
    <n v="77"/>
  </r>
  <r>
    <d v="2026-06-13T03:00:00"/>
    <x v="3"/>
    <n v="3"/>
    <n v="24.167687676472219"/>
    <n v="27.380995100694449"/>
    <n v="29.689646021047221"/>
    <n v="18.7"/>
    <n v="50.722528717619447"/>
    <n v="44.191844148083327"/>
    <n v="47.563965547905553"/>
    <n v="88"/>
  </r>
  <r>
    <d v="2026-06-13T04:00:00"/>
    <x v="3"/>
    <n v="4"/>
    <n v="23.444505384308329"/>
    <n v="27.308148871699998"/>
    <n v="29.56490741970833"/>
    <n v="18.2"/>
    <n v="52.120886590263893"/>
    <n v="43.737796338805559"/>
    <n v="47.491118642577781"/>
    <n v="89"/>
  </r>
  <r>
    <d v="2026-06-13T05:00:00"/>
    <x v="3"/>
    <n v="5"/>
    <n v="23.99808338875"/>
    <n v="27.28192540009444"/>
    <n v="29.441507915333329"/>
    <n v="18"/>
    <n v="50.862727904616662"/>
    <n v="43.719597896552777"/>
    <n v="47.401311646575003"/>
    <n v="90"/>
  </r>
  <r>
    <d v="2026-06-13T06:00:00"/>
    <x v="3"/>
    <n v="6"/>
    <n v="25.82347785993635"/>
    <n v="27.41862575534325"/>
    <n v="29.33587582438216"/>
    <n v="19"/>
    <n v="47.200188600398398"/>
    <n v="44.834570392214687"/>
    <n v="47.499427230371751"/>
    <n v="86"/>
  </r>
  <r>
    <d v="2026-06-13T07:00:00"/>
    <x v="3"/>
    <n v="7"/>
    <n v="26.566711304816671"/>
    <n v="27.61516321318334"/>
    <n v="29.193798482286109"/>
    <n v="21.1"/>
    <n v="46.432454743347229"/>
    <n v="44.639006581569447"/>
    <n v="47.773012607522219"/>
    <n v="78"/>
  </r>
  <r>
    <d v="2026-06-13T08:00:00"/>
    <x v="3"/>
    <n v="8"/>
    <n v="27.367285551386111"/>
    <n v="27.775627970627781"/>
    <n v="29.063490991325001"/>
    <n v="23.1"/>
    <n v="45.472462339008331"/>
    <n v="44.933879301097221"/>
    <n v="47.986941899222217"/>
    <n v="68"/>
  </r>
  <r>
    <d v="2026-06-13T09:00:00"/>
    <x v="3"/>
    <n v="9"/>
    <n v="29.073048738727781"/>
    <n v="28.374207594388889"/>
    <n v="28.995641321850002"/>
    <n v="24"/>
    <n v="42.916992213908323"/>
    <n v="45.33753161535833"/>
    <n v="47.774878047602783"/>
    <n v="59"/>
  </r>
  <r>
    <d v="2026-06-13T10:00:00"/>
    <x v="3"/>
    <n v="10"/>
    <n v="28.374647968344441"/>
    <n v="28.492582194255561"/>
    <n v="28.970917556777781"/>
    <n v="24.4"/>
    <n v="44.716270563033333"/>
    <n v="45.395422776955563"/>
    <n v="47.718279844999998"/>
    <n v="60"/>
  </r>
  <r>
    <d v="2026-06-13T11:00:00"/>
    <x v="3"/>
    <n v="11"/>
    <m/>
    <m/>
    <m/>
    <n v="25.1"/>
    <m/>
    <m/>
    <m/>
    <n v="59"/>
  </r>
  <r>
    <d v="2026-06-13T12:00:00"/>
    <x v="3"/>
    <n v="12"/>
    <m/>
    <m/>
    <m/>
    <n v="22.4"/>
    <m/>
    <m/>
    <m/>
    <n v="74"/>
  </r>
  <r>
    <d v="2026-06-13T13:00:00"/>
    <x v="3"/>
    <n v="13"/>
    <m/>
    <m/>
    <m/>
    <n v="24"/>
    <m/>
    <m/>
    <m/>
    <n v="68"/>
  </r>
  <r>
    <d v="2026-06-13T14:00:00"/>
    <x v="3"/>
    <n v="14"/>
    <m/>
    <m/>
    <m/>
    <n v="19.8"/>
    <m/>
    <m/>
    <m/>
    <n v="87"/>
  </r>
  <r>
    <d v="2026-06-13T15:00:00"/>
    <x v="3"/>
    <n v="15"/>
    <m/>
    <m/>
    <m/>
    <n v="23.1"/>
    <m/>
    <m/>
    <m/>
    <n v="66"/>
  </r>
  <r>
    <d v="2026-06-13T16:00:00"/>
    <x v="3"/>
    <n v="16"/>
    <m/>
    <m/>
    <m/>
    <n v="21.3"/>
    <m/>
    <m/>
    <m/>
    <n v="78"/>
  </r>
  <r>
    <d v="2026-06-13T17:00:00"/>
    <x v="3"/>
    <n v="17"/>
    <m/>
    <m/>
    <m/>
    <n v="20.100000000000001"/>
    <m/>
    <m/>
    <m/>
    <n v="87"/>
  </r>
  <r>
    <d v="2026-06-13T18:00:00"/>
    <x v="3"/>
    <n v="18"/>
    <m/>
    <m/>
    <m/>
    <n v="20.2"/>
    <m/>
    <m/>
    <m/>
    <n v="85"/>
  </r>
  <r>
    <d v="2026-06-13T19:00:00"/>
    <x v="3"/>
    <n v="19"/>
    <n v="26.234395223114049"/>
    <n v="27.844386021166681"/>
    <n v="28.619883046301009"/>
    <n v="19.600000000000001"/>
    <n v="47.321270667839599"/>
    <n v="45.64346464541682"/>
    <n v="52.740824775213191"/>
    <n v="88"/>
  </r>
  <r>
    <d v="2026-06-13T20:00:00"/>
    <x v="3"/>
    <n v="20"/>
    <n v="25.90564159585"/>
    <n v="27.884082860041669"/>
    <n v="28.891887888797221"/>
    <n v="19.399999999999999"/>
    <n v="46.825069916925003"/>
    <n v="44.548319726780562"/>
    <n v="51.566878620088893"/>
    <n v="85"/>
  </r>
  <r>
    <d v="2026-06-13T21:00:00"/>
    <x v="3"/>
    <n v="21"/>
    <n v="25.00346002858889"/>
    <n v="27.60988498886389"/>
    <n v="28.988027455469449"/>
    <n v="18.100000000000001"/>
    <n v="47.731497378752778"/>
    <n v="44.649217683019451"/>
    <n v="51.476759353566671"/>
    <n v="77"/>
  </r>
  <r>
    <d v="2026-06-13T22:00:00"/>
    <x v="3"/>
    <n v="22"/>
    <n v="24.067955015900001"/>
    <n v="27.121670711944439"/>
    <n v="29.257430505452781"/>
    <n v="17.5"/>
    <n v="47.773460581452781"/>
    <n v="42.78929492534445"/>
    <n v="50.455400731541673"/>
    <n v="76"/>
  </r>
  <r>
    <d v="2026-06-13T23:00:00"/>
    <x v="3"/>
    <n v="23"/>
    <n v="24.766323128050001"/>
    <n v="27.296541153044441"/>
    <n v="29.31239413055"/>
    <n v="17.3"/>
    <n v="45.375589237897223"/>
    <n v="42.542587849302777"/>
    <n v="49.776930962744451"/>
    <n v="74"/>
  </r>
  <r>
    <d v="2026-06-14T00:00:00"/>
    <x v="3"/>
    <n v="0"/>
    <n v="24.88007858218333"/>
    <n v="27.40422423648889"/>
    <n v="29.276653661019449"/>
    <n v="17.100000000000001"/>
    <n v="44.058734096486113"/>
    <n v="41.631386953688889"/>
    <n v="49.178535630252782"/>
    <n v="74"/>
  </r>
  <r>
    <d v="2026-06-14T01:00:00"/>
    <x v="3"/>
    <n v="1"/>
    <n v="24.31721051238334"/>
    <n v="27.224722115386111"/>
    <n v="29.276403132966671"/>
    <n v="16.8"/>
    <n v="43.846606915472222"/>
    <n v="40.432638579038887"/>
    <n v="48.368468231661119"/>
    <n v="74"/>
  </r>
  <r>
    <d v="2026-06-14T02:00:00"/>
    <x v="3"/>
    <n v="2"/>
    <n v="24.084074982600001"/>
    <n v="26.896906526877771"/>
    <n v="29.406763399338889"/>
    <n v="16.7"/>
    <n v="43.876822194936118"/>
    <n v="39.863411051963887"/>
    <n v="48.130093148622223"/>
    <n v="74"/>
  </r>
  <r>
    <d v="2026-06-14T03:00:00"/>
    <x v="3"/>
    <n v="3"/>
    <n v="22.753919942119438"/>
    <n v="26.754035784758329"/>
    <n v="29.489329355658331"/>
    <n v="15.8"/>
    <n v="47.057904482261122"/>
    <n v="40.535642968747219"/>
    <n v="47.795367057444437"/>
    <n v="77"/>
  </r>
  <r>
    <d v="2026-06-14T04:00:00"/>
    <x v="3"/>
    <n v="4"/>
    <n v="22.047184607108331"/>
    <n v="26.468060850794441"/>
    <n v="29.54477882444445"/>
    <n v="15.4"/>
    <n v="48.202220616041657"/>
    <n v="39.678741819163889"/>
    <n v="47.390768253891672"/>
    <n v="78"/>
  </r>
  <r>
    <d v="2026-06-14T05:00:00"/>
    <x v="3"/>
    <n v="5"/>
    <n v="22.10216648917222"/>
    <n v="26.357919680988889"/>
    <n v="29.566065600588889"/>
    <n v="15"/>
    <n v="47.517415678369453"/>
    <n v="39.149789533305558"/>
    <n v="47.024150261663891"/>
    <n v="80"/>
  </r>
  <r>
    <d v="2026-06-14T06:00:00"/>
    <x v="3"/>
    <n v="6"/>
    <n v="23.721127351669448"/>
    <n v="26.69540720520278"/>
    <n v="29.497431922130559"/>
    <n v="14.9"/>
    <n v="43.077297678211117"/>
    <n v="38.73653534578056"/>
    <n v="46.81153435377778"/>
    <n v="80"/>
  </r>
  <r>
    <d v="2026-06-14T07:00:00"/>
    <x v="3"/>
    <n v="7"/>
    <n v="24.954665004991671"/>
    <n v="27.14205370551112"/>
    <n v="29.454038225533331"/>
    <n v="15"/>
    <n v="39.408783377488888"/>
    <n v="37.950538822280564"/>
    <n v="46.643391592805557"/>
    <n v="79"/>
  </r>
  <r>
    <d v="2026-06-14T08:00:00"/>
    <x v="3"/>
    <n v="8"/>
    <n v="25.826990875069441"/>
    <n v="27.60622444617778"/>
    <n v="29.431155232150001"/>
    <n v="15.4"/>
    <n v="36.030169526650013"/>
    <n v="36.582909597177782"/>
    <n v="46.51884137545278"/>
    <n v="75"/>
  </r>
  <r>
    <d v="2026-06-14T09:00:00"/>
    <x v="3"/>
    <n v="9"/>
    <n v="26.25586998501112"/>
    <n v="27.786271823505551"/>
    <n v="29.423072048652781"/>
    <n v="17"/>
    <n v="34.57722549790833"/>
    <n v="35.66654529613055"/>
    <n v="46.476833568936122"/>
    <n v="68"/>
  </r>
  <r>
    <d v="2026-06-14T10:00:00"/>
    <x v="3"/>
    <n v="10"/>
    <n v="26.384627243358331"/>
    <n v="27.759827504311112"/>
    <n v="29.420455837525001"/>
    <n v="18.5"/>
    <n v="33.863478107005562"/>
    <n v="35.255055442258332"/>
    <n v="46.395580710325"/>
    <n v="60"/>
  </r>
  <r>
    <d v="2026-06-14T11:00:00"/>
    <x v="3"/>
    <n v="11"/>
    <n v="26.694369997458331"/>
    <n v="27.89199897516945"/>
    <n v="29.46961100291389"/>
    <n v="19.399999999999999"/>
    <n v="32.173524847458332"/>
    <n v="35.647296945008328"/>
    <n v="46.187363322722227"/>
    <n v="55"/>
  </r>
  <r>
    <d v="2026-06-14T12:00:00"/>
    <x v="3"/>
    <n v="12"/>
    <n v="26.640849346138889"/>
    <n v="28.267148963583331"/>
    <n v="29.40828900315833"/>
    <n v="20.399999999999999"/>
    <n v="32.031395193597227"/>
    <n v="35.874570299502778"/>
    <n v="46.022227327355559"/>
    <n v="49"/>
  </r>
  <r>
    <d v="2026-06-14T13:00:00"/>
    <x v="3"/>
    <n v="13"/>
    <n v="26.557811056125001"/>
    <n v="28.1481362938"/>
    <n v="29.494936700083329"/>
    <n v="20.8"/>
    <n v="31.468874216169439"/>
    <n v="34.443884667491673"/>
    <n v="45.705952610730563"/>
    <n v="47"/>
  </r>
  <r>
    <d v="2026-06-14T14:00:00"/>
    <x v="3"/>
    <n v="14"/>
    <n v="26.358590175347221"/>
    <n v="27.843207534716669"/>
    <n v="29.60192431837778"/>
    <n v="21.5"/>
    <n v="31.13533545123056"/>
    <n v="34.173555151108332"/>
    <n v="45.048852666586107"/>
    <n v="45"/>
  </r>
  <r>
    <d v="2026-06-14T15:00:00"/>
    <x v="3"/>
    <n v="15"/>
    <n v="26.27933835049167"/>
    <n v="27.754423273524999"/>
    <n v="29.705801290633332"/>
    <n v="22.3"/>
    <n v="31.055636156186111"/>
    <n v="33.093899536563889"/>
    <n v="45.051395821961108"/>
    <n v="47"/>
  </r>
  <r>
    <d v="2026-06-14T16:00:00"/>
    <x v="3"/>
    <n v="16"/>
    <n v="26.484215430150002"/>
    <n v="27.46217061929444"/>
    <n v="29.718593349100001"/>
    <n v="22.4"/>
    <n v="31.093787428441669"/>
    <n v="33.263677394825002"/>
    <n v="44.836528086130564"/>
    <n v="45"/>
  </r>
  <r>
    <d v="2026-06-14T17:00:00"/>
    <x v="3"/>
    <n v="17"/>
    <n v="26.571914256263881"/>
    <n v="27.387929189274999"/>
    <n v="29.658698007086109"/>
    <n v="22.4"/>
    <n v="30.960430298675"/>
    <n v="32.740981887347218"/>
    <n v="44.647779388344439"/>
    <n v="45"/>
  </r>
  <r>
    <d v="2026-06-14T18:00:00"/>
    <x v="3"/>
    <n v="18"/>
    <n v="26.655418604661111"/>
    <n v="27.455894556952771"/>
    <n v="29.587959469986121"/>
    <n v="22.1"/>
    <n v="30.366291777691671"/>
    <n v="33.02687324741111"/>
    <n v="44.43715567680556"/>
    <n v="46"/>
  </r>
  <r>
    <d v="2026-06-14T19:00:00"/>
    <x v="3"/>
    <n v="19"/>
    <n v="26.705327785630558"/>
    <n v="27.467471350091671"/>
    <n v="29.474548392169439"/>
    <n v="21.6"/>
    <n v="31.230132108986108"/>
    <n v="33.273143409063891"/>
    <n v="43.29822871284167"/>
    <n v="49"/>
  </r>
  <r>
    <d v="2026-06-14T20:00:00"/>
    <x v="3"/>
    <n v="20"/>
    <n v="26.258997651725"/>
    <n v="27.353637293999999"/>
    <n v="29.588551640719441"/>
    <n v="20.5"/>
    <n v="32.828220171844443"/>
    <n v="34.59691428078056"/>
    <n v="43.635748138655551"/>
    <n v="62"/>
  </r>
  <r>
    <d v="2026-06-14T21:00:00"/>
    <x v="3"/>
    <n v="21"/>
    <n v="25.59517534538611"/>
    <n v="27.187689818797221"/>
    <n v="29.569376139263891"/>
    <n v="19.7"/>
    <n v="34.295220230588889"/>
    <n v="34.505904010208333"/>
    <n v="43.671091683822233"/>
    <n v="61"/>
  </r>
  <r>
    <d v="2026-06-14T22:00:00"/>
    <x v="3"/>
    <n v="22"/>
    <n v="25.430101413205559"/>
    <n v="27.26958875449445"/>
    <n v="29.44046297301389"/>
    <n v="18.899999999999999"/>
    <n v="34.676292209558333"/>
    <n v="34.441738190566667"/>
    <n v="43.105759050272219"/>
    <n v="65"/>
  </r>
  <r>
    <d v="2026-06-14T23:00:00"/>
    <x v="3"/>
    <n v="23"/>
    <n v="25.491740473844441"/>
    <n v="27.420602782852779"/>
    <n v="29.415571962994441"/>
    <n v="17.8"/>
    <n v="35.675888305275002"/>
    <n v="34.966614171327777"/>
    <n v="43.345002221733331"/>
    <n v="69"/>
  </r>
  <r>
    <d v="2026-06-15T00:00:00"/>
    <x v="3"/>
    <n v="0"/>
    <n v="25.314493889947219"/>
    <n v="27.346481458608331"/>
    <n v="29.402071938072229"/>
    <n v="17"/>
    <n v="35.207034021197217"/>
    <n v="34.442709853866667"/>
    <n v="43.430391692663903"/>
    <n v="71"/>
  </r>
  <r>
    <d v="2026-06-15T01:00:00"/>
    <x v="3"/>
    <n v="1"/>
    <n v="25.196886920972229"/>
    <n v="27.29529870500556"/>
    <n v="29.084194379225"/>
    <n v="16.399999999999999"/>
    <n v="35.595787697291662"/>
    <n v="34.107803970275"/>
    <n v="42.607957754449998"/>
    <n v="74"/>
  </r>
  <r>
    <d v="2026-06-15T02:00:00"/>
    <x v="3"/>
    <n v="2"/>
    <n v="24.222395410005561"/>
    <n v="26.892970808474999"/>
    <n v="29.121399890083332"/>
    <n v="15.7"/>
    <n v="38.67955271433889"/>
    <n v="36.340589702158333"/>
    <n v="42.931443268394453"/>
    <n v="77"/>
  </r>
  <r>
    <d v="2026-06-15T03:00:00"/>
    <x v="3"/>
    <n v="3"/>
    <n v="24.313972469236109"/>
    <n v="26.654247944563888"/>
    <n v="29.201450792599999"/>
    <n v="15.4"/>
    <n v="39.120184991350001"/>
    <n v="36.939656284013893"/>
    <n v="43.227844285263892"/>
    <n v="79"/>
  </r>
  <r>
    <d v="2026-06-15T04:00:00"/>
    <x v="3"/>
    <n v="4"/>
    <n v="23.790490295011111"/>
    <n v="26.557901158730559"/>
    <n v="29.213333432447229"/>
    <n v="14.9"/>
    <n v="40.898613188602774"/>
    <n v="37.527759928541663"/>
    <n v="43.387710828350002"/>
    <n v="81"/>
  </r>
  <r>
    <d v="2026-06-15T05:00:00"/>
    <x v="3"/>
    <n v="5"/>
    <n v="23.757016320257101"/>
    <n v="26.489034660913891"/>
    <n v="29.207362745763891"/>
    <n v="14.6"/>
    <n v="42.050851318420072"/>
    <n v="38.00203288115555"/>
    <n v="43.518023546525001"/>
    <n v="84"/>
  </r>
  <r>
    <d v="2026-06-15T06:00:00"/>
    <x v="3"/>
    <n v="6"/>
    <n v="24.212976864091669"/>
    <n v="26.506824068088889"/>
    <n v="29.201599743002781"/>
    <n v="15.2"/>
    <n v="43.227851830766667"/>
    <n v="39.154289070808332"/>
    <n v="43.757447964688893"/>
    <n v="86"/>
  </r>
  <r>
    <d v="2026-06-15T07:00:00"/>
    <x v="3"/>
    <n v="7"/>
    <n v="25.589002553827779"/>
    <n v="26.833827736408331"/>
    <n v="29.220545721102781"/>
    <n v="16.3"/>
    <n v="41.034810054941673"/>
    <n v="39.42109804616944"/>
    <n v="44.004768310988887"/>
    <n v="81"/>
  </r>
  <r>
    <d v="2026-06-15T08:00:00"/>
    <x v="3"/>
    <n v="8"/>
    <n v="26.752079227994439"/>
    <n v="27.433369290083331"/>
    <n v="29.270929834769451"/>
    <n v="18"/>
    <n v="39.950269354736122"/>
    <n v="39.154108222511113"/>
    <n v="44.185267023144441"/>
    <n v="74"/>
  </r>
  <r>
    <d v="2026-06-15T09:00:00"/>
    <x v="3"/>
    <n v="9"/>
    <n v="27.256633801675001"/>
    <n v="27.739843789399998"/>
    <n v="29.310545968083328"/>
    <n v="19.600000000000001"/>
    <n v="39.300646543516663"/>
    <n v="39.362166224136111"/>
    <n v="44.340809326636112"/>
    <n v="69"/>
  </r>
  <r>
    <d v="2026-06-15T10:00:00"/>
    <x v="3"/>
    <n v="10"/>
    <n v="26.57857686820833"/>
    <n v="27.75173524712222"/>
    <n v="29.34170600998889"/>
    <n v="20.5"/>
    <n v="40.954553491091673"/>
    <n v="40.29763876481389"/>
    <n v="44.455816024155553"/>
    <n v="63"/>
  </r>
  <r>
    <d v="2026-06-15T11:00:00"/>
    <x v="3"/>
    <n v="11"/>
    <n v="26.02177058633611"/>
    <n v="27.160534878494449"/>
    <n v="29.350849503461109"/>
    <n v="21.6"/>
    <n v="41.663222782880553"/>
    <n v="40.138353824458328"/>
    <n v="44.548130994886122"/>
    <n v="59"/>
  </r>
  <r>
    <d v="2026-06-15T12:00:00"/>
    <x v="3"/>
    <n v="12"/>
    <n v="25.539088407766659"/>
    <n v="26.670695016483339"/>
    <n v="29.318926160061121"/>
    <n v="22.5"/>
    <n v="46.478865630163888"/>
    <n v="43.637208909602784"/>
    <n v="44.865289941644441"/>
    <n v="54"/>
  </r>
  <r>
    <d v="2026-06-15T13:00:00"/>
    <x v="3"/>
    <n v="13"/>
    <n v="25.288553214736108"/>
    <n v="26.71681800401112"/>
    <n v="29.294321851272219"/>
    <n v="21.8"/>
    <n v="48.383031735533343"/>
    <n v="45.078431208052777"/>
    <n v="45.333980866672221"/>
    <n v="55"/>
  </r>
  <r>
    <d v="2026-06-15T14:00:00"/>
    <x v="3"/>
    <n v="14"/>
    <n v="25.010267448066671"/>
    <n v="26.880106330058339"/>
    <n v="29.282727680569451"/>
    <n v="18.5"/>
    <n v="46.48333615949722"/>
    <n v="43.149838058111108"/>
    <n v="45.548378619733327"/>
    <n v="71"/>
  </r>
  <r>
    <d v="2026-06-15T15:00:00"/>
    <x v="3"/>
    <n v="15"/>
    <n v="25.236375102880551"/>
    <n v="27.196494792786108"/>
    <n v="29.273361164074998"/>
    <n v="19.600000000000001"/>
    <n v="42.213264709977778"/>
    <n v="40.507940785375013"/>
    <n v="45.49426488999444"/>
    <n v="67"/>
  </r>
  <r>
    <d v="2026-06-15T16:00:00"/>
    <x v="3"/>
    <n v="16"/>
    <n v="25.259064656366661"/>
    <n v="27.084616632797221"/>
    <n v="29.255254701944452"/>
    <n v="20"/>
    <n v="37.231228031469442"/>
    <n v="37.593180432566662"/>
    <n v="45.146991104777783"/>
    <n v="57"/>
  </r>
  <r>
    <d v="2026-06-15T17:00:00"/>
    <x v="3"/>
    <n v="17"/>
    <n v="24.991183718544441"/>
    <n v="27.01031292731389"/>
    <n v="29.221253920458331"/>
    <n v="20.2"/>
    <n v="35.474238032544442"/>
    <n v="36.039463817194452"/>
    <n v="44.576176797699993"/>
    <n v="53"/>
  </r>
  <r>
    <d v="2026-06-15T18:00:00"/>
    <x v="3"/>
    <n v="18"/>
    <n v="25.420909956641669"/>
    <n v="27.532131144269439"/>
    <n v="28.848192619716659"/>
    <n v="20"/>
    <n v="36.722849645122217"/>
    <n v="37.625890389644439"/>
    <n v="44.248127055344447"/>
    <n v="51"/>
  </r>
  <r>
    <d v="2026-06-15T19:00:00"/>
    <x v="3"/>
    <n v="19"/>
    <n v="25.58303043628889"/>
    <n v="27.612909473024999"/>
    <n v="28.798049453099999"/>
    <n v="19.7"/>
    <n v="35.451820571366667"/>
    <n v="36.573165807499997"/>
    <n v="44.825668163491663"/>
    <n v="49"/>
  </r>
  <r>
    <d v="2026-06-15T20:00:00"/>
    <x v="3"/>
    <n v="20"/>
    <n v="24.775567489761109"/>
    <n v="27.636608224552781"/>
    <n v="29.034474380833331"/>
    <n v="18.899999999999999"/>
    <n v="35.598239435330562"/>
    <n v="32.766694297838889"/>
    <n v="44.232841599397233"/>
    <n v="53"/>
  </r>
  <r>
    <d v="2026-06-15T21:00:00"/>
    <x v="3"/>
    <n v="21"/>
    <n v="24.134447898400001"/>
    <n v="27.78443868911112"/>
    <n v="29.078898757872221"/>
    <n v="17.5"/>
    <n v="39.824021287013892"/>
    <n v="36.141057639613891"/>
    <n v="43.927511882277777"/>
    <n v="60"/>
  </r>
  <r>
    <d v="2026-06-15T22:00:00"/>
    <x v="3"/>
    <n v="22"/>
    <n v="23.500604779619451"/>
    <n v="27.62948527367222"/>
    <n v="29.116511667236111"/>
    <n v="16.399999999999999"/>
    <n v="43.002794326422219"/>
    <n v="40.375884476425"/>
    <n v="44.145713119641663"/>
    <n v="68"/>
  </r>
  <r>
    <d v="2026-06-15T23:00:00"/>
    <x v="3"/>
    <n v="23"/>
    <n v="23.375212736758328"/>
    <n v="26.878192585788891"/>
    <n v="29.107381708424999"/>
    <n v="15.8"/>
    <n v="41.023944114300001"/>
    <n v="36.725679473733329"/>
    <n v="44.022819836958327"/>
    <n v="72"/>
  </r>
  <r>
    <d v="2026-06-16T00:00:00"/>
    <x v="3"/>
    <n v="0"/>
    <n v="23.20812506905278"/>
    <n v="26.61906075713333"/>
    <n v="29.08821521951111"/>
    <n v="15.2"/>
    <n v="41.641479635363893"/>
    <n v="37.030122010483332"/>
    <n v="43.916189765583333"/>
    <n v="73"/>
  </r>
  <r>
    <d v="2026-06-16T01:00:00"/>
    <x v="3"/>
    <n v="1"/>
    <n v="22.54283401354445"/>
    <n v="26.343243945594448"/>
    <n v="29.040770882225001"/>
    <n v="14.3"/>
    <n v="43.035892263930563"/>
    <n v="36.892285194905547"/>
    <n v="43.845950843822223"/>
    <n v="76"/>
  </r>
  <r>
    <d v="2026-06-16T02:00:00"/>
    <x v="3"/>
    <n v="2"/>
    <n v="22.358409110630561"/>
    <n v="25.71285365809722"/>
    <n v="28.998279954597219"/>
    <n v="13.8"/>
    <n v="43.113217715097221"/>
    <n v="37.603095324113887"/>
    <n v="43.693686972400002"/>
    <n v="78"/>
  </r>
  <r>
    <d v="2026-06-16T03:00:00"/>
    <x v="3"/>
    <n v="3"/>
    <n v="21.53765036138612"/>
    <n v="25.35655686062778"/>
    <n v="28.945687462733328"/>
    <n v="13.8"/>
    <n v="46.359230717569439"/>
    <n v="38.755317071761112"/>
    <n v="43.654978376102783"/>
    <n v="73"/>
  </r>
  <r>
    <d v="2026-06-16T04:00:00"/>
    <x v="3"/>
    <n v="4"/>
    <n v="20.454423716260742"/>
    <n v="25.126225048383329"/>
    <n v="28.91449784045"/>
    <n v="12.9"/>
    <n v="49.000698827653672"/>
    <n v="38.665391966038889"/>
    <n v="43.613192089258327"/>
    <n v="77"/>
  </r>
  <r>
    <d v="2026-06-16T05:00:00"/>
    <x v="3"/>
    <n v="5"/>
    <n v="21.363448139155551"/>
    <n v="25.067017759574998"/>
    <n v="28.86625452606112"/>
    <n v="12.6"/>
    <n v="45.171618155758331"/>
    <n v="38.055814865355558"/>
    <n v="43.536166365902773"/>
    <n v="78"/>
  </r>
  <r>
    <d v="2026-06-16T06:00:00"/>
    <x v="3"/>
    <n v="6"/>
    <n v="23.101507235"/>
    <n v="25.49061786489445"/>
    <n v="28.867534927977779"/>
    <n v="13.5"/>
    <n v="40.202878424638889"/>
    <n v="37.352966736261124"/>
    <n v="43.432721240041673"/>
    <n v="76"/>
  </r>
  <r>
    <d v="2026-06-16T07:00:00"/>
    <x v="3"/>
    <n v="7"/>
    <n v="24.23447909482222"/>
    <n v="26.136622203999998"/>
    <n v="28.90808602365556"/>
    <n v="15"/>
    <n v="38.63762496221667"/>
    <n v="37.394281983908343"/>
    <n v="43.428438145013892"/>
    <n v="71"/>
  </r>
  <r>
    <d v="2026-06-16T08:00:00"/>
    <x v="3"/>
    <n v="8"/>
    <n v="25.20266925994444"/>
    <n v="26.783325848400001"/>
    <n v="28.959741002133331"/>
    <n v="16.8"/>
    <n v="36.41675213632778"/>
    <n v="36.053410967600001"/>
    <n v="43.502979425555559"/>
    <n v="64"/>
  </r>
  <r>
    <d v="2026-06-16T09:00:00"/>
    <x v="3"/>
    <n v="9"/>
    <n v="25.814588091258329"/>
    <n v="27.041835274588891"/>
    <n v="28.998574263169441"/>
    <n v="18.600000000000001"/>
    <n v="33.644210299999997"/>
    <n v="35.098679752027778"/>
    <n v="43.528447151722219"/>
    <n v="57"/>
  </r>
  <r>
    <d v="2026-06-16T10:00:00"/>
    <x v="3"/>
    <n v="10"/>
    <n v="26.098400706219451"/>
    <n v="27.584749548183328"/>
    <n v="29.035145999566659"/>
    <n v="19.600000000000001"/>
    <n v="31.472562506302779"/>
    <n v="36.303513865636113"/>
    <n v="43.545150677888891"/>
    <n v="50"/>
  </r>
  <r>
    <d v="2026-06-16T11:00:00"/>
    <x v="3"/>
    <n v="11"/>
    <n v="25.89649295628611"/>
    <n v="27.357583864763889"/>
    <n v="29.059456147841669"/>
    <n v="20.3"/>
    <n v="30.401257077294449"/>
    <n v="33.939662910761108"/>
    <n v="43.541545466741667"/>
    <n v="46"/>
  </r>
  <r>
    <d v="2026-06-16T12:00:00"/>
    <x v="3"/>
    <n v="12"/>
    <n v="25.84041903829722"/>
    <n v="27.428635818105558"/>
    <n v="29.05237714573612"/>
    <n v="20.9"/>
    <n v="31.041165294477771"/>
    <n v="33.195869056325002"/>
    <n v="43.435004879827773"/>
    <n v="47"/>
  </r>
  <r>
    <d v="2026-06-16T13:00:00"/>
    <x v="3"/>
    <n v="13"/>
    <n v="25.78333644398333"/>
    <n v="27.304917538830551"/>
    <n v="29.047833294916671"/>
    <n v="21.7"/>
    <n v="31.49727370081667"/>
    <n v="32.280185978838887"/>
    <n v="43.340010157302778"/>
    <n v="45"/>
  </r>
  <r>
    <d v="2026-06-16T14:00:00"/>
    <x v="3"/>
    <n v="14"/>
    <n v="25.328443304286111"/>
    <n v="27.023562616100001"/>
    <n v="29.034408951516671"/>
    <n v="21.7"/>
    <n v="33.77812365034444"/>
    <n v="33.06991469830556"/>
    <n v="43.16548924250278"/>
    <n v="45"/>
  </r>
  <r>
    <d v="2026-06-16T15:00:00"/>
    <x v="3"/>
    <n v="15"/>
    <n v="24.721426416955559"/>
    <n v="26.827709601358329"/>
    <n v="28.620927624375"/>
    <n v="20.9"/>
    <n v="36.104496321836109"/>
    <n v="35.68643204987778"/>
    <n v="41.727691808863888"/>
    <n v="46"/>
  </r>
  <r>
    <d v="2026-06-16T16:00:00"/>
    <x v="3"/>
    <n v="16"/>
    <n v="24.603228580561112"/>
    <n v="26.38826096153333"/>
    <n v="28.940536627930559"/>
    <n v="19.2"/>
    <n v="36.32524292285278"/>
    <n v="39.542101388550002"/>
    <n v="42.778049565227782"/>
    <n v="57"/>
  </r>
  <r>
    <d v="2026-06-16T17:00:00"/>
    <x v="3"/>
    <n v="17"/>
    <n v="24.778583972072219"/>
    <n v="26.24084427455556"/>
    <n v="29.132625753883332"/>
    <n v="21"/>
    <n v="35.447472709055553"/>
    <n v="38.675872908694437"/>
    <n v="43.105402809899999"/>
    <n v="43"/>
  </r>
  <r>
    <d v="2026-06-16T18:00:00"/>
    <x v="3"/>
    <n v="18"/>
    <n v="24.827049412725"/>
    <n v="26.451024115961111"/>
    <n v="29.239395990755561"/>
    <n v="21.1"/>
    <n v="37.169681908149997"/>
    <n v="39.491835815397224"/>
    <n v="43.230367632252779"/>
    <n v="41"/>
  </r>
  <r>
    <d v="2026-06-16T19:00:00"/>
    <x v="3"/>
    <n v="19"/>
    <n v="24.715109941988889"/>
    <n v="26.36056572106666"/>
    <n v="29.32688439450277"/>
    <n v="20.6"/>
    <n v="40.370419456972222"/>
    <n v="40.474604070708331"/>
    <n v="43.397490461622233"/>
    <n v="43"/>
  </r>
  <r>
    <d v="2026-06-16T20:00:00"/>
    <x v="3"/>
    <n v="20"/>
    <n v="24.383167239599999"/>
    <n v="26.389753547877781"/>
    <n v="29.39063482949166"/>
    <n v="19.5"/>
    <n v="46.649131962047221"/>
    <n v="43.507870081922221"/>
    <n v="44.025534729061121"/>
    <n v="50"/>
  </r>
  <r>
    <d v="2026-06-16T21:00:00"/>
    <x v="3"/>
    <n v="21"/>
    <n v="23.881632598097219"/>
    <n v="26.361366692116668"/>
    <n v="29.37622272929444"/>
    <n v="18.100000000000001"/>
    <n v="46.126115908802767"/>
    <n v="42.83609839673889"/>
    <n v="44.593405193222232"/>
    <n v="56"/>
  </r>
  <r>
    <d v="2026-06-16T22:00:00"/>
    <x v="3"/>
    <n v="22"/>
    <n v="23.64154740150278"/>
    <n v="26.27379293839445"/>
    <n v="29.361714084130561"/>
    <n v="17.2"/>
    <n v="44.618033328619447"/>
    <n v="41.502123885788883"/>
    <n v="44.808675339830558"/>
    <n v="60"/>
  </r>
  <r>
    <d v="2026-06-16T23:00:00"/>
    <x v="3"/>
    <n v="23"/>
    <n v="24.57150609873889"/>
    <n v="26.193360640658341"/>
    <n v="29.395729835580561"/>
    <n v="16.2"/>
    <n v="45.951435974802777"/>
    <n v="43.452578115575001"/>
    <n v="44.945456117624992"/>
    <n v="65"/>
  </r>
  <r>
    <d v="2026-06-17T00:00:00"/>
    <x v="3"/>
    <n v="0"/>
    <n v="25.191274994127781"/>
    <n v="26.491799810588891"/>
    <n v="29.39341689008333"/>
    <n v="15.3"/>
    <n v="44.413538368880552"/>
    <n v="43.97123082348611"/>
    <n v="45.024613451980557"/>
    <n v="70"/>
  </r>
  <r>
    <d v="2026-06-17T01:00:00"/>
    <x v="3"/>
    <n v="1"/>
    <n v="25.214080070647221"/>
    <n v="26.284859516766669"/>
    <n v="29.376527475152781"/>
    <n v="14.6"/>
    <n v="43.188840766897222"/>
    <n v="43.09910283206667"/>
    <n v="45.067989199866673"/>
    <n v="73"/>
  </r>
  <r>
    <d v="2026-06-17T02:00:00"/>
    <x v="3"/>
    <n v="2"/>
    <n v="25.223817067958329"/>
    <n v="25.905848720733331"/>
    <n v="29.38157526865556"/>
    <n v="14.2"/>
    <n v="41.136862940025011"/>
    <n v="42.355847672497219"/>
    <n v="44.75000479301945"/>
    <n v="73"/>
  </r>
  <r>
    <d v="2026-06-17T03:00:00"/>
    <x v="3"/>
    <n v="3"/>
    <n v="25.076496778041669"/>
    <n v="25.632841693258332"/>
    <n v="29.435794028480551"/>
    <n v="13.3"/>
    <n v="39.983357388347223"/>
    <n v="41.054255404647222"/>
    <n v="44.268195202719447"/>
    <n v="71"/>
  </r>
  <r>
    <d v="2026-06-17T04:00:00"/>
    <x v="3"/>
    <n v="4"/>
    <n v="24.912711936800001"/>
    <n v="25.36265511665556"/>
    <n v="29.328567618111109"/>
    <n v="12.6"/>
    <n v="39.105479155588888"/>
    <n v="39.974983570569442"/>
    <n v="43.925064717255559"/>
    <n v="77"/>
  </r>
  <r>
    <d v="2026-06-17T05:00:00"/>
    <x v="3"/>
    <n v="5"/>
    <n v="24.947669624247219"/>
    <n v="25.40484621936945"/>
    <n v="29.29422201986111"/>
    <n v="12.3"/>
    <n v="38.670660595375011"/>
    <n v="39.766537660263893"/>
    <n v="43.590043791136111"/>
    <n v="80"/>
  </r>
  <r>
    <d v="2026-06-17T06:00:00"/>
    <x v="3"/>
    <n v="6"/>
    <n v="25.502395650025001"/>
    <n v="25.769490479272221"/>
    <n v="29.290948367955551"/>
    <n v="13.1"/>
    <n v="38.030299418550001"/>
    <n v="40.326603234752767"/>
    <n v="43.725368928380561"/>
    <n v="78"/>
  </r>
  <r>
    <d v="2026-06-17T07:00:00"/>
    <x v="3"/>
    <n v="7"/>
    <n v="26.149816517780561"/>
    <n v="26.379088218372221"/>
    <n v="29.28775004356666"/>
    <n v="14.3"/>
    <n v="37.711187883180557"/>
    <n v="38.840293502527778"/>
    <n v="43.714598996858342"/>
    <n v="73"/>
  </r>
  <r>
    <d v="2026-06-17T08:00:00"/>
    <x v="3"/>
    <n v="8"/>
    <n v="26.935413169561109"/>
    <n v="26.840450327238891"/>
    <n v="29.281067514452779"/>
    <n v="15.9"/>
    <n v="36.813904484416668"/>
    <n v="38.681165899683329"/>
    <n v="43.746297935144447"/>
    <n v="68"/>
  </r>
  <r>
    <d v="2026-06-17T09:00:00"/>
    <x v="3"/>
    <n v="9"/>
    <n v="27.337522118300001"/>
    <n v="27.276562829858332"/>
    <n v="29.311115057799999"/>
    <n v="17.600000000000001"/>
    <n v="36.799399454011123"/>
    <n v="38.286678744580549"/>
    <n v="43.772389166558327"/>
    <n v="61"/>
  </r>
  <r>
    <d v="2026-06-17T10:00:00"/>
    <x v="3"/>
    <n v="10"/>
    <n v="27.147442798608331"/>
    <n v="27.422848923644452"/>
    <n v="29.306801330658331"/>
    <n v="19"/>
    <n v="35.199134604508338"/>
    <n v="37.87536796445"/>
    <n v="43.837702744725"/>
    <n v="53"/>
  </r>
  <r>
    <d v="2026-06-17T11:00:00"/>
    <x v="3"/>
    <n v="11"/>
    <n v="26.440161513477779"/>
    <n v="27.512187835072229"/>
    <n v="28.66806466715833"/>
    <n v="20.100000000000001"/>
    <n v="32.532686030733338"/>
    <n v="36.474033473472232"/>
    <n v="42.67695716424722"/>
    <n v="47"/>
  </r>
  <r>
    <d v="2026-06-17T12:00:00"/>
    <x v="3"/>
    <n v="12"/>
    <n v="26.222421076825"/>
    <n v="27.44875519271945"/>
    <n v="28.345966217327781"/>
    <n v="21"/>
    <n v="31.885112895366671"/>
    <n v="34.551953679516657"/>
    <n v="42.218787515241672"/>
    <n v="42"/>
  </r>
  <r>
    <d v="2026-06-17T13:00:00"/>
    <x v="3"/>
    <n v="13"/>
    <n v="25.860807191180559"/>
    <n v="27.230506362786109"/>
    <n v="28.891458038741661"/>
    <n v="21.8"/>
    <n v="30.062838250405559"/>
    <n v="32.401071450980552"/>
    <n v="42.101635406074998"/>
    <n v="40"/>
  </r>
  <r>
    <d v="2026-06-17T14:00:00"/>
    <x v="3"/>
    <n v="14"/>
    <n v="25.064331249697229"/>
    <n v="27.080107118794441"/>
    <n v="29.018141882452781"/>
    <n v="22"/>
    <n v="34.036267371450002"/>
    <n v="32.945644512338887"/>
    <n v="41.494210432397217"/>
    <n v="40"/>
  </r>
  <r>
    <d v="2026-06-17T15:00:00"/>
    <x v="3"/>
    <n v="15"/>
    <n v="23.890374751500001"/>
    <n v="26.717707386911108"/>
    <n v="29.065351225416659"/>
    <n v="20.3"/>
    <n v="42.377903515877783"/>
    <n v="38.05742367735278"/>
    <n v="42.518139055769453"/>
    <n v="49"/>
  </r>
  <r>
    <d v="2026-06-17T16:00:00"/>
    <x v="3"/>
    <n v="16"/>
    <n v="23.706123852180561"/>
    <n v="26.650276731694451"/>
    <n v="29.20098639291945"/>
    <n v="18.5"/>
    <n v="42.443611052975001"/>
    <n v="39.300907170258327"/>
    <n v="42.826589077430562"/>
    <n v="60"/>
  </r>
  <r>
    <d v="2026-06-17T17:00:00"/>
    <x v="3"/>
    <n v="17"/>
    <n v="24.668590409469449"/>
    <n v="27.07823682615"/>
    <n v="28.326966139349999"/>
    <n v="19.899999999999999"/>
    <n v="40.642161712825001"/>
    <n v="39.39543172966944"/>
    <n v="44.565900676319437"/>
    <n v="56"/>
  </r>
  <r>
    <d v="2026-06-17T18:00:00"/>
    <x v="3"/>
    <n v="18"/>
    <n v="24.72369271459722"/>
    <n v="26.842864225038891"/>
    <n v="27.786663010205551"/>
    <n v="19.899999999999999"/>
    <n v="39.343140364150003"/>
    <n v="39.202566834091662"/>
    <n v="45.002769122586109"/>
    <n v="56"/>
  </r>
  <r>
    <d v="2026-06-17T19:00:00"/>
    <x v="3"/>
    <n v="19"/>
    <n v="24.44744092721945"/>
    <n v="26.578597064469449"/>
    <n v="27.473701154702781"/>
    <n v="19.399999999999999"/>
    <n v="40.364484770736112"/>
    <n v="39.655098357550003"/>
    <n v="45.779901109755549"/>
    <n v="61"/>
  </r>
  <r>
    <d v="2026-06-17T20:00:00"/>
    <x v="3"/>
    <n v="20"/>
    <n v="24.058674138141669"/>
    <n v="26.58171841327778"/>
    <n v="27.747636912536109"/>
    <n v="18.100000000000001"/>
    <n v="41.945873647750012"/>
    <n v="40.145275352633327"/>
    <n v="46.237758375624999"/>
    <n v="72"/>
  </r>
  <r>
    <d v="2026-06-17T21:00:00"/>
    <x v="3"/>
    <n v="21"/>
    <n v="23.95037080704445"/>
    <n v="26.443509522077779"/>
    <n v="28.363799160799999"/>
    <n v="17.2"/>
    <n v="42.730393973200002"/>
    <n v="40.498894872594441"/>
    <n v="45.065208395558336"/>
    <n v="77"/>
  </r>
  <r>
    <d v="2026-06-17T22:00:00"/>
    <x v="3"/>
    <n v="22"/>
    <n v="24.011309919552779"/>
    <n v="26.671844833430551"/>
    <n v="28.603141015827781"/>
    <n v="17"/>
    <n v="43.009558382063886"/>
    <n v="40.612405334872221"/>
    <n v="44.648024452536113"/>
    <n v="79"/>
  </r>
  <r>
    <d v="2026-06-17T23:00:00"/>
    <x v="3"/>
    <n v="23"/>
    <n v="23.759539483947229"/>
    <n v="26.500230789561108"/>
    <n v="28.70692156266389"/>
    <n v="16.399999999999999"/>
    <n v="44.99936069536389"/>
    <n v="41.311509290988887"/>
    <n v="44.649276270172223"/>
    <n v="81"/>
  </r>
  <r>
    <d v="2026-06-18T00:00:00"/>
    <x v="3"/>
    <n v="0"/>
    <n v="23.954621389625"/>
    <n v="26.133484609647219"/>
    <n v="28.705114777652781"/>
    <n v="15.8"/>
    <n v="45.006780920605557"/>
    <n v="41.933644153241673"/>
    <n v="44.729478024994449"/>
    <n v="85"/>
  </r>
  <r>
    <d v="2026-06-18T01:00:00"/>
    <x v="3"/>
    <n v="1"/>
    <n v="23.417634442705559"/>
    <n v="25.710625085172222"/>
    <n v="28.680117050880561"/>
    <n v="15.2"/>
    <n v="47.57078381783888"/>
    <n v="43.410188571958336"/>
    <n v="44.916590892099997"/>
    <n v="89"/>
  </r>
  <r>
    <d v="2026-06-18T02:00:00"/>
    <x v="3"/>
    <n v="2"/>
    <n v="22.656561406315291"/>
    <n v="25.51613551374167"/>
    <n v="28.645840467794439"/>
    <n v="14.7"/>
    <n v="49.7957506196393"/>
    <n v="43.618273917827793"/>
    <n v="45.129748396263892"/>
    <n v="92"/>
  </r>
  <r>
    <d v="2026-06-18T03:00:00"/>
    <x v="3"/>
    <n v="3"/>
    <n v="21.40540144390885"/>
    <n v="25.420771016208331"/>
    <n v="28.609340438486111"/>
    <n v="14.3"/>
    <n v="53.161083856011061"/>
    <n v="43.499676773286119"/>
    <n v="45.233914957291667"/>
    <n v="90"/>
  </r>
  <r>
    <d v="2026-06-18T04:00:00"/>
    <x v="3"/>
    <n v="4"/>
    <n v="21.516666666666669"/>
    <n v="25.14011043725278"/>
    <n v="28.57280920520278"/>
    <n v="13.9"/>
    <n v="52.876666666666672"/>
    <n v="43.923191762411108"/>
    <n v="45.340503251769441"/>
    <n v="91"/>
  </r>
  <r>
    <d v="2026-06-18T05:00:00"/>
    <x v="3"/>
    <n v="5"/>
    <n v="21.28863483500297"/>
    <n v="25.083034461766669"/>
    <n v="28.55769315321945"/>
    <n v="13.8"/>
    <n v="53.417233539116047"/>
    <n v="43.971403387594449"/>
    <n v="45.377404639819453"/>
    <n v="92"/>
  </r>
  <r>
    <d v="2026-06-18T06:00:00"/>
    <x v="3"/>
    <n v="6"/>
    <n v="23.195203201585741"/>
    <n v="25.43035039842778"/>
    <n v="28.56353639816389"/>
    <n v="14.6"/>
    <n v="48.167435050512843"/>
    <n v="43.781184764555562"/>
    <n v="45.335792415508337"/>
    <n v="89"/>
  </r>
  <r>
    <d v="2026-06-18T07:00:00"/>
    <x v="3"/>
    <n v="7"/>
    <n v="24.59795626695556"/>
    <n v="25.978638164922231"/>
    <n v="28.610767259402781"/>
    <n v="16.2"/>
    <n v="45.056382904452782"/>
    <n v="43.327534702127792"/>
    <n v="45.277015551711123"/>
    <n v="83"/>
  </r>
  <r>
    <d v="2026-06-18T08:00:00"/>
    <x v="3"/>
    <n v="8"/>
    <n v="25.787066104586099"/>
    <n v="26.546584790880559"/>
    <n v="28.666465175027781"/>
    <n v="18.3"/>
    <n v="42.358555711563888"/>
    <n v="41.763206787108338"/>
    <n v="45.270591633841669"/>
    <n v="73"/>
  </r>
  <r>
    <d v="2026-06-18T09:00:00"/>
    <x v="3"/>
    <n v="9"/>
    <n v="26.709643380641669"/>
    <n v="26.975429486236109"/>
    <n v="28.737362858177779"/>
    <n v="20.3"/>
    <n v="41.833418065522217"/>
    <n v="41.502152798747233"/>
    <n v="45.26724127229167"/>
    <n v="60"/>
  </r>
  <r>
    <d v="2026-06-18T10:00:00"/>
    <x v="3"/>
    <n v="10"/>
    <n v="26.8679818522"/>
    <n v="27.501897726333329"/>
    <n v="28.748583286688891"/>
    <n v="21.1"/>
    <n v="40.391043583558343"/>
    <n v="43.758128756561113"/>
    <n v="45.898508644286103"/>
    <n v="55"/>
  </r>
  <r>
    <d v="2026-06-18T11:00:00"/>
    <x v="3"/>
    <n v="11"/>
    <n v="26.60044402383333"/>
    <n v="27.70386540742777"/>
    <n v="28.33130678503889"/>
    <n v="21.8"/>
    <n v="36.55727659107778"/>
    <n v="40.026828177169442"/>
    <n v="46.844120569388878"/>
    <n v="48"/>
  </r>
  <r>
    <d v="2026-06-18T12:00:00"/>
    <x v="3"/>
    <n v="12"/>
    <n v="26.49032157020833"/>
    <n v="27.698773909786109"/>
    <n v="28.24519176049445"/>
    <n v="22.2"/>
    <n v="34.148058242238889"/>
    <n v="36.751377389580561"/>
    <n v="45.089877956458338"/>
    <n v="45"/>
  </r>
  <r>
    <d v="2026-06-18T13:00:00"/>
    <x v="3"/>
    <n v="13"/>
    <n v="26.397235489111111"/>
    <n v="27.333729469950001"/>
    <n v="28.674150009175001"/>
    <n v="22.4"/>
    <n v="34.127209680483332"/>
    <n v="37.21504699846944"/>
    <n v="45.124805005752783"/>
    <n v="42"/>
  </r>
  <r>
    <d v="2026-06-18T14:00:00"/>
    <x v="3"/>
    <n v="14"/>
    <n v="26.453337849977789"/>
    <n v="27.24345775081666"/>
    <n v="28.856742010588889"/>
    <n v="22.9"/>
    <n v="33.505131719933338"/>
    <n v="36.863116510461097"/>
    <n v="44.884779847691682"/>
    <n v="40"/>
  </r>
  <r>
    <d v="2026-06-18T15:00:00"/>
    <x v="3"/>
    <n v="15"/>
    <n v="26.631131515027779"/>
    <n v="27.498086086663889"/>
    <n v="28.96429550734166"/>
    <n v="23.4"/>
    <n v="32.640397656127782"/>
    <n v="35.967333430466667"/>
    <n v="44.813421260133339"/>
    <n v="43"/>
  </r>
  <r>
    <d v="2026-06-18T16:00:00"/>
    <x v="3"/>
    <n v="16"/>
    <n v="26.48097615976944"/>
    <n v="27.173095975950002"/>
    <n v="28.9465792847"/>
    <n v="23.8"/>
    <n v="35.754548035799999"/>
    <n v="36.577383642341672"/>
    <n v="44.568606106416667"/>
    <n v="40"/>
  </r>
  <r>
    <d v="2026-06-18T17:00:00"/>
    <x v="3"/>
    <n v="17"/>
    <n v="26.344358114872222"/>
    <n v="27.273406539880561"/>
    <n v="28.362178877111109"/>
    <n v="23.4"/>
    <n v="37.823695666291663"/>
    <n v="37.758335052299998"/>
    <n v="45.251686700991662"/>
    <n v="39"/>
  </r>
  <r>
    <d v="2026-06-18T18:00:00"/>
    <x v="3"/>
    <n v="18"/>
    <n v="26.410098854649998"/>
    <n v="27.34169954835556"/>
    <n v="28.748677646811121"/>
    <n v="22.9"/>
    <n v="34.881943072827767"/>
    <n v="37.299203852555557"/>
    <n v="44.965367398666658"/>
    <n v="38"/>
  </r>
  <r>
    <d v="2026-06-18T19:00:00"/>
    <x v="3"/>
    <n v="19"/>
    <n v="26.17730335612778"/>
    <n v="27.481420581980561"/>
    <n v="28.900730345766661"/>
    <n v="22.4"/>
    <n v="30.641545990977779"/>
    <n v="35.906504950147223"/>
    <n v="44.256439194980551"/>
    <n v="39"/>
  </r>
  <r>
    <d v="2026-06-18T20:00:00"/>
    <x v="3"/>
    <n v="20"/>
    <n v="25.38496396588333"/>
    <n v="27.15862439163611"/>
    <n v="29.02370323234166"/>
    <n v="21.1"/>
    <n v="31.595620448599998"/>
    <n v="36.482525583388892"/>
    <n v="43.926083568794439"/>
    <n v="46"/>
  </r>
  <r>
    <d v="2026-06-18T21:00:00"/>
    <x v="3"/>
    <n v="21"/>
    <n v="24.456366744080551"/>
    <n v="26.917414241483328"/>
    <n v="29.073946620575001"/>
    <n v="19.899999999999999"/>
    <n v="35.718192103222208"/>
    <n v="35.841645274366662"/>
    <n v="43.435017726611122"/>
    <n v="53"/>
  </r>
  <r>
    <d v="2026-06-18T22:00:00"/>
    <x v="3"/>
    <n v="22"/>
    <n v="25.58466103321944"/>
    <n v="26.87919110052778"/>
    <n v="29.043627598269438"/>
    <n v="18.899999999999999"/>
    <n v="39.384348463094447"/>
    <n v="39.210919057977783"/>
    <n v="43.910479328591663"/>
    <n v="58"/>
  </r>
  <r>
    <d v="2026-06-18T23:00:00"/>
    <x v="3"/>
    <n v="23"/>
    <n v="26.124157870080559"/>
    <n v="27.035206299475"/>
    <n v="29.037996204697219"/>
    <n v="17.899999999999999"/>
    <n v="39.413245273900003"/>
    <n v="39.234732797433331"/>
    <n v="44.354999032727783"/>
    <n v="63"/>
  </r>
  <r>
    <d v="2026-06-19T00:00:00"/>
    <x v="3"/>
    <n v="0"/>
    <n v="26.259348156077781"/>
    <n v="27.33608855669722"/>
    <n v="29.09926902404445"/>
    <n v="16.7"/>
    <n v="38.439534148180549"/>
    <n v="37.863978166611112"/>
    <n v="44.260047565166673"/>
    <n v="67"/>
  </r>
  <r>
    <d v="2026-06-19T01:00:00"/>
    <x v="3"/>
    <n v="1"/>
    <n v="25.818770837722219"/>
    <n v="27.216909891758331"/>
    <n v="29.042843135352779"/>
    <n v="15.4"/>
    <n v="38.974845185699998"/>
    <n v="39.488727465088893"/>
    <n v="44.269833009625003"/>
    <n v="66"/>
  </r>
  <r>
    <d v="2026-06-19T02:00:00"/>
    <x v="3"/>
    <n v="2"/>
    <n v="22.728305622669438"/>
    <n v="26.367422352652781"/>
    <n v="28.963068453363888"/>
    <n v="14.7"/>
    <n v="44.096149723652779"/>
    <n v="38.528786607577779"/>
    <n v="44.151540802313889"/>
    <n v="65"/>
  </r>
  <r>
    <d v="2026-06-19T03:00:00"/>
    <x v="3"/>
    <n v="3"/>
    <n v="21.830032058177871"/>
    <n v="26.030576365799998"/>
    <n v="28.862561227769451"/>
    <n v="14.4"/>
    <n v="45.854056373836038"/>
    <n v="37.959176913672223"/>
    <n v="43.987736237033339"/>
    <n v="72"/>
  </r>
  <r>
    <d v="2026-06-19T04:00:00"/>
    <x v="3"/>
    <n v="4"/>
    <m/>
    <n v="25.656310362308329"/>
    <n v="28.767263705911109"/>
    <n v="13.7"/>
    <m/>
    <n v="37.856193192433331"/>
    <n v="43.78713953300278"/>
    <n v="75"/>
  </r>
  <r>
    <d v="2026-06-19T05:00:00"/>
    <x v="3"/>
    <n v="5"/>
    <n v="23.163581367911441"/>
    <n v="25.74026628230834"/>
    <n v="28.71414056746389"/>
    <n v="13.9"/>
    <n v="41.968776863808642"/>
    <n v="37.632235195191662"/>
    <n v="43.640500440858339"/>
    <n v="74"/>
  </r>
  <r>
    <d v="2026-06-19T06:00:00"/>
    <x v="3"/>
    <n v="6"/>
    <n v="24.201933674508329"/>
    <n v="25.998664969869441"/>
    <n v="28.73491284609166"/>
    <n v="14.9"/>
    <n v="39.234455289786119"/>
    <n v="37.942333518558343"/>
    <n v="43.642378026675011"/>
    <n v="71"/>
  </r>
  <r>
    <d v="2026-06-19T07:00:00"/>
    <x v="3"/>
    <n v="7"/>
    <n v="25.085972470005551"/>
    <n v="26.205728505561112"/>
    <n v="28.73648776947778"/>
    <n v="16.600000000000001"/>
    <n v="37.409011087530551"/>
    <n v="37.556928733786108"/>
    <n v="43.609076859488887"/>
    <n v="66"/>
  </r>
  <r>
    <d v="2026-06-19T08:00:00"/>
    <x v="3"/>
    <n v="8"/>
    <n v="24.642945612894451"/>
    <n v="26.196594300872221"/>
    <n v="28.737123618255549"/>
    <n v="18.3"/>
    <n v="38.208133391938887"/>
    <n v="37.68472518965833"/>
    <n v="43.588514457841661"/>
    <n v="58"/>
  </r>
  <r>
    <d v="2026-06-19T09:00:00"/>
    <x v="3"/>
    <n v="9"/>
    <n v="25.134810668597229"/>
    <n v="26.314511583452781"/>
    <n v="28.732580965080562"/>
    <n v="20"/>
    <n v="37.614733658400013"/>
    <n v="37.925259308002772"/>
    <n v="43.58128883695278"/>
    <n v="50"/>
  </r>
  <r>
    <d v="2026-06-19T10:00:00"/>
    <x v="3"/>
    <n v="10"/>
    <n v="25.780350756738891"/>
    <n v="26.65163484804722"/>
    <n v="28.751608269288891"/>
    <n v="20.9"/>
    <n v="36.903442980016671"/>
    <n v="39.485160272569438"/>
    <n v="43.613576884688889"/>
    <n v="46"/>
  </r>
  <r>
    <d v="2026-06-19T11:00:00"/>
    <x v="3"/>
    <n v="11"/>
    <n v="25.966792503227779"/>
    <n v="26.849262798805551"/>
    <n v="28.77002536336667"/>
    <n v="22.6"/>
    <n v="36.521968461236114"/>
    <n v="40.213502816694451"/>
    <n v="43.65771520817222"/>
    <n v="41"/>
  </r>
  <r>
    <d v="2026-06-19T12:00:00"/>
    <x v="3"/>
    <n v="12"/>
    <n v="25.949425927527781"/>
    <n v="26.685166576016659"/>
    <n v="28.787969969161111"/>
    <n v="22.6"/>
    <n v="36.162112880980551"/>
    <n v="38.330912248138887"/>
    <n v="43.679009886991672"/>
    <n v="42"/>
  </r>
  <r>
    <d v="2026-06-19T13:00:00"/>
    <x v="3"/>
    <n v="13"/>
    <n v="26.14049788516667"/>
    <n v="26.614861521733332"/>
    <n v="28.784348482150001"/>
    <n v="22.5"/>
    <n v="35.465302663711107"/>
    <n v="37.128575312063887"/>
    <n v="43.664440828719442"/>
    <n v="42"/>
  </r>
  <r>
    <d v="2026-06-19T14:00:00"/>
    <x v="3"/>
    <n v="14"/>
    <n v="26.43492073518334"/>
    <n v="26.807348627077779"/>
    <n v="28.867299110572219"/>
    <n v="23"/>
    <n v="33.470125046238891"/>
    <n v="36.347399628866668"/>
    <n v="43.62584460885833"/>
    <n v="41"/>
  </r>
  <r>
    <d v="2026-06-19T15:00:00"/>
    <x v="3"/>
    <n v="15"/>
    <n v="26.240939225144441"/>
    <n v="27.049762500175"/>
    <n v="28.853403741997219"/>
    <n v="23.6"/>
    <n v="34.672001234050001"/>
    <n v="37.004343153950003"/>
    <n v="43.73574810097778"/>
    <n v="41"/>
  </r>
  <r>
    <d v="2026-06-19T16:00:00"/>
    <x v="3"/>
    <n v="16"/>
    <n v="25.93042170647222"/>
    <n v="27.39698415521389"/>
    <n v="29.020121313002772"/>
    <n v="23.4"/>
    <n v="35.55080028202778"/>
    <n v="39.674768523624998"/>
    <n v="43.570699332827779"/>
    <n v="41"/>
  </r>
  <r>
    <d v="2026-06-19T17:00:00"/>
    <x v="3"/>
    <n v="17"/>
    <n v="26.212188087286108"/>
    <n v="27.608319517908331"/>
    <n v="29.106955156213889"/>
    <n v="23.6"/>
    <n v="34.635821567233343"/>
    <n v="38.35315773219444"/>
    <n v="43.498602912208327"/>
    <n v="40"/>
  </r>
  <r>
    <d v="2026-06-19T18:00:00"/>
    <x v="3"/>
    <n v="18"/>
    <n v="26.16865996412222"/>
    <n v="27.519732211133331"/>
    <n v="29.215640214927781"/>
    <n v="23.7"/>
    <n v="34.502629657441673"/>
    <n v="36.158645143866657"/>
    <n v="43.291659635983329"/>
    <n v="39"/>
  </r>
  <r>
    <d v="2026-06-19T19:00:00"/>
    <x v="3"/>
    <n v="19"/>
    <n v="26.054575679261109"/>
    <n v="27.15998730464722"/>
    <n v="29.238192371191669"/>
    <n v="23.5"/>
    <n v="34.927409524288883"/>
    <n v="38.012501112169453"/>
    <n v="43.20775766773334"/>
    <n v="39"/>
  </r>
  <r>
    <d v="2026-06-19T20:00:00"/>
    <x v="3"/>
    <n v="20"/>
    <n v="25.56226229238333"/>
    <n v="26.800465083122219"/>
    <n v="29.13361369635556"/>
    <n v="22.8"/>
    <n v="36.64657558365834"/>
    <n v="37.134574983950003"/>
    <n v="43.053169969922223"/>
    <n v="44"/>
  </r>
  <r>
    <d v="2026-06-19T21:00:00"/>
    <x v="3"/>
    <n v="21"/>
    <n v="25.143894689875001"/>
    <n v="26.55750060651112"/>
    <n v="29.03002605453889"/>
    <n v="21.1"/>
    <n v="37.570756765250003"/>
    <n v="37.397216850591668"/>
    <n v="43.081130236936112"/>
    <n v="50"/>
  </r>
  <r>
    <d v="2026-06-19T22:00:00"/>
    <x v="3"/>
    <n v="22"/>
    <n v="24.763425408349999"/>
    <n v="26.285958230922219"/>
    <n v="28.949927635747219"/>
    <n v="19.899999999999999"/>
    <n v="38.697834926286113"/>
    <n v="37.976445848911112"/>
    <n v="43.077590383199997"/>
    <n v="54"/>
  </r>
  <r>
    <d v="2026-06-19T23:00:00"/>
    <x v="3"/>
    <n v="23"/>
    <n v="24.035633825588889"/>
    <n v="26.747304288758329"/>
    <n v="28.856046801655559"/>
    <n v="18.899999999999999"/>
    <n v="41.804115069769438"/>
    <n v="40.355208633938886"/>
    <n v="43.341424817636103"/>
    <n v="61"/>
  </r>
  <r>
    <d v="2026-06-20T00:00:00"/>
    <x v="3"/>
    <n v="0"/>
    <n v="23.443901003197219"/>
    <n v="27.05339263676666"/>
    <n v="28.88063606575"/>
    <n v="18.2"/>
    <n v="43.407019582402768"/>
    <n v="39.758045574327767"/>
    <n v="43.424560609561112"/>
    <n v="67"/>
  </r>
  <r>
    <d v="2026-06-20T01:00:00"/>
    <x v="3"/>
    <n v="1"/>
    <n v="23.503259276077781"/>
    <n v="26.902425776702781"/>
    <n v="28.86650560587778"/>
    <n v="17.7"/>
    <n v="43.503530134694451"/>
    <n v="39.829962839986123"/>
    <n v="43.526036302044453"/>
    <n v="69"/>
  </r>
  <r>
    <d v="2026-06-20T02:00:00"/>
    <x v="3"/>
    <n v="2"/>
    <n v="22.972864747966671"/>
    <n v="26.438920900211109"/>
    <n v="28.823142124961109"/>
    <n v="16.7"/>
    <n v="45.608246496905558"/>
    <n v="40.168774437713893"/>
    <n v="43.876856489747219"/>
    <n v="72"/>
  </r>
  <r>
    <d v="2026-06-20T03:00:00"/>
    <x v="3"/>
    <n v="3"/>
    <n v="22.730564000102781"/>
    <n v="26.14496162418056"/>
    <n v="28.858850103147219"/>
    <n v="16"/>
    <n v="46.572919458083327"/>
    <n v="39.919472774022232"/>
    <n v="44.006709138505563"/>
    <n v="76"/>
  </r>
  <r>
    <d v="2026-06-20T04:00:00"/>
    <x v="3"/>
    <n v="4"/>
    <n v="22.42806210995278"/>
    <n v="25.929616326872221"/>
    <n v="28.929782606141671"/>
    <n v="15.2"/>
    <n v="47.881213321688882"/>
    <n v="40.735674775430553"/>
    <n v="44.147665594530558"/>
    <n v="79"/>
  </r>
  <r>
    <d v="2026-06-20T05:00:00"/>
    <x v="3"/>
    <n v="5"/>
    <n v="22.709818081986111"/>
    <n v="25.87213214820833"/>
    <n v="28.979699076377781"/>
    <n v="14.9"/>
    <n v="46.395438335361114"/>
    <n v="40.275250181463903"/>
    <n v="44.118290629483333"/>
    <n v="79"/>
  </r>
  <r>
    <d v="2026-06-20T06:00:00"/>
    <x v="3"/>
    <n v="6"/>
    <n v="24.416373910444449"/>
    <n v="26.236386074558339"/>
    <n v="29.041926662041661"/>
    <n v="16.3"/>
    <n v="41.534718799250001"/>
    <n v="40.468273183191663"/>
    <n v="44.085482029208329"/>
    <n v="68"/>
  </r>
  <r>
    <d v="2026-06-20T07:00:00"/>
    <x v="3"/>
    <n v="7"/>
    <n v="25.605150205541669"/>
    <n v="26.813967212872221"/>
    <n v="29.038697163583329"/>
    <n v="18.600000000000001"/>
    <n v="38.039228712008331"/>
    <n v="38.217388889588889"/>
    <n v="43.920436341941667"/>
    <n v="57"/>
  </r>
  <r>
    <d v="2026-06-20T08:00:00"/>
    <x v="3"/>
    <n v="8"/>
    <n v="26.17171668732778"/>
    <n v="27.23259036376389"/>
    <n v="29.043711871569439"/>
    <n v="21.1"/>
    <n v="37.497088118474998"/>
    <n v="37.859293578138882"/>
    <n v="43.825230610669443"/>
    <n v="47"/>
  </r>
  <r>
    <d v="2026-06-20T09:00:00"/>
    <x v="3"/>
    <n v="9"/>
    <n v="26.55320337754166"/>
    <n v="27.29600433940556"/>
    <n v="29.01483602908889"/>
    <n v="23.5"/>
    <n v="38.596545927122222"/>
    <n v="37.882196098236122"/>
    <n v="43.835908410738888"/>
    <n v="40"/>
  </r>
  <r>
    <d v="2026-06-20T10:00:00"/>
    <x v="3"/>
    <n v="10"/>
    <n v="26.711943064216669"/>
    <n v="27.358161342622221"/>
    <n v="28.98982108581389"/>
    <n v="24.4"/>
    <n v="37.7219437627"/>
    <n v="37.936500846347222"/>
    <n v="43.900372408572217"/>
    <n v="39"/>
  </r>
  <r>
    <d v="2026-06-20T11:00:00"/>
    <x v="3"/>
    <n v="11"/>
    <n v="26.87705855153056"/>
    <n v="27.52782913571389"/>
    <n v="28.982152599791661"/>
    <n v="25.3"/>
    <n v="37.060432064002782"/>
    <n v="36.992502768094447"/>
    <n v="43.903077437641663"/>
    <n v="35"/>
  </r>
  <r>
    <d v="2026-06-20T12:00:00"/>
    <x v="3"/>
    <n v="12"/>
    <n v="26.816788720194442"/>
    <n v="27.540404703280551"/>
    <n v="28.96500316003333"/>
    <n v="25.6"/>
    <n v="35.253380985761112"/>
    <n v="37.513187742538889"/>
    <n v="43.921846319105562"/>
    <n v="34"/>
  </r>
  <r>
    <d v="2026-06-20T13:00:00"/>
    <x v="3"/>
    <n v="13"/>
    <n v="26.76477895944722"/>
    <n v="27.919577167344439"/>
    <n v="28.777835409261112"/>
    <n v="25.6"/>
    <n v="34.970075125872221"/>
    <n v="38.248136979955547"/>
    <n v="44.674877772333332"/>
    <n v="36"/>
  </r>
  <r>
    <d v="2026-06-20T14:00:00"/>
    <x v="3"/>
    <n v="14"/>
    <n v="26.724341275594441"/>
    <n v="27.97537375927222"/>
    <n v="28.355411242236109"/>
    <n v="25.7"/>
    <n v="35.482567390286107"/>
    <n v="38.575032564336112"/>
    <n v="45.563040004375011"/>
    <n v="37"/>
  </r>
  <r>
    <d v="2026-06-20T15:00:00"/>
    <x v="3"/>
    <n v="15"/>
    <n v="26.779308884527779"/>
    <n v="27.61400816058611"/>
    <n v="28.53435807370278"/>
    <n v="26"/>
    <n v="34.935396492902782"/>
    <n v="38.145243584230563"/>
    <n v="45.523515577449992"/>
    <n v="38"/>
  </r>
  <r>
    <d v="2026-06-20T16:00:00"/>
    <x v="3"/>
    <n v="16"/>
    <n v="26.870347572566669"/>
    <n v="27.813853415880551"/>
    <n v="28.657829589616671"/>
    <n v="25.9"/>
    <n v="33.537703155297223"/>
    <n v="37.433588518061107"/>
    <n v="46.366170425447223"/>
    <n v="36"/>
  </r>
  <r>
    <d v="2026-06-20T17:00:00"/>
    <x v="3"/>
    <n v="17"/>
    <n v="26.941897552563891"/>
    <n v="28.024993430666669"/>
    <n v="28.69565465399722"/>
    <n v="25.8"/>
    <n v="34.769682507463891"/>
    <n v="37.449620443330559"/>
    <n v="46.759545328102782"/>
    <n v="35"/>
  </r>
  <r>
    <d v="2026-06-20T18:00:00"/>
    <x v="3"/>
    <n v="18"/>
    <n v="26.727222773763891"/>
    <n v="28.092126514375"/>
    <n v="28.92115486185277"/>
    <n v="25.2"/>
    <n v="35.371988632086108"/>
    <n v="37.449446794116668"/>
    <n v="45.718791510941656"/>
    <n v="37"/>
  </r>
  <r>
    <d v="2026-06-20T19:00:00"/>
    <x v="3"/>
    <n v="19"/>
    <n v="26.57160232730833"/>
    <n v="28.125790171102778"/>
    <n v="28.707822904372222"/>
    <n v="24.5"/>
    <n v="36.465766098269448"/>
    <n v="37.954697853738892"/>
    <n v="45.589715488086107"/>
    <n v="39"/>
  </r>
  <r>
    <d v="2026-06-20T20:00:00"/>
    <x v="3"/>
    <n v="20"/>
    <n v="25.998975584488889"/>
    <n v="28.142540099261112"/>
    <n v="28.554948021844449"/>
    <n v="23.4"/>
    <n v="38.146418848449997"/>
    <n v="38.029404854186112"/>
    <n v="45.421034739163893"/>
    <n v="43"/>
  </r>
  <r>
    <d v="2026-06-20T21:00:00"/>
    <x v="3"/>
    <n v="21"/>
    <n v="25.51737802374722"/>
    <n v="28.182706450013889"/>
    <n v="28.530948414205561"/>
    <n v="22.2"/>
    <n v="39.765150591455559"/>
    <n v="39.406212353686108"/>
    <n v="45.615681582775011"/>
    <n v="48"/>
  </r>
  <r>
    <d v="2026-06-20T22:00:00"/>
    <x v="3"/>
    <n v="22"/>
    <n v="25.13326080341945"/>
    <n v="28.053884289374999"/>
    <n v="28.725836331850001"/>
    <n v="21.1"/>
    <n v="40.624397385416657"/>
    <n v="39.84897129623333"/>
    <n v="45.545284827477779"/>
    <n v="52"/>
  </r>
  <r>
    <d v="2026-06-20T23:00:00"/>
    <x v="3"/>
    <n v="23"/>
    <n v="24.838789532183331"/>
    <n v="27.974195905852781"/>
    <n v="28.832437159291668"/>
    <n v="20.100000000000001"/>
    <n v="40.479902970111112"/>
    <n v="40.779324080836112"/>
    <n v="45.284733175619436"/>
    <n v="55"/>
  </r>
  <r>
    <d v="2026-06-21T00:00:00"/>
    <x v="3"/>
    <n v="0"/>
    <n v="24.493434737880559"/>
    <n v="27.62832844139167"/>
    <n v="28.85976300024722"/>
    <n v="19.399999999999999"/>
    <n v="41.177877709694442"/>
    <n v="40.11953779958889"/>
    <n v="45.101092508424998"/>
    <n v="56"/>
  </r>
  <r>
    <d v="2026-06-21T01:00:00"/>
    <x v="3"/>
    <n v="1"/>
    <n v="24.14630807804722"/>
    <n v="27.542231564383329"/>
    <n v="28.86355802984167"/>
    <n v="18.399999999999999"/>
    <n v="42.179776533047217"/>
    <n v="40.129212168480556"/>
    <n v="44.980855669827783"/>
    <n v="60"/>
  </r>
  <r>
    <d v="2026-06-21T02:00:00"/>
    <x v="3"/>
    <n v="2"/>
    <n v="23.704395326344439"/>
    <n v="27.486615681705551"/>
    <n v="28.858942149324999"/>
    <n v="17.600000000000001"/>
    <n v="42.548097674458333"/>
    <n v="38.269991440369452"/>
    <n v="44.881848499355563"/>
    <n v="64"/>
  </r>
  <r>
    <d v="2026-06-21T03:00:00"/>
    <x v="3"/>
    <n v="3"/>
    <n v="23.205313353697221"/>
    <n v="27.291439117725002"/>
    <n v="28.851489293280551"/>
    <n v="16.5"/>
    <n v="42.851741940466667"/>
    <n v="37.081020249363888"/>
    <n v="44.715078473005562"/>
    <n v="66"/>
  </r>
  <r>
    <d v="2026-06-21T04:00:00"/>
    <x v="3"/>
    <n v="4"/>
    <n v="22.922502696707031"/>
    <n v="26.685762375402781"/>
    <n v="28.805534550263889"/>
    <n v="15.7"/>
    <n v="43.47524670772134"/>
    <n v="36.675234462138889"/>
    <n v="44.55408341482778"/>
    <n v="68"/>
  </r>
  <r>
    <d v="2026-06-21T05:00:00"/>
    <x v="3"/>
    <n v="5"/>
    <n v="23.676885243904319"/>
    <n v="26.466368920641671"/>
    <n v="28.76697423812778"/>
    <n v="15.3"/>
    <n v="41.086714244982858"/>
    <n v="36.691078165916657"/>
    <n v="44.397459924672233"/>
    <n v="68"/>
  </r>
  <r>
    <d v="2026-06-21T06:00:00"/>
    <x v="3"/>
    <n v="6"/>
    <n v="24.592052054063888"/>
    <n v="26.779698787266671"/>
    <n v="28.776137118794448"/>
    <n v="16"/>
    <n v="38.786643715777778"/>
    <n v="36.485920006336109"/>
    <n v="44.283652542344441"/>
    <n v="66"/>
  </r>
  <r>
    <d v="2026-06-21T07:00:00"/>
    <x v="3"/>
    <n v="7"/>
    <n v="26.028192988730559"/>
    <n v="27.090949007461109"/>
    <n v="28.795231354163889"/>
    <n v="17.399999999999999"/>
    <n v="36.276159839213882"/>
    <n v="35.66039959874167"/>
    <n v="44.20262419908611"/>
    <n v="61"/>
  </r>
  <r>
    <d v="2026-06-21T08:00:00"/>
    <x v="3"/>
    <n v="8"/>
    <n v="27.220627062925001"/>
    <n v="27.46976025578612"/>
    <n v="28.816762875766671"/>
    <n v="19.2"/>
    <n v="34.415943162550001"/>
    <n v="35.349308734961113"/>
    <n v="44.132365453672207"/>
    <n v="55"/>
  </r>
  <r>
    <d v="2026-06-21T09:00:00"/>
    <x v="3"/>
    <n v="9"/>
    <n v="28.530144411805551"/>
    <n v="27.781873183808329"/>
    <n v="28.841623657802781"/>
    <n v="21.4"/>
    <n v="31.305747786927778"/>
    <n v="34.939990854836111"/>
    <n v="44.105499156477777"/>
    <n v="46"/>
  </r>
  <r>
    <d v="2026-06-21T10:00:00"/>
    <x v="3"/>
    <n v="10"/>
    <n v="27.464611057488892"/>
    <n v="27.734421660230559"/>
    <n v="28.859929390313891"/>
    <n v="22.7"/>
    <n v="32.792009030916667"/>
    <n v="34.271560716263878"/>
    <n v="44.042984729516661"/>
    <n v="41"/>
  </r>
  <r>
    <d v="2026-06-21T11:00:00"/>
    <x v="3"/>
    <n v="11"/>
    <n v="27.23842488247778"/>
    <n v="27.54702923493889"/>
    <n v="28.86183535993333"/>
    <n v="23.5"/>
    <n v="32.369069111155547"/>
    <n v="34.050612377027782"/>
    <n v="43.944095877483328"/>
    <n v="35"/>
  </r>
  <r>
    <d v="2026-06-21T12:00:00"/>
    <x v="3"/>
    <n v="12"/>
    <n v="26.882230182363891"/>
    <n v="27.537582727219441"/>
    <n v="28.859098074655549"/>
    <n v="24.5"/>
    <n v="30.942858333136119"/>
    <n v="33.94949482117778"/>
    <n v="43.843410152305559"/>
    <n v="31"/>
  </r>
  <r>
    <d v="2026-06-21T13:00:00"/>
    <x v="3"/>
    <n v="13"/>
    <n v="26.79330942513333"/>
    <n v="27.613615831013892"/>
    <n v="28.854194566530559"/>
    <n v="25.1"/>
    <n v="30.956803158338889"/>
    <n v="33.245686970558332"/>
    <n v="43.718604463072218"/>
    <n v="28"/>
  </r>
  <r>
    <d v="2026-06-21T14:00:00"/>
    <x v="3"/>
    <n v="14"/>
    <n v="26.806884240508332"/>
    <n v="27.702025181680561"/>
    <n v="28.507456452900001"/>
    <n v="25.7"/>
    <n v="31.380268343711109"/>
    <n v="33.132714573816664"/>
    <n v="42.86321907653889"/>
    <n v="26"/>
  </r>
  <r>
    <d v="2026-06-21T15:00:00"/>
    <x v="3"/>
    <n v="15"/>
    <n v="26.851347685813892"/>
    <n v="27.90721890855556"/>
    <n v="28.645089457538891"/>
    <n v="25.2"/>
    <n v="30.154032977616659"/>
    <n v="33.406143914136109"/>
    <n v="43.139987466002772"/>
    <n v="32"/>
  </r>
  <r>
    <d v="2026-06-21T16:00:00"/>
    <x v="3"/>
    <n v="16"/>
    <n v="27.002394363058329"/>
    <n v="28.05743938299722"/>
    <n v="28.887932149163891"/>
    <n v="24.8"/>
    <n v="30.001306856005559"/>
    <n v="32.846595061619453"/>
    <n v="43.237476203424997"/>
    <n v="34"/>
  </r>
  <r>
    <d v="2026-06-21T17:00:00"/>
    <x v="3"/>
    <n v="17"/>
    <n v="26.96521830195833"/>
    <n v="27.334608904466659"/>
    <n v="28.948192272724999"/>
    <n v="24.7"/>
    <n v="30.13856879595"/>
    <n v="32.121024248866668"/>
    <n v="43.112212513905547"/>
    <n v="35"/>
  </r>
  <r>
    <d v="2026-06-21T18:00:00"/>
    <x v="3"/>
    <n v="18"/>
    <n v="26.93558355916112"/>
    <n v="27.498394605411111"/>
    <n v="28.943501633622219"/>
    <n v="24.3"/>
    <n v="30.7539573205"/>
    <n v="32.974682652991667"/>
    <n v="43.094398288897217"/>
    <n v="36"/>
  </r>
  <r>
    <d v="2026-06-21T19:00:00"/>
    <x v="3"/>
    <n v="19"/>
    <n v="26.984523210500001"/>
    <n v="27.679143429080561"/>
    <n v="28.805994324591669"/>
    <n v="23.8"/>
    <n v="31.345528126361099"/>
    <n v="33.304702485550003"/>
    <n v="42.295296166088889"/>
    <n v="38"/>
  </r>
  <r>
    <d v="2026-06-21T20:00:00"/>
    <x v="3"/>
    <n v="20"/>
    <n v="26.48030095070833"/>
    <n v="27.43081766766112"/>
    <n v="28.888201769011111"/>
    <n v="22.9"/>
    <n v="32.876880905375003"/>
    <n v="34.573369769186108"/>
    <n v="42.817626619266669"/>
    <n v="42"/>
  </r>
  <r>
    <d v="2026-06-21T21:00:00"/>
    <x v="3"/>
    <n v="21"/>
    <n v="26.284932298183332"/>
    <n v="27.525396194702779"/>
    <n v="28.832449073080561"/>
    <n v="21.9"/>
    <n v="35.639361553824997"/>
    <n v="36.352294650780557"/>
    <n v="43.374469759199997"/>
    <n v="47"/>
  </r>
  <r>
    <d v="2026-06-21T22:00:00"/>
    <x v="3"/>
    <n v="22"/>
    <n v="26.014978874797219"/>
    <n v="27.7089055203"/>
    <n v="28.625925168763889"/>
    <n v="21.1"/>
    <n v="35.619712005099998"/>
    <n v="37.782933039813891"/>
    <n v="44.033362770111097"/>
    <n v="50"/>
  </r>
  <r>
    <d v="2026-06-21T23:00:00"/>
    <x v="3"/>
    <n v="23"/>
    <n v="25.488795903572221"/>
    <n v="27.815045521811111"/>
    <n v="28.880408616644441"/>
    <n v="20.3"/>
    <n v="35.67619472423889"/>
    <n v="37.109600184980557"/>
    <n v="43.685855270841671"/>
    <n v="54"/>
  </r>
  <r>
    <d v="2026-06-22T00:00:00"/>
    <x v="3"/>
    <n v="0"/>
    <n v="25.23402285775833"/>
    <n v="27.841881075997222"/>
    <n v="28.877309405824999"/>
    <n v="19.5"/>
    <n v="37.097915341294453"/>
    <n v="36.341763358194441"/>
    <n v="43.435785703858343"/>
    <n v="57"/>
  </r>
  <r>
    <d v="2026-06-22T01:00:00"/>
    <x v="3"/>
    <n v="1"/>
    <n v="24.734508018255561"/>
    <n v="27.71910739500278"/>
    <n v="28.835525939483329"/>
    <n v="18.7"/>
    <n v="39.465819880577783"/>
    <n v="36.588809141991668"/>
    <n v="43.445289507333342"/>
    <n v="60"/>
  </r>
  <r>
    <d v="2026-06-22T02:00:00"/>
    <x v="3"/>
    <n v="2"/>
    <n v="23.774291539527781"/>
    <n v="27.334341036538891"/>
    <n v="28.460473410122219"/>
    <n v="18.2"/>
    <n v="42.093178266097219"/>
    <n v="36.815008218655557"/>
    <n v="43.999334819730556"/>
    <n v="62"/>
  </r>
  <r>
    <d v="2026-06-22T03:00:00"/>
    <x v="3"/>
    <n v="3"/>
    <n v="23.149402309825"/>
    <n v="26.875898543394442"/>
    <n v="28.780159031255561"/>
    <n v="17.600000000000001"/>
    <n v="44.290929450577778"/>
    <n v="37.782109893466668"/>
    <n v="43.750434219497222"/>
    <n v="65"/>
  </r>
  <r>
    <d v="2026-06-22T04:00:00"/>
    <x v="3"/>
    <n v="4"/>
    <n v="23.003700892752381"/>
    <n v="26.643380796111121"/>
    <n v="28.79090592503611"/>
    <n v="17.2"/>
    <n v="44.883604033300003"/>
    <n v="38.289142121588888"/>
    <n v="43.766438368780562"/>
    <n v="68"/>
  </r>
  <r>
    <d v="2026-06-22T05:00:00"/>
    <x v="3"/>
    <n v="5"/>
    <n v="24.173751191459889"/>
    <n v="26.558353614358332"/>
    <n v="28.775944232577789"/>
    <n v="16.899999999999999"/>
    <n v="43.177595830146082"/>
    <n v="39.159645612141667"/>
    <n v="43.846248199947219"/>
    <n v="70"/>
  </r>
  <r>
    <d v="2026-06-22T06:00:00"/>
    <x v="3"/>
    <n v="6"/>
    <n v="25.339184257405549"/>
    <n v="26.933803000172219"/>
    <n v="28.804329323508341"/>
    <n v="17.8"/>
    <n v="40.229690754622219"/>
    <n v="38.93278532494444"/>
    <n v="43.885557748544443"/>
    <n v="67"/>
  </r>
  <r>
    <d v="2026-06-22T07:00:00"/>
    <x v="3"/>
    <n v="7"/>
    <n v="26.628021066069451"/>
    <n v="27.541529972986108"/>
    <n v="28.846925742658328"/>
    <n v="19.399999999999999"/>
    <n v="37.836604400336107"/>
    <n v="37.44345211023056"/>
    <n v="43.887013012152778"/>
    <n v="62"/>
  </r>
  <r>
    <d v="2026-06-22T08:00:00"/>
    <x v="3"/>
    <n v="8"/>
    <n v="27.871450105091672"/>
    <n v="28.164409805775001"/>
    <n v="28.89814832425278"/>
    <n v="21.7"/>
    <n v="36.620715680883329"/>
    <n v="36.523358569750002"/>
    <n v="43.891749680575003"/>
    <n v="55"/>
  </r>
  <r>
    <d v="2026-06-22T09:00:00"/>
    <x v="3"/>
    <n v="9"/>
    <n v="29.370973775872219"/>
    <n v="28.76120606349167"/>
    <n v="28.992835301041669"/>
    <n v="24.7"/>
    <n v="33.702298110100003"/>
    <n v="36.829797230824987"/>
    <n v="44.276041212030563"/>
    <n v="45"/>
  </r>
  <r>
    <d v="2026-06-22T10:00:00"/>
    <x v="3"/>
    <n v="10"/>
    <n v="28.428239196130558"/>
    <n v="29.228488253327779"/>
    <n v="29.091420415580551"/>
    <n v="26.4"/>
    <n v="35.640613090686109"/>
    <n v="37.112306180683333"/>
    <n v="44.71862106166666"/>
    <n v="38"/>
  </r>
  <r>
    <d v="2026-06-22T11:00:00"/>
    <x v="3"/>
    <n v="11"/>
    <n v="26.425376502002781"/>
    <n v="28.459788840383339"/>
    <n v="29.07110715203611"/>
    <n v="27.1"/>
    <n v="32.757161410180558"/>
    <n v="33.335461866988886"/>
    <n v="43.673089926086107"/>
    <n v="37"/>
  </r>
  <r>
    <d v="2026-06-22T12:00:00"/>
    <x v="3"/>
    <n v="12"/>
    <n v="27.09092674478612"/>
    <n v="28.82223932946944"/>
    <n v="29.072992509097219"/>
    <n v="27.8"/>
    <n v="36.682491651841673"/>
    <n v="35.095735881783327"/>
    <n v="43.87269493506944"/>
    <n v="37"/>
  </r>
  <r>
    <d v="2026-06-22T13:00:00"/>
    <x v="3"/>
    <n v="13"/>
    <n v="25.822442432252771"/>
    <n v="27.82383095316111"/>
    <n v="29.107933732708329"/>
    <n v="28.6"/>
    <n v="33.782098432916669"/>
    <n v="33.22790244948056"/>
    <n v="43.733628928163888"/>
    <n v="36"/>
  </r>
  <r>
    <d v="2026-06-22T14:00:00"/>
    <x v="3"/>
    <n v="14"/>
    <n v="26.352998034086109"/>
    <n v="27.97049356293056"/>
    <n v="29.076536641916661"/>
    <n v="29.3"/>
    <n v="35.828834531588889"/>
    <n v="34.482844461591661"/>
    <n v="42.88404310899444"/>
    <n v="36"/>
  </r>
  <r>
    <d v="2026-06-22T15:00:00"/>
    <x v="3"/>
    <n v="15"/>
    <n v="27.340448026261111"/>
    <n v="28.277146994522219"/>
    <n v="29.222445264802779"/>
    <n v="29.5"/>
    <n v="38.36528376985833"/>
    <n v="37.331333305688887"/>
    <n v="43.989337108552768"/>
    <n v="36"/>
  </r>
  <r>
    <d v="2026-06-22T16:00:00"/>
    <x v="3"/>
    <n v="16"/>
    <n v="27.764730351227779"/>
    <n v="28.624522199061111"/>
    <n v="29.310622733063891"/>
    <n v="23.7"/>
    <n v="40.05316468480278"/>
    <n v="40.083535287463882"/>
    <n v="45.620617176766658"/>
    <n v="65"/>
  </r>
  <r>
    <d v="2026-06-22T17:00:00"/>
    <x v="3"/>
    <n v="17"/>
    <n v="27.189981122155551"/>
    <n v="28.544818028925"/>
    <n v="29.247781187002779"/>
    <n v="26"/>
    <n v="41.664920255558343"/>
    <n v="43.058723528916673"/>
    <n v="46.934821717555558"/>
    <n v="52"/>
  </r>
  <r>
    <d v="2026-06-22T18:00:00"/>
    <x v="3"/>
    <n v="18"/>
    <n v="26.09224155938611"/>
    <n v="27.993620056525"/>
    <n v="29.274975872950002"/>
    <n v="26.4"/>
    <n v="37.244978831808332"/>
    <n v="36.182980666383337"/>
    <n v="45.415284672738892"/>
    <n v="52"/>
  </r>
  <r>
    <d v="2026-06-22T19:00:00"/>
    <x v="3"/>
    <n v="19"/>
    <n v="25.349389006300001"/>
    <n v="27.559165927113892"/>
    <n v="29.206273076247211"/>
    <n v="25.5"/>
    <n v="34.095689613677777"/>
    <n v="32.920985963091667"/>
    <n v="44.33822314290277"/>
    <n v="58"/>
  </r>
  <r>
    <d v="2026-06-22T20:00:00"/>
    <x v="3"/>
    <n v="20"/>
    <n v="25.688635443730561"/>
    <n v="27.607486466644449"/>
    <n v="29.142905253916659"/>
    <n v="22.1"/>
    <n v="35.042415762683333"/>
    <n v="34.706690394566671"/>
    <n v="43.849595563983343"/>
    <n v="76"/>
  </r>
  <r>
    <d v="2026-06-22T21:00:00"/>
    <x v="3"/>
    <n v="21"/>
    <n v="25.640494182380561"/>
    <n v="27.496195399633329"/>
    <n v="29.082890432349998"/>
    <n v="21.9"/>
    <n v="35.113211098219438"/>
    <n v="33.848061867922233"/>
    <n v="43.481497301488893"/>
    <n v="78"/>
  </r>
  <r>
    <d v="2026-06-22T22:00:00"/>
    <x v="3"/>
    <n v="22"/>
    <n v="26.839927457913891"/>
    <n v="28.19487722698889"/>
    <n v="29.16033013746944"/>
    <n v="21.1"/>
    <n v="40.961471677122233"/>
    <n v="41.265426293608343"/>
    <n v="44.375329637911108"/>
    <n v="83"/>
  </r>
  <r>
    <d v="2026-06-22T23:00:00"/>
    <x v="3"/>
    <n v="23"/>
    <n v="27.15028402295"/>
    <n v="28.471489210044439"/>
    <n v="29.08647886421112"/>
    <n v="20.3"/>
    <n v="44.033423508641668"/>
    <n v="44.169498465875002"/>
    <n v="47.594957669533329"/>
    <n v="84"/>
  </r>
  <r>
    <d v="2026-06-23T00:00:00"/>
    <x v="3"/>
    <n v="0"/>
    <n v="27.16812913243611"/>
    <n v="28.143365086755551"/>
    <n v="29.29587384825"/>
    <n v="19.899999999999999"/>
    <n v="45.233273306133327"/>
    <n v="44.249792944613887"/>
    <n v="46.485967281863893"/>
    <n v="84"/>
  </r>
  <r>
    <d v="2026-06-23T01:00:00"/>
    <x v="3"/>
    <n v="1"/>
    <n v="26.615501782961111"/>
    <n v="27.93521040295278"/>
    <n v="29.33948016979722"/>
    <n v="19.7"/>
    <n v="46.802963161413892"/>
    <n v="44.421014123558336"/>
    <n v="48.369268352472233"/>
    <n v="85"/>
  </r>
  <r>
    <d v="2026-06-23T02:00:00"/>
    <x v="3"/>
    <n v="2"/>
    <n v="25.667422532427778"/>
    <n v="27.75565224747222"/>
    <n v="29.265478270058331"/>
    <n v="19.399999999999999"/>
    <n v="49.864392729108317"/>
    <n v="44.666336652605558"/>
    <n v="47.389523223591659"/>
    <n v="87"/>
  </r>
  <r>
    <d v="2026-06-23T03:00:00"/>
    <x v="3"/>
    <n v="3"/>
    <n v="25.21018694006111"/>
    <n v="27.478446814861108"/>
    <n v="29.20812882695278"/>
    <n v="18.600000000000001"/>
    <n v="50.514764688749999"/>
    <n v="44.788364528341667"/>
    <n v="47.325654886599999"/>
    <n v="91"/>
  </r>
  <r>
    <d v="2026-06-23T04:00:00"/>
    <x v="3"/>
    <n v="4"/>
    <n v="24.829477734891672"/>
    <n v="27.333847655011109"/>
    <n v="29.151711780063891"/>
    <n v="18"/>
    <n v="51.468001368466673"/>
    <n v="44.771390982063878"/>
    <n v="47.350054015155557"/>
    <n v="93"/>
  </r>
  <r>
    <d v="2026-06-23T05:00:00"/>
    <x v="3"/>
    <n v="5"/>
    <n v="25.22993186294444"/>
    <n v="27.360715266580559"/>
    <n v="29.114875593450002"/>
    <n v="17.600000000000001"/>
    <n v="50.692783081183329"/>
    <n v="45.232557548769449"/>
    <n v="47.407598174619437"/>
    <n v="94"/>
  </r>
  <r>
    <d v="2026-06-23T06:00:00"/>
    <x v="3"/>
    <n v="6"/>
    <n v="26.228331410197221"/>
    <n v="27.436700720705559"/>
    <n v="29.121107715322221"/>
    <n v="18.399999999999999"/>
    <n v="48.038897508086109"/>
    <n v="45.374301402636107"/>
    <n v="47.228759008791663"/>
    <n v="89"/>
  </r>
  <r>
    <d v="2026-06-23T07:00:00"/>
    <x v="3"/>
    <n v="7"/>
    <n v="27.324634325361121"/>
    <n v="28.042519943258331"/>
    <n v="29.171719283405551"/>
    <n v="19.899999999999999"/>
    <n v="45.865055669991669"/>
    <n v="44.442824019069441"/>
    <n v="46.94008016189445"/>
    <n v="82"/>
  </r>
  <r>
    <d v="2026-06-23T08:00:00"/>
    <x v="3"/>
    <n v="8"/>
    <n v="27.99581295966389"/>
    <n v="28.627476619252779"/>
    <n v="29.191957580163891"/>
    <n v="21.6"/>
    <n v="43.614492647694448"/>
    <n v="43.890888172486108"/>
    <n v="46.715346449658327"/>
    <n v="71"/>
  </r>
  <r>
    <d v="2026-06-23T09:00:00"/>
    <x v="3"/>
    <n v="9"/>
    <n v="26.367048077505562"/>
    <n v="28.33524758453056"/>
    <n v="29.183600228330558"/>
    <n v="22.4"/>
    <n v="36.541771813527781"/>
    <n v="36.379084400538893"/>
    <n v="46.348680301491662"/>
    <n v="67"/>
  </r>
  <r>
    <d v="2026-06-23T10:00:00"/>
    <x v="3"/>
    <n v="10"/>
    <n v="25.986309372547229"/>
    <n v="27.83938168312222"/>
    <n v="29.125752632899999"/>
    <n v="23.2"/>
    <n v="36.002295490013893"/>
    <n v="34.760839512547221"/>
    <n v="45.805607121041668"/>
    <n v="63"/>
  </r>
  <r>
    <d v="2026-06-23T11:00:00"/>
    <x v="3"/>
    <n v="11"/>
    <n v="26.06537102815556"/>
    <n v="27.958541638619451"/>
    <n v="29.084159430275001"/>
    <n v="24.8"/>
    <n v="38.243241640377782"/>
    <n v="36.530128034108337"/>
    <n v="45.547497561130562"/>
    <n v="57"/>
  </r>
  <r>
    <d v="2026-06-23T12:00:00"/>
    <x v="3"/>
    <n v="12"/>
    <n v="26.021931256319441"/>
    <n v="27.751623633499999"/>
    <n v="29.015373092766669"/>
    <n v="25.9"/>
    <n v="41.407762022680551"/>
    <n v="38.114256101330561"/>
    <n v="45.924701152416667"/>
    <n v="51"/>
  </r>
  <r>
    <d v="2026-06-23T13:00:00"/>
    <x v="3"/>
    <n v="13"/>
    <n v="27.109946454208341"/>
    <n v="27.948056987363891"/>
    <n v="29.189344988472229"/>
    <n v="26.8"/>
    <n v="45.789073712777771"/>
    <n v="43.149131098961107"/>
    <n v="46.528605562830563"/>
    <n v="48"/>
  </r>
  <r>
    <d v="2026-06-23T14:00:00"/>
    <x v="3"/>
    <n v="14"/>
    <n v="26.724989547658328"/>
    <n v="27.899977050127781"/>
    <n v="29.21796135020556"/>
    <n v="27.4"/>
    <n v="44.399848574661121"/>
    <n v="41.831582083547232"/>
    <n v="47.235000080230563"/>
    <n v="44"/>
  </r>
  <r>
    <d v="2026-06-23T15:00:00"/>
    <x v="3"/>
    <n v="15"/>
    <n v="26.04064199669444"/>
    <n v="27.67013354541389"/>
    <n v="28.898362528216669"/>
    <n v="28"/>
    <n v="39.485194387438888"/>
    <n v="37.480688144716659"/>
    <n v="45.569632983097222"/>
    <n v="42"/>
  </r>
  <r>
    <d v="2026-06-23T16:00:00"/>
    <x v="3"/>
    <n v="16"/>
    <n v="27.23773639631667"/>
    <n v="28.12355122753889"/>
    <n v="29.209552486094442"/>
    <n v="28.1"/>
    <n v="41.631203231577778"/>
    <n v="39.663549765494452"/>
    <n v="45.829669405861097"/>
    <n v="40"/>
  </r>
  <r>
    <d v="2026-06-23T17:00:00"/>
    <x v="3"/>
    <n v="17"/>
    <n v="26.103424950938891"/>
    <n v="27.80736904998334"/>
    <n v="29.323849088144438"/>
    <n v="28"/>
    <n v="36.886749927197222"/>
    <n v="36.029106378808329"/>
    <n v="45.49250693495555"/>
    <n v="39"/>
  </r>
  <r>
    <d v="2026-06-23T18:00:00"/>
    <x v="3"/>
    <n v="18"/>
    <n v="26.709250747877771"/>
    <n v="27.746302567041671"/>
    <n v="29.294609541691671"/>
    <n v="27.6"/>
    <n v="36.993077934569442"/>
    <n v="36.027123699316668"/>
    <n v="44.966071551786122"/>
    <n v="41"/>
  </r>
  <r>
    <d v="2026-06-23T19:00:00"/>
    <x v="3"/>
    <n v="19"/>
    <n v="26.640360270691669"/>
    <n v="27.886772823141669"/>
    <n v="29.272171006383331"/>
    <n v="26.6"/>
    <n v="37.467000335127778"/>
    <n v="37.648312230475"/>
    <n v="45.028310569855563"/>
    <n v="44"/>
  </r>
  <r>
    <d v="2026-06-23T20:00:00"/>
    <x v="3"/>
    <n v="20"/>
    <n v="24.90267260790278"/>
    <n v="26.992728378974999"/>
    <n v="29.006639772505551"/>
    <n v="25.6"/>
    <n v="34.953631748566671"/>
    <n v="33.283816078733338"/>
    <n v="43.116253607480559"/>
    <n v="49"/>
  </r>
  <r>
    <d v="2026-06-23T21:00:00"/>
    <x v="3"/>
    <n v="21"/>
    <n v="26.246078958930561"/>
    <n v="27.102478001811111"/>
    <n v="29.131490845891669"/>
    <n v="24.6"/>
    <n v="38.964317361249996"/>
    <n v="37.707077095661113"/>
    <n v="43.655136462702778"/>
    <n v="54"/>
  </r>
  <r>
    <d v="2026-06-23T22:00:00"/>
    <x v="3"/>
    <n v="22"/>
    <n v="25.932837471936111"/>
    <n v="27.22913652422778"/>
    <n v="29.121285614925"/>
    <n v="23.8"/>
    <n v="39.05189577863333"/>
    <n v="37.63832004115833"/>
    <n v="43.836001117252778"/>
    <n v="58"/>
  </r>
  <r>
    <d v="2026-06-23T23:00:00"/>
    <x v="3"/>
    <n v="23"/>
    <n v="25.41215237194444"/>
    <n v="27.147129438166669"/>
    <n v="28.23673553268889"/>
    <n v="22.7"/>
    <n v="37.344071923605561"/>
    <n v="36.594452882141667"/>
    <n v="42.624404270266673"/>
    <n v="61"/>
  </r>
  <r>
    <d v="2026-06-24T00:00:00"/>
    <x v="3"/>
    <n v="0"/>
    <n v="25.392683111783331"/>
    <n v="26.75200962778889"/>
    <n v="28.701815506283332"/>
    <n v="22"/>
    <n v="37.924450860933327"/>
    <n v="37.327579094683337"/>
    <n v="43.803475210847218"/>
    <n v="61"/>
  </r>
  <r>
    <d v="2026-06-24T01:00:00"/>
    <x v="3"/>
    <n v="1"/>
    <n v="24.51388518841944"/>
    <n v="26.35760654077778"/>
    <n v="28.84291358226389"/>
    <n v="21.2"/>
    <n v="34.932837908283339"/>
    <n v="33.603391724886109"/>
    <n v="42.865753769236107"/>
    <n v="58"/>
  </r>
  <r>
    <d v="2026-06-24T02:00:00"/>
    <x v="3"/>
    <n v="2"/>
    <n v="25.903364930383329"/>
    <n v="26.72834771300278"/>
    <n v="29.03347839358333"/>
    <n v="20.2"/>
    <n v="38.58672298669444"/>
    <n v="37.239981580227777"/>
    <n v="43.293228818836113"/>
    <n v="53"/>
  </r>
  <r>
    <d v="2026-06-24T03:00:00"/>
    <x v="3"/>
    <n v="3"/>
    <n v="26.363495520138891"/>
    <n v="26.910879051944441"/>
    <n v="29.089109794363889"/>
    <n v="18.899999999999999"/>
    <n v="37.585773782522217"/>
    <n v="37.314475249422223"/>
    <n v="43.533702038408343"/>
    <n v="56"/>
  </r>
  <r>
    <d v="2026-06-24T04:00:00"/>
    <x v="3"/>
    <n v="4"/>
    <n v="26.420542489288891"/>
    <n v="26.91911308672778"/>
    <n v="29.101192153241669"/>
    <n v="18"/>
    <n v="36.104894574163893"/>
    <n v="36.618892273811113"/>
    <n v="43.590535220222222"/>
    <n v="56"/>
  </r>
  <r>
    <d v="2026-06-24T05:00:00"/>
    <x v="3"/>
    <n v="5"/>
    <n v="26.579094158922221"/>
    <n v="27.093147069425001"/>
    <n v="29.105346770324999"/>
    <n v="17.3"/>
    <n v="35.520220940119437"/>
    <n v="36.368210409272223"/>
    <n v="43.673967475016667"/>
    <n v="57"/>
  </r>
  <r>
    <d v="2026-06-24T06:00:00"/>
    <x v="3"/>
    <n v="6"/>
    <n v="27.064836825436121"/>
    <n v="27.446668447480558"/>
    <n v="29.13299903488333"/>
    <n v="18"/>
    <n v="34.864452821855558"/>
    <n v="36.197341103697227"/>
    <n v="43.722458351238892"/>
    <n v="55"/>
  </r>
  <r>
    <d v="2026-06-24T07:00:00"/>
    <x v="3"/>
    <n v="7"/>
    <n v="27.66949450058333"/>
    <n v="28.224188763669439"/>
    <n v="29.163191365519442"/>
    <n v="19.399999999999999"/>
    <n v="34.113408040622232"/>
    <n v="34.780477738452781"/>
    <n v="43.70259650660833"/>
    <n v="50"/>
  </r>
  <r>
    <d v="2026-06-24T08:00:00"/>
    <x v="3"/>
    <n v="8"/>
    <n v="28.448612736008339"/>
    <n v="28.798508144519449"/>
    <n v="29.217649729363892"/>
    <n v="21.6"/>
    <n v="34.200083741411113"/>
    <n v="33.397539696674997"/>
    <n v="43.764287179941668"/>
    <n v="41"/>
  </r>
  <r>
    <d v="2026-06-24T09:00:00"/>
    <x v="3"/>
    <n v="9"/>
    <n v="29.510618890483329"/>
    <n v="29.138008635252781"/>
    <n v="29.28189773573056"/>
    <n v="23.9"/>
    <n v="32.700078469563891"/>
    <n v="32.236025680483337"/>
    <n v="43.806334496619449"/>
    <n v="33"/>
  </r>
  <r>
    <d v="2026-06-24T10:00:00"/>
    <x v="3"/>
    <n v="10"/>
    <n v="28.767970755022219"/>
    <n v="29.354721776733331"/>
    <n v="29.318485351280561"/>
    <n v="25.2"/>
    <n v="33.902702101405559"/>
    <n v="31.506013552197221"/>
    <n v="43.830094797133327"/>
    <n v="30"/>
  </r>
  <r>
    <d v="2026-06-24T11:00:00"/>
    <x v="3"/>
    <n v="11"/>
    <n v="27.325197254863891"/>
    <n v="28.953612242230559"/>
    <n v="29.313724930002781"/>
    <n v="26.2"/>
    <n v="31.501873891491659"/>
    <n v="31.079456277722219"/>
    <n v="43.478304134727779"/>
    <n v="29"/>
  </r>
  <r>
    <d v="2026-06-24T12:00:00"/>
    <x v="3"/>
    <n v="12"/>
    <n v="26.545515533349999"/>
    <n v="28.687460009980551"/>
    <n v="29.255528808936109"/>
    <n v="27"/>
    <n v="31.299556666936109"/>
    <n v="29.245041160866659"/>
    <n v="43.040842765883333"/>
    <n v="28"/>
  </r>
  <r>
    <d v="2026-06-24T13:00:00"/>
    <x v="3"/>
    <n v="13"/>
    <n v="27.58183904137222"/>
    <n v="28.866485222111109"/>
    <n v="29.27759718762222"/>
    <n v="27"/>
    <n v="35.324102840833334"/>
    <n v="34.047003224697221"/>
    <n v="43.333815360769442"/>
    <n v="29"/>
  </r>
  <r>
    <d v="2026-06-24T14:00:00"/>
    <x v="3"/>
    <n v="14"/>
    <n v="27.161494108866659"/>
    <n v="28.451836494430559"/>
    <n v="29.29976482601667"/>
    <n v="26.8"/>
    <n v="34.102035976949999"/>
    <n v="33.299871192049999"/>
    <n v="43.459910112724998"/>
    <n v="30"/>
  </r>
  <r>
    <d v="2026-06-24T15:00:00"/>
    <x v="3"/>
    <n v="15"/>
    <n v="25.350915359013889"/>
    <n v="27.82399620887778"/>
    <n v="28.89826409000278"/>
    <n v="27.5"/>
    <n v="32.528373618694452"/>
    <n v="31.04498136094444"/>
    <n v="41.563083700216659"/>
    <n v="29"/>
  </r>
  <r>
    <d v="2026-06-24T16:00:00"/>
    <x v="3"/>
    <n v="16"/>
    <n v="25.48414622136389"/>
    <n v="27.884415499291659"/>
    <n v="28.996906664527771"/>
    <n v="27.5"/>
    <n v="33.708827555708332"/>
    <n v="31.81748490326666"/>
    <n v="41.72697488431389"/>
    <n v="29"/>
  </r>
  <r>
    <d v="2026-06-24T17:00:00"/>
    <x v="3"/>
    <n v="17"/>
    <n v="25.747983422177779"/>
    <n v="27.884276975738889"/>
    <n v="29.152779199297221"/>
    <n v="27.3"/>
    <n v="33.69800407799444"/>
    <n v="32.154720370213887"/>
    <n v="41.255636298266673"/>
    <n v="30"/>
  </r>
  <r>
    <d v="2026-06-24T18:00:00"/>
    <x v="3"/>
    <n v="18"/>
    <n v="26.063975892275"/>
    <n v="27.70175313009722"/>
    <n v="29.10550811114167"/>
    <n v="27"/>
    <n v="34.719565562594447"/>
    <n v="33.810164680708333"/>
    <n v="41.50583354206389"/>
    <n v="30"/>
  </r>
  <r>
    <d v="2026-06-24T19:00:00"/>
    <x v="3"/>
    <n v="19"/>
    <n v="25.963794446338891"/>
    <n v="27.46841994303611"/>
    <n v="29.142406423638889"/>
    <n v="26.5"/>
    <n v="37.982300424347223"/>
    <n v="35.970555266894451"/>
    <n v="41.880060397466657"/>
    <n v="32"/>
  </r>
  <r>
    <d v="2026-06-24T20:00:00"/>
    <x v="3"/>
    <n v="20"/>
    <n v="25.399428761766671"/>
    <n v="27.36948857754167"/>
    <n v="29.25191040046111"/>
    <n v="25.9"/>
    <n v="38.261772038355552"/>
    <n v="37.022772548341663"/>
    <n v="43.368726644166657"/>
    <n v="34"/>
  </r>
  <r>
    <d v="2026-06-24T21:00:00"/>
    <x v="3"/>
    <n v="21"/>
    <n v="25.286933023349999"/>
    <n v="27.121404626255561"/>
    <n v="29.14582797415833"/>
    <n v="25.1"/>
    <n v="39.565492742591672"/>
    <n v="38.074856570836111"/>
    <n v="42.535485464966662"/>
    <n v="35"/>
  </r>
  <r>
    <d v="2026-06-24T22:00:00"/>
    <x v="3"/>
    <n v="22"/>
    <n v="26.632944346883331"/>
    <n v="27.743887657827781"/>
    <n v="29.172825420058331"/>
    <n v="24.6"/>
    <n v="42.328851522163887"/>
    <n v="41.118408367325003"/>
    <n v="44.278032325252767"/>
    <n v="43"/>
  </r>
  <r>
    <d v="2026-06-24T23:00:00"/>
    <x v="3"/>
    <n v="23"/>
    <n v="27.038335288075"/>
    <n v="27.700358394677771"/>
    <n v="29.199283705091659"/>
    <n v="24.1"/>
    <n v="43.268776379663883"/>
    <n v="43.166211618588903"/>
    <n v="44.820913560344451"/>
    <n v="42"/>
  </r>
  <r>
    <d v="2026-06-25T00:00:00"/>
    <x v="3"/>
    <n v="0"/>
    <n v="27.122337100733329"/>
    <n v="27.641382468833331"/>
    <n v="29.33642551660278"/>
    <n v="23.2"/>
    <n v="42.724082171500008"/>
    <n v="43.831751028749999"/>
    <n v="44.484578272802771"/>
    <n v="44"/>
  </r>
  <r>
    <d v="2026-06-25T01:00:00"/>
    <x v="3"/>
    <n v="1"/>
    <n v="26.94400663458055"/>
    <n v="27.834346933733329"/>
    <n v="29.309850181455559"/>
    <n v="21.9"/>
    <n v="41.483223467052767"/>
    <n v="42.29869564006389"/>
    <n v="44.535283318216671"/>
    <n v="46"/>
  </r>
  <r>
    <d v="2026-06-25T02:00:00"/>
    <x v="3"/>
    <n v="2"/>
    <n v="25.354908466933331"/>
    <n v="27.512813991725"/>
    <n v="29.280653462802778"/>
    <n v="21.1"/>
    <n v="44.135441895688892"/>
    <n v="41.538875089952768"/>
    <n v="44.61253548882501"/>
    <n v="49"/>
  </r>
  <r>
    <d v="2026-06-25T03:00:00"/>
    <x v="3"/>
    <n v="3"/>
    <n v="24.331534537900001"/>
    <n v="27.162296061177781"/>
    <n v="29.26762619811667"/>
    <n v="20.8"/>
    <n v="51.388165573458338"/>
    <n v="44.148740795225002"/>
    <n v="44.949420407669443"/>
    <n v="56"/>
  </r>
  <r>
    <d v="2026-06-25T04:00:00"/>
    <x v="3"/>
    <n v="4"/>
    <n v="24.078060457869441"/>
    <n v="27.03444501764444"/>
    <n v="29.238874827480551"/>
    <n v="20.2"/>
    <n v="53.252743592705549"/>
    <n v="45.261428507183332"/>
    <n v="45.563433315138887"/>
    <n v="58"/>
  </r>
  <r>
    <d v="2026-06-25T05:00:00"/>
    <x v="3"/>
    <n v="5"/>
    <n v="24.18548232270556"/>
    <n v="26.905229558244439"/>
    <n v="29.227638622505559"/>
    <n v="19.2"/>
    <n v="54.342669797888881"/>
    <n v="46.176661741416673"/>
    <n v="45.897731061736117"/>
    <n v="63"/>
  </r>
  <r>
    <d v="2026-06-25T06:00:00"/>
    <x v="3"/>
    <n v="6"/>
    <n v="24.19326098875834"/>
    <n v="26.871858460375002"/>
    <n v="29.247639050627779"/>
    <n v="19.600000000000001"/>
    <n v="55.706622583138888"/>
    <n v="47.328230387752782"/>
    <n v="46.126027723738893"/>
    <n v="63"/>
  </r>
  <r>
    <d v="2026-06-25T07:00:00"/>
    <x v="3"/>
    <n v="7"/>
    <n v="24.349982935530559"/>
    <n v="27.018467665491659"/>
    <n v="29.237499803138888"/>
    <n v="20.2"/>
    <n v="54.906853358041673"/>
    <n v="47.126934415594441"/>
    <n v="46.441984822341681"/>
    <n v="61"/>
  </r>
  <r>
    <d v="2026-06-25T08:00:00"/>
    <x v="3"/>
    <n v="8"/>
    <n v="24.494720965433331"/>
    <n v="27.24558335886389"/>
    <n v="29.223917762766671"/>
    <n v="20"/>
    <n v="49.693620471647222"/>
    <n v="43.894213580986097"/>
    <n v="46.340743012702767"/>
    <n v="63"/>
  </r>
  <r>
    <d v="2026-06-25T09:00:00"/>
    <x v="3"/>
    <n v="9"/>
    <n v="24.895301350391659"/>
    <n v="27.121497228900001"/>
    <n v="29.227652646627771"/>
    <n v="21.8"/>
    <n v="48.235534930177778"/>
    <n v="43.650450359427772"/>
    <n v="46.02957852743333"/>
    <n v="56"/>
  </r>
  <r>
    <d v="2026-06-25T10:00:00"/>
    <x v="3"/>
    <n v="10"/>
    <n v="25.243211290866661"/>
    <n v="27.192209174049999"/>
    <n v="29.22031951341944"/>
    <n v="23.4"/>
    <n v="46.202154838980562"/>
    <n v="42.834530486961121"/>
    <n v="45.876114959663887"/>
    <n v="48"/>
  </r>
  <r>
    <d v="2026-06-25T11:00:00"/>
    <x v="3"/>
    <n v="11"/>
    <n v="26.179230529158328"/>
    <n v="27.819659445483332"/>
    <n v="29.22802656487778"/>
    <n v="21.5"/>
    <n v="43.657763480486118"/>
    <n v="42.398622179797222"/>
    <n v="45.813585357508337"/>
    <n v="52"/>
  </r>
  <r>
    <d v="2026-06-25T12:00:00"/>
    <x v="3"/>
    <n v="12"/>
    <n v="26.831751513975"/>
    <n v="28.098310048649999"/>
    <n v="29.246944443033328"/>
    <n v="23.9"/>
    <n v="40.932502561638891"/>
    <n v="41.380224421497218"/>
    <n v="45.818146952536118"/>
    <n v="41"/>
  </r>
  <r>
    <d v="2026-06-25T13:00:00"/>
    <x v="3"/>
    <n v="13"/>
    <n v="27.022259514891669"/>
    <n v="28.158497303033329"/>
    <n v="29.266111126249999"/>
    <n v="23.7"/>
    <n v="38.226071555919447"/>
    <n v="40.235018905350003"/>
    <n v="45.749786124597222"/>
    <n v="44"/>
  </r>
  <r>
    <d v="2026-06-25T14:00:00"/>
    <x v="3"/>
    <n v="14"/>
    <n v="26.955893317091672"/>
    <n v="28.14944722177778"/>
    <n v="29.25949229548889"/>
    <n v="24.5"/>
    <n v="34.601400051561107"/>
    <n v="38.120344317716658"/>
    <n v="45.320822254936111"/>
    <n v="44"/>
  </r>
  <r>
    <d v="2026-06-25T15:00:00"/>
    <x v="3"/>
    <n v="15"/>
    <n v="27.036274029194441"/>
    <n v="28.342494689199999"/>
    <n v="29.206768129075002"/>
    <n v="24.9"/>
    <n v="33.510874635261111"/>
    <n v="38.134309624325013"/>
    <n v="44.50171068588611"/>
    <n v="43"/>
  </r>
  <r>
    <d v="2026-06-25T16:00:00"/>
    <x v="3"/>
    <n v="16"/>
    <n v="27.156059173961111"/>
    <n v="28.362034811825001"/>
    <n v="29.32033406945278"/>
    <n v="25"/>
    <n v="32.625704398458332"/>
    <n v="36.703292141049999"/>
    <n v="44.231245771897221"/>
    <n v="40"/>
  </r>
  <r>
    <d v="2026-06-25T17:00:00"/>
    <x v="3"/>
    <n v="17"/>
    <n v="27.217947575322221"/>
    <n v="28.47560773453889"/>
    <n v="29.34674943643612"/>
    <n v="25.3"/>
    <n v="33.082245289905558"/>
    <n v="36.585193105158332"/>
    <n v="44.170348835455549"/>
    <n v="35"/>
  </r>
  <r>
    <d v="2026-06-25T18:00:00"/>
    <x v="3"/>
    <n v="18"/>
    <n v="27.037416827111109"/>
    <n v="28.505002781691669"/>
    <n v="29.04175395922778"/>
    <n v="24.9"/>
    <n v="34.562725122674998"/>
    <n v="36.118178115077782"/>
    <n v="43.756604297591672"/>
    <n v="35"/>
  </r>
  <r>
    <d v="2026-06-25T19:00:00"/>
    <x v="3"/>
    <n v="19"/>
    <n v="27.225885706308329"/>
    <n v="28.588184786291659"/>
    <n v="28.87323649433333"/>
    <n v="24"/>
    <n v="37.163078793058339"/>
    <n v="38.800032354622232"/>
    <n v="45.322930595275011"/>
    <n v="38"/>
  </r>
  <r>
    <d v="2026-06-25T20:00:00"/>
    <x v="3"/>
    <n v="20"/>
    <n v="26.98681832802778"/>
    <n v="28.623481836724999"/>
    <n v="28.838584585433331"/>
    <n v="23.1"/>
    <n v="39.090609952752779"/>
    <n v="40.452040226119443"/>
    <n v="46.295711395375008"/>
    <n v="41"/>
  </r>
  <r>
    <d v="2026-06-25T21:00:00"/>
    <x v="3"/>
    <n v="21"/>
    <n v="26.721769846419441"/>
    <n v="28.645118931999999"/>
    <n v="29.02150337399722"/>
    <n v="22.5"/>
    <n v="40.704810457063893"/>
    <n v="41.162882415716673"/>
    <n v="46.609439807219452"/>
    <n v="45"/>
  </r>
  <r>
    <d v="2026-06-25T22:00:00"/>
    <x v="3"/>
    <n v="22"/>
    <n v="26.777045882025"/>
    <m/>
    <n v="29.160080577188889"/>
    <n v="21.8"/>
    <n v="41.409540358555553"/>
    <m/>
    <n v="46.019253727755562"/>
    <n v="49"/>
  </r>
  <r>
    <d v="2026-06-25T23:00:00"/>
    <x v="3"/>
    <n v="23"/>
    <n v="26.688491104655551"/>
    <m/>
    <n v="29.222054533824998"/>
    <n v="20.8"/>
    <n v="43.809619318838891"/>
    <m/>
    <n v="46.036470773058333"/>
    <n v="53"/>
  </r>
  <r>
    <d v="2026-06-26T00:00:00"/>
    <x v="3"/>
    <n v="0"/>
    <n v="26.451717576019441"/>
    <m/>
    <n v="29.248126101255551"/>
    <n v="19.899999999999999"/>
    <n v="43.94368148861389"/>
    <m/>
    <n v="47.0221787754"/>
    <n v="58"/>
  </r>
  <r>
    <d v="2026-06-26T01:00:00"/>
    <x v="3"/>
    <n v="1"/>
    <n v="25.557365518580561"/>
    <m/>
    <n v="29.28503764538333"/>
    <n v="19"/>
    <n v="47.202164391525002"/>
    <m/>
    <n v="48.053034418597207"/>
    <n v="63"/>
  </r>
  <r>
    <d v="2026-06-26T02:00:00"/>
    <x v="3"/>
    <n v="2"/>
    <n v="24.250831350313891"/>
    <m/>
    <n v="29.35419424549444"/>
    <n v="17.899999999999999"/>
    <n v="49.960467654650003"/>
    <m/>
    <n v="47.337363863488889"/>
    <n v="70"/>
  </r>
  <r>
    <d v="2026-06-26T03:00:00"/>
    <x v="3"/>
    <n v="3"/>
    <n v="23.89349731151944"/>
    <m/>
    <n v="29.32611214335833"/>
    <n v="16.5"/>
    <n v="50.253047798975011"/>
    <m/>
    <n v="46.909952377038877"/>
    <n v="80"/>
  </r>
  <r>
    <d v="2026-06-26T04:00:00"/>
    <x v="3"/>
    <n v="4"/>
    <n v="23.688166019730559"/>
    <m/>
    <n v="29.311916823813888"/>
    <n v="16"/>
    <n v="50.364718489491658"/>
    <m/>
    <n v="46.653883344050001"/>
    <n v="85"/>
  </r>
  <r>
    <d v="2026-06-26T05:00:00"/>
    <x v="3"/>
    <n v="5"/>
    <n v="24.299081738352779"/>
    <m/>
    <n v="29.300305115499999"/>
    <n v="15.5"/>
    <n v="48.722313033622221"/>
    <m/>
    <n v="46.424517909708342"/>
    <n v="87"/>
  </r>
  <r>
    <d v="2026-06-26T06:00:00"/>
    <x v="3"/>
    <n v="6"/>
    <n v="25.852364031355549"/>
    <m/>
    <n v="29.306860419480561"/>
    <n v="16.100000000000001"/>
    <n v="45.212480212775013"/>
    <m/>
    <n v="46.221187501416672"/>
    <n v="83"/>
  </r>
  <r>
    <d v="2026-06-26T07:00:00"/>
    <x v="3"/>
    <n v="7"/>
    <n v="26.71499099007222"/>
    <m/>
    <n v="29.31850030087778"/>
    <n v="17.3"/>
    <n v="43.495646517177782"/>
    <m/>
    <n v="46.079738479494438"/>
    <n v="76"/>
  </r>
  <r>
    <d v="2026-06-26T08:00:00"/>
    <x v="3"/>
    <n v="8"/>
    <n v="27.116045383052779"/>
    <m/>
    <n v="29.335427825561109"/>
    <n v="18.899999999999999"/>
    <n v="43.031077921786107"/>
    <m/>
    <n v="45.988836122024999"/>
    <n v="67"/>
  </r>
  <r>
    <d v="2026-06-26T09:00:00"/>
    <x v="3"/>
    <n v="9"/>
    <n v="27.419239692925"/>
    <m/>
    <n v="29.358152743024998"/>
    <n v="20.399999999999999"/>
    <n v="41.59812014706111"/>
    <m/>
    <n v="45.84156035815834"/>
    <n v="59"/>
  </r>
  <r>
    <d v="2026-06-26T10:00:00"/>
    <x v="3"/>
    <n v="10"/>
    <n v="27.859490647661119"/>
    <m/>
    <n v="29.36947201936389"/>
    <n v="20.9"/>
    <n v="40.052077536133332"/>
    <m/>
    <n v="45.711737586783329"/>
    <n v="56"/>
  </r>
  <r>
    <d v="2026-06-26T11:00:00"/>
    <x v="3"/>
    <n v="11"/>
    <n v="27.920925443005562"/>
    <m/>
    <n v="29.389304772791661"/>
    <n v="22"/>
    <n v="38.266485594350002"/>
    <m/>
    <n v="45.625335787983339"/>
    <n v="52"/>
  </r>
  <r>
    <d v="2026-06-26T12:00:00"/>
    <x v="3"/>
    <n v="12"/>
    <n v="27.968221612111108"/>
    <m/>
    <n v="29.415012647477781"/>
    <n v="22.7"/>
    <n v="38.015104892763887"/>
    <m/>
    <n v="45.885970318266658"/>
    <n v="49"/>
  </r>
  <r>
    <d v="2026-06-26T13:00:00"/>
    <x v="3"/>
    <n v="13"/>
    <n v="27.762181601013889"/>
    <m/>
    <n v="29.48684484149722"/>
    <n v="23.2"/>
    <n v="37.985727400033333"/>
    <m/>
    <n v="46.716826258305552"/>
    <n v="47"/>
  </r>
  <r>
    <d v="2026-06-26T14:00:00"/>
    <x v="3"/>
    <n v="14"/>
    <n v="27.492864912741659"/>
    <m/>
    <n v="29.577706017400001"/>
    <n v="23.3"/>
    <n v="38.295187434436109"/>
    <m/>
    <n v="46.191982225538887"/>
    <n v="45"/>
  </r>
  <r>
    <d v="2026-06-26T15:00:00"/>
    <x v="3"/>
    <n v="15"/>
    <n v="25.949856009177779"/>
    <m/>
    <n v="29.606446030133341"/>
    <n v="23.2"/>
    <n v="35.778061601497221"/>
    <m/>
    <n v="45.647611915761111"/>
    <n v="45"/>
  </r>
  <r>
    <d v="2026-06-26T16:00:00"/>
    <x v="3"/>
    <n v="16"/>
    <n v="26.49398144138889"/>
    <m/>
    <n v="29.43740331960834"/>
    <n v="22.9"/>
    <n v="38.178359664927783"/>
    <m/>
    <n v="44.56340030549444"/>
    <n v="45"/>
  </r>
  <r>
    <d v="2026-06-26T17:00:00"/>
    <x v="3"/>
    <n v="17"/>
    <n v="26.44019204615833"/>
    <m/>
    <n v="29.593123902430559"/>
    <n v="22.7"/>
    <n v="38.241580652819437"/>
    <m/>
    <n v="44.95657062626389"/>
    <n v="41"/>
  </r>
  <r>
    <d v="2026-06-26T18:00:00"/>
    <x v="3"/>
    <n v="18"/>
    <n v="26.892832438591672"/>
    <m/>
    <n v="29.689401227491668"/>
    <n v="22.4"/>
    <n v="36.355108525780558"/>
    <m/>
    <n v="44.910274948516673"/>
    <n v="40"/>
  </r>
  <r>
    <d v="2026-06-26T19:00:00"/>
    <x v="3"/>
    <n v="19"/>
    <n v="26.35236532421667"/>
    <m/>
    <n v="29.73006965366945"/>
    <n v="21.9"/>
    <n v="36.460393277297221"/>
    <m/>
    <n v="44.448498432988892"/>
    <n v="40"/>
  </r>
  <r>
    <d v="2026-06-26T20:00:00"/>
    <x v="3"/>
    <n v="20"/>
    <n v="25.53516745859444"/>
    <m/>
    <n v="29.70954184735556"/>
    <n v="21.2"/>
    <n v="37.884737808733327"/>
    <m/>
    <n v="44.355305854558331"/>
    <n v="42"/>
  </r>
  <r>
    <d v="2026-06-26T21:00:00"/>
    <x v="3"/>
    <n v="21"/>
    <n v="25.920207312722219"/>
    <m/>
    <n v="29.652250993041669"/>
    <n v="20.100000000000001"/>
    <n v="38.18595062747778"/>
    <m/>
    <n v="44.310845791788893"/>
    <n v="46"/>
  </r>
  <r>
    <d v="2026-06-26T22:00:00"/>
    <x v="3"/>
    <n v="22"/>
    <n v="25.248297712838891"/>
    <m/>
    <n v="29.440794731519439"/>
    <n v="19.399999999999999"/>
    <n v="36.494462696141667"/>
    <m/>
    <n v="43.100173538602768"/>
    <n v="48"/>
  </r>
  <r>
    <d v="2026-06-26T23:00:00"/>
    <x v="3"/>
    <n v="23"/>
    <n v="24.632466725899999"/>
    <m/>
    <n v="29.531787857699999"/>
    <n v="18.3"/>
    <n v="36.151503084738877"/>
    <m/>
    <n v="43.235925748163893"/>
    <n v="53"/>
  </r>
  <r>
    <d v="2026-06-27T00:00:00"/>
    <x v="3"/>
    <n v="0"/>
    <n v="24.375278785075"/>
    <m/>
    <n v="29.581621640611111"/>
    <n v="17.600000000000001"/>
    <n v="36.686829721852781"/>
    <m/>
    <n v="42.789564240088893"/>
    <n v="56"/>
  </r>
  <r>
    <d v="2026-06-27T01:00:00"/>
    <x v="3"/>
    <n v="1"/>
    <n v="23.795560101524998"/>
    <m/>
    <n v="29.175825645602771"/>
    <n v="17"/>
    <n v="38.844451286647221"/>
    <m/>
    <n v="41.786735191525011"/>
    <n v="57"/>
  </r>
  <r>
    <d v="2026-06-27T02:00:00"/>
    <x v="3"/>
    <n v="2"/>
    <n v="23.126168275541669"/>
    <m/>
    <n v="29.486194067311111"/>
    <n v="16.399999999999999"/>
    <n v="39.029097832286112"/>
    <m/>
    <n v="42.371526112749997"/>
    <n v="60"/>
  </r>
  <r>
    <d v="2026-06-27T03:00:00"/>
    <x v="3"/>
    <n v="3"/>
    <n v="22.78630978255833"/>
    <m/>
    <n v="29.450707584822229"/>
    <n v="15.3"/>
    <n v="39.723635554261122"/>
    <m/>
    <n v="42.106875139536108"/>
    <n v="65"/>
  </r>
  <r>
    <d v="2026-06-27T04:00:00"/>
    <x v="3"/>
    <n v="4"/>
    <n v="22.4709992178962"/>
    <m/>
    <n v="29.37426534286389"/>
    <n v="14.7"/>
    <n v="40.348459696626037"/>
    <m/>
    <n v="41.876534940172228"/>
    <n v="69"/>
  </r>
  <r>
    <d v="2026-06-27T05:00:00"/>
    <x v="3"/>
    <n v="5"/>
    <n v="23.632048789397391"/>
    <m/>
    <n v="29.333930594144441"/>
    <n v="14.4"/>
    <n v="38.616458113836103"/>
    <m/>
    <n v="41.844562304044437"/>
    <n v="70"/>
  </r>
  <r>
    <d v="2026-06-27T06:00:00"/>
    <x v="3"/>
    <n v="6"/>
    <n v="24.24022188306111"/>
    <m/>
    <n v="29.331043019605559"/>
    <n v="15.3"/>
    <n v="37.687537901647232"/>
    <m/>
    <n v="42.00063008666389"/>
    <n v="68"/>
  </r>
  <r>
    <d v="2026-06-27T07:00:00"/>
    <x v="3"/>
    <n v="7"/>
    <n v="25.701556844566671"/>
    <m/>
    <n v="29.335763308183331"/>
    <n v="17"/>
    <n v="35.628923276041668"/>
    <m/>
    <n v="42.184344194783343"/>
    <n v="62"/>
  </r>
  <r>
    <d v="2026-06-27T08:00:00"/>
    <x v="3"/>
    <n v="8"/>
    <n v="27.324262246347221"/>
    <m/>
    <n v="29.374346941294451"/>
    <n v="19.5"/>
    <n v="34.088715960194442"/>
    <m/>
    <n v="42.399761747530562"/>
    <n v="52"/>
  </r>
  <r>
    <d v="2026-06-27T09:00:00"/>
    <x v="3"/>
    <n v="9"/>
    <n v="27.85305249039445"/>
    <m/>
    <n v="29.41654117388056"/>
    <n v="21.7"/>
    <n v="33.063505113516669"/>
    <m/>
    <n v="42.593736462169453"/>
    <n v="42"/>
  </r>
  <r>
    <d v="2026-06-27T10:00:00"/>
    <x v="3"/>
    <n v="10"/>
    <n v="27.696229117566659"/>
    <m/>
    <n v="29.438958196908331"/>
    <n v="22.6"/>
    <n v="32.278413551338893"/>
    <m/>
    <n v="42.844623076766673"/>
    <n v="40"/>
  </r>
  <r>
    <d v="2026-06-27T11:00:00"/>
    <x v="3"/>
    <n v="11"/>
    <n v="27.546232024138892"/>
    <m/>
    <n v="29.443957859833329"/>
    <n v="23"/>
    <n v="33.205984097349997"/>
    <m/>
    <n v="42.950305521397219"/>
    <n v="39"/>
  </r>
  <r>
    <d v="2026-06-27T12:00:00"/>
    <x v="3"/>
    <n v="12"/>
    <n v="27.46535440078889"/>
    <m/>
    <n v="29.45306946841389"/>
    <n v="23.8"/>
    <n v="33.00569460025833"/>
    <m/>
    <n v="43.001805243622222"/>
    <n v="39"/>
  </r>
  <r>
    <d v="2026-06-27T13:00:00"/>
    <x v="3"/>
    <n v="13"/>
    <n v="27.665275415530559"/>
    <m/>
    <n v="29.460624893847221"/>
    <n v="25.1"/>
    <n v="32.715333891722217"/>
    <m/>
    <n v="43.071069118747218"/>
    <n v="37"/>
  </r>
  <r>
    <d v="2026-06-27T14:00:00"/>
    <x v="3"/>
    <n v="14"/>
    <n v="27.936804876483329"/>
    <m/>
    <n v="29.465208205377781"/>
    <n v="25.5"/>
    <n v="33.444769565294443"/>
    <m/>
    <n v="43.165787420311112"/>
    <n v="37"/>
  </r>
  <r>
    <d v="2026-06-27T15:00:00"/>
    <x v="3"/>
    <n v="15"/>
    <n v="28.124515392433331"/>
    <m/>
    <n v="29.47974951348889"/>
    <n v="25.2"/>
    <n v="33.553894081758337"/>
    <m/>
    <n v="44.353348416108332"/>
    <n v="41"/>
  </r>
  <r>
    <d v="2026-06-27T16:00:00"/>
    <x v="3"/>
    <n v="16"/>
    <n v="27.044780390755559"/>
    <m/>
    <n v="29.51068023737778"/>
    <n v="25.2"/>
    <n v="39.497814524283328"/>
    <m/>
    <n v="44.535379914111111"/>
    <n v="41"/>
  </r>
  <r>
    <d v="2026-06-27T17:00:00"/>
    <x v="3"/>
    <n v="17"/>
    <n v="26.29462843220556"/>
    <m/>
    <n v="29.497972597288889"/>
    <n v="24"/>
    <n v="44.759885752180558"/>
    <m/>
    <n v="44.361345440894439"/>
    <n v="45"/>
  </r>
  <r>
    <d v="2026-06-27T18:00:00"/>
    <x v="3"/>
    <n v="18"/>
    <n v="26.564612409566671"/>
    <m/>
    <n v="29.482777744397222"/>
    <n v="23.6"/>
    <n v="43.717136911861111"/>
    <m/>
    <n v="44.576859420888887"/>
    <n v="47"/>
  </r>
  <r>
    <d v="2026-06-27T19:00:00"/>
    <x v="3"/>
    <n v="19"/>
    <n v="26.237931975024999"/>
    <m/>
    <n v="29.472471825930551"/>
    <n v="22.5"/>
    <n v="46.825000861730558"/>
    <m/>
    <n v="44.752203993605562"/>
    <n v="57"/>
  </r>
  <r>
    <d v="2026-06-27T20:00:00"/>
    <x v="3"/>
    <n v="20"/>
    <n v="26.051761612480561"/>
    <m/>
    <n v="29.467611158377778"/>
    <n v="21.6"/>
    <n v="48.012622234958343"/>
    <m/>
    <n v="45.044751009430549"/>
    <n v="63"/>
  </r>
  <r>
    <d v="2026-06-27T21:00:00"/>
    <x v="3"/>
    <n v="21"/>
    <n v="26.059927259786111"/>
    <m/>
    <n v="29.464347074325001"/>
    <n v="21"/>
    <n v="48.152269509777767"/>
    <m/>
    <n v="45.353289079441659"/>
    <n v="70"/>
  </r>
  <r>
    <d v="2026-06-27T22:00:00"/>
    <x v="3"/>
    <n v="22"/>
    <n v="25.700912126719441"/>
    <m/>
    <n v="29.46041640013889"/>
    <n v="20.399999999999999"/>
    <n v="49.453043198088892"/>
    <m/>
    <n v="45.583752083661103"/>
    <n v="74"/>
  </r>
  <r>
    <d v="2026-06-27T23:00:00"/>
    <x v="3"/>
    <n v="23"/>
    <n v="25.776528254005559"/>
    <m/>
    <n v="29.469875535486111"/>
    <n v="19.899999999999999"/>
    <n v="49.436383815691663"/>
    <m/>
    <n v="45.790342848536113"/>
    <n v="77"/>
  </r>
  <r>
    <d v="2026-06-28T00:00:00"/>
    <x v="3"/>
    <n v="0"/>
    <n v="25.563745197597221"/>
    <m/>
    <n v="29.464515572894442"/>
    <n v="19.2"/>
    <n v="50.014314392800003"/>
    <m/>
    <n v="45.973864504669443"/>
    <n v="81"/>
  </r>
  <r>
    <d v="2026-06-28T01:00:00"/>
    <x v="3"/>
    <n v="1"/>
    <n v="24.75347199881389"/>
    <m/>
    <n v="29.458264046094449"/>
    <n v="18.899999999999999"/>
    <n v="52.158244713138878"/>
    <m/>
    <n v="46.145502161552777"/>
    <n v="84"/>
  </r>
  <r>
    <d v="2026-06-28T02:00:00"/>
    <x v="3"/>
    <n v="2"/>
    <n v="24.637155080280561"/>
    <m/>
    <n v="29.429569504691671"/>
    <n v="18.899999999999999"/>
    <n v="51.236251940552783"/>
    <m/>
    <n v="46.331122639419448"/>
    <n v="82"/>
  </r>
  <r>
    <d v="2026-06-28T03:00:00"/>
    <x v="3"/>
    <n v="3"/>
    <n v="24.300008961549999"/>
    <m/>
    <n v="29.391861358524999"/>
    <n v="18.399999999999999"/>
    <n v="51.316917389458332"/>
    <m/>
    <n v="46.410901963752771"/>
    <n v="83"/>
  </r>
  <r>
    <d v="2026-06-28T04:00:00"/>
    <x v="3"/>
    <n v="4"/>
    <n v="24.24382750146944"/>
    <m/>
    <n v="29.381484448019449"/>
    <n v="18.2"/>
    <n v="49.019687757508343"/>
    <m/>
    <n v="46.281110911894451"/>
    <n v="82"/>
  </r>
  <r>
    <d v="2026-06-28T05:00:00"/>
    <x v="3"/>
    <n v="5"/>
    <n v="24.29260362542222"/>
    <m/>
    <n v="29.325861069624999"/>
    <n v="18.100000000000001"/>
    <n v="48.474815025808333"/>
    <m/>
    <n v="46.171361002808332"/>
    <n v="78"/>
  </r>
  <r>
    <d v="2026-06-28T06:00:00"/>
    <x v="3"/>
    <n v="6"/>
    <n v="24.909903581958329"/>
    <m/>
    <n v="29.30933343738889"/>
    <n v="18.3"/>
    <n v="47.104958106922219"/>
    <m/>
    <n v="46.123637536955563"/>
    <n v="77"/>
  </r>
  <r>
    <d v="2026-06-28T07:00:00"/>
    <x v="3"/>
    <n v="7"/>
    <n v="26.44165375710833"/>
    <m/>
    <n v="29.322777941786111"/>
    <n v="19.3"/>
    <n v="43.535089414086123"/>
    <m/>
    <n v="46.043582541661102"/>
    <n v="72"/>
  </r>
  <r>
    <d v="2026-06-28T08:00:00"/>
    <x v="3"/>
    <n v="8"/>
    <n v="26.971568936777771"/>
    <m/>
    <n v="29.342166706450001"/>
    <n v="20.399999999999999"/>
    <n v="42.819169872708329"/>
    <m/>
    <n v="45.936472256627781"/>
    <n v="67"/>
  </r>
  <r>
    <d v="2026-06-28T09:00:00"/>
    <x v="3"/>
    <n v="9"/>
    <n v="27.478492448674999"/>
    <m/>
    <n v="29.370666564188891"/>
    <n v="21.5"/>
    <n v="40.987300776769452"/>
    <m/>
    <n v="45.802874803969438"/>
    <n v="61"/>
  </r>
  <r>
    <d v="2026-06-28T10:00:00"/>
    <x v="3"/>
    <n v="10"/>
    <n v="27.04869234063333"/>
    <m/>
    <n v="29.390069897775"/>
    <n v="22.7"/>
    <n v="41.229642671286108"/>
    <m/>
    <n v="45.75451635296389"/>
    <n v="53"/>
  </r>
  <r>
    <d v="2026-06-28T11:00:00"/>
    <x v="3"/>
    <n v="11"/>
    <n v="26.991111439944451"/>
    <m/>
    <n v="29.421220497841659"/>
    <n v="23.9"/>
    <n v="40.828257195527783"/>
    <m/>
    <n v="45.599523068674991"/>
    <n v="47"/>
  </r>
  <r>
    <d v="2026-06-28T12:00:00"/>
    <x v="3"/>
    <n v="12"/>
    <n v="27.130484749008328"/>
    <m/>
    <n v="29.38655532867778"/>
    <n v="24.8"/>
    <n v="39.524594860069449"/>
    <m/>
    <n v="45.550392116316672"/>
    <n v="43"/>
  </r>
  <r>
    <d v="2026-06-28T13:00:00"/>
    <x v="3"/>
    <n v="13"/>
    <n v="27.369593560686109"/>
    <m/>
    <n v="29.17672394979445"/>
    <n v="25.9"/>
    <n v="38.087500634836111"/>
    <m/>
    <n v="46.790113202255547"/>
    <n v="37"/>
  </r>
  <r>
    <d v="2026-06-28T14:00:00"/>
    <x v="3"/>
    <n v="14"/>
    <n v="27.44872709197222"/>
    <m/>
    <n v="29.315917364197219"/>
    <n v="26"/>
    <n v="37.927240349474999"/>
    <m/>
    <n v="46.456167344216659"/>
    <n v="37"/>
  </r>
  <r>
    <d v="2026-06-28T15:00:00"/>
    <x v="3"/>
    <n v="15"/>
    <n v="27.7573941118"/>
    <m/>
    <n v="29.413777831899999"/>
    <n v="26.1"/>
    <n v="36.478441282699997"/>
    <m/>
    <n v="46.714576099061112"/>
    <n v="37"/>
  </r>
  <r>
    <d v="2026-06-28T16:00:00"/>
    <x v="3"/>
    <n v="16"/>
    <n v="27.961821786013889"/>
    <m/>
    <n v="29.530431260724999"/>
    <n v="26"/>
    <n v="35.483936712238886"/>
    <m/>
    <n v="46.276288632202778"/>
    <n v="40"/>
  </r>
  <r>
    <d v="2026-06-28T17:00:00"/>
    <x v="3"/>
    <n v="17"/>
    <n v="27.664950065380559"/>
    <m/>
    <n v="29.580470828033331"/>
    <n v="25.8"/>
    <n v="39.111748864644447"/>
    <m/>
    <n v="46.665264207416669"/>
    <n v="40"/>
  </r>
  <r>
    <d v="2026-06-28T18:00:00"/>
    <x v="3"/>
    <n v="18"/>
    <n v="27.454093769191669"/>
    <m/>
    <n v="29.144343668699999"/>
    <n v="25.4"/>
    <n v="38.496204856825003"/>
    <m/>
    <n v="48.032741349116669"/>
    <n v="41"/>
  </r>
  <r>
    <d v="2026-06-28T19:00:00"/>
    <x v="3"/>
    <n v="19"/>
    <n v="26.944396518994449"/>
    <m/>
    <n v="28.838043304961111"/>
    <n v="24.5"/>
    <n v="37.691507487119438"/>
    <m/>
    <n v="46.05544962668889"/>
    <n v="45"/>
  </r>
  <r>
    <d v="2026-06-28T20:00:00"/>
    <x v="3"/>
    <n v="20"/>
    <n v="26.479150393280559"/>
    <m/>
    <n v="28.56477763002778"/>
    <n v="23.7"/>
    <n v="39.231582886102778"/>
    <m/>
    <n v="46.33513002351944"/>
    <n v="48"/>
  </r>
  <r>
    <d v="2026-06-28T21:00:00"/>
    <x v="3"/>
    <n v="21"/>
    <n v="26.123584835175009"/>
    <m/>
    <n v="28.451821926480559"/>
    <n v="22.8"/>
    <n v="40.649367588227783"/>
    <m/>
    <n v="47.110465707599992"/>
    <n v="52"/>
  </r>
  <r>
    <d v="2026-06-28T22:00:00"/>
    <x v="3"/>
    <n v="22"/>
    <n v="25.819678759486109"/>
    <m/>
    <n v="28.775850210877781"/>
    <n v="22.2"/>
    <n v="41.790011440702777"/>
    <m/>
    <n v="46.722716204805558"/>
    <n v="55"/>
  </r>
  <r>
    <d v="2026-06-28T23:00:00"/>
    <x v="3"/>
    <n v="23"/>
    <n v="25.576085474700001"/>
    <m/>
    <n v="28.989891572400001"/>
    <n v="21.2"/>
    <n v="42.309283978627782"/>
    <m/>
    <n v="46.496204137786123"/>
    <n v="59"/>
  </r>
  <r>
    <d v="2026-06-29T00:00:00"/>
    <x v="3"/>
    <n v="0"/>
    <n v="25.146980884375001"/>
    <m/>
    <n v="29.206794039741659"/>
    <n v="20.399999999999999"/>
    <n v="43.134591093588888"/>
    <m/>
    <n v="46.33060667548056"/>
    <n v="61"/>
  </r>
  <r>
    <d v="2026-06-29T01:00:00"/>
    <x v="3"/>
    <n v="1"/>
    <n v="24.763708162625001"/>
    <m/>
    <n v="29.322820855483329"/>
    <n v="19.600000000000001"/>
    <n v="43.547672528947217"/>
    <m/>
    <n v="46.091191156841667"/>
    <n v="65"/>
  </r>
  <r>
    <d v="2026-06-29T02:00:00"/>
    <x v="3"/>
    <n v="2"/>
    <n v="24.33867178048612"/>
    <m/>
    <n v="29.32863888235833"/>
    <n v="18.7"/>
    <n v="44.118697628272223"/>
    <m/>
    <n v="45.8173283904"/>
    <n v="69"/>
  </r>
  <r>
    <d v="2026-06-29T03:00:00"/>
    <x v="3"/>
    <n v="3"/>
    <n v="23.96107116018333"/>
    <m/>
    <n v="29.29416615165"/>
    <n v="17.2"/>
    <n v="44.612736771058337"/>
    <m/>
    <n v="45.550675955894441"/>
    <n v="77"/>
  </r>
  <r>
    <d v="2026-06-29T04:00:00"/>
    <x v="3"/>
    <n v="4"/>
    <n v="23.641873008347229"/>
    <m/>
    <n v="29.243637571136109"/>
    <n v="16.399999999999999"/>
    <n v="45.015559222222223"/>
    <m/>
    <n v="45.366277550013898"/>
    <n v="82"/>
  </r>
  <r>
    <d v="2026-06-29T05:00:00"/>
    <x v="3"/>
    <n v="5"/>
    <n v="24.495609301211111"/>
    <m/>
    <n v="29.210540946733332"/>
    <n v="16"/>
    <n v="43.345262790011112"/>
    <m/>
    <n v="45.237290470411118"/>
    <n v="83"/>
  </r>
  <r>
    <d v="2026-06-29T06:00:00"/>
    <x v="3"/>
    <n v="6"/>
    <n v="26.03445743527222"/>
    <m/>
    <n v="29.205055997411112"/>
    <n v="16.7"/>
    <n v="40.444552174980558"/>
    <m/>
    <n v="45.193679725002767"/>
    <n v="79"/>
  </r>
  <r>
    <d v="2026-06-29T07:00:00"/>
    <x v="3"/>
    <n v="7"/>
    <n v="27.08459459089444"/>
    <m/>
    <n v="29.220083843369451"/>
    <n v="18.2"/>
    <n v="38.776914207977782"/>
    <m/>
    <n v="45.187222381897222"/>
    <n v="71"/>
  </r>
  <r>
    <d v="2026-06-29T08:00:00"/>
    <x v="3"/>
    <n v="8"/>
    <n v="28.181964950408329"/>
    <m/>
    <n v="29.241417507747219"/>
    <n v="20.2"/>
    <n v="37.303234175288893"/>
    <m/>
    <n v="45.192097310063893"/>
    <n v="61"/>
  </r>
  <r>
    <d v="2026-06-29T09:00:00"/>
    <x v="3"/>
    <n v="9"/>
    <n v="28.781853120000001"/>
    <m/>
    <n v="29.272014506805561"/>
    <n v="22.4"/>
    <n v="35.401779690983332"/>
    <m/>
    <n v="45.173137824286108"/>
    <n v="50"/>
  </r>
  <r>
    <d v="2026-06-29T10:00:00"/>
    <x v="3"/>
    <n v="10"/>
    <n v="28.798122311141672"/>
    <m/>
    <n v="29.316403799650001"/>
    <n v="23.7"/>
    <n v="34.847438258005553"/>
    <m/>
    <n v="45.219325392080563"/>
    <n v="44"/>
  </r>
  <r>
    <d v="2026-06-29T11:00:00"/>
    <x v="3"/>
    <n v="11"/>
    <n v="28.762826955525"/>
    <m/>
    <n v="29.423363390463891"/>
    <n v="25.2"/>
    <n v="33.616340979527777"/>
    <m/>
    <n v="45.481080371633333"/>
    <n v="38"/>
  </r>
  <r>
    <d v="2026-06-29T12:00:00"/>
    <x v="3"/>
    <n v="12"/>
    <n v="28.670815217116669"/>
    <m/>
    <n v="29.578781096724999"/>
    <n v="26.2"/>
    <n v="33.593557375205563"/>
    <m/>
    <n v="45.330650026450002"/>
    <n v="35"/>
  </r>
  <r>
    <d v="2026-06-29T13:00:00"/>
    <x v="3"/>
    <n v="13"/>
    <n v="28.54783804617222"/>
    <m/>
    <n v="29.675931627924999"/>
    <n v="26.4"/>
    <n v="33.466399460391663"/>
    <m/>
    <n v="45.26652670843611"/>
    <n v="37"/>
  </r>
  <r>
    <d v="2026-06-29T14:00:00"/>
    <x v="3"/>
    <n v="14"/>
    <n v="28.473544881063891"/>
    <m/>
    <n v="29.684332663058331"/>
    <n v="26.6"/>
    <n v="33.099350218386107"/>
    <m/>
    <n v="45.050827780216672"/>
    <n v="38"/>
  </r>
  <r>
    <d v="2026-06-29T15:00:00"/>
    <x v="3"/>
    <n v="15"/>
    <n v="28.364863318855559"/>
    <m/>
    <n v="29.638666170730559"/>
    <n v="27"/>
    <n v="33.306355576613889"/>
    <m/>
    <n v="44.910719314808333"/>
    <n v="38"/>
  </r>
  <r>
    <d v="2026-06-29T16:00:00"/>
    <x v="3"/>
    <n v="16"/>
    <n v="28.37660978435278"/>
    <m/>
    <n v="29.456323804694449"/>
    <n v="27.2"/>
    <n v="36.018103443727767"/>
    <m/>
    <n v="45.775571440625008"/>
    <n v="39"/>
  </r>
  <r>
    <d v="2026-06-29T17:00:00"/>
    <x v="3"/>
    <n v="17"/>
    <n v="28.37842636395834"/>
    <m/>
    <n v="29.259516789033331"/>
    <n v="27.1"/>
    <n v="34.867233068519447"/>
    <m/>
    <n v="45.992356295188891"/>
    <n v="40"/>
  </r>
  <r>
    <d v="2026-06-29T18:00:00"/>
    <x v="3"/>
    <n v="18"/>
    <n v="28.22335995815833"/>
    <m/>
    <n v="29.447823009166669"/>
    <n v="26.7"/>
    <n v="35.995164231286111"/>
    <m/>
    <n v="45.460300571283327"/>
    <n v="41"/>
  </r>
  <r>
    <d v="2026-06-29T19:00:00"/>
    <x v="3"/>
    <n v="19"/>
    <n v="28.105026798730549"/>
    <m/>
    <n v="29.513527995202779"/>
    <n v="26.1"/>
    <n v="36.631717636047227"/>
    <m/>
    <n v="45.34241525125833"/>
    <n v="42"/>
  </r>
  <r>
    <d v="2026-06-29T20:00:00"/>
    <x v="3"/>
    <n v="20"/>
    <n v="27.778294611172221"/>
    <m/>
    <n v="29.37402143483056"/>
    <n v="25.4"/>
    <n v="38.716273595499999"/>
    <m/>
    <n v="46.121600281238891"/>
    <n v="45"/>
  </r>
  <r>
    <d v="2026-06-29T21:00:00"/>
    <x v="3"/>
    <n v="21"/>
    <n v="27.556306537163891"/>
    <m/>
    <n v="29.280659178480558"/>
    <n v="24.9"/>
    <n v="39.207738740213891"/>
    <m/>
    <n v="47.032231170766657"/>
    <n v="48"/>
  </r>
  <r>
    <d v="2026-06-29T22:00:00"/>
    <x v="3"/>
    <n v="22"/>
    <n v="26.362941791030561"/>
    <m/>
    <n v="29.486405327511111"/>
    <n v="24"/>
    <n v="42.206328194677774"/>
    <m/>
    <n v="46.304306811224997"/>
    <n v="53"/>
  </r>
  <r>
    <d v="2026-06-29T23:00:00"/>
    <x v="3"/>
    <n v="23"/>
    <n v="25.455062408780549"/>
    <m/>
    <n v="29.011226766425001"/>
    <n v="23.2"/>
    <n v="46.911818233936117"/>
    <m/>
    <n v="48.631342556108343"/>
    <n v="56"/>
  </r>
  <r>
    <d v="2026-06-30T00:00:00"/>
    <x v="3"/>
    <n v="0"/>
    <n v="26.349297761677771"/>
    <m/>
    <n v="28.698050866500001"/>
    <n v="22.1"/>
    <n v="46.197649447252793"/>
    <m/>
    <n v="50.054346243969441"/>
    <n v="61"/>
  </r>
  <r>
    <d v="2026-06-30T01:00:00"/>
    <x v="3"/>
    <n v="1"/>
    <n v="26.458973894413891"/>
    <m/>
    <n v="29.200119198916671"/>
    <n v="21.2"/>
    <n v="45.636981088236112"/>
    <m/>
    <n v="48.336505891583329"/>
    <n v="65"/>
  </r>
  <r>
    <d v="2026-06-30T02:00:00"/>
    <x v="3"/>
    <n v="2"/>
    <n v="26.230671660488891"/>
    <m/>
    <n v="29.396046467744441"/>
    <n v="20.399999999999999"/>
    <n v="44.888733966188887"/>
    <m/>
    <n v="47.715514878261111"/>
    <n v="69"/>
  </r>
  <r>
    <d v="2026-06-30T03:00:00"/>
    <x v="3"/>
    <n v="3"/>
    <n v="24.149547685400002"/>
    <m/>
    <n v="29.513085041286111"/>
    <n v="19.7"/>
    <n v="52.745492054736111"/>
    <m/>
    <n v="47.482920787822223"/>
    <n v="73"/>
  </r>
  <r>
    <d v="2026-06-30T04:00:00"/>
    <x v="3"/>
    <n v="4"/>
    <n v="22.816949342625001"/>
    <m/>
    <n v="29.49287215973056"/>
    <n v="19.3"/>
    <n v="55.093386339275007"/>
    <m/>
    <n v="47.57787971756111"/>
    <n v="77"/>
  </r>
  <r>
    <d v="2026-06-30T05:00:00"/>
    <x v="3"/>
    <n v="5"/>
    <n v="23.341722778163891"/>
    <m/>
    <n v="29.407137071902781"/>
    <n v="19"/>
    <n v="52.737017207113887"/>
    <m/>
    <n v="47.272923483033331"/>
    <n v="80"/>
  </r>
  <r>
    <d v="2026-06-30T06:00:00"/>
    <x v="3"/>
    <n v="6"/>
    <n v="24.496389388391659"/>
    <m/>
    <n v="29.368039248497219"/>
    <n v="19"/>
    <n v="49.83882325973056"/>
    <m/>
    <n v="47.107237851063893"/>
    <n v="77"/>
  </r>
  <r>
    <d v="2026-06-30T07:00:00"/>
    <x v="3"/>
    <n v="7"/>
    <n v="25.830531976344449"/>
    <m/>
    <n v="29.343513587058339"/>
    <n v="19.8"/>
    <n v="47.040502253444437"/>
    <m/>
    <n v="47.11955634117222"/>
    <n v="72"/>
  </r>
  <r>
    <d v="2026-06-30T08:00:00"/>
    <x v="3"/>
    <n v="8"/>
    <n v="26.815371584552778"/>
    <m/>
    <n v="29.348111822869441"/>
    <n v="21.4"/>
    <n v="45.86432345785834"/>
    <m/>
    <n v="47.244004612744448"/>
    <n v="65"/>
  </r>
  <r>
    <d v="2026-06-30T09:00:00"/>
    <x v="3"/>
    <n v="9"/>
    <n v="27.297663368272222"/>
    <m/>
    <n v="29.339180258380551"/>
    <n v="23.2"/>
    <n v="44.034065256158343"/>
    <m/>
    <n v="47.87965909922778"/>
    <n v="59"/>
  </r>
  <r>
    <d v="2026-06-30T10:00:00"/>
    <x v="3"/>
    <n v="10"/>
    <n v="27.761744059861108"/>
    <m/>
    <n v="29.364473230000002"/>
    <n v="24.9"/>
    <n v="42.486885941944443"/>
    <m/>
    <n v="47.869533294450001"/>
    <n v="54"/>
  </r>
  <r>
    <d v="2026-06-30T11:00:00"/>
    <x v="3"/>
    <n v="11"/>
    <n v="27.974810462105559"/>
    <m/>
    <n v="29.404903494713889"/>
    <n v="26.6"/>
    <n v="42.751857329630553"/>
    <m/>
    <n v="47.784795286052777"/>
    <n v="49"/>
  </r>
  <r>
    <d v="2026-06-30T12:00:00"/>
    <x v="3"/>
    <n v="12"/>
    <n v="27.99635954875"/>
    <m/>
    <n v="29.427667349733341"/>
    <n v="28.1"/>
    <n v="42.413358479925002"/>
    <m/>
    <n v="47.930902263913893"/>
    <n v="45"/>
  </r>
  <r>
    <d v="2026-06-30T13:00:00"/>
    <x v="3"/>
    <n v="13"/>
    <n v="28.075522751291668"/>
    <m/>
    <n v="29.44344268115"/>
    <n v="27.1"/>
    <n v="43.799970183647218"/>
    <m/>
    <n v="47.946928754408333"/>
    <n v="48"/>
  </r>
  <r>
    <d v="2026-06-30T14:00:00"/>
    <x v="3"/>
    <n v="14"/>
    <n v="28.08560744649445"/>
    <m/>
    <n v="29.449541782902781"/>
    <n v="27.4"/>
    <n v="43.536866460874997"/>
    <m/>
    <n v="47.847496109280549"/>
    <n v="47"/>
  </r>
  <r>
    <d v="2026-06-30T15:00:00"/>
    <x v="3"/>
    <n v="15"/>
    <n v="28.239801103211111"/>
    <m/>
    <n v="29.450888576258329"/>
    <n v="28.4"/>
    <n v="43.069289110897223"/>
    <m/>
    <n v="47.598906165966667"/>
    <n v="44"/>
  </r>
  <r>
    <d v="2026-06-30T16:00:00"/>
    <x v="3"/>
    <n v="16"/>
    <n v="27.718447952725001"/>
    <m/>
    <n v="29.46041612319722"/>
    <n v="28.2"/>
    <n v="41.073639240616657"/>
    <m/>
    <n v="47.314946876527777"/>
    <n v="45"/>
  </r>
  <r>
    <d v="2026-06-30T17:00:00"/>
    <x v="3"/>
    <n v="17"/>
    <n v="27.702289963158339"/>
    <m/>
    <n v="29.444763572808341"/>
    <n v="27.6"/>
    <n v="40.520074879277779"/>
    <m/>
    <n v="46.957337634741663"/>
    <n v="46"/>
  </r>
  <r>
    <d v="2026-06-30T18:00:00"/>
    <x v="3"/>
    <n v="18"/>
    <n v="28.385134101644439"/>
    <m/>
    <n v="29.455445606538891"/>
    <n v="27.3"/>
    <n v="42.410138375191671"/>
    <m/>
    <n v="46.838329826727779"/>
    <n v="46"/>
  </r>
  <r>
    <d v="2026-06-30T19:00:00"/>
    <x v="3"/>
    <n v="19"/>
    <n v="28.640332504524999"/>
    <m/>
    <n v="29.473305992722221"/>
    <n v="26.7"/>
    <n v="44.227557268644439"/>
    <m/>
    <n v="46.744082230005553"/>
    <n v="47"/>
  </r>
  <r>
    <d v="2026-06-30T20:00:00"/>
    <x v="3"/>
    <n v="20"/>
    <n v="28.489442838888891"/>
    <m/>
    <n v="29.480611026613889"/>
    <n v="26"/>
    <n v="43.631198378374997"/>
    <m/>
    <n v="46.730194521138877"/>
    <n v="49"/>
  </r>
  <r>
    <d v="2026-06-30T21:00:00"/>
    <x v="3"/>
    <n v="21"/>
    <n v="26.783553444116659"/>
    <m/>
    <n v="29.443286564922222"/>
    <n v="25.1"/>
    <n v="40.099714138858339"/>
    <m/>
    <n v="46.462034039994442"/>
    <n v="52"/>
  </r>
  <r>
    <d v="2026-06-30T22:00:00"/>
    <x v="3"/>
    <n v="22"/>
    <n v="24.868927852083331"/>
    <m/>
    <n v="29.051909632061111"/>
    <n v="23.8"/>
    <n v="36.648813697308327"/>
    <m/>
    <n v="44.068651570286107"/>
    <n v="58"/>
  </r>
  <r>
    <d v="2026-06-30T23:00:00"/>
    <x v="3"/>
    <n v="23"/>
    <n v="24.383488098972219"/>
    <m/>
    <n v="28.979735381175001"/>
    <n v="22.7"/>
    <n v="38.025542543227779"/>
    <m/>
    <n v="43.614391107811123"/>
    <n v="63"/>
  </r>
  <r>
    <d v="2026-07-01T00:00:00"/>
    <x v="4"/>
    <n v="0"/>
    <n v="23.971434424861108"/>
    <m/>
    <n v="29.097774766061111"/>
    <n v="21.9"/>
    <n v="38.665764572063893"/>
    <m/>
    <n v="43.795099431461118"/>
    <n v="64"/>
  </r>
  <r>
    <d v="2026-07-01T01:00:00"/>
    <x v="4"/>
    <n v="1"/>
    <n v="25.70864861196111"/>
    <m/>
    <n v="29.163743638322231"/>
    <n v="21.2"/>
    <n v="43.978677773547219"/>
    <m/>
    <n v="44.086460504380561"/>
    <n v="64"/>
  </r>
  <r>
    <d v="2026-07-01T02:00:00"/>
    <x v="4"/>
    <n v="2"/>
    <n v="26.522854820025"/>
    <m/>
    <n v="29.329753596105551"/>
    <n v="20.6"/>
    <n v="46.737149124005562"/>
    <m/>
    <n v="45.301359101677782"/>
    <n v="64"/>
  </r>
  <r>
    <d v="2026-07-01T03:00:00"/>
    <x v="4"/>
    <n v="3"/>
    <n v="26.65263786201945"/>
    <m/>
    <n v="29.445530676833329"/>
    <n v="19.3"/>
    <n v="46.63169903410833"/>
    <m/>
    <n v="45.91673707848333"/>
    <n v="72"/>
  </r>
  <r>
    <d v="2026-07-01T04:00:00"/>
    <x v="4"/>
    <n v="4"/>
    <n v="26.657086687986109"/>
    <m/>
    <n v="29.472861439925001"/>
    <n v="18.600000000000001"/>
    <n v="46.269748395458329"/>
    <m/>
    <n v="46.100352447458327"/>
    <n v="76"/>
  </r>
  <r>
    <d v="2026-07-01T05:00:00"/>
    <x v="4"/>
    <n v="5"/>
    <n v="26.83097411013334"/>
    <m/>
    <n v="29.460249135908331"/>
    <n v="18.2"/>
    <n v="45.993689651574996"/>
    <m/>
    <n v="46.165083449874999"/>
    <n v="77"/>
  </r>
  <r>
    <d v="2026-07-01T06:00:00"/>
    <x v="4"/>
    <n v="6"/>
    <n v="27.379505044536121"/>
    <m/>
    <n v="29.445346770172229"/>
    <n v="18.899999999999999"/>
    <n v="45.503534110494449"/>
    <m/>
    <n v="46.153748357730557"/>
    <n v="75"/>
  </r>
  <r>
    <d v="2026-07-01T07:00:00"/>
    <x v="4"/>
    <n v="7"/>
    <n v="28.015401396102771"/>
    <m/>
    <n v="29.442138643022229"/>
    <n v="20.399999999999999"/>
    <n v="45.078646688958337"/>
    <m/>
    <n v="46.117290155241669"/>
    <n v="70"/>
  </r>
  <r>
    <d v="2026-07-01T08:00:00"/>
    <x v="4"/>
    <n v="8"/>
    <n v="28.683125553802778"/>
    <m/>
    <n v="29.455876725233331"/>
    <n v="22.5"/>
    <n v="44.453006456261122"/>
    <m/>
    <n v="46.124532349755562"/>
    <n v="62"/>
  </r>
  <r>
    <d v="2026-07-01T09:00:00"/>
    <x v="4"/>
    <n v="9"/>
    <n v="29.182781926680558"/>
    <m/>
    <n v="29.496974061366672"/>
    <n v="25.1"/>
    <n v="43.901817629999996"/>
    <m/>
    <n v="46.211415979200012"/>
    <n v="53"/>
  </r>
  <r>
    <d v="2026-07-01T10:00:00"/>
    <x v="4"/>
    <n v="10"/>
    <n v="28.315884656474999"/>
    <m/>
    <n v="29.62710285627222"/>
    <n v="26.4"/>
    <n v="38.313823478136122"/>
    <m/>
    <n v="48.010237389813881"/>
    <n v="47"/>
  </r>
  <r>
    <d v="2026-07-01T11:00:00"/>
    <x v="4"/>
    <n v="11"/>
    <n v="26.529599671380559"/>
    <m/>
    <n v="29.626475377422221"/>
    <n v="27.5"/>
    <n v="34.570948414802778"/>
    <m/>
    <n v="45.899129608244444"/>
    <n v="42"/>
  </r>
  <r>
    <d v="2026-07-01T12:00:00"/>
    <x v="4"/>
    <n v="12"/>
    <n v="25.891145834813891"/>
    <m/>
    <n v="29.662042215216669"/>
    <n v="28.4"/>
    <n v="34.937425470347222"/>
    <m/>
    <n v="45.129684672052782"/>
    <n v="39"/>
  </r>
  <r>
    <d v="2026-07-01T13:00:00"/>
    <x v="4"/>
    <n v="13"/>
    <n v="25.95214725489722"/>
    <m/>
    <n v="29.559077288988892"/>
    <n v="29.2"/>
    <n v="37.178810527316656"/>
    <m/>
    <n v="44.453361886672219"/>
    <n v="36"/>
  </r>
  <r>
    <d v="2026-07-01T14:00:00"/>
    <x v="4"/>
    <n v="14"/>
    <n v="26.144689729241659"/>
    <m/>
    <n v="28.99450765541944"/>
    <n v="29.8"/>
    <n v="40.672380262941672"/>
    <m/>
    <n v="45.802808387669437"/>
    <n v="34"/>
  </r>
  <r>
    <d v="2026-07-01T15:00:00"/>
    <x v="4"/>
    <n v="15"/>
    <n v="26.08164819851666"/>
    <m/>
    <n v="28.30166236011112"/>
    <n v="30.5"/>
    <n v="39.146686533230557"/>
    <m/>
    <n v="45.919672897213893"/>
    <n v="33"/>
  </r>
  <r>
    <d v="2026-07-01T16:00:00"/>
    <x v="4"/>
    <n v="16"/>
    <n v="25.991279373002779"/>
    <m/>
    <n v="28.176416706808329"/>
    <n v="30.5"/>
    <n v="41.407172276352767"/>
    <m/>
    <n v="48.048702238594451"/>
    <n v="32"/>
  </r>
  <r>
    <d v="2026-07-01T17:00:00"/>
    <x v="4"/>
    <n v="17"/>
    <n v="26.042794913674999"/>
    <m/>
    <n v="28.03567530731112"/>
    <n v="30.2"/>
    <n v="41.82638671358611"/>
    <m/>
    <n v="48.897429098213898"/>
    <n v="34"/>
  </r>
  <r>
    <d v="2026-07-01T18:00:00"/>
    <x v="4"/>
    <n v="18"/>
    <n v="25.877927611772229"/>
    <m/>
    <n v="28.43141533438056"/>
    <n v="29.8"/>
    <n v="41.457120763786122"/>
    <m/>
    <n v="47.447525393638891"/>
    <n v="35"/>
  </r>
  <r>
    <d v="2026-07-01T19:00:00"/>
    <x v="4"/>
    <n v="19"/>
    <n v="24.923307189402781"/>
    <m/>
    <n v="28.85967744301945"/>
    <n v="29.4"/>
    <n v="37.031498015241667"/>
    <m/>
    <n v="46.317011103500001"/>
    <n v="36"/>
  </r>
  <r>
    <d v="2026-07-01T20:00:00"/>
    <x v="4"/>
    <n v="20"/>
    <n v="25.036516417666661"/>
    <m/>
    <n v="29.012896555569441"/>
    <n v="28.7"/>
    <n v="43.953249482280548"/>
    <m/>
    <n v="46.018568082691672"/>
    <n v="38"/>
  </r>
  <r>
    <d v="2026-07-01T21:00:00"/>
    <x v="4"/>
    <n v="21"/>
    <n v="25.828761628252771"/>
    <m/>
    <n v="29.110739173158329"/>
    <n v="27.6"/>
    <n v="46.925049597388877"/>
    <m/>
    <n v="46.177727648788881"/>
    <n v="41"/>
  </r>
  <r>
    <d v="2026-07-01T22:00:00"/>
    <x v="4"/>
    <n v="22"/>
    <n v="26.791763923872221"/>
    <m/>
    <n v="29.02928538066945"/>
    <n v="26.7"/>
    <n v="46.754555221608342"/>
    <m/>
    <n v="49.744400392719449"/>
    <n v="45"/>
  </r>
  <r>
    <d v="2026-07-01T23:00:00"/>
    <x v="4"/>
    <n v="23"/>
    <n v="24.784020454327781"/>
    <m/>
    <n v="27.749992046472219"/>
    <n v="25.6"/>
    <n v="39.656937071494447"/>
    <m/>
    <n v="45.627415525797232"/>
    <n v="51"/>
  </r>
  <r>
    <d v="2026-07-02T00:00:00"/>
    <x v="4"/>
    <n v="0"/>
    <n v="24.306673524933331"/>
    <m/>
    <n v="28.28473199236112"/>
    <n v="24.1"/>
    <n v="38.256417358438888"/>
    <m/>
    <n v="45.101660622452783"/>
    <n v="60"/>
  </r>
  <r>
    <d v="2026-07-02T01:00:00"/>
    <x v="4"/>
    <n v="1"/>
    <n v="24.86322713718889"/>
    <m/>
    <n v="28.672069892802771"/>
    <n v="23.2"/>
    <n v="40.344719522652767"/>
    <m/>
    <n v="44.836975279199997"/>
    <n v="64"/>
  </r>
  <r>
    <d v="2026-07-02T02:00:00"/>
    <x v="4"/>
    <n v="2"/>
    <n v="26.36503855846945"/>
    <m/>
    <n v="28.87462204740833"/>
    <n v="22.6"/>
    <n v="46.218107121933343"/>
    <m/>
    <n v="45.529232862066657"/>
    <n v="64"/>
  </r>
  <r>
    <d v="2026-07-02T03:00:00"/>
    <x v="4"/>
    <n v="3"/>
    <n v="26.783327213688889"/>
    <m/>
    <n v="29.018699814013889"/>
    <n v="21.6"/>
    <n v="45.945349559269438"/>
    <m/>
    <n v="46.241213455936112"/>
    <n v="70"/>
  </r>
  <r>
    <d v="2026-07-02T04:00:00"/>
    <x v="4"/>
    <n v="4"/>
    <n v="26.999829348997221"/>
    <m/>
    <n v="29.098490344630559"/>
    <n v="21"/>
    <n v="45.598515223861121"/>
    <m/>
    <n v="46.604664569905559"/>
    <n v="70"/>
  </r>
  <r>
    <d v="2026-07-02T05:00:00"/>
    <x v="4"/>
    <n v="5"/>
    <n v="27.200786365308328"/>
    <m/>
    <n v="29.156975895322219"/>
    <n v="20.5"/>
    <n v="45.297969254422213"/>
    <m/>
    <n v="46.726659366597232"/>
    <n v="71"/>
  </r>
  <r>
    <d v="2026-07-02T06:00:00"/>
    <x v="4"/>
    <n v="6"/>
    <n v="27.543799051605561"/>
    <m/>
    <n v="29.21141919566389"/>
    <n v="21.2"/>
    <n v="45.794278113591673"/>
    <m/>
    <n v="46.800909324577781"/>
    <n v="69"/>
  </r>
  <r>
    <d v="2026-07-02T07:00:00"/>
    <x v="4"/>
    <n v="7"/>
    <n v="27.971380761513888"/>
    <m/>
    <n v="29.262823658516659"/>
    <n v="22.9"/>
    <n v="46.155226583588892"/>
    <m/>
    <n v="47.042924341502783"/>
    <n v="62"/>
  </r>
  <r>
    <d v="2026-07-02T08:00:00"/>
    <x v="4"/>
    <n v="8"/>
    <n v="27.593801695613891"/>
    <m/>
    <n v="29.316460553938889"/>
    <n v="25.5"/>
    <n v="42.752939525072229"/>
    <m/>
    <n v="47.259894302611109"/>
    <n v="51"/>
  </r>
  <r>
    <d v="2026-07-02T09:00:00"/>
    <x v="4"/>
    <n v="9"/>
    <n v="25.991932507305549"/>
    <m/>
    <n v="29.313831135691672"/>
    <n v="28.1"/>
    <n v="35.222490964808337"/>
    <m/>
    <n v="46.471779620594447"/>
    <n v="43"/>
  </r>
  <r>
    <d v="2026-07-02T10:00:00"/>
    <x v="4"/>
    <n v="10"/>
    <n v="25.43992211728612"/>
    <m/>
    <n v="29.279775310755561"/>
    <n v="29.5"/>
    <n v="33.819641922099997"/>
    <m/>
    <n v="45.305946309272223"/>
    <n v="37"/>
  </r>
  <r>
    <d v="2026-07-02T11:00:00"/>
    <x v="4"/>
    <n v="11"/>
    <n v="25.133740594861109"/>
    <m/>
    <n v="29.239762830775"/>
    <n v="30.4"/>
    <n v="33.578200333375001"/>
    <m/>
    <n v="44.415489716736111"/>
    <n v="34"/>
  </r>
  <r>
    <d v="2026-07-02T12:00:00"/>
    <x v="4"/>
    <n v="12"/>
    <n v="25.07133345902222"/>
    <m/>
    <n v="29.21919467888333"/>
    <n v="31.1"/>
    <n v="34.071123797211108"/>
    <m/>
    <n v="43.844274911902779"/>
    <n v="33"/>
  </r>
  <r>
    <d v="2026-07-02T13:00:00"/>
    <x v="4"/>
    <n v="13"/>
    <n v="25.160241842416671"/>
    <m/>
    <n v="28.43048685620278"/>
    <n v="32.1"/>
    <n v="35.690947248269453"/>
    <m/>
    <n v="42.035519338847223"/>
    <n v="30"/>
  </r>
  <r>
    <d v="2026-07-02T14:00:00"/>
    <x v="4"/>
    <n v="14"/>
    <n v="25.645189739805559"/>
    <m/>
    <n v="27.948681808044441"/>
    <n v="32.6"/>
    <n v="39.540695096269452"/>
    <m/>
    <n v="44.841566437213892"/>
    <n v="28"/>
  </r>
  <r>
    <d v="2026-07-02T15:00:00"/>
    <x v="4"/>
    <n v="15"/>
    <n v="25.796233256897221"/>
    <m/>
    <n v="27.876416136177781"/>
    <n v="33.5"/>
    <n v="38.813951105797223"/>
    <m/>
    <n v="45.573906552472224"/>
    <n v="27"/>
  </r>
  <r>
    <d v="2026-07-02T16:00:00"/>
    <x v="4"/>
    <n v="16"/>
    <n v="25.89539821767778"/>
    <m/>
    <n v="27.834687828366668"/>
    <n v="33.5"/>
    <n v="40.120040395575003"/>
    <m/>
    <n v="46.113398247786108"/>
    <n v="27"/>
  </r>
  <r>
    <d v="2026-07-02T17:00:00"/>
    <x v="4"/>
    <n v="17"/>
    <n v="25.82774205991667"/>
    <m/>
    <n v="27.821921675791671"/>
    <n v="32.799999999999997"/>
    <n v="38.932710283613893"/>
    <m/>
    <n v="45.852718579230562"/>
    <n v="30"/>
  </r>
  <r>
    <d v="2026-07-02T18:00:00"/>
    <x v="4"/>
    <n v="18"/>
    <n v="25.922934304325"/>
    <m/>
    <n v="27.84193886035834"/>
    <n v="31.8"/>
    <n v="40.875098391622217"/>
    <m/>
    <n v="46.611889653349998"/>
    <n v="32"/>
  </r>
  <r>
    <d v="2026-07-02T19:00:00"/>
    <x v="4"/>
    <n v="19"/>
    <n v="25.62196868059722"/>
    <m/>
    <n v="28.250417199502781"/>
    <n v="31.5"/>
    <n v="39.042865165358329"/>
    <m/>
    <n v="46.491578432802783"/>
    <n v="31"/>
  </r>
  <r>
    <d v="2026-07-02T20:00:00"/>
    <x v="4"/>
    <n v="20"/>
    <n v="26.14542029771944"/>
    <m/>
    <n v="28.589252780108328"/>
    <n v="31"/>
    <n v="42.482174801933333"/>
    <m/>
    <n v="45.576141036886114"/>
    <n v="30"/>
  </r>
  <r>
    <d v="2026-07-02T21:00:00"/>
    <x v="4"/>
    <n v="21"/>
    <n v="27.221835935380561"/>
    <m/>
    <n v="28.793249639483331"/>
    <n v="30"/>
    <n v="43.665478591533343"/>
    <m/>
    <n v="45.706121321563892"/>
    <n v="33"/>
  </r>
  <r>
    <d v="2026-07-02T22:00:00"/>
    <x v="4"/>
    <n v="22"/>
    <n v="25.882220679591668"/>
    <m/>
    <n v="28.928687560875002"/>
    <n v="29"/>
    <n v="40.833614865611111"/>
    <m/>
    <n v="45.762039558219442"/>
    <n v="37"/>
  </r>
  <r>
    <d v="2026-07-02T23:00:00"/>
    <x v="4"/>
    <n v="23"/>
    <n v="25.995601186927772"/>
    <m/>
    <n v="28.94087801792778"/>
    <n v="28"/>
    <n v="42.211157849244451"/>
    <m/>
    <n v="45.287273660380563"/>
    <n v="41"/>
  </r>
  <r>
    <d v="2026-07-03T00:00:00"/>
    <x v="4"/>
    <n v="0"/>
    <n v="25.718359361769441"/>
    <m/>
    <n v="29.02451782927778"/>
    <n v="27.1"/>
    <n v="36.291529224619453"/>
    <m/>
    <n v="45.198251934663887"/>
    <n v="43"/>
  </r>
  <r>
    <d v="2026-07-03T01:00:00"/>
    <x v="4"/>
    <n v="1"/>
    <n v="25.239078236927771"/>
    <m/>
    <n v="29.04834803680556"/>
    <n v="26.3"/>
    <n v="36.520449673283331"/>
    <m/>
    <n v="44.561204537019442"/>
    <n v="47"/>
  </r>
  <r>
    <d v="2026-07-03T02:00:00"/>
    <x v="4"/>
    <n v="2"/>
    <n v="25.277086278525001"/>
    <m/>
    <n v="29.057903843661109"/>
    <n v="25.4"/>
    <n v="37.483878876905557"/>
    <m/>
    <n v="44.288120856288892"/>
    <n v="51"/>
  </r>
  <r>
    <d v="2026-07-03T03:00:00"/>
    <x v="4"/>
    <n v="3"/>
    <n v="26.709043412716671"/>
    <m/>
    <n v="29.091836246441659"/>
    <n v="23.9"/>
    <n v="40.782332383252772"/>
    <m/>
    <n v="44.352812564802782"/>
    <n v="57"/>
  </r>
  <r>
    <d v="2026-07-03T04:00:00"/>
    <x v="4"/>
    <n v="4"/>
    <n v="27.318764180858331"/>
    <m/>
    <n v="29.151227384102778"/>
    <n v="23.2"/>
    <n v="43.890965422658333"/>
    <m/>
    <n v="44.991515606016669"/>
    <n v="62"/>
  </r>
  <r>
    <d v="2026-07-03T05:00:00"/>
    <x v="4"/>
    <n v="5"/>
    <n v="27.721721977005561"/>
    <m/>
    <n v="29.198988792255552"/>
    <n v="22.5"/>
    <n v="44.92158481490555"/>
    <m/>
    <n v="45.547123637280563"/>
    <n v="66"/>
  </r>
  <r>
    <d v="2026-07-03T06:00:00"/>
    <x v="4"/>
    <n v="6"/>
    <n v="27.976286426486109"/>
    <m/>
    <n v="29.246558659613889"/>
    <n v="23"/>
    <n v="44.666564300224998"/>
    <m/>
    <n v="45.879932564786117"/>
    <n v="65"/>
  </r>
  <r>
    <d v="2026-07-03T07:00:00"/>
    <x v="4"/>
    <n v="7"/>
    <n v="28.482068962833331"/>
    <m/>
    <n v="29.287253463030559"/>
    <n v="24.6"/>
    <n v="44.631136268519441"/>
    <m/>
    <n v="46.222474691397217"/>
    <n v="59"/>
  </r>
  <r>
    <d v="2026-07-03T08:00:00"/>
    <x v="4"/>
    <n v="8"/>
    <n v="28.82969571996389"/>
    <m/>
    <n v="29.34247722833333"/>
    <n v="26.8"/>
    <n v="42.740847676566673"/>
    <m/>
    <n v="46.540722763122233"/>
    <n v="51"/>
  </r>
  <r>
    <d v="2026-07-03T09:00:00"/>
    <x v="4"/>
    <n v="9"/>
    <n v="27.297190701083331"/>
    <m/>
    <n v="29.361122559908331"/>
    <n v="29.1"/>
    <n v="33.423945007599997"/>
    <m/>
    <n v="46.009485588463889"/>
    <n v="43"/>
  </r>
  <r>
    <d v="2026-07-03T10:00:00"/>
    <x v="4"/>
    <n v="10"/>
    <n v="26.749549458216659"/>
    <m/>
    <n v="29.333497069383331"/>
    <n v="31.2"/>
    <n v="33.547415405022228"/>
    <m/>
    <n v="45.046881498802783"/>
    <n v="34"/>
  </r>
  <r>
    <d v="2026-07-03T11:00:00"/>
    <x v="4"/>
    <n v="11"/>
    <n v="28.315570651561121"/>
    <m/>
    <n v="29.35064367247778"/>
    <n v="32.1"/>
    <n v="37.948592630477783"/>
    <m/>
    <n v="45.002439473227781"/>
    <n v="28"/>
  </r>
  <r>
    <d v="2026-07-03T12:00:00"/>
    <x v="4"/>
    <n v="12"/>
    <n v="28.85636952979166"/>
    <m/>
    <n v="29.41672688816389"/>
    <n v="32.4"/>
    <n v="38.047358160958332"/>
    <m/>
    <n v="45.593848071069438"/>
    <n v="28"/>
  </r>
  <r>
    <d v="2026-07-03T13:00:00"/>
    <x v="4"/>
    <n v="13"/>
    <n v="26.973498758097222"/>
    <m/>
    <n v="29.439901954166672"/>
    <n v="33.1"/>
    <n v="32.95252332839722"/>
    <m/>
    <n v="45.302132549180563"/>
    <n v="26"/>
  </r>
  <r>
    <d v="2026-07-03T14:00:00"/>
    <x v="4"/>
    <n v="14"/>
    <n v="26.168237144241669"/>
    <m/>
    <n v="29.41415041504445"/>
    <n v="33.799999999999997"/>
    <n v="32.704350856147222"/>
    <m/>
    <n v="44.564386082086124"/>
    <n v="25"/>
  </r>
  <r>
    <d v="2026-07-03T15:00:00"/>
    <x v="4"/>
    <n v="15"/>
    <n v="26.349838596841671"/>
    <m/>
    <n v="29.401444513177779"/>
    <n v="33.700000000000003"/>
    <n v="34.686318467077783"/>
    <m/>
    <n v="44.259649949372232"/>
    <n v="25"/>
  </r>
  <r>
    <d v="2026-07-03T16:00:00"/>
    <x v="4"/>
    <n v="16"/>
    <n v="26.347107756313889"/>
    <m/>
    <n v="29.397624292838891"/>
    <n v="33.299999999999997"/>
    <n v="34.898542341877778"/>
    <m/>
    <n v="44.051636206116683"/>
    <n v="26"/>
  </r>
  <r>
    <d v="2026-07-03T17:00:00"/>
    <x v="4"/>
    <n v="17"/>
    <n v="26.206551054727779"/>
    <m/>
    <n v="29.389944462955551"/>
    <n v="33"/>
    <n v="35.741877524516667"/>
    <m/>
    <n v="43.766025327469443"/>
    <n v="26"/>
  </r>
  <r>
    <d v="2026-07-03T18:00:00"/>
    <x v="4"/>
    <n v="18"/>
    <n v="26.095456318891671"/>
    <m/>
    <n v="29.394279623374999"/>
    <n v="32.299999999999997"/>
    <n v="35.629742636961112"/>
    <m/>
    <n v="43.74690747703611"/>
    <n v="27"/>
  </r>
  <r>
    <d v="2026-07-03T19:00:00"/>
    <x v="4"/>
    <n v="19"/>
    <n v="25.777692623775"/>
    <m/>
    <n v="29.40538958171944"/>
    <n v="31.9"/>
    <n v="35.721030716430548"/>
    <m/>
    <n v="43.57488720561944"/>
    <n v="27"/>
  </r>
  <r>
    <d v="2026-07-03T20:00:00"/>
    <x v="4"/>
    <n v="20"/>
    <n v="26.105247005508328"/>
    <m/>
    <n v="29.420478784577771"/>
    <n v="31.3"/>
    <n v="39.030505214711113"/>
    <m/>
    <n v="43.614411896466663"/>
    <n v="28"/>
  </r>
  <r>
    <d v="2026-07-03T21:00:00"/>
    <x v="4"/>
    <n v="21"/>
    <n v="25.834422878777779"/>
    <m/>
    <n v="29.42188873432778"/>
    <n v="30.8"/>
    <n v="33.877861220280558"/>
    <m/>
    <n v="43.458869361430551"/>
    <n v="30"/>
  </r>
  <r>
    <d v="2026-07-03T22:00:00"/>
    <x v="4"/>
    <n v="22"/>
    <n v="25.745790795722218"/>
    <m/>
    <n v="29.41639258453889"/>
    <n v="30.2"/>
    <n v="34.185545192827782"/>
    <m/>
    <n v="43.109694823700003"/>
    <n v="29"/>
  </r>
  <r>
    <d v="2026-07-03T23:00:00"/>
    <x v="4"/>
    <n v="23"/>
    <n v="26.80864526985"/>
    <m/>
    <n v="29.425711886738888"/>
    <n v="28.9"/>
    <n v="38.120604011277777"/>
    <m/>
    <n v="43.089914127727781"/>
    <n v="32"/>
  </r>
  <r>
    <d v="2026-07-04T00:00:00"/>
    <x v="4"/>
    <n v="0"/>
    <n v="27.288696513605551"/>
    <m/>
    <n v="29.470066304774999"/>
    <n v="27.6"/>
    <n v="39.728925065947223"/>
    <m/>
    <n v="43.692118851280561"/>
    <n v="36"/>
  </r>
  <r>
    <d v="2026-07-04T01:00:00"/>
    <x v="4"/>
    <n v="1"/>
    <n v="27.161346314319449"/>
    <m/>
    <n v="29.52595907670278"/>
    <n v="26.2"/>
    <n v="40.080487864202787"/>
    <m/>
    <n v="44.543832495272227"/>
    <n v="41"/>
  </r>
  <r>
    <d v="2026-07-04T02:00:00"/>
    <x v="4"/>
    <n v="2"/>
    <n v="27.147608182866669"/>
    <m/>
    <n v="29.537215753188889"/>
    <n v="25.4"/>
    <n v="40.918541788522219"/>
    <m/>
    <n v="44.951701373308332"/>
    <n v="45"/>
  </r>
  <r>
    <d v="2026-07-04T03:00:00"/>
    <x v="4"/>
    <n v="3"/>
    <n v="27.015009440111111"/>
    <m/>
    <n v="29.546135555936111"/>
    <n v="24"/>
    <n v="40.776970263700001"/>
    <m/>
    <n v="45.04322971901945"/>
    <n v="52"/>
  </r>
  <r>
    <d v="2026-07-04T04:00:00"/>
    <x v="4"/>
    <n v="4"/>
    <n v="26.680791638961111"/>
    <m/>
    <n v="29.547913363088881"/>
    <n v="23.1"/>
    <n v="43.253629531380561"/>
    <m/>
    <n v="45.035636934280561"/>
    <n v="55"/>
  </r>
  <r>
    <d v="2026-07-04T05:00:00"/>
    <x v="4"/>
    <n v="5"/>
    <n v="25.896478328250002"/>
    <m/>
    <n v="29.56116666279722"/>
    <n v="22.8"/>
    <n v="49.534328565922223"/>
    <m/>
    <n v="45.308614174425003"/>
    <n v="58"/>
  </r>
  <r>
    <d v="2026-07-04T06:00:00"/>
    <x v="4"/>
    <n v="6"/>
    <n v="25.508213163263889"/>
    <m/>
    <n v="29.570465603897219"/>
    <n v="23.4"/>
    <n v="51.877896262552781"/>
    <m/>
    <n v="45.585470639563887"/>
    <n v="55"/>
  </r>
  <r>
    <d v="2026-07-04T07:00:00"/>
    <x v="4"/>
    <n v="7"/>
    <n v="26.306709209833329"/>
    <m/>
    <n v="29.581468576441669"/>
    <n v="24.6"/>
    <n v="50.290104672758332"/>
    <m/>
    <n v="45.694347955866668"/>
    <n v="51"/>
  </r>
  <r>
    <d v="2026-07-04T08:00:00"/>
    <x v="4"/>
    <n v="8"/>
    <n v="27.033223956763891"/>
    <m/>
    <n v="29.605708890427781"/>
    <n v="25.1"/>
    <n v="48.790408625844442"/>
    <m/>
    <n v="45.985171684830561"/>
    <n v="52"/>
  </r>
  <r>
    <d v="2026-07-04T09:00:00"/>
    <x v="4"/>
    <n v="9"/>
    <n v="27.907703930511111"/>
    <m/>
    <n v="29.622499619491659"/>
    <n v="24.3"/>
    <n v="45.86422985610556"/>
    <m/>
    <n v="46.037387407038892"/>
    <n v="60"/>
  </r>
  <r>
    <d v="2026-07-04T10:00:00"/>
    <x v="4"/>
    <n v="10"/>
    <n v="28.281009707877772"/>
    <m/>
    <n v="29.648320278244441"/>
    <n v="24.7"/>
    <n v="43.821442368116656"/>
    <m/>
    <n v="46.044144846338888"/>
    <n v="59"/>
  </r>
  <r>
    <d v="2026-07-04T11:00:00"/>
    <x v="4"/>
    <n v="11"/>
    <n v="28.544632270936109"/>
    <m/>
    <n v="29.685962365394449"/>
    <n v="26.6"/>
    <n v="43.881676407999997"/>
    <m/>
    <n v="46.285572273797221"/>
    <n v="49"/>
  </r>
  <r>
    <d v="2026-07-04T12:00:00"/>
    <x v="4"/>
    <n v="12"/>
    <n v="28.520127005063891"/>
    <m/>
    <n v="29.778529259283331"/>
    <n v="26.5"/>
    <n v="45.988827953394441"/>
    <m/>
    <n v="49.590056545297223"/>
    <n v="52"/>
  </r>
  <r>
    <d v="2026-07-04T13:00:00"/>
    <x v="4"/>
    <n v="13"/>
    <n v="28.004184646658331"/>
    <m/>
    <n v="29.768388361027771"/>
    <n v="27.4"/>
    <n v="49.327256743905558"/>
    <m/>
    <n v="52.127582574463887"/>
    <n v="50"/>
  </r>
  <r>
    <d v="2026-07-04T14:00:00"/>
    <x v="4"/>
    <n v="14"/>
    <n v="27.699305059524999"/>
    <m/>
    <n v="29.798236461569442"/>
    <n v="26.8"/>
    <n v="48.090671914066661"/>
    <m/>
    <n v="49.853680726883333"/>
    <n v="52"/>
  </r>
  <r>
    <d v="2026-07-04T15:00:00"/>
    <x v="4"/>
    <n v="15"/>
    <n v="27.46050803911389"/>
    <m/>
    <n v="29.818848448911108"/>
    <n v="24.2"/>
    <n v="50.395591644494452"/>
    <m/>
    <n v="49.930623291183338"/>
    <n v="63"/>
  </r>
  <r>
    <d v="2026-07-04T16:00:00"/>
    <x v="4"/>
    <n v="16"/>
    <n v="27.58019692571111"/>
    <m/>
    <n v="29.848034415338891"/>
    <n v="21.7"/>
    <n v="49.359812775280552"/>
    <m/>
    <n v="50.561860529480562"/>
    <n v="75"/>
  </r>
  <r>
    <d v="2026-07-04T17:00:00"/>
    <x v="4"/>
    <n v="17"/>
    <n v="27.255739651966671"/>
    <m/>
    <n v="29.83745088464444"/>
    <n v="22.1"/>
    <n v="46.051281403574997"/>
    <m/>
    <n v="49.627997855358331"/>
    <n v="71"/>
  </r>
  <r>
    <d v="2026-07-04T18:00:00"/>
    <x v="4"/>
    <n v="18"/>
    <n v="26.388826680602779"/>
    <m/>
    <n v="29.825027650441669"/>
    <n v="22"/>
    <n v="46.822779986788888"/>
    <m/>
    <n v="49.042034124311108"/>
    <n v="69"/>
  </r>
  <r>
    <d v="2026-07-04T19:00:00"/>
    <x v="4"/>
    <n v="19"/>
    <n v="25.572018686180559"/>
    <m/>
    <n v="29.810006467916661"/>
    <n v="21.5"/>
    <n v="47.763499823830557"/>
    <m/>
    <n v="48.563576429891668"/>
    <n v="67"/>
  </r>
  <r>
    <d v="2026-07-04T20:00:00"/>
    <x v="4"/>
    <n v="20"/>
    <n v="25.04246740363611"/>
    <m/>
    <n v="29.78895108323611"/>
    <n v="20.3"/>
    <n v="52.163282879152767"/>
    <m/>
    <n v="48.316465738061112"/>
    <n v="72"/>
  </r>
  <r>
    <d v="2026-07-04T21:00:00"/>
    <x v="4"/>
    <n v="21"/>
    <n v="25.921099835475001"/>
    <m/>
    <n v="29.778669747191671"/>
    <n v="19"/>
    <n v="51.481985539961109"/>
    <m/>
    <n v="48.178117120880557"/>
    <n v="82"/>
  </r>
  <r>
    <d v="2026-07-04T22:00:00"/>
    <x v="4"/>
    <n v="22"/>
    <n v="24.385864048980551"/>
    <m/>
    <n v="29.782940983608331"/>
    <n v="18.5"/>
    <n v="55.249440696430561"/>
    <m/>
    <n v="48.232817440583339"/>
    <n v="85"/>
  </r>
  <r>
    <d v="2026-07-04T23:00:00"/>
    <x v="4"/>
    <n v="23"/>
    <n v="24.233144732622229"/>
    <m/>
    <n v="29.516427701172219"/>
    <n v="18.2"/>
    <n v="55.309747688327768"/>
    <m/>
    <n v="49.571732387255558"/>
    <n v="85"/>
  </r>
  <r>
    <d v="2026-07-05T00:00:00"/>
    <x v="4"/>
    <n v="0"/>
    <n v="24.22199064308333"/>
    <m/>
    <n v="29.633286626827779"/>
    <n v="18"/>
    <n v="55.345330689394451"/>
    <m/>
    <n v="49.210010011072221"/>
    <n v="86"/>
  </r>
  <r>
    <d v="2026-07-05T01:00:00"/>
    <x v="4"/>
    <n v="1"/>
    <n v="23.919604464138889"/>
    <m/>
    <n v="29.742354737602781"/>
    <n v="17.899999999999999"/>
    <n v="55.515135744380558"/>
    <m/>
    <n v="48.616406429986107"/>
    <n v="85"/>
  </r>
  <r>
    <d v="2026-07-05T02:00:00"/>
    <x v="4"/>
    <n v="2"/>
    <n v="23.86332032023056"/>
    <m/>
    <n v="29.693849506408331"/>
    <n v="17.8"/>
    <n v="55.874131037399998"/>
    <m/>
    <n v="48.490197857441672"/>
    <n v="85"/>
  </r>
  <r>
    <d v="2026-07-05T03:00:00"/>
    <x v="4"/>
    <n v="3"/>
    <n v="24.005869112572221"/>
    <m/>
    <n v="29.684031158555559"/>
    <n v="16.899999999999999"/>
    <n v="56.605687995011117"/>
    <m/>
    <n v="48.521498920352776"/>
    <n v="89"/>
  </r>
  <r>
    <d v="2026-07-05T04:00:00"/>
    <x v="4"/>
    <n v="4"/>
    <n v="23.824711358369441"/>
    <m/>
    <n v="29.683527747811109"/>
    <n v="16.7"/>
    <n v="54.114218116833342"/>
    <m/>
    <n v="48.492950299277773"/>
    <n v="88"/>
  </r>
  <r>
    <d v="2026-07-05T05:00:00"/>
    <x v="4"/>
    <n v="5"/>
    <n v="23.184403712024999"/>
    <m/>
    <n v="29.663315222994441"/>
    <n v="16.3"/>
    <n v="51.679566370344453"/>
    <m/>
    <n v="48.159586028666673"/>
    <n v="85"/>
  </r>
  <r>
    <d v="2026-07-05T06:00:00"/>
    <x v="4"/>
    <n v="6"/>
    <n v="23.702217774455558"/>
    <m/>
    <n v="29.642672960827781"/>
    <n v="16"/>
    <n v="48.556131199616672"/>
    <m/>
    <n v="47.692662871863888"/>
    <n v="82"/>
  </r>
  <r>
    <d v="2026-07-05T07:00:00"/>
    <x v="4"/>
    <n v="7"/>
    <n v="25.756107895663892"/>
    <m/>
    <n v="29.637635489208328"/>
    <n v="16.600000000000001"/>
    <n v="42.964212399463889"/>
    <m/>
    <n v="47.400088802174999"/>
    <n v="75"/>
  </r>
  <r>
    <d v="2026-07-05T08:00:00"/>
    <x v="4"/>
    <n v="8"/>
    <n v="26.922184228733329"/>
    <m/>
    <n v="29.656243708113891"/>
    <n v="17.7"/>
    <n v="40.047402197094449"/>
    <m/>
    <n v="47.240569431133331"/>
    <n v="72"/>
  </r>
  <r>
    <d v="2026-07-05T09:00:00"/>
    <x v="4"/>
    <n v="9"/>
    <n v="28.126207996866661"/>
    <m/>
    <n v="29.68751487996667"/>
    <n v="19.3"/>
    <n v="37.58700977099722"/>
    <m/>
    <n v="47.160800266113888"/>
    <n v="65"/>
  </r>
  <r>
    <d v="2026-07-05T10:00:00"/>
    <x v="4"/>
    <n v="10"/>
    <n v="27.663753283794449"/>
    <m/>
    <n v="29.715685047175"/>
    <n v="20.100000000000001"/>
    <n v="37.417886514180559"/>
    <m/>
    <n v="47.077525399058338"/>
    <n v="59"/>
  </r>
  <r>
    <d v="2026-07-05T11:00:00"/>
    <x v="4"/>
    <n v="11"/>
    <n v="27.248951339897221"/>
    <m/>
    <n v="29.739003322702771"/>
    <n v="20.6"/>
    <n v="36.527995966091673"/>
    <m/>
    <n v="46.934426258727783"/>
    <n v="55"/>
  </r>
  <r>
    <d v="2026-07-05T12:00:00"/>
    <x v="4"/>
    <n v="12"/>
    <n v="26.962090676202781"/>
    <m/>
    <n v="29.775350579947219"/>
    <n v="21.6"/>
    <n v="35.852668767991673"/>
    <m/>
    <n v="46.610947503755561"/>
    <n v="55"/>
  </r>
  <r>
    <d v="2026-07-05T13:00:00"/>
    <x v="4"/>
    <n v="13"/>
    <n v="27.35327595862222"/>
    <m/>
    <n v="29.918976613325"/>
    <n v="18.7"/>
    <n v="35.354376917549992"/>
    <m/>
    <n v="46.477827883716657"/>
    <n v="66"/>
  </r>
  <r>
    <d v="2026-07-05T14:00:00"/>
    <x v="4"/>
    <n v="14"/>
    <n v="27.364138021994449"/>
    <m/>
    <n v="29.948564169588892"/>
    <n v="19.899999999999999"/>
    <n v="34.725808468686111"/>
    <m/>
    <n v="45.851373466075003"/>
    <n v="61"/>
  </r>
  <r>
    <d v="2026-07-05T15:00:00"/>
    <x v="4"/>
    <n v="15"/>
    <n v="26.75712005346389"/>
    <m/>
    <n v="29.969077024274998"/>
    <n v="17.899999999999999"/>
    <n v="36.932526119730561"/>
    <m/>
    <n v="45.447219108144438"/>
    <n v="77"/>
  </r>
  <r>
    <d v="2026-07-05T16:00:00"/>
    <x v="4"/>
    <n v="16"/>
    <n v="26.375862298516669"/>
    <m/>
    <n v="29.817287012074999"/>
    <n v="19.399999999999999"/>
    <n v="36.772052895175001"/>
    <m/>
    <n v="44.635782626327767"/>
    <n v="68"/>
  </r>
  <r>
    <d v="2026-07-05T17:00:00"/>
    <x v="4"/>
    <n v="17"/>
    <n v="25.38420147775"/>
    <m/>
    <n v="29.844277757758331"/>
    <n v="20.3"/>
    <n v="42.523680764083331"/>
    <m/>
    <n v="44.463037665763892"/>
    <n v="62"/>
  </r>
  <r>
    <d v="2026-07-05T18:00:00"/>
    <x v="4"/>
    <n v="18"/>
    <n v="25.447606492933328"/>
    <m/>
    <n v="29.910436548330551"/>
    <n v="19.3"/>
    <n v="42.242277116033328"/>
    <m/>
    <n v="45.102745645244447"/>
    <n v="65"/>
  </r>
  <r>
    <d v="2026-07-05T19:00:00"/>
    <x v="4"/>
    <n v="19"/>
    <n v="25.085088775780559"/>
    <m/>
    <n v="30.053156620097219"/>
    <n v="18.899999999999999"/>
    <n v="42.320694504091669"/>
    <m/>
    <n v="45.207713543875002"/>
    <n v="68"/>
  </r>
  <r>
    <d v="2026-07-05T20:00:00"/>
    <x v="4"/>
    <n v="20"/>
    <n v="24.86977421801944"/>
    <m/>
    <n v="30.11471891256112"/>
    <n v="18"/>
    <n v="43.660113389913903"/>
    <m/>
    <n v="45.084172598822221"/>
    <n v="72"/>
  </r>
  <r>
    <d v="2026-07-05T21:00:00"/>
    <x v="4"/>
    <n v="21"/>
    <n v="25.267947199316669"/>
    <m/>
    <n v="30.040133657422221"/>
    <n v="17"/>
    <n v="43.924770909661113"/>
    <m/>
    <n v="45.234498205469443"/>
    <n v="77"/>
  </r>
  <r>
    <d v="2026-07-05T22:00:00"/>
    <x v="4"/>
    <n v="22"/>
    <n v="25.133101464422221"/>
    <m/>
    <n v="30.01640149738056"/>
    <n v="16.399999999999999"/>
    <n v="44.103567852013889"/>
    <m/>
    <n v="45.302268797661107"/>
    <n v="81"/>
  </r>
  <r>
    <d v="2026-07-05T23:00:00"/>
    <x v="4"/>
    <n v="23"/>
    <n v="24.470128635550001"/>
    <m/>
    <n v="29.950518807611111"/>
    <n v="15.9"/>
    <n v="45.906316315597223"/>
    <m/>
    <n v="45.399177308116663"/>
    <n v="83"/>
  </r>
  <r>
    <d v="2026-07-06T00:00:00"/>
    <x v="4"/>
    <n v="0"/>
    <n v="23.276206274500002"/>
    <m/>
    <n v="29.920857955702768"/>
    <n v="15.4"/>
    <n v="48.616653290730547"/>
    <m/>
    <n v="45.700824778983332"/>
    <n v="87"/>
  </r>
  <r>
    <d v="2026-07-06T01:00:00"/>
    <x v="4"/>
    <n v="1"/>
    <n v="22.588648767686109"/>
    <m/>
    <n v="29.92665456416389"/>
    <n v="15.1"/>
    <n v="49.497896391324993"/>
    <m/>
    <n v="45.424912208811122"/>
    <n v="88"/>
  </r>
  <r>
    <d v="2026-07-06T02:00:00"/>
    <x v="4"/>
    <n v="2"/>
    <n v="21.723418628180561"/>
    <m/>
    <n v="29.881206977249999"/>
    <n v="14.7"/>
    <n v="50.938680299497229"/>
    <m/>
    <n v="45.205705084208333"/>
    <n v="89"/>
  </r>
  <r>
    <d v="2026-07-06T03:00:00"/>
    <x v="4"/>
    <n v="3"/>
    <n v="21.350466327625"/>
    <m/>
    <n v="29.831265867186119"/>
    <n v="13.8"/>
    <n v="50.870525750702782"/>
    <m/>
    <n v="44.995418746447221"/>
    <n v="90"/>
  </r>
  <r>
    <d v="2026-07-06T04:00:00"/>
    <x v="4"/>
    <n v="4"/>
    <n v="21.26755098258889"/>
    <m/>
    <n v="29.77802177660833"/>
    <n v="13.5"/>
    <n v="50.505762379836113"/>
    <m/>
    <n v="44.778778363008342"/>
    <n v="90"/>
  </r>
  <r>
    <d v="2026-07-06T05:00:00"/>
    <x v="4"/>
    <n v="5"/>
    <n v="22.238662485950002"/>
    <m/>
    <n v="29.72581819230556"/>
    <n v="13.3"/>
    <n v="47.35000193155556"/>
    <m/>
    <n v="44.618889429177777"/>
    <n v="89"/>
  </r>
  <r>
    <d v="2026-07-06T06:00:00"/>
    <x v="4"/>
    <n v="6"/>
    <n v="24.005565803352781"/>
    <m/>
    <n v="29.707024622166671"/>
    <n v="14.2"/>
    <n v="42.715580379547227"/>
    <m/>
    <n v="44.53406493781111"/>
    <n v="87"/>
  </r>
  <r>
    <d v="2026-07-06T07:00:00"/>
    <x v="4"/>
    <n v="7"/>
    <n v="25.609832799469441"/>
    <m/>
    <n v="29.710052484411111"/>
    <n v="15.9"/>
    <n v="40.016732362461113"/>
    <m/>
    <n v="44.571842711933343"/>
    <n v="80"/>
  </r>
  <r>
    <d v="2026-07-06T08:00:00"/>
    <x v="4"/>
    <n v="8"/>
    <n v="26.803057155727771"/>
    <m/>
    <n v="29.727965911391671"/>
    <n v="18.100000000000001"/>
    <n v="39.577595781213887"/>
    <m/>
    <n v="44.676162872594453"/>
    <n v="71"/>
  </r>
  <r>
    <d v="2026-07-06T09:00:00"/>
    <x v="4"/>
    <n v="9"/>
    <n v="27.544043857344441"/>
    <m/>
    <n v="29.75515429355"/>
    <n v="20.399999999999999"/>
    <n v="37.683824825800002"/>
    <m/>
    <n v="44.858762145455557"/>
    <n v="63"/>
  </r>
  <r>
    <d v="2026-07-06T10:00:00"/>
    <x v="4"/>
    <n v="10"/>
    <n v="27.671531812249999"/>
    <m/>
    <n v="29.792654818238891"/>
    <n v="22"/>
    <n v="34.759941395822217"/>
    <m/>
    <n v="44.976054816841668"/>
    <n v="49"/>
  </r>
  <r>
    <d v="2026-07-06T11:00:00"/>
    <x v="4"/>
    <n v="11"/>
    <n v="27.522479155483332"/>
    <m/>
    <n v="29.809169684991659"/>
    <n v="22.5"/>
    <n v="32.957929925108331"/>
    <m/>
    <n v="44.971040029811121"/>
    <n v="47"/>
  </r>
  <r>
    <d v="2026-07-06T12:00:00"/>
    <x v="4"/>
    <n v="12"/>
    <n v="27.424393410561109"/>
    <m/>
    <n v="29.808972405702772"/>
    <n v="22.8"/>
    <n v="32.830971038358342"/>
    <m/>
    <n v="44.88440748038056"/>
    <n v="48"/>
  </r>
  <r>
    <d v="2026-07-06T13:00:00"/>
    <x v="4"/>
    <n v="13"/>
    <n v="26.65678712968333"/>
    <m/>
    <n v="29.71117014363611"/>
    <n v="23.7"/>
    <n v="35.630948744005558"/>
    <m/>
    <n v="44.315829299024998"/>
    <n v="44"/>
  </r>
  <r>
    <d v="2026-07-06T14:00:00"/>
    <x v="4"/>
    <n v="14"/>
    <n v="26.528920459730561"/>
    <m/>
    <n v="29.667266377297221"/>
    <n v="19.100000000000001"/>
    <n v="38.046573189275001"/>
    <m/>
    <n v="44.784989125266662"/>
    <n v="74"/>
  </r>
  <r>
    <d v="2026-07-06T15:00:00"/>
    <x v="4"/>
    <n v="15"/>
    <n v="26.550101405825"/>
    <m/>
    <n v="29.595738010800002"/>
    <n v="21.3"/>
    <n v="37.983636451852767"/>
    <m/>
    <n v="45.927601169644447"/>
    <n v="59"/>
  </r>
  <r>
    <d v="2026-07-06T16:00:00"/>
    <x v="4"/>
    <n v="16"/>
    <n v="26.078600254977779"/>
    <m/>
    <n v="29.69295037908612"/>
    <n v="21.2"/>
    <n v="39.711500147241672"/>
    <m/>
    <n v="45.643926697536109"/>
    <n v="63"/>
  </r>
  <r>
    <d v="2026-07-06T17:00:00"/>
    <x v="4"/>
    <n v="17"/>
    <n v="25.312927653675001"/>
    <m/>
    <n v="29.295206935313889"/>
    <n v="17.600000000000001"/>
    <n v="46.114762147877776"/>
    <m/>
    <n v="47.072901111363883"/>
    <n v="79"/>
  </r>
  <r>
    <d v="2026-07-06T18:00:00"/>
    <x v="4"/>
    <n v="18"/>
    <n v="24.877123470261111"/>
    <m/>
    <n v="29.609895226550002"/>
    <n v="18.2"/>
    <n v="48.136201433722221"/>
    <m/>
    <n v="46.220187616661121"/>
    <n v="82"/>
  </r>
  <r>
    <d v="2026-07-06T19:00:00"/>
    <x v="4"/>
    <n v="19"/>
    <n v="24.695818804408329"/>
    <m/>
    <n v="29.669679088194439"/>
    <n v="19"/>
    <n v="48.918003198877777"/>
    <m/>
    <n v="46.168037192819448"/>
    <n v="77"/>
  </r>
  <r>
    <d v="2026-07-06T20:00:00"/>
    <x v="4"/>
    <n v="20"/>
    <n v="24.447618269136111"/>
    <m/>
    <n v="29.69236101813889"/>
    <n v="18.5"/>
    <n v="49.993103916727783"/>
    <m/>
    <n v="46.213568248336109"/>
    <n v="79"/>
  </r>
  <r>
    <d v="2026-07-06T21:00:00"/>
    <x v="4"/>
    <n v="21"/>
    <n v="24.16295589035278"/>
    <m/>
    <n v="29.667314857727771"/>
    <n v="17.399999999999999"/>
    <n v="51.01119642105278"/>
    <m/>
    <n v="46.492696186855561"/>
    <n v="81"/>
  </r>
  <r>
    <d v="2026-07-06T22:00:00"/>
    <x v="4"/>
    <n v="22"/>
    <n v="24.647976486891672"/>
    <m/>
    <n v="29.664413434933341"/>
    <n v="16.7"/>
    <n v="50.095521371422223"/>
    <m/>
    <n v="46.633214543036111"/>
    <n v="85"/>
  </r>
  <r>
    <d v="2026-07-06T23:00:00"/>
    <x v="4"/>
    <n v="23"/>
    <n v="24.369515511063881"/>
    <m/>
    <n v="29.662669558491672"/>
    <n v="16.100000000000001"/>
    <n v="50.294687448244453"/>
    <m/>
    <n v="46.559358382944453"/>
    <n v="86"/>
  </r>
  <r>
    <d v="2026-07-07T00:00:00"/>
    <x v="4"/>
    <n v="0"/>
    <n v="24.101467050075001"/>
    <m/>
    <n v="29.64978406701389"/>
    <n v="15.6"/>
    <n v="50.451145364794449"/>
    <m/>
    <n v="46.519909033561113"/>
    <n v="84"/>
  </r>
  <r>
    <d v="2026-07-07T01:00:00"/>
    <x v="4"/>
    <n v="1"/>
    <n v="23.241578237827781"/>
    <m/>
    <n v="29.634009091974999"/>
    <n v="15"/>
    <n v="50.433436733766683"/>
    <m/>
    <n v="46.401582384308327"/>
    <n v="83"/>
  </r>
  <r>
    <d v="2026-07-07T02:00:00"/>
    <x v="4"/>
    <n v="2"/>
    <n v="21.89275127426389"/>
    <m/>
    <n v="29.59084851806945"/>
    <n v="14.6"/>
    <n v="51.342675151122222"/>
    <m/>
    <n v="46.063961937249992"/>
    <n v="84"/>
  </r>
  <r>
    <d v="2026-07-07T03:00:00"/>
    <x v="4"/>
    <n v="3"/>
    <n v="21.224978506155551"/>
    <m/>
    <n v="29.540518137286121"/>
    <n v="13.8"/>
    <n v="50.493520610224998"/>
    <m/>
    <n v="45.491582744986111"/>
    <n v="83"/>
  </r>
  <r>
    <d v="2026-07-07T04:00:00"/>
    <x v="4"/>
    <n v="4"/>
    <n v="20.981497015991671"/>
    <m/>
    <n v="29.465990539111111"/>
    <n v="13.4"/>
    <n v="50.198595523052767"/>
    <m/>
    <n v="44.880737009491668"/>
    <n v="81"/>
  </r>
  <r>
    <d v="2026-07-07T05:00:00"/>
    <x v="4"/>
    <n v="5"/>
    <n v="21.302839437038891"/>
    <m/>
    <n v="29.420870268975001"/>
    <n v="13.1"/>
    <n v="48.264261769263889"/>
    <m/>
    <n v="44.538445294194453"/>
    <n v="79"/>
  </r>
  <r>
    <d v="2026-07-07T06:00:00"/>
    <x v="4"/>
    <n v="6"/>
    <n v="22.928689137500001"/>
    <m/>
    <n v="29.40641664111666"/>
    <n v="13.9"/>
    <n v="42.753017614427783"/>
    <m/>
    <n v="44.406407573227767"/>
    <n v="77"/>
  </r>
  <r>
    <d v="2026-07-07T07:00:00"/>
    <x v="4"/>
    <n v="7"/>
    <n v="24.336169167333331"/>
    <m/>
    <n v="29.417552483358332"/>
    <n v="15.4"/>
    <n v="38.301468874033333"/>
    <m/>
    <n v="44.235640218130563"/>
    <n v="74"/>
  </r>
  <r>
    <d v="2026-07-07T08:00:00"/>
    <x v="4"/>
    <n v="8"/>
    <n v="25.570380882461109"/>
    <m/>
    <n v="29.433987965202778"/>
    <n v="17.3"/>
    <n v="35.614845291622217"/>
    <m/>
    <n v="44.205071282522233"/>
    <n v="68"/>
  </r>
  <r>
    <d v="2026-07-07T09:00:00"/>
    <x v="4"/>
    <n v="9"/>
    <n v="26.503259485358331"/>
    <m/>
    <n v="29.464882897858331"/>
    <n v="19.5"/>
    <n v="33.143616668508344"/>
    <m/>
    <n v="44.213360872416672"/>
    <n v="59"/>
  </r>
  <r>
    <d v="2026-07-07T10:00:00"/>
    <x v="4"/>
    <n v="10"/>
    <n v="26.760216349349999"/>
    <m/>
    <n v="29.49701860571945"/>
    <n v="21.2"/>
    <n v="32.212069204872222"/>
    <m/>
    <n v="44.154625875122228"/>
    <n v="50"/>
  </r>
  <r>
    <d v="2026-07-07T11:00:00"/>
    <x v="4"/>
    <n v="11"/>
    <n v="26.656979457388889"/>
    <m/>
    <n v="29.53054663026667"/>
    <n v="22.3"/>
    <n v="29.753150522188889"/>
    <m/>
    <n v="44.175786710575011"/>
    <n v="42"/>
  </r>
  <r>
    <d v="2026-07-07T12:00:00"/>
    <x v="4"/>
    <n v="12"/>
    <n v="26.566087305583331"/>
    <m/>
    <n v="29.481864116922221"/>
    <n v="23.3"/>
    <n v="27.805392779005551"/>
    <m/>
    <n v="42.618202339416669"/>
    <n v="38"/>
  </r>
  <r>
    <d v="2026-07-07T13:00:00"/>
    <x v="4"/>
    <n v="13"/>
    <n v="26.54565870926389"/>
    <m/>
    <n v="28.685605233433339"/>
    <n v="23.2"/>
    <n v="27.175319958941671"/>
    <m/>
    <n v="37.277109940766671"/>
    <n v="37"/>
  </r>
  <r>
    <d v="2026-07-07T14:00:00"/>
    <x v="4"/>
    <n v="14"/>
    <n v="26.521934272138889"/>
    <m/>
    <n v="29.022627592444451"/>
    <n v="24"/>
    <n v="27.055105063308329"/>
    <m/>
    <n v="39.719720016722221"/>
    <n v="35"/>
  </r>
  <r>
    <d v="2026-07-07T15:00:00"/>
    <x v="4"/>
    <n v="15"/>
    <n v="26.610929661094449"/>
    <m/>
    <n v="29.302927850511111"/>
    <n v="24.3"/>
    <n v="27.293105211724999"/>
    <m/>
    <n v="41.140592285541672"/>
    <n v="36"/>
  </r>
  <r>
    <d v="2026-07-07T16:00:00"/>
    <x v="4"/>
    <n v="16"/>
    <n v="26.658940011194449"/>
    <m/>
    <n v="29.3954236049"/>
    <n v="24.9"/>
    <n v="27.812264838836111"/>
    <m/>
    <n v="41.675471024125002"/>
    <n v="35"/>
  </r>
  <r>
    <d v="2026-07-07T17:00:00"/>
    <x v="4"/>
    <n v="17"/>
    <n v="26.817375740680561"/>
    <m/>
    <n v="29.452796638113892"/>
    <n v="24.8"/>
    <n v="28.055138402794441"/>
    <m/>
    <n v="41.98790459833333"/>
    <n v="35"/>
  </r>
  <r>
    <d v="2026-07-07T18:00:00"/>
    <x v="4"/>
    <n v="18"/>
    <n v="26.787006477738888"/>
    <m/>
    <n v="29.48587699271112"/>
    <n v="24.6"/>
    <n v="27.885551723647222"/>
    <m/>
    <n v="42.17748511987778"/>
    <n v="37"/>
  </r>
  <r>
    <d v="2026-07-07T19:00:00"/>
    <x v="4"/>
    <n v="19"/>
    <n v="26.74870138072222"/>
    <m/>
    <n v="29.509382811283331"/>
    <n v="23.8"/>
    <n v="30.38258259003889"/>
    <m/>
    <n v="42.428929558669452"/>
    <n v="45"/>
  </r>
  <r>
    <d v="2026-07-07T20:00:00"/>
    <x v="4"/>
    <n v="20"/>
    <n v="26.666065958172229"/>
    <m/>
    <n v="29.534605297230559"/>
    <n v="22.1"/>
    <n v="33.275455651441668"/>
    <m/>
    <n v="42.544002584647217"/>
    <n v="53"/>
  </r>
  <r>
    <d v="2026-07-07T21:00:00"/>
    <x v="4"/>
    <n v="21"/>
    <n v="26.389047587044441"/>
    <m/>
    <n v="29.53461675948612"/>
    <n v="20.9"/>
    <n v="32.518577923080557"/>
    <m/>
    <n v="42.500356832119436"/>
    <n v="57"/>
  </r>
  <r>
    <d v="2026-07-07T22:00:00"/>
    <x v="4"/>
    <n v="22"/>
    <n v="26.125179424663891"/>
    <m/>
    <n v="29.522197768513891"/>
    <n v="20.100000000000001"/>
    <n v="31.907983123522229"/>
    <m/>
    <n v="42.35059225495278"/>
    <n v="59"/>
  </r>
  <r>
    <d v="2026-07-07T23:00:00"/>
    <x v="4"/>
    <n v="23"/>
    <n v="25.682961029594441"/>
    <m/>
    <n v="29.49637262443056"/>
    <n v="20.100000000000001"/>
    <n v="32.296711323830557"/>
    <m/>
    <n v="42.111990744922217"/>
    <n v="55"/>
  </r>
  <r>
    <d v="2026-07-08T00:00:00"/>
    <x v="4"/>
    <n v="0"/>
    <n v="25.39601730131389"/>
    <m/>
    <n v="29.471972348638889"/>
    <n v="19.399999999999999"/>
    <n v="32.430121080583334"/>
    <m/>
    <n v="42.026278735497222"/>
    <n v="53"/>
  </r>
  <r>
    <d v="2026-07-08T01:00:00"/>
    <x v="4"/>
    <n v="1"/>
    <n v="25.228508946575001"/>
    <m/>
    <n v="29.459033548825001"/>
    <n v="18.8"/>
    <n v="30.947771338661109"/>
    <m/>
    <n v="41.835342799838891"/>
    <n v="51"/>
  </r>
  <r>
    <d v="2026-07-08T02:00:00"/>
    <x v="4"/>
    <n v="2"/>
    <n v="25.171870337274999"/>
    <m/>
    <n v="29.42082002525834"/>
    <n v="19.100000000000001"/>
    <n v="30.103295340858331"/>
    <m/>
    <n v="41.41873564979722"/>
    <n v="48"/>
  </r>
  <r>
    <d v="2026-07-08T03:00:00"/>
    <x v="4"/>
    <n v="3"/>
    <n v="24.996922746766671"/>
    <m/>
    <n v="29.38870324399722"/>
    <n v="18.3"/>
    <n v="29.904834603102771"/>
    <m/>
    <n v="41.020975235002773"/>
    <n v="50"/>
  </r>
  <r>
    <d v="2026-07-08T04:00:00"/>
    <x v="4"/>
    <n v="4"/>
    <n v="25.068868272391668"/>
    <m/>
    <n v="29.35275873523333"/>
    <n v="18"/>
    <n v="28.948623006822221"/>
    <m/>
    <n v="40.530836142075003"/>
    <n v="52"/>
  </r>
  <r>
    <d v="2026-07-08T05:00:00"/>
    <x v="4"/>
    <n v="5"/>
    <n v="25.048873911380561"/>
    <m/>
    <n v="29.324369658102778"/>
    <n v="17.600000000000001"/>
    <n v="29.29630431835556"/>
    <m/>
    <n v="40.226018010055547"/>
    <n v="54"/>
  </r>
  <r>
    <d v="2026-07-08T06:00:00"/>
    <x v="4"/>
    <n v="6"/>
    <n v="25.46562896440556"/>
    <m/>
    <n v="29.308583522436109"/>
    <n v="17.600000000000001"/>
    <n v="29.651924098855559"/>
    <m/>
    <n v="40.226026787052781"/>
    <n v="57"/>
  </r>
  <r>
    <d v="2026-07-08T07:00:00"/>
    <x v="4"/>
    <n v="7"/>
    <n v="25.691860578983331"/>
    <m/>
    <n v="29.313861016099999"/>
    <n v="18.8"/>
    <n v="31.520603801225"/>
    <m/>
    <n v="40.319565253474998"/>
    <n v="57"/>
  </r>
  <r>
    <d v="2026-07-08T08:00:00"/>
    <x v="4"/>
    <n v="8"/>
    <n v="26.552641347994442"/>
    <m/>
    <n v="29.328071786397221"/>
    <n v="20.3"/>
    <n v="34.181670284638891"/>
    <m/>
    <n v="40.639432449138887"/>
    <n v="56"/>
  </r>
  <r>
    <d v="2026-07-08T09:00:00"/>
    <x v="4"/>
    <n v="9"/>
    <n v="27.226555445700001"/>
    <m/>
    <n v="29.373097360963889"/>
    <n v="22.5"/>
    <n v="36.170404428430558"/>
    <m/>
    <n v="41.106162646241671"/>
    <n v="57"/>
  </r>
  <r>
    <d v="2026-07-08T10:00:00"/>
    <x v="4"/>
    <n v="10"/>
    <n v="27.334435915033328"/>
    <m/>
    <n v="29.428430223263891"/>
    <n v="24.3"/>
    <n v="37.875365526477779"/>
    <m/>
    <n v="41.564552510927783"/>
    <n v="58"/>
  </r>
  <r>
    <d v="2026-07-08T11:00:00"/>
    <x v="4"/>
    <n v="11"/>
    <n v="27.52713822536111"/>
    <m/>
    <n v="29.47345198695556"/>
    <n v="25.8"/>
    <n v="38.074453457666671"/>
    <m/>
    <n v="42.330555032083332"/>
    <n v="53"/>
  </r>
  <r>
    <d v="2026-07-08T12:00:00"/>
    <x v="4"/>
    <n v="12"/>
    <n v="27.4563952052"/>
    <m/>
    <n v="29.554843996563889"/>
    <n v="26.4"/>
    <n v="38.283823576680561"/>
    <m/>
    <n v="42.551585193497218"/>
    <n v="50"/>
  </r>
  <r>
    <d v="2026-07-08T13:00:00"/>
    <x v="4"/>
    <n v="13"/>
    <n v="27.59098174006667"/>
    <m/>
    <n v="29.428061569536109"/>
    <n v="27.4"/>
    <n v="37.895848275030552"/>
    <m/>
    <n v="43.97237863082222"/>
    <n v="48"/>
  </r>
  <r>
    <d v="2026-07-08T14:00:00"/>
    <x v="4"/>
    <n v="14"/>
    <n v="26.631803456625001"/>
    <m/>
    <n v="28.637898479175"/>
    <n v="26.9"/>
    <n v="46.151411977308342"/>
    <m/>
    <n v="50.152372604472227"/>
    <n v="48"/>
  </r>
  <r>
    <d v="2026-07-08T15:00:00"/>
    <x v="4"/>
    <n v="15"/>
    <n v="25.436430394466669"/>
    <m/>
    <n v="28.256681212844441"/>
    <n v="20.100000000000001"/>
    <n v="51.041422393366673"/>
    <m/>
    <n v="53.174066269424998"/>
    <n v="86"/>
  </r>
  <r>
    <d v="2026-07-08T16:00:00"/>
    <x v="4"/>
    <n v="16"/>
    <n v="25.715836947666659"/>
    <m/>
    <n v="28.142376123599998"/>
    <n v="21.6"/>
    <n v="50.764515592166667"/>
    <m/>
    <n v="53.34888991500555"/>
    <n v="76"/>
  </r>
  <r>
    <d v="2026-07-08T17:00:00"/>
    <x v="4"/>
    <n v="17"/>
    <n v="25.667109832813889"/>
    <m/>
    <n v="27.801707003619441"/>
    <n v="22.5"/>
    <n v="52.464152036222217"/>
    <m/>
    <n v="55.425514053572222"/>
    <n v="72"/>
  </r>
  <r>
    <d v="2026-07-08T18:00:00"/>
    <x v="4"/>
    <n v="18"/>
    <n v="25.543345393291659"/>
    <m/>
    <n v="27.541900829749999"/>
    <n v="22.9"/>
    <n v="53.542389983677793"/>
    <m/>
    <n v="56.607192552438903"/>
    <n v="69"/>
  </r>
  <r>
    <d v="2026-07-08T19:00:00"/>
    <x v="4"/>
    <n v="19"/>
    <n v="25.205588993477779"/>
    <m/>
    <n v="27.659370245786111"/>
    <n v="22.8"/>
    <n v="53.80098834092778"/>
    <m/>
    <n v="55.719848038099997"/>
    <n v="68"/>
  </r>
  <r>
    <d v="2026-07-08T20:00:00"/>
    <x v="4"/>
    <n v="20"/>
    <n v="25.017785442263889"/>
    <m/>
    <n v="28.393182141686111"/>
    <n v="21.8"/>
    <n v="53.561403612836109"/>
    <m/>
    <n v="51.958656633383328"/>
    <n v="73"/>
  </r>
  <r>
    <d v="2026-07-08T21:00:00"/>
    <x v="4"/>
    <n v="21"/>
    <n v="24.921868534066661"/>
    <m/>
    <n v="28.701833289544439"/>
    <n v="20.100000000000001"/>
    <n v="53.528206625813887"/>
    <m/>
    <n v="50.694750586477767"/>
    <n v="77"/>
  </r>
  <r>
    <d v="2026-07-08T22:00:00"/>
    <x v="4"/>
    <n v="22"/>
    <n v="24.856760073505551"/>
    <m/>
    <n v="28.81225025073056"/>
    <n v="19.2"/>
    <n v="53.844382182197222"/>
    <m/>
    <n v="50.625102538900002"/>
    <n v="78"/>
  </r>
  <r>
    <d v="2026-07-08T23:00:00"/>
    <x v="4"/>
    <n v="23"/>
    <n v="24.768081560830559"/>
    <m/>
    <n v="28.878925237716668"/>
    <n v="18.8"/>
    <n v="53.230191512144451"/>
    <m/>
    <n v="50.081306734683331"/>
    <n v="79"/>
  </r>
  <r>
    <d v="2026-07-09T00:00:00"/>
    <x v="4"/>
    <n v="0"/>
    <n v="24.506668577174999"/>
    <m/>
    <n v="28.988180682572221"/>
    <n v="18.3"/>
    <n v="53.500119461624998"/>
    <m/>
    <n v="49.517824187508332"/>
    <n v="81"/>
  </r>
  <r>
    <d v="2026-07-09T01:00:00"/>
    <x v="4"/>
    <n v="1"/>
    <n v="23.829438557586109"/>
    <m/>
    <n v="29.021466860052779"/>
    <n v="17.8"/>
    <n v="55.782341424208333"/>
    <m/>
    <n v="49.229804696125001"/>
    <n v="83"/>
  </r>
  <r>
    <d v="2026-07-09T02:00:00"/>
    <x v="4"/>
    <n v="2"/>
    <n v="23.321054611469449"/>
    <m/>
    <n v="29.040108287741671"/>
    <n v="17.3"/>
    <n v="57.181387763624997"/>
    <m/>
    <n v="49.06179113730834"/>
    <n v="86"/>
  </r>
  <r>
    <d v="2026-07-09T03:00:00"/>
    <x v="4"/>
    <n v="3"/>
    <n v="23.49635218709167"/>
    <m/>
    <n v="29.055577885641672"/>
    <n v="16.399999999999999"/>
    <n v="56.382870272591667"/>
    <m/>
    <n v="48.889457385988891"/>
    <n v="95"/>
  </r>
  <r>
    <d v="2026-07-09T04:00:00"/>
    <x v="4"/>
    <n v="4"/>
    <n v="23.84700706161945"/>
    <m/>
    <n v="29.057613743391659"/>
    <n v="16.3"/>
    <n v="55.289103988305563"/>
    <m/>
    <n v="48.780024715155562"/>
    <n v="95"/>
  </r>
  <r>
    <d v="2026-07-09T05:00:00"/>
    <x v="4"/>
    <n v="5"/>
    <n v="24.107994330386109"/>
    <m/>
    <n v="29.051166724455559"/>
    <n v="16.3"/>
    <n v="54.76367539304723"/>
    <m/>
    <n v="48.704710343058331"/>
    <n v="96"/>
  </r>
  <r>
    <d v="2026-07-09T06:00:00"/>
    <x v="4"/>
    <n v="6"/>
    <n v="25.360012422975"/>
    <m/>
    <n v="29.065936376877779"/>
    <n v="16.7"/>
    <n v="51.91620937442778"/>
    <m/>
    <n v="48.651911235227779"/>
    <n v="95"/>
  </r>
  <r>
    <d v="2026-07-09T07:00:00"/>
    <x v="4"/>
    <n v="7"/>
    <n v="25.80474529523056"/>
    <m/>
    <n v="29.091605508919439"/>
    <n v="17.3"/>
    <n v="51.039556447805552"/>
    <m/>
    <n v="48.71031082155833"/>
    <n v="94"/>
  </r>
  <r>
    <d v="2026-07-09T08:00:00"/>
    <x v="4"/>
    <n v="8"/>
    <n v="25.972695457874998"/>
    <m/>
    <n v="29.110466824247229"/>
    <n v="17.899999999999999"/>
    <n v="50.523597734958337"/>
    <m/>
    <n v="48.693214056975002"/>
    <n v="91"/>
  </r>
  <r>
    <d v="2026-07-09T09:00:00"/>
    <x v="4"/>
    <n v="9"/>
    <n v="26.092630387425"/>
    <m/>
    <n v="29.128105917680561"/>
    <n v="18.899999999999999"/>
    <n v="50.329209472255563"/>
    <m/>
    <n v="48.677380098050001"/>
    <n v="87"/>
  </r>
  <r>
    <d v="2026-07-09T10:00:00"/>
    <x v="4"/>
    <n v="10"/>
    <n v="26.159383962444441"/>
    <m/>
    <n v="29.150358353800002"/>
    <n v="19.600000000000001"/>
    <n v="49.923205931611122"/>
    <m/>
    <n v="48.639427492247222"/>
    <n v="82"/>
  </r>
  <r>
    <d v="2026-07-09T11:00:00"/>
    <x v="4"/>
    <n v="11"/>
    <n v="26.185104558266669"/>
    <m/>
    <n v="29.15691394581944"/>
    <n v="20.100000000000001"/>
    <n v="49.411604548991669"/>
    <m/>
    <n v="48.597502562877771"/>
    <n v="80"/>
  </r>
  <r>
    <d v="2026-07-09T12:00:00"/>
    <x v="4"/>
    <n v="12"/>
    <n v="26.226453054530559"/>
    <m/>
    <n v="29.160858485786111"/>
    <n v="21"/>
    <n v="49.196731079322227"/>
    <m/>
    <n v="48.564193387486107"/>
    <n v="78"/>
  </r>
  <r>
    <d v="2026-07-09T13:00:00"/>
    <x v="4"/>
    <n v="13"/>
    <n v="26.360308446208329"/>
    <m/>
    <n v="29.17155540345"/>
    <n v="21.9"/>
    <n v="48.929282598452779"/>
    <m/>
    <n v="48.462133039602783"/>
    <n v="75"/>
  </r>
  <r>
    <d v="2026-07-09T14:00:00"/>
    <x v="4"/>
    <n v="14"/>
    <n v="26.410600273294449"/>
    <m/>
    <n v="29.179219748405561"/>
    <n v="23.1"/>
    <n v="48.834966825483328"/>
    <m/>
    <n v="48.357415434727777"/>
    <n v="71"/>
  </r>
  <r>
    <d v="2026-07-09T15:00:00"/>
    <x v="4"/>
    <n v="15"/>
    <n v="26.42786092048334"/>
    <m/>
    <n v="29.18993673994445"/>
    <n v="19.5"/>
    <n v="48.783756254163883"/>
    <m/>
    <n v="48.226154064133333"/>
    <n v="87"/>
  </r>
  <r>
    <d v="2026-07-09T16:00:00"/>
    <x v="4"/>
    <n v="16"/>
    <n v="26.435517497305561"/>
    <m/>
    <n v="29.20175279927777"/>
    <n v="20.2"/>
    <n v="48.733937911936117"/>
    <m/>
    <n v="48.214459104944453"/>
    <n v="82"/>
  </r>
  <r>
    <d v="2026-07-09T17:00:00"/>
    <x v="4"/>
    <n v="17"/>
    <n v="26.416564832922219"/>
    <m/>
    <n v="29.199886368980561"/>
    <n v="21.4"/>
    <n v="48.44645703496667"/>
    <m/>
    <n v="48.161326804158342"/>
    <n v="75"/>
  </r>
  <r>
    <d v="2026-07-09T18:00:00"/>
    <x v="4"/>
    <n v="18"/>
    <n v="26.346426983238889"/>
    <m/>
    <n v="29.199783184711109"/>
    <n v="21.1"/>
    <n v="47.986484170399997"/>
    <m/>
    <n v="48.032070463577767"/>
    <n v="76"/>
  </r>
  <r>
    <d v="2026-07-09T19:00:00"/>
    <x v="4"/>
    <n v="19"/>
    <n v="26.266112330155561"/>
    <m/>
    <n v="29.196936656291669"/>
    <n v="20.5"/>
    <n v="48.138488296261109"/>
    <m/>
    <n v="47.886351011391667"/>
    <n v="79"/>
  </r>
  <r>
    <d v="2026-07-09T20:00:00"/>
    <x v="4"/>
    <n v="20"/>
    <n v="26.186009421938891"/>
    <m/>
    <n v="29.214810380438891"/>
    <n v="19.899999999999999"/>
    <n v="48.181410433650001"/>
    <m/>
    <n v="47.767183428630553"/>
    <n v="84"/>
  </r>
  <r>
    <d v="2026-07-09T21:00:00"/>
    <x v="4"/>
    <n v="21"/>
    <n v="26.098230073802771"/>
    <m/>
    <n v="29.194613413705561"/>
    <n v="19.3"/>
    <n v="48.322603115591669"/>
    <m/>
    <n v="47.75560106811389"/>
    <n v="87"/>
  </r>
  <r>
    <d v="2026-07-09T22:00:00"/>
    <x v="4"/>
    <n v="22"/>
    <n v="26.01678426026389"/>
    <m/>
    <n v="29.191194356333341"/>
    <n v="19.2"/>
    <n v="49.039053142447223"/>
    <m/>
    <n v="47.83065745041111"/>
    <n v="88"/>
  </r>
  <r>
    <d v="2026-07-09T23:00:00"/>
    <x v="4"/>
    <n v="23"/>
    <n v="25.940267058463888"/>
    <m/>
    <n v="29.182224883597229"/>
    <n v="18.8"/>
    <n v="50.05629964085"/>
    <m/>
    <n v="48.019779508777781"/>
    <n v="90"/>
  </r>
  <r>
    <d v="2026-07-10T00:00:00"/>
    <x v="4"/>
    <n v="0"/>
    <n v="25.894740716102781"/>
    <m/>
    <n v="29.173699933841661"/>
    <n v="18.5"/>
    <n v="50.381837020038887"/>
    <m/>
    <n v="48.029664668466673"/>
    <n v="90"/>
  </r>
  <r>
    <d v="2026-07-10T01:00:00"/>
    <x v="4"/>
    <n v="1"/>
    <n v="25.855933890708329"/>
    <m/>
    <n v="29.167247444580561"/>
    <n v="18"/>
    <n v="50.520339696402779"/>
    <m/>
    <n v="48.003096240977783"/>
    <n v="92"/>
  </r>
  <r>
    <d v="2026-07-10T02:00:00"/>
    <x v="4"/>
    <n v="2"/>
    <n v="25.81844319023056"/>
    <m/>
    <n v="29.163392305405559"/>
    <n v="17.8"/>
    <n v="50.658573208397222"/>
    <m/>
    <n v="48.005592790569438"/>
    <n v="91"/>
  </r>
  <r>
    <d v="2026-07-10T03:00:00"/>
    <x v="4"/>
    <n v="3"/>
    <n v="25.784895640477771"/>
    <m/>
    <n v="29.155469707352779"/>
    <n v="17.100000000000001"/>
    <n v="50.865776810799993"/>
    <m/>
    <n v="48.119855194800003"/>
    <n v="96"/>
  </r>
  <r>
    <d v="2026-07-10T04:00:00"/>
    <x v="4"/>
    <n v="4"/>
    <n v="25.76091497257778"/>
    <m/>
    <n v="29.152027888158329"/>
    <n v="17"/>
    <n v="50.995133660936112"/>
    <m/>
    <n v="48.246110145652779"/>
    <n v="96"/>
  </r>
  <r>
    <d v="2026-07-10T05:00:00"/>
    <x v="4"/>
    <n v="5"/>
    <n v="25.75718608955"/>
    <m/>
    <n v="29.149422208213888"/>
    <n v="16.7"/>
    <n v="51.118679872655562"/>
    <m/>
    <n v="48.32978453931667"/>
    <n v="97"/>
  </r>
  <r>
    <d v="2026-07-10T06:00:00"/>
    <x v="4"/>
    <n v="6"/>
    <n v="25.81757546751389"/>
    <m/>
    <n v="29.14008337710834"/>
    <n v="17"/>
    <n v="51.249218195630561"/>
    <m/>
    <n v="48.392459066591663"/>
    <n v="97"/>
  </r>
  <r>
    <d v="2026-07-10T07:00:00"/>
    <x v="4"/>
    <n v="7"/>
    <n v="25.959501961166669"/>
    <m/>
    <n v="29.141333597494452"/>
    <n v="17.3"/>
    <n v="51.013770158272223"/>
    <m/>
    <n v="48.439206705388891"/>
    <n v="96"/>
  </r>
  <r>
    <d v="2026-07-10T08:00:00"/>
    <x v="4"/>
    <n v="8"/>
    <n v="26.046280659086111"/>
    <m/>
    <n v="29.145472355561111"/>
    <n v="18.600000000000001"/>
    <n v="50.782584132736112"/>
    <m/>
    <n v="48.462691166519448"/>
    <n v="90"/>
  </r>
  <r>
    <d v="2026-07-10T09:00:00"/>
    <x v="4"/>
    <n v="9"/>
    <n v="26.09788521837222"/>
    <m/>
    <n v="29.14033308517222"/>
    <n v="19.7"/>
    <n v="50.580746826616668"/>
    <m/>
    <n v="48.451103637958333"/>
    <n v="84"/>
  </r>
  <r>
    <d v="2026-07-10T10:00:00"/>
    <x v="4"/>
    <n v="10"/>
    <n v="26.077279998544441"/>
    <m/>
    <n v="29.136055531958331"/>
    <n v="20"/>
    <n v="50.568557995513878"/>
    <m/>
    <n v="48.494055081727772"/>
    <n v="83"/>
  </r>
  <r>
    <d v="2026-07-10T11:00:00"/>
    <x v="4"/>
    <n v="11"/>
    <n v="26.022506384250001"/>
    <m/>
    <n v="29.135775004949998"/>
    <n v="20.399999999999999"/>
    <n v="51.446728343641666"/>
    <m/>
    <n v="48.698736812816669"/>
    <n v="79"/>
  </r>
  <r>
    <d v="2026-07-10T12:00:00"/>
    <x v="4"/>
    <n v="12"/>
    <n v="26.014128865086111"/>
    <m/>
    <n v="29.137113619091661"/>
    <n v="19.5"/>
    <n v="51.784435710863903"/>
    <m/>
    <n v="48.87923893015833"/>
    <n v="91"/>
  </r>
  <r>
    <d v="2026-07-10T13:00:00"/>
    <x v="4"/>
    <n v="13"/>
    <n v="26.020094349563891"/>
    <m/>
    <n v="29.14078044149722"/>
    <n v="19.100000000000001"/>
    <n v="52.19466593125"/>
    <m/>
    <n v="49.047029994280557"/>
    <n v="90"/>
  </r>
  <r>
    <d v="2026-07-10T14:00:00"/>
    <x v="4"/>
    <n v="14"/>
    <n v="26.020073545313888"/>
    <m/>
    <n v="29.135502473272229"/>
    <n v="20.3"/>
    <n v="53.117592974855548"/>
    <m/>
    <n v="49.368214502572222"/>
    <n v="83"/>
  </r>
  <r>
    <d v="2026-07-10T15:00:00"/>
    <x v="4"/>
    <n v="15"/>
    <n v="25.994096552858331"/>
    <m/>
    <n v="29.137606220452781"/>
    <n v="18.2"/>
    <n v="53.767565029455561"/>
    <m/>
    <n v="49.733772316944453"/>
    <n v="92"/>
  </r>
  <r>
    <d v="2026-07-10T16:00:00"/>
    <x v="4"/>
    <n v="16"/>
    <n v="25.916646074163889"/>
    <m/>
    <n v="29.134277824902771"/>
    <n v="18.5"/>
    <n v="53.826467838266673"/>
    <m/>
    <n v="49.967179629786109"/>
    <n v="92"/>
  </r>
  <r>
    <d v="2026-07-10T17:00:00"/>
    <x v="4"/>
    <n v="17"/>
    <n v="25.856571585894439"/>
    <m/>
    <n v="29.122254935572229"/>
    <n v="18.8"/>
    <n v="53.755902194361113"/>
    <m/>
    <n v="50.039708947377783"/>
    <n v="91"/>
  </r>
  <r>
    <d v="2026-07-10T18:00:00"/>
    <x v="4"/>
    <n v="18"/>
    <n v="25.836721774952771"/>
    <m/>
    <n v="29.113060591094442"/>
    <n v="19.100000000000001"/>
    <n v="53.379111452500013"/>
    <m/>
    <n v="49.880123119666671"/>
    <n v="91"/>
  </r>
  <r>
    <d v="2026-07-10T19:00:00"/>
    <x v="4"/>
    <n v="19"/>
    <n v="25.785726506991669"/>
    <m/>
    <n v="29.10183071817222"/>
    <n v="18.7"/>
    <n v="53.115492944730562"/>
    <m/>
    <n v="49.789543317327777"/>
    <n v="92"/>
  </r>
  <r>
    <d v="2026-07-10T20:00:00"/>
    <x v="4"/>
    <n v="20"/>
    <n v="25.67635928981667"/>
    <m/>
    <n v="29.107671444797219"/>
    <n v="17.600000000000001"/>
    <n v="52.840836184586117"/>
    <m/>
    <n v="49.70108953017499"/>
    <n v="95"/>
  </r>
  <r>
    <d v="2026-07-10T21:00:00"/>
    <x v="4"/>
    <n v="21"/>
    <n v="25.590237200788891"/>
    <m/>
    <n v="29.084310513908331"/>
    <n v="16.600000000000001"/>
    <n v="52.304819531561122"/>
    <m/>
    <n v="49.603100709541671"/>
    <n v="96"/>
  </r>
  <r>
    <d v="2026-07-10T22:00:00"/>
    <x v="4"/>
    <n v="22"/>
    <n v="25.529347875341671"/>
    <m/>
    <n v="29.06147480495278"/>
    <n v="16.2"/>
    <n v="51.937304237627778"/>
    <m/>
    <n v="49.504671341525011"/>
    <n v="97"/>
  </r>
  <r>
    <d v="2026-07-10T23:00:00"/>
    <x v="4"/>
    <n v="23"/>
    <n v="25.463335863702781"/>
    <m/>
    <n v="29.045424016083331"/>
    <n v="15.6"/>
    <n v="51.603551253474997"/>
    <m/>
    <n v="49.395411134244448"/>
    <n v="97"/>
  </r>
  <r>
    <d v="2026-07-11T00:00:00"/>
    <x v="4"/>
    <n v="0"/>
    <n v="25.403018522186109"/>
    <m/>
    <n v="29.032474828791671"/>
    <n v="15.1"/>
    <n v="51.224635961436107"/>
    <m/>
    <n v="49.304135885158331"/>
    <n v="98"/>
  </r>
  <r>
    <d v="2026-07-11T01:00:00"/>
    <x v="4"/>
    <n v="1"/>
    <n v="25.332718150266668"/>
    <m/>
    <n v="29.014752514344451"/>
    <n v="14.6"/>
    <n v="50.776066522636107"/>
    <m/>
    <n v="49.182622411674998"/>
    <n v="98"/>
  </r>
  <r>
    <d v="2026-07-11T02:00:00"/>
    <x v="4"/>
    <n v="2"/>
    <n v="25.27376178997778"/>
    <m/>
    <n v="28.998588356336111"/>
    <n v="14.1"/>
    <n v="50.241674489469439"/>
    <m/>
    <n v="49.041474082258333"/>
    <n v="97"/>
  </r>
  <r>
    <d v="2026-07-11T03:00:00"/>
    <x v="4"/>
    <n v="3"/>
    <n v="25.228935818091671"/>
    <m/>
    <n v="28.97422709115833"/>
    <n v="13.7"/>
    <n v="49.787948965247232"/>
    <m/>
    <n v="48.930360529911113"/>
    <n v="97"/>
  </r>
  <r>
    <d v="2026-07-11T04:00:00"/>
    <x v="4"/>
    <n v="4"/>
    <n v="25.185975426386111"/>
    <m/>
    <n v="28.962365914652779"/>
    <n v="13.3"/>
    <n v="49.388241403236101"/>
    <m/>
    <n v="48.791509032819448"/>
    <n v="98"/>
  </r>
  <r>
    <d v="2026-07-11T05:00:00"/>
    <x v="4"/>
    <n v="5"/>
    <n v="25.322234318977781"/>
    <m/>
    <n v="28.95397218418611"/>
    <n v="12.9"/>
    <n v="48.647836395841672"/>
    <m/>
    <n v="48.645337007836098"/>
    <n v="98"/>
  </r>
  <r>
    <d v="2026-07-11T06:00:00"/>
    <x v="4"/>
    <n v="6"/>
    <n v="25.349114383119449"/>
    <m/>
    <n v="28.94014376326945"/>
    <n v="13.4"/>
    <n v="48.00046315760833"/>
    <m/>
    <n v="48.517531054991672"/>
    <n v="98"/>
  </r>
  <r>
    <d v="2026-07-11T07:00:00"/>
    <x v="4"/>
    <n v="7"/>
    <n v="25.513410526575001"/>
    <m/>
    <n v="28.929638882011108"/>
    <n v="14.8"/>
    <n v="46.903733774536107"/>
    <m/>
    <n v="48.392890442269447"/>
    <n v="92"/>
  </r>
  <r>
    <d v="2026-07-11T08:00:00"/>
    <x v="4"/>
    <n v="8"/>
    <n v="26.26245960878612"/>
    <m/>
    <n v="28.929555467516671"/>
    <n v="16.2"/>
    <n v="45.582767703594442"/>
    <m/>
    <n v="48.329562855847229"/>
    <n v="85"/>
  </r>
  <r>
    <d v="2026-07-11T09:00:00"/>
    <x v="4"/>
    <n v="9"/>
    <n v="26.94804506481389"/>
    <m/>
    <n v="28.949488414480559"/>
    <n v="17.399999999999999"/>
    <n v="44.720063355519443"/>
    <m/>
    <n v="48.268271931199997"/>
    <n v="77"/>
  </r>
  <r>
    <d v="2026-07-11T10:00:00"/>
    <x v="4"/>
    <n v="10"/>
    <n v="26.91631714324722"/>
    <m/>
    <n v="28.978467595891669"/>
    <n v="18.8"/>
    <n v="45.032286129222221"/>
    <m/>
    <n v="48.173105183330563"/>
    <n v="67"/>
  </r>
  <r>
    <d v="2026-07-11T11:00:00"/>
    <x v="4"/>
    <n v="11"/>
    <n v="26.797590264342858"/>
    <m/>
    <n v="29.000900145685709"/>
    <n v="20.100000000000001"/>
    <n v="45.099751329566658"/>
    <m/>
    <n v="48.108433420600008"/>
    <n v="60"/>
  </r>
  <r>
    <d v="2026-07-11T12:00:00"/>
    <x v="4"/>
    <n v="12"/>
    <m/>
    <m/>
    <m/>
    <n v="20.6"/>
    <m/>
    <m/>
    <m/>
    <n v="58"/>
  </r>
  <r>
    <d v="2026-07-11T13:00:00"/>
    <x v="4"/>
    <n v="13"/>
    <m/>
    <m/>
    <m/>
    <n v="21.5"/>
    <m/>
    <m/>
    <m/>
    <n v="61"/>
  </r>
  <r>
    <d v="2026-07-11T14:00:00"/>
    <x v="4"/>
    <n v="14"/>
    <m/>
    <m/>
    <m/>
    <n v="21.7"/>
    <m/>
    <m/>
    <m/>
    <n v="60"/>
  </r>
  <r>
    <d v="2026-07-11T15:00:00"/>
    <x v="4"/>
    <n v="15"/>
    <m/>
    <m/>
    <m/>
    <n v="20"/>
    <m/>
    <m/>
    <m/>
    <n v="67"/>
  </r>
  <r>
    <d v="2026-07-11T16:00:00"/>
    <x v="4"/>
    <n v="16"/>
    <m/>
    <m/>
    <m/>
    <n v="17.100000000000001"/>
    <m/>
    <m/>
    <m/>
    <n v="87"/>
  </r>
  <r>
    <d v="2026-07-11T17:00:00"/>
    <x v="4"/>
    <n v="17"/>
    <n v="26.00011487984052"/>
    <m/>
    <n v="27.582452612930521"/>
    <n v="18.399999999999999"/>
    <n v="44.146752062202061"/>
    <m/>
    <n v="49.573114423003162"/>
    <n v="82"/>
  </r>
  <r>
    <d v="2026-07-11T18:00:00"/>
    <x v="4"/>
    <n v="18"/>
    <n v="26.055369856122219"/>
    <m/>
    <n v="28.001143123133328"/>
    <n v="18.899999999999999"/>
    <n v="43.557423283672222"/>
    <m/>
    <n v="48.50656853434166"/>
    <n v="75"/>
  </r>
  <r>
    <d v="2026-07-11T19:00:00"/>
    <x v="4"/>
    <n v="19"/>
    <n v="26.075900336638892"/>
    <m/>
    <n v="28.11606783795834"/>
    <n v="18.899999999999999"/>
    <n v="43.236083572508328"/>
    <m/>
    <n v="48.120341405961113"/>
    <n v="75"/>
  </r>
  <r>
    <d v="2026-07-11T20:00:00"/>
    <x v="4"/>
    <n v="20"/>
    <n v="25.99098133231945"/>
    <m/>
    <n v="28.177204706927778"/>
    <n v="18.3"/>
    <n v="43.902226773586108"/>
    <m/>
    <n v="47.981130184252777"/>
    <n v="80"/>
  </r>
  <r>
    <d v="2026-07-11T21:00:00"/>
    <x v="4"/>
    <n v="21"/>
    <n v="25.795515588233329"/>
    <m/>
    <n v="28.209383423636108"/>
    <n v="17.3"/>
    <n v="44.030758548272232"/>
    <m/>
    <n v="47.895066248958329"/>
    <n v="83"/>
  </r>
  <r>
    <d v="2026-07-11T22:00:00"/>
    <x v="4"/>
    <n v="22"/>
    <n v="25.65197314616389"/>
    <m/>
    <n v="28.19904138344722"/>
    <n v="16.600000000000001"/>
    <n v="44.141537946177777"/>
    <m/>
    <n v="47.862000648436123"/>
    <n v="85"/>
  </r>
  <r>
    <d v="2026-07-11T23:00:00"/>
    <x v="4"/>
    <n v="23"/>
    <n v="25.55060159640556"/>
    <m/>
    <n v="28.167477055574999"/>
    <n v="15.9"/>
    <n v="44.027854944605558"/>
    <m/>
    <n v="47.833125906361111"/>
    <n v="86"/>
  </r>
  <r>
    <d v="2026-07-12T00:00:00"/>
    <x v="4"/>
    <n v="0"/>
    <n v="25.45697195296389"/>
    <m/>
    <n v="28.15000258431667"/>
    <n v="15.2"/>
    <n v="44.156619470450003"/>
    <m/>
    <n v="47.797590769149998"/>
    <n v="89"/>
  </r>
  <r>
    <d v="2026-07-12T01:00:00"/>
    <x v="4"/>
    <n v="1"/>
    <n v="25.372037920572222"/>
    <m/>
    <n v="28.135586085116671"/>
    <n v="14.6"/>
    <n v="44.15699457057223"/>
    <m/>
    <n v="47.739601526494447"/>
    <n v="91"/>
  </r>
  <r>
    <d v="2026-07-12T02:00:00"/>
    <x v="4"/>
    <n v="2"/>
    <n v="25.304248277094441"/>
    <m/>
    <n v="28.121282486647221"/>
    <n v="14.2"/>
    <n v="44.286544893955558"/>
    <m/>
    <n v="47.702946296402793"/>
    <n v="92"/>
  </r>
  <r>
    <d v="2026-07-12T03:00:00"/>
    <x v="4"/>
    <n v="3"/>
    <n v="25.23707885209722"/>
    <m/>
    <n v="28.102724866730551"/>
    <n v="13.8"/>
    <n v="44.214232029100003"/>
    <m/>
    <n v="47.667598409741672"/>
    <n v="92"/>
  </r>
  <r>
    <d v="2026-07-12T04:00:00"/>
    <x v="4"/>
    <n v="4"/>
    <n v="25.20522105144444"/>
    <m/>
    <n v="28.089893928569438"/>
    <n v="13.7"/>
    <n v="43.855878635238888"/>
    <m/>
    <n v="47.589689598061113"/>
    <n v="92"/>
  </r>
  <r>
    <d v="2026-07-12T05:00:00"/>
    <x v="4"/>
    <n v="5"/>
    <n v="25.210455650027779"/>
    <m/>
    <n v="28.074613535455551"/>
    <n v="13.6"/>
    <n v="43.800501120936111"/>
    <m/>
    <n v="47.531785099961112"/>
    <n v="92"/>
  </r>
  <r>
    <d v="2026-07-12T06:00:00"/>
    <x v="4"/>
    <n v="6"/>
    <n v="25.16943529532222"/>
    <m/>
    <n v="28.058394169586109"/>
    <n v="14.1"/>
    <n v="44.187085498400002"/>
    <m/>
    <n v="47.528858630952783"/>
    <n v="91"/>
  </r>
  <r>
    <d v="2026-07-12T07:00:00"/>
    <x v="4"/>
    <n v="7"/>
    <n v="25.097377291139189"/>
    <m/>
    <n v="27.922646593471441"/>
    <n v="14.3"/>
    <n v="44.844194195327503"/>
    <m/>
    <n v="47.789986406104838"/>
    <n v="93"/>
  </r>
  <r>
    <d v="2026-07-12T08:00:00"/>
    <x v="4"/>
    <n v="8"/>
    <n v="25.32434876693889"/>
    <m/>
    <n v="27.97155095973611"/>
    <n v="14.9"/>
    <n v="44.559329398483328"/>
    <m/>
    <n v="47.703445283675002"/>
    <n v="94"/>
  </r>
  <r>
    <d v="2026-07-12T09:00:00"/>
    <x v="4"/>
    <n v="9"/>
    <n v="26.42423281014722"/>
    <m/>
    <n v="28.021354505550001"/>
    <n v="15.9"/>
    <n v="42.693250757891668"/>
    <m/>
    <n v="47.563464137413888"/>
    <n v="87"/>
  </r>
  <r>
    <d v="2026-07-12T10:00:00"/>
    <x v="4"/>
    <n v="10"/>
    <n v="26.587429529554161"/>
    <m/>
    <n v="28.043760964324999"/>
    <n v="17.399999999999999"/>
    <n v="43.127433631208334"/>
    <m/>
    <n v="47.567510738466673"/>
    <n v="80"/>
  </r>
  <r>
    <d v="2026-07-12T11:00:00"/>
    <x v="4"/>
    <n v="11"/>
    <m/>
    <m/>
    <m/>
    <n v="18.8"/>
    <m/>
    <m/>
    <m/>
    <n v="76"/>
  </r>
  <r>
    <d v="2026-07-12T12:00:00"/>
    <x v="4"/>
    <n v="12"/>
    <m/>
    <m/>
    <m/>
    <n v="20.100000000000001"/>
    <m/>
    <m/>
    <m/>
    <n v="67"/>
  </r>
  <r>
    <d v="2026-07-12T13:00:00"/>
    <x v="4"/>
    <n v="13"/>
    <m/>
    <m/>
    <m/>
    <n v="19.899999999999999"/>
    <m/>
    <m/>
    <m/>
    <n v="64"/>
  </r>
  <r>
    <d v="2026-07-12T14:00:00"/>
    <x v="4"/>
    <n v="14"/>
    <m/>
    <m/>
    <m/>
    <n v="20.9"/>
    <m/>
    <m/>
    <m/>
    <n v="60"/>
  </r>
  <r>
    <d v="2026-07-12T15:00:00"/>
    <x v="4"/>
    <n v="15"/>
    <m/>
    <m/>
    <m/>
    <n v="21.1"/>
    <m/>
    <m/>
    <m/>
    <n v="61"/>
  </r>
  <r>
    <d v="2026-07-12T16:00:00"/>
    <x v="4"/>
    <n v="16"/>
    <m/>
    <m/>
    <m/>
    <n v="21.3"/>
    <m/>
    <m/>
    <m/>
    <n v="56"/>
  </r>
  <r>
    <d v="2026-07-12T17:00:00"/>
    <x v="4"/>
    <n v="17"/>
    <m/>
    <m/>
    <m/>
    <n v="21.4"/>
    <m/>
    <m/>
    <m/>
    <n v="55"/>
  </r>
  <r>
    <d v="2026-07-12T18:00:00"/>
    <x v="4"/>
    <n v="18"/>
    <n v="25.860067933364931"/>
    <m/>
    <n v="27.56941418694861"/>
    <n v="20.9"/>
    <n v="43.105744517499261"/>
    <m/>
    <n v="47.982843638182068"/>
    <n v="58"/>
  </r>
  <r>
    <d v="2026-07-12T19:00:00"/>
    <x v="4"/>
    <n v="19"/>
    <n v="25.923806163375001"/>
    <m/>
    <n v="27.712240996894451"/>
    <n v="20.2"/>
    <n v="42.578897984450002"/>
    <m/>
    <n v="47.695874024022217"/>
    <n v="65"/>
  </r>
  <r>
    <d v="2026-07-12T20:00:00"/>
    <x v="4"/>
    <n v="20"/>
    <n v="25.861860351388891"/>
    <m/>
    <n v="27.75565136039722"/>
    <n v="19"/>
    <n v="42.914673286813887"/>
    <m/>
    <n v="47.652209791919439"/>
    <n v="72"/>
  </r>
  <r>
    <d v="2026-07-12T21:00:00"/>
    <x v="4"/>
    <n v="21"/>
    <n v="25.671444988036111"/>
    <m/>
    <n v="27.784961926019449"/>
    <n v="18"/>
    <n v="43.603922471861118"/>
    <m/>
    <n v="47.634128310219452"/>
    <n v="76"/>
  </r>
  <r>
    <d v="2026-07-12T22:00:00"/>
    <x v="4"/>
    <n v="22"/>
    <n v="25.498518501536111"/>
    <m/>
    <n v="27.806272835175001"/>
    <n v="17.100000000000001"/>
    <n v="43.939152423555562"/>
    <m/>
    <n v="47.603064878950001"/>
    <n v="82"/>
  </r>
  <r>
    <d v="2026-07-12T23:00:00"/>
    <x v="4"/>
    <n v="23"/>
    <n v="25.37130496619444"/>
    <m/>
    <n v="27.81913742309445"/>
    <n v="16.5"/>
    <n v="43.950654146861112"/>
    <m/>
    <n v="47.56866360974167"/>
    <n v="85"/>
  </r>
  <r>
    <d v="2026-07-13T00:00:00"/>
    <x v="4"/>
    <n v="0"/>
    <n v="25.265485827233331"/>
    <m/>
    <n v="27.826361697797221"/>
    <n v="16"/>
    <n v="44.30142344868333"/>
    <m/>
    <n v="47.561861742577783"/>
    <n v="86"/>
  </r>
  <r>
    <d v="2026-07-13T01:00:00"/>
    <x v="4"/>
    <n v="1"/>
    <n v="25.182063445975"/>
    <m/>
    <n v="27.83323899469444"/>
    <n v="15.6"/>
    <n v="44.612078341991662"/>
    <m/>
    <n v="47.546345141572232"/>
    <n v="86"/>
  </r>
  <r>
    <d v="2026-07-13T02:00:00"/>
    <x v="4"/>
    <n v="2"/>
    <n v="25.099938490238891"/>
    <m/>
    <n v="27.83516605980833"/>
    <n v="15.3"/>
    <n v="44.807829037099999"/>
    <m/>
    <n v="47.536006067625003"/>
    <n v="87"/>
  </r>
  <r>
    <d v="2026-07-13T03:00:00"/>
    <x v="4"/>
    <n v="3"/>
    <n v="25.028346366758331"/>
    <m/>
    <n v="27.83269434738056"/>
    <n v="15.2"/>
    <n v="44.851883293666667"/>
    <m/>
    <n v="47.51495867594722"/>
    <n v="87"/>
  </r>
  <r>
    <d v="2026-07-13T04:00:00"/>
    <x v="4"/>
    <n v="4"/>
    <n v="24.95620911430278"/>
    <m/>
    <n v="27.820648190827779"/>
    <n v="15.2"/>
    <n v="44.817309263522219"/>
    <m/>
    <n v="47.502268787222221"/>
    <n v="88"/>
  </r>
  <r>
    <d v="2026-07-13T05:00:00"/>
    <x v="4"/>
    <n v="5"/>
    <n v="25.103867042125"/>
    <m/>
    <n v="27.807882492225001"/>
    <n v="15.1"/>
    <n v="44.358777345197218"/>
    <m/>
    <n v="47.511696914366667"/>
    <n v="88"/>
  </r>
  <r>
    <d v="2026-07-13T06:00:00"/>
    <x v="4"/>
    <n v="6"/>
    <n v="25.66267674334722"/>
    <m/>
    <n v="27.79564957497222"/>
    <n v="15.8"/>
    <n v="43.015928781161108"/>
    <m/>
    <n v="47.544327440655557"/>
    <n v="84"/>
  </r>
  <r>
    <d v="2026-07-13T07:00:00"/>
    <x v="4"/>
    <n v="7"/>
    <n v="26.219871762061111"/>
    <m/>
    <n v="27.789111418988892"/>
    <n v="17"/>
    <n v="42.302244940061108"/>
    <m/>
    <n v="47.557117575722224"/>
    <n v="81"/>
  </r>
  <r>
    <d v="2026-07-13T08:00:00"/>
    <x v="4"/>
    <n v="8"/>
    <n v="26.840642661511112"/>
    <m/>
    <n v="27.799572979361109"/>
    <n v="18.399999999999999"/>
    <n v="41.684450035508341"/>
    <m/>
    <n v="47.572190938608337"/>
    <n v="76"/>
  </r>
  <r>
    <d v="2026-07-13T09:00:00"/>
    <x v="4"/>
    <n v="9"/>
    <n v="26.920877364550002"/>
    <m/>
    <n v="27.817413843050002"/>
    <n v="20.100000000000001"/>
    <n v="41.925480185788892"/>
    <m/>
    <n v="47.566278419197218"/>
    <n v="70"/>
  </r>
  <r>
    <d v="2026-07-13T10:00:00"/>
    <x v="4"/>
    <n v="10"/>
    <n v="26.572394776277768"/>
    <m/>
    <n v="27.80938481739722"/>
    <n v="20"/>
    <n v="42.591945474911121"/>
    <m/>
    <n v="47.578388908566673"/>
    <n v="67"/>
  </r>
  <r>
    <d v="2026-07-13T11:00:00"/>
    <x v="4"/>
    <n v="11"/>
    <n v="26.4138963959"/>
    <m/>
    <n v="27.814543552419451"/>
    <n v="21.3"/>
    <n v="42.782722407513887"/>
    <m/>
    <n v="47.5500278612"/>
    <n v="60"/>
  </r>
  <r>
    <d v="2026-07-13T12:00:00"/>
    <x v="4"/>
    <n v="12"/>
    <n v="26.293547072563889"/>
    <m/>
    <n v="27.809178270558331"/>
    <n v="21.7"/>
    <n v="43.161147099475002"/>
    <m/>
    <n v="47.56233321013611"/>
    <n v="63"/>
  </r>
  <r>
    <d v="2026-07-13T13:00:00"/>
    <x v="4"/>
    <n v="13"/>
    <n v="26.197483513975001"/>
    <m/>
    <n v="27.798749989661111"/>
    <n v="21.3"/>
    <n v="43.569424796363883"/>
    <m/>
    <n v="47.562000150047218"/>
    <n v="67"/>
  </r>
  <r>
    <d v="2026-07-13T14:00:00"/>
    <x v="4"/>
    <n v="14"/>
    <n v="26.116926136658339"/>
    <m/>
    <n v="27.795305478749999"/>
    <n v="22"/>
    <n v="43.981952675283331"/>
    <m/>
    <n v="47.580595832602768"/>
    <n v="67"/>
  </r>
  <r>
    <d v="2026-07-13T15:00:00"/>
    <x v="4"/>
    <n v="15"/>
    <n v="26.062662757511109"/>
    <m/>
    <n v="27.78857916770556"/>
    <n v="21.7"/>
    <n v="45.190307996513887"/>
    <m/>
    <n v="47.678207717755562"/>
    <n v="70"/>
  </r>
  <r>
    <d v="2026-07-13T16:00:00"/>
    <x v="4"/>
    <n v="16"/>
    <n v="26.024724937424999"/>
    <m/>
    <n v="27.793738262291669"/>
    <n v="21.5"/>
    <n v="46.614722731111108"/>
    <m/>
    <n v="47.777005086936107"/>
    <n v="69"/>
  </r>
  <r>
    <d v="2026-07-13T17:00:00"/>
    <x v="4"/>
    <n v="17"/>
    <n v="25.979566387558329"/>
    <m/>
    <n v="27.805858685763891"/>
    <n v="22.3"/>
    <n v="47.538067715352767"/>
    <m/>
    <n v="47.898221910488893"/>
    <n v="70"/>
  </r>
  <r>
    <d v="2026-07-13T18:00:00"/>
    <x v="4"/>
    <n v="18"/>
    <n v="25.96333118896111"/>
    <m/>
    <n v="27.78331580447222"/>
    <n v="22.4"/>
    <n v="49.007544548722223"/>
    <m/>
    <n v="48.065656758244451"/>
    <n v="69"/>
  </r>
  <r>
    <d v="2026-07-13T19:00:00"/>
    <x v="4"/>
    <n v="19"/>
    <n v="25.921682976713889"/>
    <m/>
    <n v="27.777095894794449"/>
    <n v="21.9"/>
    <n v="49.683209199138894"/>
    <m/>
    <n v="48.131245159619453"/>
    <n v="75"/>
  </r>
  <r>
    <d v="2026-07-13T20:00:00"/>
    <x v="4"/>
    <n v="20"/>
    <n v="25.787976501263891"/>
    <m/>
    <n v="27.769888994544441"/>
    <n v="21"/>
    <n v="50.171054133677778"/>
    <m/>
    <n v="48.278859195280553"/>
    <n v="79"/>
  </r>
  <r>
    <d v="2026-07-13T21:00:00"/>
    <x v="4"/>
    <n v="21"/>
    <n v="25.639142994633328"/>
    <m/>
    <n v="27.755747337599999"/>
    <n v="19.600000000000001"/>
    <n v="50.687801240366667"/>
    <m/>
    <n v="48.452835803066669"/>
    <n v="84"/>
  </r>
  <r>
    <d v="2026-07-13T22:00:00"/>
    <x v="4"/>
    <n v="22"/>
    <n v="25.511340330100001"/>
    <m/>
    <n v="27.746762652655558"/>
    <n v="19.2"/>
    <n v="51.150747449747222"/>
    <m/>
    <n v="48.560798177669447"/>
    <n v="87"/>
  </r>
  <r>
    <d v="2026-07-13T23:00:00"/>
    <x v="4"/>
    <n v="23"/>
    <n v="25.41419718124444"/>
    <m/>
    <n v="27.740277950172221"/>
    <n v="18.5"/>
    <n v="51.483368960900002"/>
    <m/>
    <n v="48.556101489508343"/>
    <n v="92"/>
  </r>
  <r>
    <d v="2026-07-14T00:00:00"/>
    <x v="4"/>
    <n v="0"/>
    <n v="25.350738579369441"/>
    <m/>
    <n v="27.741762507905559"/>
    <n v="18.100000000000001"/>
    <n v="51.763300864955561"/>
    <m/>
    <n v="48.686955805447219"/>
    <n v="93"/>
  </r>
  <r>
    <d v="2026-07-14T01:00:00"/>
    <x v="4"/>
    <n v="1"/>
    <n v="25.287988218166671"/>
    <m/>
    <n v="27.74031831235277"/>
    <n v="17.7"/>
    <n v="51.855366969263891"/>
    <m/>
    <n v="48.834254669422222"/>
    <n v="95"/>
  </r>
  <r>
    <d v="2026-07-14T02:00:00"/>
    <x v="4"/>
    <n v="2"/>
    <n v="25.22729379279167"/>
    <m/>
    <n v="27.7219041717"/>
    <n v="17.100000000000001"/>
    <n v="51.784450649783338"/>
    <m/>
    <n v="48.919650527061123"/>
    <n v="97"/>
  </r>
  <r>
    <d v="2026-07-14T03:00:00"/>
    <x v="4"/>
    <n v="3"/>
    <n v="25.172503706433329"/>
    <m/>
    <n v="27.72852587090556"/>
    <n v="17"/>
    <n v="51.677636090716668"/>
    <m/>
    <n v="48.907255164002777"/>
    <n v="97"/>
  </r>
  <r>
    <d v="2026-07-14T04:00:00"/>
    <x v="4"/>
    <n v="4"/>
    <n v="25.13409539912778"/>
    <m/>
    <n v="27.70569186048056"/>
    <n v="16.600000000000001"/>
    <n v="51.661344966347222"/>
    <m/>
    <n v="48.97669491558333"/>
    <n v="97"/>
  </r>
  <r>
    <d v="2026-07-14T05:00:00"/>
    <x v="4"/>
    <n v="5"/>
    <n v="25.340767862566661"/>
    <m/>
    <n v="27.688472052897222"/>
    <n v="16.100000000000001"/>
    <n v="51.337126902413893"/>
    <m/>
    <n v="49.024234512602767"/>
    <n v="99"/>
  </r>
  <r>
    <d v="2026-07-14T06:00:00"/>
    <x v="4"/>
    <n v="6"/>
    <n v="25.569502754550001"/>
    <m/>
    <n v="27.671358355963889"/>
    <n v="16.7"/>
    <n v="50.723622350655553"/>
    <m/>
    <n v="49.036852178430557"/>
    <n v="98"/>
  </r>
  <r>
    <d v="2026-07-14T07:00:00"/>
    <x v="4"/>
    <n v="7"/>
    <n v="25.851856418605561"/>
    <m/>
    <n v="27.669861184369449"/>
    <n v="17.7"/>
    <n v="50.641363174647218"/>
    <m/>
    <n v="49.07546026824167"/>
    <n v="95"/>
  </r>
  <r>
    <d v="2026-07-14T08:00:00"/>
    <x v="4"/>
    <n v="8"/>
    <n v="26.618007307925001"/>
    <m/>
    <n v="27.680141838938891"/>
    <n v="19.2"/>
    <n v="49.449551100502781"/>
    <m/>
    <n v="49.015597137763883"/>
    <n v="89"/>
  </r>
  <r>
    <d v="2026-07-14T09:00:00"/>
    <x v="4"/>
    <n v="9"/>
    <n v="27.095006984983328"/>
    <m/>
    <n v="27.696444936163889"/>
    <n v="20.9"/>
    <n v="49.702009593361112"/>
    <m/>
    <n v="49.189656765747223"/>
    <n v="85"/>
  </r>
  <r>
    <d v="2026-07-14T10:00:00"/>
    <x v="4"/>
    <n v="10"/>
    <n v="26.97380684166944"/>
    <m/>
    <n v="27.691638807727781"/>
    <n v="23"/>
    <n v="50.913886971863889"/>
    <m/>
    <n v="49.530139312811123"/>
    <n v="74"/>
  </r>
  <r>
    <d v="2026-07-14T11:00:00"/>
    <x v="4"/>
    <n v="11"/>
    <n v="26.69066142294167"/>
    <m/>
    <n v="27.70037637004722"/>
    <n v="24.4"/>
    <n v="51.467482260588888"/>
    <m/>
    <n v="49.578866629572218"/>
    <n v="69"/>
  </r>
  <r>
    <d v="2026-07-14T12:00:00"/>
    <x v="4"/>
    <n v="12"/>
    <n v="26.42139971378333"/>
    <m/>
    <n v="27.69534585778889"/>
    <n v="25.2"/>
    <n v="51.638194748488893"/>
    <m/>
    <n v="49.305135425397218"/>
    <n v="65"/>
  </r>
  <r>
    <d v="2026-07-14T13:00:00"/>
    <x v="4"/>
    <n v="13"/>
    <n v="26.325020105088889"/>
    <m/>
    <n v="27.688694483497219"/>
    <n v="25.9"/>
    <n v="52.110653466763893"/>
    <m/>
    <n v="49.189284178997219"/>
    <n v="61"/>
  </r>
  <r>
    <d v="2026-07-14T14:00:00"/>
    <x v="4"/>
    <n v="14"/>
    <n v="26.220359312841669"/>
    <m/>
    <n v="27.68837354896111"/>
    <n v="26.2"/>
    <n v="52.776217534741669"/>
    <m/>
    <n v="49.082053136533339"/>
    <n v="58"/>
  </r>
  <r>
    <d v="2026-07-14T15:00:00"/>
    <x v="4"/>
    <n v="15"/>
    <n v="26.173064476874998"/>
    <m/>
    <n v="27.67804011108333"/>
    <n v="26.3"/>
    <n v="52.996700972366661"/>
    <m/>
    <n v="49.051975055227778"/>
    <n v="57"/>
  </r>
  <r>
    <d v="2026-07-14T16:00:00"/>
    <x v="4"/>
    <n v="16"/>
    <n v="26.121475963655559"/>
    <m/>
    <n v="27.668777681155561"/>
    <n v="21.8"/>
    <n v="53.26174818342222"/>
    <m/>
    <n v="49.028008034494441"/>
    <n v="81"/>
  </r>
  <r>
    <d v="2026-07-14T17:00:00"/>
    <x v="4"/>
    <n v="17"/>
    <n v="26.10186497705277"/>
    <m/>
    <n v="27.663012343855559"/>
    <n v="22.8"/>
    <n v="53.298301323747218"/>
    <m/>
    <n v="49.089894692072221"/>
    <n v="74"/>
  </r>
  <r>
    <d v="2026-07-14T18:00:00"/>
    <x v="4"/>
    <n v="18"/>
    <n v="26.070792513166669"/>
    <m/>
    <n v="27.663500421005551"/>
    <n v="23.5"/>
    <n v="53.262845493911108"/>
    <m/>
    <n v="49.058731385947233"/>
    <n v="72"/>
  </r>
  <r>
    <d v="2026-07-14T19:00:00"/>
    <x v="4"/>
    <n v="19"/>
    <n v="25.989150205780561"/>
    <m/>
    <n v="27.665070274777779"/>
    <n v="22.5"/>
    <n v="53.010976401038903"/>
    <m/>
    <n v="49.130786798013887"/>
    <n v="76"/>
  </r>
  <r>
    <d v="2026-07-14T20:00:00"/>
    <x v="4"/>
    <n v="20"/>
    <n v="25.894353099813891"/>
    <m/>
    <n v="27.657830225680559"/>
    <n v="21.3"/>
    <n v="52.675493602700001"/>
    <m/>
    <n v="49.225216077052778"/>
    <n v="85"/>
  </r>
  <r>
    <d v="2026-07-14T21:00:00"/>
    <x v="4"/>
    <n v="21"/>
    <n v="25.503972233433331"/>
    <m/>
    <n v="27.659126348747229"/>
    <n v="20.100000000000001"/>
    <n v="55.482338195508333"/>
    <m/>
    <n v="49.298647690994443"/>
    <n v="92"/>
  </r>
  <r>
    <d v="2026-07-14T22:00:00"/>
    <x v="4"/>
    <n v="22"/>
    <n v="24.658023703311109"/>
    <m/>
    <n v="27.65327463961389"/>
    <n v="19.5"/>
    <n v="60.848942981474998"/>
    <m/>
    <n v="49.434567798327777"/>
    <n v="95"/>
  </r>
  <r>
    <d v="2026-07-14T23:00:00"/>
    <x v="4"/>
    <n v="23"/>
    <n v="24.383749794288889"/>
    <m/>
    <n v="27.651722284697229"/>
    <n v="19.100000000000001"/>
    <n v="60.487193062472222"/>
    <m/>
    <n v="49.828920525094453"/>
    <n v="96"/>
  </r>
  <r>
    <d v="2026-07-15T00:00:00"/>
    <x v="4"/>
    <n v="0"/>
    <n v="24.517511467858331"/>
    <m/>
    <n v="27.662034071352771"/>
    <n v="18.899999999999999"/>
    <n v="60.202193936561123"/>
    <m/>
    <n v="49.655296268822219"/>
    <n v="97"/>
  </r>
  <r>
    <d v="2026-07-15T01:00:00"/>
    <x v="4"/>
    <n v="1"/>
    <n v="24.124339774597221"/>
    <m/>
    <n v="27.69058984483334"/>
    <n v="18.8"/>
    <n v="61.963072047952778"/>
    <m/>
    <n v="49.884810388733342"/>
    <n v="96"/>
  </r>
  <r>
    <d v="2026-07-15T02:00:00"/>
    <x v="4"/>
    <n v="2"/>
    <n v="24.04600335400556"/>
    <m/>
    <n v="27.695592651994449"/>
    <n v="18.399999999999999"/>
    <n v="62.398043373166672"/>
    <m/>
    <n v="50.096024598852779"/>
    <n v="95"/>
  </r>
  <r>
    <d v="2026-07-15T03:00:00"/>
    <x v="4"/>
    <n v="3"/>
    <n v="23.939393561197221"/>
    <m/>
    <n v="27.689928755038888"/>
    <n v="18"/>
    <n v="61.671921271108339"/>
    <m/>
    <n v="49.966833849952771"/>
    <n v="95"/>
  </r>
  <r>
    <d v="2026-07-15T04:00:00"/>
    <x v="4"/>
    <n v="4"/>
    <n v="23.701525471250001"/>
    <m/>
    <n v="27.693821062216671"/>
    <n v="17.600000000000001"/>
    <n v="62.093966036297218"/>
    <m/>
    <n v="49.957386704202783"/>
    <n v="95"/>
  </r>
  <r>
    <d v="2026-07-15T05:00:00"/>
    <x v="4"/>
    <n v="5"/>
    <n v="23.611421109527779"/>
    <m/>
    <n v="27.688361321463891"/>
    <n v="17.2"/>
    <n v="62.415243621144441"/>
    <m/>
    <n v="50.003080518788892"/>
    <n v="97"/>
  </r>
  <r>
    <d v="2026-07-15T06:00:00"/>
    <x v="4"/>
    <n v="6"/>
    <n v="24.86603464803056"/>
    <m/>
    <n v="27.689416857572219"/>
    <n v="17.7"/>
    <n v="57.465162980277768"/>
    <m/>
    <n v="49.957292406758327"/>
    <n v="95"/>
  </r>
  <r>
    <d v="2026-07-15T07:00:00"/>
    <x v="4"/>
    <n v="7"/>
    <n v="25.929561474361108"/>
    <m/>
    <n v="27.689749986563889"/>
    <n v="19"/>
    <n v="54.425868229516659"/>
    <m/>
    <n v="49.823158817063891"/>
    <n v="89"/>
  </r>
  <r>
    <d v="2026-07-15T08:00:00"/>
    <x v="4"/>
    <n v="8"/>
    <n v="26.704589265236109"/>
    <m/>
    <n v="27.697209782855559"/>
    <n v="20.6"/>
    <n v="52.632773708544448"/>
    <m/>
    <n v="49.775197692250003"/>
    <n v="81"/>
  </r>
  <r>
    <d v="2026-07-15T09:00:00"/>
    <x v="4"/>
    <n v="9"/>
    <n v="27.18200505138056"/>
    <m/>
    <n v="27.721130096072219"/>
    <n v="22.9"/>
    <n v="49.645112214630558"/>
    <m/>
    <n v="49.857579066877783"/>
    <n v="69"/>
  </r>
  <r>
    <d v="2026-07-15T10:00:00"/>
    <x v="4"/>
    <n v="10"/>
    <n v="27.084437271211112"/>
    <m/>
    <n v="27.753074462227779"/>
    <n v="24.4"/>
    <n v="46.577444599800003"/>
    <m/>
    <n v="49.861251146738887"/>
    <n v="55"/>
  </r>
  <r>
    <d v="2026-07-15T11:00:00"/>
    <x v="4"/>
    <n v="11"/>
    <n v="26.98659259886389"/>
    <m/>
    <n v="27.76922567799722"/>
    <n v="25.2"/>
    <n v="44.908905635150013"/>
    <m/>
    <n v="49.812711767736111"/>
    <n v="49"/>
  </r>
  <r>
    <d v="2026-07-15T12:00:00"/>
    <x v="4"/>
    <n v="12"/>
    <n v="27.07548077748611"/>
    <m/>
    <n v="27.795114579574999"/>
    <n v="25.8"/>
    <n v="44.635703781994451"/>
    <m/>
    <n v="49.633674043058328"/>
    <n v="47"/>
  </r>
  <r>
    <d v="2026-07-15T13:00:00"/>
    <x v="4"/>
    <n v="13"/>
    <n v="26.6576615709"/>
    <m/>
    <n v="27.806166689608329"/>
    <n v="26"/>
    <n v="41.385913458697217"/>
    <m/>
    <n v="49.483521707925"/>
    <n v="46"/>
  </r>
  <r>
    <d v="2026-07-15T14:00:00"/>
    <x v="4"/>
    <n v="14"/>
    <n v="25.488197359363891"/>
    <m/>
    <n v="27.810499922358328"/>
    <n v="26.2"/>
    <n v="38.31280430454445"/>
    <m/>
    <n v="49.218064538830561"/>
    <n v="47"/>
  </r>
  <r>
    <d v="2026-07-15T15:00:00"/>
    <x v="4"/>
    <n v="15"/>
    <n v="25.039005649555559"/>
    <m/>
    <n v="27.79505188292778"/>
    <n v="26.9"/>
    <n v="37.390364001133328"/>
    <m/>
    <n v="48.868060840555557"/>
    <n v="44"/>
  </r>
  <r>
    <d v="2026-07-15T16:00:00"/>
    <x v="4"/>
    <n v="16"/>
    <n v="25.789786059163891"/>
    <m/>
    <n v="27.76977801523056"/>
    <n v="26.8"/>
    <n v="40.953864746450002"/>
    <m/>
    <n v="48.617765666830557"/>
    <n v="45"/>
  </r>
  <r>
    <d v="2026-07-15T17:00:00"/>
    <x v="4"/>
    <n v="17"/>
    <n v="26.518204434116669"/>
    <m/>
    <n v="27.77940461074445"/>
    <n v="26.9"/>
    <n v="44.540443072549998"/>
    <m/>
    <n v="48.728430032575012"/>
    <n v="45"/>
  </r>
  <r>
    <d v="2026-07-15T18:00:00"/>
    <x v="4"/>
    <n v="18"/>
    <n v="26.78156378976389"/>
    <n v="28.664399731074781"/>
    <n v="27.801337057941659"/>
    <n v="26.5"/>
    <n v="46.856706258602777"/>
    <n v="42.769080624548153"/>
    <n v="48.806760741036108"/>
    <n v="46"/>
  </r>
  <r>
    <d v="2026-07-15T19:00:00"/>
    <x v="4"/>
    <n v="19"/>
    <n v="26.89636126828611"/>
    <n v="28.500739659050002"/>
    <n v="27.828130461655562"/>
    <n v="26"/>
    <n v="47.318670841044451"/>
    <n v="44.742068232369441"/>
    <n v="48.870458595108339"/>
    <n v="48"/>
  </r>
  <r>
    <d v="2026-07-15T20:00:00"/>
    <x v="4"/>
    <n v="20"/>
    <n v="26.81325243000833"/>
    <n v="28.43924932905"/>
    <n v="27.847654554313891"/>
    <n v="24.7"/>
    <n v="47.187114776175001"/>
    <n v="46.237992011066673"/>
    <n v="48.957696783708343"/>
    <n v="60"/>
  </r>
  <r>
    <d v="2026-07-15T21:00:00"/>
    <x v="4"/>
    <n v="21"/>
    <n v="26.665740649511111"/>
    <n v="28.41025992356667"/>
    <n v="27.86071000586945"/>
    <n v="23.3"/>
    <n v="47.962274102936107"/>
    <n v="46.24783393698889"/>
    <n v="48.976346898413887"/>
    <n v="65"/>
  </r>
  <r>
    <d v="2026-07-15T22:00:00"/>
    <x v="4"/>
    <n v="22"/>
    <n v="26.221697338827781"/>
    <n v="28.243848241986111"/>
    <n v="27.875293322369441"/>
    <n v="22.4"/>
    <n v="47.709973005341659"/>
    <n v="45.932242488294442"/>
    <n v="48.898119371738893"/>
    <n v="69"/>
  </r>
  <r>
    <d v="2026-07-15T23:00:00"/>
    <x v="4"/>
    <n v="23"/>
    <n v="26.015809457222229"/>
    <n v="28.279997414977771"/>
    <n v="27.86990447569444"/>
    <n v="21.7"/>
    <n v="48.215361914797221"/>
    <n v="46.245259263352779"/>
    <n v="48.855000983686118"/>
    <n v="72"/>
  </r>
  <r>
    <d v="2026-07-16T00:00:00"/>
    <x v="4"/>
    <n v="0"/>
    <n v="25.718652390719441"/>
    <n v="28.31467699558333"/>
    <n v="27.87143178808612"/>
    <n v="20.8"/>
    <n v="50.473250943591673"/>
    <n v="45.223684116358328"/>
    <n v="48.824415911177773"/>
    <n v="76"/>
  </r>
  <r>
    <d v="2026-07-16T01:00:00"/>
    <x v="4"/>
    <n v="1"/>
    <n v="25.29326886281666"/>
    <n v="28.050079853413891"/>
    <n v="27.927530532027781"/>
    <n v="20"/>
    <n v="51.999146354794448"/>
    <n v="47.33118267908889"/>
    <n v="48.790376734663887"/>
    <n v="80"/>
  </r>
  <r>
    <d v="2026-07-16T02:00:00"/>
    <x v="4"/>
    <n v="2"/>
    <n v="24.75851207474166"/>
    <n v="27.746796071713892"/>
    <n v="27.976037369616659"/>
    <n v="19.3"/>
    <n v="54.385326018755563"/>
    <n v="47.484461884302782"/>
    <n v="48.85078554378611"/>
    <n v="84"/>
  </r>
  <r>
    <d v="2026-07-16T03:00:00"/>
    <x v="4"/>
    <n v="3"/>
    <n v="24.31828905970556"/>
    <n v="27.529062935174998"/>
    <n v="27.919153225355561"/>
    <n v="18.7"/>
    <n v="56.388023558305562"/>
    <n v="47.992137365008332"/>
    <n v="49.066311883405547"/>
    <n v="89"/>
  </r>
  <r>
    <d v="2026-07-16T04:00:00"/>
    <x v="4"/>
    <n v="4"/>
    <n v="23.910630189202781"/>
    <n v="27.336827299761111"/>
    <n v="27.894750079172219"/>
    <n v="18.3"/>
    <n v="58.423268094258333"/>
    <n v="48.629076532669437"/>
    <n v="49.211756128322229"/>
    <n v="91"/>
  </r>
  <r>
    <d v="2026-07-16T05:00:00"/>
    <x v="4"/>
    <n v="5"/>
    <n v="23.655811320358328"/>
    <n v="27.243712711388891"/>
    <n v="27.878405023075"/>
    <n v="17.899999999999999"/>
    <n v="59.368612913425011"/>
    <n v="48.753096546283331"/>
    <n v="49.252181294102783"/>
    <n v="92"/>
  </r>
  <r>
    <d v="2026-07-16T06:00:00"/>
    <x v="4"/>
    <n v="6"/>
    <n v="24.699301549147229"/>
    <n v="27.372852031375"/>
    <n v="27.862420760733329"/>
    <n v="18.2"/>
    <n v="55.14984038391389"/>
    <n v="48.199850762088893"/>
    <n v="49.263830290700007"/>
    <n v="90"/>
  </r>
  <r>
    <d v="2026-07-16T07:00:00"/>
    <x v="4"/>
    <n v="7"/>
    <n v="25.923564036449999"/>
    <n v="27.720412224488889"/>
    <n v="27.863710749136111"/>
    <n v="19"/>
    <n v="50.431681909072218"/>
    <n v="46.741661093694439"/>
    <n v="49.178270116436117"/>
    <n v="83"/>
  </r>
  <r>
    <d v="2026-07-16T08:00:00"/>
    <x v="4"/>
    <n v="8"/>
    <n v="26.679156262897219"/>
    <n v="27.986100622494451"/>
    <n v="27.888161633925002"/>
    <n v="20.100000000000001"/>
    <n v="47.546626919025002"/>
    <n v="45.309952751711123"/>
    <n v="49.089084725591668"/>
    <n v="76"/>
  </r>
  <r>
    <d v="2026-07-16T09:00:00"/>
    <x v="4"/>
    <n v="9"/>
    <n v="26.840757416986111"/>
    <n v="28.024168784822219"/>
    <n v="28.050871742519451"/>
    <n v="21.3"/>
    <n v="47.709957281722218"/>
    <n v="45.155776455844453"/>
    <n v="48.757124416391669"/>
    <n v="69"/>
  </r>
  <r>
    <d v="2026-07-16T10:00:00"/>
    <x v="4"/>
    <n v="10"/>
    <n v="26.86714907935"/>
    <n v="28.377708190561108"/>
    <n v="27.95134313437778"/>
    <n v="22.4"/>
    <n v="47.151791040636112"/>
    <n v="50.318528707358332"/>
    <n v="49.00620973715278"/>
    <n v="62"/>
  </r>
  <r>
    <d v="2026-07-16T11:00:00"/>
    <x v="4"/>
    <n v="11"/>
    <n v="26.998076262441671"/>
    <n v="28.3681878344"/>
    <n v="27.90563855975833"/>
    <n v="23.6"/>
    <n v="42.875973833811109"/>
    <n v="45.454476606711097"/>
    <n v="49.197282259469439"/>
    <n v="55"/>
  </r>
  <r>
    <d v="2026-07-16T12:00:00"/>
    <x v="4"/>
    <n v="12"/>
    <n v="26.014609582036108"/>
    <n v="28.028462749319441"/>
    <n v="27.92739688763611"/>
    <n v="23.9"/>
    <n v="39.738532897377773"/>
    <n v="40.206290199694443"/>
    <n v="49.079919165227778"/>
    <n v="49"/>
  </r>
  <r>
    <d v="2026-07-16T13:00:00"/>
    <x v="4"/>
    <n v="13"/>
    <n v="25.75047871318333"/>
    <n v="27.651226814680559"/>
    <n v="27.896599443827778"/>
    <n v="24.5"/>
    <n v="42.292556798777767"/>
    <n v="39.85104259344444"/>
    <n v="48.823520647380562"/>
    <n v="43"/>
  </r>
  <r>
    <d v="2026-07-16T14:00:00"/>
    <x v="4"/>
    <n v="14"/>
    <n v="26.26230405404722"/>
    <n v="27.620902759444441"/>
    <n v="27.903479789369442"/>
    <n v="24.7"/>
    <n v="50.617563218500003"/>
    <n v="47.05112944291389"/>
    <n v="49.124748990616673"/>
    <n v="42"/>
  </r>
  <r>
    <d v="2026-07-16T15:00:00"/>
    <x v="4"/>
    <n v="15"/>
    <n v="26.48015076005278"/>
    <n v="27.921485505324998"/>
    <n v="28.072140397330561"/>
    <n v="25.3"/>
    <n v="51.004041875875011"/>
    <n v="48.39262463984722"/>
    <n v="49.888977347450002"/>
    <n v="41"/>
  </r>
  <r>
    <d v="2026-07-16T16:00:00"/>
    <x v="4"/>
    <n v="16"/>
    <n v="26.28631008052778"/>
    <n v="27.878058644738889"/>
    <n v="28.210605110969439"/>
    <n v="25.2"/>
    <n v="51.20504655858889"/>
    <n v="48.059478935649999"/>
    <n v="50.093608943094438"/>
    <n v="40"/>
  </r>
  <r>
    <d v="2026-07-16T17:00:00"/>
    <x v="4"/>
    <n v="17"/>
    <n v="25.23846876196944"/>
    <n v="27.492004145536111"/>
    <n v="28.044906810299999"/>
    <n v="25"/>
    <n v="46.284472001794448"/>
    <n v="43.030723587252773"/>
    <n v="49.629557609847218"/>
    <n v="40"/>
  </r>
  <r>
    <d v="2026-07-16T18:00:00"/>
    <x v="4"/>
    <n v="18"/>
    <n v="25.968369242836111"/>
    <n v="27.581745993233341"/>
    <n v="27.990800276000002"/>
    <n v="24.4"/>
    <n v="54.920282428219437"/>
    <n v="50.352376964330553"/>
    <n v="49.538149540466669"/>
    <n v="44"/>
  </r>
  <r>
    <d v="2026-07-16T19:00:00"/>
    <x v="4"/>
    <n v="19"/>
    <n v="26.381386498800001"/>
    <n v="27.961635115305551"/>
    <n v="27.996005940827771"/>
    <n v="23.5"/>
    <n v="53.83956553474723"/>
    <n v="50.367644811441671"/>
    <n v="49.583305973613882"/>
    <n v="50"/>
  </r>
  <r>
    <d v="2026-07-16T20:00:00"/>
    <x v="4"/>
    <n v="20"/>
    <n v="26.418472488019439"/>
    <n v="27.843220825027782"/>
    <n v="27.993833331286108"/>
    <n v="22.5"/>
    <n v="50.320391869552772"/>
    <n v="48.551418623313893"/>
    <n v="49.568638620975001"/>
    <n v="56"/>
  </r>
  <r>
    <d v="2026-07-16T21:00:00"/>
    <x v="4"/>
    <n v="21"/>
    <n v="25.611875364202771"/>
    <n v="27.336951961911112"/>
    <n v="28.046396132341659"/>
    <n v="21.3"/>
    <n v="45.42571779293889"/>
    <n v="45.055932624855558"/>
    <n v="49.41135894598056"/>
    <n v="62"/>
  </r>
  <r>
    <d v="2026-07-16T22:00:00"/>
    <x v="4"/>
    <n v="22"/>
    <n v="25.653912984358328"/>
    <n v="27.58113702776112"/>
    <n v="28.216805679961109"/>
    <n v="20.3"/>
    <n v="45.768897983544441"/>
    <n v="44.37083962533611"/>
    <n v="49.030384971038892"/>
    <n v="67"/>
  </r>
  <r>
    <d v="2026-07-16T23:00:00"/>
    <x v="4"/>
    <n v="23"/>
    <n v="24.20987019570833"/>
    <n v="26.994625384333329"/>
    <n v="28.255682961286109"/>
    <n v="19.5"/>
    <n v="40.747406972758327"/>
    <n v="37.917627261733337"/>
    <n v="48.077666038575003"/>
    <n v="72"/>
  </r>
  <r>
    <d v="2026-07-17T00:00:00"/>
    <x v="4"/>
    <n v="0"/>
    <n v="25.300989070975"/>
    <n v="27.284476464200001"/>
    <n v="28.08663952779445"/>
    <n v="19"/>
    <n v="46.434066184236109"/>
    <n v="44.156218446499999"/>
    <n v="47.966120848494448"/>
    <n v="75"/>
  </r>
  <r>
    <d v="2026-07-17T01:00:00"/>
    <x v="4"/>
    <n v="1"/>
    <n v="23.88267067352778"/>
    <n v="27.266023947080551"/>
    <n v="28.531637513494449"/>
    <n v="18.2"/>
    <n v="54.068225592613892"/>
    <n v="46.340597906663888"/>
    <n v="48.502644530405547"/>
    <n v="77"/>
  </r>
  <r>
    <d v="2026-07-17T02:00:00"/>
    <x v="4"/>
    <n v="2"/>
    <n v="22.967273176425"/>
    <n v="26.655893334491669"/>
    <n v="28.538043835719449"/>
    <n v="17.399999999999999"/>
    <n v="56.041399129577783"/>
    <n v="47.108773205061112"/>
    <n v="48.906851473786112"/>
    <n v="81"/>
  </r>
  <r>
    <d v="2026-07-17T03:00:00"/>
    <x v="4"/>
    <n v="3"/>
    <n v="22.791215327730551"/>
    <n v="26.420496273122222"/>
    <n v="28.553705356963889"/>
    <n v="16.2"/>
    <n v="54.60637933513889"/>
    <n v="46.259998650466663"/>
    <n v="49.053513271258332"/>
    <n v="87"/>
  </r>
  <r>
    <d v="2026-07-17T04:00:00"/>
    <x v="4"/>
    <n v="4"/>
    <n v="22.71770080591666"/>
    <n v="25.966264353786109"/>
    <n v="28.628844931225"/>
    <n v="15.8"/>
    <n v="51.752088513355552"/>
    <n v="44.704649606661121"/>
    <n v="48.843565514816667"/>
    <n v="89"/>
  </r>
  <r>
    <d v="2026-07-17T05:00:00"/>
    <x v="4"/>
    <n v="5"/>
    <n v="23.244771905736108"/>
    <n v="25.63022847758889"/>
    <n v="28.663011728311108"/>
    <n v="15.4"/>
    <n v="48.408364362044438"/>
    <n v="43.348280119136113"/>
    <n v="48.52853805056111"/>
    <n v="88"/>
  </r>
  <r>
    <d v="2026-07-17T06:00:00"/>
    <x v="4"/>
    <n v="6"/>
    <n v="24.04888646914722"/>
    <n v="25.577076575313889"/>
    <n v="28.685951744363891"/>
    <n v="15.4"/>
    <n v="44.516380549133338"/>
    <n v="41.963211310097229"/>
    <n v="48.209117246797227"/>
    <n v="79"/>
  </r>
  <r>
    <d v="2026-07-17T07:00:00"/>
    <x v="4"/>
    <n v="7"/>
    <n v="24.625404395363891"/>
    <n v="25.599550574855559"/>
    <n v="28.697563723944441"/>
    <n v="15.8"/>
    <n v="41.084424200266668"/>
    <n v="40.077663042383342"/>
    <n v="47.806248357599998"/>
    <n v="70"/>
  </r>
  <r>
    <d v="2026-07-17T08:00:00"/>
    <x v="4"/>
    <n v="8"/>
    <n v="25.11308633746944"/>
    <n v="25.593196073880559"/>
    <n v="28.710381004980562"/>
    <n v="16.8"/>
    <n v="37.372333748955562"/>
    <n v="37.839073544625002"/>
    <n v="47.443930923800004"/>
    <n v="61"/>
  </r>
  <r>
    <d v="2026-07-17T09:00:00"/>
    <x v="4"/>
    <n v="9"/>
    <n v="25.686841566236112"/>
    <n v="25.959626483200001"/>
    <n v="28.723942464563891"/>
    <n v="18.100000000000001"/>
    <n v="33.931795654727779"/>
    <n v="35.736540089308328"/>
    <n v="47.019242435324998"/>
    <n v="53"/>
  </r>
  <r>
    <d v="2026-07-17T10:00:00"/>
    <x v="4"/>
    <n v="10"/>
    <n v="25.684185667308331"/>
    <n v="26.447557633705561"/>
    <n v="27.972254196019449"/>
    <n v="18.899999999999999"/>
    <n v="32.788378290297217"/>
    <n v="35.514254790505547"/>
    <n v="42.588209814211112"/>
    <n v="47"/>
  </r>
  <r>
    <d v="2026-07-17T11:00:00"/>
    <x v="4"/>
    <n v="11"/>
    <n v="25.76277350490556"/>
    <n v="26.649515057513891"/>
    <n v="28.228654455791659"/>
    <n v="19.7"/>
    <n v="30.645457897080561"/>
    <n v="34.594446878500001"/>
    <n v="44.467923253288888"/>
    <n v="44"/>
  </r>
  <r>
    <d v="2026-07-17T12:00:00"/>
    <x v="4"/>
    <n v="12"/>
    <n v="25.421266075116659"/>
    <n v="26.59614715304167"/>
    <n v="28.502919569688888"/>
    <n v="20.399999999999999"/>
    <n v="31.335929371641669"/>
    <n v="33.420074077222218"/>
    <n v="45.192653544236123"/>
    <n v="42"/>
  </r>
  <r>
    <d v="2026-07-17T13:00:00"/>
    <x v="4"/>
    <n v="13"/>
    <n v="25.243212214041659"/>
    <n v="26.591883531288889"/>
    <n v="28.798610775783331"/>
    <n v="20.9"/>
    <n v="31.713784232855559"/>
    <n v="32.613160512824997"/>
    <n v="44.744196148022219"/>
    <n v="40"/>
  </r>
  <r>
    <d v="2026-07-17T14:00:00"/>
    <x v="4"/>
    <n v="14"/>
    <n v="25.332945209986669"/>
    <n v="26.76313490399334"/>
    <n v="28.226087107550001"/>
    <n v="21.4"/>
    <n v="32.242980302503327"/>
    <n v="34.52318624187"/>
    <n v="41.96791107921333"/>
    <n v="38"/>
  </r>
  <r>
    <d v="2026-07-17T15:00:00"/>
    <x v="4"/>
    <n v="15"/>
    <n v="25.122201232441949"/>
    <n v="26.58670443836467"/>
    <n v="27.759643660897549"/>
    <n v="22.1"/>
    <n v="32.451382878020027"/>
    <n v="33.676048650440052"/>
    <n v="42.900930095420577"/>
    <n v="37"/>
  </r>
  <r>
    <d v="2026-07-17T16:00:00"/>
    <x v="4"/>
    <n v="16"/>
    <n v="25.165798480766671"/>
    <n v="26.674735871541671"/>
    <n v="27.83571508493333"/>
    <n v="22.3"/>
    <n v="32.303674239599999"/>
    <n v="33.864179545819447"/>
    <n v="42.112003822919448"/>
    <n v="37"/>
  </r>
  <r>
    <d v="2026-07-17T17:00:00"/>
    <x v="4"/>
    <n v="17"/>
    <n v="25.23167654552222"/>
    <n v="26.317835353438891"/>
    <n v="28.103433992386108"/>
    <n v="22.1"/>
    <n v="32.252599517880547"/>
    <n v="33.052278970058332"/>
    <n v="43.279521962116668"/>
    <n v="38"/>
  </r>
  <r>
    <d v="2026-07-17T18:00:00"/>
    <x v="4"/>
    <n v="18"/>
    <n v="25.134848043522229"/>
    <n v="25.978137611105559"/>
    <n v="28.330624429408331"/>
    <n v="21.5"/>
    <n v="33.541481623872222"/>
    <n v="33.954506368394448"/>
    <n v="43.78787561264722"/>
    <n v="39"/>
  </r>
  <r>
    <d v="2026-07-17T19:00:00"/>
    <x v="4"/>
    <n v="19"/>
    <n v="24.982963798197229"/>
    <n v="25.827029638416661"/>
    <n v="28.353991800749998"/>
    <n v="20.7"/>
    <n v="34.333043734061107"/>
    <n v="34.670942404905553"/>
    <n v="43.211316437661111"/>
    <n v="41"/>
  </r>
  <r>
    <d v="2026-07-17T20:00:00"/>
    <x v="4"/>
    <n v="20"/>
    <n v="24.589239054941672"/>
    <n v="26.21423841949445"/>
    <n v="27.452100771816671"/>
    <n v="19.899999999999999"/>
    <n v="36.066377225552777"/>
    <n v="35.196245329158337"/>
    <n v="42.076358396680561"/>
    <n v="43"/>
  </r>
  <r>
    <d v="2026-07-17T21:00:00"/>
    <x v="4"/>
    <n v="21"/>
    <n v="24.370921324072221"/>
    <n v="26.223714789808341"/>
    <n v="27.687191946016672"/>
    <n v="18.7"/>
    <n v="36.880017694750002"/>
    <n v="36.728313062036108"/>
    <n v="43.070775543849997"/>
    <n v="48"/>
  </r>
  <r>
    <d v="2026-07-17T22:00:00"/>
    <x v="4"/>
    <n v="22"/>
    <n v="24.130403993247221"/>
    <n v="26.36840576217222"/>
    <n v="28.21656555306112"/>
    <n v="17.899999999999999"/>
    <n v="36.686823173958331"/>
    <n v="36.826903129308327"/>
    <n v="43.460891715369449"/>
    <n v="51"/>
  </r>
  <r>
    <d v="2026-07-17T23:00:00"/>
    <x v="4"/>
    <n v="23"/>
    <n v="23.466222486972221"/>
    <n v="26.330017023816669"/>
    <n v="28.35065192081111"/>
    <n v="17.100000000000001"/>
    <n v="37.886334476230559"/>
    <n v="36.792522365780563"/>
    <n v="42.828714817749997"/>
    <n v="54"/>
  </r>
  <r>
    <d v="2026-07-18T00:00:00"/>
    <x v="4"/>
    <n v="0"/>
    <n v="23.598698974411111"/>
    <n v="26.370846539424999"/>
    <n v="28.523583959105551"/>
    <n v="16.399999999999999"/>
    <n v="38.553442422905562"/>
    <n v="37.162743877416673"/>
    <n v="42.87159441544722"/>
    <n v="56"/>
  </r>
  <r>
    <d v="2026-07-18T01:00:00"/>
    <x v="4"/>
    <n v="1"/>
    <n v="23.038694139163891"/>
    <n v="26.322024550652781"/>
    <n v="28.578965208080561"/>
    <n v="15.8"/>
    <n v="39.818651209913888"/>
    <n v="37.178159836716667"/>
    <n v="42.579562539544447"/>
    <n v="59"/>
  </r>
  <r>
    <d v="2026-07-18T02:00:00"/>
    <x v="4"/>
    <n v="2"/>
    <n v="22.321086280971478"/>
    <n v="26.11378602910834"/>
    <n v="28.577944303802781"/>
    <n v="14.9"/>
    <n v="40.719391441754993"/>
    <n v="35.140686880936123"/>
    <n v="42.689721711108341"/>
    <n v="64"/>
  </r>
  <r>
    <d v="2026-07-18T03:00:00"/>
    <x v="4"/>
    <n v="3"/>
    <n v="21.986685939009959"/>
    <n v="26.00680237171666"/>
    <n v="28.529081759158331"/>
    <n v="13.3"/>
    <n v="41.272385807357431"/>
    <n v="34.800702510374997"/>
    <n v="42.706098329338893"/>
    <n v="73"/>
  </r>
  <r>
    <d v="2026-07-18T04:00:00"/>
    <x v="4"/>
    <n v="4"/>
    <m/>
    <n v="25.909862953605561"/>
    <n v="28.47749099286667"/>
    <n v="12.7"/>
    <m/>
    <n v="34.85284140466667"/>
    <n v="42.745379542938878"/>
    <n v="77"/>
  </r>
  <r>
    <d v="2026-07-18T05:00:00"/>
    <x v="4"/>
    <n v="5"/>
    <m/>
    <n v="25.95556736621667"/>
    <n v="28.450853180566671"/>
    <n v="12.4"/>
    <m/>
    <n v="34.612738641272223"/>
    <n v="42.835498717577771"/>
    <n v="79"/>
  </r>
  <r>
    <d v="2026-07-18T06:00:00"/>
    <x v="4"/>
    <n v="6"/>
    <n v="23.867337976929029"/>
    <n v="26.276838249386099"/>
    <n v="28.455090522252771"/>
    <n v="13"/>
    <n v="36.77566825497442"/>
    <n v="35.637240151191662"/>
    <n v="43.001040305350003"/>
    <n v="76"/>
  </r>
  <r>
    <d v="2026-07-18T07:00:00"/>
    <x v="4"/>
    <n v="7"/>
    <n v="25.04811991802778"/>
    <n v="26.777489706141669"/>
    <n v="28.466479895638891"/>
    <n v="14.6"/>
    <n v="36.188994297733331"/>
    <n v="35.417435029986123"/>
    <n v="43.242915269838882"/>
    <n v="69"/>
  </r>
  <r>
    <d v="2026-07-18T08:00:00"/>
    <x v="4"/>
    <n v="8"/>
    <n v="26.30166364588333"/>
    <n v="27.33021890772222"/>
    <n v="28.493864614211109"/>
    <n v="17.100000000000001"/>
    <n v="35.884454621872223"/>
    <n v="36.104691935447221"/>
    <n v="43.429698531322217"/>
    <n v="58"/>
  </r>
  <r>
    <d v="2026-07-18T09:00:00"/>
    <x v="4"/>
    <n v="9"/>
    <n v="27.096085708486111"/>
    <n v="27.73589040465"/>
    <n v="28.531529968491672"/>
    <n v="19.8"/>
    <n v="35.179349059338882"/>
    <n v="36.472144071841662"/>
    <n v="43.640371751952777"/>
    <n v="46"/>
  </r>
  <r>
    <d v="2026-07-18T10:00:00"/>
    <x v="4"/>
    <n v="10"/>
    <n v="27.278280201405561"/>
    <n v="28.165574332288891"/>
    <n v="28.57466928414167"/>
    <n v="21.1"/>
    <n v="32.847353047716673"/>
    <n v="38.00201948396667"/>
    <n v="43.88877783466944"/>
    <n v="38"/>
  </r>
  <r>
    <d v="2026-07-18T11:00:00"/>
    <x v="4"/>
    <n v="11"/>
    <n v="27.2532194725"/>
    <n v="28.35344820292222"/>
    <n v="28.606883040772221"/>
    <n v="22.2"/>
    <n v="31.41212805579444"/>
    <n v="35.740313860430547"/>
    <n v="44.013328459477783"/>
    <n v="35"/>
  </r>
  <r>
    <d v="2026-07-18T12:00:00"/>
    <x v="4"/>
    <n v="12"/>
    <n v="27.302780809430551"/>
    <n v="28.625440197688889"/>
    <n v="28.630606261930559"/>
    <n v="23.1"/>
    <n v="30.230544314574999"/>
    <n v="34.398660060194452"/>
    <n v="44.042166695291662"/>
    <n v="32"/>
  </r>
  <r>
    <d v="2026-07-18T13:00:00"/>
    <x v="4"/>
    <n v="13"/>
    <n v="26.786512878602771"/>
    <n v="28.275719965283329"/>
    <n v="28.666337767608329"/>
    <n v="23.8"/>
    <n v="30.821574140725001"/>
    <n v="36.24895813925"/>
    <n v="43.936267657183329"/>
    <n v="31"/>
  </r>
  <r>
    <d v="2026-07-18T14:00:00"/>
    <x v="4"/>
    <n v="14"/>
    <n v="26.63554335303056"/>
    <n v="28.161983450497221"/>
    <n v="28.486074435841669"/>
    <n v="24.2"/>
    <n v="32.374447790472217"/>
    <n v="37.10414157856389"/>
    <n v="43.119862558344451"/>
    <n v="31"/>
  </r>
  <r>
    <d v="2026-07-18T15:00:00"/>
    <x v="4"/>
    <n v="15"/>
    <n v="26.545026472905558"/>
    <n v="28.125813519963891"/>
    <n v="28.586435206922221"/>
    <n v="25"/>
    <n v="32.631936797361107"/>
    <n v="36.098738120422233"/>
    <n v="43.617811992583327"/>
    <n v="30"/>
  </r>
  <r>
    <d v="2026-07-18T16:00:00"/>
    <x v="4"/>
    <n v="16"/>
    <n v="26.577342824761111"/>
    <n v="28.054134099666669"/>
    <n v="28.750212492275001"/>
    <n v="26.3"/>
    <n v="32.540865997574997"/>
    <n v="37.341724718786118"/>
    <n v="43.546022531788893"/>
    <n v="27"/>
  </r>
  <r>
    <d v="2026-07-18T17:00:00"/>
    <x v="4"/>
    <n v="17"/>
    <n v="26.526328759944441"/>
    <n v="28.131503211222221"/>
    <n v="28.305556569922221"/>
    <n v="25.8"/>
    <n v="34.375420499500002"/>
    <n v="36.690119319738891"/>
    <n v="42.507315081252777"/>
    <n v="29"/>
  </r>
  <r>
    <d v="2026-07-18T18:00:00"/>
    <x v="4"/>
    <n v="18"/>
    <n v="26.712056446344441"/>
    <n v="28.12237509383889"/>
    <n v="28.323012988458331"/>
    <n v="24.8"/>
    <n v="35.719812873733332"/>
    <n v="39.591301881930562"/>
    <n v="46.663039168200008"/>
    <n v="32"/>
  </r>
  <r>
    <d v="2026-07-18T19:00:00"/>
    <x v="4"/>
    <n v="19"/>
    <n v="26.594520217477779"/>
    <n v="27.956951704861108"/>
    <n v="28.699288026536109"/>
    <n v="23.9"/>
    <n v="37.076806123805547"/>
    <n v="43.125417213069447"/>
    <n v="46.009351050252768"/>
    <n v="35"/>
  </r>
  <r>
    <d v="2026-07-18T20:00:00"/>
    <x v="4"/>
    <n v="20"/>
    <n v="26.12366491796389"/>
    <n v="27.707652310288889"/>
    <n v="28.873947532452771"/>
    <n v="23.3"/>
    <n v="38.431769113169437"/>
    <n v="44.793178561963892"/>
    <n v="45.93260937059167"/>
    <n v="37"/>
  </r>
  <r>
    <d v="2026-07-18T21:00:00"/>
    <x v="4"/>
    <n v="21"/>
    <n v="25.581934876475"/>
    <n v="27.457807717947219"/>
    <n v="28.838434343427771"/>
    <n v="22.5"/>
    <n v="39.093346583083338"/>
    <n v="44.242150472997217"/>
    <n v="45.491007434958327"/>
    <n v="40"/>
  </r>
  <r>
    <d v="2026-07-18T22:00:00"/>
    <x v="4"/>
    <n v="22"/>
    <n v="25.313181043566669"/>
    <n v="27.18837130781111"/>
    <n v="28.779713737691669"/>
    <n v="21.5"/>
    <n v="39.547063329041663"/>
    <n v="43.088822963030559"/>
    <n v="45.232631674672227"/>
    <n v="43"/>
  </r>
  <r>
    <d v="2026-07-18T23:00:00"/>
    <x v="4"/>
    <n v="23"/>
    <n v="25.055821986491669"/>
    <n v="26.997124969213889"/>
    <n v="28.72757488591667"/>
    <n v="21"/>
    <n v="40.034665406013893"/>
    <n v="41.735433579097233"/>
    <n v="45.076974723433331"/>
    <n v="45"/>
  </r>
  <r>
    <d v="2026-07-19T00:00:00"/>
    <x v="4"/>
    <n v="0"/>
    <n v="24.440216947044441"/>
    <n v="27.103609809544441"/>
    <n v="28.706498346997229"/>
    <n v="20"/>
    <n v="41.841129389022221"/>
    <n v="41.420434340736122"/>
    <n v="45.208260981194449"/>
    <n v="48"/>
  </r>
  <r>
    <d v="2026-07-19T01:00:00"/>
    <x v="4"/>
    <n v="1"/>
    <n v="24.381753929799999"/>
    <n v="27.055197990777771"/>
    <n v="28.724723971208331"/>
    <n v="19.2"/>
    <n v="42.302997010088887"/>
    <n v="39.800162865352782"/>
    <n v="44.948052537494448"/>
    <n v="51"/>
  </r>
  <r>
    <d v="2026-07-19T02:00:00"/>
    <x v="4"/>
    <n v="2"/>
    <n v="23.898083247005559"/>
    <n v="26.929827527483329"/>
    <n v="28.71094306541389"/>
    <n v="18.600000000000001"/>
    <n v="43.27013849738055"/>
    <n v="38.925575350405552"/>
    <n v="44.814177724122217"/>
    <n v="54"/>
  </r>
  <r>
    <d v="2026-07-19T03:00:00"/>
    <x v="4"/>
    <n v="3"/>
    <n v="23.545290790888892"/>
    <n v="26.793490017591669"/>
    <n v="28.689719016472221"/>
    <n v="16.7"/>
    <n v="44.229935928708329"/>
    <n v="39.575350403811107"/>
    <n v="44.747799258008342"/>
    <n v="69"/>
  </r>
  <r>
    <d v="2026-07-19T04:00:00"/>
    <x v="4"/>
    <n v="4"/>
    <n v="23.282649682488891"/>
    <n v="26.694404891491669"/>
    <n v="28.667746574836109"/>
    <n v="16.3"/>
    <n v="44.802663710933331"/>
    <n v="39.476230765486122"/>
    <n v="44.705324814486112"/>
    <n v="72"/>
  </r>
  <r>
    <d v="2026-07-19T05:00:00"/>
    <x v="4"/>
    <n v="5"/>
    <n v="23.625036515269439"/>
    <n v="26.721837391727771"/>
    <n v="28.652330018933331"/>
    <n v="15.9"/>
    <n v="44.341224711774998"/>
    <n v="39.07962074076945"/>
    <n v="44.64988380223889"/>
    <n v="75"/>
  </r>
  <r>
    <d v="2026-07-19T06:00:00"/>
    <x v="4"/>
    <n v="6"/>
    <n v="25.115085056527779"/>
    <n v="27.043901823430559"/>
    <n v="28.65142017591667"/>
    <n v="16.8"/>
    <n v="41.008871870430553"/>
    <n v="39.870463029163894"/>
    <n v="44.687456609580551"/>
    <n v="70"/>
  </r>
  <r>
    <d v="2026-07-19T07:00:00"/>
    <x v="4"/>
    <n v="7"/>
    <n v="26.420807117500001"/>
    <n v="27.618351797811108"/>
    <n v="28.670643869977781"/>
    <n v="18"/>
    <n v="39.80657909248611"/>
    <n v="39.156254946697217"/>
    <n v="44.798226079941657"/>
    <n v="64"/>
  </r>
  <r>
    <d v="2026-07-19T08:00:00"/>
    <x v="4"/>
    <n v="8"/>
    <n v="27.152894340838891"/>
    <n v="28.124401943477778"/>
    <n v="28.70509042148333"/>
    <n v="20.100000000000001"/>
    <n v="39.58733928628056"/>
    <n v="39.102116480452779"/>
    <n v="44.936128684736111"/>
    <n v="55"/>
  </r>
  <r>
    <d v="2026-07-19T09:00:00"/>
    <x v="4"/>
    <n v="9"/>
    <n v="27.692935075575001"/>
    <n v="28.49682053542778"/>
    <n v="28.746895690966671"/>
    <n v="22.6"/>
    <n v="38.687546922363893"/>
    <n v="39.128496300574987"/>
    <n v="45.002614817305563"/>
    <n v="43"/>
  </r>
  <r>
    <d v="2026-07-19T10:00:00"/>
    <x v="4"/>
    <n v="10"/>
    <n v="27.776903994638889"/>
    <n v="28.692746102299999"/>
    <n v="28.789005232200001"/>
    <n v="24.4"/>
    <n v="38.659118931391667"/>
    <n v="39.232491398511122"/>
    <n v="45.051095747505563"/>
    <n v="37"/>
  </r>
  <r>
    <d v="2026-07-19T11:00:00"/>
    <x v="4"/>
    <n v="11"/>
    <n v="27.80159001625556"/>
    <n v="29.028729210261119"/>
    <n v="28.82822756738889"/>
    <n v="25.4"/>
    <n v="38.092654739905562"/>
    <n v="39.248021292705552"/>
    <n v="45.179863796191661"/>
    <n v="34"/>
  </r>
  <r>
    <d v="2026-07-19T12:00:00"/>
    <x v="4"/>
    <n v="12"/>
    <n v="27.921966631577771"/>
    <n v="28.959354858702781"/>
    <n v="28.862592390850001"/>
    <n v="26.2"/>
    <n v="37.868433150947219"/>
    <n v="37.161286683333337"/>
    <n v="45.333644062052777"/>
    <n v="32"/>
  </r>
  <r>
    <d v="2026-07-19T13:00:00"/>
    <x v="4"/>
    <n v="13"/>
    <n v="27.97940550058334"/>
    <n v="28.799069175638891"/>
    <n v="28.888029505605559"/>
    <n v="27.1"/>
    <n v="37.578905359952778"/>
    <n v="36.689574539111113"/>
    <n v="45.247519004691668"/>
    <n v="31"/>
  </r>
  <r>
    <d v="2026-07-19T14:00:00"/>
    <x v="4"/>
    <n v="14"/>
    <n v="27.73344365719722"/>
    <n v="28.412795645502779"/>
    <n v="28.892749884158331"/>
    <n v="27.7"/>
    <n v="35.487011014299988"/>
    <n v="35.39568402164722"/>
    <n v="45.202263496086111"/>
    <n v="30"/>
  </r>
  <r>
    <d v="2026-07-19T15:00:00"/>
    <x v="4"/>
    <n v="15"/>
    <n v="27.614752349875001"/>
    <n v="28.46529676919166"/>
    <n v="28.88097075172222"/>
    <n v="28.5"/>
    <n v="35.58269777861944"/>
    <n v="36.631215141791657"/>
    <n v="45.132029568652783"/>
    <n v="29"/>
  </r>
  <r>
    <d v="2026-07-19T16:00:00"/>
    <x v="4"/>
    <n v="16"/>
    <n v="27.627201728825"/>
    <n v="28.518009987869441"/>
    <n v="28.888031204250002"/>
    <n v="28.2"/>
    <n v="36.610452771922219"/>
    <n v="35.845356585700003"/>
    <n v="45.157905836166663"/>
    <n v="30"/>
  </r>
  <r>
    <d v="2026-07-19T17:00:00"/>
    <x v="4"/>
    <n v="17"/>
    <n v="27.695931755755559"/>
    <n v="28.60920130428056"/>
    <n v="28.881413012027771"/>
    <n v="28.4"/>
    <n v="36.109854396819443"/>
    <n v="37.063803194677782"/>
    <n v="45.149149334672217"/>
    <n v="29"/>
  </r>
  <r>
    <d v="2026-07-19T18:00:00"/>
    <x v="4"/>
    <n v="18"/>
    <n v="27.586372735105559"/>
    <n v="28.64365513550834"/>
    <n v="28.939664140424998"/>
    <n v="28.2"/>
    <n v="39.705191224391669"/>
    <n v="40.289769382152777"/>
    <n v="45.565114291766669"/>
    <n v="29"/>
  </r>
  <r>
    <d v="2026-07-19T19:00:00"/>
    <x v="4"/>
    <n v="19"/>
    <n v="27.45968708457778"/>
    <n v="28.329020000833331"/>
    <n v="29.09491794974722"/>
    <n v="27"/>
    <n v="40.120939662861112"/>
    <n v="40.56055058395556"/>
    <n v="46.018096490711123"/>
    <n v="35"/>
  </r>
  <r>
    <d v="2026-07-19T20:00:00"/>
    <x v="4"/>
    <n v="20"/>
    <n v="27.085079693694439"/>
    <n v="28.30926829704444"/>
    <n v="28.875888388347221"/>
    <n v="25.4"/>
    <n v="39.01330085493889"/>
    <n v="40.820692107855557"/>
    <n v="47.875339890672223"/>
    <n v="40"/>
  </r>
  <r>
    <d v="2026-07-19T21:00:00"/>
    <x v="4"/>
    <n v="21"/>
    <n v="26.500056498566661"/>
    <n v="28.269022289550001"/>
    <n v="28.788971552216669"/>
    <n v="24.5"/>
    <n v="39.986643221563888"/>
    <n v="41.817824225347223"/>
    <n v="47.889641339477777"/>
    <n v="41"/>
  </r>
  <r>
    <d v="2026-07-19T22:00:00"/>
    <x v="4"/>
    <n v="22"/>
    <n v="26.210077010077779"/>
    <n v="28.253445481397229"/>
    <n v="28.903925782713891"/>
    <n v="24.1"/>
    <n v="42.023753010008328"/>
    <n v="43.85273636277222"/>
    <n v="47.140560700108331"/>
    <n v="44"/>
  </r>
  <r>
    <d v="2026-07-19T23:00:00"/>
    <x v="4"/>
    <n v="23"/>
    <n v="25.654310546274999"/>
    <n v="27.931657248511112"/>
    <n v="28.913468294922229"/>
    <n v="23.2"/>
    <n v="41.508006394144452"/>
    <n v="42.467010613474997"/>
    <n v="46.837672313233327"/>
    <n v="46"/>
  </r>
  <r>
    <d v="2026-07-20T00:00:00"/>
    <x v="4"/>
    <n v="0"/>
    <n v="25.459049600930559"/>
    <n v="27.936635128119441"/>
    <n v="28.888440561766672"/>
    <n v="22.2"/>
    <n v="42.242300298191672"/>
    <n v="42.001710496633329"/>
    <n v="46.575931681027782"/>
    <n v="51"/>
  </r>
  <r>
    <d v="2026-07-20T01:00:00"/>
    <x v="4"/>
    <n v="1"/>
    <n v="25.42033485741111"/>
    <n v="27.698386772475001"/>
    <n v="28.86619078079444"/>
    <n v="21.7"/>
    <n v="42.778041163944451"/>
    <n v="42.258871481336108"/>
    <n v="46.585203904936122"/>
    <n v="52"/>
  </r>
  <r>
    <d v="2026-07-20T02:00:00"/>
    <x v="4"/>
    <n v="2"/>
    <n v="25.366243379577782"/>
    <n v="27.407859400841669"/>
    <n v="28.846440839052779"/>
    <n v="20.8"/>
    <n v="42.936658202683333"/>
    <n v="41.827061108027777"/>
    <n v="46.540946203149993"/>
    <n v="53"/>
  </r>
  <r>
    <d v="2026-07-20T03:00:00"/>
    <x v="4"/>
    <n v="3"/>
    <n v="25.15445407449722"/>
    <n v="27.157291306425002"/>
    <n v="28.817768522750001"/>
    <n v="19.3"/>
    <n v="42.827236624791681"/>
    <n v="40.561567609597233"/>
    <n v="46.391831300916657"/>
    <n v="60"/>
  </r>
  <r>
    <d v="2026-07-20T04:00:00"/>
    <x v="4"/>
    <n v="4"/>
    <n v="25.091800242041671"/>
    <n v="26.942436729844449"/>
    <n v="28.780022085088891"/>
    <n v="17.899999999999999"/>
    <n v="42.527519217441672"/>
    <n v="40.130546237077773"/>
    <n v="46.208221890313887"/>
    <n v="71"/>
  </r>
  <r>
    <d v="2026-07-20T05:00:00"/>
    <x v="4"/>
    <n v="5"/>
    <n v="25.246141854813889"/>
    <n v="26.93498309389166"/>
    <n v="28.748049792113889"/>
    <n v="16.8"/>
    <n v="41.995090341880562"/>
    <n v="39.964505571247223"/>
    <n v="46.051610697980557"/>
    <n v="78"/>
  </r>
  <r>
    <d v="2026-07-20T06:00:00"/>
    <x v="4"/>
    <n v="6"/>
    <n v="25.97402913897778"/>
    <n v="27.21325407002778"/>
    <n v="28.739392854030559"/>
    <n v="17.2"/>
    <n v="41.111203540727779"/>
    <n v="40.906658304919439"/>
    <n v="46.047461162938887"/>
    <n v="77"/>
  </r>
  <r>
    <d v="2026-07-20T07:00:00"/>
    <x v="4"/>
    <n v="7"/>
    <n v="26.809500537147219"/>
    <n v="27.75297460279722"/>
    <n v="28.76080934694167"/>
    <n v="18.8"/>
    <n v="40.704030293936107"/>
    <n v="39.986105907269447"/>
    <n v="46.107866495805553"/>
    <n v="71"/>
  </r>
  <r>
    <d v="2026-07-20T08:00:00"/>
    <x v="4"/>
    <n v="8"/>
    <n v="27.376118052386111"/>
    <n v="28.21818906944166"/>
    <n v="28.791731723291669"/>
    <n v="21.4"/>
    <n v="40.711943794958337"/>
    <n v="39.482297977877778"/>
    <n v="46.115804063349998"/>
    <n v="61"/>
  </r>
  <r>
    <d v="2026-07-20T09:00:00"/>
    <x v="4"/>
    <n v="9"/>
    <n v="27.89912643265556"/>
    <n v="28.743104984072222"/>
    <n v="28.831452240783332"/>
    <n v="24.5"/>
    <n v="40.41133331411389"/>
    <n v="39.226700311311113"/>
    <n v="46.131362339894451"/>
    <n v="49"/>
  </r>
  <r>
    <d v="2026-07-20T10:00:00"/>
    <x v="4"/>
    <n v="10"/>
    <n v="27.999168585080561"/>
    <n v="29.117493437455561"/>
    <n v="28.87909124049445"/>
    <n v="26.4"/>
    <n v="40.052556322213889"/>
    <n v="38.095872015297218"/>
    <n v="46.140393199191656"/>
    <n v="42"/>
  </r>
  <r>
    <d v="2026-07-20T11:00:00"/>
    <x v="4"/>
    <n v="11"/>
    <n v="28.10588231872778"/>
    <n v="29.429444601816659"/>
    <n v="28.914950671808331"/>
    <n v="27.7"/>
    <n v="38.390076394786107"/>
    <n v="35.450653003963893"/>
    <n v="46.10116966924722"/>
    <n v="37"/>
  </r>
  <r>
    <d v="2026-07-20T12:00:00"/>
    <x v="4"/>
    <n v="12"/>
    <n v="28.087678457661109"/>
    <n v="29.33058413394167"/>
    <n v="28.94197851081389"/>
    <n v="28.7"/>
    <n v="36.383933267075001"/>
    <n v="34.227197983788891"/>
    <n v="45.951278516697222"/>
    <n v="33"/>
  </r>
  <r>
    <d v="2026-07-20T13:00:00"/>
    <x v="4"/>
    <n v="13"/>
    <n v="28.039533704213891"/>
    <n v="29.065392758041671"/>
    <n v="28.959252097675002"/>
    <n v="29.4"/>
    <n v="35.192343687408332"/>
    <n v="34.095452706449997"/>
    <n v="45.824867257136113"/>
    <n v="30"/>
  </r>
  <r>
    <d v="2026-07-20T14:00:00"/>
    <x v="4"/>
    <n v="14"/>
    <n v="26.682027572636109"/>
    <n v="28.289334386349999"/>
    <n v="28.944843360361109"/>
    <n v="29.8"/>
    <n v="33.728086740377783"/>
    <n v="33.428284541872223"/>
    <n v="45.436067631541668"/>
    <n v="27"/>
  </r>
  <r>
    <d v="2026-07-20T15:00:00"/>
    <x v="4"/>
    <n v="15"/>
    <n v="25.84945626498056"/>
    <n v="27.976531869263891"/>
    <n v="28.423784647041671"/>
    <n v="30.7"/>
    <n v="35.710029564563889"/>
    <n v="33.658502813491673"/>
    <n v="42.606428092505553"/>
    <n v="25"/>
  </r>
  <r>
    <d v="2026-07-20T16:00:00"/>
    <x v="4"/>
    <n v="16"/>
    <n v="26.92601620838056"/>
    <n v="28.50949815251111"/>
    <n v="28.628491521372229"/>
    <n v="30.6"/>
    <n v="38.668927350894442"/>
    <n v="37.23448439301945"/>
    <n v="44.008892492580557"/>
    <n v="25"/>
  </r>
  <r>
    <d v="2026-07-20T17:00:00"/>
    <x v="4"/>
    <n v="17"/>
    <n v="25.415196366413891"/>
    <n v="27.768275820005559"/>
    <n v="28.777761900805551"/>
    <n v="30.4"/>
    <n v="33.989585066622219"/>
    <n v="33.934555119269447"/>
    <n v="44.238485932972232"/>
    <n v="26"/>
  </r>
  <r>
    <d v="2026-07-20T18:00:00"/>
    <x v="4"/>
    <n v="18"/>
    <n v="24.745911023166659"/>
    <n v="27.400957011083332"/>
    <n v="28.802115280774998"/>
    <n v="29.9"/>
    <n v="33.961064168874998"/>
    <n v="32.244155112411107"/>
    <n v="43.776906307725"/>
    <n v="29"/>
  </r>
  <r>
    <d v="2026-07-20T19:00:00"/>
    <x v="4"/>
    <n v="19"/>
    <n v="24.728543453033328"/>
    <n v="27.40228987307222"/>
    <n v="28.804470434905561"/>
    <n v="29.2"/>
    <n v="34.468904392680557"/>
    <n v="31.453657376522219"/>
    <n v="43.279792870313891"/>
    <n v="33"/>
  </r>
  <r>
    <d v="2026-07-20T20:00:00"/>
    <x v="4"/>
    <n v="20"/>
    <n v="26.181098858024999"/>
    <n v="28.29010691612778"/>
    <n v="28.82250762158889"/>
    <n v="28.3"/>
    <n v="39.207782869027781"/>
    <n v="35.809134020108331"/>
    <n v="43.289374570713882"/>
    <n v="37"/>
  </r>
  <r>
    <d v="2026-07-20T21:00:00"/>
    <x v="4"/>
    <n v="21"/>
    <n v="26.657416376008332"/>
    <n v="28.311801190899999"/>
    <n v="28.86106554465556"/>
    <n v="27.3"/>
    <n v="43.26415655806111"/>
    <n v="41.822558738838893"/>
    <n v="43.79057500569445"/>
    <n v="42"/>
  </r>
  <r>
    <d v="2026-07-20T22:00:00"/>
    <x v="4"/>
    <n v="22"/>
    <n v="26.865306142138891"/>
    <n v="28.694268580447229"/>
    <n v="28.91831572045"/>
    <n v="25.8"/>
    <n v="42.866696475313887"/>
    <n v="41.923056927333327"/>
    <n v="44.267765308833333"/>
    <n v="49"/>
  </r>
  <r>
    <d v="2026-07-20T23:00:00"/>
    <x v="4"/>
    <n v="23"/>
    <n v="25.43690069533611"/>
    <n v="28.094380296008332"/>
    <n v="28.93185483351667"/>
    <n v="24.6"/>
    <n v="36.054991348844453"/>
    <n v="35.586135221136111"/>
    <n v="44.21160288368889"/>
    <n v="57"/>
  </r>
  <r>
    <d v="2026-07-21T00:00:00"/>
    <x v="4"/>
    <n v="0"/>
    <n v="25.39949452014444"/>
    <n v="27.746525647366671"/>
    <n v="28.876850978141661"/>
    <n v="23.8"/>
    <n v="37.325914479419453"/>
    <n v="35.873480380044441"/>
    <n v="43.771524575575"/>
    <n v="63"/>
  </r>
  <r>
    <d v="2026-07-21T01:00:00"/>
    <x v="4"/>
    <n v="1"/>
    <n v="26.35769286026111"/>
    <n v="28.025426330883331"/>
    <n v="28.88061735116111"/>
    <n v="23.3"/>
    <n v="42.703456876105562"/>
    <n v="42.257823237288889"/>
    <n v="44.125505097497218"/>
    <n v="67"/>
  </r>
  <r>
    <d v="2026-07-21T02:00:00"/>
    <x v="4"/>
    <n v="2"/>
    <n v="26.411888055266669"/>
    <n v="27.944137343986121"/>
    <n v="28.881391188091669"/>
    <n v="22.6"/>
    <n v="43.183578229522233"/>
    <n v="42.614762848958343"/>
    <n v="45.360229026805563"/>
    <n v="70"/>
  </r>
  <r>
    <d v="2026-07-21T03:00:00"/>
    <x v="4"/>
    <n v="3"/>
    <n v="26.127535176113891"/>
    <n v="27.745598790916659"/>
    <n v="28.91189328770556"/>
    <n v="21.4"/>
    <n v="44.114722926483331"/>
    <n v="43.25546999468056"/>
    <n v="45.455698752547221"/>
    <n v="76"/>
  </r>
  <r>
    <d v="2026-07-21T04:00:00"/>
    <x v="4"/>
    <n v="4"/>
    <n v="25.887231010061111"/>
    <n v="27.59023527358611"/>
    <n v="28.921164567369441"/>
    <n v="19.600000000000001"/>
    <n v="45.78357393065"/>
    <n v="44.520669804363891"/>
    <n v="45.470646515394442"/>
    <n v="93"/>
  </r>
  <r>
    <d v="2026-07-21T05:00:00"/>
    <x v="4"/>
    <n v="5"/>
    <n v="26.034039841424999"/>
    <n v="27.485594853563889"/>
    <n v="28.91772448478611"/>
    <n v="18.899999999999999"/>
    <n v="47.059022745841673"/>
    <n v="44.629137238708331"/>
    <n v="45.697246659177779"/>
    <n v="97"/>
  </r>
  <r>
    <d v="2026-07-21T06:00:00"/>
    <x v="4"/>
    <n v="6"/>
    <n v="26.01167337484722"/>
    <n v="27.500430648666669"/>
    <n v="28.918416589655561"/>
    <n v="19.2"/>
    <n v="49.210008172183343"/>
    <n v="45.733731768213893"/>
    <n v="45.889198089522218"/>
    <n v="98"/>
  </r>
  <r>
    <d v="2026-07-21T07:00:00"/>
    <x v="4"/>
    <n v="7"/>
    <n v="26.01921109663612"/>
    <n v="27.767503409919449"/>
    <n v="28.934170888783331"/>
    <n v="20"/>
    <n v="53.558475297316669"/>
    <n v="48.054406197363882"/>
    <n v="46.211124615733333"/>
    <n v="96"/>
  </r>
  <r>
    <d v="2026-07-21T08:00:00"/>
    <x v="4"/>
    <n v="8"/>
    <n v="26.192849180155552"/>
    <n v="27.687028739183329"/>
    <n v="28.935442295783329"/>
    <n v="21.4"/>
    <n v="54.096954251936118"/>
    <n v="49.760483738383343"/>
    <n v="46.396861748011112"/>
    <n v="87"/>
  </r>
  <r>
    <d v="2026-07-21T09:00:00"/>
    <x v="4"/>
    <n v="9"/>
    <n v="26.779786862811111"/>
    <n v="27.796206394133328"/>
    <n v="28.94403208326111"/>
    <n v="22.2"/>
    <n v="51.280756650577779"/>
    <n v="49.536850836619443"/>
    <n v="46.426225796988888"/>
    <n v="84"/>
  </r>
  <r>
    <d v="2026-07-21T10:00:00"/>
    <x v="4"/>
    <n v="10"/>
    <n v="27.406472833338889"/>
    <n v="28.51810951855278"/>
    <n v="28.96370083203611"/>
    <n v="24.3"/>
    <n v="48.745768683186107"/>
    <n v="46.0760283169"/>
    <n v="46.594899251408329"/>
    <n v="75"/>
  </r>
  <r>
    <d v="2026-07-21T11:00:00"/>
    <x v="4"/>
    <n v="11"/>
    <n v="27.667869673872222"/>
    <n v="28.930284212149999"/>
    <n v="28.992090131200001"/>
    <n v="24.7"/>
    <n v="47.41064755981666"/>
    <n v="44.818098955483329"/>
    <n v="46.608446274641672"/>
    <n v="74"/>
  </r>
  <r>
    <d v="2026-07-21T12:00:00"/>
    <x v="4"/>
    <n v="12"/>
    <n v="27.77858760766944"/>
    <n v="28.979631712027789"/>
    <n v="29.02561763005556"/>
    <n v="25.7"/>
    <n v="48.793690168838893"/>
    <n v="46.18009684658611"/>
    <n v="46.734837364180557"/>
    <n v="68"/>
  </r>
  <r>
    <d v="2026-07-21T13:00:00"/>
    <x v="4"/>
    <n v="13"/>
    <n v="26.435293739427781"/>
    <n v="28.362272648908331"/>
    <n v="29.005023660136111"/>
    <n v="21.7"/>
    <n v="42.471587940147217"/>
    <n v="41.456025683691671"/>
    <n v="46.539417193266672"/>
    <n v="86"/>
  </r>
  <r>
    <d v="2026-07-21T14:00:00"/>
    <x v="4"/>
    <n v="14"/>
    <n v="25.605061241716669"/>
    <n v="27.942795248113889"/>
    <n v="28.11370299586666"/>
    <n v="21.3"/>
    <n v="40.041645780566668"/>
    <n v="37.634839941730561"/>
    <n v="44.75482162953611"/>
    <n v="92"/>
  </r>
  <r>
    <d v="2026-07-21T15:00:00"/>
    <x v="4"/>
    <n v="15"/>
    <n v="26.622299907575002"/>
    <n v="28.22973868651389"/>
    <n v="28.470573297497221"/>
    <n v="21.2"/>
    <n v="44.552977750452783"/>
    <n v="42.396866601388894"/>
    <n v="45.354659083905553"/>
    <n v="89"/>
  </r>
  <r>
    <d v="2026-07-21T16:00:00"/>
    <x v="4"/>
    <n v="16"/>
    <n v="25.327165821752772"/>
    <n v="27.598601923194451"/>
    <n v="28.704942620136109"/>
    <n v="21.4"/>
    <n v="42.956481271169451"/>
    <n v="41.856043937549998"/>
    <n v="45.776863531630561"/>
    <n v="90"/>
  </r>
  <r>
    <d v="2026-07-21T17:00:00"/>
    <x v="4"/>
    <n v="17"/>
    <n v="24.67460004470556"/>
    <n v="27.197601827530558"/>
    <n v="28.759145450019449"/>
    <n v="21.8"/>
    <n v="39.928902734458333"/>
    <n v="37.661225198705559"/>
    <n v="45.467834724688878"/>
    <n v="88"/>
  </r>
  <r>
    <d v="2026-07-21T18:00:00"/>
    <x v="4"/>
    <n v="18"/>
    <n v="26.119527846655561"/>
    <n v="27.814065641038891"/>
    <n v="28.80334854117222"/>
    <n v="20"/>
    <n v="46.474226526355551"/>
    <n v="44.747308176777771"/>
    <n v="45.536192114505553"/>
    <n v="95"/>
  </r>
  <r>
    <d v="2026-07-21T19:00:00"/>
    <x v="4"/>
    <n v="19"/>
    <n v="26.626734026197219"/>
    <n v="28.048959503569449"/>
    <n v="28.884158679327779"/>
    <n v="19.8"/>
    <n v="50.296825234400004"/>
    <n v="49.185095453930558"/>
    <n v="46.241024693588891"/>
    <n v="96"/>
  </r>
  <r>
    <d v="2026-07-21T20:00:00"/>
    <x v="4"/>
    <n v="20"/>
    <n v="26.821106541150002"/>
    <n v="28.211217765936109"/>
    <n v="28.97395912805278"/>
    <n v="19.7"/>
    <n v="52.549074950563892"/>
    <n v="50.526092168349997"/>
    <n v="46.814002597208336"/>
    <n v="97"/>
  </r>
  <r>
    <d v="2026-07-21T21:00:00"/>
    <x v="4"/>
    <n v="21"/>
    <n v="26.921779885702779"/>
    <n v="28.24335156405278"/>
    <n v="29.005643376108331"/>
    <n v="19"/>
    <n v="52.934849245975002"/>
    <n v="50.587105363091673"/>
    <n v="46.877476882255557"/>
    <n v="96"/>
  </r>
  <r>
    <d v="2026-07-21T22:00:00"/>
    <x v="4"/>
    <n v="22"/>
    <n v="26.860858948330559"/>
    <n v="28.641707551561112"/>
    <n v="29.017502022483331"/>
    <n v="18.7"/>
    <n v="51.655008961652783"/>
    <n v="49.042457168430552"/>
    <n v="46.840565167577779"/>
    <n v="96"/>
  </r>
  <r>
    <d v="2026-07-21T23:00:00"/>
    <x v="4"/>
    <n v="23"/>
    <n v="26.036137665872221"/>
    <n v="28.125594518844441"/>
    <n v="29.08546640070556"/>
    <n v="18.5"/>
    <n v="52.351414289583339"/>
    <n v="49.110024798386107"/>
    <n v="48.139940766758343"/>
    <n v="95"/>
  </r>
  <r>
    <d v="2026-07-22T00:00:00"/>
    <x v="4"/>
    <n v="0"/>
    <n v="24.939884715219449"/>
    <n v="27.855354412033339"/>
    <n v="29.20375343565"/>
    <n v="18.2"/>
    <n v="53.534245476444447"/>
    <n v="49.86988779801667"/>
    <n v="48.954114624680557"/>
    <n v="96"/>
  </r>
  <r>
    <d v="2026-07-22T01:00:00"/>
    <x v="4"/>
    <n v="1"/>
    <n v="24.350854949927779"/>
    <n v="27.384020850477778"/>
    <n v="29.29309918632778"/>
    <n v="17.899999999999999"/>
    <n v="50.353696800599998"/>
    <n v="46.169222555986117"/>
    <n v="48.495397830063887"/>
    <n v="96"/>
  </r>
  <r>
    <d v="2026-07-22T02:00:00"/>
    <x v="4"/>
    <n v="2"/>
    <n v="23.701890444647219"/>
    <n v="27.201608107830559"/>
    <n v="29.363788979516659"/>
    <n v="17.5"/>
    <n v="51.488741036213888"/>
    <n v="44.320564069174999"/>
    <n v="47.753770814352777"/>
    <n v="96"/>
  </r>
  <r>
    <d v="2026-07-22T03:00:00"/>
    <x v="4"/>
    <n v="3"/>
    <n v="23.402161867469442"/>
    <n v="27.061374295080551"/>
    <n v="29.41345118154166"/>
    <n v="15.9"/>
    <n v="54.677864001813887"/>
    <n v="45.660927738200002"/>
    <n v="47.57096522860278"/>
    <n v="96"/>
  </r>
  <r>
    <d v="2026-07-22T04:00:00"/>
    <x v="4"/>
    <n v="4"/>
    <n v="23.117452010344451"/>
    <n v="26.854676840811109"/>
    <n v="29.36942157828889"/>
    <n v="15.5"/>
    <n v="56.318011792236113"/>
    <n v="46.849474930080561"/>
    <n v="47.579527496899999"/>
    <n v="96"/>
  </r>
  <r>
    <d v="2026-07-22T05:00:00"/>
    <x v="4"/>
    <n v="5"/>
    <n v="23.112453640422221"/>
    <n v="26.798198268124999"/>
    <n v="29.266560492983331"/>
    <n v="15"/>
    <n v="55.881642587347223"/>
    <n v="46.657359888030562"/>
    <n v="47.548987657297218"/>
    <n v="96"/>
  </r>
  <r>
    <d v="2026-07-22T06:00:00"/>
    <x v="4"/>
    <n v="6"/>
    <n v="24.555459066855551"/>
    <n v="27.062116268833339"/>
    <n v="29.192238669361121"/>
    <n v="15.2"/>
    <n v="52.448882605938898"/>
    <n v="47.081802206644447"/>
    <n v="47.563407183744438"/>
    <n v="96"/>
  </r>
  <r>
    <d v="2026-07-22T07:00:00"/>
    <x v="4"/>
    <n v="7"/>
    <n v="25.939135156744442"/>
    <n v="27.521452581449999"/>
    <n v="29.157856488838888"/>
    <n v="16.5"/>
    <n v="47.114703276461121"/>
    <n v="45.620313880211121"/>
    <n v="47.593088522227781"/>
    <n v="92"/>
  </r>
  <r>
    <d v="2026-07-22T08:00:00"/>
    <x v="4"/>
    <n v="8"/>
    <n v="26.904210719405551"/>
    <n v="28.112913576208332"/>
    <n v="29.14980775408889"/>
    <n v="18.399999999999999"/>
    <n v="42.547688509152778"/>
    <n v="41.463742824633343"/>
    <n v="47.437134886938892"/>
    <n v="83"/>
  </r>
  <r>
    <d v="2026-07-22T09:00:00"/>
    <x v="4"/>
    <n v="9"/>
    <n v="27.400733110327771"/>
    <n v="28.277063982702771"/>
    <n v="29.15763899535834"/>
    <n v="20.399999999999999"/>
    <n v="40.130981603008337"/>
    <n v="39.501595054363897"/>
    <n v="47.285849896436112"/>
    <n v="74"/>
  </r>
  <r>
    <d v="2026-07-22T10:00:00"/>
    <x v="4"/>
    <n v="10"/>
    <n v="27.607574948119449"/>
    <n v="28.649229921822229"/>
    <n v="29.17303229859445"/>
    <n v="21.7"/>
    <n v="39.071580248449997"/>
    <n v="37.611453770191673"/>
    <n v="47.098150436330549"/>
    <n v="66"/>
  </r>
  <r>
    <d v="2026-07-22T11:00:00"/>
    <x v="4"/>
    <n v="11"/>
    <n v="27.655667937936109"/>
    <n v="28.83845472770556"/>
    <n v="29.18878472722222"/>
    <n v="22.8"/>
    <n v="37.829047704044449"/>
    <n v="37.276446664061112"/>
    <n v="46.882071969666661"/>
    <n v="59"/>
  </r>
  <r>
    <d v="2026-07-22T12:00:00"/>
    <x v="4"/>
    <n v="12"/>
    <n v="27.69707359254722"/>
    <n v="28.725711815047219"/>
    <n v="29.20488648494722"/>
    <n v="23.6"/>
    <n v="37.398761124011109"/>
    <n v="37.136090280455562"/>
    <n v="46.798266379597223"/>
    <n v="53"/>
  </r>
  <r>
    <d v="2026-07-22T13:00:00"/>
    <x v="4"/>
    <n v="13"/>
    <n v="27.615780185677771"/>
    <n v="28.599110949688889"/>
    <n v="29.26058817865556"/>
    <n v="24.1"/>
    <n v="36.848152462352779"/>
    <n v="38.016985769272218"/>
    <n v="46.880940154280559"/>
    <n v="52"/>
  </r>
  <r>
    <d v="2026-07-22T14:00:00"/>
    <x v="4"/>
    <n v="14"/>
    <n v="27.478141297147221"/>
    <n v="28.500427573569439"/>
    <n v="29.402030107725"/>
    <n v="23.9"/>
    <n v="35.606243934219442"/>
    <n v="37.391825270141659"/>
    <n v="46.84238876816945"/>
    <n v="53"/>
  </r>
  <r>
    <d v="2026-07-22T15:00:00"/>
    <x v="4"/>
    <n v="15"/>
    <n v="27.290010797627779"/>
    <n v="28.416045549700002"/>
    <n v="29.45932415228333"/>
    <n v="24.3"/>
    <n v="38.529120029330556"/>
    <n v="39.50144889365"/>
    <n v="46.562089745594442"/>
    <n v="51"/>
  </r>
  <r>
    <d v="2026-07-22T16:00:00"/>
    <x v="4"/>
    <n v="16"/>
    <n v="27.279599037655561"/>
    <n v="28.429026113533329"/>
    <n v="29.421217757536109"/>
    <n v="24.2"/>
    <n v="38.702552948300003"/>
    <n v="40.686793065577781"/>
    <n v="46.422904765725001"/>
    <n v="52"/>
  </r>
  <r>
    <d v="2026-07-22T17:00:00"/>
    <x v="4"/>
    <n v="17"/>
    <n v="27.31803525079722"/>
    <n v="28.483378553419438"/>
    <n v="29.384905131427772"/>
    <n v="24"/>
    <n v="37.29647241507778"/>
    <n v="39.37316425305"/>
    <n v="46.341039233855547"/>
    <n v="54"/>
  </r>
  <r>
    <d v="2026-07-22T18:00:00"/>
    <x v="4"/>
    <n v="18"/>
    <n v="27.126551329777779"/>
    <n v="28.42446239465556"/>
    <n v="29.34369652296111"/>
    <n v="23.5"/>
    <n v="34.96422111451389"/>
    <n v="37.374809134275012"/>
    <n v="46.197411003827767"/>
    <n v="52"/>
  </r>
  <r>
    <d v="2026-07-22T19:00:00"/>
    <x v="4"/>
    <n v="19"/>
    <n v="26.872728037691669"/>
    <n v="28.237103114919449"/>
    <n v="29.208682879874999"/>
    <n v="22.8"/>
    <n v="36.684942995911108"/>
    <n v="37.615742688588888"/>
    <n v="45.787809156333338"/>
    <n v="59"/>
  </r>
  <r>
    <d v="2026-07-22T20:00:00"/>
    <x v="4"/>
    <n v="20"/>
    <n v="26.48247339900556"/>
    <n v="28.070379220772221"/>
    <n v="29.178045937663889"/>
    <n v="21.4"/>
    <n v="37.781811383955556"/>
    <n v="37.118854020469449"/>
    <n v="45.758077999586114"/>
    <n v="66"/>
  </r>
  <r>
    <d v="2026-07-22T21:00:00"/>
    <x v="4"/>
    <n v="21"/>
    <n v="25.98003219744167"/>
    <n v="28.233123567519439"/>
    <n v="29.157025413574999"/>
    <n v="20.3"/>
    <n v="40.340124593744441"/>
    <n v="39.003426445491669"/>
    <n v="45.695918861688888"/>
    <n v="69"/>
  </r>
  <r>
    <d v="2026-07-22T22:00:00"/>
    <x v="4"/>
    <n v="22"/>
    <n v="25.76371156355"/>
    <n v="28.39650716583056"/>
    <n v="29.150719794311112"/>
    <n v="19.399999999999999"/>
    <n v="40.682206287944453"/>
    <n v="37.995092303072219"/>
    <n v="45.705254658219452"/>
    <n v="71"/>
  </r>
  <r>
    <d v="2026-07-22T23:00:00"/>
    <x v="4"/>
    <n v="23"/>
    <n v="25.55237124736945"/>
    <n v="28.436392947113891"/>
    <n v="29.154282513266661"/>
    <n v="18.5"/>
    <n v="41.227103727730558"/>
    <n v="37.479723980177774"/>
    <n v="45.707858856286123"/>
    <n v="74"/>
  </r>
  <r>
    <d v="2026-07-23T00:00:00"/>
    <x v="4"/>
    <n v="0"/>
    <n v="25.343857288502772"/>
    <n v="28.40472685409722"/>
    <n v="29.153247662169441"/>
    <n v="17.899999999999999"/>
    <n v="41.950125096977779"/>
    <n v="38.767024972722218"/>
    <n v="45.716747521361107"/>
    <n v="74"/>
  </r>
  <r>
    <d v="2026-07-23T01:00:00"/>
    <x v="4"/>
    <n v="1"/>
    <n v="24.884502735824999"/>
    <n v="27.952843359025"/>
    <n v="29.139939466519451"/>
    <n v="17.100000000000001"/>
    <n v="43.556541698433342"/>
    <n v="39.886424880600003"/>
    <n v="45.692643906625001"/>
    <n v="76"/>
  </r>
  <r>
    <d v="2026-07-23T02:00:00"/>
    <x v="4"/>
    <n v="2"/>
    <n v="24.508820556422229"/>
    <n v="27.608442187716669"/>
    <n v="29.117326279450001"/>
    <n v="16.7"/>
    <n v="43.874984314583337"/>
    <n v="40.032597954994444"/>
    <n v="45.701573867172222"/>
    <n v="78"/>
  </r>
  <r>
    <d v="2026-07-23T03:00:00"/>
    <x v="4"/>
    <n v="3"/>
    <n v="24.17835732673333"/>
    <n v="27.399629854530559"/>
    <n v="29.090520487755551"/>
    <n v="16"/>
    <n v="44.368388107000001"/>
    <n v="39.683803113019437"/>
    <n v="45.640177560213893"/>
    <n v="80"/>
  </r>
  <r>
    <d v="2026-07-23T04:00:00"/>
    <x v="4"/>
    <n v="4"/>
    <n v="23.97115389258612"/>
    <n v="27.247540791624999"/>
    <n v="29.060884217538892"/>
    <n v="15.3"/>
    <n v="44.859475805875"/>
    <n v="39.584780265702783"/>
    <n v="45.564089345994439"/>
    <n v="83"/>
  </r>
  <r>
    <d v="2026-07-23T05:00:00"/>
    <x v="4"/>
    <n v="5"/>
    <n v="23.648893895016659"/>
    <n v="27.081630263538891"/>
    <n v="29.042828264213892"/>
    <n v="15.1"/>
    <n v="45.839250971111113"/>
    <n v="39.775249152308326"/>
    <n v="45.517275408641673"/>
    <n v="84"/>
  </r>
  <r>
    <d v="2026-07-23T06:00:00"/>
    <x v="4"/>
    <n v="6"/>
    <n v="23.50839489871667"/>
    <n v="26.873300457519441"/>
    <n v="29.027606205188889"/>
    <n v="15.2"/>
    <n v="45.818950496936111"/>
    <n v="39.652013702594452"/>
    <n v="45.502272986497218"/>
    <n v="84"/>
  </r>
  <r>
    <d v="2026-07-23T07:00:00"/>
    <x v="4"/>
    <n v="7"/>
    <n v="23.868149463150001"/>
    <n v="26.84669705333889"/>
    <n v="29.00946968876945"/>
    <n v="15.8"/>
    <n v="44.478886577291668"/>
    <n v="39.195320791199997"/>
    <n v="45.460012726013893"/>
    <n v="83"/>
  </r>
  <r>
    <d v="2026-07-23T08:00:00"/>
    <x v="4"/>
    <n v="8"/>
    <n v="25.031922231730551"/>
    <n v="27.099118159438891"/>
    <n v="28.999694530597221"/>
    <n v="17.3"/>
    <n v="42.12606053931389"/>
    <n v="39.225194724274999"/>
    <n v="45.42460118800556"/>
    <n v="76"/>
  </r>
  <r>
    <d v="2026-07-23T09:00:00"/>
    <x v="4"/>
    <n v="9"/>
    <n v="26.344351868591669"/>
    <n v="27.555851310011111"/>
    <n v="29.005560449205561"/>
    <n v="19.2"/>
    <n v="38.646487491602777"/>
    <n v="38.219354541955553"/>
    <n v="45.406370661747218"/>
    <n v="68"/>
  </r>
  <r>
    <d v="2026-07-23T10:00:00"/>
    <x v="4"/>
    <n v="10"/>
    <n v="26.802506078066671"/>
    <n v="27.987960854324999"/>
    <n v="29.032840627711121"/>
    <n v="20.6"/>
    <n v="37.222654614880561"/>
    <n v="37.689298675386112"/>
    <n v="45.366513142361121"/>
    <n v="60"/>
  </r>
  <r>
    <d v="2026-07-23T11:00:00"/>
    <x v="4"/>
    <n v="11"/>
    <n v="27.226540520322221"/>
    <n v="28.3603248605"/>
    <n v="29.067509842341671"/>
    <n v="21.6"/>
    <n v="35.905407685113893"/>
    <n v="36.760863055672232"/>
    <n v="45.405451652227782"/>
    <n v="52"/>
  </r>
  <r>
    <d v="2026-07-23T12:00:00"/>
    <x v="4"/>
    <n v="12"/>
    <n v="26.984205826597229"/>
    <n v="28.13890923841112"/>
    <n v="29.089666625361112"/>
    <n v="22.3"/>
    <n v="34.488987024680547"/>
    <n v="35.969948804647217"/>
    <n v="45.259022228291663"/>
    <n v="49"/>
  </r>
  <r>
    <d v="2026-07-23T13:00:00"/>
    <x v="4"/>
    <n v="13"/>
    <n v="26.970594691819439"/>
    <n v="28.307352131088891"/>
    <n v="29.103477291238889"/>
    <n v="22.9"/>
    <n v="34.205576521066668"/>
    <n v="35.701623011338889"/>
    <n v="45.13248526825555"/>
    <n v="48"/>
  </r>
  <r>
    <d v="2026-07-23T14:00:00"/>
    <x v="4"/>
    <n v="14"/>
    <n v="27.02938048244167"/>
    <n v="28.293660434008331"/>
    <n v="29.093752648963889"/>
    <n v="23.3"/>
    <n v="33.143304338194447"/>
    <n v="34.457060359291667"/>
    <n v="44.253351123641657"/>
    <n v="47"/>
  </r>
  <r>
    <d v="2026-07-23T15:00:00"/>
    <x v="4"/>
    <n v="15"/>
    <n v="27.064301816336108"/>
    <n v="28.394008609847219"/>
    <n v="29.176582885649999"/>
    <n v="23.9"/>
    <n v="33.970980659086123"/>
    <n v="37.603855427166671"/>
    <n v="44.338422002247228"/>
    <n v="46"/>
  </r>
  <r>
    <d v="2026-07-23T16:00:00"/>
    <x v="4"/>
    <n v="16"/>
    <n v="26.91832950936389"/>
    <n v="28.308937565522221"/>
    <n v="29.260774994919441"/>
    <n v="24"/>
    <n v="33.183541410380563"/>
    <n v="41.284564771619451"/>
    <n v="44.744162604202778"/>
    <n v="46"/>
  </r>
  <r>
    <d v="2026-07-23T17:00:00"/>
    <x v="4"/>
    <n v="17"/>
    <n v="26.881057788544439"/>
    <n v="28.37884242365277"/>
    <n v="29.375075535230561"/>
    <n v="23.9"/>
    <n v="33.93989682386389"/>
    <n v="40.345511880480558"/>
    <n v="45.319419827177782"/>
    <n v="45"/>
  </r>
  <r>
    <d v="2026-07-23T18:00:00"/>
    <x v="4"/>
    <n v="18"/>
    <n v="26.929575384580559"/>
    <n v="28.340795826138891"/>
    <n v="29.403704370616669"/>
    <n v="23.7"/>
    <n v="35.672786473858331"/>
    <n v="40.09557641687222"/>
    <n v="45.281750011361112"/>
    <n v="45"/>
  </r>
  <r>
    <d v="2026-07-23T19:00:00"/>
    <x v="4"/>
    <n v="19"/>
    <n v="26.62727099729166"/>
    <n v="28.300214811091671"/>
    <n v="29.28140059095556"/>
    <n v="22.8"/>
    <n v="37.721138338125002"/>
    <n v="40.212588850652779"/>
    <n v="45.684136861788893"/>
    <n v="53"/>
  </r>
  <r>
    <d v="2026-07-23T20:00:00"/>
    <x v="4"/>
    <n v="20"/>
    <n v="26.417598593305559"/>
    <n v="28.58633752582778"/>
    <n v="28.744898915813891"/>
    <n v="20.9"/>
    <n v="41.195280902744443"/>
    <n v="41.93589178053611"/>
    <n v="47.858340997102779"/>
    <n v="65"/>
  </r>
  <r>
    <d v="2026-07-23T21:00:00"/>
    <x v="4"/>
    <n v="21"/>
    <n v="25.968034391277779"/>
    <n v="28.59948894844722"/>
    <n v="29.113866308647221"/>
    <n v="19.8"/>
    <n v="41.404011687974993"/>
    <n v="40.980937234011122"/>
    <n v="46.890689376947222"/>
    <n v="71"/>
  </r>
  <r>
    <d v="2026-07-23T22:00:00"/>
    <x v="4"/>
    <n v="22"/>
    <n v="25.496942071097219"/>
    <n v="28.459252919394441"/>
    <n v="29.28805816181945"/>
    <n v="19.2"/>
    <n v="40.860392198247219"/>
    <n v="38.903142963355563"/>
    <n v="46.235560434161108"/>
    <n v="73"/>
  </r>
  <r>
    <d v="2026-07-23T23:00:00"/>
    <x v="4"/>
    <n v="23"/>
    <n v="25.41502209105278"/>
    <n v="28.40404745220556"/>
    <n v="29.275775187322221"/>
    <n v="18.399999999999999"/>
    <n v="41.107512789591667"/>
    <n v="39.403125038000013"/>
    <n v="45.42150170582223"/>
    <n v="75"/>
  </r>
  <r>
    <d v="2026-07-24T00:00:00"/>
    <x v="4"/>
    <n v="0"/>
    <n v="25.41382161550834"/>
    <n v="28.55873758565556"/>
    <n v="29.381106145305559"/>
    <n v="18"/>
    <n v="41.11803800932222"/>
    <n v="38.117462308288893"/>
    <n v="45.444999931411111"/>
    <n v="74"/>
  </r>
  <r>
    <d v="2026-07-24T01:00:00"/>
    <x v="4"/>
    <n v="1"/>
    <n v="25.13167282791666"/>
    <n v="28.357096319025"/>
    <n v="29.44579308522778"/>
    <n v="17.899999999999999"/>
    <n v="42.003482539133337"/>
    <n v="38.975648849519438"/>
    <n v="45.346939312516668"/>
    <n v="72"/>
  </r>
  <r>
    <d v="2026-07-24T02:00:00"/>
    <x v="4"/>
    <n v="2"/>
    <n v="24.677476348944442"/>
    <n v="28.058054867972221"/>
    <n v="29.526020688666659"/>
    <n v="17.399999999999999"/>
    <n v="43.383903667447221"/>
    <n v="38.306103683086107"/>
    <n v="45.257641015508327"/>
    <n v="73"/>
  </r>
  <r>
    <d v="2026-07-24T03:00:00"/>
    <x v="4"/>
    <n v="3"/>
    <n v="24.325995314797229"/>
    <n v="27.83732267910278"/>
    <n v="29.561389103308329"/>
    <n v="16.8"/>
    <n v="44.913890811622217"/>
    <n v="38.601369339588892"/>
    <n v="45.19240643761389"/>
    <n v="75"/>
  </r>
  <r>
    <d v="2026-07-24T04:00:00"/>
    <x v="4"/>
    <n v="4"/>
    <n v="24.060242690491659"/>
    <n v="27.67537560029167"/>
    <n v="29.57942182475556"/>
    <n v="16.3"/>
    <n v="46.075122619125011"/>
    <n v="39.105713759405553"/>
    <n v="45.151078314141671"/>
    <n v="77"/>
  </r>
  <r>
    <d v="2026-07-24T05:00:00"/>
    <x v="4"/>
    <n v="5"/>
    <n v="23.92063690797778"/>
    <n v="27.549551863208329"/>
    <n v="29.58733838297222"/>
    <n v="16"/>
    <n v="46.741178469352768"/>
    <n v="39.562440280158327"/>
    <n v="45.134984514130558"/>
    <n v="81"/>
  </r>
  <r>
    <d v="2026-07-24T06:00:00"/>
    <x v="4"/>
    <n v="6"/>
    <n v="24.583544586461109"/>
    <n v="27.55945448065556"/>
    <n v="29.589300206838889"/>
    <n v="16.399999999999999"/>
    <n v="45.206026903066657"/>
    <n v="39.725768400272223"/>
    <n v="45.027663608344447"/>
    <n v="81"/>
  </r>
  <r>
    <d v="2026-07-24T07:00:00"/>
    <x v="4"/>
    <n v="7"/>
    <n v="25.127696652886112"/>
    <n v="27.554849251861111"/>
    <n v="29.54617892698889"/>
    <n v="17.399999999999999"/>
    <n v="44.406771230169447"/>
    <n v="39.963941765097218"/>
    <n v="44.938489511522221"/>
    <n v="78"/>
  </r>
  <r>
    <d v="2026-07-24T08:00:00"/>
    <x v="4"/>
    <n v="8"/>
    <n v="26.90854829703056"/>
    <n v="28.151281616375002"/>
    <n v="29.49251484357778"/>
    <n v="18.899999999999999"/>
    <n v="41.670252268005562"/>
    <n v="39.794622169686107"/>
    <n v="44.94709923028055"/>
    <n v="73"/>
  </r>
  <r>
    <d v="2026-07-24T09:00:00"/>
    <x v="4"/>
    <n v="9"/>
    <n v="27.800284109213891"/>
    <n v="28.501118843147221"/>
    <n v="29.451631235069449"/>
    <n v="20.6"/>
    <n v="40.87754851698611"/>
    <n v="40.218772668872226"/>
    <n v="45.041550843138893"/>
    <n v="69"/>
  </r>
  <r>
    <d v="2026-07-24T10:00:00"/>
    <x v="4"/>
    <n v="10"/>
    <n v="27.841097141163889"/>
    <n v="28.62550329191944"/>
    <n v="29.465323948799998"/>
    <n v="21.7"/>
    <n v="40.924461229691673"/>
    <n v="41.678551338983333"/>
    <n v="45.796315504319438"/>
    <n v="65"/>
  </r>
  <r>
    <d v="2026-07-24T11:00:00"/>
    <x v="4"/>
    <n v="11"/>
    <n v="27.76059731650556"/>
    <n v="28.624759250988891"/>
    <n v="29.487375977338889"/>
    <n v="23"/>
    <n v="40.969173396400002"/>
    <n v="40.16392508775278"/>
    <n v="46.110701644752773"/>
    <n v="62"/>
  </r>
  <r>
    <d v="2026-07-24T12:00:00"/>
    <x v="4"/>
    <n v="12"/>
    <n v="27.687391684341659"/>
    <n v="28.726094502491659"/>
    <n v="29.51847049772778"/>
    <n v="23.9"/>
    <n v="41.032218773347218"/>
    <n v="39.886956589238892"/>
    <n v="46.015735510325008"/>
    <n v="57"/>
  </r>
  <r>
    <d v="2026-07-24T13:00:00"/>
    <x v="4"/>
    <n v="13"/>
    <n v="27.020229588766671"/>
    <n v="28.171098940488889"/>
    <n v="29.599543371677779"/>
    <n v="24"/>
    <n v="45.468701838547219"/>
    <n v="43.176207277344453"/>
    <n v="45.963407402877777"/>
    <n v="54"/>
  </r>
  <r>
    <d v="2026-07-24T14:00:00"/>
    <x v="4"/>
    <n v="14"/>
    <n v="25.92422256147778"/>
    <n v="28.410493204402769"/>
    <n v="29.632224932372221"/>
    <n v="21"/>
    <n v="50.674842156641667"/>
    <n v="45.914758460577779"/>
    <n v="46.595979740041663"/>
    <n v="75"/>
  </r>
  <r>
    <d v="2026-07-24T15:00:00"/>
    <x v="4"/>
    <n v="15"/>
    <n v="25.716174030947219"/>
    <n v="28.273247715269449"/>
    <n v="29.644144058630559"/>
    <n v="19.3"/>
    <n v="52.630867368919453"/>
    <n v="47.036690192127772"/>
    <n v="46.90619765028611"/>
    <n v="86"/>
  </r>
  <r>
    <d v="2026-07-24T16:00:00"/>
    <x v="4"/>
    <n v="16"/>
    <n v="25.142615638447229"/>
    <n v="28.34651398648333"/>
    <n v="29.670341062044439"/>
    <n v="20.399999999999999"/>
    <n v="51.74144315875278"/>
    <n v="46.013969924658333"/>
    <n v="46.795380746944438"/>
    <n v="82"/>
  </r>
  <r>
    <d v="2026-07-24T17:00:00"/>
    <x v="4"/>
    <n v="17"/>
    <n v="25.020006526344449"/>
    <n v="27.909217621555559"/>
    <n v="29.690896861266669"/>
    <n v="21.1"/>
    <n v="49.652212549058333"/>
    <n v="43.80416434964723"/>
    <n v="46.67848607117778"/>
    <n v="79"/>
  </r>
  <r>
    <d v="2026-07-24T18:00:00"/>
    <x v="4"/>
    <n v="18"/>
    <n v="24.73495673796112"/>
    <n v="27.419255550641669"/>
    <n v="29.698441774769449"/>
    <n v="18.100000000000001"/>
    <n v="50.12821083231389"/>
    <n v="44.005246557102787"/>
    <n v="46.630202104213893"/>
    <n v="90"/>
  </r>
  <r>
    <d v="2026-07-24T19:00:00"/>
    <x v="4"/>
    <n v="19"/>
    <n v="24.43638808475556"/>
    <n v="27.481934783172221"/>
    <n v="29.658684050891669"/>
    <n v="17.600000000000001"/>
    <n v="52.659889904852783"/>
    <n v="45.340430502688889"/>
    <n v="47.052529276497218"/>
    <n v="92"/>
  </r>
  <r>
    <d v="2026-07-24T20:00:00"/>
    <x v="4"/>
    <n v="20"/>
    <n v="24.23739939230833"/>
    <n v="27.50643146313611"/>
    <n v="29.446466528969442"/>
    <n v="17.5"/>
    <n v="55.012176020527782"/>
    <n v="46.666035766258339"/>
    <n v="48.093025415983327"/>
    <n v="96"/>
  </r>
  <r>
    <d v="2026-07-24T21:00:00"/>
    <x v="4"/>
    <n v="21"/>
    <n v="24.10123536744166"/>
    <n v="27.952037105697219"/>
    <n v="28.15165672023333"/>
    <n v="17.600000000000001"/>
    <n v="56.949753074808328"/>
    <n v="47.631087443847228"/>
    <n v="54.196158999291661"/>
    <n v="96"/>
  </r>
  <r>
    <d v="2026-07-24T22:00:00"/>
    <x v="4"/>
    <n v="22"/>
    <n v="24.109283729758332"/>
    <n v="27.860077966966671"/>
    <n v="27.871893041425"/>
    <n v="17.2"/>
    <n v="57.99541717910278"/>
    <n v="49.691748894205553"/>
    <n v="55.538243880905547"/>
    <n v="95"/>
  </r>
  <r>
    <d v="2026-07-24T23:00:00"/>
    <x v="4"/>
    <n v="23"/>
    <n v="23.932060352469449"/>
    <n v="27.856306237169441"/>
    <n v="28.196328606416671"/>
    <n v="17"/>
    <n v="58.957149300938887"/>
    <n v="49.240158141933343"/>
    <n v="53.527098420636122"/>
    <n v="96"/>
  </r>
  <r>
    <d v="2026-07-25T00:00:00"/>
    <x v="4"/>
    <n v="0"/>
    <n v="23.565407883602781"/>
    <n v="27.68265930485833"/>
    <n v="28.69042792402222"/>
    <n v="16.899999999999999"/>
    <n v="59.269738500750002"/>
    <n v="48.172187796925002"/>
    <n v="51.159571872166673"/>
    <n v="96"/>
  </r>
  <r>
    <d v="2026-07-25T01:00:00"/>
    <x v="4"/>
    <n v="1"/>
    <n v="23.610270519124999"/>
    <n v="27.594647092700001"/>
    <n v="28.87098168195277"/>
    <n v="16.600000000000001"/>
    <n v="57.963895476224998"/>
    <n v="47.166554897925003"/>
    <n v="50.259597078419439"/>
    <n v="97"/>
  </r>
  <r>
    <d v="2026-07-25T02:00:00"/>
    <x v="4"/>
    <n v="2"/>
    <n v="23.562135930638888"/>
    <n v="27.497431255955561"/>
    <n v="28.956596790527779"/>
    <n v="16.100000000000001"/>
    <n v="57.703301462222221"/>
    <n v="46.926164489208332"/>
    <n v="49.784253298983337"/>
    <n v="97"/>
  </r>
  <r>
    <d v="2026-07-25T03:00:00"/>
    <x v="4"/>
    <n v="3"/>
    <n v="23.65811274555556"/>
    <n v="27.00307633954445"/>
    <n v="28.994116756972229"/>
    <n v="16.899999999999999"/>
    <n v="56.867771366813891"/>
    <n v="47.588900998597218"/>
    <n v="49.466866481505562"/>
    <n v="94"/>
  </r>
  <r>
    <d v="2026-07-25T04:00:00"/>
    <x v="4"/>
    <n v="4"/>
    <n v="23.50788122302778"/>
    <n v="27.352214706469439"/>
    <n v="29.00889156646944"/>
    <n v="16.7"/>
    <n v="57.011495705936113"/>
    <n v="46.568900559041673"/>
    <n v="49.149485677488883"/>
    <n v="94"/>
  </r>
  <r>
    <d v="2026-07-25T05:00:00"/>
    <x v="4"/>
    <n v="5"/>
    <n v="23.358211481975001"/>
    <n v="27.217869536363889"/>
    <n v="29.01375304816667"/>
    <n v="16.399999999999999"/>
    <n v="56.86937293827777"/>
    <n v="46.395121823383327"/>
    <n v="48.928365569961109"/>
    <n v="94"/>
  </r>
  <r>
    <d v="2026-07-25T06:00:00"/>
    <x v="4"/>
    <n v="6"/>
    <n v="23.717120951836112"/>
    <n v="26.949467886352771"/>
    <n v="29.01380296826666"/>
    <n v="16.7"/>
    <n v="56.026336094116672"/>
    <n v="47.052865092094443"/>
    <n v="48.793661763530558"/>
    <n v="94"/>
  </r>
  <r>
    <d v="2026-07-25T07:00:00"/>
    <x v="4"/>
    <n v="7"/>
    <n v="24.21850590234445"/>
    <n v="26.69538579594445"/>
    <n v="29.01297221625833"/>
    <n v="17.899999999999999"/>
    <n v="54.39556991944167"/>
    <n v="47.351159556352783"/>
    <n v="48.634631186452772"/>
    <n v="90"/>
  </r>
  <r>
    <d v="2026-07-25T08:00:00"/>
    <x v="4"/>
    <n v="8"/>
    <n v="25.497176895205559"/>
    <n v="26.800382215291659"/>
    <n v="29.0117805772"/>
    <n v="19.3"/>
    <n v="52.20285285635277"/>
    <n v="48.272924217644437"/>
    <n v="48.671257685086111"/>
    <n v="83"/>
  </r>
  <r>
    <d v="2026-07-25T09:00:00"/>
    <x v="4"/>
    <n v="9"/>
    <n v="25.745480858975"/>
    <n v="26.813234763694439"/>
    <n v="29.02508604010556"/>
    <n v="21.2"/>
    <n v="51.099996759369454"/>
    <n v="48.263601440191671"/>
    <n v="48.62540250135833"/>
    <n v="72"/>
  </r>
  <r>
    <d v="2026-07-25T10:00:00"/>
    <x v="4"/>
    <n v="10"/>
    <n v="25.863323310709522"/>
    <n v="26.798944488561911"/>
    <n v="29.027618840799999"/>
    <n v="22.2"/>
    <n v="50.123549959328571"/>
    <n v="47.886918302109521"/>
    <n v="48.683390797404762"/>
    <n v="60"/>
  </r>
  <r>
    <d v="2026-07-25T11:00:00"/>
    <x v="4"/>
    <n v="11"/>
    <m/>
    <m/>
    <m/>
    <n v="22.6"/>
    <m/>
    <m/>
    <m/>
    <n v="56"/>
  </r>
  <r>
    <d v="2026-07-25T12:00:00"/>
    <x v="4"/>
    <n v="12"/>
    <m/>
    <m/>
    <m/>
    <n v="23.3"/>
    <m/>
    <m/>
    <m/>
    <n v="55"/>
  </r>
  <r>
    <d v="2026-07-25T13:00:00"/>
    <x v="4"/>
    <n v="13"/>
    <m/>
    <m/>
    <m/>
    <n v="24"/>
    <m/>
    <m/>
    <m/>
    <n v="55"/>
  </r>
  <r>
    <d v="2026-07-25T14:00:00"/>
    <x v="4"/>
    <n v="14"/>
    <m/>
    <m/>
    <m/>
    <n v="24.4"/>
    <m/>
    <m/>
    <m/>
    <n v="54"/>
  </r>
  <r>
    <d v="2026-07-25T15:00:00"/>
    <x v="4"/>
    <n v="15"/>
    <m/>
    <m/>
    <m/>
    <n v="24.9"/>
    <m/>
    <m/>
    <m/>
    <n v="52"/>
  </r>
  <r>
    <d v="2026-07-25T16:00:00"/>
    <x v="4"/>
    <n v="16"/>
    <m/>
    <m/>
    <m/>
    <n v="24.5"/>
    <m/>
    <m/>
    <m/>
    <n v="51"/>
  </r>
  <r>
    <d v="2026-07-25T17:00:00"/>
    <x v="4"/>
    <n v="17"/>
    <m/>
    <m/>
    <m/>
    <n v="24.5"/>
    <m/>
    <m/>
    <m/>
    <n v="50"/>
  </r>
  <r>
    <d v="2026-07-25T18:00:00"/>
    <x v="4"/>
    <n v="18"/>
    <m/>
    <m/>
    <m/>
    <n v="23.7"/>
    <m/>
    <m/>
    <m/>
    <n v="54"/>
  </r>
  <r>
    <d v="2026-07-25T19:00:00"/>
    <x v="4"/>
    <n v="19"/>
    <m/>
    <m/>
    <m/>
    <n v="23"/>
    <m/>
    <m/>
    <m/>
    <n v="59"/>
  </r>
  <r>
    <d v="2026-07-25T20:00:00"/>
    <x v="4"/>
    <n v="20"/>
    <n v="25.104728364580119"/>
    <n v="26.475656555410321"/>
    <n v="27.869146869376671"/>
    <n v="21.7"/>
    <n v="50.421797952918951"/>
    <n v="46.978569372239811"/>
    <n v="49.067517878222382"/>
    <n v="65"/>
  </r>
  <r>
    <d v="2026-07-25T21:00:00"/>
    <x v="4"/>
    <n v="21"/>
    <n v="25.22708413123334"/>
    <n v="26.697346683833331"/>
    <n v="27.4763608654"/>
    <n v="20.9"/>
    <n v="49.781125582816657"/>
    <n v="46.347966042283332"/>
    <n v="52.492646316313888"/>
    <n v="69"/>
  </r>
  <r>
    <d v="2026-07-25T22:00:00"/>
    <x v="4"/>
    <n v="22"/>
    <n v="25.085613694911121"/>
    <n v="26.595311243411111"/>
    <n v="27.238373067277781"/>
    <n v="20.399999999999999"/>
    <n v="50.668228360147218"/>
    <n v="46.942529715580548"/>
    <n v="53.151195575369449"/>
    <n v="71"/>
  </r>
  <r>
    <d v="2026-07-25T23:00:00"/>
    <x v="4"/>
    <n v="23"/>
    <n v="24.68663243853333"/>
    <n v="26.510644397908329"/>
    <n v="27.727109776252771"/>
    <n v="19.7"/>
    <n v="51.372034781163897"/>
    <n v="47.926252865491669"/>
    <n v="51.117205321558338"/>
    <n v="75"/>
  </r>
  <r>
    <d v="2026-07-26T00:00:00"/>
    <x v="4"/>
    <n v="0"/>
    <n v="24.591421668938889"/>
    <n v="26.534604848819441"/>
    <n v="28.037549847327771"/>
    <n v="19"/>
    <n v="52.783383771722221"/>
    <n v="49.438726911575003"/>
    <n v="50.329705073183327"/>
    <n v="78"/>
  </r>
  <r>
    <d v="2026-07-26T01:00:00"/>
    <x v="4"/>
    <n v="1"/>
    <n v="24.180748063222222"/>
    <n v="26.60180865686111"/>
    <n v="28.223789532449999"/>
    <n v="18.5"/>
    <n v="52.602846750775001"/>
    <n v="47.080704584922223"/>
    <n v="49.916511594169442"/>
    <n v="80"/>
  </r>
  <r>
    <d v="2026-07-26T02:00:00"/>
    <x v="4"/>
    <n v="2"/>
    <n v="23.68349852298056"/>
    <n v="26.520360072391671"/>
    <n v="28.339733012147221"/>
    <n v="18"/>
    <n v="54.961968526180549"/>
    <n v="47.435876796050003"/>
    <n v="49.61657009319444"/>
    <n v="82"/>
  </r>
  <r>
    <d v="2026-07-26T03:00:00"/>
    <x v="4"/>
    <n v="3"/>
    <n v="23.15250658193056"/>
    <n v="26.210664623269452"/>
    <n v="28.405380937286111"/>
    <n v="17.3"/>
    <n v="57.303745585355557"/>
    <n v="48.685013765894453"/>
    <n v="49.539981316244443"/>
    <n v="87"/>
  </r>
  <r>
    <d v="2026-07-26T04:00:00"/>
    <x v="4"/>
    <n v="4"/>
    <n v="23.083453281816659"/>
    <n v="26.158713431902779"/>
    <n v="28.446463623613891"/>
    <n v="16.8"/>
    <n v="57.196837900175012"/>
    <n v="48.649710214650007"/>
    <n v="49.439681516288893"/>
    <n v="89"/>
  </r>
  <r>
    <d v="2026-07-26T05:00:00"/>
    <x v="4"/>
    <n v="5"/>
    <n v="22.853750287319439"/>
    <n v="26.131900470933331"/>
    <n v="28.482000680883331"/>
    <n v="16.7"/>
    <n v="58.044823252786109"/>
    <n v="48.822821286591669"/>
    <n v="49.364434618027779"/>
    <n v="90"/>
  </r>
  <r>
    <d v="2026-07-26T06:00:00"/>
    <x v="4"/>
    <n v="6"/>
    <n v="22.914299753513891"/>
    <n v="26.072261162816659"/>
    <n v="28.510509445377771"/>
    <n v="17.100000000000001"/>
    <n v="58.077105745897221"/>
    <n v="48.840542800336117"/>
    <n v="49.315611438588888"/>
    <n v="89"/>
  </r>
  <r>
    <d v="2026-07-26T07:00:00"/>
    <x v="4"/>
    <n v="7"/>
    <n v="23.096912648416659"/>
    <n v="26.041575340127778"/>
    <n v="28.527796967838889"/>
    <n v="17.8"/>
    <n v="58.570333399469447"/>
    <n v="49.681513930774997"/>
    <n v="49.361343176108328"/>
    <n v="88"/>
  </r>
  <r>
    <d v="2026-07-26T08:00:00"/>
    <x v="4"/>
    <n v="8"/>
    <n v="23.442478809274998"/>
    <n v="26.189958117488889"/>
    <n v="28.54458377394722"/>
    <n v="18.899999999999999"/>
    <n v="57.839848016108327"/>
    <n v="49.735180672966663"/>
    <n v="49.239059480547219"/>
    <n v="83"/>
  </r>
  <r>
    <d v="2026-07-26T09:00:00"/>
    <x v="4"/>
    <n v="9"/>
    <n v="24.125716860977779"/>
    <n v="26.37037887586667"/>
    <n v="28.581167635530559"/>
    <n v="19.8"/>
    <n v="52.764932346091662"/>
    <n v="48.048996002858331"/>
    <n v="49.053892312027777"/>
    <n v="80"/>
  </r>
  <r>
    <d v="2026-07-26T10:00:00"/>
    <x v="4"/>
    <n v="10"/>
    <n v="25.073339775602779"/>
    <n v="26.324507292316671"/>
    <n v="28.596592457197222"/>
    <n v="21.3"/>
    <n v="48.221255708622223"/>
    <n v="46.605251467636123"/>
    <n v="48.786278902594439"/>
    <n v="69"/>
  </r>
  <r>
    <d v="2026-07-26T11:00:00"/>
    <x v="4"/>
    <n v="11"/>
    <n v="24.943673894488889"/>
    <n v="26.359272312980561"/>
    <n v="28.609157986647219"/>
    <n v="22.2"/>
    <n v="48.696905286333333"/>
    <n v="46.375041538044449"/>
    <n v="48.574716766327782"/>
    <n v="61"/>
  </r>
  <r>
    <d v="2026-07-26T12:00:00"/>
    <x v="4"/>
    <n v="12"/>
    <n v="25.178774387227779"/>
    <n v="26.86941409112222"/>
    <n v="28.626528581424999"/>
    <n v="22.6"/>
    <n v="47.863803363197228"/>
    <n v="45.921782360350001"/>
    <n v="48.448421777766669"/>
    <n v="54"/>
  </r>
  <r>
    <d v="2026-07-26T13:00:00"/>
    <x v="4"/>
    <n v="13"/>
    <n v="25.526862106869441"/>
    <n v="26.985563058080562"/>
    <n v="28.646666593736111"/>
    <n v="22.8"/>
    <n v="47.473517394458327"/>
    <n v="45.878568556019452"/>
    <n v="48.452992863077782"/>
    <n v="54"/>
  </r>
  <r>
    <d v="2026-07-26T14:00:00"/>
    <x v="4"/>
    <n v="14"/>
    <n v="25.820572919611109"/>
    <n v="27.244735105527781"/>
    <n v="28.658417557458328"/>
    <n v="22.8"/>
    <n v="46.333106339380556"/>
    <n v="45.668911959441672"/>
    <n v="48.428484872530561"/>
    <n v="55"/>
  </r>
  <r>
    <d v="2026-07-26T15:00:00"/>
    <x v="4"/>
    <n v="15"/>
    <n v="25.87592397020833"/>
    <n v="27.358034198913892"/>
    <n v="28.583106514911108"/>
    <n v="23.5"/>
    <n v="45.804270674638879"/>
    <n v="45.168251716272223"/>
    <n v="48.91857003537222"/>
    <n v="56"/>
  </r>
  <r>
    <d v="2026-07-26T16:00:00"/>
    <x v="4"/>
    <n v="16"/>
    <n v="26.089649006713891"/>
    <n v="27.423435487230549"/>
    <n v="28.089850450575"/>
    <n v="23.8"/>
    <n v="42.711574482925002"/>
    <n v="42.737490512986113"/>
    <n v="48.995825243216657"/>
    <n v="55"/>
  </r>
  <r>
    <d v="2026-07-26T17:00:00"/>
    <x v="4"/>
    <n v="17"/>
    <n v="26.006531443269441"/>
    <n v="27.442038008897221"/>
    <n v="28.283068754605559"/>
    <n v="24.2"/>
    <n v="44.02715992956945"/>
    <n v="43.117878615755558"/>
    <n v="48.814921530894438"/>
    <n v="52"/>
  </r>
  <r>
    <d v="2026-07-26T18:00:00"/>
    <x v="4"/>
    <n v="18"/>
    <n v="25.913293174308329"/>
    <n v="27.348112928300001"/>
    <n v="28.493561590533329"/>
    <n v="23.9"/>
    <n v="45.000871955566673"/>
    <n v="44.015274257922222"/>
    <n v="48.51827529886944"/>
    <n v="52"/>
  </r>
  <r>
    <d v="2026-07-26T19:00:00"/>
    <x v="4"/>
    <n v="19"/>
    <n v="25.59521399482222"/>
    <n v="27.501580456397221"/>
    <n v="28.48315725966944"/>
    <n v="23.1"/>
    <n v="45.740453124866661"/>
    <n v="43.699482074219453"/>
    <n v="49.196982481769453"/>
    <n v="59"/>
  </r>
  <r>
    <d v="2026-07-26T20:00:00"/>
    <x v="4"/>
    <n v="20"/>
    <n v="25.279219606577779"/>
    <n v="27.113160561250002"/>
    <n v="28.539595419455559"/>
    <n v="21.5"/>
    <n v="46.243727370116673"/>
    <n v="44.294535156744438"/>
    <n v="48.972377749847233"/>
    <n v="68"/>
  </r>
  <r>
    <d v="2026-07-26T21:00:00"/>
    <x v="4"/>
    <n v="21"/>
    <n v="24.600960878497219"/>
    <n v="27.573923282652771"/>
    <n v="28.19400106500278"/>
    <n v="20.100000000000001"/>
    <n v="49.582244800747219"/>
    <n v="44.563779490669447"/>
    <n v="49.565475002463891"/>
    <n v="73"/>
  </r>
  <r>
    <d v="2026-07-26T22:00:00"/>
    <x v="4"/>
    <n v="22"/>
    <n v="23.963132699744449"/>
    <n v="27.321128354636109"/>
    <n v="28.534155265447222"/>
    <n v="19.2"/>
    <n v="51.032882540933343"/>
    <n v="44.401689987247217"/>
    <n v="48.922147915630553"/>
    <n v="78"/>
  </r>
  <r>
    <d v="2026-07-26T23:00:00"/>
    <x v="4"/>
    <n v="23"/>
    <n v="23.723394787749999"/>
    <n v="27.283990444838889"/>
    <n v="28.652927976947229"/>
    <n v="18.399999999999999"/>
    <n v="51.769159201994448"/>
    <n v="43.834466039305553"/>
    <n v="48.615442630002782"/>
    <n v="82"/>
  </r>
  <r>
    <d v="2026-07-27T00:00:00"/>
    <x v="4"/>
    <n v="0"/>
    <n v="23.580062548200001"/>
    <n v="27.196942392752771"/>
    <n v="28.624046858374999"/>
    <n v="17.7"/>
    <n v="52.231961668166669"/>
    <n v="44.863661830922219"/>
    <n v="48.691345877899998"/>
    <n v="86"/>
  </r>
  <r>
    <d v="2026-07-27T01:00:00"/>
    <x v="4"/>
    <n v="1"/>
    <n v="23.313383593605561"/>
    <n v="27.136456680180562"/>
    <n v="28.722132168286109"/>
    <n v="17.2"/>
    <n v="52.919008234433328"/>
    <n v="44.477272332244453"/>
    <n v="48.542053000702772"/>
    <n v="87"/>
  </r>
  <r>
    <d v="2026-07-27T02:00:00"/>
    <x v="4"/>
    <n v="2"/>
    <n v="23.12061175416666"/>
    <n v="26.836779188966659"/>
    <n v="28.779473231686111"/>
    <n v="16.5"/>
    <n v="53.543111788674999"/>
    <n v="44.47834755389723"/>
    <n v="48.449134578191668"/>
    <n v="90"/>
  </r>
  <r>
    <d v="2026-07-27T03:00:00"/>
    <x v="4"/>
    <n v="3"/>
    <n v="22.53841596126945"/>
    <n v="26.381387053794441"/>
    <n v="28.825806421725002"/>
    <n v="16"/>
    <n v="54.485526376136107"/>
    <n v="44.828707082705563"/>
    <n v="48.322427008530553"/>
    <n v="90"/>
  </r>
  <r>
    <d v="2026-07-27T04:00:00"/>
    <x v="4"/>
    <n v="4"/>
    <n v="22.567454633536109"/>
    <n v="26.116559838177778"/>
    <n v="28.853140325652781"/>
    <n v="15.7"/>
    <n v="53.980255037694462"/>
    <n v="44.85737589641667"/>
    <n v="48.129112412472232"/>
    <n v="89"/>
  </r>
  <r>
    <d v="2026-07-27T05:00:00"/>
    <x v="4"/>
    <n v="5"/>
    <n v="22.83847917055278"/>
    <n v="26.095616539163888"/>
    <n v="28.871074402547219"/>
    <n v="15.5"/>
    <n v="52.743337746241671"/>
    <n v="44.700909765019453"/>
    <n v="47.976058936102781"/>
    <n v="89"/>
  </r>
  <r>
    <d v="2026-07-27T06:00:00"/>
    <x v="4"/>
    <n v="6"/>
    <n v="24.099135309566659"/>
    <n v="26.284573466713891"/>
    <n v="28.883317198391669"/>
    <n v="16.100000000000001"/>
    <n v="48.764421295358339"/>
    <n v="44.272372338947207"/>
    <n v="47.838746574852777"/>
    <n v="87"/>
  </r>
  <r>
    <d v="2026-07-27T07:00:00"/>
    <x v="4"/>
    <n v="7"/>
    <n v="25.340811653638891"/>
    <n v="26.860106461925"/>
    <n v="28.918761792080559"/>
    <n v="17.7"/>
    <n v="46.020111987608338"/>
    <n v="43.685822570677779"/>
    <n v="47.784750308613887"/>
    <n v="83"/>
  </r>
  <r>
    <d v="2026-07-27T08:00:00"/>
    <x v="4"/>
    <n v="8"/>
    <n v="26.27110715348056"/>
    <n v="27.665654808355551"/>
    <n v="28.968473440355559"/>
    <n v="19.899999999999999"/>
    <n v="45.873799982958332"/>
    <n v="43.133901914252782"/>
    <n v="47.795536085563889"/>
    <n v="77"/>
  </r>
  <r>
    <d v="2026-07-27T09:00:00"/>
    <x v="4"/>
    <n v="9"/>
    <n v="26.871334777861112"/>
    <n v="28.506408399811111"/>
    <n v="28.982917234272222"/>
    <n v="22.4"/>
    <n v="44.864095945419443"/>
    <n v="41.445681296222233"/>
    <n v="47.75435818562778"/>
    <n v="67"/>
  </r>
  <r>
    <d v="2026-07-27T10:00:00"/>
    <x v="4"/>
    <n v="10"/>
    <n v="27.0546074672"/>
    <n v="28.583221913863891"/>
    <n v="28.978591916002781"/>
    <n v="24.1"/>
    <n v="42.672728582224998"/>
    <n v="40.229887001508331"/>
    <n v="47.676442094447218"/>
    <n v="56"/>
  </r>
  <r>
    <d v="2026-07-27T11:00:00"/>
    <x v="4"/>
    <n v="11"/>
    <n v="27.07416769378333"/>
    <n v="28.613746049263881"/>
    <n v="28.970029656244449"/>
    <n v="25"/>
    <n v="40.050376711738878"/>
    <n v="37.846481299222233"/>
    <n v="47.618893410008333"/>
    <n v="47"/>
  </r>
  <r>
    <d v="2026-07-27T12:00:00"/>
    <x v="4"/>
    <n v="12"/>
    <n v="27.11471124797778"/>
    <n v="28.58142168697222"/>
    <n v="28.967333148594449"/>
    <n v="25.7"/>
    <n v="37.356139956422219"/>
    <n v="36.245898765952781"/>
    <n v="47.440614603227779"/>
    <n v="44"/>
  </r>
  <r>
    <d v="2026-07-27T13:00:00"/>
    <x v="4"/>
    <n v="13"/>
    <n v="27.12163780563333"/>
    <n v="28.37488315183333"/>
    <n v="28.97083360094722"/>
    <n v="26.2"/>
    <n v="35.93313841016667"/>
    <n v="35.508711240499998"/>
    <n v="46.788237808369438"/>
    <n v="42"/>
  </r>
  <r>
    <d v="2026-07-27T14:00:00"/>
    <x v="4"/>
    <n v="14"/>
    <n v="27.07889991482778"/>
    <n v="28.140352435427779"/>
    <n v="28.963231663672222"/>
    <n v="26.5"/>
    <n v="36.390846503258338"/>
    <n v="36.775884327513893"/>
    <n v="46.888469846636113"/>
    <n v="42"/>
  </r>
  <r>
    <d v="2026-07-27T15:00:00"/>
    <x v="4"/>
    <n v="15"/>
    <n v="27.19076868423889"/>
    <n v="28.345255403905561"/>
    <n v="28.805191401808329"/>
    <n v="27.2"/>
    <n v="36.818803473975002"/>
    <n v="37.22699208788611"/>
    <n v="46.735954711974998"/>
    <n v="40"/>
  </r>
  <r>
    <d v="2026-07-27T16:00:00"/>
    <x v="4"/>
    <n v="16"/>
    <n v="27.27095562945556"/>
    <n v="28.446224032219451"/>
    <n v="28.808045194894451"/>
    <n v="27.1"/>
    <n v="37.852665819472222"/>
    <n v="38.547499943333342"/>
    <n v="47.241581183866657"/>
    <n v="40"/>
  </r>
  <r>
    <d v="2026-07-27T17:00:00"/>
    <x v="4"/>
    <n v="17"/>
    <n v="26.812770868649999"/>
    <n v="28.369568186847221"/>
    <n v="28.707333391994439"/>
    <n v="26.7"/>
    <n v="37.772803515280557"/>
    <n v="36.91136578491389"/>
    <n v="45.805647890422222"/>
    <n v="42"/>
  </r>
  <r>
    <d v="2026-07-27T18:00:00"/>
    <x v="4"/>
    <n v="18"/>
    <n v="27.182699205097219"/>
    <n v="28.755861978566671"/>
    <n v="28.71606216753889"/>
    <n v="26.5"/>
    <n v="38.044744692513888"/>
    <n v="37.90234357458889"/>
    <n v="46.766107421000001"/>
    <n v="43"/>
  </r>
  <r>
    <d v="2026-07-27T19:00:00"/>
    <x v="4"/>
    <n v="19"/>
    <n v="27.223826336958339"/>
    <n v="28.712101248844441"/>
    <n v="28.840903806269441"/>
    <n v="25.4"/>
    <n v="39.770796102969442"/>
    <n v="41.925601017624992"/>
    <n v="47.427662194666667"/>
    <n v="51"/>
  </r>
  <r>
    <d v="2026-07-27T20:00:00"/>
    <x v="4"/>
    <n v="20"/>
    <n v="27.08302533963333"/>
    <n v="28.469098976347219"/>
    <n v="28.97986560478056"/>
    <n v="23.7"/>
    <n v="41.772559306294447"/>
    <n v="41.980246691080559"/>
    <n v="47.611868464702781"/>
    <n v="60"/>
  </r>
  <r>
    <d v="2026-07-27T21:00:00"/>
    <x v="4"/>
    <n v="21"/>
    <n v="26.923025215749998"/>
    <n v="28.45695658595"/>
    <n v="29.04496635283612"/>
    <n v="22.5"/>
    <n v="39.916644536116657"/>
    <n v="39.728911505088888"/>
    <n v="47.293635007375002"/>
    <n v="62"/>
  </r>
  <r>
    <d v="2026-07-27T22:00:00"/>
    <x v="4"/>
    <n v="22"/>
    <n v="26.730796786088892"/>
    <n v="28.48391303116389"/>
    <n v="29.084390214194439"/>
    <n v="21.8"/>
    <n v="39.076900256316662"/>
    <n v="38.183745240275002"/>
    <n v="46.703614995897233"/>
    <n v="61"/>
  </r>
  <r>
    <d v="2026-07-27T23:00:00"/>
    <x v="4"/>
    <n v="23"/>
    <n v="26.459198076905551"/>
    <n v="28.002444622316659"/>
    <n v="29.136928947497221"/>
    <n v="21.4"/>
    <n v="39.673639609019439"/>
    <n v="40.439917450199999"/>
    <n v="46.562641802511109"/>
    <n v="61"/>
  </r>
  <r>
    <d v="2026-07-28T00:00:00"/>
    <x v="4"/>
    <n v="0"/>
    <n v="26.260577368188891"/>
    <n v="27.93017148556666"/>
    <n v="29.024428803577781"/>
    <n v="20.7"/>
    <n v="40.687041746727779"/>
    <n v="40.223855573386111"/>
    <n v="46.168503968877779"/>
    <n v="64"/>
  </r>
  <r>
    <d v="2026-07-28T01:00:00"/>
    <x v="4"/>
    <n v="1"/>
    <n v="26.07586972675"/>
    <n v="27.93"/>
    <n v="29.05130546955278"/>
    <n v="20.2"/>
    <n v="40.089410008733331"/>
    <n v="40.18"/>
    <n v="46.281160105422217"/>
    <n v="66"/>
  </r>
  <r>
    <d v="2026-07-28T02:00:00"/>
    <x v="4"/>
    <n v="2"/>
    <n v="25.77231532798611"/>
    <n v="27.93"/>
    <n v="29.040432545338891"/>
    <n v="19.7"/>
    <n v="40.088289310758327"/>
    <n v="40.18"/>
    <n v="46.145535598641672"/>
    <n v="68"/>
  </r>
  <r>
    <d v="2026-07-28T03:00:00"/>
    <x v="4"/>
    <n v="3"/>
    <n v="25.67001329761111"/>
    <n v="27.93"/>
    <n v="29.016748125408341"/>
    <n v="18.7"/>
    <n v="39.85081262264444"/>
    <n v="40.18"/>
    <n v="45.922257068336108"/>
    <n v="73"/>
  </r>
  <r>
    <d v="2026-07-28T04:00:00"/>
    <x v="4"/>
    <n v="4"/>
    <n v="25.375208575697219"/>
    <n v="27.93"/>
    <n v="28.979388496719451"/>
    <n v="18.3"/>
    <n v="40.693243935494444"/>
    <n v="40.18"/>
    <n v="45.764272319833339"/>
    <n v="74"/>
  </r>
  <r>
    <d v="2026-07-28T05:00:00"/>
    <x v="4"/>
    <n v="5"/>
    <n v="25.18822895966667"/>
    <n v="27.93"/>
    <n v="28.947979175499999"/>
    <n v="17.899999999999999"/>
    <n v="41.570125481036108"/>
    <n v="40.18"/>
    <n v="45.690359472261122"/>
    <n v="75"/>
  </r>
  <r>
    <d v="2026-07-28T06:00:00"/>
    <x v="4"/>
    <n v="6"/>
    <n v="25.245264962275002"/>
    <n v="27.93"/>
    <n v="28.927786483799999"/>
    <n v="18.3"/>
    <n v="42.145524730749997"/>
    <n v="40.18"/>
    <n v="45.683121567683337"/>
    <n v="74"/>
  </r>
  <r>
    <d v="2026-07-28T07:00:00"/>
    <x v="4"/>
    <n v="7"/>
    <n v="25.74515141465556"/>
    <n v="27.93"/>
    <n v="28.911536403816669"/>
    <n v="19.5"/>
    <n v="42.602533490908343"/>
    <n v="40.18"/>
    <n v="45.768122968161123"/>
    <n v="72"/>
  </r>
  <r>
    <d v="2026-07-28T08:00:00"/>
    <x v="4"/>
    <n v="8"/>
    <n v="26.772605868733329"/>
    <n v="27.93"/>
    <n v="28.909880131669439"/>
    <n v="21.4"/>
    <n v="42.150311856472221"/>
    <n v="40.18"/>
    <n v="45.95667787424722"/>
    <n v="65"/>
  </r>
  <r>
    <d v="2026-07-28T09:00:00"/>
    <x v="4"/>
    <n v="9"/>
    <n v="27.316860869533329"/>
    <n v="27.93"/>
    <n v="28.927593841177771"/>
    <n v="23.3"/>
    <n v="41.505223557116658"/>
    <n v="40.18"/>
    <n v="46.092302117547227"/>
    <n v="56"/>
  </r>
  <r>
    <d v="2026-07-28T10:00:00"/>
    <x v="4"/>
    <n v="10"/>
    <n v="27.55491562465"/>
    <n v="27.93"/>
    <n v="28.902282933716659"/>
    <n v="24.7"/>
    <n v="38.927554651361113"/>
    <n v="40.18"/>
    <n v="45.989351360808342"/>
    <n v="51"/>
  </r>
  <r>
    <d v="2026-07-28T11:00:00"/>
    <x v="4"/>
    <n v="11"/>
    <n v="27.62409058322778"/>
    <n v="27.93"/>
    <n v="28.80717828725"/>
    <n v="25.2"/>
    <n v="35.671798690241673"/>
    <n v="40.18"/>
    <n v="44.76370933743889"/>
    <n v="48"/>
  </r>
  <r>
    <d v="2026-07-28T12:00:00"/>
    <x v="4"/>
    <n v="12"/>
    <n v="27.578234795722221"/>
    <n v="27.93"/>
    <n v="29.823454009497219"/>
    <n v="24.7"/>
    <n v="34.491973521875003"/>
    <n v="40.18"/>
    <n v="42.686344206224987"/>
    <n v="53"/>
  </r>
  <r>
    <d v="2026-07-28T13:00:00"/>
    <x v="4"/>
    <n v="13"/>
    <n v="26.71631217357222"/>
    <n v="27.93"/>
    <n v="29.157464656913891"/>
    <n v="20.7"/>
    <n v="45.640566975661109"/>
    <n v="40.18"/>
    <n v="47.87478384020833"/>
    <n v="80"/>
  </r>
  <r>
    <d v="2026-07-28T14:00:00"/>
    <x v="4"/>
    <n v="14"/>
    <n v="25.271721118236108"/>
    <n v="27.93"/>
    <n v="28.190077409547229"/>
    <n v="20.8"/>
    <n v="55.411923059044447"/>
    <n v="40.18"/>
    <n v="55.114473834958318"/>
    <n v="86"/>
  </r>
  <r>
    <d v="2026-07-28T15:00:00"/>
    <x v="4"/>
    <n v="15"/>
    <n v="25.218167188750002"/>
    <n v="27.93"/>
    <n v="27.917628567566659"/>
    <n v="20.8"/>
    <n v="56.026823283530561"/>
    <n v="40.18"/>
    <n v="56.30120417288888"/>
    <n v="85"/>
  </r>
  <r>
    <d v="2026-07-28T16:00:00"/>
    <x v="4"/>
    <n v="16"/>
    <n v="25.552770356050001"/>
    <n v="27.93"/>
    <n v="27.835725536794438"/>
    <n v="20.3"/>
    <n v="55.677618909663892"/>
    <n v="40.18"/>
    <n v="56.909801630805553"/>
    <n v="84"/>
  </r>
  <r>
    <d v="2026-07-28T17:00:00"/>
    <x v="4"/>
    <n v="17"/>
    <n v="25.861052281308329"/>
    <n v="27.93"/>
    <n v="27.964138332680559"/>
    <n v="19.600000000000001"/>
    <n v="55.554578924661122"/>
    <n v="40.18"/>
    <n v="57.63725006363611"/>
    <n v="89"/>
  </r>
  <r>
    <d v="2026-07-28T18:00:00"/>
    <x v="4"/>
    <n v="18"/>
    <n v="25.890400724202781"/>
    <n v="27.93"/>
    <n v="28.36665527538889"/>
    <n v="18.399999999999999"/>
    <n v="53.412217503402779"/>
    <n v="40.18"/>
    <n v="54.347061487852777"/>
    <n v="90"/>
  </r>
  <r>
    <d v="2026-07-28T19:00:00"/>
    <x v="4"/>
    <n v="19"/>
    <n v="25.308025925222221"/>
    <n v="27.93"/>
    <n v="28.576497678694452"/>
    <n v="18.3"/>
    <n v="52.179364130219447"/>
    <n v="40.18"/>
    <n v="52.776309204550003"/>
    <n v="92"/>
  </r>
  <r>
    <d v="2026-07-28T20:00:00"/>
    <x v="4"/>
    <n v="20"/>
    <n v="24.835390228983329"/>
    <n v="27.93"/>
    <n v="28.641059674819449"/>
    <n v="18.3"/>
    <n v="52.672205810688887"/>
    <n v="40.18"/>
    <n v="51.759597070941659"/>
    <n v="90"/>
  </r>
  <r>
    <d v="2026-07-28T21:00:00"/>
    <x v="4"/>
    <n v="21"/>
    <n v="24.528622800725"/>
    <n v="27.93"/>
    <n v="28.687394626655561"/>
    <n v="17.399999999999999"/>
    <n v="52.056419193986109"/>
    <n v="40.18"/>
    <n v="51.25541525512778"/>
    <n v="89"/>
  </r>
  <r>
    <d v="2026-07-28T22:00:00"/>
    <x v="4"/>
    <n v="22"/>
    <n v="24.02414306044167"/>
    <n v="27.93"/>
    <n v="28.703436064605551"/>
    <n v="17"/>
    <n v="48.824644944586112"/>
    <n v="40.18"/>
    <n v="50.524625456608327"/>
    <n v="88"/>
  </r>
  <r>
    <d v="2026-07-28T23:00:00"/>
    <x v="4"/>
    <n v="23"/>
    <n v="23.789114578669441"/>
    <n v="27.93"/>
    <n v="28.700461392697221"/>
    <n v="16.600000000000001"/>
    <n v="49.241193767672229"/>
    <n v="40.18"/>
    <n v="49.987364923863893"/>
    <n v="87"/>
  </r>
  <r>
    <d v="2026-07-29T00:00:00"/>
    <x v="4"/>
    <n v="0"/>
    <n v="23.773840190844439"/>
    <n v="27.891778362219441"/>
    <n v="28.689944483744441"/>
    <n v="16.5"/>
    <n v="50.058853684980562"/>
    <n v="40.430745818388893"/>
    <n v="49.613340037824997"/>
    <n v="85"/>
  </r>
  <r>
    <d v="2026-07-29T01:00:00"/>
    <x v="4"/>
    <n v="1"/>
    <n v="23.413585606908331"/>
    <n v="27.41083150479167"/>
    <n v="28.692852424569448"/>
    <n v="16"/>
    <n v="53.161525574475"/>
    <n v="44.479845886072219"/>
    <n v="49.415522525150003"/>
    <n v="86"/>
  </r>
  <r>
    <d v="2026-07-29T02:00:00"/>
    <x v="4"/>
    <n v="2"/>
    <n v="23.344645016569441"/>
    <n v="27.188138009211109"/>
    <n v="28.694453206627781"/>
    <n v="15.2"/>
    <n v="52.719089228938891"/>
    <n v="44.137828590358332"/>
    <n v="49.307155837088892"/>
    <n v="88"/>
  </r>
  <r>
    <d v="2026-07-29T03:00:00"/>
    <x v="4"/>
    <n v="3"/>
    <n v="22.836346988330561"/>
    <n v="27.004215029588892"/>
    <n v="28.680239359980561"/>
    <n v="14.8"/>
    <n v="49.145137197972218"/>
    <n v="41.261471050480559"/>
    <n v="48.961518921647219"/>
    <n v="84"/>
  </r>
  <r>
    <d v="2026-07-29T04:00:00"/>
    <x v="4"/>
    <n v="4"/>
    <n v="22.542885160608339"/>
    <n v="26.754539081619441"/>
    <n v="28.652801495533328"/>
    <n v="14.2"/>
    <n v="48.598651752625003"/>
    <n v="40.236312477950001"/>
    <n v="48.403669200130558"/>
    <n v="85"/>
  </r>
  <r>
    <d v="2026-07-29T05:00:00"/>
    <x v="4"/>
    <n v="5"/>
    <n v="22.16881553335277"/>
    <n v="26.57795084219444"/>
    <n v="28.623136435438891"/>
    <n v="13.7"/>
    <n v="48.202372657527782"/>
    <n v="39.475461078247221"/>
    <n v="47.912355770044449"/>
    <n v="86"/>
  </r>
  <r>
    <d v="2026-07-29T06:00:00"/>
    <x v="4"/>
    <n v="6"/>
    <n v="22.670889655341671"/>
    <n v="26.613604149119439"/>
    <n v="28.603480935627779"/>
    <n v="13.8"/>
    <n v="46.256556330075"/>
    <n v="38.794206880036107"/>
    <n v="47.534212129575003"/>
    <n v="86"/>
  </r>
  <r>
    <d v="2026-07-29T07:00:00"/>
    <x v="4"/>
    <n v="7"/>
    <n v="23.102639368222221"/>
    <n v="26.647403544938889"/>
    <n v="28.59992515822778"/>
    <n v="14.6"/>
    <n v="45.795449546177771"/>
    <n v="38.945119311297233"/>
    <n v="47.256093212175003"/>
    <n v="82"/>
  </r>
  <r>
    <d v="2026-07-29T08:00:00"/>
    <x v="4"/>
    <n v="8"/>
    <n v="24.705423498327779"/>
    <n v="27.38283233298889"/>
    <n v="28.606963111102768"/>
    <n v="15.9"/>
    <n v="42.35165615023611"/>
    <n v="38.608117948975"/>
    <n v="47.15574820166389"/>
    <n v="76"/>
  </r>
  <r>
    <d v="2026-07-29T09:00:00"/>
    <x v="4"/>
    <n v="9"/>
    <n v="25.93278937521945"/>
    <n v="27.811443362155561"/>
    <n v="28.642778736869442"/>
    <n v="16.2"/>
    <n v="40.698592057724987"/>
    <n v="38.278886177580553"/>
    <n v="47.127442616525002"/>
    <n v="73"/>
  </r>
  <r>
    <d v="2026-07-29T10:00:00"/>
    <x v="4"/>
    <n v="10"/>
    <n v="26.108076044158331"/>
    <n v="27.906326636283332"/>
    <n v="28.678167297616671"/>
    <n v="17.7"/>
    <n v="39.074456577694441"/>
    <n v="37.987934211138892"/>
    <n v="47.115347140827772"/>
    <n v="70"/>
  </r>
  <r>
    <d v="2026-07-29T11:00:00"/>
    <x v="4"/>
    <n v="11"/>
    <n v="25.747308583841669"/>
    <n v="27.818333767744441"/>
    <n v="28.70445488935556"/>
    <n v="18.5"/>
    <n v="39.298368923547223"/>
    <n v="40.192674986769447"/>
    <n v="46.960480455986108"/>
    <n v="67"/>
  </r>
  <r>
    <d v="2026-07-29T12:00:00"/>
    <x v="4"/>
    <n v="12"/>
    <n v="25.659108062030551"/>
    <n v="27.853522444986108"/>
    <n v="28.707935305741671"/>
    <n v="19.399999999999999"/>
    <n v="39.902160152038888"/>
    <n v="39.238091489427767"/>
    <n v="46.850949345747217"/>
    <n v="62"/>
  </r>
  <r>
    <d v="2026-07-29T13:00:00"/>
    <x v="4"/>
    <n v="13"/>
    <n v="25.496585867516671"/>
    <n v="27.805191359694451"/>
    <n v="28.443684320141671"/>
    <n v="19"/>
    <n v="37.936284244066663"/>
    <n v="36.025347067483338"/>
    <n v="45.261278738102781"/>
    <n v="59"/>
  </r>
  <r>
    <d v="2026-07-29T14:00:00"/>
    <x v="4"/>
    <n v="14"/>
    <n v="25.216328947366659"/>
    <n v="27.858645021855551"/>
    <n v="28.276988935575002"/>
    <n v="19.7"/>
    <n v="38.626465884377772"/>
    <n v="35.869791803455563"/>
    <n v="45.062889334388892"/>
    <n v="56"/>
  </r>
  <r>
    <d v="2026-07-29T15:00:00"/>
    <x v="4"/>
    <n v="15"/>
    <n v="25.041504115666669"/>
    <n v="27.651804240772229"/>
    <n v="28.491177044861111"/>
    <n v="18.7"/>
    <n v="40.527811711725001"/>
    <n v="36.593645948841662"/>
    <n v="45.604209868005562"/>
    <n v="65"/>
  </r>
  <r>
    <d v="2026-07-29T16:00:00"/>
    <x v="4"/>
    <n v="16"/>
    <n v="24.96763125927778"/>
    <n v="27.500438385430559"/>
    <n v="28.5774771311"/>
    <n v="18.7"/>
    <n v="42.188523967863887"/>
    <n v="38.542687240008327"/>
    <n v="45.807395703783342"/>
    <n v="66"/>
  </r>
  <r>
    <d v="2026-07-29T17:00:00"/>
    <x v="4"/>
    <n v="17"/>
    <n v="24.790791490949999"/>
    <n v="27.127848763774999"/>
    <n v="28.629669054825001"/>
    <n v="17.7"/>
    <n v="43.159934121602781"/>
    <n v="40.180175818563889"/>
    <n v="45.954725465433327"/>
    <n v="74"/>
  </r>
  <r>
    <d v="2026-07-29T18:00:00"/>
    <x v="4"/>
    <n v="18"/>
    <n v="24.505387555566671"/>
    <n v="27.47431551247778"/>
    <n v="28.64414848714722"/>
    <n v="16.899999999999999"/>
    <n v="42.756141588086109"/>
    <n v="39.66638786203611"/>
    <n v="46.011200711491682"/>
    <n v="81"/>
  </r>
  <r>
    <d v="2026-07-29T19:00:00"/>
    <x v="4"/>
    <n v="19"/>
    <n v="24.367297715138889"/>
    <n v="27.711740341116659"/>
    <n v="28.66049273354167"/>
    <n v="17.5"/>
    <n v="42.960423331172223"/>
    <n v="39.25542936415556"/>
    <n v="45.949416572108333"/>
    <n v="79"/>
  </r>
  <r>
    <d v="2026-07-29T20:00:00"/>
    <x v="4"/>
    <n v="20"/>
    <n v="24.02630953649167"/>
    <n v="27.082727453"/>
    <n v="28.617447877269441"/>
    <n v="16.2"/>
    <n v="43.29531429102223"/>
    <n v="38.546138555927783"/>
    <n v="45.72329959351945"/>
    <n v="83"/>
  </r>
  <r>
    <d v="2026-07-29T21:00:00"/>
    <x v="4"/>
    <n v="21"/>
    <n v="23.668335229766669"/>
    <n v="26.61786152386945"/>
    <n v="28.257321358155551"/>
    <n v="16"/>
    <n v="45.582534648202767"/>
    <n v="41.003730116974999"/>
    <n v="45.639027946805562"/>
    <n v="84"/>
  </r>
  <r>
    <d v="2026-07-29T22:00:00"/>
    <x v="4"/>
    <n v="22"/>
    <n v="23.907171363366668"/>
    <n v="26.745322103577781"/>
    <n v="28.4039242112"/>
    <n v="15.8"/>
    <n v="46.34340546741111"/>
    <n v="41.764684393902783"/>
    <n v="45.866316284697213"/>
    <n v="82"/>
  </r>
  <r>
    <d v="2026-07-29T23:00:00"/>
    <x v="4"/>
    <n v="23"/>
    <n v="23.620259351966659"/>
    <n v="27.091541488097221"/>
    <n v="28.533962249888891"/>
    <n v="15.5"/>
    <n v="46.686523757216669"/>
    <n v="41.082593177811113"/>
    <n v="45.907834978444441"/>
    <n v="79"/>
  </r>
  <r>
    <d v="2026-07-30T00:00:00"/>
    <x v="4"/>
    <n v="0"/>
    <n v="23.466658077497211"/>
    <n v="27.170249070977778"/>
    <n v="28.583713673613889"/>
    <n v="15.1"/>
    <n v="46.575939154313893"/>
    <n v="40.248498094675"/>
    <n v="45.902145586238888"/>
    <n v="79"/>
  </r>
  <r>
    <d v="2026-07-30T01:00:00"/>
    <x v="4"/>
    <n v="1"/>
    <n v="22.611410944705561"/>
    <n v="26.551715119733331"/>
    <n v="28.569490446427778"/>
    <n v="14.8"/>
    <n v="47.964323080761112"/>
    <n v="40.763702175736107"/>
    <n v="45.877035874277773"/>
    <n v="80"/>
  </r>
  <r>
    <d v="2026-07-30T02:00:00"/>
    <x v="4"/>
    <n v="2"/>
    <n v="22.257013584308339"/>
    <n v="25.981417206186109"/>
    <n v="28.549496848091671"/>
    <n v="14.5"/>
    <n v="48.034366200238892"/>
    <n v="40.536103202436109"/>
    <n v="45.730717830169453"/>
    <n v="80"/>
  </r>
  <r>
    <d v="2026-07-30T03:00:00"/>
    <x v="4"/>
    <n v="3"/>
    <n v="22.099118633016669"/>
    <n v="25.908443970752771"/>
    <n v="28.519984107802781"/>
    <n v="13.8"/>
    <n v="48.345833567299998"/>
    <n v="40.408407944952778"/>
    <n v="45.577524560486118"/>
    <n v="84"/>
  </r>
  <r>
    <d v="2026-07-30T04:00:00"/>
    <x v="4"/>
    <n v="4"/>
    <m/>
    <n v="25.364700277597219"/>
    <n v="28.477996677711111"/>
    <n v="13.5"/>
    <m/>
    <n v="40.881986038769448"/>
    <n v="45.44741552450833"/>
    <n v="82"/>
  </r>
  <r>
    <d v="2026-07-30T05:00:00"/>
    <x v="4"/>
    <n v="5"/>
    <m/>
    <n v="25.120300267994441"/>
    <n v="28.445109569477779"/>
    <n v="13.2"/>
    <m/>
    <n v="40.571897649669452"/>
    <n v="45.174931033291656"/>
    <n v="80"/>
  </r>
  <r>
    <d v="2026-07-30T06:00:00"/>
    <x v="4"/>
    <n v="6"/>
    <m/>
    <n v="25.22862093631667"/>
    <n v="28.42043291281389"/>
    <n v="13.4"/>
    <m/>
    <n v="39.586496170944443"/>
    <n v="45.005993028805563"/>
    <n v="79"/>
  </r>
  <r>
    <d v="2026-07-30T07:00:00"/>
    <x v="4"/>
    <n v="7"/>
    <n v="23.780452596586969"/>
    <n v="25.537111960927771"/>
    <n v="28.428022297155561"/>
    <n v="14.5"/>
    <n v="41.256239529601118"/>
    <n v="38.668730115105546"/>
    <n v="45.047328585569439"/>
    <n v="77"/>
  </r>
  <r>
    <d v="2026-07-30T08:00:00"/>
    <x v="4"/>
    <n v="8"/>
    <n v="24.72724593125"/>
    <n v="26.238108975011109"/>
    <n v="28.460205541816659"/>
    <n v="15.9"/>
    <n v="39.983765206497218"/>
    <n v="38.534979287661109"/>
    <n v="45.020362448097217"/>
    <n v="73"/>
  </r>
  <r>
    <d v="2026-07-30T09:00:00"/>
    <x v="4"/>
    <n v="9"/>
    <n v="25.283946012208329"/>
    <n v="26.371349485986109"/>
    <n v="28.495153065013891"/>
    <n v="17.899999999999999"/>
    <n v="39.017543712150001"/>
    <n v="38.968586126883331"/>
    <n v="45.054357384947217"/>
    <n v="67"/>
  </r>
  <r>
    <d v="2026-07-30T10:00:00"/>
    <x v="4"/>
    <n v="10"/>
    <n v="25.488281241774999"/>
    <n v="26.452748029666669"/>
    <n v="28.525705515816671"/>
    <n v="19.5"/>
    <n v="38.764762195063888"/>
    <n v="38.559323243452781"/>
    <n v="45.070192157333338"/>
    <n v="63"/>
  </r>
  <r>
    <d v="2026-07-30T11:00:00"/>
    <x v="4"/>
    <n v="11"/>
    <n v="25.34017934311111"/>
    <n v="26.734823690066669"/>
    <n v="28.552641700805559"/>
    <n v="20.8"/>
    <n v="38.86386052195278"/>
    <n v="38.525592140719453"/>
    <n v="45.14688444294444"/>
    <n v="57"/>
  </r>
  <r>
    <d v="2026-07-30T12:00:00"/>
    <x v="4"/>
    <n v="12"/>
    <n v="25.240026609669449"/>
    <n v="26.641888693644439"/>
    <n v="28.563581735636109"/>
    <n v="21.8"/>
    <n v="38.132803113744451"/>
    <n v="37.590985265999997"/>
    <n v="45.115235850636111"/>
    <n v="51"/>
  </r>
  <r>
    <d v="2026-07-30T13:00:00"/>
    <x v="4"/>
    <n v="13"/>
    <n v="25.36119723614722"/>
    <n v="26.816313115633331"/>
    <n v="28.570713224991671"/>
    <n v="21.8"/>
    <n v="35.837091266072221"/>
    <n v="36.882993850022217"/>
    <n v="44.998840029575"/>
    <n v="51"/>
  </r>
  <r>
    <d v="2026-07-30T14:00:00"/>
    <x v="4"/>
    <n v="14"/>
    <n v="24.760451824033339"/>
    <n v="26.705672877697221"/>
    <n v="28.197496191894441"/>
    <n v="21.4"/>
    <n v="38.180457695591663"/>
    <n v="36.300779302669447"/>
    <n v="42.983592620622233"/>
    <n v="52"/>
  </r>
  <r>
    <d v="2026-07-30T15:00:00"/>
    <x v="4"/>
    <n v="15"/>
    <n v="23.730027682930562"/>
    <n v="26.405048081680562"/>
    <n v="28.269964208138891"/>
    <n v="21.1"/>
    <n v="46.524731655925002"/>
    <n v="40.757822754605563"/>
    <n v="44.291928921772218"/>
    <n v="55"/>
  </r>
  <r>
    <d v="2026-07-30T16:00:00"/>
    <x v="4"/>
    <n v="16"/>
    <n v="24.139260727055561"/>
    <n v="26.49375253139166"/>
    <n v="28.257523332049999"/>
    <n v="20.399999999999999"/>
    <n v="44.405602670161109"/>
    <n v="40.416134158922233"/>
    <n v="44.736374496491671"/>
    <n v="60"/>
  </r>
  <r>
    <d v="2026-07-30T17:00:00"/>
    <x v="4"/>
    <n v="17"/>
    <n v="24.19536026936667"/>
    <n v="26.345551949997219"/>
    <n v="28.231370849625002"/>
    <n v="20.399999999999999"/>
    <n v="43.377684162838896"/>
    <n v="39.696968397986112"/>
    <n v="44.898351947622217"/>
    <n v="63"/>
  </r>
  <r>
    <d v="2026-07-30T18:00:00"/>
    <x v="4"/>
    <n v="18"/>
    <n v="24.156518429380561"/>
    <n v="26.443553975625001"/>
    <n v="28.21199725078333"/>
    <n v="20.5"/>
    <n v="44.716870210958341"/>
    <n v="40.209798753891668"/>
    <n v="45.024646330636109"/>
    <n v="65"/>
  </r>
  <r>
    <d v="2026-07-30T19:00:00"/>
    <x v="4"/>
    <n v="19"/>
    <n v="24.044313500205561"/>
    <n v="26.568173251291672"/>
    <n v="28.179330147986111"/>
    <n v="20.2"/>
    <n v="46.392986207477783"/>
    <n v="41.207859607683339"/>
    <n v="45.192435016777779"/>
    <n v="66"/>
  </r>
  <r>
    <d v="2026-07-30T20:00:00"/>
    <x v="4"/>
    <n v="20"/>
    <n v="23.713296265130559"/>
    <n v="26.52071024469722"/>
    <n v="28.169972144252771"/>
    <n v="18.899999999999999"/>
    <n v="48.604135243213882"/>
    <n v="44.234302026913888"/>
    <n v="45.357479464174993"/>
    <n v="73"/>
  </r>
  <r>
    <d v="2026-07-30T21:00:00"/>
    <x v="4"/>
    <n v="21"/>
    <n v="23.723671359972219"/>
    <n v="26.63689928580833"/>
    <n v="28.162069976366659"/>
    <n v="18"/>
    <n v="48.970396863047227"/>
    <n v="43.441607920366657"/>
    <n v="45.569650425083331"/>
    <n v="77"/>
  </r>
  <r>
    <d v="2026-07-30T22:00:00"/>
    <x v="4"/>
    <n v="22"/>
    <n v="23.515250975911108"/>
    <n v="26.677296441786108"/>
    <n v="28.145211313911108"/>
    <n v="17.600000000000001"/>
    <n v="50.435997942919442"/>
    <n v="45.870925114980558"/>
    <n v="45.821769396388881"/>
    <n v="81"/>
  </r>
  <r>
    <d v="2026-07-30T23:00:00"/>
    <x v="4"/>
    <n v="23"/>
    <n v="23.924972053436111"/>
    <n v="26.976875921944441"/>
    <n v="28.144185679111111"/>
    <n v="17"/>
    <n v="50.109072134452781"/>
    <n v="45.501689368522221"/>
    <n v="46.068561477422229"/>
    <n v="84"/>
  </r>
  <r>
    <d v="2026-07-31T00:00:00"/>
    <x v="4"/>
    <n v="0"/>
    <n v="24.045342676405561"/>
    <n v="26.973306853172222"/>
    <n v="28.143582859666669"/>
    <n v="16.600000000000001"/>
    <n v="50.094188370591667"/>
    <n v="45.814973817708328"/>
    <n v="46.156030522469443"/>
    <n v="87"/>
  </r>
  <r>
    <d v="2026-07-31T01:00:00"/>
    <x v="4"/>
    <n v="1"/>
    <n v="23.563927525975"/>
    <n v="26.517984620450001"/>
    <n v="28.112054059955561"/>
    <n v="16.2"/>
    <n v="52.347980748763888"/>
    <n v="46.436314211297223"/>
    <n v="46.526379712833339"/>
    <n v="88"/>
  </r>
  <r>
    <d v="2026-07-31T02:00:00"/>
    <x v="4"/>
    <n v="2"/>
    <n v="23.216104520519441"/>
    <n v="26.190851783108329"/>
    <n v="28.096470140400001"/>
    <n v="16"/>
    <n v="52.469809318069437"/>
    <n v="45.874020080608339"/>
    <n v="46.65162579331389"/>
    <n v="88"/>
  </r>
  <r>
    <d v="2026-07-31T03:00:00"/>
    <x v="4"/>
    <n v="3"/>
    <n v="22.542956993044449"/>
    <n v="25.959286907677779"/>
    <n v="28.06194941070833"/>
    <n v="15.5"/>
    <n v="53.553573303677773"/>
    <n v="45.269581946969453"/>
    <n v="46.835356563830551"/>
    <n v="87"/>
  </r>
  <r>
    <d v="2026-07-31T04:00:00"/>
    <x v="4"/>
    <n v="4"/>
    <n v="22.210304052933331"/>
    <n v="25.721228565083329"/>
    <n v="28.01598500913056"/>
    <n v="15.5"/>
    <n v="53.845312279541673"/>
    <n v="44.893605146041672"/>
    <n v="47.010715925649997"/>
    <n v="87"/>
  </r>
  <r>
    <d v="2026-07-31T05:00:00"/>
    <x v="4"/>
    <n v="5"/>
    <n v="22.312303198675"/>
    <n v="25.65210796225"/>
    <n v="27.97730180953333"/>
    <n v="15.3"/>
    <n v="52.791308935305551"/>
    <n v="44.444628537380559"/>
    <n v="46.975926312283342"/>
    <n v="86"/>
  </r>
  <r>
    <d v="2026-07-31T06:00:00"/>
    <x v="4"/>
    <n v="6"/>
    <n v="23.52366911948333"/>
    <n v="25.939327872219451"/>
    <n v="27.957944136419449"/>
    <n v="15.6"/>
    <n v="49.114546450122219"/>
    <n v="43.996814852336108"/>
    <n v="46.851615570266667"/>
    <n v="84"/>
  </r>
  <r>
    <d v="2026-07-31T07:00:00"/>
    <x v="4"/>
    <n v="7"/>
    <n v="24.782858180994442"/>
    <n v="26.446683700272221"/>
    <n v="27.961991650744451"/>
    <n v="16.7"/>
    <n v="45.955773503902783"/>
    <n v="43.433305407130561"/>
    <n v="46.721060409849997"/>
    <n v="81"/>
  </r>
  <r>
    <d v="2026-07-31T08:00:00"/>
    <x v="4"/>
    <n v="8"/>
    <n v="25.756692160966669"/>
    <n v="27.214231265519441"/>
    <n v="27.9833905753"/>
    <n v="18.2"/>
    <n v="44.691232491058337"/>
    <n v="42.193704628891673"/>
    <n v="46.709857921022227"/>
    <n v="75"/>
  </r>
  <r>
    <d v="2026-07-31T09:00:00"/>
    <x v="4"/>
    <n v="9"/>
    <n v="26.410692603363891"/>
    <n v="27.582619640441671"/>
    <n v="28.019133808941671"/>
    <n v="20.399999999999999"/>
    <n v="44.324299546969449"/>
    <n v="42.244294104905563"/>
    <n v="46.695483847377773"/>
    <n v="69"/>
  </r>
  <r>
    <d v="2026-07-31T10:00:00"/>
    <x v="4"/>
    <n v="10"/>
    <n v="26.550172244522219"/>
    <n v="27.830758844369441"/>
    <n v="28.044455924402779"/>
    <n v="22"/>
    <n v="42.589411702544453"/>
    <n v="41.073432139713887"/>
    <n v="46.703174873099996"/>
    <n v="63"/>
  </r>
  <r>
    <d v="2026-07-31T11:00:00"/>
    <x v="4"/>
    <n v="11"/>
    <n v="26.584161781452771"/>
    <n v="28.096315225577779"/>
    <n v="28.066455607386111"/>
    <n v="23.1"/>
    <n v="42.053157681144448"/>
    <n v="41.319354959122222"/>
    <n v="46.698102209788892"/>
    <n v="56"/>
  </r>
  <r>
    <d v="2026-07-31T12:00:00"/>
    <x v="4"/>
    <n v="12"/>
    <n v="26.66953951995"/>
    <n v="28.17733712465278"/>
    <n v="28.08043664141389"/>
    <n v="23.9"/>
    <n v="41.840963022013888"/>
    <n v="40.815379870419441"/>
    <n v="46.694071803227779"/>
    <n v="53"/>
  </r>
  <r>
    <d v="2026-07-31T13:00:00"/>
    <x v="4"/>
    <n v="13"/>
    <n v="26.663872843530559"/>
    <n v="28.081210975794441"/>
    <n v="28.089805768452781"/>
    <n v="24.5"/>
    <n v="41.321986216197217"/>
    <n v="40.999571886627777"/>
    <n v="46.701654668625011"/>
    <n v="51"/>
  </r>
  <r>
    <d v="2026-07-31T14:00:00"/>
    <x v="4"/>
    <n v="14"/>
    <n v="26.72012448992222"/>
    <n v="28.031568297250001"/>
    <n v="28.092964014058332"/>
    <n v="24.9"/>
    <n v="41.296358540919449"/>
    <n v="40.610130546666667"/>
    <n v="46.774391833569453"/>
    <n v="50"/>
  </r>
  <r>
    <d v="2026-07-31T15:00:00"/>
    <x v="4"/>
    <n v="15"/>
    <n v="26.73785556965278"/>
    <n v="27.97165893378056"/>
    <n v="28.09351111590556"/>
    <n v="25.3"/>
    <n v="41.906339071058333"/>
    <n v="42.114357333363891"/>
    <n v="48.259332164955559"/>
    <n v="49"/>
  </r>
  <r>
    <d v="2026-07-31T16:00:00"/>
    <x v="4"/>
    <n v="16"/>
    <n v="26.69579964387778"/>
    <n v="27.847384296758332"/>
    <n v="27.980076880658331"/>
    <n v="25.3"/>
    <n v="41.820703285027783"/>
    <n v="45.343610035016667"/>
    <n v="53.496777821363892"/>
    <n v="49"/>
  </r>
  <r>
    <d v="2026-07-31T17:00:00"/>
    <x v="4"/>
    <n v="17"/>
    <n v="26.737963184191671"/>
    <n v="27.876182651922221"/>
    <n v="27.864580613763891"/>
    <n v="25"/>
    <n v="40.212252569063892"/>
    <n v="42.461532920352766"/>
    <n v="54.452257030461112"/>
    <n v="50"/>
  </r>
  <r>
    <d v="2026-07-31T18:00:00"/>
    <x v="4"/>
    <n v="18"/>
    <n v="26.60196541683333"/>
    <n v="27.85623219767222"/>
    <n v="27.78472343173333"/>
    <n v="24.6"/>
    <n v="39.810504324124999"/>
    <n v="41.351413217725003"/>
    <n v="52.998523216691673"/>
    <n v="51"/>
  </r>
  <r>
    <d v="2026-07-31T19:00:00"/>
    <x v="4"/>
    <n v="19"/>
    <n v="26.308086389061099"/>
    <n v="27.815039441713889"/>
    <n v="27.718640995444449"/>
    <n v="23.5"/>
    <n v="40.161807662224987"/>
    <n v="41.018547425819442"/>
    <n v="50.462898286252774"/>
    <n v="60"/>
  </r>
  <r>
    <d v="2026-07-31T20:00:00"/>
    <x v="4"/>
    <n v="20"/>
    <n v="25.960256059999999"/>
    <n v="28.00819868478056"/>
    <n v="27.68452012795834"/>
    <n v="21.7"/>
    <n v="41.337797272825"/>
    <n v="40.128603359955562"/>
    <n v="49.825928402075"/>
    <n v="67"/>
  </r>
  <r>
    <d v="2026-07-31T21:00:00"/>
    <x v="4"/>
    <n v="21"/>
    <n v="25.76243197795278"/>
    <n v="28.10936823799166"/>
    <n v="27.670087609244451"/>
    <n v="20.399999999999999"/>
    <n v="42.173546071563891"/>
    <n v="39.540591852755547"/>
    <n v="49.375042718188887"/>
    <n v="69"/>
  </r>
  <r>
    <d v="2026-07-31T22:00:00"/>
    <x v="4"/>
    <n v="22"/>
    <n v="24.906379938213892"/>
    <n v="27.69733226363056"/>
    <n v="27.589949061288891"/>
    <n v="19.5"/>
    <n v="44.714538719975003"/>
    <n v="42.224330457102781"/>
    <n v="51.174197540066658"/>
    <n v="72"/>
  </r>
  <r>
    <d v="2026-07-31T23:00:00"/>
    <x v="4"/>
    <n v="23"/>
    <n v="24.942578915461109"/>
    <n v="27.876229718638889"/>
    <n v="27.822036930397221"/>
    <n v="18.7"/>
    <n v="45.728754814052792"/>
    <n v="44.07112083511111"/>
    <n v="50.379801746925011"/>
    <n v="75"/>
  </r>
  <r>
    <d v="2026-08-01T00:00:00"/>
    <x v="5"/>
    <n v="0"/>
    <n v="24.543465143708332"/>
    <n v="28.037049427858332"/>
    <n v="28.053792996163889"/>
    <n v="18"/>
    <n v="45.878678418183327"/>
    <n v="42.976081140625013"/>
    <n v="49.49836010566667"/>
    <n v="78"/>
  </r>
  <r>
    <d v="2026-08-01T01:00:00"/>
    <x v="5"/>
    <n v="1"/>
    <n v="24.162934247036109"/>
    <n v="27.89698972295556"/>
    <n v="28.139415145469439"/>
    <n v="17.3"/>
    <n v="46.541022500049998"/>
    <n v="42.648887228088888"/>
    <n v="49.071574123041671"/>
    <n v="81"/>
  </r>
  <r>
    <d v="2026-08-01T02:00:00"/>
    <x v="5"/>
    <n v="2"/>
    <n v="23.93750743935556"/>
    <n v="27.550253280063892"/>
    <n v="28.16369418069722"/>
    <n v="16.600000000000001"/>
    <n v="47.38539400997778"/>
    <n v="42.478039371605547"/>
    <n v="48.882896980841657"/>
    <n v="84"/>
  </r>
  <r>
    <d v="2026-08-01T03:00:00"/>
    <x v="5"/>
    <n v="3"/>
    <n v="23.781708660719449"/>
    <n v="27.304824221491671"/>
    <n v="28.18775387668612"/>
    <n v="15.9"/>
    <n v="47.838163141533329"/>
    <n v="41.882810051258332"/>
    <n v="48.635314731613903"/>
    <n v="85"/>
  </r>
  <r>
    <d v="2026-08-01T04:00:00"/>
    <x v="5"/>
    <n v="4"/>
    <n v="23.552664327133328"/>
    <n v="27.19575684306389"/>
    <n v="28.202389517027779"/>
    <n v="15.4"/>
    <n v="48.17300906353055"/>
    <n v="41.60973278146389"/>
    <n v="48.423231010047218"/>
    <n v="87"/>
  </r>
  <r>
    <d v="2026-08-01T05:00:00"/>
    <x v="5"/>
    <n v="5"/>
    <n v="23.545438213375"/>
    <n v="26.533573282966671"/>
    <n v="28.214678562716671"/>
    <n v="15"/>
    <n v="48.133789071561097"/>
    <n v="42.599060379727781"/>
    <n v="48.228067849069447"/>
    <n v="88"/>
  </r>
  <r>
    <d v="2026-08-01T06:00:00"/>
    <x v="5"/>
    <n v="6"/>
    <n v="24.528419281077781"/>
    <n v="26.888270311377781"/>
    <n v="28.24086515085277"/>
    <n v="15.3"/>
    <n v="45.663743950925003"/>
    <n v="42.468425841794442"/>
    <n v="48.064305618147223"/>
    <n v="87"/>
  </r>
  <r>
    <d v="2026-08-01T07:00:00"/>
    <x v="5"/>
    <n v="7"/>
    <n v="25.805464164149999"/>
    <n v="27.14928958520834"/>
    <n v="28.27326416498056"/>
    <n v="16.600000000000001"/>
    <n v="43.938234904552779"/>
    <n v="41.719986239863893"/>
    <n v="47.91033088907222"/>
    <n v="84"/>
  </r>
  <r>
    <d v="2026-08-01T08:00:00"/>
    <x v="5"/>
    <n v="8"/>
    <n v="26.769755255797222"/>
    <n v="27.825994265916659"/>
    <n v="28.31574628321944"/>
    <n v="18.600000000000001"/>
    <n v="44.035479024044442"/>
    <n v="42.376107913347219"/>
    <n v="47.819889427136111"/>
    <n v="78"/>
  </r>
  <r>
    <d v="2026-08-01T09:00:00"/>
    <x v="5"/>
    <n v="9"/>
    <n v="27.45182119975"/>
    <n v="28.414547547180561"/>
    <n v="28.37453423328056"/>
    <n v="21.3"/>
    <n v="43.868747234700002"/>
    <n v="42.564525192952779"/>
    <n v="47.778600096563878"/>
    <n v="69"/>
  </r>
  <r>
    <d v="2026-08-01T10:00:00"/>
    <x v="5"/>
    <n v="10"/>
    <n v="27.555013552530561"/>
    <n v="28.570482762466671"/>
    <n v="28.428238305280559"/>
    <n v="23.4"/>
    <n v="42.7077231516"/>
    <n v="40.358325767197222"/>
    <n v="47.711090834463903"/>
    <n v="61"/>
  </r>
  <r>
    <d v="2026-08-01T11:00:00"/>
    <x v="5"/>
    <n v="11"/>
    <n v="27.55432272199722"/>
    <n v="28.788325896113889"/>
    <n v="28.476607398902772"/>
    <n v="24.6"/>
    <n v="41.600249445949999"/>
    <n v="40.686927644747222"/>
    <n v="47.630692140233329"/>
    <n v="48"/>
  </r>
  <r>
    <d v="2026-08-01T12:00:00"/>
    <x v="5"/>
    <n v="12"/>
    <n v="27.520873914611109"/>
    <n v="28.305572550861111"/>
    <n v="28.56155921612778"/>
    <n v="25.2"/>
    <n v="41.255318982138888"/>
    <n v="43.288788200688892"/>
    <n v="47.981886226058343"/>
    <n v="47"/>
  </r>
  <r>
    <d v="2026-08-01T13:00:00"/>
    <x v="5"/>
    <n v="13"/>
    <n v="27.455238389508331"/>
    <n v="28.113962423863331"/>
    <n v="28.626468596369449"/>
    <n v="26"/>
    <n v="41.592902929669442"/>
    <n v="43.848696141536657"/>
    <n v="48.542221639127767"/>
    <n v="44"/>
  </r>
  <r>
    <d v="2026-08-01T14:00:00"/>
    <x v="5"/>
    <n v="14"/>
    <n v="27.389927133697221"/>
    <m/>
    <n v="28.63005064265278"/>
    <n v="26.5"/>
    <n v="38.507186088638889"/>
    <m/>
    <n v="48.254724745344447"/>
    <n v="41"/>
  </r>
  <r>
    <d v="2026-08-01T15:00:00"/>
    <x v="5"/>
    <n v="15"/>
    <n v="27.419051117733328"/>
    <m/>
    <n v="28.640900812541659"/>
    <n v="27"/>
    <n v="38.720928153777777"/>
    <m/>
    <n v="47.954543718922217"/>
    <n v="41"/>
  </r>
  <r>
    <d v="2026-08-01T16:00:00"/>
    <x v="5"/>
    <n v="16"/>
    <n v="27.41684788975833"/>
    <m/>
    <n v="28.67140718174722"/>
    <n v="27.1"/>
    <n v="38.788051003244441"/>
    <m/>
    <n v="48.052102638116672"/>
    <n v="41"/>
  </r>
  <r>
    <d v="2026-08-01T17:00:00"/>
    <x v="5"/>
    <n v="17"/>
    <n v="27.326786307488891"/>
    <m/>
    <n v="28.661991923333328"/>
    <n v="26.9"/>
    <n v="37.089673499480561"/>
    <m/>
    <n v="47.748288675913891"/>
    <n v="42"/>
  </r>
  <r>
    <d v="2026-08-01T18:00:00"/>
    <x v="5"/>
    <n v="18"/>
    <n v="27.362206916183339"/>
    <m/>
    <n v="28.68553157817222"/>
    <n v="26.4"/>
    <n v="39.281166965594451"/>
    <m/>
    <n v="47.519449032213878"/>
    <n v="44"/>
  </r>
  <r>
    <d v="2026-08-01T19:00:00"/>
    <x v="5"/>
    <n v="19"/>
    <n v="27.32089305385556"/>
    <m/>
    <n v="28.712917298727781"/>
    <n v="25.3"/>
    <n v="40.671223588224997"/>
    <m/>
    <n v="47.420674002263887"/>
    <n v="52"/>
  </r>
  <r>
    <d v="2026-08-01T20:00:00"/>
    <x v="5"/>
    <n v="20"/>
    <n v="26.910503259330561"/>
    <m/>
    <n v="28.739281794852779"/>
    <n v="23.4"/>
    <n v="42.917933085783339"/>
    <m/>
    <n v="48.20073715039166"/>
    <n v="63"/>
  </r>
  <r>
    <d v="2026-08-01T21:00:00"/>
    <x v="5"/>
    <n v="21"/>
    <n v="26.542982287705559"/>
    <m/>
    <n v="28.732676259011111"/>
    <n v="21.9"/>
    <n v="43.956166389594443"/>
    <m/>
    <n v="47.964616544033333"/>
    <n v="68"/>
  </r>
  <r>
    <d v="2026-08-01T22:00:00"/>
    <x v="5"/>
    <n v="22"/>
    <n v="26.299588608044441"/>
    <m/>
    <n v="28.727254756927781"/>
    <n v="21"/>
    <n v="44.894971739822218"/>
    <m/>
    <n v="47.841182466908329"/>
    <n v="73"/>
  </r>
  <r>
    <d v="2026-08-01T23:00:00"/>
    <x v="5"/>
    <n v="23"/>
    <n v="25.994207920477781"/>
    <m/>
    <n v="28.71892321213333"/>
    <n v="20.3"/>
    <n v="44.225546043397223"/>
    <m/>
    <n v="47.727288935816667"/>
    <n v="76"/>
  </r>
  <r>
    <d v="2026-08-02T00:00:00"/>
    <x v="5"/>
    <n v="0"/>
    <n v="25.978673681511111"/>
    <m/>
    <n v="28.707200798302779"/>
    <n v="19.600000000000001"/>
    <n v="44.07158130380278"/>
    <m/>
    <n v="47.577838250830553"/>
    <n v="78"/>
  </r>
  <r>
    <d v="2026-08-02T01:00:00"/>
    <x v="5"/>
    <n v="1"/>
    <n v="25.79709637801389"/>
    <m/>
    <n v="28.696458141952771"/>
    <n v="19.3"/>
    <n v="43.968206800224998"/>
    <m/>
    <n v="47.446710329680549"/>
    <n v="77"/>
  </r>
  <r>
    <d v="2026-08-02T02:00:00"/>
    <x v="5"/>
    <n v="2"/>
    <n v="25.704305498311111"/>
    <m/>
    <n v="28.676855508827781"/>
    <n v="19"/>
    <n v="42.575732426633337"/>
    <m/>
    <n v="47.315003752780562"/>
    <n v="76"/>
  </r>
  <r>
    <d v="2026-08-02T03:00:00"/>
    <x v="5"/>
    <n v="3"/>
    <n v="25.368823472283331"/>
    <m/>
    <n v="28.49704408191112"/>
    <n v="17.899999999999999"/>
    <n v="43.211211707713893"/>
    <m/>
    <n v="47.090201407294451"/>
    <n v="79"/>
  </r>
  <r>
    <d v="2026-08-02T04:00:00"/>
    <x v="5"/>
    <n v="4"/>
    <n v="24.72687617278056"/>
    <m/>
    <n v="28.471227748166669"/>
    <n v="17.100000000000001"/>
    <n v="45.413704015924999"/>
    <m/>
    <n v="47.116521960124999"/>
    <n v="84"/>
  </r>
  <r>
    <d v="2026-08-02T05:00:00"/>
    <x v="5"/>
    <n v="5"/>
    <n v="24.27493581601389"/>
    <m/>
    <n v="28.54012185468611"/>
    <n v="16.600000000000001"/>
    <n v="47.597199683538889"/>
    <m/>
    <n v="47.047121479144451"/>
    <n v="86"/>
  </r>
  <r>
    <d v="2026-08-02T06:00:00"/>
    <x v="5"/>
    <n v="6"/>
    <n v="25.404473621400001"/>
    <m/>
    <n v="28.549769528494451"/>
    <n v="17.2"/>
    <n v="45.15490900687778"/>
    <m/>
    <n v="47.060187322338891"/>
    <n v="84"/>
  </r>
  <r>
    <d v="2026-08-02T07:00:00"/>
    <x v="5"/>
    <n v="7"/>
    <n v="26.660355833813892"/>
    <m/>
    <n v="28.576353607036111"/>
    <n v="18.7"/>
    <n v="43.219748933836122"/>
    <m/>
    <n v="47.088040501708342"/>
    <n v="80"/>
  </r>
  <r>
    <d v="2026-08-02T08:00:00"/>
    <x v="5"/>
    <n v="8"/>
    <n v="27.50947614125834"/>
    <m/>
    <n v="28.611088525002781"/>
    <n v="20.7"/>
    <n v="42.869791079063887"/>
    <m/>
    <n v="47.211220483641682"/>
    <n v="74"/>
  </r>
  <r>
    <d v="2026-08-02T09:00:00"/>
    <x v="5"/>
    <n v="9"/>
    <n v="27.938486462172222"/>
    <m/>
    <n v="28.691439640505561"/>
    <n v="23.3"/>
    <n v="42.591211225252778"/>
    <m/>
    <n v="47.309962123580561"/>
    <n v="66"/>
  </r>
  <r>
    <d v="2026-08-02T10:00:00"/>
    <x v="5"/>
    <n v="10"/>
    <n v="27.897591957944449"/>
    <m/>
    <n v="28.756494720688892"/>
    <n v="25.4"/>
    <n v="42.520470343744442"/>
    <m/>
    <n v="47.252669230333332"/>
    <n v="57"/>
  </r>
  <r>
    <d v="2026-08-02T11:00:00"/>
    <x v="5"/>
    <n v="11"/>
    <n v="27.79464498736667"/>
    <m/>
    <n v="28.74738888663056"/>
    <n v="26.8"/>
    <n v="41.838864156627778"/>
    <m/>
    <n v="47.230394778144444"/>
    <n v="45"/>
  </r>
  <r>
    <d v="2026-08-02T12:00:00"/>
    <x v="5"/>
    <n v="12"/>
    <n v="27.736515595388891"/>
    <m/>
    <n v="28.775422060705552"/>
    <n v="27.6"/>
    <n v="40.424977779466673"/>
    <m/>
    <n v="47.157802549055553"/>
    <n v="43"/>
  </r>
  <r>
    <d v="2026-08-02T13:00:00"/>
    <x v="5"/>
    <n v="13"/>
    <n v="27.69021573568056"/>
    <m/>
    <n v="28.784062922788891"/>
    <n v="28.2"/>
    <n v="39.645682875347227"/>
    <m/>
    <n v="47.158838704580553"/>
    <n v="42"/>
  </r>
  <r>
    <d v="2026-08-02T14:00:00"/>
    <x v="5"/>
    <n v="14"/>
    <n v="27.559278319336109"/>
    <m/>
    <n v="28.78338149716112"/>
    <n v="28.7"/>
    <n v="39.7768106694"/>
    <m/>
    <n v="47.089125665799997"/>
    <n v="41"/>
  </r>
  <r>
    <d v="2026-08-02T15:00:00"/>
    <x v="5"/>
    <n v="15"/>
    <n v="27.571578104952781"/>
    <m/>
    <n v="28.81621178874444"/>
    <n v="29.5"/>
    <n v="39.420457566372221"/>
    <m/>
    <n v="47.146883852572223"/>
    <n v="39"/>
  </r>
  <r>
    <d v="2026-08-02T16:00:00"/>
    <x v="5"/>
    <n v="16"/>
    <n v="27.761228114255559"/>
    <m/>
    <n v="28.802325852405559"/>
    <n v="29.8"/>
    <n v="38.941933292250013"/>
    <m/>
    <n v="47.165723775033342"/>
    <n v="40"/>
  </r>
  <r>
    <d v="2026-08-02T17:00:00"/>
    <x v="5"/>
    <n v="17"/>
    <n v="28.00749373396112"/>
    <m/>
    <n v="28.840734946824998"/>
    <n v="29.6"/>
    <n v="38.601533018363888"/>
    <m/>
    <n v="47.003522774080558"/>
    <n v="41"/>
  </r>
  <r>
    <d v="2026-08-02T18:00:00"/>
    <x v="5"/>
    <n v="18"/>
    <n v="28.041649449394441"/>
    <m/>
    <n v="28.88855576201389"/>
    <n v="29.1"/>
    <n v="38.471939123974998"/>
    <m/>
    <n v="47.187573280194442"/>
    <n v="42"/>
  </r>
  <r>
    <d v="2026-08-02T19:00:00"/>
    <x v="5"/>
    <n v="19"/>
    <n v="28.048334067038891"/>
    <m/>
    <n v="28.92616677100278"/>
    <n v="28.2"/>
    <n v="40.504423418611111"/>
    <m/>
    <n v="47.128281360561111"/>
    <n v="48"/>
  </r>
  <r>
    <d v="2026-08-02T20:00:00"/>
    <x v="5"/>
    <n v="20"/>
    <n v="27.93991716788333"/>
    <m/>
    <n v="28.995687785508331"/>
    <n v="26.4"/>
    <n v="42.731117575474997"/>
    <m/>
    <n v="47.29636011088612"/>
    <n v="61"/>
  </r>
  <r>
    <d v="2026-08-02T21:00:00"/>
    <x v="5"/>
    <n v="21"/>
    <n v="27.60105808580278"/>
    <m/>
    <n v="29.024699481066669"/>
    <n v="24.7"/>
    <n v="44.195804878386113"/>
    <m/>
    <n v="47.554039402775011"/>
    <n v="60"/>
  </r>
  <r>
    <d v="2026-08-02T22:00:00"/>
    <x v="5"/>
    <n v="22"/>
    <n v="27.393095721841661"/>
    <m/>
    <n v="29.00645637401945"/>
    <n v="24.2"/>
    <n v="44.365657804847217"/>
    <m/>
    <n v="47.451166471461107"/>
    <n v="58"/>
  </r>
  <r>
    <d v="2026-08-02T23:00:00"/>
    <x v="5"/>
    <n v="23"/>
    <n v="27.212027911869441"/>
    <m/>
    <n v="29.016400827275"/>
    <n v="23.4"/>
    <n v="43.517199589480562"/>
    <m/>
    <n v="47.377148601341673"/>
    <n v="62"/>
  </r>
  <r>
    <d v="2026-08-03T00:00:00"/>
    <x v="5"/>
    <n v="0"/>
    <n v="26.908661854213889"/>
    <m/>
    <n v="28.99078252023056"/>
    <n v="22.1"/>
    <n v="43.343839272263892"/>
    <m/>
    <n v="47.650433931055552"/>
    <n v="67"/>
  </r>
  <r>
    <d v="2026-08-03T01:00:00"/>
    <x v="5"/>
    <n v="1"/>
    <n v="26.419263247597229"/>
    <m/>
    <n v="28.98166682482222"/>
    <n v="21.2"/>
    <n v="44.246164995949997"/>
    <m/>
    <n v="47.544509482616668"/>
    <n v="72"/>
  </r>
  <r>
    <d v="2026-08-03T02:00:00"/>
    <x v="5"/>
    <n v="2"/>
    <n v="26.133238481863891"/>
    <m/>
    <n v="28.97481285540556"/>
    <n v="20.6"/>
    <n v="44.92374603501667"/>
    <m/>
    <n v="47.457151227202779"/>
    <n v="74"/>
  </r>
  <r>
    <d v="2026-08-03T03:00:00"/>
    <x v="5"/>
    <n v="3"/>
    <n v="26.151290024291669"/>
    <m/>
    <n v="28.957923224575001"/>
    <n v="19"/>
    <n v="44.402544931374997"/>
    <m/>
    <n v="47.394492292544442"/>
    <n v="82"/>
  </r>
  <r>
    <d v="2026-08-03T04:00:00"/>
    <x v="5"/>
    <n v="4"/>
    <n v="25.861383684608331"/>
    <m/>
    <n v="28.946399013716668"/>
    <n v="18.7"/>
    <n v="44.730928852533339"/>
    <m/>
    <n v="47.299325144397223"/>
    <n v="83"/>
  </r>
  <r>
    <d v="2026-08-03T05:00:00"/>
    <x v="5"/>
    <n v="5"/>
    <n v="25.58808916655833"/>
    <m/>
    <n v="28.932063046344439"/>
    <n v="18.2"/>
    <n v="46.187627888824998"/>
    <m/>
    <n v="47.271371041755557"/>
    <n v="85"/>
  </r>
  <r>
    <d v="2026-08-03T06:00:00"/>
    <x v="5"/>
    <n v="6"/>
    <n v="26.542035702425"/>
    <m/>
    <n v="28.930565703963889"/>
    <n v="18.600000000000001"/>
    <n v="45.191712441822233"/>
    <m/>
    <n v="47.307641644491667"/>
    <n v="84"/>
  </r>
  <r>
    <d v="2026-08-03T07:00:00"/>
    <x v="5"/>
    <n v="7"/>
    <n v="27.51505948777778"/>
    <m/>
    <n v="28.959068451280551"/>
    <n v="20.3"/>
    <n v="43.372971309799993"/>
    <m/>
    <n v="47.312709846886122"/>
    <n v="78"/>
  </r>
  <r>
    <d v="2026-08-03T08:00:00"/>
    <x v="5"/>
    <n v="8"/>
    <n v="28.125411360191659"/>
    <m/>
    <n v="29.009677826961109"/>
    <n v="22.8"/>
    <n v="42.181279931775002"/>
    <m/>
    <n v="47.448439754058327"/>
    <n v="71"/>
  </r>
  <r>
    <d v="2026-08-03T09:00:00"/>
    <x v="5"/>
    <n v="9"/>
    <n v="26.931341485505559"/>
    <m/>
    <n v="29.088900827886111"/>
    <n v="25.3"/>
    <n v="36.431246151733333"/>
    <m/>
    <n v="47.243920291502768"/>
    <n v="60"/>
  </r>
  <r>
    <d v="2026-08-03T10:00:00"/>
    <x v="5"/>
    <n v="10"/>
    <n v="26.04419147449444"/>
    <m/>
    <n v="29.02306408633056"/>
    <n v="27.2"/>
    <n v="33.725957472547222"/>
    <m/>
    <n v="46.450422122608337"/>
    <n v="51"/>
  </r>
  <r>
    <d v="2026-08-03T11:00:00"/>
    <x v="5"/>
    <n v="11"/>
    <n v="25.84388417545"/>
    <m/>
    <n v="28.987352357513888"/>
    <n v="28.2"/>
    <n v="35.02075338718889"/>
    <m/>
    <n v="45.833710760641672"/>
    <n v="46"/>
  </r>
  <r>
    <d v="2026-08-03T12:00:00"/>
    <x v="5"/>
    <n v="12"/>
    <n v="25.73867892064445"/>
    <m/>
    <n v="28.946083280011109"/>
    <n v="29.1"/>
    <n v="36.806077480224999"/>
    <m/>
    <n v="45.531914745483327"/>
    <n v="43"/>
  </r>
  <r>
    <d v="2026-08-03T13:00:00"/>
    <x v="5"/>
    <n v="13"/>
    <n v="24.921920298100002"/>
    <m/>
    <n v="28.965605196744441"/>
    <n v="29.8"/>
    <n v="35.659223296191662"/>
    <m/>
    <n v="44.955875239891668"/>
    <n v="40"/>
  </r>
  <r>
    <d v="2026-08-03T14:00:00"/>
    <x v="5"/>
    <n v="14"/>
    <n v="24.446706429222221"/>
    <m/>
    <n v="28.844242561844439"/>
    <n v="30.3"/>
    <n v="34.927911608919437"/>
    <m/>
    <n v="44.083969802391671"/>
    <n v="38"/>
  </r>
  <r>
    <d v="2026-08-03T15:00:00"/>
    <x v="5"/>
    <n v="15"/>
    <n v="24.212398982977781"/>
    <m/>
    <n v="28.824968785641669"/>
    <n v="31.4"/>
    <n v="35.849384659955547"/>
    <m/>
    <n v="43.747257926419437"/>
    <n v="32"/>
  </r>
  <r>
    <d v="2026-08-03T16:00:00"/>
    <x v="5"/>
    <n v="16"/>
    <n v="24.150935287238891"/>
    <m/>
    <n v="28.664781211466661"/>
    <n v="31.5"/>
    <n v="36.840061823244447"/>
    <m/>
    <n v="42.969592383452778"/>
    <n v="30"/>
  </r>
  <r>
    <d v="2026-08-03T17:00:00"/>
    <x v="5"/>
    <n v="17"/>
    <n v="24.202490284311111"/>
    <m/>
    <n v="28.702863659497229"/>
    <n v="31.3"/>
    <n v="37.340299174369441"/>
    <m/>
    <n v="43.059306002299998"/>
    <n v="30"/>
  </r>
  <r>
    <d v="2026-08-03T18:00:00"/>
    <x v="5"/>
    <n v="18"/>
    <n v="24.238282038702781"/>
    <m/>
    <n v="28.767105826247221"/>
    <n v="30.8"/>
    <n v="36.929335787977777"/>
    <m/>
    <n v="43.111256692008332"/>
    <n v="31"/>
  </r>
  <r>
    <d v="2026-08-03T19:00:00"/>
    <x v="5"/>
    <n v="19"/>
    <n v="24.730049984527781"/>
    <m/>
    <n v="28.769934521480561"/>
    <n v="30"/>
    <n v="39.473936248697221"/>
    <m/>
    <n v="43.098077489488887"/>
    <n v="36"/>
  </r>
  <r>
    <d v="2026-08-03T20:00:00"/>
    <x v="5"/>
    <n v="20"/>
    <n v="25.94202165673612"/>
    <m/>
    <n v="28.824313687494438"/>
    <n v="28.2"/>
    <n v="43.184900962827783"/>
    <m/>
    <n v="43.586744152363877"/>
    <n v="48"/>
  </r>
  <r>
    <d v="2026-08-03T21:00:00"/>
    <x v="5"/>
    <n v="21"/>
    <n v="26.47310803732222"/>
    <m/>
    <n v="28.91379343403333"/>
    <n v="26.6"/>
    <n v="45.871967060594443"/>
    <m/>
    <n v="44.148080302244438"/>
    <n v="56"/>
  </r>
  <r>
    <d v="2026-08-03T22:00:00"/>
    <x v="5"/>
    <n v="22"/>
    <n v="26.820060494488889"/>
    <m/>
    <n v="28.991549083058331"/>
    <n v="25.8"/>
    <n v="47.218971041288889"/>
    <m/>
    <n v="44.592907633388883"/>
    <n v="54"/>
  </r>
  <r>
    <d v="2026-08-03T23:00:00"/>
    <x v="5"/>
    <n v="23"/>
    <n v="27.310899150941669"/>
    <m/>
    <n v="29.107404823374999"/>
    <n v="25.1"/>
    <n v="47.685035861222218"/>
    <m/>
    <n v="44.678922443413889"/>
    <n v="55"/>
  </r>
  <r>
    <d v="2026-08-04T00:00:00"/>
    <x v="5"/>
    <n v="0"/>
    <n v="26.051357116883331"/>
    <m/>
    <n v="29.142560390483339"/>
    <n v="24.3"/>
    <n v="44.135171567483333"/>
    <m/>
    <n v="44.801819670508337"/>
    <n v="59"/>
  </r>
  <r>
    <d v="2026-08-04T01:00:00"/>
    <x v="5"/>
    <n v="1"/>
    <n v="24.050094757619451"/>
    <m/>
    <n v="29.075144260113891"/>
    <n v="23.1"/>
    <n v="37.224182283713887"/>
    <m/>
    <n v="44.551782156097232"/>
    <n v="65"/>
  </r>
  <r>
    <d v="2026-08-04T02:00:00"/>
    <x v="5"/>
    <n v="2"/>
    <n v="24.502880851958331"/>
    <m/>
    <n v="29.020775006905559"/>
    <n v="22"/>
    <n v="38.985136328769443"/>
    <m/>
    <n v="44.149829620988889"/>
    <n v="72"/>
  </r>
  <r>
    <d v="2026-08-04T03:00:00"/>
    <x v="5"/>
    <n v="3"/>
    <n v="25.964501031997219"/>
    <m/>
    <n v="29.01424262639167"/>
    <n v="21"/>
    <n v="42.915406467297217"/>
    <m/>
    <n v="44.328651982138886"/>
    <n v="77"/>
  </r>
  <r>
    <d v="2026-08-04T04:00:00"/>
    <x v="5"/>
    <n v="4"/>
    <n v="26.350766905130559"/>
    <m/>
    <n v="29.034103820338888"/>
    <n v="20.6"/>
    <n v="43.976798028911112"/>
    <m/>
    <n v="44.712207366411121"/>
    <n v="79"/>
  </r>
  <r>
    <d v="2026-08-04T05:00:00"/>
    <x v="5"/>
    <n v="5"/>
    <n v="26.522046150055559"/>
    <m/>
    <n v="29.055825916797222"/>
    <n v="20.100000000000001"/>
    <n v="44.255010569174999"/>
    <m/>
    <n v="45.021749918766673"/>
    <n v="82"/>
  </r>
  <r>
    <d v="2026-08-04T06:00:00"/>
    <x v="5"/>
    <n v="6"/>
    <n v="26.847027492483331"/>
    <m/>
    <n v="29.10305788519166"/>
    <n v="20.6"/>
    <n v="44.531565954388888"/>
    <m/>
    <n v="45.23994084407223"/>
    <n v="80"/>
  </r>
  <r>
    <d v="2026-08-04T07:00:00"/>
    <x v="5"/>
    <n v="7"/>
    <n v="27.367617701672231"/>
    <m/>
    <n v="29.126800914716661"/>
    <n v="22.2"/>
    <n v="45.143333194980563"/>
    <m/>
    <n v="45.470462218030562"/>
    <n v="73"/>
  </r>
  <r>
    <d v="2026-08-04T08:00:00"/>
    <x v="5"/>
    <n v="8"/>
    <n v="27.865815052552779"/>
    <m/>
    <n v="29.20083157991111"/>
    <n v="24.7"/>
    <n v="45.987887600830561"/>
    <m/>
    <n v="45.676532448486107"/>
    <n v="64"/>
  </r>
  <r>
    <d v="2026-08-04T09:00:00"/>
    <x v="5"/>
    <n v="9"/>
    <n v="27.140314125577781"/>
    <m/>
    <n v="29.249166549286109"/>
    <n v="27.6"/>
    <n v="40.586768354163887"/>
    <m/>
    <n v="45.687413171325012"/>
    <n v="55"/>
  </r>
  <r>
    <d v="2026-08-04T10:00:00"/>
    <x v="5"/>
    <n v="10"/>
    <n v="25.94240566484444"/>
    <m/>
    <n v="29.20275723995"/>
    <n v="29.5"/>
    <n v="35.547008758511112"/>
    <m/>
    <n v="45.25020770682778"/>
    <n v="46"/>
  </r>
  <r>
    <d v="2026-08-04T11:00:00"/>
    <x v="5"/>
    <n v="11"/>
    <n v="25.784159733166661"/>
    <m/>
    <n v="29.168140905380561"/>
    <n v="30.8"/>
    <n v="35.453999452952779"/>
    <m/>
    <n v="44.773236556536112"/>
    <n v="36"/>
  </r>
  <r>
    <d v="2026-08-04T12:00:00"/>
    <x v="5"/>
    <n v="12"/>
    <n v="25.484701181686109"/>
    <m/>
    <n v="29.11112626561389"/>
    <n v="31.4"/>
    <n v="36.156035952513889"/>
    <m/>
    <n v="44.327643669947228"/>
    <n v="33"/>
  </r>
  <r>
    <d v="2026-08-04T13:00:00"/>
    <x v="5"/>
    <n v="13"/>
    <n v="25.578013383444439"/>
    <m/>
    <n v="29.085164130138889"/>
    <n v="31.9"/>
    <n v="39.166685815930563"/>
    <m/>
    <n v="44.282105914472218"/>
    <n v="32"/>
  </r>
  <r>
    <d v="2026-08-04T14:00:00"/>
    <x v="5"/>
    <n v="14"/>
    <n v="25.472285249166671"/>
    <m/>
    <n v="29.103419535688889"/>
    <n v="32.1"/>
    <n v="38.97492607277222"/>
    <m/>
    <n v="44.39523458130833"/>
    <n v="32"/>
  </r>
  <r>
    <d v="2026-08-04T15:00:00"/>
    <x v="5"/>
    <n v="15"/>
    <n v="25.69500170571111"/>
    <m/>
    <n v="29.112419516480561"/>
    <n v="32.799999999999997"/>
    <n v="42.29459457435555"/>
    <m/>
    <n v="44.714129093936123"/>
    <n v="31"/>
  </r>
  <r>
    <d v="2026-08-04T16:00:00"/>
    <x v="5"/>
    <n v="16"/>
    <n v="25.541448658361109"/>
    <m/>
    <n v="29.115416691433332"/>
    <n v="32.700000000000003"/>
    <n v="41.634052373580552"/>
    <m/>
    <n v="44.653541589388887"/>
    <n v="31"/>
  </r>
  <r>
    <d v="2026-08-04T17:00:00"/>
    <x v="5"/>
    <n v="17"/>
    <n v="25.46689867212778"/>
    <m/>
    <n v="29.139391684113889"/>
    <n v="32.4"/>
    <n v="40.995771918391668"/>
    <m/>
    <n v="44.740869082833328"/>
    <n v="31"/>
  </r>
  <r>
    <d v="2026-08-04T18:00:00"/>
    <x v="5"/>
    <n v="18"/>
    <n v="25.608580206177781"/>
    <m/>
    <n v="29.164596145061111"/>
    <n v="32.1"/>
    <n v="44.386105414488888"/>
    <m/>
    <n v="44.743665329099997"/>
    <n v="32"/>
  </r>
  <r>
    <d v="2026-08-04T19:00:00"/>
    <x v="5"/>
    <n v="19"/>
    <n v="25.69661187440833"/>
    <m/>
    <n v="29.180590766074999"/>
    <n v="31.1"/>
    <n v="42.850054529661122"/>
    <m/>
    <n v="44.956289120261111"/>
    <n v="34"/>
  </r>
  <r>
    <d v="2026-08-04T20:00:00"/>
    <x v="5"/>
    <n v="20"/>
    <n v="26.636713664424999"/>
    <m/>
    <n v="29.19708869571944"/>
    <n v="29.5"/>
    <n v="49.533181720344452"/>
    <m/>
    <n v="45.081117618447223"/>
    <n v="40"/>
  </r>
  <r>
    <d v="2026-08-04T21:00:00"/>
    <x v="5"/>
    <n v="21"/>
    <n v="27.051309873936109"/>
    <m/>
    <n v="29.270348898205551"/>
    <n v="28.3"/>
    <n v="51.912358808088889"/>
    <m/>
    <n v="45.25924336916944"/>
    <n v="45"/>
  </r>
  <r>
    <d v="2026-08-04T22:00:00"/>
    <x v="5"/>
    <n v="22"/>
    <n v="27.336977274961111"/>
    <m/>
    <n v="29.34628585883889"/>
    <n v="27.4"/>
    <n v="47.744919658850002"/>
    <m/>
    <n v="47.225536674947222"/>
    <n v="49"/>
  </r>
  <r>
    <d v="2026-08-04T23:00:00"/>
    <x v="5"/>
    <n v="23"/>
    <n v="27.424451455041659"/>
    <m/>
    <n v="29.37532049656112"/>
    <n v="26.7"/>
    <n v="47.090889766680561"/>
    <m/>
    <n v="47.337647013638879"/>
    <n v="53"/>
  </r>
  <r>
    <d v="2026-08-05T00:00:00"/>
    <x v="5"/>
    <n v="0"/>
    <n v="27.396392675977779"/>
    <m/>
    <n v="29.35255535104444"/>
    <n v="25.7"/>
    <n v="46.946447099772222"/>
    <m/>
    <n v="47.008836935569441"/>
    <n v="59"/>
  </r>
  <r>
    <d v="2026-08-05T01:00:00"/>
    <x v="5"/>
    <n v="1"/>
    <n v="25.18749420907778"/>
    <m/>
    <n v="29.29988060431112"/>
    <n v="25"/>
    <n v="39.662969261297221"/>
    <m/>
    <n v="46.533357641952783"/>
    <n v="63"/>
  </r>
  <r>
    <d v="2026-08-05T02:00:00"/>
    <x v="5"/>
    <n v="2"/>
    <n v="25.276975758816661"/>
    <m/>
    <n v="29.220004810894451"/>
    <n v="24.1"/>
    <n v="41.243259549427783"/>
    <m/>
    <n v="45.563317565319437"/>
    <n v="67"/>
  </r>
  <r>
    <d v="2026-08-05T03:00:00"/>
    <x v="5"/>
    <n v="3"/>
    <n v="26.493380254244439"/>
    <m/>
    <n v="29.217530663877781"/>
    <n v="22.8"/>
    <n v="45.686540299355563"/>
    <m/>
    <n v="45.907610440088888"/>
    <n v="72"/>
  </r>
  <r>
    <d v="2026-08-05T04:00:00"/>
    <x v="5"/>
    <n v="4"/>
    <n v="26.763415126661108"/>
    <m/>
    <n v="29.24738153817222"/>
    <n v="22.3"/>
    <n v="46.056731883955557"/>
    <m/>
    <n v="46.228122896333332"/>
    <n v="74"/>
  </r>
  <r>
    <d v="2026-08-05T05:00:00"/>
    <x v="5"/>
    <n v="5"/>
    <n v="26.837086874519439"/>
    <m/>
    <n v="29.27112134141667"/>
    <n v="21.8"/>
    <n v="46.130680802000001"/>
    <m/>
    <n v="46.401124301169439"/>
    <n v="77"/>
  </r>
  <r>
    <d v="2026-08-05T06:00:00"/>
    <x v="5"/>
    <n v="6"/>
    <n v="27.16946131698889"/>
    <m/>
    <n v="29.30073518958611"/>
    <n v="22.1"/>
    <n v="46.26025328115"/>
    <m/>
    <n v="46.518816246500002"/>
    <n v="76"/>
  </r>
  <r>
    <d v="2026-08-05T07:00:00"/>
    <x v="5"/>
    <n v="7"/>
    <n v="27.707953979561111"/>
    <m/>
    <n v="29.335318516377779"/>
    <n v="23.3"/>
    <n v="46.094440996730562"/>
    <m/>
    <n v="46.599853767908343"/>
    <n v="71"/>
  </r>
  <r>
    <d v="2026-08-05T08:00:00"/>
    <x v="5"/>
    <n v="8"/>
    <n v="28.204463688194451"/>
    <m/>
    <n v="29.451271984188889"/>
    <n v="25.4"/>
    <n v="46.142886882147216"/>
    <m/>
    <n v="46.559987271661107"/>
    <n v="62"/>
  </r>
  <r>
    <d v="2026-08-05T09:00:00"/>
    <x v="5"/>
    <n v="9"/>
    <n v="27.284919524380559"/>
    <m/>
    <n v="29.467908889755549"/>
    <n v="27.5"/>
    <n v="38.113022631361112"/>
    <m/>
    <n v="46.49562048144444"/>
    <n v="53"/>
  </r>
  <r>
    <d v="2026-08-05T10:00:00"/>
    <x v="5"/>
    <n v="10"/>
    <n v="25.845234189766671"/>
    <m/>
    <n v="29.38177253114722"/>
    <n v="29.6"/>
    <n v="34.038123478997221"/>
    <m/>
    <n v="45.885352475055562"/>
    <n v="45"/>
  </r>
  <r>
    <d v="2026-08-05T11:00:00"/>
    <x v="5"/>
    <n v="11"/>
    <n v="25.43616477828056"/>
    <m/>
    <n v="29.26928475885833"/>
    <n v="31.1"/>
    <n v="34.364790144974997"/>
    <m/>
    <n v="44.454506999499998"/>
    <n v="39"/>
  </r>
  <r>
    <d v="2026-08-05T12:00:00"/>
    <x v="5"/>
    <n v="12"/>
    <n v="25.381511853902779"/>
    <m/>
    <n v="29.263390242974999"/>
    <n v="31.9"/>
    <n v="36.027347322461097"/>
    <m/>
    <n v="43.515718326075003"/>
    <n v="34"/>
  </r>
  <r>
    <d v="2026-08-05T13:00:00"/>
    <x v="5"/>
    <n v="13"/>
    <n v="25.79661033369722"/>
    <m/>
    <n v="29.29154401146112"/>
    <n v="32.299999999999997"/>
    <n v="39.782899090561109"/>
    <m/>
    <n v="43.941031261799999"/>
    <n v="34"/>
  </r>
  <r>
    <d v="2026-08-05T14:00:00"/>
    <x v="5"/>
    <n v="14"/>
    <n v="25.753388572297219"/>
    <m/>
    <n v="29.469984768694449"/>
    <n v="32.6"/>
    <n v="40.155333192833332"/>
    <m/>
    <n v="44.349077228486117"/>
    <n v="34"/>
  </r>
  <r>
    <d v="2026-08-05T15:00:00"/>
    <x v="5"/>
    <n v="15"/>
    <n v="25.600252556219441"/>
    <m/>
    <n v="29.468401275538891"/>
    <n v="33.299999999999997"/>
    <n v="40.188158721336123"/>
    <m/>
    <n v="44.389971683177777"/>
    <n v="32"/>
  </r>
  <r>
    <d v="2026-08-05T16:00:00"/>
    <x v="5"/>
    <n v="16"/>
    <n v="25.57657642485"/>
    <m/>
    <n v="29.408676364000002"/>
    <n v="33"/>
    <n v="42.157189842836111"/>
    <m/>
    <n v="44.313012476558328"/>
    <n v="33"/>
  </r>
  <r>
    <d v="2026-08-05T17:00:00"/>
    <x v="5"/>
    <n v="17"/>
    <n v="25.602656200683331"/>
    <m/>
    <n v="29.372447209650002"/>
    <n v="32.5"/>
    <n v="42.342829002663883"/>
    <m/>
    <n v="44.649543608666669"/>
    <n v="34"/>
  </r>
  <r>
    <d v="2026-08-05T18:00:00"/>
    <x v="5"/>
    <n v="18"/>
    <n v="25.716766972869451"/>
    <m/>
    <n v="29.373083544136112"/>
    <n v="32"/>
    <n v="44.521981202950002"/>
    <m/>
    <n v="44.73097411114167"/>
    <n v="36"/>
  </r>
  <r>
    <d v="2026-08-05T19:00:00"/>
    <x v="5"/>
    <n v="19"/>
    <n v="25.46907632032222"/>
    <m/>
    <n v="29.277403382955551"/>
    <n v="31.3"/>
    <n v="41.492273460966658"/>
    <m/>
    <n v="44.757314531894451"/>
    <n v="38"/>
  </r>
  <r>
    <d v="2026-08-05T20:00:00"/>
    <x v="5"/>
    <n v="20"/>
    <n v="25.62721683575278"/>
    <m/>
    <n v="28.618278252233331"/>
    <n v="30.2"/>
    <n v="45.850215316466667"/>
    <m/>
    <n v="48.292628656058334"/>
    <n v="47"/>
  </r>
  <r>
    <d v="2026-08-05T21:00:00"/>
    <x v="5"/>
    <n v="21"/>
    <n v="25.607485312172219"/>
    <m/>
    <n v="29.038813663730551"/>
    <n v="29.2"/>
    <n v="42.487285849916667"/>
    <m/>
    <n v="46.697008022491673"/>
    <n v="50"/>
  </r>
  <r>
    <d v="2026-08-05T22:00:00"/>
    <x v="5"/>
    <n v="22"/>
    <n v="25.732539344997221"/>
    <m/>
    <n v="29.204416797527781"/>
    <n v="28.4"/>
    <n v="40.823637344550001"/>
    <m/>
    <n v="46.047789045416657"/>
    <n v="54"/>
  </r>
  <r>
    <d v="2026-08-05T23:00:00"/>
    <x v="5"/>
    <n v="23"/>
    <n v="25.811980553747219"/>
    <m/>
    <n v="29.278080835372229"/>
    <n v="27.6"/>
    <n v="42.123030854841673"/>
    <m/>
    <n v="45.640848360225"/>
    <n v="56"/>
  </r>
  <r>
    <d v="2026-08-06T00:00:00"/>
    <x v="5"/>
    <n v="0"/>
    <n v="26.540381100441671"/>
    <m/>
    <n v="29.36759874608056"/>
    <n v="27.3"/>
    <n v="43.614968253161123"/>
    <m/>
    <n v="45.491631069436117"/>
    <n v="58"/>
  </r>
  <r>
    <d v="2026-08-06T01:00:00"/>
    <x v="5"/>
    <n v="1"/>
    <n v="24.853527308680551"/>
    <m/>
    <n v="29.355926178666671"/>
    <n v="26.5"/>
    <n v="40.971737840897227"/>
    <m/>
    <n v="45.50330300912222"/>
    <n v="60"/>
  </r>
  <r>
    <d v="2026-08-06T02:00:00"/>
    <x v="5"/>
    <n v="2"/>
    <n v="25.484031168727778"/>
    <m/>
    <n v="29.295464657555559"/>
    <n v="25.5"/>
    <n v="42.418953795613881"/>
    <m/>
    <n v="45.090983487461109"/>
    <n v="64"/>
  </r>
  <r>
    <d v="2026-08-06T03:00:00"/>
    <x v="5"/>
    <n v="3"/>
    <n v="26.644331388116669"/>
    <m/>
    <n v="29.328040365672219"/>
    <n v="23.6"/>
    <n v="47.292299023105564"/>
    <m/>
    <n v="45.374869485177783"/>
    <n v="72"/>
  </r>
  <r>
    <d v="2026-08-06T04:00:00"/>
    <x v="5"/>
    <n v="4"/>
    <n v="27.014926369608329"/>
    <m/>
    <n v="29.377096230663881"/>
    <n v="22.9"/>
    <n v="48.758439771324987"/>
    <m/>
    <n v="46.139842976038892"/>
    <n v="74"/>
  </r>
  <r>
    <d v="2026-08-06T05:00:00"/>
    <x v="5"/>
    <n v="5"/>
    <n v="27.186392195752781"/>
    <m/>
    <n v="29.419560423222219"/>
    <n v="22.1"/>
    <n v="48.850428595511111"/>
    <m/>
    <n v="46.513055046411118"/>
    <n v="79"/>
  </r>
  <r>
    <d v="2026-08-06T06:00:00"/>
    <x v="5"/>
    <n v="6"/>
    <n v="27.417120643405561"/>
    <m/>
    <n v="29.502724854258329"/>
    <n v="22.1"/>
    <n v="49.538936143619438"/>
    <m/>
    <n v="46.73901559042222"/>
    <n v="80"/>
  </r>
  <r>
    <d v="2026-08-06T07:00:00"/>
    <x v="5"/>
    <n v="7"/>
    <n v="27.851752568647221"/>
    <m/>
    <n v="29.52674020652222"/>
    <n v="23.5"/>
    <n v="49.768824013361112"/>
    <m/>
    <n v="47.011484855122227"/>
    <n v="73"/>
  </r>
  <r>
    <d v="2026-08-06T08:00:00"/>
    <x v="5"/>
    <n v="8"/>
    <n v="28.33525520230555"/>
    <m/>
    <n v="29.596310394813891"/>
    <n v="25.6"/>
    <n v="49.704935845016671"/>
    <m/>
    <n v="47.098522283163888"/>
    <n v="62"/>
  </r>
  <r>
    <d v="2026-08-06T09:00:00"/>
    <x v="5"/>
    <n v="9"/>
    <n v="27.627854209144449"/>
    <m/>
    <n v="29.649803079366659"/>
    <n v="28.5"/>
    <n v="41.027136719058333"/>
    <m/>
    <n v="47.071813093761108"/>
    <n v="51"/>
  </r>
  <r>
    <d v="2026-08-06T10:00:00"/>
    <x v="5"/>
    <n v="10"/>
    <n v="26.771803190561108"/>
    <m/>
    <n v="29.59845958818056"/>
    <n v="30.6"/>
    <n v="37.161936728511122"/>
    <m/>
    <n v="46.470614056577773"/>
    <n v="43"/>
  </r>
  <r>
    <d v="2026-08-06T11:00:00"/>
    <x v="5"/>
    <n v="11"/>
    <n v="26.327207356333329"/>
    <m/>
    <n v="29.609739855236111"/>
    <n v="32.200000000000003"/>
    <n v="36.855117402133331"/>
    <m/>
    <n v="45.802002527369453"/>
    <n v="36"/>
  </r>
  <r>
    <d v="2026-08-06T12:00:00"/>
    <x v="5"/>
    <n v="12"/>
    <n v="25.917666057550001"/>
    <m/>
    <n v="29.546467173277779"/>
    <n v="33.200000000000003"/>
    <n v="36.064669116049998"/>
    <m/>
    <n v="45.048669693502781"/>
    <n v="33"/>
  </r>
  <r>
    <d v="2026-08-06T13:00:00"/>
    <x v="5"/>
    <n v="13"/>
    <n v="25.728220697516669"/>
    <m/>
    <n v="29.530719612794449"/>
    <n v="33.799999999999997"/>
    <n v="37.407413159133327"/>
    <m/>
    <n v="43.939304615730563"/>
    <n v="30"/>
  </r>
  <r>
    <d v="2026-08-06T14:00:00"/>
    <x v="5"/>
    <n v="14"/>
    <n v="27.063247778605561"/>
    <m/>
    <n v="29.58105806578611"/>
    <n v="34.1"/>
    <n v="42.618429685697222"/>
    <m/>
    <n v="44.432053783136112"/>
    <n v="30"/>
  </r>
  <r>
    <d v="2026-08-06T15:00:00"/>
    <x v="5"/>
    <n v="15"/>
    <n v="27.75464959240556"/>
    <m/>
    <n v="29.641744864655561"/>
    <n v="34.9"/>
    <n v="43.928511131280551"/>
    <m/>
    <n v="45.036064949227779"/>
    <n v="28"/>
  </r>
  <r>
    <d v="2026-08-06T16:00:00"/>
    <x v="5"/>
    <n v="16"/>
    <n v="27.563773940138891"/>
    <m/>
    <n v="29.672370736916669"/>
    <n v="34.799999999999997"/>
    <n v="42.668890801869438"/>
    <m/>
    <n v="45.761296253163891"/>
    <n v="28"/>
  </r>
  <r>
    <d v="2026-08-06T17:00:00"/>
    <x v="5"/>
    <n v="17"/>
    <n v="25.947477344161111"/>
    <m/>
    <n v="29.65541418782778"/>
    <n v="34.4"/>
    <n v="38.750805872216667"/>
    <m/>
    <n v="45.375943389730558"/>
    <n v="29"/>
  </r>
  <r>
    <d v="2026-08-06T18:00:00"/>
    <x v="5"/>
    <n v="18"/>
    <n v="25.793702856011109"/>
    <m/>
    <n v="29.603419363983331"/>
    <n v="33.9"/>
    <n v="41.217286979872227"/>
    <m/>
    <n v="45.13322983836111"/>
    <n v="30"/>
  </r>
  <r>
    <d v="2026-08-06T19:00:00"/>
    <x v="5"/>
    <n v="19"/>
    <n v="25.60040473033056"/>
    <m/>
    <n v="29.531959809288889"/>
    <n v="33.299999999999997"/>
    <n v="42.903190824861113"/>
    <m/>
    <n v="45.02492483473889"/>
    <n v="32"/>
  </r>
  <r>
    <d v="2026-08-06T20:00:00"/>
    <x v="5"/>
    <n v="20"/>
    <n v="25.74327865865278"/>
    <m/>
    <n v="29.536287805727781"/>
    <n v="31.8"/>
    <n v="46.316449734300001"/>
    <m/>
    <n v="45.400761924688886"/>
    <n v="36"/>
  </r>
  <r>
    <d v="2026-08-06T21:00:00"/>
    <x v="5"/>
    <n v="21"/>
    <n v="25.29760437831667"/>
    <m/>
    <n v="29.53111740813889"/>
    <n v="30.6"/>
    <n v="46.854292965952773"/>
    <m/>
    <n v="45.634255765977777"/>
    <n v="46"/>
  </r>
  <r>
    <d v="2026-08-06T22:00:00"/>
    <x v="5"/>
    <n v="22"/>
    <n v="25.25124089734167"/>
    <m/>
    <n v="29.499611166019449"/>
    <n v="29.9"/>
    <n v="48.560646014636113"/>
    <m/>
    <n v="45.846195897213903"/>
    <n v="49"/>
  </r>
  <r>
    <d v="2026-08-06T23:00:00"/>
    <x v="5"/>
    <n v="23"/>
    <n v="25.678657600244449"/>
    <m/>
    <n v="29.558770268669441"/>
    <n v="29.5"/>
    <n v="50.252956337633329"/>
    <m/>
    <n v="46.494525514369442"/>
    <n v="48"/>
  </r>
  <r>
    <d v="2026-08-07T00:00:00"/>
    <x v="5"/>
    <n v="0"/>
    <n v="25.429731537675"/>
    <m/>
    <n v="29.516610874841671"/>
    <n v="28.7"/>
    <n v="49.885398041299993"/>
    <m/>
    <n v="46.350979020799997"/>
    <n v="48"/>
  </r>
  <r>
    <d v="2026-08-07T01:00:00"/>
    <x v="5"/>
    <n v="1"/>
    <n v="26.274348411730561"/>
    <m/>
    <n v="29.582237095572221"/>
    <n v="27"/>
    <n v="51.101236948572222"/>
    <m/>
    <n v="46.862922594899999"/>
    <n v="52"/>
  </r>
  <r>
    <d v="2026-08-07T02:00:00"/>
    <x v="5"/>
    <n v="2"/>
    <n v="26.93703734824723"/>
    <m/>
    <n v="29.608621091822229"/>
    <n v="25.6"/>
    <n v="49.165493486902783"/>
    <m/>
    <n v="47.108233777902782"/>
    <n v="54"/>
  </r>
  <r>
    <d v="2026-08-07T03:00:00"/>
    <x v="5"/>
    <n v="3"/>
    <n v="27.225166636763891"/>
    <m/>
    <n v="29.629964696041672"/>
    <n v="24.2"/>
    <n v="47.554424645077781"/>
    <m/>
    <n v="47.215535622680562"/>
    <n v="56"/>
  </r>
  <r>
    <d v="2026-08-07T04:00:00"/>
    <x v="5"/>
    <n v="4"/>
    <n v="27.37970611956111"/>
    <m/>
    <n v="29.64337109378333"/>
    <n v="23.4"/>
    <n v="46.228830925538887"/>
    <m/>
    <n v="47.243151104305561"/>
    <n v="57"/>
  </r>
  <r>
    <d v="2026-08-07T05:00:00"/>
    <x v="5"/>
    <n v="5"/>
    <n v="27.494303307694441"/>
    <m/>
    <n v="29.65777007179722"/>
    <n v="22.7"/>
    <n v="45.634138072647232"/>
    <m/>
    <n v="47.241573256319441"/>
    <n v="59"/>
  </r>
  <r>
    <d v="2026-08-07T06:00:00"/>
    <x v="5"/>
    <n v="6"/>
    <n v="27.786753376711111"/>
    <m/>
    <n v="29.683651490961111"/>
    <n v="22.8"/>
    <n v="44.601680957697234"/>
    <m/>
    <n v="47.18779060933889"/>
    <n v="58"/>
  </r>
  <r>
    <d v="2026-08-07T07:00:00"/>
    <x v="5"/>
    <n v="7"/>
    <n v="28.319317971588891"/>
    <m/>
    <n v="29.724040238952771"/>
    <n v="24"/>
    <n v="44.748602342636111"/>
    <m/>
    <n v="47.171908931674999"/>
    <n v="55"/>
  </r>
  <r>
    <d v="2026-08-07T08:00:00"/>
    <x v="5"/>
    <n v="8"/>
    <n v="28.378084585511111"/>
    <m/>
    <n v="29.764227167011111"/>
    <n v="26.2"/>
    <n v="42.292401682769437"/>
    <m/>
    <n v="47.172253839369453"/>
    <n v="48"/>
  </r>
  <r>
    <d v="2026-08-07T09:00:00"/>
    <x v="5"/>
    <n v="9"/>
    <n v="26.67204107555834"/>
    <m/>
    <n v="29.77685378103612"/>
    <n v="28.9"/>
    <n v="34.522263401799997"/>
    <m/>
    <n v="46.421421303841669"/>
    <n v="44"/>
  </r>
  <r>
    <d v="2026-08-07T10:00:00"/>
    <x v="5"/>
    <n v="10"/>
    <n v="26.353501569366671"/>
    <m/>
    <n v="29.726679382197229"/>
    <n v="31.4"/>
    <n v="33.917611640363887"/>
    <m/>
    <n v="45.464717507622218"/>
    <n v="37"/>
  </r>
  <r>
    <d v="2026-08-07T11:00:00"/>
    <x v="5"/>
    <n v="11"/>
    <n v="26.27254168271666"/>
    <m/>
    <n v="29.683159498447221"/>
    <n v="33.200000000000003"/>
    <n v="34.670450793027783"/>
    <m/>
    <n v="45.027851139761111"/>
    <n v="32"/>
  </r>
  <r>
    <d v="2026-08-07T12:00:00"/>
    <x v="5"/>
    <n v="12"/>
    <n v="26.43754843223056"/>
    <m/>
    <n v="29.66251774621389"/>
    <n v="34.299999999999997"/>
    <n v="38.007096246408331"/>
    <m/>
    <n v="44.861099494538877"/>
    <n v="27"/>
  </r>
  <r>
    <d v="2026-08-07T13:00:00"/>
    <x v="5"/>
    <n v="13"/>
    <n v="26.29786819236389"/>
    <m/>
    <n v="29.681275180250001"/>
    <n v="34.9"/>
    <n v="38.342655619174998"/>
    <m/>
    <n v="44.842927002808331"/>
    <n v="26"/>
  </r>
  <r>
    <d v="2026-08-07T14:00:00"/>
    <x v="5"/>
    <n v="14"/>
    <n v="26.117798362272222"/>
    <m/>
    <n v="29.726722211513891"/>
    <n v="35.1"/>
    <n v="38.61120984198056"/>
    <m/>
    <n v="44.744433269277778"/>
    <n v="25"/>
  </r>
  <r>
    <d v="2026-08-07T15:00:00"/>
    <x v="5"/>
    <n v="15"/>
    <n v="25.966906473983329"/>
    <m/>
    <n v="29.72906335227778"/>
    <n v="36.1"/>
    <n v="38.691743229183338"/>
    <m/>
    <n v="44.571522448350002"/>
    <n v="22"/>
  </r>
  <r>
    <d v="2026-08-07T16:00:00"/>
    <x v="5"/>
    <n v="16"/>
    <n v="25.88222342366667"/>
    <m/>
    <n v="29.722158731427779"/>
    <n v="35.700000000000003"/>
    <n v="40.164271247450003"/>
    <m/>
    <n v="44.437518908933328"/>
    <n v="23"/>
  </r>
  <r>
    <d v="2026-08-07T17:00:00"/>
    <x v="5"/>
    <n v="17"/>
    <n v="25.864483978636109"/>
    <m/>
    <n v="29.760519886127781"/>
    <n v="35.200000000000003"/>
    <n v="39.418781504755557"/>
    <m/>
    <n v="44.427387423938889"/>
    <n v="24"/>
  </r>
  <r>
    <d v="2026-08-07T18:00:00"/>
    <x v="5"/>
    <n v="18"/>
    <n v="25.93654082919722"/>
    <m/>
    <n v="29.744101025738889"/>
    <n v="34.5"/>
    <n v="40.841851189875001"/>
    <m/>
    <n v="44.494521411213888"/>
    <n v="25"/>
  </r>
  <r>
    <d v="2026-08-07T19:00:00"/>
    <x v="5"/>
    <n v="19"/>
    <n v="26.060989767955562"/>
    <m/>
    <n v="29.731694178830551"/>
    <n v="33.799999999999997"/>
    <n v="42.282210957036114"/>
    <m/>
    <n v="44.847724971963878"/>
    <n v="27"/>
  </r>
  <r>
    <d v="2026-08-07T20:00:00"/>
    <x v="5"/>
    <n v="20"/>
    <n v="25.830132952124998"/>
    <m/>
    <n v="29.795144221825002"/>
    <n v="32.700000000000003"/>
    <n v="42.010502147855547"/>
    <m/>
    <n v="44.781769781697221"/>
    <n v="30"/>
  </r>
  <r>
    <d v="2026-08-07T21:00:00"/>
    <x v="5"/>
    <n v="21"/>
    <n v="25.974662784311111"/>
    <m/>
    <n v="29.809815725730559"/>
    <n v="31.1"/>
    <n v="39.751390050211121"/>
    <m/>
    <n v="44.691144549183342"/>
    <n v="38"/>
  </r>
  <r>
    <d v="2026-08-07T22:00:00"/>
    <x v="5"/>
    <n v="22"/>
    <n v="26.24251790613889"/>
    <m/>
    <n v="29.84958403635834"/>
    <n v="30.3"/>
    <n v="39.933471820211111"/>
    <m/>
    <n v="44.561961098650002"/>
    <n v="37"/>
  </r>
  <r>
    <d v="2026-08-07T23:00:00"/>
    <x v="5"/>
    <n v="23"/>
    <n v="26.115549480011111"/>
    <m/>
    <n v="29.862659822733331"/>
    <n v="29.6"/>
    <n v="37.763883320300003"/>
    <m/>
    <n v="44.275461027347227"/>
    <n v="37"/>
  </r>
  <r>
    <d v="2026-08-08T00:00:00"/>
    <x v="5"/>
    <n v="0"/>
    <n v="25.759404201083338"/>
    <m/>
    <n v="29.753856507502778"/>
    <n v="28.9"/>
    <n v="39.282718573433343"/>
    <m/>
    <n v="43.671160887219443"/>
    <n v="39"/>
  </r>
  <r>
    <d v="2026-08-08T01:00:00"/>
    <x v="5"/>
    <n v="1"/>
    <n v="25.473582437866671"/>
    <m/>
    <n v="29.773416728608339"/>
    <n v="28"/>
    <n v="40.286140517444451"/>
    <m/>
    <n v="43.934287401719438"/>
    <n v="40"/>
  </r>
  <r>
    <d v="2026-08-08T02:00:00"/>
    <x v="5"/>
    <n v="2"/>
    <n v="24.452350127258331"/>
    <m/>
    <n v="29.727326921894441"/>
    <n v="26.8"/>
    <n v="38.049367002627783"/>
    <m/>
    <n v="43.615012416894452"/>
    <n v="45"/>
  </r>
  <r>
    <d v="2026-08-08T03:00:00"/>
    <x v="5"/>
    <n v="3"/>
    <n v="25.325217099777781"/>
    <m/>
    <n v="29.66997435070833"/>
    <n v="25.8"/>
    <n v="41.002351772738884"/>
    <m/>
    <n v="42.87148932901389"/>
    <n v="51"/>
  </r>
  <r>
    <d v="2026-08-08T04:00:00"/>
    <x v="5"/>
    <n v="4"/>
    <n v="26.685638911491669"/>
    <m/>
    <n v="29.733764115602771"/>
    <n v="24.6"/>
    <n v="43.322479527127783"/>
    <m/>
    <n v="43.738147899213892"/>
    <n v="58"/>
  </r>
  <r>
    <d v="2026-08-08T05:00:00"/>
    <x v="5"/>
    <n v="5"/>
    <n v="27.173044577527779"/>
    <m/>
    <n v="29.829895312188889"/>
    <n v="23.8"/>
    <n v="44.306370763838878"/>
    <m/>
    <n v="44.188230661469447"/>
    <n v="63"/>
  </r>
  <r>
    <d v="2026-08-08T06:00:00"/>
    <x v="5"/>
    <n v="6"/>
    <n v="27.499913470969439"/>
    <m/>
    <n v="29.85999225985833"/>
    <n v="23.9"/>
    <n v="43.681855730466673"/>
    <m/>
    <n v="44.590303135583333"/>
    <n v="63"/>
  </r>
  <r>
    <d v="2026-08-08T07:00:00"/>
    <x v="5"/>
    <n v="7"/>
    <n v="27.752571726625"/>
    <m/>
    <n v="29.899123156169441"/>
    <n v="25"/>
    <n v="43.792445350211118"/>
    <m/>
    <n v="44.89010202415556"/>
    <n v="59"/>
  </r>
  <r>
    <d v="2026-08-08T08:00:00"/>
    <x v="5"/>
    <n v="8"/>
    <n v="28.25077345878611"/>
    <m/>
    <n v="29.949764118302781"/>
    <n v="26"/>
    <n v="44.339902396233327"/>
    <m/>
    <n v="45.13112962063056"/>
    <n v="54"/>
  </r>
  <r>
    <d v="2026-08-08T09:00:00"/>
    <x v="5"/>
    <n v="9"/>
    <n v="26.92044455535278"/>
    <m/>
    <n v="29.989485392963889"/>
    <n v="26.8"/>
    <n v="35.954382895019442"/>
    <m/>
    <n v="44.989935946919452"/>
    <n v="55"/>
  </r>
  <r>
    <d v="2026-08-08T10:00:00"/>
    <x v="5"/>
    <n v="10"/>
    <n v="25.761862847313889"/>
    <m/>
    <n v="29.87722613173333"/>
    <n v="28.6"/>
    <n v="33.234885792766669"/>
    <m/>
    <n v="43.847527740499999"/>
    <n v="49"/>
  </r>
  <r>
    <d v="2026-08-08T11:00:00"/>
    <x v="5"/>
    <n v="11"/>
    <n v="25.57232802999722"/>
    <m/>
    <n v="29.830684543936108"/>
    <n v="30.5"/>
    <n v="34.830376633447223"/>
    <m/>
    <n v="43.374617605836107"/>
    <n v="43"/>
  </r>
  <r>
    <d v="2026-08-08T12:00:00"/>
    <x v="5"/>
    <n v="12"/>
    <n v="25.520842620186109"/>
    <m/>
    <n v="29.850873187722229"/>
    <n v="31.8"/>
    <n v="38.481896567183327"/>
    <m/>
    <n v="43.63003923198611"/>
    <n v="38"/>
  </r>
  <r>
    <d v="2026-08-08T13:00:00"/>
    <x v="5"/>
    <n v="13"/>
    <n v="25.35166163914722"/>
    <m/>
    <n v="29.049731773380561"/>
    <n v="33.299999999999997"/>
    <n v="38.88112887363333"/>
    <m/>
    <n v="43.149358885341663"/>
    <n v="33"/>
  </r>
  <r>
    <d v="2026-08-08T14:00:00"/>
    <x v="5"/>
    <n v="14"/>
    <n v="25.23366512923333"/>
    <m/>
    <n v="28.097486599850001"/>
    <n v="32.6"/>
    <n v="38.282425620138888"/>
    <m/>
    <n v="42.891647337027777"/>
    <n v="34"/>
  </r>
  <r>
    <d v="2026-08-08T15:00:00"/>
    <x v="5"/>
    <n v="15"/>
    <n v="25.623515770947229"/>
    <m/>
    <n v="29.003206944983329"/>
    <n v="33.1"/>
    <n v="39.064829456561121"/>
    <m/>
    <n v="43.268595648050002"/>
    <n v="29"/>
  </r>
  <r>
    <d v="2026-08-08T16:00:00"/>
    <x v="5"/>
    <n v="16"/>
    <n v="25.491093253391671"/>
    <m/>
    <n v="29.358384497627771"/>
    <n v="33.5"/>
    <n v="36.359748352125003"/>
    <m/>
    <n v="43.144893657486108"/>
    <n v="28"/>
  </r>
  <r>
    <d v="2026-08-08T17:00:00"/>
    <x v="5"/>
    <n v="17"/>
    <n v="25.531963755969439"/>
    <m/>
    <n v="28.736531024016671"/>
    <n v="33.5"/>
    <n v="37.161886043477779"/>
    <m/>
    <n v="41.47090995048611"/>
    <n v="26"/>
  </r>
  <r>
    <d v="2026-08-08T18:00:00"/>
    <x v="5"/>
    <n v="18"/>
    <n v="27.067345717125001"/>
    <m/>
    <n v="29.219257318552781"/>
    <n v="31.8"/>
    <n v="42.028269438019443"/>
    <m/>
    <n v="43.009110390516668"/>
    <n v="30"/>
  </r>
  <r>
    <d v="2026-08-08T19:00:00"/>
    <x v="5"/>
    <n v="19"/>
    <n v="27.715959231816669"/>
    <m/>
    <n v="29.486980987566671"/>
    <n v="29.7"/>
    <n v="43.873358591897222"/>
    <m/>
    <n v="43.505939203813888"/>
    <n v="43"/>
  </r>
  <r>
    <d v="2026-08-08T20:00:00"/>
    <x v="5"/>
    <n v="20"/>
    <n v="27.832817571161112"/>
    <m/>
    <n v="29.66327884205278"/>
    <n v="28.9"/>
    <n v="45.329684268869443"/>
    <m/>
    <n v="44.011874552077778"/>
    <n v="50"/>
  </r>
  <r>
    <d v="2026-08-08T21:00:00"/>
    <x v="5"/>
    <n v="21"/>
    <n v="27.757463651347219"/>
    <m/>
    <n v="29.770871937980559"/>
    <n v="27"/>
    <n v="47.217456457544444"/>
    <m/>
    <n v="44.587385609483327"/>
    <n v="55"/>
  </r>
  <r>
    <d v="2026-08-08T22:00:00"/>
    <x v="5"/>
    <n v="22"/>
    <n v="27.605334718969441"/>
    <m/>
    <n v="29.837707271538889"/>
    <n v="25.9"/>
    <n v="49.633187738616662"/>
    <m/>
    <n v="45.00614667323611"/>
    <n v="61"/>
  </r>
  <r>
    <d v="2026-08-08T23:00:00"/>
    <x v="5"/>
    <n v="23"/>
    <n v="27.59848558270556"/>
    <m/>
    <n v="29.90095539704722"/>
    <n v="24.8"/>
    <n v="50.173442045072221"/>
    <m/>
    <n v="45.316139233552782"/>
    <n v="65"/>
  </r>
  <r>
    <d v="2026-08-09T00:00:00"/>
    <x v="5"/>
    <n v="0"/>
    <n v="27.36676481672222"/>
    <m/>
    <n v="29.956927533552779"/>
    <n v="23.5"/>
    <n v="49.007217953999998"/>
    <m/>
    <n v="45.592054091952782"/>
    <n v="70"/>
  </r>
  <r>
    <d v="2026-08-09T01:00:00"/>
    <x v="5"/>
    <n v="1"/>
    <n v="25.62672287359166"/>
    <m/>
    <n v="29.952461490533331"/>
    <n v="22.6"/>
    <n v="44.231193252038892"/>
    <m/>
    <n v="45.606165154313892"/>
    <n v="78"/>
  </r>
  <r>
    <d v="2026-08-09T02:00:00"/>
    <x v="5"/>
    <n v="2"/>
    <n v="25.949193507511112"/>
    <m/>
    <n v="29.963510460049999"/>
    <n v="21.8"/>
    <n v="54.775442147011113"/>
    <m/>
    <n v="45.800939223197219"/>
    <n v="84"/>
  </r>
  <r>
    <d v="2026-08-09T03:00:00"/>
    <x v="5"/>
    <n v="3"/>
    <n v="25.81272529536389"/>
    <m/>
    <n v="29.988138970605561"/>
    <n v="20.8"/>
    <n v="55.946623295775012"/>
    <m/>
    <n v="46.165190724591668"/>
    <n v="86"/>
  </r>
  <r>
    <d v="2026-08-09T04:00:00"/>
    <x v="5"/>
    <n v="4"/>
    <n v="25.399038679177771"/>
    <m/>
    <n v="29.985914807466671"/>
    <n v="20.399999999999999"/>
    <n v="57.351832630897228"/>
    <m/>
    <n v="46.532302198908333"/>
    <n v="89"/>
  </r>
  <r>
    <d v="2026-08-09T05:00:00"/>
    <x v="5"/>
    <n v="5"/>
    <n v="25.164840797858329"/>
    <m/>
    <n v="29.98944612130278"/>
    <n v="20"/>
    <n v="59.589952915163877"/>
    <m/>
    <n v="46.826199935805562"/>
    <n v="91"/>
  </r>
  <r>
    <d v="2026-08-09T06:00:00"/>
    <x v="5"/>
    <n v="6"/>
    <n v="25.737700273030551"/>
    <m/>
    <n v="30.000918358708329"/>
    <n v="20"/>
    <n v="58.869317146069442"/>
    <m/>
    <n v="47.11843163948334"/>
    <n v="91"/>
  </r>
  <r>
    <d v="2026-08-09T07:00:00"/>
    <x v="5"/>
    <n v="7"/>
    <n v="25.921545048261109"/>
    <m/>
    <n v="30.016255494102779"/>
    <n v="20.8"/>
    <n v="58.974756226191673"/>
    <m/>
    <n v="47.383522531849998"/>
    <n v="86"/>
  </r>
  <r>
    <d v="2026-08-09T08:00:00"/>
    <x v="5"/>
    <n v="8"/>
    <n v="26.73497714466944"/>
    <m/>
    <n v="30.024557433297229"/>
    <n v="21.8"/>
    <n v="56.583089332294463"/>
    <m/>
    <n v="47.608306205224999"/>
    <n v="81"/>
  </r>
  <r>
    <d v="2026-08-09T09:00:00"/>
    <x v="5"/>
    <n v="9"/>
    <n v="27.59929118237778"/>
    <m/>
    <n v="30.092575486677781"/>
    <n v="22.2"/>
    <n v="54.234152787447222"/>
    <m/>
    <n v="47.638781020541657"/>
    <n v="79"/>
  </r>
  <r>
    <d v="2026-08-09T10:00:00"/>
    <x v="5"/>
    <n v="10"/>
    <n v="27.746631490569449"/>
    <m/>
    <n v="30.126990968874999"/>
    <n v="22.9"/>
    <n v="54.39152183611111"/>
    <m/>
    <n v="47.699327113252792"/>
    <n v="77"/>
  </r>
  <r>
    <d v="2026-08-09T11:00:00"/>
    <x v="5"/>
    <n v="11"/>
    <n v="26.405290902002779"/>
    <m/>
    <n v="30.129529315894441"/>
    <n v="24"/>
    <n v="46.405717624866668"/>
    <m/>
    <n v="47.783022947541667"/>
    <n v="72"/>
  </r>
  <r>
    <d v="2026-08-09T12:00:00"/>
    <x v="5"/>
    <n v="12"/>
    <n v="25.240498957613891"/>
    <m/>
    <n v="30.13353721269722"/>
    <n v="24.8"/>
    <n v="42.877406199744449"/>
    <m/>
    <n v="47.62966277426667"/>
    <n v="67"/>
  </r>
  <r>
    <d v="2026-08-09T13:00:00"/>
    <x v="5"/>
    <n v="13"/>
    <n v="25.11965950465278"/>
    <m/>
    <n v="30.07285928083056"/>
    <n v="25.5"/>
    <n v="44.427004613725003"/>
    <m/>
    <n v="47.516701527872222"/>
    <n v="63"/>
  </r>
  <r>
    <d v="2026-08-09T14:00:00"/>
    <x v="5"/>
    <n v="14"/>
    <n v="25.647521323511121"/>
    <m/>
    <n v="30.074892553891669"/>
    <n v="26.1"/>
    <n v="49.963718923558332"/>
    <m/>
    <n v="47.788185219672222"/>
    <n v="58"/>
  </r>
  <r>
    <d v="2026-08-09T15:00:00"/>
    <x v="5"/>
    <n v="15"/>
    <n v="25.26187610485556"/>
    <m/>
    <n v="30.086689137116661"/>
    <n v="26.9"/>
    <n v="44.894507769855558"/>
    <m/>
    <n v="47.814013879258333"/>
    <n v="53"/>
  </r>
  <r>
    <d v="2026-08-09T16:00:00"/>
    <x v="5"/>
    <n v="16"/>
    <n v="25.661575490341669"/>
    <m/>
    <n v="30.078666625983331"/>
    <n v="27.4"/>
    <n v="48.45697356423333"/>
    <m/>
    <n v="47.83090557946111"/>
    <n v="50"/>
  </r>
  <r>
    <d v="2026-08-09T17:00:00"/>
    <x v="5"/>
    <n v="17"/>
    <n v="25.166477097963892"/>
    <m/>
    <n v="30.039661351177781"/>
    <n v="27.4"/>
    <n v="44.692294080325013"/>
    <m/>
    <n v="47.676178576363888"/>
    <n v="48"/>
  </r>
  <r>
    <d v="2026-08-09T18:00:00"/>
    <x v="5"/>
    <n v="18"/>
    <n v="25.699914736422219"/>
    <m/>
    <n v="30.042916713450001"/>
    <n v="26.8"/>
    <n v="47.210199026569448"/>
    <m/>
    <n v="47.621357109086112"/>
    <n v="49"/>
  </r>
  <r>
    <d v="2026-08-09T19:00:00"/>
    <x v="5"/>
    <n v="19"/>
    <n v="25.471634914297219"/>
    <m/>
    <n v="30.10382989281111"/>
    <n v="26"/>
    <n v="48.663358772180551"/>
    <m/>
    <n v="47.285593414677777"/>
    <n v="51"/>
  </r>
  <r>
    <d v="2026-08-09T20:00:00"/>
    <x v="5"/>
    <n v="20"/>
    <n v="26.13528481828056"/>
    <m/>
    <n v="30.173220590416669"/>
    <n v="24.9"/>
    <n v="48.828480995552781"/>
    <m/>
    <n v="47.222367909133332"/>
    <n v="54"/>
  </r>
  <r>
    <d v="2026-08-09T21:00:00"/>
    <x v="5"/>
    <n v="21"/>
    <n v="24.326109684366671"/>
    <m/>
    <n v="30.037717100133332"/>
    <n v="23.5"/>
    <n v="41.97886933041945"/>
    <m/>
    <n v="47.133867053327783"/>
    <n v="58"/>
  </r>
  <r>
    <d v="2026-08-09T22:00:00"/>
    <x v="5"/>
    <n v="22"/>
    <n v="23.557958352344439"/>
    <m/>
    <n v="29.966161331824999"/>
    <n v="22.9"/>
    <n v="40.578750573463893"/>
    <m/>
    <n v="46.528476140405559"/>
    <n v="58"/>
  </r>
  <r>
    <d v="2026-08-09T23:00:00"/>
    <x v="5"/>
    <n v="23"/>
    <n v="23.453674193141669"/>
    <m/>
    <n v="30.015880813169449"/>
    <n v="22.1"/>
    <n v="39.290959713613887"/>
    <m/>
    <n v="45.822298061141673"/>
    <n v="58"/>
  </r>
  <r>
    <d v="2026-08-10T00:00:00"/>
    <x v="5"/>
    <n v="0"/>
    <n v="23.287914763480561"/>
    <m/>
    <n v="29.950014850180551"/>
    <n v="21.3"/>
    <n v="37.984585354713893"/>
    <m/>
    <n v="45.446907817099998"/>
    <n v="59"/>
  </r>
  <r>
    <d v="2026-08-10T01:00:00"/>
    <x v="5"/>
    <n v="1"/>
    <n v="23.033948238397219"/>
    <m/>
    <n v="29.877925784216671"/>
    <n v="20.6"/>
    <n v="37.837666238713886"/>
    <m/>
    <n v="44.918800624683342"/>
    <n v="61"/>
  </r>
  <r>
    <d v="2026-08-10T02:00:00"/>
    <x v="5"/>
    <n v="2"/>
    <n v="24.042523260955551"/>
    <m/>
    <n v="29.827124256341669"/>
    <n v="20"/>
    <n v="41.925282762430562"/>
    <m/>
    <n v="45.297099386811112"/>
    <n v="63"/>
  </r>
  <r>
    <d v="2026-08-10T03:00:00"/>
    <x v="5"/>
    <n v="3"/>
    <n v="24.967145911094441"/>
    <m/>
    <n v="29.841814867883329"/>
    <n v="19.100000000000001"/>
    <n v="44.933853956463892"/>
    <m/>
    <n v="45.685014966583331"/>
    <n v="67"/>
  </r>
  <r>
    <d v="2026-08-10T04:00:00"/>
    <x v="5"/>
    <n v="4"/>
    <n v="25.231014106475001"/>
    <m/>
    <n v="29.810087119513891"/>
    <n v="18.600000000000001"/>
    <n v="45.534815071052783"/>
    <m/>
    <n v="45.864290971636109"/>
    <n v="70"/>
  </r>
  <r>
    <d v="2026-08-10T05:00:00"/>
    <x v="5"/>
    <n v="5"/>
    <n v="25.3553309843"/>
    <m/>
    <n v="29.817055552805559"/>
    <n v="18.2"/>
    <n v="45.321831783466671"/>
    <m/>
    <n v="45.950848562822223"/>
    <n v="72"/>
  </r>
  <r>
    <d v="2026-08-10T06:00:00"/>
    <x v="5"/>
    <n v="6"/>
    <n v="25.675920768425001"/>
    <m/>
    <n v="29.821194575625"/>
    <n v="18"/>
    <n v="44.297452556105547"/>
    <m/>
    <n v="45.986522785222213"/>
    <n v="73"/>
  </r>
  <r>
    <d v="2026-08-10T07:00:00"/>
    <x v="5"/>
    <n v="7"/>
    <n v="26.23160416209722"/>
    <m/>
    <n v="29.836175180030551"/>
    <n v="18.8"/>
    <n v="43.273894218950012"/>
    <m/>
    <n v="45.883277669941663"/>
    <n v="70"/>
  </r>
  <r>
    <d v="2026-08-10T08:00:00"/>
    <x v="5"/>
    <n v="8"/>
    <n v="26.750931851127781"/>
    <m/>
    <n v="29.864923428619448"/>
    <n v="20.100000000000001"/>
    <n v="42.865792436191668"/>
    <m/>
    <n v="45.84136763187778"/>
    <n v="65"/>
  </r>
  <r>
    <d v="2026-08-10T09:00:00"/>
    <x v="5"/>
    <n v="9"/>
    <n v="25.857313753463892"/>
    <m/>
    <n v="29.85198967088056"/>
    <n v="22.3"/>
    <n v="37.687035289033339"/>
    <m/>
    <n v="44.812276684019437"/>
    <n v="59"/>
  </r>
  <r>
    <d v="2026-08-10T10:00:00"/>
    <x v="5"/>
    <n v="10"/>
    <n v="26.550044636519441"/>
    <m/>
    <n v="29.908776378083331"/>
    <n v="24"/>
    <n v="40.732362605461113"/>
    <m/>
    <n v="44.765821038950001"/>
    <n v="53"/>
  </r>
  <r>
    <d v="2026-08-10T11:00:00"/>
    <x v="5"/>
    <n v="11"/>
    <n v="27.0284089164"/>
    <m/>
    <n v="29.95932793855"/>
    <n v="25.2"/>
    <n v="41.001326987427781"/>
    <m/>
    <n v="44.913965741975012"/>
    <n v="46"/>
  </r>
  <r>
    <d v="2026-08-10T12:00:00"/>
    <x v="5"/>
    <n v="12"/>
    <n v="26.565972773063891"/>
    <m/>
    <n v="30.02365880839444"/>
    <n v="26.2"/>
    <n v="38.69844288203889"/>
    <m/>
    <n v="44.984211864319441"/>
    <n v="43"/>
  </r>
  <r>
    <d v="2026-08-10T13:00:00"/>
    <x v="5"/>
    <n v="13"/>
    <n v="25.093382421444449"/>
    <m/>
    <n v="30.01145262807778"/>
    <n v="26.9"/>
    <n v="34.245841366299999"/>
    <m/>
    <n v="44.743695539633343"/>
    <n v="40"/>
  </r>
  <r>
    <d v="2026-08-10T14:00:00"/>
    <x v="5"/>
    <n v="14"/>
    <n v="24.83921754493333"/>
    <m/>
    <n v="29.98166806762222"/>
    <n v="27.4"/>
    <n v="36.665917015705553"/>
    <m/>
    <n v="44.574264396363887"/>
    <n v="39"/>
  </r>
  <r>
    <d v="2026-08-10T15:00:00"/>
    <x v="5"/>
    <n v="15"/>
    <n v="25.073906350555561"/>
    <m/>
    <n v="29.972336208925"/>
    <n v="28"/>
    <n v="43.585729556275012"/>
    <m/>
    <n v="44.641954552086112"/>
    <n v="35"/>
  </r>
  <r>
    <d v="2026-08-10T16:00:00"/>
    <x v="5"/>
    <n v="16"/>
    <n v="24.75922523546944"/>
    <m/>
    <n v="30.017194436977778"/>
    <n v="28.1"/>
    <n v="41.556229973366662"/>
    <m/>
    <n v="44.603161277594438"/>
    <n v="34"/>
  </r>
  <r>
    <d v="2026-08-10T17:00:00"/>
    <x v="5"/>
    <n v="17"/>
    <n v="24.28441506693056"/>
    <m/>
    <n v="30.01733519826389"/>
    <n v="27.9"/>
    <n v="38.915733736497216"/>
    <m/>
    <n v="44.469877483138887"/>
    <n v="34"/>
  </r>
  <r>
    <d v="2026-08-10T18:00:00"/>
    <x v="5"/>
    <n v="18"/>
    <n v="25.531414699652771"/>
    <m/>
    <n v="30.012001657897219"/>
    <n v="27.4"/>
    <n v="44.822058960741657"/>
    <m/>
    <n v="44.429066792952767"/>
    <n v="35"/>
  </r>
  <r>
    <d v="2026-08-10T19:00:00"/>
    <x v="5"/>
    <n v="19"/>
    <n v="24.470880751736111"/>
    <m/>
    <n v="29.977763183936109"/>
    <n v="26.5"/>
    <n v="38.528935398074999"/>
    <m/>
    <n v="44.42223739586111"/>
    <n v="38"/>
  </r>
  <r>
    <d v="2026-08-10T20:00:00"/>
    <x v="5"/>
    <n v="20"/>
    <n v="23.95901968636112"/>
    <m/>
    <n v="29.917637153377779"/>
    <n v="25.1"/>
    <n v="40.044459327147223"/>
    <m/>
    <n v="43.899892133205562"/>
    <n v="45"/>
  </r>
  <r>
    <d v="2026-08-10T21:00:00"/>
    <x v="5"/>
    <n v="21"/>
    <n v="24.87417274894166"/>
    <m/>
    <n v="29.978485147699999"/>
    <n v="23.8"/>
    <n v="48.118281609772232"/>
    <m/>
    <n v="43.973213574350012"/>
    <n v="49"/>
  </r>
  <r>
    <d v="2026-08-10T22:00:00"/>
    <x v="5"/>
    <n v="22"/>
    <n v="25.036421704555561"/>
    <m/>
    <n v="30.006694423750002"/>
    <n v="22.7"/>
    <n v="49.095169341191657"/>
    <m/>
    <n v="44.279897054708343"/>
    <n v="54"/>
  </r>
  <r>
    <d v="2026-08-10T23:00:00"/>
    <x v="5"/>
    <n v="23"/>
    <n v="24.451867211786109"/>
    <m/>
    <n v="30.017774387344449"/>
    <n v="21.9"/>
    <n v="39.210770867255562"/>
    <m/>
    <n v="44.378791561633342"/>
    <n v="57"/>
  </r>
  <r>
    <d v="2026-08-11T00:00:00"/>
    <x v="5"/>
    <n v="0"/>
    <n v="24.666807895036111"/>
    <m/>
    <n v="30.000827036480551"/>
    <n v="21.2"/>
    <n v="37.015317145766673"/>
    <m/>
    <n v="44.179562367997221"/>
    <n v="59"/>
  </r>
  <r>
    <d v="2026-08-11T01:00:00"/>
    <x v="5"/>
    <n v="1"/>
    <n v="25.083635697519441"/>
    <m/>
    <n v="29.983761708325002"/>
    <n v="20.6"/>
    <n v="42.182405711969437"/>
    <m/>
    <n v="43.96689432802777"/>
    <n v="61"/>
  </r>
  <r>
    <d v="2026-08-11T02:00:00"/>
    <x v="5"/>
    <n v="2"/>
    <n v="23.849765257736109"/>
    <m/>
    <n v="29.81485848519166"/>
    <n v="20.100000000000001"/>
    <n v="42.70961144101944"/>
    <m/>
    <n v="42.959054470061112"/>
    <n v="63"/>
  </r>
  <r>
    <d v="2026-08-11T03:00:00"/>
    <x v="5"/>
    <n v="3"/>
    <n v="23.009214082786109"/>
    <m/>
    <n v="29.648737143922219"/>
    <n v="18.8"/>
    <n v="44.793661978286117"/>
    <m/>
    <n v="42.724918364166662"/>
    <n v="67"/>
  </r>
  <r>
    <d v="2026-08-11T04:00:00"/>
    <x v="5"/>
    <n v="4"/>
    <n v="22.746924226358331"/>
    <m/>
    <n v="29.594018258144441"/>
    <n v="18.3"/>
    <n v="45.862069632597219"/>
    <m/>
    <n v="42.739768067152767"/>
    <n v="70"/>
  </r>
  <r>
    <d v="2026-08-11T05:00:00"/>
    <x v="5"/>
    <n v="5"/>
    <n v="22.838038347419449"/>
    <m/>
    <n v="29.535271593255551"/>
    <n v="17.899999999999999"/>
    <n v="45.876531628225003"/>
    <m/>
    <n v="42.720745285286107"/>
    <n v="72"/>
  </r>
  <r>
    <d v="2026-08-11T06:00:00"/>
    <x v="5"/>
    <n v="6"/>
    <n v="23.581758145544441"/>
    <m/>
    <n v="29.54392484461389"/>
    <n v="17.8"/>
    <n v="44.028610888361108"/>
    <m/>
    <n v="42.79250975926945"/>
    <n v="72"/>
  </r>
  <r>
    <d v="2026-08-11T07:00:00"/>
    <x v="5"/>
    <n v="7"/>
    <n v="24.456616882297219"/>
    <m/>
    <n v="29.61325963123889"/>
    <n v="18.7"/>
    <n v="42.546742389272232"/>
    <m/>
    <n v="43.054206210730563"/>
    <n v="70"/>
  </r>
  <r>
    <d v="2026-08-11T08:00:00"/>
    <x v="5"/>
    <n v="8"/>
    <n v="25.658525076158341"/>
    <m/>
    <n v="29.687349316319441"/>
    <n v="20.2"/>
    <n v="40.242643714075001"/>
    <m/>
    <n v="43.299627817702778"/>
    <n v="63"/>
  </r>
  <r>
    <d v="2026-08-11T09:00:00"/>
    <x v="5"/>
    <n v="9"/>
    <n v="26.334981974558328"/>
    <m/>
    <n v="29.81938266465"/>
    <n v="22.3"/>
    <n v="40.078734655786107"/>
    <m/>
    <n v="43.365915261783329"/>
    <n v="56"/>
  </r>
  <r>
    <d v="2026-08-11T10:00:00"/>
    <x v="5"/>
    <n v="10"/>
    <n v="26.788462992719449"/>
    <m/>
    <n v="29.932435446536111"/>
    <n v="24.3"/>
    <n v="40.596544399386111"/>
    <m/>
    <n v="43.447637588399999"/>
    <n v="51"/>
  </r>
  <r>
    <d v="2026-08-11T11:00:00"/>
    <x v="5"/>
    <n v="11"/>
    <n v="27.215297833674999"/>
    <m/>
    <n v="29.971971484836111"/>
    <n v="26.1"/>
    <n v="40.704346050719437"/>
    <m/>
    <n v="43.625768315375012"/>
    <n v="47"/>
  </r>
  <r>
    <d v="2026-08-11T12:00:00"/>
    <x v="5"/>
    <n v="12"/>
    <n v="26.145864682675001"/>
    <m/>
    <n v="30.048856749102779"/>
    <n v="27.6"/>
    <n v="34.781833673019442"/>
    <m/>
    <n v="43.418475740366667"/>
    <n v="42"/>
  </r>
  <r>
    <d v="2026-08-11T13:00:00"/>
    <x v="5"/>
    <n v="13"/>
    <n v="25.060107501263889"/>
    <m/>
    <n v="29.932801786958329"/>
    <n v="28.6"/>
    <n v="33.948660128411113"/>
    <m/>
    <n v="42.603664915422222"/>
    <n v="40"/>
  </r>
  <r>
    <d v="2026-08-11T14:00:00"/>
    <x v="5"/>
    <n v="14"/>
    <n v="25.82767816746389"/>
    <m/>
    <n v="29.900614527261109"/>
    <n v="29.2"/>
    <n v="37.30524669728333"/>
    <m/>
    <n v="42.418084837713891"/>
    <n v="39"/>
  </r>
  <r>
    <d v="2026-08-11T15:00:00"/>
    <x v="5"/>
    <n v="15"/>
    <n v="25.139591311972222"/>
    <m/>
    <n v="29.936477469055561"/>
    <n v="29.5"/>
    <n v="35.933317694805559"/>
    <m/>
    <n v="42.407985191133328"/>
    <n v="39"/>
  </r>
  <r>
    <d v="2026-08-11T16:00:00"/>
    <x v="5"/>
    <n v="16"/>
    <n v="24.89635855215278"/>
    <m/>
    <n v="29.92307404615833"/>
    <n v="29.6"/>
    <n v="40.612329336052767"/>
    <m/>
    <n v="42.400854606661113"/>
    <n v="39"/>
  </r>
  <r>
    <d v="2026-08-11T17:00:00"/>
    <x v="5"/>
    <n v="17"/>
    <n v="24.897442930869449"/>
    <m/>
    <n v="29.892805763913891"/>
    <n v="29.5"/>
    <n v="40.612412089452782"/>
    <m/>
    <n v="42.598627891316667"/>
    <n v="40"/>
  </r>
  <r>
    <d v="2026-08-11T18:00:00"/>
    <x v="5"/>
    <n v="18"/>
    <n v="25.111523859733332"/>
    <m/>
    <n v="29.865782367594441"/>
    <n v="29"/>
    <n v="44.855316356372221"/>
    <m/>
    <n v="42.826944409933333"/>
    <n v="42"/>
  </r>
  <r>
    <d v="2026-08-11T19:00:00"/>
    <x v="5"/>
    <n v="19"/>
    <n v="24.99816628192222"/>
    <m/>
    <n v="29.879773269255551"/>
    <n v="28.4"/>
    <n v="42.823915688758333"/>
    <m/>
    <n v="43.223585965736113"/>
    <n v="44"/>
  </r>
  <r>
    <d v="2026-08-11T20:00:00"/>
    <x v="5"/>
    <n v="20"/>
    <n v="24.737652505908329"/>
    <m/>
    <n v="29.854464690588891"/>
    <n v="27"/>
    <n v="41.88231025875556"/>
    <m/>
    <n v="43.178342381191662"/>
    <n v="53"/>
  </r>
  <r>
    <d v="2026-08-11T21:00:00"/>
    <x v="5"/>
    <n v="21"/>
    <n v="24.715904385550001"/>
    <m/>
    <n v="29.81863912351389"/>
    <n v="26.1"/>
    <n v="37.735908707361112"/>
    <m/>
    <n v="42.89305976461111"/>
    <n v="58"/>
  </r>
  <r>
    <d v="2026-08-11T22:00:00"/>
    <x v="5"/>
    <n v="22"/>
    <n v="25.76287194864722"/>
    <m/>
    <n v="29.868402843683331"/>
    <n v="25.4"/>
    <n v="40.935018974958332"/>
    <m/>
    <n v="42.712265568405563"/>
    <n v="59"/>
  </r>
  <r>
    <d v="2026-08-11T23:00:00"/>
    <x v="5"/>
    <n v="23"/>
    <n v="26.55510458735278"/>
    <m/>
    <n v="29.94195366328611"/>
    <n v="24.4"/>
    <n v="44.415030226950002"/>
    <m/>
    <n v="43.060532122794449"/>
    <n v="63"/>
  </r>
  <r>
    <d v="2026-08-12T00:00:00"/>
    <x v="5"/>
    <n v="0"/>
    <n v="26.01752418383056"/>
    <m/>
    <n v="29.985082118525"/>
    <n v="23.2"/>
    <n v="40.224571281441662"/>
    <m/>
    <n v="43.295240580038893"/>
    <n v="67"/>
  </r>
  <r>
    <d v="2026-08-12T01:00:00"/>
    <x v="5"/>
    <n v="1"/>
    <n v="24.40177690230556"/>
    <m/>
    <n v="29.876009491744441"/>
    <n v="22.4"/>
    <n v="38.241288546766668"/>
    <m/>
    <n v="42.873040417550001"/>
    <n v="69"/>
  </r>
  <r>
    <d v="2026-08-12T02:00:00"/>
    <x v="5"/>
    <n v="2"/>
    <n v="23.69255857455833"/>
    <m/>
    <n v="29.95153127487222"/>
    <n v="22"/>
    <n v="37.744224743252779"/>
    <m/>
    <n v="41.723942032027779"/>
    <n v="69"/>
  </r>
  <r>
    <d v="2026-08-12T03:00:00"/>
    <x v="5"/>
    <n v="3"/>
    <n v="25.1655813518"/>
    <m/>
    <n v="29.792259114075001"/>
    <n v="20.9"/>
    <n v="42.273886977197229"/>
    <m/>
    <n v="42.413116708391662"/>
    <n v="74"/>
  </r>
  <r>
    <d v="2026-08-12T04:00:00"/>
    <x v="5"/>
    <n v="4"/>
    <n v="25.714023071991669"/>
    <m/>
    <n v="29.840864310563891"/>
    <n v="20.7"/>
    <n v="44.759400115672207"/>
    <m/>
    <n v="43.010942879188889"/>
    <n v="72"/>
  </r>
  <r>
    <d v="2026-08-12T05:00:00"/>
    <x v="5"/>
    <n v="5"/>
    <n v="25.929452288988891"/>
    <m/>
    <n v="29.855532223097221"/>
    <n v="19.899999999999999"/>
    <n v="45.43380397735833"/>
    <m/>
    <n v="43.456891036691673"/>
    <n v="72"/>
  </r>
  <r>
    <d v="2026-08-12T06:00:00"/>
    <x v="5"/>
    <n v="6"/>
    <n v="26.067540397902778"/>
    <m/>
    <n v="29.884365401419441"/>
    <n v="19.399999999999999"/>
    <n v="45.03520489374722"/>
    <m/>
    <n v="43.755479098711113"/>
    <n v="74"/>
  </r>
  <r>
    <d v="2026-08-12T07:00:00"/>
    <x v="5"/>
    <n v="7"/>
    <n v="26.41109766736945"/>
    <m/>
    <n v="29.914087826144439"/>
    <n v="19.8"/>
    <n v="44.492357177549998"/>
    <m/>
    <n v="43.966337424591671"/>
    <n v="72"/>
  </r>
  <r>
    <d v="2026-08-12T08:00:00"/>
    <x v="5"/>
    <n v="8"/>
    <n v="26.73212830212222"/>
    <m/>
    <n v="29.93822557131389"/>
    <n v="20.6"/>
    <n v="44.584877501233343"/>
    <m/>
    <n v="44.134965497274997"/>
    <n v="68"/>
  </r>
  <r>
    <d v="2026-08-12T09:00:00"/>
    <x v="5"/>
    <n v="9"/>
    <n v="27.07203682963333"/>
    <m/>
    <n v="29.971507668211121"/>
    <n v="21.4"/>
    <n v="44.894615282780563"/>
    <m/>
    <n v="44.273764881005562"/>
    <n v="63"/>
  </r>
  <r>
    <d v="2026-08-12T10:00:00"/>
    <x v="5"/>
    <n v="10"/>
    <n v="27.35395892955556"/>
    <m/>
    <n v="30.03287811258333"/>
    <n v="22.4"/>
    <n v="45.075439557877779"/>
    <m/>
    <n v="44.34488244452222"/>
    <n v="58"/>
  </r>
  <r>
    <d v="2026-08-12T11:00:00"/>
    <x v="5"/>
    <n v="11"/>
    <n v="26.730962580983331"/>
    <m/>
    <n v="30.076461738652771"/>
    <n v="23.6"/>
    <n v="40.662908317277783"/>
    <m/>
    <n v="44.299174916425002"/>
    <n v="50"/>
  </r>
  <r>
    <d v="2026-08-12T12:00:00"/>
    <x v="5"/>
    <n v="12"/>
    <n v="25.755528525452771"/>
    <m/>
    <n v="29.98429860138333"/>
    <n v="24.3"/>
    <n v="34.261034519205559"/>
    <m/>
    <n v="43.566924600452779"/>
    <n v="43"/>
  </r>
  <r>
    <d v="2026-08-12T13:00:00"/>
    <x v="5"/>
    <n v="13"/>
    <n v="26.66819499748334"/>
    <m/>
    <n v="30.038337986122219"/>
    <n v="24.9"/>
    <n v="32.599888422924998"/>
    <m/>
    <n v="42.993266329227772"/>
    <n v="36"/>
  </r>
  <r>
    <d v="2026-08-12T14:00:00"/>
    <x v="5"/>
    <n v="14"/>
    <n v="26.812991193830559"/>
    <m/>
    <n v="29.878286124763889"/>
    <n v="25"/>
    <n v="31.326697517025"/>
    <m/>
    <n v="41.892211034094437"/>
    <n v="34"/>
  </r>
  <r>
    <d v="2026-08-12T15:00:00"/>
    <x v="5"/>
    <n v="15"/>
    <n v="26.798197577888889"/>
    <m/>
    <n v="29.045821526638889"/>
    <n v="25.3"/>
    <n v="30.440754991330561"/>
    <m/>
    <n v="38.22447736933055"/>
    <n v="31"/>
  </r>
  <r>
    <d v="2026-08-12T16:00:00"/>
    <x v="5"/>
    <n v="16"/>
    <n v="26.58678716587778"/>
    <m/>
    <n v="28.805316797919449"/>
    <n v="24.7"/>
    <n v="31.024312673977779"/>
    <m/>
    <n v="38.43558590276389"/>
    <n v="32"/>
  </r>
  <r>
    <d v="2026-08-12T17:00:00"/>
    <x v="5"/>
    <n v="17"/>
    <n v="26.395688528633329"/>
    <m/>
    <n v="29.178653252463889"/>
    <n v="24"/>
    <n v="31.238516416372221"/>
    <m/>
    <n v="39.909953666788887"/>
    <n v="33"/>
  </r>
  <r>
    <d v="2026-08-12T18:00:00"/>
    <x v="5"/>
    <n v="18"/>
    <n v="26.025834153805551"/>
    <m/>
    <n v="29.543173728761111"/>
    <n v="23"/>
    <n v="30.934343525799999"/>
    <m/>
    <n v="40.803903817663887"/>
    <n v="37"/>
  </r>
  <r>
    <d v="2026-08-12T19:00:00"/>
    <x v="5"/>
    <n v="19"/>
    <n v="25.425284379250002"/>
    <m/>
    <n v="29.686873287194452"/>
    <n v="22.2"/>
    <n v="32.440461697416673"/>
    <m/>
    <n v="41.172925020450002"/>
    <n v="39"/>
  </r>
  <r>
    <d v="2026-08-12T20:00:00"/>
    <x v="5"/>
    <n v="20"/>
    <n v="24.673904279308331"/>
    <m/>
    <n v="29.739479999522221"/>
    <n v="21.1"/>
    <n v="34.247790703108329"/>
    <m/>
    <n v="41.331319111880553"/>
    <n v="43"/>
  </r>
  <r>
    <d v="2026-08-12T21:00:00"/>
    <x v="5"/>
    <n v="21"/>
    <n v="24.125234456988888"/>
    <m/>
    <n v="29.773695908261111"/>
    <n v="19.7"/>
    <n v="36.11842877210556"/>
    <m/>
    <n v="41.387206265088892"/>
    <n v="46"/>
  </r>
  <r>
    <d v="2026-08-12T22:00:00"/>
    <x v="5"/>
    <n v="22"/>
    <n v="24.157401832333331"/>
    <m/>
    <n v="29.799644572127772"/>
    <n v="18.600000000000001"/>
    <n v="37.424016037183328"/>
    <m/>
    <n v="41.513101626527778"/>
    <n v="49"/>
  </r>
  <r>
    <d v="2026-08-12T23:00:00"/>
    <x v="5"/>
    <n v="23"/>
    <n v="23.941685544319441"/>
    <m/>
    <n v="29.82775139700556"/>
    <n v="17.600000000000001"/>
    <n v="37.407171506516669"/>
    <m/>
    <n v="41.568837843608343"/>
    <n v="52"/>
  </r>
  <r>
    <d v="2026-08-13T00:00:00"/>
    <x v="5"/>
    <n v="0"/>
    <n v="23.40760623858889"/>
    <m/>
    <n v="29.826048004977778"/>
    <n v="16.600000000000001"/>
    <n v="38.333208302547227"/>
    <m/>
    <n v="41.572185977449998"/>
    <n v="55"/>
  </r>
  <r>
    <d v="2026-08-13T01:00:00"/>
    <x v="5"/>
    <n v="1"/>
    <n v="22.325309124452779"/>
    <m/>
    <n v="29.76863583929444"/>
    <n v="15.8"/>
    <n v="40.31420217377778"/>
    <m/>
    <n v="41.55323708865"/>
    <n v="59"/>
  </r>
  <r>
    <d v="2026-08-13T02:00:00"/>
    <x v="5"/>
    <n v="2"/>
    <n v="22.109923308633331"/>
    <m/>
    <n v="29.740577192341661"/>
    <n v="15"/>
    <n v="39.972631261705558"/>
    <m/>
    <n v="41.42164339259444"/>
    <n v="63"/>
  </r>
  <r>
    <d v="2026-08-13T03:00:00"/>
    <x v="5"/>
    <n v="3"/>
    <n v="21.709117280230551"/>
    <m/>
    <n v="29.682625223755551"/>
    <n v="13.4"/>
    <n v="40.130803194505553"/>
    <m/>
    <n v="41.170222708336112"/>
    <n v="67"/>
  </r>
  <r>
    <d v="2026-08-13T04:00:00"/>
    <x v="5"/>
    <n v="4"/>
    <n v="21.360785730611109"/>
    <m/>
    <n v="29.628062964116669"/>
    <n v="12.9"/>
    <n v="40.60288389877222"/>
    <m/>
    <n v="40.837611232722217"/>
    <n v="70"/>
  </r>
  <r>
    <d v="2026-08-13T05:00:00"/>
    <x v="5"/>
    <n v="5"/>
    <n v="21.054191101025001"/>
    <m/>
    <n v="29.61434454239722"/>
    <n v="12.4"/>
    <n v="41.240682850005562"/>
    <m/>
    <n v="40.552218952697217"/>
    <n v="72"/>
  </r>
  <r>
    <d v="2026-08-13T06:00:00"/>
    <x v="5"/>
    <n v="6"/>
    <n v="22.23477832570833"/>
    <m/>
    <n v="29.557162182424999"/>
    <n v="12.2"/>
    <n v="38.857257854380563"/>
    <m/>
    <n v="40.538224388744453"/>
    <n v="72"/>
  </r>
  <r>
    <d v="2026-08-13T07:00:00"/>
    <x v="5"/>
    <n v="7"/>
    <n v="23.565938443488889"/>
    <m/>
    <n v="29.554979892750001"/>
    <n v="13.2"/>
    <n v="36.085248120013887"/>
    <m/>
    <n v="40.779898095555559"/>
    <n v="67"/>
  </r>
  <r>
    <d v="2026-08-13T08:00:00"/>
    <x v="5"/>
    <n v="8"/>
    <n v="24.821086656350001"/>
    <m/>
    <n v="29.619010515641669"/>
    <n v="14.7"/>
    <n v="33.911276077905562"/>
    <m/>
    <n v="40.917344773344453"/>
    <n v="61"/>
  </r>
  <r>
    <d v="2026-08-13T09:00:00"/>
    <x v="5"/>
    <n v="9"/>
    <n v="25.872087769219441"/>
    <m/>
    <n v="29.6835670177"/>
    <n v="16.8"/>
    <n v="31.817691809374999"/>
    <m/>
    <n v="41.011370436202768"/>
    <n v="54"/>
  </r>
  <r>
    <d v="2026-08-13T10:00:00"/>
    <x v="5"/>
    <n v="10"/>
    <n v="26.213986038066661"/>
    <m/>
    <n v="29.747667840813889"/>
    <n v="18.5"/>
    <n v="29.80465345235833"/>
    <m/>
    <n v="41.034675369955558"/>
    <n v="45"/>
  </r>
  <r>
    <d v="2026-08-13T11:00:00"/>
    <x v="5"/>
    <n v="11"/>
    <n v="26.297049076158331"/>
    <m/>
    <n v="29.744191585036109"/>
    <n v="19.8"/>
    <n v="29.618251510372222"/>
    <m/>
    <n v="41.069555357691669"/>
    <n v="39"/>
  </r>
  <r>
    <d v="2026-08-13T12:00:00"/>
    <x v="5"/>
    <n v="12"/>
    <n v="26.065279687491671"/>
    <m/>
    <n v="29.73861104728611"/>
    <n v="21.2"/>
    <n v="29.562171346961112"/>
    <m/>
    <n v="41.008111966305563"/>
    <n v="35"/>
  </r>
  <r>
    <d v="2026-08-13T13:00:00"/>
    <x v="5"/>
    <n v="13"/>
    <n v="26.018223257358329"/>
    <m/>
    <n v="29.736611114719441"/>
    <n v="21.8"/>
    <n v="29.609560823713888"/>
    <m/>
    <n v="40.799696411666673"/>
    <n v="34"/>
  </r>
  <r>
    <d v="2026-08-13T14:00:00"/>
    <x v="5"/>
    <n v="14"/>
    <n v="25.87216615897778"/>
    <m/>
    <n v="29.725637336575002"/>
    <n v="21.2"/>
    <n v="29.36968137738333"/>
    <m/>
    <n v="40.619973109152767"/>
    <n v="35"/>
  </r>
  <r>
    <d v="2026-08-13T15:00:00"/>
    <x v="5"/>
    <n v="15"/>
    <n v="25.787127792416669"/>
    <m/>
    <n v="29.742342841313889"/>
    <n v="21.9"/>
    <n v="29.78679510363612"/>
    <m/>
    <n v="40.450301089811113"/>
    <n v="32"/>
  </r>
  <r>
    <d v="2026-08-13T16:00:00"/>
    <x v="5"/>
    <n v="16"/>
    <n v="25.670457534411121"/>
    <m/>
    <n v="29.751799641733331"/>
    <n v="22.1"/>
    <n v="29.623074143111111"/>
    <m/>
    <n v="40.349001634383328"/>
    <n v="32"/>
  </r>
  <r>
    <d v="2026-08-13T17:00:00"/>
    <x v="5"/>
    <n v="17"/>
    <n v="25.556288381188889"/>
    <m/>
    <n v="29.805284343427768"/>
    <n v="21.9"/>
    <n v="29.175348118355561"/>
    <m/>
    <n v="40.184159804419437"/>
    <n v="32"/>
  </r>
  <r>
    <d v="2026-08-13T18:00:00"/>
    <x v="5"/>
    <n v="18"/>
    <n v="25.358994104000001"/>
    <m/>
    <n v="29.785711065658329"/>
    <n v="21.2"/>
    <n v="30.081252294405559"/>
    <m/>
    <n v="40.141706682005562"/>
    <n v="35"/>
  </r>
  <r>
    <d v="2026-08-13T19:00:00"/>
    <x v="5"/>
    <n v="19"/>
    <n v="24.909403377658339"/>
    <m/>
    <n v="29.750441336474999"/>
    <n v="20.6"/>
    <n v="30.740948184508341"/>
    <m/>
    <n v="40.075411253122219"/>
    <n v="38"/>
  </r>
  <r>
    <d v="2026-08-13T20:00:00"/>
    <x v="5"/>
    <n v="20"/>
    <n v="24.464086044288891"/>
    <m/>
    <n v="29.694517321972221"/>
    <n v="19.5"/>
    <n v="31.65181657442222"/>
    <m/>
    <n v="39.97905587686666"/>
    <n v="43"/>
  </r>
  <r>
    <d v="2026-08-13T21:00:00"/>
    <x v="5"/>
    <n v="21"/>
    <n v="23.88908667035556"/>
    <m/>
    <n v="29.673030689841671"/>
    <n v="18"/>
    <n v="33.574951575649997"/>
    <m/>
    <n v="39.953654354186114"/>
    <n v="49"/>
  </r>
  <r>
    <d v="2026-08-13T22:00:00"/>
    <x v="5"/>
    <n v="22"/>
    <n v="23.50147600901111"/>
    <m/>
    <n v="29.68183310901389"/>
    <n v="17.2"/>
    <n v="34.621482582913892"/>
    <m/>
    <n v="40.005367691799997"/>
    <n v="52"/>
  </r>
  <r>
    <d v="2026-08-13T23:00:00"/>
    <x v="5"/>
    <n v="23"/>
    <n v="23.355524328016671"/>
    <m/>
    <n v="29.671498429883329"/>
    <n v="16.3"/>
    <n v="34.387767976919442"/>
    <m/>
    <n v="40.042336086616658"/>
    <n v="56"/>
  </r>
  <r>
    <d v="2026-08-14T00:00:00"/>
    <x v="5"/>
    <n v="0"/>
    <n v="22.685637594100001"/>
    <m/>
    <n v="29.638463155686111"/>
    <n v="15.3"/>
    <n v="36.049888140900002"/>
    <m/>
    <n v="39.956192351125011"/>
    <n v="60"/>
  </r>
  <r>
    <d v="2026-08-14T01:00:00"/>
    <x v="5"/>
    <n v="1"/>
    <n v="21.771057622952771"/>
    <m/>
    <n v="29.581909267213891"/>
    <n v="14.5"/>
    <n v="38.162803910794437"/>
    <m/>
    <n v="39.786051258450001"/>
    <n v="65"/>
  </r>
  <r>
    <d v="2026-08-14T02:00:00"/>
    <x v="5"/>
    <n v="2"/>
    <n v="21.120283294330559"/>
    <m/>
    <n v="29.534047923730562"/>
    <n v="13.7"/>
    <n v="39.089745608733331"/>
    <m/>
    <n v="39.629833071155552"/>
    <n v="68"/>
  </r>
  <r>
    <d v="2026-08-14T03:00:00"/>
    <x v="5"/>
    <n v="3"/>
    <n v="20.728698162919439"/>
    <m/>
    <n v="29.506103682544449"/>
    <n v="12.4"/>
    <n v="40.069962959986107"/>
    <m/>
    <n v="39.52549746313889"/>
    <n v="71"/>
  </r>
  <r>
    <d v="2026-08-14T04:00:00"/>
    <x v="5"/>
    <n v="4"/>
    <n v="20.291295732947219"/>
    <m/>
    <n v="29.407875314161121"/>
    <n v="11.9"/>
    <n v="41.252061828847218"/>
    <m/>
    <n v="38.913116652338893"/>
    <n v="74"/>
  </r>
  <r>
    <d v="2026-08-14T05:00:00"/>
    <x v="5"/>
    <n v="5"/>
    <n v="19.982695511130551"/>
    <m/>
    <n v="29.33663141291111"/>
    <n v="11.4"/>
    <n v="42.288024595430556"/>
    <m/>
    <n v="38.673347888472229"/>
    <n v="76"/>
  </r>
  <r>
    <d v="2026-08-14T06:00:00"/>
    <x v="5"/>
    <n v="6"/>
    <n v="21.547498460719439"/>
    <m/>
    <n v="29.322779548716671"/>
    <n v="11.3"/>
    <n v="39.570260662638887"/>
    <m/>
    <n v="38.939498492558343"/>
    <n v="77"/>
  </r>
  <r>
    <d v="2026-08-14T07:00:00"/>
    <x v="5"/>
    <n v="7"/>
    <n v="23.407853743786109"/>
    <m/>
    <n v="29.357452191625001"/>
    <n v="12.3"/>
    <n v="36.199861654944442"/>
    <m/>
    <n v="39.43895753550278"/>
    <n v="72"/>
  </r>
  <r>
    <d v="2026-08-14T08:00:00"/>
    <x v="5"/>
    <n v="8"/>
    <n v="24.699998697877781"/>
    <m/>
    <n v="29.423096687180561"/>
    <n v="14"/>
    <n v="34.254876497363888"/>
    <m/>
    <n v="39.634754516036111"/>
    <n v="65"/>
  </r>
  <r>
    <d v="2026-08-14T09:00:00"/>
    <x v="5"/>
    <n v="9"/>
    <n v="25.552622898002781"/>
    <m/>
    <n v="29.505868539205551"/>
    <n v="16.2"/>
    <n v="32.5407349352"/>
    <m/>
    <n v="39.852145705963892"/>
    <n v="57"/>
  </r>
  <r>
    <d v="2026-08-14T10:00:00"/>
    <x v="5"/>
    <n v="10"/>
    <n v="25.927307356427779"/>
    <m/>
    <n v="29.55959082784166"/>
    <n v="17.8"/>
    <n v="31.117133316705551"/>
    <m/>
    <n v="40.078443549083332"/>
    <n v="50"/>
  </r>
  <r>
    <d v="2026-08-14T11:00:00"/>
    <x v="5"/>
    <n v="11"/>
    <n v="25.786415247361109"/>
    <m/>
    <n v="29.572111100383331"/>
    <n v="19.100000000000001"/>
    <n v="29.56376903320556"/>
    <m/>
    <n v="40.180782205055557"/>
    <n v="42"/>
  </r>
  <r>
    <d v="2026-08-14T12:00:00"/>
    <x v="5"/>
    <n v="12"/>
    <n v="25.786777545991669"/>
    <m/>
    <n v="29.223510608830551"/>
    <n v="20.2"/>
    <n v="28.785650122688889"/>
    <m/>
    <n v="38.247562510966667"/>
    <n v="37"/>
  </r>
  <r>
    <d v="2026-08-14T13:00:00"/>
    <x v="5"/>
    <n v="13"/>
    <n v="25.410189828633332"/>
    <m/>
    <n v="29.385057767925002"/>
    <n v="21.1"/>
    <n v="28.664221418105559"/>
    <m/>
    <n v="39.006488300094453"/>
    <n v="33"/>
  </r>
  <r>
    <d v="2026-08-14T14:00:00"/>
    <x v="5"/>
    <n v="14"/>
    <n v="25.03749649416666"/>
    <m/>
    <n v="29.502234020574999"/>
    <n v="20.3"/>
    <n v="29.29040157611945"/>
    <m/>
    <n v="38.840868719283343"/>
    <n v="36"/>
  </r>
  <r>
    <d v="2026-08-14T15:00:00"/>
    <x v="5"/>
    <n v="15"/>
    <n v="24.94133118064444"/>
    <m/>
    <n v="29.633546407536109"/>
    <n v="21.8"/>
    <n v="29.648164984933331"/>
    <m/>
    <n v="38.903984024119453"/>
    <n v="31"/>
  </r>
  <r>
    <d v="2026-08-14T16:00:00"/>
    <x v="5"/>
    <n v="16"/>
    <n v="25.058750035238891"/>
    <m/>
    <n v="29.37562955793889"/>
    <n v="21.6"/>
    <n v="30.58577030798056"/>
    <m/>
    <n v="39.220135406227783"/>
    <n v="32"/>
  </r>
  <r>
    <d v="2026-08-14T17:00:00"/>
    <x v="5"/>
    <n v="17"/>
    <n v="25.008638401127779"/>
    <m/>
    <n v="29.412776300177779"/>
    <n v="21.6"/>
    <n v="30.51419935357778"/>
    <m/>
    <n v="39.651828320086111"/>
    <n v="32"/>
  </r>
  <r>
    <d v="2026-08-14T18:00:00"/>
    <x v="5"/>
    <n v="18"/>
    <n v="24.56424618834167"/>
    <m/>
    <n v="29.447339025624998"/>
    <n v="21.1"/>
    <n v="29.89047867318056"/>
    <m/>
    <n v="39.585371887191663"/>
    <n v="33"/>
  </r>
  <r>
    <d v="2026-08-14T19:00:00"/>
    <x v="5"/>
    <n v="19"/>
    <n v="23.912860690661109"/>
    <m/>
    <n v="29.432100484986108"/>
    <n v="20.5"/>
    <n v="29.173398182100001"/>
    <m/>
    <n v="39.320536128886111"/>
    <n v="34"/>
  </r>
  <r>
    <d v="2026-08-14T20:00:00"/>
    <x v="5"/>
    <n v="20"/>
    <n v="23.248865440566661"/>
    <m/>
    <n v="29.32613275998056"/>
    <n v="19.2"/>
    <n v="30.94290959458333"/>
    <m/>
    <n v="38.685403287313903"/>
    <n v="41"/>
  </r>
  <r>
    <d v="2026-08-14T21:00:00"/>
    <x v="5"/>
    <n v="21"/>
    <n v="22.670551438552781"/>
    <m/>
    <n v="29.325856484294441"/>
    <n v="18.2"/>
    <n v="33.215546006383327"/>
    <m/>
    <n v="38.672856522488892"/>
    <n v="45"/>
  </r>
  <r>
    <d v="2026-08-14T22:00:00"/>
    <x v="5"/>
    <n v="22"/>
    <n v="22.348389115402771"/>
    <m/>
    <n v="29.29766369233333"/>
    <n v="17"/>
    <n v="34.923695021294442"/>
    <m/>
    <n v="38.62825770909722"/>
    <n v="51"/>
  </r>
  <r>
    <d v="2026-08-14T23:00:00"/>
    <x v="5"/>
    <n v="23"/>
    <n v="21.93734446761389"/>
    <m/>
    <n v="29.286193093252781"/>
    <n v="16"/>
    <n v="36.40144980043889"/>
    <m/>
    <n v="38.617531767013887"/>
    <n v="55"/>
  </r>
  <r>
    <d v="2026-08-15T00:00:00"/>
    <x v="5"/>
    <n v="0"/>
    <n v="21.953415930086109"/>
    <m/>
    <n v="29.293382942625001"/>
    <n v="15.3"/>
    <n v="36.254187416980557"/>
    <m/>
    <n v="38.561924247641663"/>
    <n v="58"/>
  </r>
  <r>
    <d v="2026-08-15T01:00:00"/>
    <x v="5"/>
    <n v="1"/>
    <n v="22.10273824831112"/>
    <m/>
    <n v="29.209574381602781"/>
    <n v="14.4"/>
    <n v="36.16302871886667"/>
    <m/>
    <n v="38.41597929755833"/>
    <n v="63"/>
  </r>
  <r>
    <d v="2026-08-15T02:00:00"/>
    <x v="5"/>
    <n v="2"/>
    <n v="21.41344551008611"/>
    <m/>
    <n v="29.157683952869441"/>
    <n v="13.7"/>
    <n v="38.641068394969437"/>
    <m/>
    <n v="38.503620515880563"/>
    <n v="66"/>
  </r>
  <r>
    <d v="2026-08-15T03:00:00"/>
    <x v="5"/>
    <n v="3"/>
    <n v="20.728360609336111"/>
    <m/>
    <n v="29.101990904436111"/>
    <n v="12.5"/>
    <n v="40.123133604991672"/>
    <m/>
    <n v="38.416444244477781"/>
    <n v="69"/>
  </r>
  <r>
    <d v="2026-08-15T04:00:00"/>
    <x v="5"/>
    <n v="4"/>
    <n v="20.25243085498612"/>
    <m/>
    <n v="29.04616225031112"/>
    <n v="11.8"/>
    <n v="41.488721118433332"/>
    <m/>
    <n v="38.359828039675001"/>
    <n v="73"/>
  </r>
  <r>
    <d v="2026-08-15T05:00:00"/>
    <x v="5"/>
    <n v="5"/>
    <n v="19.99001240436111"/>
    <m/>
    <n v="29.002409069983329"/>
    <n v="11.3"/>
    <n v="42.457619437752783"/>
    <m/>
    <n v="38.356155982902777"/>
    <n v="76"/>
  </r>
  <r>
    <d v="2026-08-15T06:00:00"/>
    <x v="5"/>
    <n v="6"/>
    <n v="21.427838870036108"/>
    <m/>
    <n v="28.981947255772219"/>
    <n v="11.3"/>
    <n v="39.173029605830557"/>
    <m/>
    <n v="38.664318341027773"/>
    <n v="77"/>
  </r>
  <r>
    <d v="2026-08-15T07:00:00"/>
    <x v="5"/>
    <n v="7"/>
    <n v="23.35406384685556"/>
    <m/>
    <n v="29.032231300599999"/>
    <n v="12.4"/>
    <n v="33.752568144505553"/>
    <m/>
    <n v="38.8348999834"/>
    <n v="72"/>
  </r>
  <r>
    <d v="2026-08-15T08:00:00"/>
    <x v="5"/>
    <n v="8"/>
    <n v="24.712230731666661"/>
    <m/>
    <n v="29.11376370547778"/>
    <n v="14.7"/>
    <n v="30.736192218036109"/>
    <m/>
    <n v="38.992246259872232"/>
    <n v="63"/>
  </r>
  <r>
    <d v="2026-08-15T09:00:00"/>
    <x v="5"/>
    <n v="9"/>
    <n v="25.68949100758056"/>
    <m/>
    <n v="29.182232742988891"/>
    <n v="17.899999999999999"/>
    <n v="28.276622291308328"/>
    <m/>
    <n v="39.049470215491667"/>
    <n v="51"/>
  </r>
  <r>
    <d v="2026-08-15T10:00:00"/>
    <x v="5"/>
    <n v="10"/>
    <n v="26.02720700608333"/>
    <m/>
    <n v="29.259203539913891"/>
    <n v="20"/>
    <n v="28.631985398280548"/>
    <m/>
    <n v="39.212101788677778"/>
    <n v="39"/>
  </r>
  <r>
    <d v="2026-08-15T11:00:00"/>
    <x v="5"/>
    <n v="11"/>
    <n v="25.981292726774999"/>
    <m/>
    <n v="29.276552637086109"/>
    <n v="21.2"/>
    <n v="27.921134698797221"/>
    <m/>
    <n v="39.265077067525013"/>
    <n v="32"/>
  </r>
  <r>
    <d v="2026-08-15T12:00:00"/>
    <x v="5"/>
    <n v="12"/>
    <n v="25.846595245469441"/>
    <m/>
    <n v="29.273916773294449"/>
    <n v="22"/>
    <n v="26.695452997775"/>
    <m/>
    <n v="39.207498524891669"/>
    <n v="30"/>
  </r>
  <r>
    <d v="2026-08-15T13:00:00"/>
    <x v="5"/>
    <n v="13"/>
    <n v="25.542792099472219"/>
    <m/>
    <n v="29.26852908698611"/>
    <n v="22.6"/>
    <n v="28.027797660161109"/>
    <m/>
    <n v="39.12572555237778"/>
    <n v="30"/>
  </r>
  <r>
    <d v="2026-08-15T14:00:00"/>
    <x v="5"/>
    <n v="14"/>
    <n v="25.58769851071111"/>
    <m/>
    <n v="29.365210870661109"/>
    <n v="23.6"/>
    <n v="29.103666473055551"/>
    <m/>
    <n v="38.927819609619441"/>
    <n v="29"/>
  </r>
  <r>
    <d v="2026-08-15T15:00:00"/>
    <x v="5"/>
    <n v="15"/>
    <n v="25.90612791397222"/>
    <m/>
    <n v="29.49379200880918"/>
    <n v="25"/>
    <n v="29.664424141127778"/>
    <m/>
    <n v="38.657003386538747"/>
    <n v="27"/>
  </r>
  <r>
    <d v="2026-08-15T16:00:00"/>
    <x v="5"/>
    <n v="16"/>
    <n v="25.93657742485"/>
    <m/>
    <n v="28.896127032205559"/>
    <n v="24.3"/>
    <n v="30.26937737055556"/>
    <m/>
    <n v="38.96250855435278"/>
    <n v="29"/>
  </r>
  <r>
    <d v="2026-08-15T17:00:00"/>
    <x v="5"/>
    <n v="17"/>
    <n v="25.747156905230561"/>
    <m/>
    <n v="29.163742098141672"/>
    <n v="23.9"/>
    <n v="30.637700042611112"/>
    <m/>
    <n v="39.148119730650002"/>
    <n v="32"/>
  </r>
  <r>
    <d v="2026-08-15T18:00:00"/>
    <x v="5"/>
    <n v="18"/>
    <n v="25.520636718383329"/>
    <m/>
    <n v="29.228142184663881"/>
    <n v="23.3"/>
    <n v="31.431187774358332"/>
    <m/>
    <n v="39.088554529161122"/>
    <n v="35"/>
  </r>
  <r>
    <d v="2026-08-15T19:00:00"/>
    <x v="5"/>
    <n v="19"/>
    <n v="25.128394578733332"/>
    <m/>
    <n v="29.219354969436111"/>
    <n v="22.4"/>
    <n v="32.928219718844453"/>
    <m/>
    <n v="39.109630288511113"/>
    <n v="39"/>
  </r>
  <r>
    <d v="2026-08-15T20:00:00"/>
    <x v="5"/>
    <n v="20"/>
    <n v="24.546849213927771"/>
    <m/>
    <n v="29.180249805333329"/>
    <n v="21.1"/>
    <n v="35.354414768494443"/>
    <m/>
    <n v="39.210262896880558"/>
    <n v="46"/>
  </r>
  <r>
    <d v="2026-08-15T21:00:00"/>
    <x v="5"/>
    <n v="21"/>
    <n v="23.89824359647222"/>
    <m/>
    <n v="29.196258095808329"/>
    <n v="19.899999999999999"/>
    <n v="38.303726143819439"/>
    <m/>
    <n v="39.358886564963889"/>
    <n v="54"/>
  </r>
  <r>
    <d v="2026-08-15T22:00:00"/>
    <x v="5"/>
    <n v="22"/>
    <n v="24.077181455066661"/>
    <m/>
    <n v="29.242333684861109"/>
    <n v="19.100000000000001"/>
    <n v="38.677839131775002"/>
    <m/>
    <n v="39.516837836874998"/>
    <n v="56"/>
  </r>
  <r>
    <d v="2026-08-15T23:00:00"/>
    <x v="5"/>
    <n v="23"/>
    <n v="24.060186974330559"/>
    <m/>
    <n v="29.248589772138889"/>
    <n v="18"/>
    <n v="39.180219732588888"/>
    <m/>
    <n v="39.696852195291669"/>
    <n v="62"/>
  </r>
  <r>
    <d v="2026-08-16T00:00:00"/>
    <x v="5"/>
    <n v="0"/>
    <n v="24.020035067861109"/>
    <m/>
    <n v="29.298335055072219"/>
    <n v="17.2"/>
    <n v="39.629973733916671"/>
    <m/>
    <n v="39.782713334594447"/>
    <n v="66"/>
  </r>
  <r>
    <d v="2026-08-16T01:00:00"/>
    <x v="5"/>
    <n v="1"/>
    <n v="23.332124105158329"/>
    <m/>
    <n v="29.24818198951111"/>
    <n v="16.600000000000001"/>
    <n v="41.358762426880553"/>
    <m/>
    <n v="39.978120751641669"/>
    <n v="68"/>
  </r>
  <r>
    <d v="2026-08-16T02:00:00"/>
    <x v="5"/>
    <n v="2"/>
    <n v="23.21899221383612"/>
    <m/>
    <n v="29.20299979951389"/>
    <n v="16.2"/>
    <n v="42.402877496066672"/>
    <m/>
    <n v="40.162129960397223"/>
    <n v="70"/>
  </r>
  <r>
    <d v="2026-08-16T03:00:00"/>
    <x v="5"/>
    <n v="3"/>
    <n v="22.826800311325002"/>
    <m/>
    <n v="29.16793236778333"/>
    <n v="15.5"/>
    <n v="43.173835381072223"/>
    <m/>
    <n v="40.353361176188891"/>
    <n v="73"/>
  </r>
  <r>
    <d v="2026-08-16T04:00:00"/>
    <x v="5"/>
    <n v="4"/>
    <n v="22.490805081319451"/>
    <m/>
    <n v="29.091410269330559"/>
    <n v="15.2"/>
    <n v="43.984101526086107"/>
    <m/>
    <n v="40.484045006566667"/>
    <n v="74"/>
  </r>
  <r>
    <d v="2026-08-16T05:00:00"/>
    <x v="5"/>
    <n v="5"/>
    <n v="22.717378810008331"/>
    <m/>
    <n v="29.068193106244451"/>
    <n v="15"/>
    <n v="43.718652674452777"/>
    <m/>
    <n v="40.58062654439167"/>
    <n v="74"/>
  </r>
  <r>
    <d v="2026-08-16T06:00:00"/>
    <x v="5"/>
    <n v="6"/>
    <n v="23.48277933569722"/>
    <m/>
    <n v="29.049609252349999"/>
    <n v="15"/>
    <n v="42.324667942911113"/>
    <m/>
    <n v="40.682485228594437"/>
    <n v="74"/>
  </r>
  <r>
    <d v="2026-08-16T07:00:00"/>
    <x v="5"/>
    <n v="7"/>
    <n v="24.921998968088889"/>
    <m/>
    <n v="29.074176392888891"/>
    <n v="16.5"/>
    <n v="39.594527985433338"/>
    <m/>
    <n v="40.781933411588888"/>
    <n v="69"/>
  </r>
  <r>
    <d v="2026-08-16T08:00:00"/>
    <x v="5"/>
    <n v="8"/>
    <n v="26.04074661443612"/>
    <m/>
    <n v="29.13306337154167"/>
    <n v="18.899999999999999"/>
    <n v="39.235868333097223"/>
    <m/>
    <n v="40.895403317844448"/>
    <n v="61"/>
  </r>
  <r>
    <d v="2026-08-16T09:00:00"/>
    <x v="5"/>
    <n v="9"/>
    <n v="26.70487625099722"/>
    <m/>
    <n v="29.182175775261111"/>
    <n v="22.1"/>
    <n v="38.384753870099999"/>
    <m/>
    <n v="40.98631986246945"/>
    <n v="52"/>
  </r>
  <r>
    <d v="2026-08-16T10:00:00"/>
    <x v="5"/>
    <n v="10"/>
    <n v="26.96542744592222"/>
    <m/>
    <n v="29.229143404369442"/>
    <n v="24.4"/>
    <n v="37.991776180994442"/>
    <m/>
    <n v="41.049091975486107"/>
    <n v="44"/>
  </r>
  <r>
    <d v="2026-08-16T11:00:00"/>
    <x v="5"/>
    <n v="11"/>
    <n v="26.940450118230551"/>
    <m/>
    <n v="29.271588885180549"/>
    <n v="25.8"/>
    <n v="37.397157900969447"/>
    <m/>
    <n v="41.087667434144443"/>
    <n v="39"/>
  </r>
  <r>
    <d v="2026-08-16T12:00:00"/>
    <x v="5"/>
    <n v="12"/>
    <n v="26.953876120341661"/>
    <m/>
    <n v="29.308365617825"/>
    <n v="26.9"/>
    <n v="36.723641814419437"/>
    <m/>
    <n v="41.113234675583342"/>
    <n v="34"/>
  </r>
  <r>
    <d v="2026-08-16T13:00:00"/>
    <x v="5"/>
    <n v="13"/>
    <n v="26.915443859530551"/>
    <m/>
    <n v="29.32622504893056"/>
    <n v="28.1"/>
    <n v="36.489656986744443"/>
    <m/>
    <n v="41.222265582361111"/>
    <n v="30"/>
  </r>
  <r>
    <d v="2026-08-16T14:00:00"/>
    <x v="5"/>
    <n v="14"/>
    <n v="26.887597442819441"/>
    <m/>
    <n v="29.33080375860278"/>
    <n v="28.4"/>
    <n v="36.153264786277781"/>
    <m/>
    <n v="41.406703604366669"/>
    <n v="30"/>
  </r>
  <r>
    <d v="2026-08-16T15:00:00"/>
    <x v="5"/>
    <n v="15"/>
    <n v="27.009823348480559"/>
    <m/>
    <n v="29.350393457305561"/>
    <n v="29.6"/>
    <n v="36.508023272711107"/>
    <m/>
    <n v="41.526463312175011"/>
    <n v="27"/>
  </r>
  <r>
    <d v="2026-08-16T16:00:00"/>
    <x v="5"/>
    <n v="16"/>
    <n v="27.04741199871944"/>
    <m/>
    <n v="29.355138736899999"/>
    <n v="29.2"/>
    <n v="35.953114888000002"/>
    <m/>
    <n v="41.593573621088893"/>
    <n v="27"/>
  </r>
  <r>
    <d v="2026-08-16T17:00:00"/>
    <x v="5"/>
    <n v="17"/>
    <n v="26.960457140144449"/>
    <m/>
    <n v="29.354583276591669"/>
    <n v="28.9"/>
    <n v="35.451502146274997"/>
    <m/>
    <n v="41.641973696858336"/>
    <n v="28"/>
  </r>
  <r>
    <d v="2026-08-16T18:00:00"/>
    <x v="5"/>
    <n v="18"/>
    <n v="26.90813183943056"/>
    <m/>
    <n v="29.3408877062"/>
    <n v="28.2"/>
    <n v="35.210345919688891"/>
    <m/>
    <n v="41.640940498677779"/>
    <n v="31"/>
  </r>
  <r>
    <d v="2026-08-16T19:00:00"/>
    <x v="5"/>
    <n v="19"/>
    <n v="26.769269482227781"/>
    <m/>
    <n v="29.33652811130278"/>
    <n v="26.6"/>
    <n v="35.715166880591667"/>
    <m/>
    <n v="41.613386896836111"/>
    <n v="37"/>
  </r>
  <r>
    <d v="2026-08-16T20:00:00"/>
    <x v="5"/>
    <n v="20"/>
    <n v="26.300737149450001"/>
    <m/>
    <n v="29.327526483100002"/>
    <n v="24.9"/>
    <n v="37.592053483761113"/>
    <m/>
    <n v="41.622782759386112"/>
    <n v="44"/>
  </r>
  <r>
    <d v="2026-08-16T21:00:00"/>
    <x v="5"/>
    <n v="21"/>
    <n v="25.904240173236111"/>
    <m/>
    <n v="29.31763564023889"/>
    <n v="23.6"/>
    <n v="38.980876507250002"/>
    <m/>
    <n v="41.688457536619453"/>
    <n v="49"/>
  </r>
  <r>
    <d v="2026-08-16T22:00:00"/>
    <x v="5"/>
    <n v="22"/>
    <n v="25.62669708395833"/>
    <m/>
    <n v="29.307108135572221"/>
    <n v="22.6"/>
    <n v="40.095305262977782"/>
    <m/>
    <n v="41.764353795933339"/>
    <n v="52"/>
  </r>
  <r>
    <d v="2026-08-16T23:00:00"/>
    <x v="5"/>
    <n v="23"/>
    <n v="25.75032236210556"/>
    <m/>
    <n v="29.302080183474999"/>
    <n v="21.7"/>
    <n v="40.154109372136112"/>
    <m/>
    <n v="41.852620935777779"/>
    <n v="53"/>
  </r>
  <r>
    <d v="2026-08-17T00:00:00"/>
    <x v="5"/>
    <n v="0"/>
    <n v="25.52771270108056"/>
    <m/>
    <n v="29.286359632450001"/>
    <n v="20.8"/>
    <n v="40.409583681047224"/>
    <m/>
    <n v="41.927844122591672"/>
    <n v="55"/>
  </r>
  <r>
    <d v="2026-08-17T01:00:00"/>
    <x v="5"/>
    <n v="1"/>
    <n v="25.213451385305561"/>
    <m/>
    <n v="29.284328229569439"/>
    <n v="20.100000000000001"/>
    <n v="40.981567302952783"/>
    <m/>
    <n v="41.983504451297222"/>
    <n v="56"/>
  </r>
  <r>
    <d v="2026-08-17T02:00:00"/>
    <x v="5"/>
    <n v="2"/>
    <n v="24.701055844769449"/>
    <m/>
    <n v="29.259800961488889"/>
    <n v="19.399999999999999"/>
    <n v="41.751708349858333"/>
    <m/>
    <n v="42.034815410119442"/>
    <n v="58"/>
  </r>
  <r>
    <d v="2026-08-17T03:00:00"/>
    <x v="5"/>
    <n v="3"/>
    <n v="24.137958535238891"/>
    <m/>
    <n v="29.227385861852781"/>
    <n v="18.3"/>
    <n v="41.917500096830551"/>
    <m/>
    <n v="42.025233803347227"/>
    <n v="62"/>
  </r>
  <r>
    <d v="2026-08-17T04:00:00"/>
    <x v="5"/>
    <n v="4"/>
    <n v="24.441225201688891"/>
    <m/>
    <n v="29.202410055808329"/>
    <n v="17.8"/>
    <n v="41.509729178169437"/>
    <m/>
    <n v="41.989861229302782"/>
    <n v="63"/>
  </r>
  <r>
    <d v="2026-08-17T05:00:00"/>
    <x v="5"/>
    <n v="5"/>
    <n v="24.311749069233329"/>
    <m/>
    <n v="29.178692414283329"/>
    <n v="17.5"/>
    <n v="41.295789498522232"/>
    <m/>
    <n v="41.980107920891662"/>
    <n v="63"/>
  </r>
  <r>
    <d v="2026-08-17T06:00:00"/>
    <x v="5"/>
    <n v="6"/>
    <n v="24.88212939700556"/>
    <m/>
    <n v="29.162305814422229"/>
    <n v="17.7"/>
    <n v="39.568558251102779"/>
    <m/>
    <n v="41.940994619675003"/>
    <n v="62"/>
  </r>
  <r>
    <d v="2026-08-17T07:00:00"/>
    <x v="5"/>
    <n v="7"/>
    <n v="26.050404273113891"/>
    <m/>
    <n v="29.183281679402779"/>
    <n v="19.100000000000001"/>
    <n v="37.328873094800002"/>
    <m/>
    <n v="41.895187413980558"/>
    <n v="58"/>
  </r>
  <r>
    <d v="2026-08-17T08:00:00"/>
    <x v="5"/>
    <n v="8"/>
    <n v="26.97954404748889"/>
    <m/>
    <n v="29.224704179066659"/>
    <n v="21.3"/>
    <n v="36.75245346531667"/>
    <m/>
    <n v="41.880860580372222"/>
    <n v="52"/>
  </r>
  <r>
    <d v="2026-08-17T09:00:00"/>
    <x v="5"/>
    <n v="9"/>
    <n v="27.628301037186109"/>
    <m/>
    <n v="29.27970054256112"/>
    <n v="24.1"/>
    <n v="34.949093799336097"/>
    <m/>
    <n v="41.91594807432778"/>
    <n v="46"/>
  </r>
  <r>
    <d v="2026-08-17T10:00:00"/>
    <x v="5"/>
    <n v="10"/>
    <n v="26.81425819890833"/>
    <m/>
    <n v="29.340890570875001"/>
    <n v="26.4"/>
    <n v="33.360446656850002"/>
    <m/>
    <n v="41.879373201711111"/>
    <n v="40"/>
  </r>
  <r>
    <d v="2026-08-17T11:00:00"/>
    <x v="5"/>
    <n v="11"/>
    <n v="24.981325689947219"/>
    <m/>
    <n v="29.287878082475"/>
    <n v="28.3"/>
    <n v="31.84976913835278"/>
    <m/>
    <n v="41.646592008722223"/>
    <n v="33"/>
  </r>
  <r>
    <d v="2026-08-17T12:00:00"/>
    <x v="5"/>
    <n v="12"/>
    <n v="24.909441028411109"/>
    <m/>
    <n v="29.23835788196666"/>
    <n v="29.4"/>
    <n v="31.709872349980561"/>
    <m/>
    <n v="41.302919509349998"/>
    <n v="27"/>
  </r>
  <r>
    <d v="2026-08-17T13:00:00"/>
    <x v="5"/>
    <n v="13"/>
    <n v="24.693702288000001"/>
    <m/>
    <n v="29.217718962974999"/>
    <n v="30"/>
    <n v="33.046290496363888"/>
    <m/>
    <n v="41.019392606472223"/>
    <n v="26"/>
  </r>
  <r>
    <d v="2026-08-17T14:00:00"/>
    <x v="5"/>
    <n v="14"/>
    <n v="24.77164658865"/>
    <m/>
    <n v="29.221808512944449"/>
    <n v="30.3"/>
    <n v="34.921296969922217"/>
    <m/>
    <n v="40.898803332813891"/>
    <n v="26"/>
  </r>
  <r>
    <d v="2026-08-17T15:00:00"/>
    <x v="5"/>
    <n v="15"/>
    <n v="25.461072508886112"/>
    <m/>
    <n v="29.256649918800001"/>
    <n v="31.2"/>
    <n v="39.115813013008342"/>
    <m/>
    <n v="40.937846042013888"/>
    <n v="25"/>
  </r>
  <r>
    <d v="2026-08-17T16:00:00"/>
    <x v="5"/>
    <n v="16"/>
    <n v="25.035218569411111"/>
    <m/>
    <n v="28.93200046125278"/>
    <n v="30.8"/>
    <n v="35.440121378361113"/>
    <m/>
    <n v="40.311973687391657"/>
    <n v="26"/>
  </r>
  <r>
    <d v="2026-08-17T17:00:00"/>
    <x v="5"/>
    <n v="17"/>
    <n v="25.00023481938333"/>
    <m/>
    <n v="29.007942417652689"/>
    <n v="30.4"/>
    <n v="37.972238722044438"/>
    <m/>
    <n v="40.184703300756567"/>
    <n v="27"/>
  </r>
  <r>
    <d v="2026-08-17T18:00:00"/>
    <x v="5"/>
    <n v="18"/>
    <n v="24.639834009963892"/>
    <m/>
    <n v="29.242858272484611"/>
    <n v="29.8"/>
    <n v="35.521380385258333"/>
    <m/>
    <n v="40.427707531790027"/>
    <n v="29"/>
  </r>
  <r>
    <d v="2026-08-17T19:00:00"/>
    <x v="5"/>
    <n v="19"/>
    <n v="24.70685968162222"/>
    <m/>
    <n v="29.035255496952772"/>
    <n v="28.6"/>
    <n v="38.358119959424997"/>
    <m/>
    <n v="40.434281193697217"/>
    <n v="34"/>
  </r>
  <r>
    <d v="2026-08-17T20:00:00"/>
    <x v="5"/>
    <n v="20"/>
    <n v="25.58061022034444"/>
    <m/>
    <n v="29.10312011670834"/>
    <n v="26.4"/>
    <n v="39.26647492243611"/>
    <m/>
    <n v="40.786829325427782"/>
    <n v="41"/>
  </r>
  <r>
    <d v="2026-08-17T21:00:00"/>
    <x v="5"/>
    <n v="21"/>
    <n v="25.836400882027771"/>
    <m/>
    <n v="29.119767566349999"/>
    <n v="25.3"/>
    <n v="38.536536150411109"/>
    <m/>
    <n v="41.059910402391672"/>
    <n v="41"/>
  </r>
  <r>
    <d v="2026-08-17T22:00:00"/>
    <x v="5"/>
    <n v="22"/>
    <n v="25.975567749027778"/>
    <m/>
    <n v="29.130293017752781"/>
    <n v="24.5"/>
    <n v="40.512338922555557"/>
    <m/>
    <n v="41.25018109206389"/>
    <n v="40"/>
  </r>
  <r>
    <d v="2026-08-17T23:00:00"/>
    <x v="5"/>
    <n v="23"/>
    <n v="26.215825553775002"/>
    <m/>
    <n v="29.194032179536109"/>
    <n v="23.3"/>
    <n v="39.514254246275001"/>
    <m/>
    <n v="41.371382797119438"/>
    <n v="44"/>
  </r>
  <r>
    <d v="2026-08-18T00:00:00"/>
    <x v="5"/>
    <n v="0"/>
    <n v="26.08976640323333"/>
    <m/>
    <n v="29.22189538596945"/>
    <n v="22.4"/>
    <n v="36.907373028036112"/>
    <m/>
    <n v="41.427113332502778"/>
    <n v="47"/>
  </r>
  <r>
    <d v="2026-08-18T01:00:00"/>
    <x v="5"/>
    <n v="1"/>
    <n v="25.946406773247219"/>
    <m/>
    <n v="29.237418210013889"/>
    <n v="21.8"/>
    <n v="38.64062450024722"/>
    <m/>
    <n v="41.515964441311112"/>
    <n v="48"/>
  </r>
  <r>
    <d v="2026-08-18T02:00:00"/>
    <x v="5"/>
    <n v="2"/>
    <n v="25.626855951997221"/>
    <m/>
    <n v="29.258697329469449"/>
    <n v="21.3"/>
    <n v="39.435272595952767"/>
    <m/>
    <n v="41.635643495744439"/>
    <n v="48"/>
  </r>
  <r>
    <d v="2026-08-18T03:00:00"/>
    <x v="5"/>
    <n v="3"/>
    <n v="25.587866770152768"/>
    <m/>
    <n v="29.23932701908333"/>
    <n v="20.100000000000001"/>
    <n v="38.532794230844438"/>
    <m/>
    <n v="41.630938590402771"/>
    <n v="52"/>
  </r>
  <r>
    <d v="2026-08-18T04:00:00"/>
    <x v="5"/>
    <n v="4"/>
    <n v="25.49877103948889"/>
    <m/>
    <n v="29.210580211724999"/>
    <n v="19.600000000000001"/>
    <n v="37.873869303552773"/>
    <m/>
    <n v="41.558656061547218"/>
    <n v="53"/>
  </r>
  <r>
    <d v="2026-08-18T05:00:00"/>
    <x v="5"/>
    <n v="5"/>
    <n v="25.559502360913889"/>
    <m/>
    <n v="29.19552331066112"/>
    <n v="19.2"/>
    <n v="37.043278442677767"/>
    <m/>
    <n v="41.466335565036111"/>
    <n v="54"/>
  </r>
  <r>
    <d v="2026-08-18T06:00:00"/>
    <x v="5"/>
    <n v="6"/>
    <n v="25.72853718863611"/>
    <m/>
    <n v="29.17702900528333"/>
    <n v="18.899999999999999"/>
    <n v="36.158299701361109"/>
    <m/>
    <n v="41.368114258938888"/>
    <n v="55"/>
  </r>
  <r>
    <d v="2026-08-18T07:00:00"/>
    <x v="5"/>
    <n v="7"/>
    <n v="26.378856201080559"/>
    <m/>
    <n v="29.192728934327778"/>
    <n v="19.899999999999999"/>
    <n v="35.493456781311117"/>
    <m/>
    <n v="41.362861659222233"/>
    <n v="53"/>
  </r>
  <r>
    <d v="2026-08-18T08:00:00"/>
    <x v="5"/>
    <n v="8"/>
    <n v="27.09073645394167"/>
    <m/>
    <n v="29.23375486463889"/>
    <n v="21.8"/>
    <n v="35.602053810302777"/>
    <m/>
    <n v="41.396315033950003"/>
    <n v="47"/>
  </r>
  <r>
    <d v="2026-08-18T09:00:00"/>
    <x v="5"/>
    <n v="9"/>
    <n v="27.660232974838891"/>
    <m/>
    <n v="29.278258933113889"/>
    <n v="24.5"/>
    <n v="36.063926538397233"/>
    <m/>
    <n v="41.488843474986112"/>
    <n v="41"/>
  </r>
  <r>
    <d v="2026-08-18T10:00:00"/>
    <x v="5"/>
    <n v="10"/>
    <n v="27.37784554686111"/>
    <m/>
    <n v="29.33289219983056"/>
    <n v="26.9"/>
    <n v="33.987214096136107"/>
    <m/>
    <n v="41.501073666258343"/>
    <n v="38"/>
  </r>
  <r>
    <d v="2026-08-18T11:00:00"/>
    <x v="5"/>
    <n v="11"/>
    <n v="26.848999975580561"/>
    <m/>
    <n v="29.33414501386666"/>
    <n v="29.1"/>
    <n v="34.369001200074997"/>
    <m/>
    <n v="41.373848661055547"/>
    <n v="34"/>
  </r>
  <r>
    <d v="2026-08-18T12:00:00"/>
    <x v="5"/>
    <n v="12"/>
    <n v="27.014958271391659"/>
    <m/>
    <n v="29.450922986211111"/>
    <n v="30.7"/>
    <n v="34.831421980727782"/>
    <m/>
    <n v="41.347814360530563"/>
    <n v="28"/>
  </r>
  <r>
    <d v="2026-08-18T13:00:00"/>
    <x v="5"/>
    <n v="13"/>
    <n v="26.36"/>
    <m/>
    <n v="29.064629749341659"/>
    <n v="31.2"/>
    <n v="32"/>
    <m/>
    <n v="40.053116235327778"/>
    <n v="25"/>
  </r>
  <r>
    <d v="2026-08-18T14:00:00"/>
    <x v="5"/>
    <n v="14"/>
    <n v="26.36"/>
    <m/>
    <n v="28.735663444008331"/>
    <n v="31.4"/>
    <n v="32"/>
    <m/>
    <n v="40.663067806055558"/>
    <n v="25"/>
  </r>
  <r>
    <d v="2026-08-18T15:00:00"/>
    <x v="5"/>
    <n v="15"/>
    <n v="26.36"/>
    <m/>
    <n v="28.584501437850001"/>
    <n v="32.200000000000003"/>
    <n v="32"/>
    <m/>
    <n v="39.877286172166663"/>
    <n v="23"/>
  </r>
  <r>
    <d v="2026-08-18T16:00:00"/>
    <x v="5"/>
    <n v="16"/>
    <n v="26.36"/>
    <m/>
    <n v="28.861999756349999"/>
    <n v="31.7"/>
    <n v="32"/>
    <m/>
    <n v="39.470941264594451"/>
    <n v="23"/>
  </r>
  <r>
    <d v="2026-08-18T17:00:00"/>
    <x v="5"/>
    <n v="17"/>
    <n v="26.36"/>
    <m/>
    <n v="29.115994737844449"/>
    <n v="31.1"/>
    <n v="32"/>
    <m/>
    <n v="39.487027375152778"/>
    <n v="24"/>
  </r>
  <r>
    <d v="2026-08-18T18:00:00"/>
    <x v="5"/>
    <n v="18"/>
    <n v="26.36"/>
    <m/>
    <n v="29.17639171905833"/>
    <n v="30.1"/>
    <n v="32"/>
    <m/>
    <n v="39.694727914738877"/>
    <n v="26"/>
  </r>
  <r>
    <d v="2026-08-18T19:00:00"/>
    <x v="5"/>
    <n v="19"/>
    <n v="26.36"/>
    <m/>
    <n v="29.178062176558331"/>
    <n v="28.7"/>
    <n v="32"/>
    <m/>
    <n v="39.655863614786107"/>
    <n v="31"/>
  </r>
  <r>
    <d v="2026-08-18T20:00:00"/>
    <x v="5"/>
    <n v="20"/>
    <n v="26.36"/>
    <m/>
    <n v="29.194972552288888"/>
    <n v="27"/>
    <n v="32"/>
    <m/>
    <n v="39.547179002694442"/>
    <n v="33"/>
  </r>
  <r>
    <d v="2026-08-18T21:00:00"/>
    <x v="5"/>
    <n v="21"/>
    <n v="26.36"/>
    <m/>
    <n v="29.08104740316389"/>
    <n v="25.6"/>
    <n v="32"/>
    <m/>
    <n v="40.256862201402782"/>
    <n v="35"/>
  </r>
  <r>
    <d v="2026-08-18T22:00:00"/>
    <x v="5"/>
    <n v="22"/>
    <n v="26.36"/>
    <m/>
    <n v="28.876989592375001"/>
    <n v="24.8"/>
    <n v="32"/>
    <m/>
    <n v="41.578282775191667"/>
    <n v="36"/>
  </r>
  <r>
    <d v="2026-08-18T23:00:00"/>
    <x v="5"/>
    <n v="23"/>
    <n v="26.36"/>
    <m/>
    <n v="29.218671457825"/>
    <n v="24.2"/>
    <n v="32"/>
    <m/>
    <n v="40.889253300777767"/>
    <n v="36"/>
  </r>
  <r>
    <d v="2026-08-19T00:00:00"/>
    <x v="5"/>
    <n v="0"/>
    <n v="26.36"/>
    <m/>
    <n v="29.254689645749998"/>
    <n v="23.4"/>
    <n v="32"/>
    <m/>
    <n v="40.927985145083333"/>
    <n v="38"/>
  </r>
  <r>
    <d v="2026-08-19T01:00:00"/>
    <x v="5"/>
    <n v="1"/>
    <n v="26.36"/>
    <m/>
    <n v="29.296591270438888"/>
    <n v="21.7"/>
    <n v="32"/>
    <m/>
    <n v="41.11338594389445"/>
    <n v="51"/>
  </r>
  <r>
    <d v="2026-08-19T02:00:00"/>
    <x v="5"/>
    <n v="2"/>
    <n v="26.36"/>
    <m/>
    <n v="29.297888858647219"/>
    <n v="20.399999999999999"/>
    <n v="32"/>
    <m/>
    <n v="41.32183139683611"/>
    <n v="64"/>
  </r>
  <r>
    <d v="2026-08-19T03:00:00"/>
    <x v="5"/>
    <n v="3"/>
    <n v="26.36"/>
    <m/>
    <n v="29.296392806669449"/>
    <n v="18.7"/>
    <n v="32"/>
    <m/>
    <n v="41.480155963291672"/>
    <n v="75"/>
  </r>
  <r>
    <d v="2026-08-19T04:00:00"/>
    <x v="5"/>
    <n v="4"/>
    <n v="26.36"/>
    <m/>
    <n v="29.295915294408331"/>
    <n v="18.399999999999999"/>
    <n v="32"/>
    <m/>
    <n v="41.624649604338892"/>
    <n v="80"/>
  </r>
  <r>
    <d v="2026-08-19T05:00:00"/>
    <x v="5"/>
    <n v="5"/>
    <n v="26.36"/>
    <m/>
    <n v="29.291331437366669"/>
    <n v="17.8"/>
    <n v="32"/>
    <m/>
    <n v="41.905659146386107"/>
    <n v="83"/>
  </r>
  <r>
    <d v="2026-08-19T06:00:00"/>
    <x v="5"/>
    <n v="6"/>
    <n v="26.36"/>
    <m/>
    <n v="29.293001359405551"/>
    <n v="17"/>
    <n v="32"/>
    <m/>
    <n v="42.133987105075001"/>
    <n v="82"/>
  </r>
  <r>
    <d v="2026-08-19T07:00:00"/>
    <x v="5"/>
    <n v="7"/>
    <n v="26.36"/>
    <m/>
    <n v="29.31597962458056"/>
    <n v="17.100000000000001"/>
    <n v="32"/>
    <m/>
    <n v="42.185879407313891"/>
    <n v="79"/>
  </r>
  <r>
    <d v="2026-08-19T08:00:00"/>
    <x v="5"/>
    <n v="8"/>
    <n v="26.36"/>
    <m/>
    <n v="29.31332551059722"/>
    <n v="17.8"/>
    <n v="32"/>
    <m/>
    <n v="42.23723805083889"/>
    <n v="74"/>
  </r>
  <r>
    <d v="2026-08-19T09:00:00"/>
    <x v="5"/>
    <n v="9"/>
    <n v="26.36"/>
    <m/>
    <n v="29.296557065152779"/>
    <n v="18.8"/>
    <n v="32"/>
    <m/>
    <n v="42.286005265358327"/>
    <n v="65"/>
  </r>
  <r>
    <d v="2026-08-19T10:00:00"/>
    <x v="5"/>
    <n v="10"/>
    <n v="26.36"/>
    <m/>
    <n v="29.295362958113891"/>
    <n v="20.2"/>
    <n v="32"/>
    <m/>
    <n v="42.304609578744447"/>
    <n v="58"/>
  </r>
  <r>
    <d v="2026-08-19T11:00:00"/>
    <x v="5"/>
    <n v="11"/>
    <n v="26.36"/>
    <m/>
    <n v="29.382707423463891"/>
    <n v="19.5"/>
    <n v="32"/>
    <m/>
    <n v="42.160122706341667"/>
    <n v="59"/>
  </r>
  <r>
    <d v="2026-08-19T12:00:00"/>
    <x v="5"/>
    <n v="12"/>
    <n v="26.36"/>
    <m/>
    <n v="29.373863872008329"/>
    <n v="19.600000000000001"/>
    <n v="32"/>
    <m/>
    <n v="42.261200291672218"/>
    <n v="58"/>
  </r>
  <r>
    <d v="2026-08-19T13:00:00"/>
    <x v="5"/>
    <n v="13"/>
    <n v="26.36"/>
    <m/>
    <n v="29.363796690641671"/>
    <n v="20.9"/>
    <n v="32"/>
    <m/>
    <n v="42.305675915499997"/>
    <n v="51"/>
  </r>
  <r>
    <d v="2026-08-19T14:00:00"/>
    <x v="5"/>
    <n v="14"/>
    <n v="26.36"/>
    <m/>
    <n v="29.388857646277771"/>
    <n v="23.3"/>
    <n v="32"/>
    <m/>
    <n v="42.257219604669437"/>
    <n v="39"/>
  </r>
  <r>
    <d v="2026-08-19T15:00:00"/>
    <x v="5"/>
    <n v="15"/>
    <n v="26.36"/>
    <m/>
    <n v="29.38175472238056"/>
    <n v="23.2"/>
    <n v="32"/>
    <m/>
    <n v="42.211654046769453"/>
    <n v="40"/>
  </r>
  <r>
    <d v="2026-08-19T16:00:00"/>
    <x v="5"/>
    <n v="16"/>
    <n v="26.36"/>
    <m/>
    <n v="29.400394985122219"/>
    <n v="23.6"/>
    <n v="32"/>
    <m/>
    <n v="42.140074994333332"/>
    <n v="37"/>
  </r>
  <r>
    <d v="2026-08-19T17:00:00"/>
    <x v="5"/>
    <n v="17"/>
    <n v="26.36"/>
    <m/>
    <n v="29.415916644980559"/>
    <n v="23.5"/>
    <n v="32"/>
    <m/>
    <n v="42.096303464827777"/>
    <n v="37"/>
  </r>
  <r>
    <d v="2026-08-19T18:00:00"/>
    <x v="5"/>
    <n v="18"/>
    <n v="26.36"/>
    <m/>
    <n v="29.43172360046389"/>
    <n v="23.1"/>
    <n v="32"/>
    <m/>
    <n v="42.062381591036107"/>
    <n v="39"/>
  </r>
  <r>
    <d v="2026-08-19T19:00:00"/>
    <x v="5"/>
    <n v="19"/>
    <n v="26.36"/>
    <m/>
    <n v="29.43491676827778"/>
    <n v="22.3"/>
    <n v="32"/>
    <m/>
    <n v="42.045938672052777"/>
    <n v="42"/>
  </r>
  <r>
    <d v="2026-08-19T20:00:00"/>
    <x v="5"/>
    <n v="20"/>
    <n v="26.36"/>
    <m/>
    <n v="29.436140166194441"/>
    <n v="21.6"/>
    <n v="32"/>
    <m/>
    <n v="41.95070670851667"/>
    <n v="45"/>
  </r>
  <r>
    <d v="2026-08-19T21:00:00"/>
    <x v="5"/>
    <n v="21"/>
    <n v="26.36"/>
    <m/>
    <n v="29.447417587802779"/>
    <n v="20.9"/>
    <n v="32"/>
    <m/>
    <n v="41.917559972699998"/>
    <n v="47"/>
  </r>
  <r>
    <d v="2026-08-19T22:00:00"/>
    <x v="5"/>
    <n v="22"/>
    <n v="26.36"/>
    <m/>
    <n v="29.463889901944441"/>
    <n v="20.100000000000001"/>
    <n v="32"/>
    <m/>
    <n v="41.913912360177783"/>
    <n v="51"/>
  </r>
  <r>
    <d v="2026-08-19T23:00:00"/>
    <x v="5"/>
    <n v="23"/>
    <n v="26.36"/>
    <m/>
    <n v="29.46803116168612"/>
    <n v="18.7"/>
    <n v="32"/>
    <m/>
    <n v="41.875626703975001"/>
    <n v="59"/>
  </r>
  <r>
    <d v="2026-08-20T00:00:00"/>
    <x v="5"/>
    <n v="0"/>
    <n v="26.36"/>
    <m/>
    <n v="29.443405861619439"/>
    <n v="17.8"/>
    <n v="32"/>
    <m/>
    <n v="41.879510053172233"/>
    <n v="64"/>
  </r>
  <r>
    <d v="2026-08-20T01:00:00"/>
    <x v="5"/>
    <n v="1"/>
    <n v="26.36"/>
    <m/>
    <n v="29.381214654830561"/>
    <n v="17.399999999999999"/>
    <n v="32"/>
    <m/>
    <n v="41.938752139374998"/>
    <n v="65"/>
  </r>
  <r>
    <d v="2026-08-20T02:00:00"/>
    <x v="5"/>
    <n v="2"/>
    <n v="26.36"/>
    <m/>
    <n v="29.34018862500556"/>
    <n v="16.899999999999999"/>
    <n v="32"/>
    <m/>
    <n v="41.908380917758343"/>
    <n v="66"/>
  </r>
  <r>
    <d v="2026-08-20T03:00:00"/>
    <x v="5"/>
    <n v="3"/>
    <n v="26.36"/>
    <m/>
    <n v="29.30346751908333"/>
    <n v="15.8"/>
    <n v="32"/>
    <m/>
    <n v="41.866691285655563"/>
    <n v="68"/>
  </r>
  <r>
    <d v="2026-08-20T04:00:00"/>
    <x v="5"/>
    <n v="4"/>
    <n v="26.36"/>
    <m/>
    <n v="29.266964366747221"/>
    <n v="15.2"/>
    <n v="32"/>
    <m/>
    <n v="41.814628088891673"/>
    <n v="70"/>
  </r>
  <r>
    <d v="2026-08-20T05:00:00"/>
    <x v="5"/>
    <n v="5"/>
    <n v="26.36"/>
    <m/>
    <n v="29.23213397496944"/>
    <n v="14.7"/>
    <n v="32"/>
    <m/>
    <n v="41.742186404991671"/>
    <n v="74"/>
  </r>
  <r>
    <d v="2026-08-20T06:00:00"/>
    <x v="5"/>
    <n v="6"/>
    <n v="26.36"/>
    <m/>
    <n v="29.22339321245833"/>
    <n v="14.5"/>
    <n v="32"/>
    <m/>
    <n v="41.662225656527767"/>
    <n v="76"/>
  </r>
  <r>
    <d v="2026-08-20T07:00:00"/>
    <x v="5"/>
    <n v="7"/>
    <n v="26.36"/>
    <m/>
    <n v="29.253726939155559"/>
    <n v="15.7"/>
    <n v="32"/>
    <m/>
    <n v="41.666890801552768"/>
    <n v="71"/>
  </r>
  <r>
    <d v="2026-08-20T08:00:00"/>
    <x v="5"/>
    <n v="8"/>
    <n v="26.36"/>
    <m/>
    <n v="29.31353871106111"/>
    <n v="18.100000000000001"/>
    <n v="32"/>
    <m/>
    <n v="41.734347303455557"/>
    <n v="62"/>
  </r>
  <r>
    <d v="2026-08-20T09:00:00"/>
    <x v="5"/>
    <n v="9"/>
    <n v="26.36"/>
    <m/>
    <n v="29.376728508880561"/>
    <n v="21"/>
    <n v="32"/>
    <m/>
    <n v="41.846570525163891"/>
    <n v="53"/>
  </r>
  <r>
    <d v="2026-08-20T10:00:00"/>
    <x v="5"/>
    <n v="10"/>
    <n v="26.36"/>
    <m/>
    <n v="29.42664671261667"/>
    <n v="23"/>
    <n v="32"/>
    <m/>
    <n v="41.926425096558333"/>
    <n v="45"/>
  </r>
  <r>
    <d v="2026-08-20T11:00:00"/>
    <x v="5"/>
    <n v="11"/>
    <n v="26.36"/>
    <m/>
    <n v="29.456447753438891"/>
    <n v="24.5"/>
    <n v="32"/>
    <m/>
    <n v="41.972953111238887"/>
    <n v="38"/>
  </r>
  <r>
    <d v="2026-08-20T12:00:00"/>
    <x v="5"/>
    <n v="12"/>
    <n v="26.36"/>
    <m/>
    <n v="29.447384836313891"/>
    <n v="25.3"/>
    <n v="32"/>
    <m/>
    <n v="41.937709207794441"/>
    <n v="34"/>
  </r>
  <r>
    <d v="2026-08-20T13:00:00"/>
    <x v="5"/>
    <n v="13"/>
    <n v="26.36"/>
    <m/>
    <n v="29.104405007627779"/>
    <n v="26.2"/>
    <n v="32"/>
    <m/>
    <n v="42.115310810258343"/>
    <n v="31"/>
  </r>
  <r>
    <d v="2026-08-20T14:00:00"/>
    <x v="5"/>
    <n v="14"/>
    <n v="26.36"/>
    <m/>
    <n v="28.999825878113889"/>
    <n v="26.8"/>
    <n v="32"/>
    <m/>
    <n v="41.977191899677777"/>
    <n v="29"/>
  </r>
  <r>
    <d v="2026-08-20T15:00:00"/>
    <x v="5"/>
    <n v="15"/>
    <n v="26.36"/>
    <m/>
    <n v="29.25316669846389"/>
    <n v="28"/>
    <n v="32"/>
    <m/>
    <n v="41.867466305147232"/>
    <n v="27"/>
  </r>
  <r>
    <d v="2026-08-20T16:00:00"/>
    <x v="5"/>
    <n v="16"/>
    <n v="26.36"/>
    <m/>
    <n v="29.287835814480559"/>
    <n v="27.2"/>
    <n v="32"/>
    <m/>
    <n v="41.258479239683332"/>
    <n v="30"/>
  </r>
  <r>
    <d v="2026-08-20T17:00:00"/>
    <x v="5"/>
    <n v="17"/>
    <n v="26.36"/>
    <m/>
    <n v="29.129460235869441"/>
    <n v="27.1"/>
    <n v="32"/>
    <m/>
    <n v="40.749204300936107"/>
    <n v="31"/>
  </r>
  <r>
    <d v="2026-08-20T18:00:00"/>
    <x v="5"/>
    <n v="18"/>
    <n v="26.36"/>
    <m/>
    <n v="29.112169848305559"/>
    <n v="26.8"/>
    <n v="32"/>
    <m/>
    <n v="41.339760585800001"/>
    <n v="33"/>
  </r>
  <r>
    <d v="2026-08-20T19:00:00"/>
    <x v="5"/>
    <n v="19"/>
    <n v="26.36"/>
    <m/>
    <n v="28.954559984808331"/>
    <n v="26.2"/>
    <n v="32"/>
    <m/>
    <n v="41.302027807813893"/>
    <n v="35"/>
  </r>
  <r>
    <d v="2026-08-20T20:00:00"/>
    <x v="5"/>
    <n v="20"/>
    <n v="26.36"/>
    <m/>
    <n v="29.026718171990399"/>
    <n v="24.2"/>
    <n v="32"/>
    <m/>
    <n v="41.40315759510073"/>
    <n v="43"/>
  </r>
  <r>
    <d v="2026-08-20T21:00:00"/>
    <x v="5"/>
    <n v="21"/>
    <n v="26.36"/>
    <m/>
    <n v="29.304465424983331"/>
    <n v="23"/>
    <n v="32"/>
    <m/>
    <n v="41.301560293169437"/>
    <n v="48"/>
  </r>
  <r>
    <d v="2026-08-20T22:00:00"/>
    <x v="5"/>
    <n v="22"/>
    <n v="26.36"/>
    <m/>
    <n v="29.384474066611109"/>
    <n v="22.4"/>
    <n v="32"/>
    <m/>
    <n v="41.198386220766672"/>
    <n v="49"/>
  </r>
  <r>
    <d v="2026-08-20T23:00:00"/>
    <x v="5"/>
    <n v="23"/>
    <n v="26.36"/>
    <m/>
    <n v="29.42069107487222"/>
    <n v="22.1"/>
    <n v="32"/>
    <m/>
    <n v="41.230413719819452"/>
    <n v="50"/>
  </r>
  <r>
    <d v="2026-08-21T00:00:00"/>
    <x v="5"/>
    <n v="0"/>
    <n v="26.36"/>
    <m/>
    <n v="29.45778846990833"/>
    <n v="21.9"/>
    <n v="32"/>
    <m/>
    <n v="41.390169617380558"/>
    <n v="53"/>
  </r>
  <r>
    <d v="2026-08-21T01:00:00"/>
    <x v="5"/>
    <n v="1"/>
    <n v="26.36"/>
    <m/>
    <n v="29.523393518716659"/>
    <n v="21.6"/>
    <n v="32"/>
    <m/>
    <n v="41.434100024094441"/>
    <n v="57"/>
  </r>
  <r>
    <d v="2026-08-21T02:00:00"/>
    <x v="5"/>
    <n v="2"/>
    <n v="26.36"/>
    <m/>
    <n v="29.493125361788891"/>
    <n v="21.6"/>
    <n v="32"/>
    <m/>
    <n v="41.66205294785"/>
    <n v="61"/>
  </r>
  <r>
    <d v="2026-08-21T03:00:00"/>
    <x v="5"/>
    <n v="3"/>
    <n v="26.36"/>
    <m/>
    <n v="29.413691409161121"/>
    <n v="21.1"/>
    <n v="32"/>
    <m/>
    <n v="42.025511412222222"/>
    <n v="65"/>
  </r>
  <r>
    <d v="2026-08-21T04:00:00"/>
    <x v="5"/>
    <n v="4"/>
    <n v="26.36"/>
    <m/>
    <n v="29.40877770511111"/>
    <n v="20.6"/>
    <n v="32"/>
    <m/>
    <n v="42.287651868572219"/>
    <n v="68"/>
  </r>
  <r>
    <d v="2026-08-21T05:00:00"/>
    <x v="5"/>
    <n v="5"/>
    <n v="26.36"/>
    <m/>
    <n v="29.409166737919449"/>
    <n v="20.2"/>
    <n v="32"/>
    <m/>
    <n v="42.456566147269442"/>
    <n v="70"/>
  </r>
  <r>
    <d v="2026-08-21T06:00:00"/>
    <x v="5"/>
    <n v="6"/>
    <n v="26.36"/>
    <m/>
    <n v="29.417334879563889"/>
    <n v="19.899999999999999"/>
    <n v="32"/>
    <m/>
    <n v="42.558241931841657"/>
    <n v="70"/>
  </r>
  <r>
    <d v="2026-08-21T07:00:00"/>
    <x v="5"/>
    <n v="7"/>
    <n v="26.36"/>
    <m/>
    <n v="29.44245048593611"/>
    <n v="20.8"/>
    <n v="32"/>
    <m/>
    <n v="42.59671918048889"/>
    <n v="67"/>
  </r>
  <r>
    <d v="2026-08-21T08:00:00"/>
    <x v="5"/>
    <n v="8"/>
    <n v="26.36"/>
    <m/>
    <n v="29.471504646319449"/>
    <n v="22.1"/>
    <n v="32"/>
    <m/>
    <n v="42.580077525483333"/>
    <n v="62"/>
  </r>
  <r>
    <d v="2026-08-21T09:00:00"/>
    <x v="5"/>
    <n v="9"/>
    <n v="26.36"/>
    <m/>
    <n v="29.531118483530548"/>
    <n v="24.4"/>
    <n v="32"/>
    <m/>
    <n v="42.532026576011113"/>
    <n v="55"/>
  </r>
  <r>
    <d v="2026-08-21T10:00:00"/>
    <x v="5"/>
    <n v="10"/>
    <n v="26.36"/>
    <m/>
    <n v="29.521131103844439"/>
    <n v="26.3"/>
    <n v="32"/>
    <m/>
    <n v="42.508842807011114"/>
    <n v="50"/>
  </r>
  <r>
    <d v="2026-08-21T11:00:00"/>
    <x v="5"/>
    <n v="11"/>
    <n v="26.36"/>
    <m/>
    <n v="29.460075726355559"/>
    <n v="28.1"/>
    <n v="32"/>
    <m/>
    <n v="42.201776434811109"/>
    <n v="46"/>
  </r>
  <r>
    <d v="2026-08-21T12:00:00"/>
    <x v="5"/>
    <n v="12"/>
    <n v="26.36"/>
    <m/>
    <n v="29.43389207520833"/>
    <n v="29.8"/>
    <n v="32"/>
    <m/>
    <n v="41.959362180655553"/>
    <n v="41"/>
  </r>
  <r>
    <d v="2026-08-21T13:00:00"/>
    <x v="5"/>
    <n v="13"/>
    <n v="26.36"/>
    <m/>
    <n v="29.43674388223333"/>
    <n v="31.1"/>
    <n v="32"/>
    <m/>
    <n v="41.953809254641669"/>
    <n v="37"/>
  </r>
  <r>
    <d v="2026-08-21T14:00:00"/>
    <x v="5"/>
    <n v="14"/>
    <n v="26.36"/>
    <m/>
    <n v="29.411276462422219"/>
    <n v="31.8"/>
    <n v="32"/>
    <m/>
    <n v="42.067972635944443"/>
    <n v="35"/>
  </r>
  <r>
    <d v="2026-08-21T15:00:00"/>
    <x v="5"/>
    <n v="15"/>
    <n v="26.36"/>
    <m/>
    <n v="29.333423531425002"/>
    <n v="33"/>
    <n v="32"/>
    <m/>
    <n v="42.233238554708343"/>
    <n v="31"/>
  </r>
  <r>
    <d v="2026-08-21T16:00:00"/>
    <x v="5"/>
    <n v="16"/>
    <n v="26.36"/>
    <m/>
    <n v="28.594210573674999"/>
    <n v="32.6"/>
    <n v="32"/>
    <m/>
    <n v="43.538099026655551"/>
    <n v="31"/>
  </r>
  <r>
    <d v="2026-08-21T17:00:00"/>
    <x v="5"/>
    <n v="17"/>
    <n v="26.36"/>
    <m/>
    <n v="29.20555322660833"/>
    <n v="32.200000000000003"/>
    <n v="32"/>
    <m/>
    <n v="42.813189516741673"/>
    <n v="31"/>
  </r>
  <r>
    <d v="2026-08-21T18:00:00"/>
    <x v="5"/>
    <n v="18"/>
    <n v="26.36"/>
    <m/>
    <n v="29.411953367908328"/>
    <n v="31.4"/>
    <n v="32"/>
    <m/>
    <n v="42.581098811750003"/>
    <n v="32"/>
  </r>
  <r>
    <d v="2026-08-21T19:00:00"/>
    <x v="5"/>
    <n v="19"/>
    <n v="26.36"/>
    <m/>
    <n v="29.42633469963333"/>
    <n v="30"/>
    <n v="32"/>
    <m/>
    <n v="42.391569244216669"/>
    <n v="35"/>
  </r>
  <r>
    <d v="2026-08-21T20:00:00"/>
    <x v="5"/>
    <n v="20"/>
    <n v="26.36"/>
    <m/>
    <n v="29.38617921508612"/>
    <n v="28"/>
    <n v="32"/>
    <m/>
    <n v="42.14807575458611"/>
    <n v="40"/>
  </r>
  <r>
    <d v="2026-08-21T21:00:00"/>
    <x v="5"/>
    <n v="21"/>
    <n v="26.36"/>
    <m/>
    <n v="28.581645935077781"/>
    <n v="26.9"/>
    <n v="32"/>
    <m/>
    <n v="43.611927672850001"/>
    <n v="41"/>
  </r>
  <r>
    <d v="2026-08-21T22:00:00"/>
    <x v="5"/>
    <n v="22"/>
    <n v="26.36"/>
    <m/>
    <n v="28.938663237644441"/>
    <n v="25.8"/>
    <n v="32"/>
    <m/>
    <n v="44.843425219713893"/>
    <n v="43"/>
  </r>
  <r>
    <d v="2026-08-21T23:00:00"/>
    <x v="5"/>
    <n v="23"/>
    <n v="26.36"/>
    <m/>
    <n v="29.22168478928889"/>
    <n v="24.9"/>
    <n v="32"/>
    <m/>
    <n v="42.743971846358328"/>
    <n v="45"/>
  </r>
  <r>
    <d v="2026-08-22T00:00:00"/>
    <x v="5"/>
    <n v="0"/>
    <n v="26.36"/>
    <m/>
    <n v="29.309533602525001"/>
    <n v="24"/>
    <n v="32"/>
    <m/>
    <n v="42.181426623219437"/>
    <n v="46"/>
  </r>
  <r>
    <d v="2026-08-22T01:00:00"/>
    <x v="5"/>
    <n v="1"/>
    <n v="26.36"/>
    <m/>
    <n v="29.339697386274999"/>
    <n v="23.3"/>
    <n v="32"/>
    <m/>
    <n v="42.281193879850001"/>
    <n v="48"/>
  </r>
  <r>
    <d v="2026-08-22T02:00:00"/>
    <x v="5"/>
    <n v="2"/>
    <n v="26.36"/>
    <m/>
    <n v="29.355334866316671"/>
    <n v="22.5"/>
    <n v="32"/>
    <m/>
    <n v="42.447351861611111"/>
    <n v="49"/>
  </r>
  <r>
    <d v="2026-08-22T03:00:00"/>
    <x v="5"/>
    <n v="3"/>
    <n v="26.36"/>
    <m/>
    <n v="29.376251527938891"/>
    <n v="21.4"/>
    <n v="32"/>
    <m/>
    <n v="42.496111171697223"/>
    <n v="52"/>
  </r>
  <r>
    <d v="2026-08-22T04:00:00"/>
    <x v="5"/>
    <n v="4"/>
    <n v="26.36"/>
    <m/>
    <n v="29.37388893970833"/>
    <n v="20.7"/>
    <n v="32"/>
    <m/>
    <n v="42.531424227752773"/>
    <n v="55"/>
  </r>
  <r>
    <d v="2026-08-22T05:00:00"/>
    <x v="5"/>
    <n v="5"/>
    <n v="26.36"/>
    <m/>
    <n v="29.36816663506945"/>
    <n v="20"/>
    <n v="32"/>
    <m/>
    <n v="42.534549613477779"/>
    <n v="57"/>
  </r>
  <r>
    <d v="2026-08-22T06:00:00"/>
    <x v="5"/>
    <n v="6"/>
    <n v="26.36"/>
    <m/>
    <n v="29.377058582919449"/>
    <n v="19.5"/>
    <n v="32"/>
    <m/>
    <n v="42.475683854622233"/>
    <n v="59"/>
  </r>
  <r>
    <d v="2026-08-22T07:00:00"/>
    <x v="5"/>
    <n v="7"/>
    <n v="26.36"/>
    <m/>
    <n v="29.407172876791659"/>
    <n v="20.2"/>
    <n v="32"/>
    <m/>
    <n v="42.450921116516668"/>
    <n v="58"/>
  </r>
  <r>
    <d v="2026-08-22T08:00:00"/>
    <x v="5"/>
    <n v="8"/>
    <n v="26.36"/>
    <m/>
    <n v="29.458064415677779"/>
    <n v="22.2"/>
    <n v="32"/>
    <m/>
    <n v="42.496177244388889"/>
    <n v="52"/>
  </r>
  <r>
    <d v="2026-08-22T09:00:00"/>
    <x v="5"/>
    <n v="9"/>
    <n v="26.36"/>
    <m/>
    <n v="29.536178774894449"/>
    <n v="25"/>
    <n v="32"/>
    <m/>
    <n v="42.565703316419437"/>
    <n v="45"/>
  </r>
  <r>
    <d v="2026-08-22T10:00:00"/>
    <x v="5"/>
    <n v="10"/>
    <n v="26.36"/>
    <m/>
    <n v="29.59987034325556"/>
    <n v="27.7"/>
    <n v="32"/>
    <m/>
    <n v="42.590715080236123"/>
    <n v="39"/>
  </r>
  <r>
    <d v="2026-08-22T11:00:00"/>
    <x v="5"/>
    <n v="11"/>
    <n v="26.36"/>
    <m/>
    <n v="29.64608909587777"/>
    <n v="29.7"/>
    <n v="32"/>
    <m/>
    <n v="42.52105402593611"/>
    <n v="35"/>
  </r>
  <r>
    <d v="2026-08-22T12:00:00"/>
    <x v="5"/>
    <n v="12"/>
    <n v="26.36"/>
    <m/>
    <n v="29.68064358958333"/>
    <n v="30.9"/>
    <n v="32"/>
    <m/>
    <n v="42.572776382877777"/>
    <n v="33"/>
  </r>
  <r>
    <d v="2026-08-22T13:00:00"/>
    <x v="5"/>
    <n v="13"/>
    <n v="26.36"/>
    <m/>
    <n v="29.721194259613888"/>
    <n v="31.7"/>
    <n v="32"/>
    <m/>
    <n v="42.284916526852783"/>
    <n v="30"/>
  </r>
  <r>
    <d v="2026-08-22T14:00:00"/>
    <x v="5"/>
    <n v="14"/>
    <n v="26.36"/>
    <m/>
    <n v="29.651780069105559"/>
    <n v="32.200000000000003"/>
    <n v="32"/>
    <m/>
    <n v="41.748323434844451"/>
    <n v="28"/>
  </r>
  <r>
    <d v="2026-08-22T15:00:00"/>
    <x v="5"/>
    <n v="15"/>
    <n v="26.36"/>
    <m/>
    <n v="29.694738769208332"/>
    <n v="33.5"/>
    <n v="32"/>
    <m/>
    <n v="42.04312597811667"/>
    <n v="27"/>
  </r>
  <r>
    <d v="2026-08-22T16:00:00"/>
    <x v="5"/>
    <n v="16"/>
    <n v="26.36"/>
    <m/>
    <n v="29.812804590524792"/>
    <n v="33.4"/>
    <n v="32"/>
    <m/>
    <n v="41.73013253535715"/>
    <n v="27"/>
  </r>
  <r>
    <d v="2026-08-22T17:00:00"/>
    <x v="5"/>
    <n v="17"/>
    <n v="26.36"/>
    <m/>
    <n v="29.757583423186109"/>
    <n v="33.200000000000003"/>
    <n v="32"/>
    <m/>
    <n v="41.051756132394438"/>
    <n v="26"/>
  </r>
  <r>
    <d v="2026-08-22T18:00:00"/>
    <x v="5"/>
    <n v="18"/>
    <n v="26.36"/>
    <m/>
    <n v="29.819121723991671"/>
    <n v="32.6"/>
    <n v="32"/>
    <m/>
    <n v="40.648418780505558"/>
    <n v="27"/>
  </r>
  <r>
    <d v="2026-08-22T19:00:00"/>
    <x v="5"/>
    <n v="19"/>
    <n v="26.36"/>
    <m/>
    <n v="29.86203596434444"/>
    <n v="31.3"/>
    <n v="32"/>
    <m/>
    <n v="41.073486981522223"/>
    <n v="30"/>
  </r>
  <r>
    <d v="2026-08-22T20:00:00"/>
    <x v="5"/>
    <n v="20"/>
    <n v="26.36"/>
    <m/>
    <n v="29.88828243738611"/>
    <n v="29.5"/>
    <n v="32"/>
    <m/>
    <n v="40.899582168183343"/>
    <n v="35"/>
  </r>
  <r>
    <d v="2026-08-22T21:00:00"/>
    <x v="5"/>
    <n v="21"/>
    <n v="26.36"/>
    <m/>
    <n v="29.90691020525"/>
    <n v="28.3"/>
    <n v="32"/>
    <m/>
    <n v="41.071794797499997"/>
    <n v="35"/>
  </r>
  <r>
    <d v="2026-08-22T22:00:00"/>
    <x v="5"/>
    <n v="22"/>
    <n v="26.36"/>
    <m/>
    <n v="29.63918247709444"/>
    <n v="27.1"/>
    <n v="32"/>
    <m/>
    <n v="41.522515306663891"/>
    <n v="36"/>
  </r>
  <r>
    <d v="2026-08-22T23:00:00"/>
    <x v="5"/>
    <n v="23"/>
    <n v="26.36"/>
    <m/>
    <n v="28.59534212317778"/>
    <n v="25.7"/>
    <n v="32"/>
    <m/>
    <n v="42.190474281158338"/>
    <n v="39"/>
  </r>
  <r>
    <d v="2026-08-23T00:00:00"/>
    <x v="5"/>
    <n v="0"/>
    <n v="26.36"/>
    <m/>
    <n v="29.202516899163889"/>
    <n v="24.6"/>
    <n v="32"/>
    <m/>
    <n v="41.805273068208329"/>
    <n v="41"/>
  </r>
  <r>
    <d v="2026-08-23T01:00:00"/>
    <x v="5"/>
    <n v="1"/>
    <n v="26.36"/>
    <m/>
    <n v="29.570843431191669"/>
    <n v="23.7"/>
    <n v="32"/>
    <m/>
    <n v="41.565532188361111"/>
    <n v="42"/>
  </r>
  <r>
    <d v="2026-08-23T02:00:00"/>
    <x v="5"/>
    <n v="2"/>
    <n v="26.36"/>
    <m/>
    <n v="29.773965951752771"/>
    <n v="23"/>
    <n v="32"/>
    <m/>
    <n v="41.399057972716662"/>
    <n v="42"/>
  </r>
  <r>
    <d v="2026-08-23T03:00:00"/>
    <x v="5"/>
    <n v="3"/>
    <n v="26.36"/>
    <m/>
    <n v="29.867507879744451"/>
    <n v="21.9"/>
    <n v="32"/>
    <m/>
    <n v="41.084431706480551"/>
    <n v="45"/>
  </r>
  <r>
    <d v="2026-08-23T04:00:00"/>
    <x v="5"/>
    <n v="4"/>
    <n v="26.36"/>
    <m/>
    <n v="29.872247151066659"/>
    <n v="21.2"/>
    <n v="32"/>
    <m/>
    <n v="40.789362307905563"/>
    <n v="46"/>
  </r>
  <r>
    <d v="2026-08-23T05:00:00"/>
    <x v="5"/>
    <n v="5"/>
    <n v="26.36"/>
    <m/>
    <n v="29.82465643085278"/>
    <n v="20.5"/>
    <n v="32"/>
    <m/>
    <n v="40.578692006488893"/>
    <n v="49"/>
  </r>
  <r>
    <d v="2026-08-23T06:00:00"/>
    <x v="5"/>
    <n v="6"/>
    <n v="26.36"/>
    <m/>
    <n v="29.768106208469451"/>
    <n v="19.899999999999999"/>
    <n v="32"/>
    <m/>
    <n v="40.526900486836112"/>
    <n v="52"/>
  </r>
  <r>
    <d v="2026-08-23T07:00:00"/>
    <x v="5"/>
    <n v="7"/>
    <n v="26.36"/>
    <m/>
    <n v="29.77078284008056"/>
    <n v="21"/>
    <n v="32"/>
    <m/>
    <n v="40.65838330455"/>
    <n v="49"/>
  </r>
  <r>
    <d v="2026-08-23T08:00:00"/>
    <x v="5"/>
    <n v="8"/>
    <n v="26.36"/>
    <m/>
    <n v="29.812422921913889"/>
    <n v="23.1"/>
    <n v="32"/>
    <m/>
    <n v="40.861838881644452"/>
    <n v="43"/>
  </r>
  <r>
    <d v="2026-08-23T09:00:00"/>
    <x v="5"/>
    <n v="9"/>
    <n v="26.36"/>
    <m/>
    <n v="29.860674848136121"/>
    <n v="25.7"/>
    <n v="32"/>
    <m/>
    <n v="41.048607572441661"/>
    <n v="35"/>
  </r>
  <r>
    <d v="2026-08-23T10:00:00"/>
    <x v="5"/>
    <n v="10"/>
    <n v="26.36"/>
    <m/>
    <n v="29.906561687930552"/>
    <n v="28.3"/>
    <n v="32"/>
    <m/>
    <n v="41.23767731625"/>
    <n v="31"/>
  </r>
  <r>
    <d v="2026-08-23T11:00:00"/>
    <x v="5"/>
    <n v="11"/>
    <n v="26.36"/>
    <m/>
    <n v="29.957118752658332"/>
    <n v="30.3"/>
    <n v="32"/>
    <m/>
    <n v="41.432695609924998"/>
    <n v="28"/>
  </r>
  <r>
    <d v="2026-08-23T12:00:00"/>
    <x v="5"/>
    <n v="12"/>
    <n v="26.36"/>
    <m/>
    <n v="29.869316632230561"/>
    <n v="31.5"/>
    <n v="32"/>
    <m/>
    <n v="41.370859135213891"/>
    <n v="27"/>
  </r>
  <r>
    <d v="2026-08-23T13:00:00"/>
    <x v="5"/>
    <n v="13"/>
    <n v="26.36"/>
    <m/>
    <n v="29.840413188680561"/>
    <n v="32.1"/>
    <n v="32"/>
    <m/>
    <n v="40.949528471613881"/>
    <n v="28"/>
  </r>
  <r>
    <d v="2026-08-23T14:00:00"/>
    <x v="5"/>
    <n v="14"/>
    <n v="26.36"/>
    <m/>
    <n v="29.758766850377778"/>
    <n v="32"/>
    <n v="32"/>
    <m/>
    <n v="40.635962060608328"/>
    <n v="32"/>
  </r>
  <r>
    <d v="2026-08-23T15:00:00"/>
    <x v="5"/>
    <n v="15"/>
    <n v="26.36"/>
    <m/>
    <n v="29.732687838175"/>
    <n v="31.3"/>
    <n v="32"/>
    <m/>
    <n v="40.624270580844438"/>
    <n v="32"/>
  </r>
  <r>
    <d v="2026-08-23T16:00:00"/>
    <x v="5"/>
    <n v="16"/>
    <n v="26.36"/>
    <m/>
    <n v="29.716616097708329"/>
    <n v="30.3"/>
    <n v="32"/>
    <m/>
    <n v="41.122124838744448"/>
    <n v="41"/>
  </r>
  <r>
    <d v="2026-08-23T17:00:00"/>
    <x v="5"/>
    <n v="17"/>
    <n v="26.36"/>
    <m/>
    <n v="29.641859980761112"/>
    <n v="29.3"/>
    <n v="32"/>
    <m/>
    <n v="41.766368506858328"/>
    <n v="41"/>
  </r>
  <r>
    <d v="2026-08-23T18:00:00"/>
    <x v="5"/>
    <n v="18"/>
    <n v="26.36"/>
    <m/>
    <n v="28.17014116256945"/>
    <n v="27"/>
    <n v="32"/>
    <m/>
    <n v="40.553807816863888"/>
    <n v="42"/>
  </r>
  <r>
    <d v="2026-08-23T19:00:00"/>
    <x v="5"/>
    <n v="19"/>
    <n v="26.36"/>
    <m/>
    <n v="27.52678415340278"/>
    <n v="25.3"/>
    <n v="32"/>
    <m/>
    <n v="39.139586228558343"/>
    <n v="43"/>
  </r>
  <r>
    <d v="2026-08-23T20:00:00"/>
    <x v="5"/>
    <n v="20"/>
    <n v="26.36"/>
    <m/>
    <n v="27.59233883549166"/>
    <n v="24.2"/>
    <n v="32"/>
    <m/>
    <n v="40.259327633280563"/>
    <n v="45"/>
  </r>
  <r>
    <d v="2026-08-23T21:00:00"/>
    <x v="5"/>
    <n v="21"/>
    <n v="26.36"/>
    <m/>
    <n v="28.547240254150001"/>
    <n v="23.4"/>
    <n v="32"/>
    <m/>
    <n v="41.037404804572219"/>
    <n v="48"/>
  </r>
  <r>
    <d v="2026-08-23T22:00:00"/>
    <x v="5"/>
    <n v="22"/>
    <n v="26.36"/>
    <m/>
    <n v="28.97534550329722"/>
    <n v="22.7"/>
    <n v="32"/>
    <m/>
    <n v="41.596769588016663"/>
    <n v="50"/>
  </r>
  <r>
    <d v="2026-08-23T23:00:00"/>
    <x v="5"/>
    <n v="23"/>
    <n v="26.36"/>
    <m/>
    <n v="29.216556144999998"/>
    <n v="21.8"/>
    <n v="32"/>
    <m/>
    <n v="41.714154256322232"/>
    <n v="52"/>
  </r>
  <r>
    <d v="2026-08-24T00:00:00"/>
    <x v="5"/>
    <n v="0"/>
    <n v="26.36"/>
    <m/>
    <n v="29.335553928336111"/>
    <n v="21.6"/>
    <n v="32"/>
    <m/>
    <n v="42.073531114308331"/>
    <n v="51"/>
  </r>
  <r>
    <d v="2026-08-24T01:00:00"/>
    <x v="5"/>
    <n v="1"/>
    <n v="26.36"/>
    <m/>
    <n v="29.54852933404166"/>
    <n v="20.9"/>
    <n v="32"/>
    <m/>
    <n v="42.017277312155557"/>
    <n v="51"/>
  </r>
  <r>
    <d v="2026-08-24T02:00:00"/>
    <x v="5"/>
    <n v="2"/>
    <n v="26.36"/>
    <m/>
    <n v="29.695043305083331"/>
    <n v="19.8"/>
    <n v="32"/>
    <m/>
    <n v="41.987270432430563"/>
    <n v="54"/>
  </r>
  <r>
    <d v="2026-08-24T03:00:00"/>
    <x v="5"/>
    <n v="3"/>
    <n v="26.36"/>
    <m/>
    <n v="29.740941729897219"/>
    <n v="18.3"/>
    <n v="32"/>
    <m/>
    <n v="41.916953540380561"/>
    <n v="58"/>
  </r>
  <r>
    <d v="2026-08-24T04:00:00"/>
    <x v="5"/>
    <n v="4"/>
    <n v="26.36"/>
    <m/>
    <n v="29.687129182944449"/>
    <n v="17.600000000000001"/>
    <n v="32"/>
    <m/>
    <n v="41.725073283986113"/>
    <n v="61"/>
  </r>
  <r>
    <d v="2026-08-24T05:00:00"/>
    <x v="5"/>
    <n v="5"/>
    <n v="26.36"/>
    <m/>
    <n v="29.62679520460556"/>
    <n v="16.8"/>
    <n v="32"/>
    <m/>
    <n v="41.536786470744453"/>
    <n v="64"/>
  </r>
  <r>
    <d v="2026-08-24T06:00:00"/>
    <x v="5"/>
    <n v="6"/>
    <n v="26.36"/>
    <m/>
    <n v="29.571384224066659"/>
    <n v="16.100000000000001"/>
    <n v="32"/>
    <m/>
    <n v="41.428509555841671"/>
    <n v="66"/>
  </r>
  <r>
    <d v="2026-08-24T07:00:00"/>
    <x v="5"/>
    <n v="7"/>
    <n v="26.36"/>
    <m/>
    <n v="29.57364458480556"/>
    <n v="16.600000000000001"/>
    <n v="32"/>
    <m/>
    <n v="41.375612998905559"/>
    <n v="64"/>
  </r>
  <r>
    <d v="2026-08-24T08:00:00"/>
    <x v="5"/>
    <n v="8"/>
    <n v="26.36"/>
    <m/>
    <n v="29.62561580757222"/>
    <n v="18"/>
    <n v="32"/>
    <m/>
    <n v="41.373690614925003"/>
    <n v="58"/>
  </r>
  <r>
    <d v="2026-08-24T09:00:00"/>
    <x v="5"/>
    <n v="9"/>
    <n v="26.36"/>
    <m/>
    <n v="29.67445991371666"/>
    <n v="20.2"/>
    <n v="32"/>
    <m/>
    <n v="41.425791241452778"/>
    <n v="50"/>
  </r>
  <r>
    <d v="2026-08-24T10:00:00"/>
    <x v="5"/>
    <n v="10"/>
    <n v="26.36"/>
    <m/>
    <n v="29.778545997102778"/>
    <n v="21.8"/>
    <n v="32"/>
    <m/>
    <n v="41.429686254433342"/>
    <n v="42"/>
  </r>
  <r>
    <d v="2026-08-24T11:00:00"/>
    <x v="5"/>
    <n v="11"/>
    <n v="26.36"/>
    <m/>
    <n v="29.839610580269451"/>
    <n v="22.9"/>
    <n v="32"/>
    <m/>
    <n v="41.446902949938888"/>
    <n v="36"/>
  </r>
  <r>
    <d v="2026-08-24T12:00:00"/>
    <x v="5"/>
    <n v="12"/>
    <n v="26.36"/>
    <m/>
    <n v="29.827664604538889"/>
    <n v="23.7"/>
    <n v="32"/>
    <m/>
    <n v="41.507021549158331"/>
    <n v="32"/>
  </r>
  <r>
    <d v="2026-08-24T13:00:00"/>
    <x v="5"/>
    <n v="13"/>
    <n v="26.78646081611944"/>
    <m/>
    <n v="29.84742313726667"/>
    <n v="24.3"/>
    <n v="30.156889630322219"/>
    <m/>
    <n v="41.293846808088887"/>
    <n v="31"/>
  </r>
  <r>
    <d v="2026-08-24T14:00:00"/>
    <x v="5"/>
    <n v="14"/>
    <n v="27.013558937211108"/>
    <m/>
    <n v="29.842026782963892"/>
    <n v="24.7"/>
    <n v="28.016260995319449"/>
    <m/>
    <n v="41.069630088280562"/>
    <n v="31"/>
  </r>
  <r>
    <d v="2026-08-24T15:00:00"/>
    <x v="5"/>
    <n v="15"/>
    <n v="26.87625015111389"/>
    <m/>
    <n v="29.81916204385556"/>
    <n v="25.4"/>
    <n v="27.95892094618889"/>
    <m/>
    <n v="40.807964862461112"/>
    <n v="30"/>
  </r>
  <r>
    <d v="2026-08-24T16:00:00"/>
    <x v="5"/>
    <n v="16"/>
    <n v="26.808583691497219"/>
    <m/>
    <n v="29.802996979308329"/>
    <n v="25.1"/>
    <n v="28.555785618725"/>
    <m/>
    <n v="40.690764169216664"/>
    <n v="31"/>
  </r>
  <r>
    <d v="2026-08-24T17:00:00"/>
    <x v="5"/>
    <n v="17"/>
    <n v="26.728943522966659"/>
    <m/>
    <n v="29.636014178094442"/>
    <n v="24.8"/>
    <n v="29.10007225124167"/>
    <m/>
    <n v="39.359215533925003"/>
    <n v="31"/>
  </r>
  <r>
    <d v="2026-08-24T18:00:00"/>
    <x v="5"/>
    <n v="18"/>
    <n v="26.675802950947219"/>
    <m/>
    <n v="28.954583822647219"/>
    <n v="24.2"/>
    <n v="29.755222109333332"/>
    <m/>
    <n v="37.21279724411945"/>
    <n v="31"/>
  </r>
  <r>
    <d v="2026-08-24T19:00:00"/>
    <x v="5"/>
    <n v="19"/>
    <n v="26.33354510208056"/>
    <m/>
    <n v="29.13299946558611"/>
    <n v="23.3"/>
    <n v="30.293990567380561"/>
    <m/>
    <n v="38.164575607813887"/>
    <n v="32"/>
  </r>
  <r>
    <d v="2026-08-24T20:00:00"/>
    <x v="5"/>
    <n v="20"/>
    <n v="25.80964802113056"/>
    <m/>
    <n v="29.404873855644439"/>
    <n v="22"/>
    <n v="31.595496439649999"/>
    <m/>
    <n v="38.89857283389167"/>
    <n v="37"/>
  </r>
  <r>
    <d v="2026-08-24T21:00:00"/>
    <x v="5"/>
    <n v="21"/>
    <n v="25.301201982780551"/>
    <m/>
    <n v="29.520570676702778"/>
    <n v="20.5"/>
    <n v="32.280451305213887"/>
    <m/>
    <n v="38.824007108147221"/>
    <n v="41"/>
  </r>
  <r>
    <d v="2026-08-24T22:00:00"/>
    <x v="5"/>
    <n v="22"/>
    <n v="24.918628958900001"/>
    <m/>
    <n v="29.393746909102781"/>
    <n v="19.399999999999999"/>
    <n v="33.097203263927767"/>
    <m/>
    <n v="38.319628523547223"/>
    <n v="45"/>
  </r>
  <r>
    <d v="2026-08-24T23:00:00"/>
    <x v="5"/>
    <n v="23"/>
    <n v="24.797117875805551"/>
    <m/>
    <n v="29.497857831552778"/>
    <n v="18.5"/>
    <n v="33.64297115563334"/>
    <m/>
    <n v="38.621157652874999"/>
    <n v="49"/>
  </r>
  <r>
    <d v="2026-08-25T00:00:00"/>
    <x v="5"/>
    <n v="0"/>
    <n v="24.894161980041659"/>
    <m/>
    <n v="29.580341831780551"/>
    <n v="17.7"/>
    <n v="32.828563744530562"/>
    <m/>
    <n v="38.898290296097223"/>
    <n v="52"/>
  </r>
  <r>
    <d v="2026-08-25T01:00:00"/>
    <x v="5"/>
    <n v="1"/>
    <n v="24.444974233911111"/>
    <m/>
    <n v="29.58290876775278"/>
    <n v="17"/>
    <n v="34.021465323594448"/>
    <m/>
    <n v="38.977918857452778"/>
    <n v="56"/>
  </r>
  <r>
    <d v="2026-08-25T02:00:00"/>
    <x v="5"/>
    <n v="2"/>
    <n v="23.87131624978889"/>
    <m/>
    <n v="29.546606495927779"/>
    <n v="16.2"/>
    <n v="35.734455146016657"/>
    <m/>
    <n v="38.921486753152777"/>
    <n v="60"/>
  </r>
  <r>
    <d v="2026-08-25T03:00:00"/>
    <x v="5"/>
    <n v="3"/>
    <n v="23.27177231401112"/>
    <m/>
    <n v="29.485628235388891"/>
    <n v="15.3"/>
    <n v="36.733916093402783"/>
    <m/>
    <n v="38.864111157019437"/>
    <n v="62"/>
  </r>
  <r>
    <d v="2026-08-25T04:00:00"/>
    <x v="5"/>
    <n v="4"/>
    <n v="22.94716730824166"/>
    <m/>
    <n v="29.441854975983329"/>
    <n v="14.4"/>
    <n v="36.898485580402777"/>
    <m/>
    <n v="38.716009500177783"/>
    <n v="66"/>
  </r>
  <r>
    <d v="2026-08-25T05:00:00"/>
    <x v="5"/>
    <n v="5"/>
    <n v="23.04292193664444"/>
    <m/>
    <n v="29.410886065280561"/>
    <n v="14"/>
    <n v="36.246512514436112"/>
    <m/>
    <n v="38.611816020627778"/>
    <n v="67"/>
  </r>
  <r>
    <d v="2026-08-25T06:00:00"/>
    <x v="5"/>
    <n v="6"/>
    <n v="23.51265984868612"/>
    <m/>
    <n v="29.395944647808331"/>
    <n v="13.6"/>
    <n v="34.899566438358328"/>
    <m/>
    <n v="38.529519820538887"/>
    <n v="68"/>
  </r>
  <r>
    <d v="2026-08-25T07:00:00"/>
    <x v="5"/>
    <n v="7"/>
    <n v="24.70575936199722"/>
    <m/>
    <n v="29.427175593094439"/>
    <n v="14.6"/>
    <n v="31.649179549827771"/>
    <m/>
    <n v="38.671964677369438"/>
    <n v="63"/>
  </r>
  <r>
    <d v="2026-08-25T08:00:00"/>
    <x v="5"/>
    <n v="8"/>
    <n v="25.796070825074999"/>
    <m/>
    <n v="29.48989801051389"/>
    <n v="16.600000000000001"/>
    <n v="29.467851068047221"/>
    <m/>
    <n v="38.77992451515"/>
    <n v="55"/>
  </r>
  <r>
    <d v="2026-08-25T09:00:00"/>
    <x v="5"/>
    <n v="9"/>
    <n v="26.66877486432778"/>
    <m/>
    <n v="29.56301216549722"/>
    <n v="19.399999999999999"/>
    <n v="28.548983851713889"/>
    <m/>
    <n v="38.901052405400002"/>
    <n v="46"/>
  </r>
  <r>
    <d v="2026-08-25T10:00:00"/>
    <x v="5"/>
    <n v="10"/>
    <n v="27.015809121041659"/>
    <m/>
    <n v="29.634866741705551"/>
    <n v="21.6"/>
    <n v="27.430042009188881"/>
    <m/>
    <n v="39.077031970086111"/>
    <n v="36"/>
  </r>
  <r>
    <d v="2026-08-25T11:00:00"/>
    <x v="5"/>
    <n v="11"/>
    <n v="27.189474037797229"/>
    <m/>
    <n v="29.676257892075"/>
    <n v="22.7"/>
    <n v="26.979830736947221"/>
    <m/>
    <n v="39.254799323797222"/>
    <n v="32"/>
  </r>
  <r>
    <d v="2026-08-25T12:00:00"/>
    <x v="5"/>
    <n v="12"/>
    <n v="27.16631538613056"/>
    <m/>
    <n v="29.703558531275"/>
    <n v="24"/>
    <n v="26.174427165733331"/>
    <m/>
    <n v="39.338802867166663"/>
    <n v="28"/>
  </r>
  <r>
    <d v="2026-08-25T13:00:00"/>
    <x v="5"/>
    <n v="13"/>
    <n v="26.903738954313891"/>
    <m/>
    <n v="29.70646898838611"/>
    <n v="24.1"/>
    <n v="26.103508246158331"/>
    <m/>
    <n v="39.26078248249722"/>
    <n v="28"/>
  </r>
  <r>
    <d v="2026-08-25T14:00:00"/>
    <x v="5"/>
    <n v="14"/>
    <n v="26.768976355863892"/>
    <m/>
    <n v="29.697415394327781"/>
    <n v="24.2"/>
    <n v="26.649619334130549"/>
    <m/>
    <n v="39.124466353413887"/>
    <n v="27"/>
  </r>
  <r>
    <d v="2026-08-25T15:00:00"/>
    <x v="5"/>
    <n v="15"/>
    <n v="26.759077269363889"/>
    <m/>
    <n v="29.689914998436109"/>
    <n v="25.4"/>
    <n v="26.921082728013889"/>
    <m/>
    <n v="38.927870928777779"/>
    <n v="25"/>
  </r>
  <r>
    <d v="2026-08-25T16:00:00"/>
    <x v="5"/>
    <n v="16"/>
    <n v="26.764547582161111"/>
    <m/>
    <n v="29.685168296227779"/>
    <n v="25.1"/>
    <n v="28.25209140403334"/>
    <m/>
    <n v="38.827284030344451"/>
    <n v="25"/>
  </r>
  <r>
    <d v="2026-08-25T17:00:00"/>
    <x v="5"/>
    <n v="17"/>
    <n v="26.760858861563889"/>
    <m/>
    <n v="29.678554733536121"/>
    <n v="25"/>
    <n v="28.22549323133056"/>
    <m/>
    <n v="39.234204344802777"/>
    <n v="25"/>
  </r>
  <r>
    <d v="2026-08-25T18:00:00"/>
    <x v="5"/>
    <n v="18"/>
    <n v="26.66757809569167"/>
    <m/>
    <n v="29.686836088677779"/>
    <n v="24.6"/>
    <n v="28.658944073336109"/>
    <m/>
    <n v="39.489712799350002"/>
    <n v="26"/>
  </r>
  <r>
    <d v="2026-08-25T19:00:00"/>
    <x v="5"/>
    <n v="19"/>
    <n v="26.37191939921945"/>
    <m/>
    <n v="29.703110911513889"/>
    <n v="23.8"/>
    <n v="30.788331192983328"/>
    <m/>
    <n v="39.615568758444446"/>
    <n v="29"/>
  </r>
  <r>
    <d v="2026-08-25T20:00:00"/>
    <x v="5"/>
    <n v="20"/>
    <n v="25.907018872355561"/>
    <m/>
    <n v="29.701970951549999"/>
    <n v="22.2"/>
    <n v="31.174552846797219"/>
    <m/>
    <n v="39.622657447602784"/>
    <n v="35"/>
  </r>
  <r>
    <d v="2026-08-25T21:00:00"/>
    <x v="5"/>
    <n v="21"/>
    <n v="25.530325784566671"/>
    <m/>
    <n v="29.684998743405561"/>
    <n v="20.6"/>
    <n v="31.564040053577781"/>
    <m/>
    <n v="39.465865208277783"/>
    <n v="39"/>
  </r>
  <r>
    <d v="2026-08-25T22:00:00"/>
    <x v="5"/>
    <n v="22"/>
    <n v="25.426729399675001"/>
    <m/>
    <n v="29.690890416647221"/>
    <n v="20.3"/>
    <n v="31.719156458775"/>
    <m/>
    <n v="39.36730552546944"/>
    <n v="39"/>
  </r>
  <r>
    <d v="2026-08-25T23:00:00"/>
    <x v="5"/>
    <n v="23"/>
    <n v="25.414804721880561"/>
    <m/>
    <n v="29.700055119375001"/>
    <n v="19.899999999999999"/>
    <n v="32.608382159008329"/>
    <m/>
    <n v="39.275056389758333"/>
    <n v="40"/>
  </r>
  <r>
    <d v="2026-08-26T00:00:00"/>
    <x v="5"/>
    <n v="0"/>
    <n v="25.139086596024999"/>
    <m/>
    <n v="29.70260925644444"/>
    <n v="18.600000000000001"/>
    <n v="32.326391250783331"/>
    <m/>
    <n v="39.207284022849997"/>
    <n v="44"/>
  </r>
  <r>
    <d v="2026-08-26T01:00:00"/>
    <x v="5"/>
    <n v="1"/>
    <n v="24.620480111833331"/>
    <m/>
    <n v="29.66335370118334"/>
    <n v="17.2"/>
    <n v="32.848547317891658"/>
    <m/>
    <n v="39.063069144883343"/>
    <n v="50"/>
  </r>
  <r>
    <d v="2026-08-26T02:00:00"/>
    <x v="5"/>
    <n v="2"/>
    <n v="24.279748121938891"/>
    <m/>
    <n v="29.622853593488891"/>
    <n v="16.5"/>
    <n v="32.850048857294453"/>
    <m/>
    <n v="38.91401371554722"/>
    <n v="54"/>
  </r>
  <r>
    <d v="2026-08-26T03:00:00"/>
    <x v="5"/>
    <n v="3"/>
    <n v="23.99857595598333"/>
    <m/>
    <n v="29.558046467002779"/>
    <n v="15.5"/>
    <n v="32.771043785938893"/>
    <m/>
    <n v="38.49799623991111"/>
    <n v="58"/>
  </r>
  <r>
    <d v="2026-08-26T04:00:00"/>
    <x v="5"/>
    <n v="4"/>
    <n v="23.903644489697221"/>
    <m/>
    <n v="29.50179803913333"/>
    <n v="15.4"/>
    <n v="34.401037914683343"/>
    <m/>
    <n v="38.256142056816657"/>
    <n v="58"/>
  </r>
  <r>
    <d v="2026-08-26T05:00:00"/>
    <x v="5"/>
    <n v="5"/>
    <n v="23.712980433036108"/>
    <m/>
    <n v="29.465996645886111"/>
    <n v="15.8"/>
    <n v="40.061245080036109"/>
    <m/>
    <n v="38.792904867258343"/>
    <n v="57"/>
  </r>
  <r>
    <d v="2026-08-26T06:00:00"/>
    <x v="5"/>
    <n v="6"/>
    <n v="23.48304270661944"/>
    <m/>
    <n v="29.46027509055833"/>
    <n v="15.9"/>
    <n v="41.452787231166667"/>
    <m/>
    <n v="39.291641628847223"/>
    <n v="57"/>
  </r>
  <r>
    <d v="2026-08-26T07:00:00"/>
    <x v="5"/>
    <n v="7"/>
    <n v="23.425126013458328"/>
    <m/>
    <n v="29.449055630808331"/>
    <n v="16.600000000000001"/>
    <n v="41.131803122975001"/>
    <m/>
    <n v="39.50322091272222"/>
    <n v="54"/>
  </r>
  <r>
    <d v="2026-08-26T08:00:00"/>
    <x v="5"/>
    <n v="8"/>
    <n v="23.359133856422229"/>
    <m/>
    <n v="29.447554003311112"/>
    <n v="16.7"/>
    <n v="39.304626691694438"/>
    <m/>
    <n v="39.64960983872222"/>
    <n v="54"/>
  </r>
  <r>
    <d v="2026-08-26T09:00:00"/>
    <x v="5"/>
    <n v="9"/>
    <n v="23.799707709469441"/>
    <m/>
    <n v="29.437859506666669"/>
    <n v="17.100000000000001"/>
    <n v="38.366079273983331"/>
    <m/>
    <n v="39.633513263511112"/>
    <n v="55"/>
  </r>
  <r>
    <d v="2026-08-26T10:00:00"/>
    <x v="5"/>
    <n v="10"/>
    <n v="24.287278479952771"/>
    <m/>
    <n v="29.40546708278611"/>
    <n v="20.7"/>
    <n v="37.231345630980563"/>
    <m/>
    <n v="39.536077921897217"/>
    <n v="42"/>
  </r>
  <r>
    <d v="2026-08-26T11:00:00"/>
    <x v="5"/>
    <n v="11"/>
    <n v="25.01356574706389"/>
    <m/>
    <n v="29.41239061078889"/>
    <n v="22.5"/>
    <n v="33.731410010211107"/>
    <m/>
    <n v="39.188913096924999"/>
    <n v="37"/>
  </r>
  <r>
    <d v="2026-08-26T12:00:00"/>
    <x v="5"/>
    <n v="12"/>
    <n v="25.478857003741659"/>
    <m/>
    <n v="29.410753427900001"/>
    <n v="23.6"/>
    <n v="31.367426543724999"/>
    <m/>
    <n v="38.765323807338888"/>
    <n v="34"/>
  </r>
  <r>
    <d v="2026-08-26T13:00:00"/>
    <x v="5"/>
    <n v="13"/>
    <n v="25.92324116331389"/>
    <m/>
    <n v="29.453869120549999"/>
    <n v="24.2"/>
    <n v="31.686562597605551"/>
    <m/>
    <n v="39.022949515569437"/>
    <n v="33"/>
  </r>
  <r>
    <d v="2026-08-26T14:00:00"/>
    <x v="5"/>
    <n v="14"/>
    <n v="26.182591484694441"/>
    <m/>
    <n v="29.509896482205558"/>
    <n v="24"/>
    <n v="31.544267594233329"/>
    <m/>
    <n v="39.122236786311113"/>
    <n v="34"/>
  </r>
  <r>
    <d v="2026-08-26T15:00:00"/>
    <x v="5"/>
    <n v="15"/>
    <n v="26.242297375822229"/>
    <m/>
    <n v="29.373933628736111"/>
    <n v="24.7"/>
    <n v="31.66187011400833"/>
    <m/>
    <n v="38.436519088658343"/>
    <n v="31"/>
  </r>
  <r>
    <d v="2026-08-26T16:00:00"/>
    <x v="5"/>
    <n v="16"/>
    <n v="26.254044244697219"/>
    <m/>
    <n v="29.485233149908339"/>
    <n v="23.8"/>
    <n v="32.976437562330553"/>
    <m/>
    <n v="38.948349524769441"/>
    <n v="36"/>
  </r>
  <r>
    <d v="2026-08-26T17:00:00"/>
    <x v="5"/>
    <n v="17"/>
    <n v="26.038627184508329"/>
    <m/>
    <n v="29.605935030322211"/>
    <n v="22.9"/>
    <n v="34.077091396358327"/>
    <m/>
    <n v="39.111552164183337"/>
    <n v="40"/>
  </r>
  <r>
    <d v="2026-08-26T18:00:00"/>
    <x v="5"/>
    <n v="18"/>
    <n v="25.859339256675"/>
    <m/>
    <n v="29.525096822127779"/>
    <n v="21.9"/>
    <n v="36.352613483855563"/>
    <m/>
    <n v="39.801099324583333"/>
    <n v="44"/>
  </r>
  <r>
    <d v="2026-08-26T19:00:00"/>
    <x v="5"/>
    <n v="19"/>
    <n v="25.522187490136119"/>
    <m/>
    <n v="29.539409793766669"/>
    <n v="21.6"/>
    <n v="38.081988009372232"/>
    <m/>
    <n v="40.346439890647233"/>
    <n v="45"/>
  </r>
  <r>
    <d v="2026-08-26T20:00:00"/>
    <x v="5"/>
    <n v="20"/>
    <n v="25.479429407708331"/>
    <m/>
    <n v="29.67161955726111"/>
    <n v="21"/>
    <n v="37.325917057727771"/>
    <m/>
    <n v="40.410532657980553"/>
    <n v="51"/>
  </r>
  <r>
    <d v="2026-08-26T21:00:00"/>
    <x v="5"/>
    <n v="21"/>
    <n v="25.437264016111111"/>
    <m/>
    <n v="29.697107014080551"/>
    <n v="20.100000000000001"/>
    <n v="35.587942782936111"/>
    <m/>
    <n v="40.00226207525278"/>
    <n v="56"/>
  </r>
  <r>
    <d v="2026-08-26T22:00:00"/>
    <x v="5"/>
    <n v="22"/>
    <n v="25.605680958627779"/>
    <m/>
    <n v="29.690276166883329"/>
    <n v="19.600000000000001"/>
    <n v="34.414461614288889"/>
    <m/>
    <n v="39.933574277633333"/>
    <n v="62"/>
  </r>
  <r>
    <d v="2026-08-26T23:00:00"/>
    <x v="5"/>
    <n v="23"/>
    <n v="25.538970621097221"/>
    <m/>
    <n v="29.680662700683332"/>
    <n v="19.100000000000001"/>
    <n v="34.538144511288877"/>
    <m/>
    <n v="39.847422593536109"/>
    <n v="63"/>
  </r>
  <r>
    <d v="2026-08-27T00:00:00"/>
    <x v="5"/>
    <n v="0"/>
    <n v="24.79005008805834"/>
    <m/>
    <n v="29.606540095425"/>
    <n v="19.2"/>
    <n v="36.036777827861108"/>
    <m/>
    <n v="39.534979685258328"/>
    <n v="56"/>
  </r>
  <r>
    <d v="2026-08-27T01:00:00"/>
    <x v="5"/>
    <n v="1"/>
    <n v="24.311611677363889"/>
    <m/>
    <n v="29.565498440658331"/>
    <n v="18.5"/>
    <n v="40.692954167811109"/>
    <m/>
    <n v="39.735245161980551"/>
    <n v="55"/>
  </r>
  <r>
    <d v="2026-08-27T02:00:00"/>
    <x v="5"/>
    <n v="2"/>
    <n v="23.948123701825001"/>
    <m/>
    <n v="29.17239332022778"/>
    <n v="18.100000000000001"/>
    <n v="47.032411599180563"/>
    <m/>
    <n v="42.303702298383342"/>
    <n v="57"/>
  </r>
  <r>
    <d v="2026-08-27T03:00:00"/>
    <x v="5"/>
    <n v="3"/>
    <n v="23.661096544205549"/>
    <m/>
    <n v="28.408477247874998"/>
    <n v="16.399999999999999"/>
    <n v="48.281999741024997"/>
    <m/>
    <n v="45.415014186874998"/>
    <n v="72"/>
  </r>
  <r>
    <d v="2026-08-27T04:00:00"/>
    <x v="5"/>
    <n v="4"/>
    <n v="23.40210363712778"/>
    <m/>
    <n v="28.917916906350001"/>
    <n v="16"/>
    <n v="46.960901709680549"/>
    <m/>
    <n v="43.289776575988888"/>
    <n v="75"/>
  </r>
  <r>
    <d v="2026-08-27T05:00:00"/>
    <x v="5"/>
    <n v="5"/>
    <n v="23.39810891786945"/>
    <m/>
    <n v="29.082641156125"/>
    <n v="15.8"/>
    <n v="45.679075624166671"/>
    <m/>
    <n v="42.512046156797233"/>
    <n v="76"/>
  </r>
  <r>
    <d v="2026-08-27T06:00:00"/>
    <x v="5"/>
    <n v="6"/>
    <n v="23.293737455847221"/>
    <m/>
    <n v="29.133264416566661"/>
    <n v="15.8"/>
    <n v="46.140651591050002"/>
    <m/>
    <n v="42.230691572741669"/>
    <n v="74"/>
  </r>
  <r>
    <d v="2026-08-27T07:00:00"/>
    <x v="5"/>
    <n v="7"/>
    <n v="23.183116049483331"/>
    <m/>
    <n v="29.183890913266669"/>
    <n v="16"/>
    <n v="47.517018000741672"/>
    <m/>
    <n v="42.173852561647223"/>
    <n v="70"/>
  </r>
  <r>
    <d v="2026-08-27T08:00:00"/>
    <x v="5"/>
    <n v="8"/>
    <n v="23.49697915231112"/>
    <m/>
    <n v="29.18116404674722"/>
    <n v="16.899999999999999"/>
    <n v="46.367563589427768"/>
    <m/>
    <n v="42.256957196716662"/>
    <n v="65"/>
  </r>
  <r>
    <d v="2026-08-27T09:00:00"/>
    <x v="5"/>
    <n v="9"/>
    <n v="23.884284027947221"/>
    <m/>
    <n v="29.125242160763889"/>
    <n v="17.8"/>
    <n v="44.239796650008337"/>
    <m/>
    <n v="42.241438122319437"/>
    <n v="65"/>
  </r>
  <r>
    <d v="2026-08-27T10:00:00"/>
    <x v="5"/>
    <n v="10"/>
    <n v="24.176134274824999"/>
    <m/>
    <n v="29.115918077744439"/>
    <n v="19.2"/>
    <n v="41.839754705027779"/>
    <m/>
    <n v="42.035749038288891"/>
    <n v="61"/>
  </r>
  <r>
    <d v="2026-08-27T11:00:00"/>
    <x v="5"/>
    <n v="11"/>
    <n v="24.327394720019441"/>
    <m/>
    <n v="29.122915157477781"/>
    <n v="20.7"/>
    <n v="40.558688647122217"/>
    <m/>
    <n v="41.68566395206944"/>
    <n v="55"/>
  </r>
  <r>
    <d v="2026-08-27T12:00:00"/>
    <x v="5"/>
    <n v="12"/>
    <n v="23.639588273638889"/>
    <m/>
    <n v="29.023426454263891"/>
    <n v="21.7"/>
    <n v="41.031806180805553"/>
    <m/>
    <n v="41.10219576438611"/>
    <n v="49"/>
  </r>
  <r>
    <d v="2026-08-27T13:00:00"/>
    <x v="5"/>
    <n v="13"/>
    <n v="23.156770240933341"/>
    <m/>
    <n v="28.995112879963891"/>
    <n v="22.2"/>
    <n v="44.547474441791671"/>
    <m/>
    <n v="41.454427755099999"/>
    <n v="46"/>
  </r>
  <r>
    <d v="2026-08-27T14:00:00"/>
    <x v="5"/>
    <n v="14"/>
    <n v="23.209664724161112"/>
    <m/>
    <n v="29.018671110458339"/>
    <n v="22.3"/>
    <n v="45.70320079541667"/>
    <m/>
    <n v="41.749442575613891"/>
    <n v="45"/>
  </r>
  <r>
    <d v="2026-08-27T15:00:00"/>
    <x v="5"/>
    <n v="15"/>
    <n v="23.07228636814445"/>
    <m/>
    <n v="29.040640145958331"/>
    <n v="20.2"/>
    <n v="46.683447542925002"/>
    <m/>
    <n v="42.04900421"/>
    <n v="55"/>
  </r>
  <r>
    <d v="2026-08-27T16:00:00"/>
    <x v="5"/>
    <n v="16"/>
    <n v="23.163732802688891"/>
    <m/>
    <n v="29.011165222852771"/>
    <n v="19.600000000000001"/>
    <n v="46.013116638966657"/>
    <m/>
    <n v="42.210667735394438"/>
    <n v="60"/>
  </r>
  <r>
    <d v="2026-08-27T17:00:00"/>
    <x v="5"/>
    <n v="17"/>
    <n v="23.451662992605559"/>
    <m/>
    <n v="29.030529831794439"/>
    <n v="19.600000000000001"/>
    <n v="44.885243323880552"/>
    <m/>
    <n v="42.160152307211114"/>
    <n v="63"/>
  </r>
  <r>
    <d v="2026-08-27T18:00:00"/>
    <x v="5"/>
    <n v="18"/>
    <n v="23.36308083119722"/>
    <m/>
    <n v="29.043979301958331"/>
    <n v="19.399999999999999"/>
    <n v="44.741618082005552"/>
    <m/>
    <n v="42.020342284050002"/>
    <n v="64"/>
  </r>
  <r>
    <d v="2026-08-27T19:00:00"/>
    <x v="5"/>
    <n v="19"/>
    <n v="22.888380996247221"/>
    <m/>
    <n v="29.095975333441672"/>
    <n v="19"/>
    <n v="46.846222437058337"/>
    <m/>
    <n v="42.10379756735"/>
    <n v="66"/>
  </r>
  <r>
    <d v="2026-08-27T20:00:00"/>
    <x v="5"/>
    <n v="20"/>
    <n v="23.13232220035556"/>
    <m/>
    <n v="29.13717952730833"/>
    <n v="18.5"/>
    <n v="46.268598375755573"/>
    <m/>
    <n v="42.032152630016661"/>
    <n v="68"/>
  </r>
  <r>
    <d v="2026-08-27T21:00:00"/>
    <x v="5"/>
    <n v="21"/>
    <n v="23.65967373302222"/>
    <m/>
    <n v="29.192751687861112"/>
    <n v="17.899999999999999"/>
    <n v="44.519301065572222"/>
    <m/>
    <n v="41.935025539566666"/>
    <n v="68"/>
  </r>
  <r>
    <d v="2026-08-27T22:00:00"/>
    <x v="5"/>
    <n v="22"/>
    <n v="23.927620563941669"/>
    <m/>
    <n v="29.211085264366659"/>
    <n v="17.8"/>
    <n v="43.612118936541663"/>
    <m/>
    <n v="41.916495672058332"/>
    <n v="66"/>
  </r>
  <r>
    <d v="2026-08-27T23:00:00"/>
    <x v="5"/>
    <n v="23"/>
    <n v="23.96628462721667"/>
    <m/>
    <n v="29.19346893237222"/>
    <n v="17.600000000000001"/>
    <n v="43.284844827461107"/>
    <m/>
    <n v="41.957789011736111"/>
    <n v="67"/>
  </r>
  <r>
    <d v="2026-08-28T00:00:00"/>
    <x v="5"/>
    <n v="0"/>
    <n v="23.812699099655561"/>
    <m/>
    <n v="29.18062913851389"/>
    <n v="17.2"/>
    <n v="43.186171387936113"/>
    <m/>
    <n v="41.975530611294452"/>
    <n v="71"/>
  </r>
  <r>
    <d v="2026-08-28T01:00:00"/>
    <x v="5"/>
    <n v="1"/>
    <n v="23.298868897011111"/>
    <m/>
    <n v="29.105350051661109"/>
    <n v="16.600000000000001"/>
    <n v="43.979531188058331"/>
    <m/>
    <n v="41.970212415461113"/>
    <n v="72"/>
  </r>
  <r>
    <d v="2026-08-28T02:00:00"/>
    <x v="5"/>
    <n v="2"/>
    <n v="23.030872587636111"/>
    <m/>
    <n v="29.052219211361109"/>
    <n v="15.8"/>
    <n v="44.439024712561121"/>
    <m/>
    <n v="41.91451427753055"/>
    <n v="71"/>
  </r>
  <r>
    <d v="2026-08-28T03:00:00"/>
    <x v="5"/>
    <n v="3"/>
    <n v="23.042179039916661"/>
    <m/>
    <n v="29.033661981694451"/>
    <n v="15.2"/>
    <n v="44.134946335794439"/>
    <m/>
    <n v="41.847043286680552"/>
    <n v="73"/>
  </r>
  <r>
    <d v="2026-08-28T04:00:00"/>
    <x v="5"/>
    <n v="4"/>
    <n v="22.72998614702222"/>
    <m/>
    <n v="29.004801098766659"/>
    <n v="14.7"/>
    <n v="44.514485880561118"/>
    <m/>
    <n v="41.747661858811107"/>
    <n v="76"/>
  </r>
  <r>
    <d v="2026-08-28T05:00:00"/>
    <x v="5"/>
    <n v="5"/>
    <n v="22.584699613988889"/>
    <m/>
    <n v="28.971964132622219"/>
    <n v="14.3"/>
    <n v="44.621479054805548"/>
    <m/>
    <n v="41.691070857566658"/>
    <n v="79"/>
  </r>
  <r>
    <d v="2026-08-28T06:00:00"/>
    <x v="5"/>
    <n v="6"/>
    <n v="22.800797430533329"/>
    <m/>
    <n v="28.948279411352772"/>
    <n v="14"/>
    <n v="43.920246393125012"/>
    <m/>
    <n v="41.660289923194448"/>
    <n v="80"/>
  </r>
  <r>
    <d v="2026-08-28T07:00:00"/>
    <x v="5"/>
    <n v="7"/>
    <n v="23.847494399552779"/>
    <m/>
    <n v="28.985118081658332"/>
    <n v="14.4"/>
    <n v="41.439482532277772"/>
    <m/>
    <n v="41.726364305230561"/>
    <n v="77"/>
  </r>
  <r>
    <d v="2026-08-28T08:00:00"/>
    <x v="5"/>
    <n v="8"/>
    <n v="24.718210620363891"/>
    <m/>
    <n v="29.019893680561111"/>
    <n v="15.6"/>
    <n v="39.758240454411123"/>
    <m/>
    <n v="41.691016941241656"/>
    <n v="70"/>
  </r>
  <r>
    <d v="2026-08-28T09:00:00"/>
    <x v="5"/>
    <n v="9"/>
    <n v="25.17286503015556"/>
    <m/>
    <n v="29.040526207119441"/>
    <n v="17"/>
    <n v="38.719910579786109"/>
    <m/>
    <n v="41.596481045297217"/>
    <n v="66"/>
  </r>
  <r>
    <d v="2026-08-28T10:00:00"/>
    <x v="5"/>
    <n v="10"/>
    <n v="24.900886778875002"/>
    <m/>
    <n v="28.997186778533329"/>
    <n v="18.8"/>
    <n v="38.587013929230558"/>
    <m/>
    <n v="41.293614353244443"/>
    <n v="61"/>
  </r>
  <r>
    <d v="2026-08-28T11:00:00"/>
    <x v="5"/>
    <n v="11"/>
    <n v="24.84999160741112"/>
    <m/>
    <n v="28.976473461072221"/>
    <n v="20.399999999999999"/>
    <n v="38.250664035636113"/>
    <m/>
    <n v="41.145391219427779"/>
    <n v="54"/>
  </r>
  <r>
    <d v="2026-08-28T12:00:00"/>
    <x v="5"/>
    <n v="12"/>
    <n v="24.784336469013891"/>
    <m/>
    <n v="28.97288726990277"/>
    <n v="21.9"/>
    <n v="37.779590527172232"/>
    <m/>
    <n v="40.951835570775003"/>
    <n v="47"/>
  </r>
  <r>
    <d v="2026-08-28T13:00:00"/>
    <x v="5"/>
    <n v="13"/>
    <n v="24.69067739199722"/>
    <m/>
    <n v="28.93996506658889"/>
    <n v="22.4"/>
    <n v="37.817001424583331"/>
    <m/>
    <n v="40.805277363766663"/>
    <n v="44"/>
  </r>
  <r>
    <d v="2026-08-28T14:00:00"/>
    <x v="5"/>
    <n v="14"/>
    <n v="24.789507472363891"/>
    <m/>
    <n v="28.934420023525"/>
    <n v="22.1"/>
    <n v="37.324850779450003"/>
    <m/>
    <n v="40.866921015508332"/>
    <n v="44"/>
  </r>
  <r>
    <d v="2026-08-28T15:00:00"/>
    <x v="5"/>
    <n v="15"/>
    <n v="24.857711552444439"/>
    <m/>
    <n v="28.82151967431945"/>
    <n v="22.9"/>
    <n v="37.075973248688889"/>
    <m/>
    <n v="40.767775956658333"/>
    <n v="42"/>
  </r>
  <r>
    <d v="2026-08-28T16:00:00"/>
    <x v="5"/>
    <n v="16"/>
    <n v="25.015766577947229"/>
    <m/>
    <n v="28.37360200477222"/>
    <n v="23.1"/>
    <n v="37.363107533633332"/>
    <m/>
    <n v="41.336275937363887"/>
    <n v="41"/>
  </r>
  <r>
    <d v="2026-08-28T17:00:00"/>
    <x v="5"/>
    <n v="17"/>
    <n v="25.072324669288889"/>
    <m/>
    <n v="28.756717747425"/>
    <n v="22.9"/>
    <n v="36.869567287086113"/>
    <m/>
    <n v="41.094445845716663"/>
    <n v="41"/>
  </r>
  <r>
    <d v="2026-08-28T18:00:00"/>
    <x v="5"/>
    <n v="18"/>
    <n v="24.99322256490278"/>
    <m/>
    <n v="28.873905128691661"/>
    <n v="22.3"/>
    <n v="36.208877259961113"/>
    <m/>
    <n v="40.940365624572223"/>
    <n v="42"/>
  </r>
  <r>
    <d v="2026-08-28T19:00:00"/>
    <x v="5"/>
    <n v="19"/>
    <n v="24.69903806624167"/>
    <m/>
    <n v="28.92731059106389"/>
    <n v="21.3"/>
    <n v="36.769222111636111"/>
    <m/>
    <n v="40.874301783372232"/>
    <n v="45"/>
  </r>
  <r>
    <d v="2026-08-28T20:00:00"/>
    <x v="5"/>
    <n v="20"/>
    <n v="24.382486728952781"/>
    <m/>
    <n v="28.937054049127781"/>
    <n v="20.100000000000001"/>
    <n v="37.506942866622218"/>
    <m/>
    <n v="40.866751191386108"/>
    <n v="50"/>
  </r>
  <r>
    <d v="2026-08-28T21:00:00"/>
    <x v="5"/>
    <n v="21"/>
    <n v="23.91934581221944"/>
    <m/>
    <n v="28.909629548611111"/>
    <n v="18.899999999999999"/>
    <n v="38.673369590850001"/>
    <m/>
    <n v="40.82650092184722"/>
    <n v="54"/>
  </r>
  <r>
    <d v="2026-08-28T22:00:00"/>
    <x v="5"/>
    <n v="22"/>
    <n v="23.523512776311112"/>
    <m/>
    <n v="28.883832964402771"/>
    <n v="17.7"/>
    <n v="40.468605547661113"/>
    <m/>
    <n v="40.883283809447228"/>
    <n v="57"/>
  </r>
  <r>
    <d v="2026-08-28T23:00:00"/>
    <x v="5"/>
    <n v="23"/>
    <n v="23.452214910763889"/>
    <m/>
    <n v="28.875497351486121"/>
    <n v="17"/>
    <n v="39.939218392536112"/>
    <m/>
    <n v="40.805678371983333"/>
    <n v="58"/>
  </r>
  <r>
    <d v="2026-08-29T00:00:00"/>
    <x v="5"/>
    <n v="0"/>
    <n v="23.336352816800002"/>
    <m/>
    <n v="28.82685128273889"/>
    <n v="16.3"/>
    <n v="40.10577503127778"/>
    <m/>
    <n v="40.711912758449998"/>
    <n v="60"/>
  </r>
  <r>
    <d v="2026-08-29T01:00:00"/>
    <x v="5"/>
    <n v="1"/>
    <n v="23.118535694286109"/>
    <m/>
    <n v="28.784963880877779"/>
    <n v="15.8"/>
    <n v="40.585579764836112"/>
    <m/>
    <n v="40.719310285150002"/>
    <n v="62"/>
  </r>
  <r>
    <d v="2026-08-29T02:00:00"/>
    <x v="5"/>
    <n v="2"/>
    <n v="22.071433601730561"/>
    <m/>
    <n v="28.715326535066669"/>
    <n v="15.3"/>
    <n v="42.413945134361121"/>
    <m/>
    <n v="40.402324019611108"/>
    <n v="65"/>
  </r>
  <r>
    <d v="2026-08-29T03:00:00"/>
    <x v="5"/>
    <n v="3"/>
    <n v="21.672635802436108"/>
    <m/>
    <n v="28.698972203358331"/>
    <n v="14.6"/>
    <n v="43.171942998886117"/>
    <m/>
    <n v="40.368341618127779"/>
    <n v="67"/>
  </r>
  <r>
    <d v="2026-08-29T04:00:00"/>
    <x v="5"/>
    <n v="4"/>
    <n v="21.516524585205559"/>
    <m/>
    <n v="28.681410710908331"/>
    <n v="14.3"/>
    <n v="43.549541113808338"/>
    <m/>
    <n v="40.319739472363892"/>
    <n v="70"/>
  </r>
  <r>
    <d v="2026-08-29T05:00:00"/>
    <x v="5"/>
    <n v="5"/>
    <n v="21.40787163715278"/>
    <m/>
    <n v="28.648498528188892"/>
    <n v="14"/>
    <n v="43.688669840038891"/>
    <m/>
    <n v="40.25560330228889"/>
    <n v="71"/>
  </r>
  <r>
    <d v="2026-08-29T06:00:00"/>
    <x v="5"/>
    <n v="6"/>
    <n v="21.599763754241671"/>
    <m/>
    <n v="28.642105797294441"/>
    <n v="13.7"/>
    <n v="42.853825337777778"/>
    <m/>
    <n v="40.150381181805557"/>
    <n v="71"/>
  </r>
  <r>
    <d v="2026-08-29T07:00:00"/>
    <x v="5"/>
    <n v="7"/>
    <n v="22.933032334280561"/>
    <m/>
    <n v="28.629864282572221"/>
    <n v="14.5"/>
    <n v="40.167057241958332"/>
    <m/>
    <n v="40.099125549675001"/>
    <n v="69"/>
  </r>
  <r>
    <d v="2026-08-29T08:00:00"/>
    <x v="5"/>
    <n v="8"/>
    <n v="24.133255107122221"/>
    <m/>
    <n v="28.66084164623334"/>
    <n v="16.100000000000001"/>
    <n v="38.321526244963891"/>
    <m/>
    <n v="40.215007062552779"/>
    <n v="63"/>
  </r>
  <r>
    <d v="2026-08-29T09:00:00"/>
    <x v="5"/>
    <n v="9"/>
    <n v="25.069831804813891"/>
    <m/>
    <n v="28.7306801079"/>
    <n v="18.7"/>
    <n v="37.348903303688893"/>
    <m/>
    <n v="40.377138178880557"/>
    <n v="55"/>
  </r>
  <r>
    <d v="2026-08-29T10:00:00"/>
    <x v="5"/>
    <n v="10"/>
    <n v="25.583699965213889"/>
    <m/>
    <n v="28.799091556002779"/>
    <n v="20.9"/>
    <n v="36.392309477858333"/>
    <m/>
    <n v="40.588459069669447"/>
    <n v="49"/>
  </r>
  <r>
    <d v="2026-08-29T11:00:00"/>
    <x v="5"/>
    <n v="11"/>
    <n v="25.735150557133331"/>
    <m/>
    <n v="28.831923353888889"/>
    <n v="22.7"/>
    <n v="35.531555602088893"/>
    <m/>
    <n v="40.763668649033328"/>
    <n v="46"/>
  </r>
  <r>
    <d v="2026-08-29T12:00:00"/>
    <x v="5"/>
    <n v="12"/>
    <n v="25.700621402711111"/>
    <m/>
    <n v="28.853832950383332"/>
    <n v="24.1"/>
    <n v="35.315915207402782"/>
    <m/>
    <n v="40.67706136564167"/>
    <n v="42"/>
  </r>
  <r>
    <d v="2026-08-29T13:00:00"/>
    <x v="5"/>
    <n v="13"/>
    <n v="25.647944594455559"/>
    <m/>
    <n v="28.856416736491671"/>
    <n v="24.9"/>
    <n v="34.630132442183331"/>
    <m/>
    <n v="40.518138581919438"/>
    <n v="39"/>
  </r>
  <r>
    <d v="2026-08-29T14:00:00"/>
    <x v="5"/>
    <n v="14"/>
    <n v="25.476339408363891"/>
    <m/>
    <n v="28.836076675947229"/>
    <n v="25.3"/>
    <n v="33.151245218174999"/>
    <m/>
    <n v="40.104475932880561"/>
    <n v="38"/>
  </r>
  <r>
    <d v="2026-08-29T15:00:00"/>
    <x v="5"/>
    <n v="15"/>
    <n v="25.41762702662222"/>
    <m/>
    <n v="28.801607469777771"/>
    <n v="26.4"/>
    <n v="31.260693333358329"/>
    <m/>
    <n v="39.609022175322217"/>
    <n v="35"/>
  </r>
  <r>
    <d v="2026-08-29T16:00:00"/>
    <x v="5"/>
    <n v="16"/>
    <n v="25.48476026814167"/>
    <m/>
    <n v="28.786166573033331"/>
    <n v="26.3"/>
    <n v="31.23472878051945"/>
    <m/>
    <n v="39.344395782052779"/>
    <n v="34"/>
  </r>
  <r>
    <d v="2026-08-29T17:00:00"/>
    <x v="5"/>
    <n v="17"/>
    <n v="25.60003034815556"/>
    <m/>
    <n v="28.794309354016669"/>
    <n v="25.9"/>
    <n v="31.312077787816669"/>
    <m/>
    <n v="39.212679941341669"/>
    <n v="34"/>
  </r>
  <r>
    <d v="2026-08-29T18:00:00"/>
    <x v="5"/>
    <n v="18"/>
    <n v="25.64761832776945"/>
    <m/>
    <n v="28.80283385237778"/>
    <n v="25.2"/>
    <n v="32.079410498430548"/>
    <m/>
    <n v="39.14861449784167"/>
    <n v="36"/>
  </r>
  <r>
    <d v="2026-08-29T19:00:00"/>
    <x v="5"/>
    <n v="19"/>
    <n v="25.428127682233331"/>
    <m/>
    <n v="28.819557740238888"/>
    <n v="24"/>
    <n v="32.808437021650001"/>
    <m/>
    <n v="39.135353897236108"/>
    <n v="40"/>
  </r>
  <r>
    <d v="2026-08-29T20:00:00"/>
    <x v="5"/>
    <n v="20"/>
    <n v="25.246754124802781"/>
    <m/>
    <n v="28.81849856154167"/>
    <n v="22.6"/>
    <n v="33.642711276486111"/>
    <m/>
    <n v="39.213944506991673"/>
    <n v="46"/>
  </r>
  <r>
    <d v="2026-08-29T21:00:00"/>
    <x v="5"/>
    <n v="21"/>
    <n v="24.753369219047219"/>
    <m/>
    <n v="28.782823356175001"/>
    <n v="21.5"/>
    <n v="34.132247161361107"/>
    <m/>
    <n v="38.931428114894452"/>
    <n v="49"/>
  </r>
  <r>
    <d v="2026-08-29T22:00:00"/>
    <x v="5"/>
    <n v="22"/>
    <n v="24.295738915502781"/>
    <m/>
    <n v="28.71160051495"/>
    <n v="20.5"/>
    <n v="35.246336498941673"/>
    <m/>
    <n v="38.938954323852784"/>
    <n v="51"/>
  </r>
  <r>
    <d v="2026-08-29T23:00:00"/>
    <x v="5"/>
    <n v="23"/>
    <n v="23.96331642259722"/>
    <m/>
    <n v="28.67104970041111"/>
    <n v="19.600000000000001"/>
    <n v="36.041036135447222"/>
    <m/>
    <n v="38.99699999335278"/>
    <n v="54"/>
  </r>
  <r>
    <d v="2026-08-30T00:00:00"/>
    <x v="5"/>
    <n v="0"/>
    <n v="23.326968527363888"/>
    <m/>
    <n v="28.63727214956112"/>
    <n v="18.7"/>
    <n v="36.786977523447227"/>
    <m/>
    <n v="38.893652782530552"/>
    <n v="58"/>
  </r>
  <r>
    <d v="2026-08-30T01:00:00"/>
    <x v="5"/>
    <n v="1"/>
    <n v="23.028510395372219"/>
    <m/>
    <n v="28.596872791338889"/>
    <n v="17.899999999999999"/>
    <n v="37.011775001516668"/>
    <m/>
    <n v="38.700769280327783"/>
    <n v="61"/>
  </r>
  <r>
    <d v="2026-08-30T02:00:00"/>
    <x v="5"/>
    <n v="2"/>
    <n v="22.47943123054166"/>
    <m/>
    <n v="28.49781986574445"/>
    <n v="17"/>
    <n v="37.90698299623056"/>
    <m/>
    <n v="38.54395226623889"/>
    <n v="62"/>
  </r>
  <r>
    <d v="2026-08-30T03:00:00"/>
    <x v="5"/>
    <n v="3"/>
    <n v="21.892224909883328"/>
    <m/>
    <n v="28.425763212536111"/>
    <n v="16"/>
    <n v="38.859612608313888"/>
    <m/>
    <n v="38.387950434980553"/>
    <n v="64"/>
  </r>
  <r>
    <d v="2026-08-30T04:00:00"/>
    <x v="5"/>
    <n v="4"/>
    <n v="21.146659609322221"/>
    <m/>
    <n v="28.422588787802781"/>
    <n v="15.3"/>
    <n v="40.148248896947223"/>
    <m/>
    <n v="38.262292911280561"/>
    <n v="65"/>
  </r>
  <r>
    <d v="2026-08-30T05:00:00"/>
    <x v="5"/>
    <n v="5"/>
    <n v="21.468047606424999"/>
    <m/>
    <n v="28.366319517102781"/>
    <n v="14.8"/>
    <n v="39.309662306338893"/>
    <m/>
    <n v="38.171670836058333"/>
    <n v="67"/>
  </r>
  <r>
    <d v="2026-08-30T06:00:00"/>
    <x v="5"/>
    <n v="6"/>
    <n v="21.806456112633331"/>
    <m/>
    <n v="28.31355555535556"/>
    <n v="14.3"/>
    <n v="38.458062329880562"/>
    <m/>
    <n v="38.108357332552778"/>
    <n v="67"/>
  </r>
  <r>
    <d v="2026-08-30T07:00:00"/>
    <x v="5"/>
    <n v="7"/>
    <n v="23.09673084023056"/>
    <m/>
    <n v="28.356647609108329"/>
    <n v="15"/>
    <n v="36.189893376083333"/>
    <m/>
    <n v="38.351104472144442"/>
    <n v="64"/>
  </r>
  <r>
    <d v="2026-08-30T08:00:00"/>
    <x v="5"/>
    <n v="8"/>
    <n v="24.467998096866669"/>
    <m/>
    <n v="28.431902772169451"/>
    <n v="16.8"/>
    <n v="34.938527118913889"/>
    <m/>
    <n v="38.657816456875011"/>
    <n v="57"/>
  </r>
  <r>
    <d v="2026-08-30T09:00:00"/>
    <x v="5"/>
    <n v="9"/>
    <n v="25.314509497427778"/>
    <m/>
    <n v="28.531074399608329"/>
    <n v="19.7"/>
    <n v="34.498653639202779"/>
    <m/>
    <n v="38.851811451233331"/>
    <n v="49"/>
  </r>
  <r>
    <d v="2026-08-30T10:00:00"/>
    <x v="5"/>
    <n v="10"/>
    <n v="25.66991783369722"/>
    <m/>
    <n v="28.613649448216659"/>
    <n v="22"/>
    <n v="34.095098012252777"/>
    <m/>
    <n v="39.012296439661121"/>
    <n v="43"/>
  </r>
  <r>
    <d v="2026-08-30T11:00:00"/>
    <x v="5"/>
    <n v="11"/>
    <n v="25.883901491638891"/>
    <m/>
    <n v="28.677398042527781"/>
    <n v="24"/>
    <n v="33.207907832250001"/>
    <m/>
    <n v="39.094821943649997"/>
    <n v="38"/>
  </r>
  <r>
    <d v="2026-08-30T12:00:00"/>
    <x v="5"/>
    <n v="12"/>
    <n v="26.027864584669441"/>
    <m/>
    <n v="28.717003625741668"/>
    <n v="25.7"/>
    <n v="33.906142198322222"/>
    <m/>
    <n v="39.356988698180551"/>
    <n v="35"/>
  </r>
  <r>
    <d v="2026-08-30T13:00:00"/>
    <x v="5"/>
    <n v="13"/>
    <n v="26.035783170088891"/>
    <m/>
    <n v="28.723446387833331"/>
    <n v="26.7"/>
    <n v="32.938178940950003"/>
    <m/>
    <n v="39.503952853180557"/>
    <n v="31"/>
  </r>
  <r>
    <d v="2026-08-30T14:00:00"/>
    <x v="5"/>
    <n v="14"/>
    <n v="26.023997505455551"/>
    <m/>
    <n v="28.730864514094449"/>
    <n v="27.1"/>
    <n v="31.522223749947219"/>
    <m/>
    <n v="39.449857531191668"/>
    <n v="29"/>
  </r>
  <r>
    <d v="2026-08-30T15:00:00"/>
    <x v="5"/>
    <n v="15"/>
    <n v="26.028588548138892"/>
    <m/>
    <n v="28.766369805319439"/>
    <n v="28.2"/>
    <n v="32.120252721580563"/>
    <m/>
    <n v="39.362038153450008"/>
    <n v="27"/>
  </r>
  <r>
    <d v="2026-08-30T16:00:00"/>
    <x v="5"/>
    <n v="16"/>
    <n v="26.255128559574999"/>
    <m/>
    <n v="28.784672726693941"/>
    <n v="27.8"/>
    <n v="31.61216305094722"/>
    <m/>
    <n v="39.360818068469698"/>
    <n v="27"/>
  </r>
  <r>
    <d v="2026-08-30T17:00:00"/>
    <x v="5"/>
    <n v="17"/>
    <n v="26.465963883572218"/>
    <m/>
    <m/>
    <n v="27.4"/>
    <n v="32.120761293933327"/>
    <m/>
    <m/>
    <n v="28"/>
  </r>
  <r>
    <d v="2026-08-30T18:00:00"/>
    <x v="5"/>
    <n v="18"/>
    <n v="26.582825275086108"/>
    <m/>
    <m/>
    <n v="26.7"/>
    <n v="31.36274224798612"/>
    <m/>
    <m/>
    <n v="30"/>
  </r>
  <r>
    <d v="2026-08-30T19:00:00"/>
    <x v="5"/>
    <n v="19"/>
    <n v="26.50982106555556"/>
    <m/>
    <n v="28.518728755456149"/>
    <n v="25"/>
    <n v="32.23201741022222"/>
    <m/>
    <n v="39.727452522641748"/>
    <n v="36"/>
  </r>
  <r>
    <d v="2026-08-30T20:00:00"/>
    <x v="5"/>
    <n v="20"/>
    <n v="26.294920970275001"/>
    <m/>
    <n v="28.962959611886109"/>
    <n v="23.5"/>
    <n v="31.500502085480552"/>
    <m/>
    <n v="39.349635065477777"/>
    <n v="40"/>
  </r>
  <r>
    <d v="2026-08-30T21:00:00"/>
    <x v="5"/>
    <n v="21"/>
    <n v="26.08478913089445"/>
    <m/>
    <n v="28.95428099551944"/>
    <n v="22.3"/>
    <n v="31.117247574947221"/>
    <m/>
    <n v="38.981746168577779"/>
    <n v="44"/>
  </r>
  <r>
    <d v="2026-08-30T22:00:00"/>
    <x v="5"/>
    <n v="22"/>
    <n v="25.859454378163889"/>
    <m/>
    <n v="28.854442388024999"/>
    <n v="21"/>
    <n v="31.539607864091671"/>
    <m/>
    <n v="38.962779928677783"/>
    <n v="47"/>
  </r>
  <r>
    <d v="2026-08-30T23:00:00"/>
    <x v="5"/>
    <n v="23"/>
    <n v="25.59598594443333"/>
    <m/>
    <n v="28.998669960538891"/>
    <n v="20.100000000000001"/>
    <n v="30.69517973900556"/>
    <m/>
    <n v="38.929282183308338"/>
    <n v="48"/>
  </r>
  <r>
    <d v="2026-08-31T00:00:00"/>
    <x v="5"/>
    <n v="0"/>
    <n v="25.400087284416671"/>
    <m/>
    <n v="29.050979565302779"/>
    <n v="19.2"/>
    <n v="30.38992707023889"/>
    <m/>
    <n v="38.882370739711121"/>
    <n v="49"/>
  </r>
  <r>
    <d v="2026-08-31T01:00:00"/>
    <x v="5"/>
    <n v="1"/>
    <n v="24.922518970294441"/>
    <m/>
    <n v="28.99255572000833"/>
    <n v="18.5"/>
    <n v="31.36492731618889"/>
    <m/>
    <n v="38.728489957763891"/>
    <n v="51"/>
  </r>
  <r>
    <d v="2026-08-31T02:00:00"/>
    <x v="5"/>
    <n v="2"/>
    <n v="24.532483594130561"/>
    <m/>
    <n v="28.916680992349999"/>
    <n v="18.100000000000001"/>
    <n v="31.665513254747221"/>
    <m/>
    <n v="38.576616070719453"/>
    <n v="52"/>
  </r>
  <r>
    <d v="2026-08-31T03:00:00"/>
    <x v="5"/>
    <n v="3"/>
    <n v="24.41915156758612"/>
    <m/>
    <n v="28.853605457430561"/>
    <n v="16.899999999999999"/>
    <n v="31.628799473425001"/>
    <m/>
    <n v="38.484540894272222"/>
    <n v="56"/>
  </r>
  <r>
    <d v="2026-08-31T04:00:00"/>
    <x v="5"/>
    <n v="4"/>
    <n v="24.065630827911111"/>
    <m/>
    <n v="28.805206874016669"/>
    <n v="16.399999999999999"/>
    <n v="31.871021722563889"/>
    <m/>
    <n v="38.368224805316657"/>
    <n v="58"/>
  </r>
  <r>
    <d v="2026-08-31T05:00:00"/>
    <x v="5"/>
    <n v="5"/>
    <n v="23.777646687813888"/>
    <m/>
    <n v="28.764289222288891"/>
    <n v="15.8"/>
    <n v="31.871384062124999"/>
    <m/>
    <n v="38.25183844224167"/>
    <n v="60"/>
  </r>
  <r>
    <d v="2026-08-31T06:00:00"/>
    <x v="5"/>
    <n v="6"/>
    <n v="24.197878203769449"/>
    <m/>
    <n v="28.69542491206111"/>
    <n v="15.3"/>
    <n v="30.709506821269439"/>
    <m/>
    <n v="38.010743381322222"/>
    <n v="62"/>
  </r>
  <r>
    <d v="2026-08-31T07:00:00"/>
    <x v="5"/>
    <n v="7"/>
    <n v="24.74690515180556"/>
    <m/>
    <n v="28.678860798194449"/>
    <n v="16"/>
    <n v="30.20212589106389"/>
    <m/>
    <n v="38.114390146211107"/>
    <n v="60"/>
  </r>
  <r>
    <d v="2026-08-31T08:00:00"/>
    <x v="5"/>
    <n v="8"/>
    <n v="25.596480794200001"/>
    <m/>
    <n v="28.69652210640556"/>
    <n v="18"/>
    <n v="29.52429653315"/>
    <m/>
    <n v="38.171577414561114"/>
    <n v="52"/>
  </r>
  <r>
    <d v="2026-08-31T09:00:00"/>
    <x v="5"/>
    <n v="9"/>
    <n v="26.17943144497778"/>
    <m/>
    <n v="28.727686379369441"/>
    <n v="19.899999999999999"/>
    <n v="29.072458933508329"/>
    <m/>
    <n v="38.216412929486111"/>
    <n v="45"/>
  </r>
  <r>
    <d v="2026-08-31T10:00:00"/>
    <x v="5"/>
    <n v="10"/>
    <n v="26.463284733605558"/>
    <m/>
    <n v="28.764355020091671"/>
    <n v="21.4"/>
    <n v="28.64887466922222"/>
    <m/>
    <n v="38.297596300999999"/>
    <n v="41"/>
  </r>
  <r>
    <d v="2026-08-31T11:00:00"/>
    <x v="5"/>
    <n v="11"/>
    <n v="26.713796812791671"/>
    <m/>
    <n v="28.794854844938889"/>
    <n v="24.4"/>
    <n v="26.732471254791669"/>
    <m/>
    <n v="38.334365098966657"/>
    <n v="31"/>
  </r>
  <r>
    <d v="2026-08-31T12:00:00"/>
    <x v="5"/>
    <n v="12"/>
    <n v="26.897423964477781"/>
    <m/>
    <n v="28.773131401341669"/>
    <n v="25.7"/>
    <n v="25.858554134102771"/>
    <m/>
    <n v="36.791714465325001"/>
    <n v="27"/>
  </r>
  <r>
    <d v="2026-08-31T13:00:00"/>
    <x v="5"/>
    <n v="13"/>
    <n v="26.896325778927778"/>
    <m/>
    <n v="28.858281095308332"/>
    <n v="26.6"/>
    <n v="26.050817424249999"/>
    <m/>
    <n v="37.082270049074999"/>
    <n v="25"/>
  </r>
  <r>
    <d v="2026-08-31T14:00:00"/>
    <x v="5"/>
    <n v="14"/>
    <n v="26.827889161452781"/>
    <m/>
    <n v="29.070378593316661"/>
    <n v="27"/>
    <n v="25.888155718491671"/>
    <m/>
    <n v="37.393438401544451"/>
    <n v="25"/>
  </r>
  <r>
    <d v="2026-08-31T15:00:00"/>
    <x v="5"/>
    <n v="15"/>
    <n v="26.902206905597222"/>
    <m/>
    <n v="29.141948463763889"/>
    <n v="28.3"/>
    <n v="25.14798470585"/>
    <m/>
    <n v="37.195182494575"/>
    <n v="23"/>
  </r>
  <r>
    <d v="2026-08-31T16:00:00"/>
    <x v="5"/>
    <n v="16"/>
    <n v="26.940418846591669"/>
    <n v="28.55911331867474"/>
    <n v="29.137448525105551"/>
    <n v="27.8"/>
    <n v="26.919273814891671"/>
    <n v="28.149343461827261"/>
    <n v="37.464800949527778"/>
    <n v="24"/>
  </r>
  <r>
    <d v="2026-08-31T17:00:00"/>
    <x v="5"/>
    <n v="17"/>
    <n v="26.960857280030559"/>
    <n v="28.365311246963891"/>
    <n v="29.090801988222221"/>
    <n v="27.2"/>
    <n v="27.904921160425001"/>
    <n v="27.22552386903611"/>
    <n v="37.333107153744443"/>
    <n v="25"/>
  </r>
  <r>
    <d v="2026-08-31T18:00:00"/>
    <x v="5"/>
    <n v="18"/>
    <n v="26.911065826927778"/>
    <n v="28.062072893658328"/>
    <n v="29.016886903724998"/>
    <n v="26.4"/>
    <n v="26.269800076838891"/>
    <n v="29.410442129488889"/>
    <n v="37.224918669822223"/>
    <n v="26"/>
  </r>
  <r>
    <d v="2026-08-31T19:00:00"/>
    <x v="5"/>
    <n v="19"/>
    <n v="26.711973675780559"/>
    <n v="27.582411189588889"/>
    <n v="29.014198356813889"/>
    <n v="24.8"/>
    <n v="25.36851620837778"/>
    <n v="27.442656589552779"/>
    <n v="37.386234033202783"/>
    <n v="31"/>
  </r>
  <r>
    <d v="2026-08-31T20:00:00"/>
    <x v="5"/>
    <n v="20"/>
    <n v="26.461728861369451"/>
    <n v="27.307488068652781"/>
    <n v="28.974035688230561"/>
    <n v="23.4"/>
    <n v="23.903532790272219"/>
    <n v="28.076934635902781"/>
    <n v="37.191624983936123"/>
    <n v="34"/>
  </r>
  <r>
    <d v="2026-08-31T21:00:00"/>
    <x v="5"/>
    <n v="21"/>
    <n v="26.215694008808331"/>
    <n v="27.829418862299999"/>
    <n v="28.85504303036112"/>
    <n v="22.9"/>
    <n v="24.001568242197219"/>
    <n v="26.953803989044449"/>
    <n v="35.614701873608333"/>
    <n v="32"/>
  </r>
  <r>
    <d v="2026-08-31T22:00:00"/>
    <x v="5"/>
    <n v="22"/>
    <n v="26.300617829427779"/>
    <n v="28.542068273086109"/>
    <n v="28.491889433022219"/>
    <n v="22"/>
    <n v="24.880404221741671"/>
    <n v="25.81567669341111"/>
    <n v="34.09584090916389"/>
    <n v="33"/>
  </r>
  <r>
    <d v="2026-08-31T23:00:00"/>
    <x v="5"/>
    <n v="23"/>
    <n v="25.961307345325"/>
    <n v="27.83498364395"/>
    <n v="28.814833715005548"/>
    <n v="20.399999999999999"/>
    <n v="23.364044966461108"/>
    <n v="26.166321904675002"/>
    <n v="35.290765060683327"/>
    <n v="38"/>
  </r>
  <r>
    <d v="2026-09-01T00:00:00"/>
    <x v="6"/>
    <n v="0"/>
    <n v="25.487095994680558"/>
    <n v="27.58702006728333"/>
    <n v="28.888466265283331"/>
    <n v="19.2"/>
    <n v="23.26798719180556"/>
    <n v="25.16463303549444"/>
    <n v="35.586609413524997"/>
    <n v="41"/>
  </r>
  <r>
    <d v="2026-09-01T01:00:00"/>
    <x v="6"/>
    <n v="1"/>
    <n v="25.237329438566661"/>
    <n v="27.42393248800278"/>
    <n v="28.8833669984"/>
    <n v="18.3"/>
    <n v="23.889179680252781"/>
    <n v="25.183180140327771"/>
    <n v="35.723819748238888"/>
    <n v="43"/>
  </r>
  <r>
    <d v="2026-09-01T02:00:00"/>
    <x v="6"/>
    <n v="2"/>
    <n v="25.370627000538889"/>
    <n v="27.36227801759722"/>
    <n v="28.85750384340556"/>
    <n v="17.8"/>
    <n v="24.265072470386109"/>
    <n v="24.80672718175278"/>
    <n v="35.759745025424998"/>
    <n v="43"/>
  </r>
  <r>
    <d v="2026-09-01T03:00:00"/>
    <x v="6"/>
    <n v="3"/>
    <n v="25.29542867699444"/>
    <n v="27.237817151158328"/>
    <n v="28.83425599760556"/>
    <n v="17.100000000000001"/>
    <n v="24.23447778129167"/>
    <n v="24.571171459552779"/>
    <n v="35.771467760580563"/>
    <n v="45"/>
  </r>
  <r>
    <d v="2026-09-01T04:00:00"/>
    <x v="6"/>
    <n v="4"/>
    <n v="24.964341520266672"/>
    <n v="27.095998728647221"/>
    <n v="28.80919825391944"/>
    <n v="16.5"/>
    <n v="24.08589749138056"/>
    <n v="24.515939601505561"/>
    <n v="35.736733601066668"/>
    <n v="46"/>
  </r>
  <r>
    <d v="2026-09-01T05:00:00"/>
    <x v="6"/>
    <n v="5"/>
    <n v="24.93061447601389"/>
    <n v="26.97398572817778"/>
    <n v="28.781090979188889"/>
    <n v="15.8"/>
    <n v="24.64307940024166"/>
    <n v="24.943274588975001"/>
    <n v="35.599609082919443"/>
    <n v="49"/>
  </r>
  <r>
    <d v="2026-09-01T06:00:00"/>
    <x v="6"/>
    <n v="6"/>
    <n v="24.823552431705551"/>
    <n v="27.005104203855559"/>
    <n v="28.756309463772219"/>
    <n v="15.1"/>
    <n v="24.886602685574999"/>
    <n v="25.423860831925001"/>
    <n v="35.513238184936107"/>
    <n v="52"/>
  </r>
  <r>
    <d v="2026-09-01T07:00:00"/>
    <x v="6"/>
    <n v="7"/>
    <n v="25.502853815275"/>
    <n v="27.618931207919449"/>
    <n v="28.747914951272222"/>
    <n v="15.8"/>
    <n v="24.548667612161111"/>
    <n v="25.392207527188891"/>
    <n v="35.538040832583327"/>
    <n v="51"/>
  </r>
  <r>
    <d v="2026-09-01T08:00:00"/>
    <x v="6"/>
    <n v="8"/>
    <n v="26.43497446141944"/>
    <n v="28.38700176933056"/>
    <n v="28.77768303213611"/>
    <n v="17.8"/>
    <n v="24.236955850830551"/>
    <n v="24.231879744625001"/>
    <n v="35.693626245511112"/>
    <n v="45"/>
  </r>
  <r>
    <d v="2026-09-01T09:00:00"/>
    <x v="6"/>
    <n v="9"/>
    <n v="27.08958739417222"/>
    <n v="28.719834042144441"/>
    <n v="28.824907011474998"/>
    <n v="20.7"/>
    <n v="24.19090904084166"/>
    <n v="22.95957281510556"/>
    <n v="35.915119176102777"/>
    <n v="38"/>
  </r>
  <r>
    <d v="2026-09-01T10:00:00"/>
    <x v="6"/>
    <n v="10"/>
    <n v="27.395977684127772"/>
    <n v="29.08327164178889"/>
    <n v="28.876494291316661"/>
    <n v="23.6"/>
    <n v="23.998971354066661"/>
    <n v="22.914013843549998"/>
    <n v="36.12423774406944"/>
    <n v="31"/>
  </r>
  <r>
    <d v="2026-09-01T11:00:00"/>
    <x v="6"/>
    <n v="11"/>
    <n v="27.63106092510278"/>
    <n v="29.580248834230559"/>
    <n v="28.926190510141659"/>
    <n v="25.7"/>
    <n v="23.900422257405559"/>
    <n v="22.13133595675"/>
    <n v="36.070097416858339"/>
    <n v="24"/>
  </r>
  <r>
    <d v="2026-09-01T12:00:00"/>
    <x v="6"/>
    <n v="12"/>
    <n v="27.710750748555551"/>
    <n v="29.53024654385834"/>
    <n v="28.876677894586109"/>
    <n v="26.9"/>
    <n v="22.646109421966671"/>
    <n v="21.58222563490834"/>
    <n v="34.654211872205558"/>
    <n v="20"/>
  </r>
  <r>
    <d v="2026-09-01T13:00:00"/>
    <x v="6"/>
    <n v="13"/>
    <n v="27.14172486333333"/>
    <n v="28.902980334744441"/>
    <n v="28.658850709425"/>
    <n v="27.6"/>
    <n v="23.832515348747229"/>
    <n v="23.72645839164722"/>
    <n v="33.774273825180558"/>
    <n v="19"/>
  </r>
  <r>
    <d v="2026-09-01T14:00:00"/>
    <x v="6"/>
    <n v="14"/>
    <n v="25.546606015799998"/>
    <n v="27.927201398136109"/>
    <n v="27.91077729626112"/>
    <n v="28"/>
    <n v="25.503752848944441"/>
    <n v="25.398645777830559"/>
    <n v="33.033248757333332"/>
    <n v="18"/>
  </r>
  <r>
    <d v="2026-09-01T15:00:00"/>
    <x v="6"/>
    <n v="15"/>
    <n v="25.201051789041671"/>
    <n v="27.60591987765833"/>
    <n v="27.602567541627771"/>
    <n v="28.9"/>
    <n v="27.32848144976111"/>
    <n v="27.063228974947229"/>
    <n v="34.213817636549997"/>
    <n v="17"/>
  </r>
  <r>
    <d v="2026-09-01T16:00:00"/>
    <x v="6"/>
    <n v="16"/>
    <n v="25.18961688903056"/>
    <n v="27.74603974986389"/>
    <n v="27.48464627938333"/>
    <n v="28.4"/>
    <n v="29.760838619872221"/>
    <n v="28.30683347606389"/>
    <n v="35.979742908980548"/>
    <n v="18"/>
  </r>
  <r>
    <d v="2026-09-01T17:00:00"/>
    <x v="6"/>
    <n v="17"/>
    <n v="26.539739731794441"/>
    <n v="28.82390756485556"/>
    <n v="27.874006774769441"/>
    <n v="27.9"/>
    <n v="32.885204515988903"/>
    <n v="32.050306211202781"/>
    <n v="37.261206232633327"/>
    <n v="19"/>
  </r>
  <r>
    <d v="2026-09-01T18:00:00"/>
    <x v="6"/>
    <n v="18"/>
    <n v="25.593756201111109"/>
    <n v="27.689796255886112"/>
    <n v="27.965725996622229"/>
    <n v="27.1"/>
    <n v="29.485200356658339"/>
    <n v="31.352992977597221"/>
    <n v="37.313696991258333"/>
    <n v="20"/>
  </r>
  <r>
    <d v="2026-09-01T19:00:00"/>
    <x v="6"/>
    <n v="19"/>
    <n v="24.940420907099998"/>
    <n v="27.14545572442778"/>
    <n v="28.30300213299444"/>
    <n v="25.5"/>
    <n v="28.96224899889167"/>
    <n v="28.406454672522219"/>
    <n v="36.229038567941657"/>
    <n v="25"/>
  </r>
  <r>
    <d v="2026-09-01T20:00:00"/>
    <x v="6"/>
    <n v="20"/>
    <n v="25.987768513833331"/>
    <n v="27.790151948941659"/>
    <n v="28.37717052036944"/>
    <n v="23.5"/>
    <n v="30.007176284425"/>
    <n v="28.937625979355559"/>
    <n v="35.598576127530563"/>
    <n v="31"/>
  </r>
  <r>
    <d v="2026-09-01T21:00:00"/>
    <x v="6"/>
    <n v="21"/>
    <n v="26.17743045363056"/>
    <n v="27.68372723079445"/>
    <n v="28.61608237428889"/>
    <n v="22.4"/>
    <n v="25.781863040316669"/>
    <n v="28.992989299722229"/>
    <n v="35.920957737413893"/>
    <n v="35"/>
  </r>
  <r>
    <d v="2026-09-01T22:00:00"/>
    <x v="6"/>
    <n v="22"/>
    <n v="25.956538476066669"/>
    <n v="27.824347719594439"/>
    <n v="28.83775022376944"/>
    <n v="21.1"/>
    <n v="24.65305060376944"/>
    <n v="28.296633928663891"/>
    <n v="35.810216104858327"/>
    <n v="40"/>
  </r>
  <r>
    <d v="2026-09-01T23:00:00"/>
    <x v="6"/>
    <n v="23"/>
    <n v="25.726985434555559"/>
    <n v="27.863895884249999"/>
    <n v="28.954068282097221"/>
    <n v="20.3"/>
    <n v="24.336172960252771"/>
    <n v="27.360696129158331"/>
    <n v="35.421158682105563"/>
    <n v="41"/>
  </r>
  <r>
    <d v="2026-09-02T00:00:00"/>
    <x v="6"/>
    <n v="0"/>
    <n v="25.478289049297221"/>
    <n v="27.729322708436111"/>
    <n v="28.866736408041671"/>
    <n v="19.899999999999999"/>
    <n v="24.441049330866669"/>
    <n v="27.539933097725001"/>
    <n v="33.946005556133343"/>
    <n v="41"/>
  </r>
  <r>
    <d v="2026-09-02T01:00:00"/>
    <x v="6"/>
    <n v="1"/>
    <n v="25.256696885922221"/>
    <n v="27.24371347635833"/>
    <m/>
    <n v="18.899999999999999"/>
    <n v="24.992694034877779"/>
    <n v="27.006498853119439"/>
    <m/>
    <n v="43"/>
  </r>
  <r>
    <d v="2026-09-02T02:00:00"/>
    <x v="6"/>
    <n v="2"/>
    <n v="25.202133565391659"/>
    <n v="26.842187789269449"/>
    <m/>
    <n v="17.899999999999999"/>
    <n v="24.76537338590833"/>
    <n v="25.548938763616661"/>
    <m/>
    <n v="45"/>
  </r>
  <r>
    <d v="2026-09-02T03:00:00"/>
    <x v="6"/>
    <n v="3"/>
    <n v="24.927785393105559"/>
    <n v="26.593714239430561"/>
    <m/>
    <n v="16.399999999999999"/>
    <n v="24.618391291544441"/>
    <n v="25.508629561088888"/>
    <m/>
    <n v="51"/>
  </r>
  <r>
    <d v="2026-09-02T04:00:00"/>
    <x v="6"/>
    <n v="4"/>
    <n v="24.46000017461111"/>
    <n v="26.38453747557778"/>
    <m/>
    <n v="16.3"/>
    <n v="25.046864090766661"/>
    <n v="25.73850260489445"/>
    <m/>
    <n v="49"/>
  </r>
  <r>
    <d v="2026-09-02T05:00:00"/>
    <x v="6"/>
    <n v="5"/>
    <n v="24.313699002875001"/>
    <n v="26.177998347969449"/>
    <m/>
    <n v="16.3"/>
    <n v="25.41927992479167"/>
    <n v="25.749814039505559"/>
    <m/>
    <n v="44"/>
  </r>
  <r>
    <d v="2026-09-02T06:00:00"/>
    <x v="6"/>
    <n v="6"/>
    <n v="24.357198459411109"/>
    <n v="26.119897077372219"/>
    <m/>
    <n v="15.4"/>
    <n v="26.259732106824998"/>
    <n v="26.234997325780551"/>
    <m/>
    <n v="45"/>
  </r>
  <r>
    <d v="2026-09-02T07:00:00"/>
    <x v="6"/>
    <n v="7"/>
    <n v="25.065539710977781"/>
    <n v="26.50296540225278"/>
    <m/>
    <n v="16.3"/>
    <n v="26.082494731691671"/>
    <n v="26.351732127686109"/>
    <m/>
    <n v="43"/>
  </r>
  <r>
    <d v="2026-09-02T08:00:00"/>
    <x v="6"/>
    <n v="8"/>
    <n v="26.063330113961111"/>
    <n v="27.39768094224722"/>
    <m/>
    <n v="18"/>
    <n v="26.676898080111108"/>
    <n v="26.493915847783331"/>
    <m/>
    <n v="38"/>
  </r>
  <r>
    <d v="2026-09-02T09:00:00"/>
    <x v="6"/>
    <n v="9"/>
    <n v="26.640665903475"/>
    <n v="27.911318838519449"/>
    <m/>
    <n v="20.2"/>
    <n v="28.06489983728056"/>
    <n v="27.68101002548612"/>
    <m/>
    <n v="34"/>
  </r>
  <r>
    <d v="2026-09-02T10:00:00"/>
    <x v="6"/>
    <n v="10"/>
    <n v="26.53319995464166"/>
    <n v="28.045969295358329"/>
    <n v="28.440502688516201"/>
    <n v="23"/>
    <n v="28.546001145086109"/>
    <n v="30.341043845874999"/>
    <n v="37.008833631253879"/>
    <n v="30"/>
  </r>
  <r>
    <d v="2026-09-02T11:00:00"/>
    <x v="6"/>
    <n v="11"/>
    <n v="26.61722938902777"/>
    <n v="27.683559024505559"/>
    <n v="28.951047737769439"/>
    <n v="24.6"/>
    <n v="29.959996911536109"/>
    <n v="31.835522475800001"/>
    <n v="36.341691675608338"/>
    <n v="28"/>
  </r>
  <r>
    <d v="2026-09-02T12:00:00"/>
    <x v="6"/>
    <n v="12"/>
    <n v="26.630375928894448"/>
    <n v="27.544203021600001"/>
    <n v="29.131589355091659"/>
    <n v="26.2"/>
    <n v="29.22949403797778"/>
    <n v="31.506894453377779"/>
    <n v="36.35888429231111"/>
    <n v="26"/>
  </r>
  <r>
    <d v="2026-09-02T13:00:00"/>
    <x v="6"/>
    <n v="13"/>
    <n v="26.800206653724999"/>
    <n v="27.814190724638891"/>
    <n v="29.251950820644439"/>
    <n v="26.3"/>
    <n v="29.812799247691672"/>
    <n v="31.155610752305559"/>
    <n v="36.512090317069443"/>
    <n v="27"/>
  </r>
  <r>
    <d v="2026-09-02T14:00:00"/>
    <x v="6"/>
    <n v="14"/>
    <n v="26.955286882566671"/>
    <n v="27.838982618736111"/>
    <n v="29.365161936627771"/>
    <n v="25.6"/>
    <n v="31.318113998619442"/>
    <n v="36.950517414883329"/>
    <n v="36.969505169352779"/>
    <n v="32"/>
  </r>
  <r>
    <d v="2026-09-02T15:00:00"/>
    <x v="6"/>
    <n v="15"/>
    <n v="27.15226168706111"/>
    <n v="28.542427560777771"/>
    <n v="29.468533969319441"/>
    <n v="27.6"/>
    <n v="33.574081899191668"/>
    <n v="33.63096325638611"/>
    <n v="37.371366968449998"/>
    <n v="30"/>
  </r>
  <r>
    <d v="2026-09-02T16:00:00"/>
    <x v="6"/>
    <n v="16"/>
    <n v="27.47134488691389"/>
    <n v="29.709615915200001"/>
    <n v="29.55968381008611"/>
    <n v="27.4"/>
    <n v="36.385414786733342"/>
    <n v="34.71388051212778"/>
    <n v="37.858552794383343"/>
    <n v="31"/>
  </r>
  <r>
    <d v="2026-09-02T17:00:00"/>
    <x v="6"/>
    <n v="17"/>
    <n v="27.5066598521"/>
    <n v="29.122161354338889"/>
    <n v="29.626789181613891"/>
    <n v="26.8"/>
    <n v="37.563634818016673"/>
    <n v="36.46384603906111"/>
    <n v="38.655362808113892"/>
    <n v="33"/>
  </r>
  <r>
    <d v="2026-09-02T18:00:00"/>
    <x v="6"/>
    <n v="18"/>
    <n v="27.450784991652771"/>
    <n v="28.882634352413891"/>
    <n v="29.589755553455561"/>
    <n v="26"/>
    <n v="36.715398555305562"/>
    <n v="36.272648090147221"/>
    <n v="38.876832315677781"/>
    <n v="37"/>
  </r>
  <r>
    <d v="2026-09-02T19:00:00"/>
    <x v="6"/>
    <n v="19"/>
    <n v="27.232711720725"/>
    <n v="28.552283704669449"/>
    <n v="29.59605603547778"/>
    <n v="24.8"/>
    <n v="35.760283600216667"/>
    <n v="36.465906031772221"/>
    <n v="39.130855252544443"/>
    <n v="41"/>
  </r>
  <r>
    <d v="2026-09-02T20:00:00"/>
    <x v="6"/>
    <n v="20"/>
    <n v="26.786952598641669"/>
    <n v="28.341690191777779"/>
    <n v="29.558138665874999"/>
    <n v="23.3"/>
    <n v="37.205305074241657"/>
    <n v="37.427542038394442"/>
    <n v="39.214539912544453"/>
    <n v="47"/>
  </r>
  <r>
    <d v="2026-09-02T21:00:00"/>
    <x v="6"/>
    <n v="21"/>
    <n v="26.14064859299722"/>
    <n v="28.31776655714167"/>
    <n v="29.50082733047222"/>
    <n v="22.1"/>
    <n v="40.752181495055559"/>
    <n v="39.419272202783333"/>
    <n v="39.094381032358328"/>
    <n v="51"/>
  </r>
  <r>
    <d v="2026-09-02T22:00:00"/>
    <x v="6"/>
    <n v="22"/>
    <n v="25.963771893763891"/>
    <n v="28.48657538396667"/>
    <n v="29.469632862699999"/>
    <n v="21.1"/>
    <n v="40.931128858194448"/>
    <n v="38.876488720416667"/>
    <n v="39.079556322713891"/>
    <n v="54"/>
  </r>
  <r>
    <d v="2026-09-02T23:00:00"/>
    <x v="6"/>
    <n v="23"/>
    <n v="25.893852608308329"/>
    <n v="28.132941720483331"/>
    <n v="29.419466402125"/>
    <n v="20"/>
    <n v="40.181389390786123"/>
    <n v="38.633300748177781"/>
    <n v="39.176098271102767"/>
    <n v="57"/>
  </r>
  <r>
    <d v="2026-09-03T00:00:00"/>
    <x v="6"/>
    <n v="0"/>
    <n v="25.57953292023333"/>
    <n v="28.160913108530561"/>
    <n v="29.39566592435833"/>
    <n v="19.2"/>
    <n v="40.113347011077771"/>
    <n v="37.607493233044451"/>
    <n v="39.263951636547233"/>
    <n v="60"/>
  </r>
  <r>
    <d v="2026-09-03T01:00:00"/>
    <x v="6"/>
    <n v="1"/>
    <n v="25.14378671384722"/>
    <n v="27.478289588083332"/>
    <n v="29.31036611984722"/>
    <n v="18.399999999999999"/>
    <n v="40.685297998208327"/>
    <n v="38.391662143352782"/>
    <n v="39.739446635619437"/>
    <n v="63"/>
  </r>
  <r>
    <d v="2026-09-03T02:00:00"/>
    <x v="6"/>
    <n v="2"/>
    <n v="24.65000384121112"/>
    <n v="27.07143766015"/>
    <n v="29.261482859588892"/>
    <n v="17.7"/>
    <n v="40.564963565683328"/>
    <n v="37.499886150944441"/>
    <n v="39.635488381125001"/>
    <n v="66"/>
  </r>
  <r>
    <d v="2026-09-03T03:00:00"/>
    <x v="6"/>
    <n v="3"/>
    <n v="24.34487782461111"/>
    <n v="26.803830657411108"/>
    <n v="29.206293987691669"/>
    <n v="16.600000000000001"/>
    <n v="40.597680296791673"/>
    <n v="36.982121807144438"/>
    <n v="39.593244533763887"/>
    <n v="69"/>
  </r>
  <r>
    <d v="2026-09-03T04:00:00"/>
    <x v="6"/>
    <n v="4"/>
    <n v="24.060118273175"/>
    <n v="26.55169436990278"/>
    <n v="29.158110379788891"/>
    <n v="16"/>
    <n v="41.160729444005547"/>
    <n v="37.156616723733343"/>
    <n v="39.582043887711123"/>
    <n v="72"/>
  </r>
  <r>
    <d v="2026-09-03T05:00:00"/>
    <x v="6"/>
    <n v="5"/>
    <n v="23.828576163188892"/>
    <n v="26.394241600494439"/>
    <n v="29.118060833866672"/>
    <n v="15.3"/>
    <n v="41.604733087850001"/>
    <n v="37.252025132125013"/>
    <n v="39.601689713330558"/>
    <n v="75"/>
  </r>
  <r>
    <d v="2026-09-03T06:00:00"/>
    <x v="6"/>
    <n v="6"/>
    <n v="23.941856663377781"/>
    <n v="26.451939865375"/>
    <n v="29.087784398686111"/>
    <n v="14.9"/>
    <n v="41.796911915549998"/>
    <n v="37.43650824045833"/>
    <n v="39.643473738886108"/>
    <n v="77"/>
  </r>
  <r>
    <d v="2026-09-03T07:00:00"/>
    <x v="6"/>
    <n v="7"/>
    <n v="24.30976304156944"/>
    <n v="26.592309294616669"/>
    <n v="29.07478861432778"/>
    <n v="15.6"/>
    <n v="41.453714923741657"/>
    <n v="37.487713657413892"/>
    <n v="39.684726260291669"/>
    <n v="74"/>
  </r>
  <r>
    <d v="2026-09-03T08:00:00"/>
    <x v="6"/>
    <n v="8"/>
    <n v="25.104377848794439"/>
    <n v="26.907588790913891"/>
    <n v="29.078239058338891"/>
    <n v="17.3"/>
    <n v="40.40470709591667"/>
    <n v="37.624175074127777"/>
    <n v="39.758071931966661"/>
    <n v="66"/>
  </r>
  <r>
    <d v="2026-09-03T09:00:00"/>
    <x v="6"/>
    <n v="9"/>
    <n v="25.714908232966671"/>
    <n v="27.2588408628"/>
    <n v="29.096437114255551"/>
    <n v="19.7"/>
    <n v="39.301286528144438"/>
    <n v="37.580849170591669"/>
    <n v="39.828854189927767"/>
    <n v="56"/>
  </r>
  <r>
    <d v="2026-09-03T10:00:00"/>
    <x v="6"/>
    <n v="10"/>
    <n v="26.419061550466669"/>
    <n v="28.100381569675001"/>
    <n v="29.119283498158332"/>
    <n v="21.8"/>
    <n v="38.593294670213893"/>
    <n v="35.881958605130563"/>
    <n v="39.870849936355562"/>
    <n v="47"/>
  </r>
  <r>
    <d v="2026-09-03T11:00:00"/>
    <x v="6"/>
    <n v="11"/>
    <n v="26.89725075940833"/>
    <n v="28.593705244174998"/>
    <n v="29.15811300288334"/>
    <n v="23"/>
    <n v="37.721196407608339"/>
    <n v="35.730308808797233"/>
    <n v="39.872104257613891"/>
    <n v="43"/>
  </r>
  <r>
    <d v="2026-09-03T12:00:00"/>
    <x v="6"/>
    <n v="12"/>
    <n v="27.24379369905278"/>
    <n v="29.20079748615278"/>
    <n v="29.241314533255562"/>
    <n v="24.2"/>
    <n v="36.738693035572233"/>
    <n v="36.033801021286124"/>
    <n v="42.141591573299998"/>
    <n v="39"/>
  </r>
  <r>
    <d v="2026-09-03T13:00:00"/>
    <x v="6"/>
    <n v="13"/>
    <n v="27.246083551405562"/>
    <n v="28.78198491639445"/>
    <m/>
    <n v="25"/>
    <n v="35.997735698144453"/>
    <n v="34.762089998619437"/>
    <m/>
    <n v="38"/>
  </r>
  <r>
    <d v="2026-09-03T14:00:00"/>
    <x v="6"/>
    <n v="14"/>
    <n v="27.24239336360278"/>
    <n v="28.753951208825001"/>
    <m/>
    <n v="25.4"/>
    <n v="34.974843028263898"/>
    <n v="33.649235593411113"/>
    <m/>
    <n v="38"/>
  </r>
  <r>
    <d v="2026-09-03T15:00:00"/>
    <x v="6"/>
    <n v="15"/>
    <n v="27.17553079147778"/>
    <n v="28.383927737488889"/>
    <m/>
    <n v="25.9"/>
    <n v="32.81043226532222"/>
    <n v="33.364776842702781"/>
    <m/>
    <n v="35"/>
  </r>
  <r>
    <d v="2026-09-03T16:00:00"/>
    <x v="6"/>
    <n v="16"/>
    <n v="27.14748202737222"/>
    <n v="28.503978737905559"/>
    <n v="29.036326021128222"/>
    <n v="25.7"/>
    <n v="32.436583995649997"/>
    <n v="32.395586274744453"/>
    <n v="39.520529392536098"/>
    <n v="35"/>
  </r>
  <r>
    <d v="2026-09-03T17:00:00"/>
    <x v="6"/>
    <n v="17"/>
    <n v="27.121180912174999"/>
    <n v="28.354828130849999"/>
    <n v="29.340383409897221"/>
    <n v="25.4"/>
    <n v="32.273878610511112"/>
    <n v="32.319198124066673"/>
    <n v="39.524789766158342"/>
    <n v="36"/>
  </r>
  <r>
    <d v="2026-09-03T18:00:00"/>
    <x v="6"/>
    <n v="18"/>
    <n v="25.783589617122221"/>
    <n v="27.311117397625001"/>
    <n v="29.456821119583331"/>
    <n v="24.8"/>
    <n v="32.28473823291111"/>
    <n v="32.414790318183343"/>
    <n v="39.272877898555564"/>
    <n v="37"/>
  </r>
  <r>
    <d v="2026-09-03T19:00:00"/>
    <x v="6"/>
    <n v="19"/>
    <n v="24.98834387710556"/>
    <n v="27.079089423105561"/>
    <n v="29.489017551625"/>
    <n v="23.8"/>
    <n v="32.791854023750012"/>
    <n v="31.1091755978"/>
    <n v="38.718841760686111"/>
    <n v="39"/>
  </r>
  <r>
    <d v="2026-09-03T20:00:00"/>
    <x v="6"/>
    <n v="20"/>
    <n v="24.6237454089"/>
    <n v="26.65869500668612"/>
    <n v="29.543013909163889"/>
    <n v="23"/>
    <n v="31.5157501184"/>
    <n v="29.691098188388889"/>
    <n v="38.410245778405553"/>
    <n v="42"/>
  </r>
  <r>
    <d v="2026-09-03T21:00:00"/>
    <x v="6"/>
    <n v="21"/>
    <n v="25.805654794436109"/>
    <n v="27.335635733855561"/>
    <n v="29.518784047688889"/>
    <n v="22.3"/>
    <n v="34.540025929800002"/>
    <n v="32.505917261225001"/>
    <n v="38.377950731913892"/>
    <n v="45"/>
  </r>
  <r>
    <d v="2026-09-03T22:00:00"/>
    <x v="6"/>
    <n v="22"/>
    <n v="26.373460975827779"/>
    <n v="27.77663531330278"/>
    <n v="29.476039039166661"/>
    <n v="22"/>
    <n v="36.524183450711121"/>
    <n v="35.152141131424997"/>
    <n v="38.781058865902779"/>
    <n v="46"/>
  </r>
  <r>
    <d v="2026-09-03T23:00:00"/>
    <x v="6"/>
    <n v="23"/>
    <n v="25.68118172339166"/>
    <n v="27.569062111413889"/>
    <n v="29.45827798620833"/>
    <n v="20.2"/>
    <n v="38.351845857736123"/>
    <n v="36.650572116955551"/>
    <n v="39.179984587272223"/>
    <n v="55"/>
  </r>
  <r>
    <d v="2026-09-04T00:00:00"/>
    <x v="6"/>
    <n v="0"/>
    <n v="24.90685328764722"/>
    <n v="26.997847281550001"/>
    <n v="29.51487841644445"/>
    <n v="17.600000000000001"/>
    <n v="40.728195403641656"/>
    <n v="36.791131701888887"/>
    <n v="39.445788619611122"/>
    <n v="72"/>
  </r>
  <r>
    <d v="2026-09-04T01:00:00"/>
    <x v="6"/>
    <n v="1"/>
    <n v="24.42227267928056"/>
    <n v="26.817969697041669"/>
    <n v="29.58600290895556"/>
    <n v="17.5"/>
    <n v="41.735627712961112"/>
    <n v="36.960622751091663"/>
    <n v="39.654797944466672"/>
    <n v="73"/>
  </r>
  <r>
    <d v="2026-09-04T02:00:00"/>
    <x v="6"/>
    <n v="2"/>
    <n v="24.619459498733331"/>
    <n v="26.359891620986119"/>
    <n v="29.618083231611109"/>
    <n v="16.8"/>
    <n v="41.11515335947778"/>
    <n v="37.335753208858343"/>
    <n v="39.790768680858328"/>
    <n v="77"/>
  </r>
  <r>
    <d v="2026-09-04T03:00:00"/>
    <x v="6"/>
    <n v="3"/>
    <n v="24.155005075552779"/>
    <n v="26.331217738075001"/>
    <n v="29.624862499291659"/>
    <n v="15.6"/>
    <n v="42.865127473313891"/>
    <n v="37.894539836024997"/>
    <n v="39.918881486988887"/>
    <n v="86"/>
  </r>
  <r>
    <d v="2026-09-04T04:00:00"/>
    <x v="6"/>
    <n v="4"/>
    <n v="24.05286135024722"/>
    <n v="26.031663421061111"/>
    <n v="29.627579918161111"/>
    <n v="15.2"/>
    <n v="43.326136654088891"/>
    <n v="38.6950772044"/>
    <n v="40.053074054711111"/>
    <n v="90"/>
  </r>
  <r>
    <d v="2026-09-04T05:00:00"/>
    <x v="6"/>
    <n v="5"/>
    <n v="23.85550003570556"/>
    <n v="25.773472307091659"/>
    <n v="29.496396760900002"/>
    <n v="14.8"/>
    <n v="43.252523400874999"/>
    <n v="38.740929001502778"/>
    <n v="40.137098832525012"/>
    <n v="91"/>
  </r>
  <r>
    <d v="2026-09-04T06:00:00"/>
    <x v="6"/>
    <n v="6"/>
    <n v="23.814541942288891"/>
    <n v="25.98029219808889"/>
    <n v="29.395261688819438"/>
    <n v="14.8"/>
    <n v="43.828310414244442"/>
    <n v="38.580373269288891"/>
    <n v="40.206142822663892"/>
    <n v="90"/>
  </r>
  <r>
    <d v="2026-09-04T07:00:00"/>
    <x v="6"/>
    <n v="7"/>
    <n v="25.142962339486111"/>
    <n v="27.002168488077771"/>
    <n v="29.370819356008329"/>
    <n v="15.3"/>
    <n v="41.735133425527778"/>
    <n v="37.709938254686108"/>
    <n v="40.226903351422223"/>
    <n v="89"/>
  </r>
  <r>
    <d v="2026-09-04T08:00:00"/>
    <x v="6"/>
    <n v="8"/>
    <n v="26.100249395658331"/>
    <n v="27.83279092153056"/>
    <n v="29.38526490558889"/>
    <n v="16.399999999999999"/>
    <n v="40.328090172269448"/>
    <n v="37.346693888197223"/>
    <n v="40.296296719380557"/>
    <n v="84"/>
  </r>
  <r>
    <d v="2026-09-04T09:00:00"/>
    <x v="6"/>
    <n v="9"/>
    <n v="26.736083366113888"/>
    <n v="28.56234843449722"/>
    <n v="29.397487164405561"/>
    <n v="18.2"/>
    <n v="38.394734666702767"/>
    <n v="35.601265500516668"/>
    <n v="40.33141494974722"/>
    <n v="72"/>
  </r>
  <r>
    <d v="2026-09-04T10:00:00"/>
    <x v="6"/>
    <n v="10"/>
    <n v="27.147393125519439"/>
    <n v="29.276589873538889"/>
    <n v="29.42368197779167"/>
    <n v="20.3"/>
    <n v="37.755012682386109"/>
    <n v="35.034940282302777"/>
    <n v="40.314362136574999"/>
    <n v="59"/>
  </r>
  <r>
    <d v="2026-09-04T11:00:00"/>
    <x v="6"/>
    <n v="11"/>
    <n v="27.376515900269439"/>
    <n v="29.287620421216669"/>
    <n v="29.434962311011109"/>
    <n v="21.9"/>
    <n v="35.481003365855557"/>
    <n v="33.120647174216657"/>
    <n v="40.736996628700012"/>
    <n v="51"/>
  </r>
  <r>
    <d v="2026-09-04T12:00:00"/>
    <x v="6"/>
    <n v="12"/>
    <n v="27.380775852011109"/>
    <n v="28.902045828780562"/>
    <n v="29.16350204282778"/>
    <n v="23.1"/>
    <n v="34.587091123402779"/>
    <n v="35.876222136169453"/>
    <n v="41.832540954172217"/>
    <n v="45"/>
  </r>
  <r>
    <d v="2026-09-04T13:00:00"/>
    <x v="6"/>
    <n v="13"/>
    <n v="27.199336258411108"/>
    <n v="28.60632980846389"/>
    <n v="28.93135574169445"/>
    <n v="24"/>
    <n v="33.866141010441673"/>
    <n v="37.808120935202773"/>
    <n v="41.084489491608331"/>
    <n v="40"/>
  </r>
  <r>
    <d v="2026-09-04T14:00:00"/>
    <x v="6"/>
    <n v="14"/>
    <n v="27.140695272005559"/>
    <n v="28.458170835927781"/>
    <n v="28.77147937744445"/>
    <n v="24.6"/>
    <n v="32.129594791430563"/>
    <n v="35.2693224418"/>
    <n v="39.798606370086112"/>
    <n v="38"/>
  </r>
  <r>
    <d v="2026-09-04T15:00:00"/>
    <x v="6"/>
    <n v="15"/>
    <n v="27.151853694077779"/>
    <n v="28.407938270224999"/>
    <n v="28.655082034972221"/>
    <n v="25.7"/>
    <n v="30.977390650408331"/>
    <n v="32.725420458830563"/>
    <n v="38.54658490758333"/>
    <n v="33"/>
  </r>
  <r>
    <d v="2026-09-04T16:00:00"/>
    <x v="6"/>
    <n v="16"/>
    <n v="27.18795829945833"/>
    <n v="28.59383087885556"/>
    <n v="28.791081017250001"/>
    <n v="25.7"/>
    <n v="31.038214431447219"/>
    <n v="33.183198795750009"/>
    <n v="39.132657537258332"/>
    <n v="32"/>
  </r>
  <r>
    <d v="2026-09-04T17:00:00"/>
    <x v="6"/>
    <n v="17"/>
    <n v="27.09928900458889"/>
    <n v="28.117212890722229"/>
    <n v="29.023394616747229"/>
    <n v="25.4"/>
    <n v="31.196059672322221"/>
    <n v="34.145386796552778"/>
    <n v="39.453491381972221"/>
    <n v="33"/>
  </r>
  <r>
    <d v="2026-09-04T18:00:00"/>
    <x v="6"/>
    <n v="18"/>
    <n v="26.89414347856945"/>
    <n v="27.78923444208333"/>
    <n v="29.11508462716111"/>
    <n v="24.8"/>
    <n v="30.910895500599999"/>
    <n v="33.462529860263892"/>
    <n v="39.413938807669453"/>
    <n v="34"/>
  </r>
  <r>
    <d v="2026-09-04T19:00:00"/>
    <x v="6"/>
    <n v="19"/>
    <n v="26.575716224163891"/>
    <n v="27.494467968641668"/>
    <n v="29.15411275423611"/>
    <n v="23.7"/>
    <n v="31.802884004494441"/>
    <n v="33.243167128791661"/>
    <n v="39.278732371166669"/>
    <n v="37"/>
  </r>
  <r>
    <d v="2026-09-04T20:00:00"/>
    <x v="6"/>
    <n v="20"/>
    <n v="26.21609262845277"/>
    <n v="27.307305295038891"/>
    <n v="29.18215299643612"/>
    <n v="22.7"/>
    <n v="32.513009007961109"/>
    <n v="32.751483895450001"/>
    <n v="39.205259170619449"/>
    <n v="41"/>
  </r>
  <r>
    <d v="2026-09-04T21:00:00"/>
    <x v="6"/>
    <n v="21"/>
    <n v="25.958138076166659"/>
    <n v="27.098430066616672"/>
    <n v="29.16766592085278"/>
    <n v="21.6"/>
    <n v="32.400213419575003"/>
    <n v="32.461295450902767"/>
    <n v="39.141469628016672"/>
    <n v="53"/>
  </r>
  <r>
    <d v="2026-09-04T22:00:00"/>
    <x v="6"/>
    <n v="22"/>
    <n v="25.705263002683331"/>
    <n v="27.1189366961"/>
    <n v="29.129096013119451"/>
    <n v="20.6"/>
    <n v="33.43649346880278"/>
    <n v="33.639937998394437"/>
    <n v="38.976430701127782"/>
    <n v="54"/>
  </r>
  <r>
    <d v="2026-09-04T23:00:00"/>
    <x v="6"/>
    <n v="23"/>
    <n v="25.461301224900001"/>
    <n v="27.175854482358329"/>
    <n v="29.149876333224999"/>
    <n v="19.399999999999999"/>
    <n v="34.579016934302778"/>
    <n v="34.31672967778055"/>
    <n v="39.115765063791663"/>
    <n v="58"/>
  </r>
  <r>
    <d v="2026-09-05T00:00:00"/>
    <x v="6"/>
    <n v="0"/>
    <n v="25.39496061057778"/>
    <n v="27.36515316368056"/>
    <n v="29.153041322383331"/>
    <n v="18.600000000000001"/>
    <n v="34.473037278366668"/>
    <n v="34.416140763611111"/>
    <n v="39.150986532088893"/>
    <n v="59"/>
  </r>
  <r>
    <d v="2026-09-05T01:00:00"/>
    <x v="6"/>
    <n v="1"/>
    <n v="25.10239105171112"/>
    <n v="27.297141784775"/>
    <n v="29.15348651564722"/>
    <n v="18.100000000000001"/>
    <n v="35.216566069780548"/>
    <n v="34.257520275447227"/>
    <n v="39.142709758891662"/>
    <n v="59"/>
  </r>
  <r>
    <d v="2026-09-05T02:00:00"/>
    <x v="6"/>
    <n v="2"/>
    <n v="25.03475226648056"/>
    <n v="26.76127131637222"/>
    <n v="29.14188892883611"/>
    <n v="17.600000000000001"/>
    <n v="35.712744402275"/>
    <n v="34.503772365766672"/>
    <n v="39.195988842894451"/>
    <n v="59"/>
  </r>
  <r>
    <d v="2026-09-05T03:00:00"/>
    <x v="6"/>
    <n v="3"/>
    <n v="24.963815067916659"/>
    <n v="26.333551139413888"/>
    <n v="29.111136142333329"/>
    <n v="16.7"/>
    <n v="35.380997484352783"/>
    <n v="33.676065209647227"/>
    <n v="39.108727584544447"/>
    <n v="64"/>
  </r>
  <r>
    <d v="2026-09-05T04:00:00"/>
    <x v="6"/>
    <n v="4"/>
    <n v="24.641844183116671"/>
    <n v="26.170972005472219"/>
    <n v="29.069915645319441"/>
    <n v="16.5"/>
    <n v="35.916455909905558"/>
    <n v="33.739605945722232"/>
    <n v="39.029069174391672"/>
    <n v="64"/>
  </r>
  <r>
    <d v="2026-09-05T05:00:00"/>
    <x v="6"/>
    <n v="5"/>
    <n v="24.344819267386111"/>
    <n v="26.646957643663889"/>
    <n v="29.037026059875"/>
    <n v="16.399999999999999"/>
    <n v="36.451722558783338"/>
    <n v="32.896764784963892"/>
    <n v="38.951609636261111"/>
    <n v="63"/>
  </r>
  <r>
    <d v="2026-09-05T06:00:00"/>
    <x v="6"/>
    <n v="6"/>
    <n v="24.586829785444451"/>
    <n v="26.521206428149998"/>
    <n v="29.005291138791659"/>
    <n v="16"/>
    <n v="36.19169731428611"/>
    <n v="33.127757610847233"/>
    <n v="38.906390400613887"/>
    <n v="65"/>
  </r>
  <r>
    <d v="2026-09-05T07:00:00"/>
    <x v="6"/>
    <n v="7"/>
    <n v="25.40515373763056"/>
    <n v="27.344902088780561"/>
    <n v="29.008569809736109"/>
    <n v="16.5"/>
    <n v="35.560518289694443"/>
    <n v="32.762889795402778"/>
    <n v="39.040201528916668"/>
    <n v="66"/>
  </r>
  <r>
    <d v="2026-09-05T08:00:00"/>
    <x v="6"/>
    <n v="8"/>
    <n v="26.052987348338888"/>
    <n v="27.98038259530556"/>
    <n v="29.050655211419439"/>
    <n v="18.2"/>
    <n v="36.041731780111121"/>
    <n v="33.209580432305557"/>
    <n v="39.219772066097221"/>
    <n v="64"/>
  </r>
  <r>
    <d v="2026-09-05T09:00:00"/>
    <x v="6"/>
    <n v="9"/>
    <n v="26.626119544249999"/>
    <n v="28.789371967608329"/>
    <n v="29.109851365577779"/>
    <n v="20.5"/>
    <n v="35.527539424494442"/>
    <n v="32.662349775172217"/>
    <n v="39.37181147839167"/>
    <n v="60"/>
  </r>
  <r>
    <d v="2026-09-05T10:00:00"/>
    <x v="6"/>
    <n v="10"/>
    <n v="26.87551899658056"/>
    <n v="28.618218146977771"/>
    <n v="29.170834274080558"/>
    <n v="22.6"/>
    <n v="35.336184151091658"/>
    <n v="33.333186421763891"/>
    <n v="39.506078731794453"/>
    <n v="54"/>
  </r>
  <r>
    <d v="2026-09-05T11:00:00"/>
    <x v="6"/>
    <n v="11"/>
    <n v="26.50550650753334"/>
    <n v="27.345158867319441"/>
    <n v="29.189377088222219"/>
    <n v="24.8"/>
    <n v="36.430600237811113"/>
    <n v="35.758407146958326"/>
    <n v="39.656589913213892"/>
    <n v="46"/>
  </r>
  <r>
    <d v="2026-09-05T12:00:00"/>
    <x v="6"/>
    <n v="12"/>
    <n v="26.480175644974999"/>
    <n v="27.449825410038891"/>
    <n v="29.202417697502771"/>
    <n v="24.8"/>
    <n v="36.707909791741663"/>
    <n v="37.180422059452773"/>
    <n v="39.777255587527783"/>
    <n v="46"/>
  </r>
  <r>
    <d v="2026-09-05T13:00:00"/>
    <x v="6"/>
    <n v="13"/>
    <n v="26.634805493619439"/>
    <n v="27.56507007615"/>
    <n v="29.157125438086108"/>
    <n v="25.5"/>
    <n v="36.212691467197217"/>
    <n v="36.623763898294442"/>
    <n v="40.618018799569448"/>
    <n v="44"/>
  </r>
  <r>
    <d v="2026-09-05T14:00:00"/>
    <x v="6"/>
    <n v="14"/>
    <n v="26.937731836266661"/>
    <n v="27.76909127893056"/>
    <n v="29.301855551530551"/>
    <n v="26.2"/>
    <n v="35.605224843350001"/>
    <n v="36.79899942803889"/>
    <n v="40.52084788463889"/>
    <n v="42"/>
  </r>
  <r>
    <d v="2026-09-05T15:00:00"/>
    <x v="6"/>
    <n v="15"/>
    <n v="27.186667176861111"/>
    <n v="28.037864821913889"/>
    <n v="29.288903575936111"/>
    <n v="28.6"/>
    <n v="36.861085887013893"/>
    <n v="38.030707517674998"/>
    <n v="42.403333981141657"/>
    <n v="35"/>
  </r>
  <r>
    <d v="2026-09-05T16:00:00"/>
    <x v="6"/>
    <n v="16"/>
    <n v="27.349950158702779"/>
    <n v="28.164849695141669"/>
    <n v="29.19501123624444"/>
    <n v="27.6"/>
    <n v="36.706790498755559"/>
    <n v="37.16186300313889"/>
    <n v="43.327583662638887"/>
    <n v="39"/>
  </r>
  <r>
    <d v="2026-09-05T17:00:00"/>
    <x v="6"/>
    <n v="17"/>
    <n v="27.410102025627779"/>
    <n v="28.329690137663889"/>
    <n v="29.07322545915833"/>
    <n v="26.7"/>
    <n v="37.928455639130561"/>
    <n v="39.07748429076667"/>
    <n v="46.946013559413892"/>
    <n v="42"/>
  </r>
  <r>
    <d v="2026-09-05T18:00:00"/>
    <x v="6"/>
    <n v="18"/>
    <n v="27.29430737440833"/>
    <n v="28.203837229000001"/>
    <n v="28.88755097380556"/>
    <n v="25.3"/>
    <n v="38.486001137458338"/>
    <n v="41.642265664444452"/>
    <n v="48.866859623900012"/>
    <n v="51"/>
  </r>
  <r>
    <d v="2026-09-05T19:00:00"/>
    <x v="6"/>
    <n v="19"/>
    <n v="26.866724513116669"/>
    <n v="27.573341051313889"/>
    <n v="29.15364722407222"/>
    <n v="24.7"/>
    <n v="41.584697182905551"/>
    <n v="42.936315500288892"/>
    <n v="45.413045222127778"/>
    <n v="52"/>
  </r>
  <r>
    <d v="2026-09-05T20:00:00"/>
    <x v="6"/>
    <n v="20"/>
    <n v="26.08757165486389"/>
    <n v="27.48573335695556"/>
    <n v="29.250882546147221"/>
    <n v="21.9"/>
    <n v="51.374921736144451"/>
    <n v="49.748675029386114"/>
    <n v="46.290845236447218"/>
    <n v="67"/>
  </r>
  <r>
    <d v="2026-09-05T21:00:00"/>
    <x v="6"/>
    <n v="21"/>
    <n v="25.736045471827779"/>
    <n v="27.805376365397219"/>
    <n v="28.77767862453889"/>
    <n v="19.8"/>
    <n v="55.371407360027781"/>
    <n v="51.022380978991663"/>
    <n v="54.561224029041682"/>
    <n v="87"/>
  </r>
  <r>
    <d v="2026-09-05T22:00:00"/>
    <x v="6"/>
    <n v="22"/>
    <n v="25.304663618611109"/>
    <n v="27.84631023765278"/>
    <n v="28.95488844620278"/>
    <n v="18.7"/>
    <n v="57.63570712895833"/>
    <n v="52.051725739122219"/>
    <n v="51.28945250973333"/>
    <n v="94"/>
  </r>
  <r>
    <d v="2026-09-05T23:00:00"/>
    <x v="6"/>
    <n v="23"/>
    <n v="24.92005108424722"/>
    <n v="28.155872079091669"/>
    <n v="29.145287464852782"/>
    <n v="18.5"/>
    <n v="56.850207307041657"/>
    <n v="49.601252657672227"/>
    <n v="50.528193411258343"/>
    <n v="94"/>
  </r>
  <r>
    <d v="2026-09-06T00:00:00"/>
    <x v="6"/>
    <n v="0"/>
    <n v="24.807912865661109"/>
    <n v="27.99317592115834"/>
    <n v="29.30791090101112"/>
    <n v="18.2"/>
    <n v="53.51070109126389"/>
    <n v="47.459671480819438"/>
    <n v="48.777706510358342"/>
    <n v="95"/>
  </r>
  <r>
    <d v="2026-09-06T01:00:00"/>
    <x v="6"/>
    <n v="1"/>
    <n v="24.72447645155556"/>
    <n v="27.583792861969449"/>
    <n v="29.333374135974999"/>
    <n v="17.899999999999999"/>
    <n v="51.722482554238887"/>
    <n v="46.286414038855547"/>
    <n v="48.667392681555562"/>
    <n v="94"/>
  </r>
  <r>
    <d v="2026-09-06T02:00:00"/>
    <x v="6"/>
    <n v="2"/>
    <n v="24.26265937153056"/>
    <n v="27.045479007074999"/>
    <n v="29.377002230216661"/>
    <n v="17.2"/>
    <n v="51.852636629988893"/>
    <n v="46.362391008811109"/>
    <n v="47.869374521719443"/>
    <n v="91"/>
  </r>
  <r>
    <d v="2026-09-06T03:00:00"/>
    <x v="6"/>
    <n v="3"/>
    <n v="24.025744845736121"/>
    <n v="26.60644034496389"/>
    <n v="29.391568245730561"/>
    <n v="17"/>
    <n v="51.330792063927781"/>
    <n v="46.40649120286389"/>
    <n v="47.072851559494453"/>
    <n v="87"/>
  </r>
  <r>
    <d v="2026-09-06T04:00:00"/>
    <x v="6"/>
    <n v="4"/>
    <n v="23.618792732211109"/>
    <n v="26.397630239074999"/>
    <n v="29.349996497808331"/>
    <n v="16.2"/>
    <n v="50.441161082197233"/>
    <n v="45.324988705447232"/>
    <n v="46.464258890375"/>
    <n v="84"/>
  </r>
  <r>
    <d v="2026-09-06T05:00:00"/>
    <x v="6"/>
    <n v="5"/>
    <n v="23.403951678647221"/>
    <n v="26.215091661236109"/>
    <n v="29.30134436714167"/>
    <n v="15.3"/>
    <n v="48.486803354999999"/>
    <n v="43.493738964922223"/>
    <n v="45.841065091527781"/>
    <n v="82"/>
  </r>
  <r>
    <d v="2026-09-06T06:00:00"/>
    <x v="6"/>
    <n v="6"/>
    <n v="23.59806228285278"/>
    <n v="26.13838918385278"/>
    <n v="29.242150023044449"/>
    <n v="14.6"/>
    <n v="47.640204082102777"/>
    <n v="42.708731752527783"/>
    <n v="45.325250930205563"/>
    <n v="81"/>
  </r>
  <r>
    <d v="2026-09-06T07:00:00"/>
    <x v="6"/>
    <n v="7"/>
    <n v="24.454858512772219"/>
    <n v="26.733756430450001"/>
    <n v="29.19876259904445"/>
    <n v="14.8"/>
    <n v="44.413625311991673"/>
    <n v="41.075701476238891"/>
    <n v="45.025415757388892"/>
    <n v="77"/>
  </r>
  <r>
    <d v="2026-09-06T08:00:00"/>
    <x v="6"/>
    <n v="8"/>
    <n v="25.583879056163891"/>
    <n v="27.340645435599999"/>
    <n v="29.186346617550001"/>
    <n v="16.2"/>
    <n v="40.416690107319447"/>
    <n v="39.60365104878889"/>
    <n v="44.73834690253333"/>
    <n v="71"/>
  </r>
  <r>
    <d v="2026-09-06T09:00:00"/>
    <x v="6"/>
    <n v="9"/>
    <n v="26.437218413322221"/>
    <n v="28.057723138208331"/>
    <n v="29.19497339262778"/>
    <n v="17.399999999999999"/>
    <n v="37.318379525733327"/>
    <n v="37.364456148902782"/>
    <n v="44.51458646959167"/>
    <n v="68"/>
  </r>
  <r>
    <d v="2026-09-06T10:00:00"/>
    <x v="6"/>
    <n v="10"/>
    <n v="26.84454101020556"/>
    <n v="28.457838383475"/>
    <n v="29.217391143775"/>
    <n v="18.600000000000001"/>
    <n v="34.21265199829444"/>
    <n v="34.984609737530548"/>
    <n v="44.266897969463891"/>
    <n v="59"/>
  </r>
  <r>
    <d v="2026-09-06T11:00:00"/>
    <x v="6"/>
    <n v="11"/>
    <n v="26.852246571816661"/>
    <n v="28.290465509616659"/>
    <n v="29.233638806938892"/>
    <n v="19.600000000000001"/>
    <n v="32.662837209000003"/>
    <n v="34.564186263908333"/>
    <n v="43.957036990213894"/>
    <n v="51"/>
  </r>
  <r>
    <d v="2026-09-06T12:00:00"/>
    <x v="6"/>
    <n v="12"/>
    <n v="26.43206576386666"/>
    <n v="27.851518075794441"/>
    <n v="29.24263884576111"/>
    <n v="20.3"/>
    <n v="31.475585469983329"/>
    <n v="33.017778562750003"/>
    <n v="43.510245868574998"/>
    <n v="45"/>
  </r>
  <r>
    <d v="2026-09-06T13:00:00"/>
    <x v="6"/>
    <n v="13"/>
    <n v="26.19824514028333"/>
    <n v="27.753938986369441"/>
    <n v="29.215123419916669"/>
    <n v="20.7"/>
    <n v="31.151743530541669"/>
    <n v="31.815295591508331"/>
    <n v="42.530967874961107"/>
    <n v="42"/>
  </r>
  <r>
    <d v="2026-09-06T14:00:00"/>
    <x v="6"/>
    <n v="14"/>
    <n v="25.936321604208331"/>
    <n v="27.83030109105556"/>
    <n v="28.769381841738891"/>
    <n v="21.2"/>
    <n v="32.230785233208337"/>
    <n v="33.210252496350002"/>
    <n v="40.247672449838888"/>
    <n v="44"/>
  </r>
  <r>
    <d v="2026-09-06T15:00:00"/>
    <x v="6"/>
    <n v="15"/>
    <n v="25.588408199869441"/>
    <n v="27.417838048349999"/>
    <n v="28.950481743502781"/>
    <n v="20.9"/>
    <n v="36.285398280608327"/>
    <n v="34.470937250283328"/>
    <n v="41.569812588880559"/>
    <n v="43"/>
  </r>
  <r>
    <d v="2026-09-06T16:00:00"/>
    <x v="6"/>
    <n v="16"/>
    <n v="25.315981713616669"/>
    <n v="27.286107338655551"/>
    <n v="29.061018006352779"/>
    <n v="17.7"/>
    <n v="35.776460613386107"/>
    <n v="34.608401570727779"/>
    <n v="41.797975513902777"/>
    <n v="66"/>
  </r>
  <r>
    <d v="2026-09-06T17:00:00"/>
    <x v="6"/>
    <n v="17"/>
    <n v="24.921049182705559"/>
    <n v="27.505652723238889"/>
    <n v="28.687108297352779"/>
    <n v="18"/>
    <n v="37.209165278288893"/>
    <n v="35.902267455547218"/>
    <n v="41.262783472966667"/>
    <n v="60"/>
  </r>
  <r>
    <d v="2026-09-06T18:00:00"/>
    <x v="6"/>
    <n v="18"/>
    <n v="24.41974496203056"/>
    <n v="27.376197699616672"/>
    <n v="27.878447958058331"/>
    <n v="16.3"/>
    <n v="39.862479989355563"/>
    <n v="37.465697808949997"/>
    <n v="42.900223734800001"/>
    <n v="73"/>
  </r>
  <r>
    <d v="2026-09-06T19:00:00"/>
    <x v="6"/>
    <n v="19"/>
    <n v="24.122798361055551"/>
    <n v="26.844115833561119"/>
    <n v="28.237179473563891"/>
    <n v="15.4"/>
    <n v="41.529266973027781"/>
    <n v="38.700651617883331"/>
    <n v="42.865606134844448"/>
    <n v="80"/>
  </r>
  <r>
    <d v="2026-09-06T20:00:00"/>
    <x v="6"/>
    <n v="20"/>
    <n v="23.702345753811109"/>
    <n v="26.969290696052781"/>
    <n v="28.367078123327779"/>
    <n v="14.4"/>
    <n v="47.228747919897224"/>
    <n v="49.293868652005557"/>
    <n v="47.415792658219438"/>
    <n v="86"/>
  </r>
  <r>
    <d v="2026-09-06T21:00:00"/>
    <x v="6"/>
    <n v="21"/>
    <n v="23.57106105082778"/>
    <n v="27.113064906122229"/>
    <n v="27.445574568166659"/>
    <n v="14.1"/>
    <n v="43.576914937580547"/>
    <n v="39.976737781833329"/>
    <n v="45.578029005266671"/>
    <n v="85"/>
  </r>
  <r>
    <d v="2026-09-06T22:00:00"/>
    <x v="6"/>
    <n v="22"/>
    <n v="23.258415596369449"/>
    <n v="27.122107332555551"/>
    <n v="26.934510752213889"/>
    <n v="13.4"/>
    <n v="44.47818378585"/>
    <n v="40.948748033013892"/>
    <n v="45.834284540838887"/>
    <n v="88"/>
  </r>
  <r>
    <d v="2026-09-06T23:00:00"/>
    <x v="6"/>
    <n v="23"/>
    <n v="23.265499467458341"/>
    <n v="27.206704858444439"/>
    <n v="26.730780470319441"/>
    <n v="12.8"/>
    <n v="43.59201022175278"/>
    <n v="39.080707009919443"/>
    <n v="45.989205022252783"/>
    <n v="93"/>
  </r>
  <r>
    <d v="2026-09-07T00:00:00"/>
    <x v="6"/>
    <n v="0"/>
    <n v="23.18232058678889"/>
    <n v="27.09548206257778"/>
    <n v="26.583389862469449"/>
    <n v="12.1"/>
    <n v="43.939308436041657"/>
    <n v="38.169381050247218"/>
    <n v="45.994183744608343"/>
    <n v="94"/>
  </r>
  <r>
    <d v="2026-09-07T01:00:00"/>
    <x v="6"/>
    <n v="1"/>
    <n v="22.622989152300001"/>
    <n v="26.483981124105551"/>
    <n v="26.53992186885278"/>
    <n v="12.2"/>
    <n v="44.836702171666673"/>
    <n v="39.249437152505557"/>
    <n v="45.551354955150003"/>
    <n v="93"/>
  </r>
  <r>
    <d v="2026-09-07T02:00:00"/>
    <x v="6"/>
    <n v="2"/>
    <n v="22.042769507627771"/>
    <n v="25.709262588138891"/>
    <n v="27.293641051461108"/>
    <n v="12.1"/>
    <n v="45.16700497576111"/>
    <n v="38.619963361611113"/>
    <n v="44.622483207480563"/>
    <n v="93"/>
  </r>
  <r>
    <d v="2026-09-07T03:00:00"/>
    <x v="6"/>
    <n v="3"/>
    <n v="21.64181660752778"/>
    <n v="25.358946645450001"/>
    <n v="27.74256342234445"/>
    <n v="11.9"/>
    <n v="45.461129438769447"/>
    <n v="38.227663048594451"/>
    <n v="43.87858175821389"/>
    <n v="88"/>
  </r>
  <r>
    <d v="2026-09-07T04:00:00"/>
    <x v="6"/>
    <n v="4"/>
    <n v="21.191701920961108"/>
    <n v="25.06174812554444"/>
    <n v="27.97856875931944"/>
    <n v="11.7"/>
    <n v="46.516502816100001"/>
    <n v="38.473639843519443"/>
    <n v="43.399011596438889"/>
    <n v="88"/>
  </r>
  <r>
    <d v="2026-09-07T05:00:00"/>
    <x v="6"/>
    <n v="5"/>
    <n v="21.115970843247229"/>
    <n v="24.887027252341671"/>
    <n v="28.124271836666669"/>
    <n v="11.4"/>
    <n v="46.938055596950001"/>
    <n v="38.744303827800003"/>
    <n v="43.029436169205553"/>
    <n v="89"/>
  </r>
  <r>
    <d v="2026-09-07T06:00:00"/>
    <x v="6"/>
    <n v="6"/>
    <n v="21.03688667523333"/>
    <n v="24.66247427685278"/>
    <n v="28.219048228455559"/>
    <n v="11.2"/>
    <n v="47.766031280113893"/>
    <n v="39.341091694266673"/>
    <n v="42.730744079127781"/>
    <n v="90"/>
  </r>
  <r>
    <d v="2026-09-07T07:00:00"/>
    <x v="6"/>
    <n v="7"/>
    <n v="21.166599147413891"/>
    <n v="24.61784793685278"/>
    <n v="28.28137866894722"/>
    <n v="11.7"/>
    <n v="47.811309209727767"/>
    <n v="39.728320149208344"/>
    <n v="42.578160798222221"/>
    <n v="89"/>
  </r>
  <r>
    <d v="2026-09-07T08:00:00"/>
    <x v="6"/>
    <n v="8"/>
    <n v="21.457447603022221"/>
    <n v="24.675129007619439"/>
    <n v="28.33347517873333"/>
    <n v="13"/>
    <n v="47.40038600424166"/>
    <n v="39.863303469558332"/>
    <n v="42.411875277613888"/>
    <n v="83"/>
  </r>
  <r>
    <d v="2026-09-07T09:00:00"/>
    <x v="6"/>
    <n v="9"/>
    <n v="22.295182503002781"/>
    <n v="25.026677038824999"/>
    <n v="28.378267451380559"/>
    <n v="13.6"/>
    <n v="45.178958989199998"/>
    <n v="39.29156108202222"/>
    <n v="42.38194315143889"/>
    <n v="81"/>
  </r>
  <r>
    <d v="2026-09-07T10:00:00"/>
    <x v="6"/>
    <n v="10"/>
    <n v="23.529391235441661"/>
    <n v="25.892788764308332"/>
    <n v="28.424865719838891"/>
    <n v="14.6"/>
    <n v="42.219586334466669"/>
    <n v="39.548423892494448"/>
    <n v="42.334163983816673"/>
    <n v="76"/>
  </r>
  <r>
    <d v="2026-09-07T11:00:00"/>
    <x v="6"/>
    <n v="11"/>
    <n v="23.317436994180561"/>
    <n v="25.900969118338889"/>
    <n v="28.488532436647219"/>
    <n v="15.3"/>
    <n v="43.294075330119448"/>
    <n v="41.505748261411121"/>
    <n v="42.297606272644451"/>
    <n v="72"/>
  </r>
  <r>
    <d v="2026-09-07T12:00:00"/>
    <x v="6"/>
    <n v="12"/>
    <n v="22.502365921708329"/>
    <n v="25.693883963011121"/>
    <n v="28.417729767727771"/>
    <n v="15.6"/>
    <n v="44.706311596986119"/>
    <n v="40.815297342900003"/>
    <n v="42.151607507936113"/>
    <n v="69"/>
  </r>
  <r>
    <d v="2026-09-07T13:00:00"/>
    <x v="6"/>
    <n v="13"/>
    <n v="22.572490637711109"/>
    <n v="25.69390535597222"/>
    <n v="28.39130783472222"/>
    <n v="15.7"/>
    <n v="43.900686232522219"/>
    <n v="39.143761622783337"/>
    <n v="42.18184270028889"/>
    <n v="67"/>
  </r>
  <r>
    <d v="2026-09-07T14:00:00"/>
    <x v="6"/>
    <n v="14"/>
    <n v="22.725617981291659"/>
    <n v="25.45753569895556"/>
    <n v="28.526768556808332"/>
    <n v="16.899999999999999"/>
    <n v="42.089616179377778"/>
    <n v="38.137672292152779"/>
    <n v="41.930131725852782"/>
    <n v="61"/>
  </r>
  <r>
    <d v="2026-09-07T15:00:00"/>
    <x v="6"/>
    <n v="15"/>
    <n v="23.249074200602781"/>
    <n v="25.994869818163892"/>
    <n v="27.522276967541671"/>
    <n v="18.2"/>
    <n v="39.069880936013902"/>
    <n v="36.520464716627778"/>
    <n v="40.62130806759167"/>
    <n v="48"/>
  </r>
  <r>
    <d v="2026-09-07T16:00:00"/>
    <x v="6"/>
    <n v="16"/>
    <n v="23.38948591359722"/>
    <n v="25.945115857713891"/>
    <n v="26.934650645033329"/>
    <n v="18.399999999999999"/>
    <n v="34.653168607577783"/>
    <n v="35.715571190702782"/>
    <n v="38.970917858963887"/>
    <n v="44"/>
  </r>
  <r>
    <d v="2026-09-07T17:00:00"/>
    <x v="6"/>
    <n v="17"/>
    <n v="23.01946147392222"/>
    <n v="26.219554752711112"/>
    <n v="26.615235417097221"/>
    <n v="17.3"/>
    <n v="33.412383174386107"/>
    <n v="33.465229799827782"/>
    <n v="37.52243295732778"/>
    <n v="45"/>
  </r>
  <r>
    <d v="2026-09-07T18:00:00"/>
    <x v="6"/>
    <n v="18"/>
    <n v="23.126370769738891"/>
    <n v="26.049630288283328"/>
    <n v="26.460588354380558"/>
    <n v="16.8"/>
    <n v="33.438708172480553"/>
    <n v="32.879771343194442"/>
    <n v="37.615946610258327"/>
    <n v="48"/>
  </r>
  <r>
    <d v="2026-09-07T19:00:00"/>
    <x v="6"/>
    <n v="19"/>
    <n v="22.88304233880833"/>
    <n v="25.381117289602781"/>
    <n v="27.035164384366659"/>
    <n v="15.9"/>
    <n v="34.234565651044441"/>
    <n v="32.976270616338887"/>
    <n v="38.60432050871389"/>
    <n v="53"/>
  </r>
  <r>
    <d v="2026-09-07T20:00:00"/>
    <x v="6"/>
    <n v="20"/>
    <n v="22.541411243447229"/>
    <n v="25.28325395428611"/>
    <n v="27.660787711099999"/>
    <n v="15"/>
    <n v="34.255087274394448"/>
    <n v="32.022058839291667"/>
    <n v="38.905807593211122"/>
    <n v="57"/>
  </r>
  <r>
    <d v="2026-09-07T21:00:00"/>
    <x v="6"/>
    <n v="21"/>
    <n v="22.41226576484722"/>
    <n v="26.09113758781945"/>
    <n v="27.99677691957778"/>
    <n v="13.5"/>
    <n v="33.078676257033329"/>
    <n v="31.872377566102781"/>
    <n v="38.631156299486122"/>
    <n v="65"/>
  </r>
  <r>
    <d v="2026-09-07T22:00:00"/>
    <x v="6"/>
    <n v="22"/>
    <n v="22.12451433665834"/>
    <n v="26.21247144621389"/>
    <n v="28.074712824358329"/>
    <n v="12.6"/>
    <n v="34.174521619899998"/>
    <n v="31.139442731963889"/>
    <n v="37.726008470936122"/>
    <n v="69"/>
  </r>
  <r>
    <d v="2026-09-07T23:00:00"/>
    <x v="6"/>
    <n v="23"/>
    <n v="21.200051968644441"/>
    <n v="26.201809303180561"/>
    <n v="27.803878897694439"/>
    <n v="12.1"/>
    <n v="37.417339971269449"/>
    <n v="32.028621672802778"/>
    <n v="37.240037942319447"/>
    <n v="71"/>
  </r>
  <r>
    <d v="2026-09-08T00:00:00"/>
    <x v="6"/>
    <n v="0"/>
    <n v="21.15693497471111"/>
    <n v="25.487194574241659"/>
    <n v="27.712058528922221"/>
    <n v="11.6"/>
    <n v="37.038287848905561"/>
    <n v="31.68665435819166"/>
    <n v="37.843670204472232"/>
    <n v="72"/>
  </r>
  <r>
    <d v="2026-09-08T01:00:00"/>
    <x v="6"/>
    <n v="1"/>
    <n v="22.390053028586109"/>
    <n v="25.297040216313889"/>
    <n v="28.132055010133332"/>
    <n v="11.4"/>
    <n v="36.431505772911109"/>
    <n v="32.64657981478333"/>
    <n v="38.050809872619453"/>
    <n v="72"/>
  </r>
  <r>
    <d v="2026-09-08T02:00:00"/>
    <x v="6"/>
    <n v="2"/>
    <n v="23.03277901805"/>
    <n v="25.130595199055549"/>
    <n v="28.379321933177781"/>
    <n v="11.2"/>
    <n v="36.13161660398611"/>
    <n v="33.179390450658332"/>
    <n v="38.312444413286109"/>
    <n v="73"/>
  </r>
  <r>
    <d v="2026-09-08T03:00:00"/>
    <x v="6"/>
    <n v="3"/>
    <n v="22.993032383980552"/>
    <n v="25.050373301524999"/>
    <n v="28.480920240855561"/>
    <n v="10.5"/>
    <n v="37.248481165900003"/>
    <n v="34.073963257555548"/>
    <n v="38.407314735361112"/>
    <n v="78"/>
  </r>
  <r>
    <d v="2026-09-08T04:00:00"/>
    <x v="6"/>
    <n v="4"/>
    <n v="23.022609920730559"/>
    <n v="24.993774442338889"/>
    <n v="28.511292776194448"/>
    <n v="10.4"/>
    <n v="38.091477762152778"/>
    <n v="34.843496091861113"/>
    <n v="38.512598639838892"/>
    <n v="82"/>
  </r>
  <r>
    <d v="2026-09-08T05:00:00"/>
    <x v="6"/>
    <n v="5"/>
    <n v="23.038016840408329"/>
    <n v="25.05704135515278"/>
    <n v="28.517320473636111"/>
    <n v="10.199999999999999"/>
    <n v="38.487517031405559"/>
    <n v="35.18094149475278"/>
    <n v="38.68553896648055"/>
    <n v="86"/>
  </r>
  <r>
    <d v="2026-09-08T06:00:00"/>
    <x v="6"/>
    <n v="6"/>
    <n v="23.390794334691659"/>
    <n v="25.138914070649999"/>
    <n v="28.509651710711111"/>
    <n v="9.9"/>
    <n v="38.174986478391673"/>
    <n v="35.432454313547233"/>
    <n v="38.810722547713887"/>
    <n v="89"/>
  </r>
  <r>
    <d v="2026-09-08T07:00:00"/>
    <x v="6"/>
    <n v="7"/>
    <n v="24.539055928844441"/>
    <n v="25.993109207700002"/>
    <n v="28.514987174938891"/>
    <n v="10.5"/>
    <n v="36.56343850948889"/>
    <n v="34.711920608752777"/>
    <n v="38.992505940080562"/>
    <n v="88"/>
  </r>
  <r>
    <d v="2026-09-08T08:00:00"/>
    <x v="6"/>
    <n v="8"/>
    <n v="25.48630965486667"/>
    <n v="27.091885955861109"/>
    <n v="28.55020024075278"/>
    <n v="12"/>
    <n v="36.338766768619443"/>
    <n v="33.734405463172223"/>
    <n v="39.206756107330563"/>
    <n v="83"/>
  </r>
  <r>
    <d v="2026-09-08T09:00:00"/>
    <x v="6"/>
    <n v="9"/>
    <n v="25.994233198777781"/>
    <n v="28.23762994102222"/>
    <n v="28.59494819876112"/>
    <n v="13.9"/>
    <n v="35.796682432983339"/>
    <n v="32.368245808502778"/>
    <n v="39.391058013047221"/>
    <n v="76"/>
  </r>
  <r>
    <d v="2026-09-08T10:00:00"/>
    <x v="6"/>
    <n v="10"/>
    <n v="26.309390544972221"/>
    <n v="28.744828333927781"/>
    <n v="28.655772555586111"/>
    <n v="15.7"/>
    <n v="33.573812149380558"/>
    <n v="33.565444222580552"/>
    <n v="39.632553551016663"/>
    <n v="69"/>
  </r>
  <r>
    <d v="2026-09-08T11:00:00"/>
    <x v="6"/>
    <n v="11"/>
    <n v="26.264470941691659"/>
    <n v="28.412082730286109"/>
    <n v="28.386473406363891"/>
    <n v="17.3"/>
    <n v="30.68639216815556"/>
    <n v="32.266099314605547"/>
    <n v="39.17910302066111"/>
    <n v="57"/>
  </r>
  <r>
    <d v="2026-09-08T12:00:00"/>
    <x v="6"/>
    <n v="12"/>
    <n v="25.887930947494439"/>
    <n v="28.20771802339722"/>
    <n v="28.03246184450278"/>
    <n v="18.3"/>
    <n v="29.599258528544439"/>
    <n v="30.4498426414"/>
    <n v="37.44627624856389"/>
    <n v="50"/>
  </r>
  <r>
    <d v="2026-09-08T13:00:00"/>
    <x v="6"/>
    <n v="13"/>
    <n v="25.432024006663891"/>
    <n v="27.784210003244439"/>
    <n v="27.773074459933341"/>
    <n v="19.100000000000001"/>
    <n v="29.503715295105561"/>
    <n v="29.95633574511945"/>
    <n v="36.321358237719437"/>
    <n v="45"/>
  </r>
  <r>
    <d v="2026-09-08T14:00:00"/>
    <x v="6"/>
    <n v="14"/>
    <n v="25.132721695038889"/>
    <n v="27.026954405000001"/>
    <n v="27.886293524833331"/>
    <n v="19.8"/>
    <n v="30.33662060253333"/>
    <n v="36.507089754994453"/>
    <n v="37.567634006586111"/>
    <n v="41"/>
  </r>
  <r>
    <d v="2026-09-08T15:00:00"/>
    <x v="6"/>
    <n v="15"/>
    <n v="25.006631639925001"/>
    <n v="27.118269407330551"/>
    <n v="28.23929917825"/>
    <n v="20.7"/>
    <n v="31.50138434139722"/>
    <n v="38.116840716261109"/>
    <n v="38.159878591005558"/>
    <n v="38"/>
  </r>
  <r>
    <d v="2026-09-08T16:00:00"/>
    <x v="6"/>
    <n v="16"/>
    <n v="25.0995100403"/>
    <n v="26.971038946299998"/>
    <n v="28.389704783391672"/>
    <n v="20.7"/>
    <n v="30.610374428233339"/>
    <n v="36.186195794922227"/>
    <n v="38.400341712411112"/>
    <n v="38"/>
  </r>
  <r>
    <d v="2026-09-08T17:00:00"/>
    <x v="6"/>
    <n v="17"/>
    <n v="25.037648175836111"/>
    <n v="26.83015084803889"/>
    <n v="28.45978399897222"/>
    <n v="20.3"/>
    <n v="30.461224842630561"/>
    <n v="32.36069767241667"/>
    <n v="38.419668704138893"/>
    <n v="40"/>
  </r>
  <r>
    <d v="2026-09-08T18:00:00"/>
    <x v="6"/>
    <n v="18"/>
    <n v="24.59240992545833"/>
    <n v="26.716654760733331"/>
    <n v="28.508683711905562"/>
    <n v="19.3"/>
    <n v="31.537017291561121"/>
    <n v="32.069166048722217"/>
    <n v="38.407130744925013"/>
    <n v="45"/>
  </r>
  <r>
    <d v="2026-09-08T19:00:00"/>
    <x v="6"/>
    <n v="19"/>
    <n v="24.090265655216669"/>
    <n v="26.91940734265"/>
    <n v="28.533779810119441"/>
    <n v="17.8"/>
    <n v="32.752627642383338"/>
    <n v="32.933031295330558"/>
    <n v="38.420495311405553"/>
    <n v="51"/>
  </r>
  <r>
    <d v="2026-09-08T20:00:00"/>
    <x v="6"/>
    <n v="20"/>
    <n v="23.89340287151667"/>
    <n v="27.31513624002778"/>
    <n v="28.546209257802779"/>
    <n v="16.399999999999999"/>
    <n v="32.725116115852778"/>
    <n v="30.655949185572229"/>
    <n v="38.462542068963891"/>
    <n v="57"/>
  </r>
  <r>
    <d v="2026-09-08T21:00:00"/>
    <x v="6"/>
    <n v="21"/>
    <n v="23.66913149163889"/>
    <n v="27.297198574191668"/>
    <n v="28.558779918561111"/>
    <n v="15.3"/>
    <n v="33.209595242472233"/>
    <n v="31.326015630608332"/>
    <n v="38.467944925025002"/>
    <n v="61"/>
  </r>
  <r>
    <d v="2026-09-08T22:00:00"/>
    <x v="6"/>
    <n v="22"/>
    <n v="23.309642874233329"/>
    <n v="27.074159939397219"/>
    <n v="28.565027821522222"/>
    <n v="14.5"/>
    <n v="34.135222836849998"/>
    <n v="31.376981268436111"/>
    <n v="38.46385904458333"/>
    <n v="65"/>
  </r>
  <r>
    <d v="2026-09-08T23:00:00"/>
    <x v="6"/>
    <n v="23"/>
    <n v="22.66753513303334"/>
    <n v="26.620344202930561"/>
    <n v="28.567333306091669"/>
    <n v="13.6"/>
    <n v="35.666142599058333"/>
    <n v="30.91241152598333"/>
    <n v="38.406521253519443"/>
    <n v="69"/>
  </r>
  <r>
    <d v="2026-09-09T00:00:00"/>
    <x v="6"/>
    <n v="0"/>
    <n v="21.864847127872221"/>
    <n v="26.37186231588333"/>
    <n v="28.55952568884722"/>
    <n v="12.7"/>
    <n v="37.03113871121667"/>
    <n v="34.253893379858333"/>
    <n v="38.33674374583611"/>
    <n v="73"/>
  </r>
  <r>
    <d v="2026-09-09T01:00:00"/>
    <x v="6"/>
    <n v="1"/>
    <m/>
    <n v="26.177857554094441"/>
    <n v="28.531316289561111"/>
    <n v="11.9"/>
    <m/>
    <n v="33.882752817397218"/>
    <n v="38.300903820863887"/>
    <n v="77"/>
  </r>
  <r>
    <d v="2026-09-09T02:00:00"/>
    <x v="6"/>
    <n v="2"/>
    <n v="24.12429872625933"/>
    <n v="26.019897319413889"/>
    <n v="28.519138856605551"/>
    <n v="11.2"/>
    <n v="37.285426084904728"/>
    <n v="34.524035437572223"/>
    <n v="38.415615940713892"/>
    <n v="81"/>
  </r>
  <r>
    <d v="2026-09-09T03:00:00"/>
    <x v="6"/>
    <n v="3"/>
    <n v="24.341259421786109"/>
    <n v="25.886287496233329"/>
    <n v="28.513457161327779"/>
    <n v="10.1"/>
    <n v="36.95406992830555"/>
    <n v="35.025913696197222"/>
    <n v="38.567265410224998"/>
    <n v="83"/>
  </r>
  <r>
    <d v="2026-09-09T04:00:00"/>
    <x v="6"/>
    <n v="4"/>
    <n v="24.491394072430559"/>
    <n v="25.7825089625"/>
    <n v="28.503540569219439"/>
    <n v="9.6"/>
    <n v="36.742617795166673"/>
    <n v="35.292963891524998"/>
    <n v="38.685829143205559"/>
    <n v="85"/>
  </r>
  <r>
    <d v="2026-09-09T05:00:00"/>
    <x v="6"/>
    <n v="5"/>
    <n v="24.531427982997229"/>
    <n v="25.661067857488892"/>
    <n v="28.495734849641661"/>
    <n v="9.1"/>
    <n v="36.625406211777779"/>
    <n v="35.541255384524987"/>
    <n v="38.777135079700003"/>
    <n v="87"/>
  </r>
  <r>
    <d v="2026-09-09T06:00:00"/>
    <x v="6"/>
    <n v="6"/>
    <n v="24.71928266073056"/>
    <n v="25.90271528498889"/>
    <n v="28.49643140695278"/>
    <n v="8.8000000000000007"/>
    <n v="35.672182991333337"/>
    <n v="34.624261107272233"/>
    <n v="38.83153465377778"/>
    <n v="88"/>
  </r>
  <r>
    <d v="2026-09-09T07:00:00"/>
    <x v="6"/>
    <n v="7"/>
    <n v="25.384971656302781"/>
    <n v="26.721681541294441"/>
    <n v="28.491722200688891"/>
    <n v="9.6999999999999993"/>
    <n v="34.412249117138892"/>
    <n v="33.706608600877779"/>
    <n v="38.913882649205547"/>
    <n v="85"/>
  </r>
  <r>
    <d v="2026-09-09T08:00:00"/>
    <x v="6"/>
    <n v="8"/>
    <n v="26.039071188725"/>
    <n v="27.926023727461111"/>
    <n v="28.51598943536111"/>
    <n v="11.5"/>
    <n v="34.828202048680552"/>
    <n v="30.971833015661119"/>
    <n v="38.989233508738877"/>
    <n v="79"/>
  </r>
  <r>
    <d v="2026-09-09T09:00:00"/>
    <x v="6"/>
    <n v="9"/>
    <n v="26.391166670922221"/>
    <n v="29.089762135486112"/>
    <n v="28.542767186380551"/>
    <n v="14.3"/>
    <n v="35.206559157330553"/>
    <n v="28.73236428815833"/>
    <n v="39.103316715466669"/>
    <n v="67"/>
  </r>
  <r>
    <d v="2026-09-09T10:00:00"/>
    <x v="6"/>
    <n v="10"/>
    <n v="26.649978880894441"/>
    <n v="29.570857188674999"/>
    <n v="28.580782599900001"/>
    <n v="16.8"/>
    <n v="35.499862601558327"/>
    <n v="30.26652872747778"/>
    <n v="39.181756997083333"/>
    <n v="56"/>
  </r>
  <r>
    <d v="2026-09-09T11:00:00"/>
    <x v="6"/>
    <n v="11"/>
    <n v="26.806096492116659"/>
    <n v="29.02662136751389"/>
    <n v="28.577847206125"/>
    <n v="18.600000000000001"/>
    <n v="31.365774480619439"/>
    <n v="30.340599425358331"/>
    <n v="39.105668181550001"/>
    <n v="51"/>
  </r>
  <r>
    <d v="2026-09-09T12:00:00"/>
    <x v="6"/>
    <n v="12"/>
    <n v="26.631965837336111"/>
    <n v="28.620276504875001"/>
    <n v="28.372582112583331"/>
    <n v="19.899999999999999"/>
    <n v="30.406298507019439"/>
    <n v="30.802032975827771"/>
    <n v="38.340508288850003"/>
    <n v="47"/>
  </r>
  <r>
    <d v="2026-09-09T13:00:00"/>
    <x v="6"/>
    <n v="13"/>
    <n v="26.33264298689722"/>
    <n v="28.26043640019444"/>
    <n v="28.43573880852778"/>
    <n v="20.7"/>
    <n v="30.639626789200001"/>
    <n v="30.58908770587222"/>
    <n v="38.840313884350003"/>
    <n v="45"/>
  </r>
  <r>
    <d v="2026-09-09T14:00:00"/>
    <x v="6"/>
    <n v="14"/>
    <n v="26.175316791688889"/>
    <n v="27.876072545088888"/>
    <n v="28.525325530838892"/>
    <n v="21.3"/>
    <n v="31.142524136027781"/>
    <n v="31.471520966797229"/>
    <n v="38.917393551780563"/>
    <n v="44"/>
  </r>
  <r>
    <d v="2026-09-09T15:00:00"/>
    <x v="6"/>
    <n v="15"/>
    <n v="26.10621718261666"/>
    <n v="27.813363479238891"/>
    <n v="28.562476806905561"/>
    <n v="22.7"/>
    <n v="30.934100507744439"/>
    <n v="31.630150401377779"/>
    <n v="38.934207374269441"/>
    <n v="39"/>
  </r>
  <r>
    <d v="2026-09-09T16:00:00"/>
    <x v="6"/>
    <n v="16"/>
    <n v="25.94550120592778"/>
    <n v="28.066382207711111"/>
    <n v="28.582320602169439"/>
    <n v="22.9"/>
    <n v="30.967515608036109"/>
    <n v="33.299271503577778"/>
    <n v="38.923611184891662"/>
    <n v="38"/>
  </r>
  <r>
    <d v="2026-09-09T17:00:00"/>
    <x v="6"/>
    <n v="17"/>
    <n v="25.957094827338889"/>
    <n v="28.048991438880549"/>
    <n v="28.60540636023612"/>
    <n v="22.7"/>
    <n v="32.383790291463889"/>
    <n v="34.091527946963893"/>
    <n v="38.956282443880561"/>
    <n v="40"/>
  </r>
  <r>
    <d v="2026-09-09T18:00:00"/>
    <x v="6"/>
    <n v="18"/>
    <n v="25.719135012397221"/>
    <n v="27.828100484375"/>
    <n v="28.624654365169441"/>
    <n v="22"/>
    <n v="31.794729754330561"/>
    <n v="31.695978115102779"/>
    <n v="38.943613396630553"/>
    <n v="46"/>
  </r>
  <r>
    <d v="2026-09-09T19:00:00"/>
    <x v="6"/>
    <n v="19"/>
    <n v="25.267895906447219"/>
    <n v="27.640346557050002"/>
    <n v="28.63365406005833"/>
    <n v="20.2"/>
    <n v="33.696712783336118"/>
    <n v="34.49309702781111"/>
    <n v="38.885580537925001"/>
    <n v="56"/>
  </r>
  <r>
    <d v="2026-09-09T20:00:00"/>
    <x v="6"/>
    <n v="20"/>
    <n v="24.787774817275"/>
    <n v="27.69102886969722"/>
    <n v="28.39323088118612"/>
    <n v="18.5"/>
    <n v="35.158985145038891"/>
    <n v="33.70503764588333"/>
    <n v="38.621388318066657"/>
    <n v="63"/>
  </r>
  <r>
    <d v="2026-09-09T21:00:00"/>
    <x v="6"/>
    <n v="21"/>
    <n v="24.495500995625001"/>
    <n v="27.630639561580551"/>
    <n v="28.239374755130559"/>
    <n v="17.399999999999999"/>
    <n v="35.137235047891672"/>
    <n v="33.11944399978055"/>
    <n v="38.897066211999999"/>
    <n v="66"/>
  </r>
  <r>
    <d v="2026-09-09T22:00:00"/>
    <x v="6"/>
    <n v="22"/>
    <n v="24.819533757058331"/>
    <n v="27.75587781971112"/>
    <n v="28.418305094699999"/>
    <n v="16.100000000000001"/>
    <n v="33.97541246478611"/>
    <n v="31.997459594999999"/>
    <n v="38.930376031680559"/>
    <n v="72"/>
  </r>
  <r>
    <d v="2026-09-09T23:00:00"/>
    <x v="6"/>
    <n v="23"/>
    <n v="24.644495197230551"/>
    <n v="27.545689738513889"/>
    <n v="28.48743424386112"/>
    <n v="15.3"/>
    <n v="34.899521715458327"/>
    <n v="32.47945196725"/>
    <n v="38.941610705922223"/>
    <n v="76"/>
  </r>
  <r>
    <d v="2026-09-10T00:00:00"/>
    <x v="6"/>
    <n v="0"/>
    <n v="24.01650173085833"/>
    <n v="27.478017258938891"/>
    <n v="28.523754929216668"/>
    <n v="14.7"/>
    <n v="35.911912891127777"/>
    <n v="31.796044744166661"/>
    <n v="38.935275318983336"/>
    <n v="76"/>
  </r>
  <r>
    <d v="2026-09-10T01:00:00"/>
    <x v="6"/>
    <n v="1"/>
    <n v="24.11326739018612"/>
    <n v="27.291854346758331"/>
    <n v="28.541028027652771"/>
    <n v="14.2"/>
    <n v="36.821386558555552"/>
    <n v="33.031235197999997"/>
    <n v="38.918729851036112"/>
    <n v="77"/>
  </r>
  <r>
    <d v="2026-09-10T02:00:00"/>
    <x v="6"/>
    <n v="2"/>
    <n v="24.900431649013889"/>
    <n v="26.93909714400278"/>
    <n v="28.557613852072219"/>
    <n v="13.7"/>
    <n v="36.082670985494453"/>
    <n v="33.645597992302783"/>
    <n v="39.011772476713887"/>
    <n v="78"/>
  </r>
  <r>
    <d v="2026-09-10T03:00:00"/>
    <x v="6"/>
    <n v="3"/>
    <n v="25.001196893366672"/>
    <n v="26.675178787333341"/>
    <n v="28.547775217722229"/>
    <n v="12.7"/>
    <n v="35.713238929649997"/>
    <n v="33.745889101502783"/>
    <n v="39.090257705630563"/>
    <n v="81"/>
  </r>
  <r>
    <d v="2026-09-10T04:00:00"/>
    <x v="6"/>
    <n v="4"/>
    <n v="25.000555326055562"/>
    <n v="26.48056790396944"/>
    <n v="28.534774998544449"/>
    <n v="12.6"/>
    <n v="35.316232971294447"/>
    <n v="33.516454261094452"/>
    <n v="39.112027677091667"/>
    <n v="80"/>
  </r>
  <r>
    <d v="2026-09-10T05:00:00"/>
    <x v="6"/>
    <n v="5"/>
    <n v="24.914676072919441"/>
    <n v="26.42154483735834"/>
    <n v="28.525555478502781"/>
    <n v="12.2"/>
    <n v="34.802533098144437"/>
    <n v="33.088740759575003"/>
    <n v="39.080075850050001"/>
    <n v="81"/>
  </r>
  <r>
    <d v="2026-09-10T06:00:00"/>
    <x v="6"/>
    <n v="6"/>
    <n v="25.13630830323611"/>
    <n v="26.489232264563888"/>
    <n v="28.504469839088891"/>
    <n v="12"/>
    <n v="33.643806021236109"/>
    <n v="32.453318358816666"/>
    <n v="39.039371511061113"/>
    <n v="81"/>
  </r>
  <r>
    <d v="2026-09-10T07:00:00"/>
    <x v="6"/>
    <n v="7"/>
    <n v="25.883816042491659"/>
    <n v="27.175172311230561"/>
    <n v="28.500931712347221"/>
    <n v="12.7"/>
    <n v="32.797431496105553"/>
    <n v="32.037061794433328"/>
    <n v="39.046699585266673"/>
    <n v="78"/>
  </r>
  <r>
    <d v="2026-09-10T08:00:00"/>
    <x v="6"/>
    <n v="8"/>
    <n v="26.50635903772778"/>
    <n v="28.07994000228889"/>
    <n v="28.51716942918889"/>
    <n v="14.9"/>
    <n v="32.636395114863888"/>
    <n v="30.719776742033329"/>
    <n v="39.097914297458331"/>
    <n v="73"/>
  </r>
  <r>
    <d v="2026-09-10T09:00:00"/>
    <x v="6"/>
    <n v="9"/>
    <n v="26.935946245952781"/>
    <n v="29.365382101327778"/>
    <n v="28.555591189711109"/>
    <n v="18"/>
    <n v="33.764017426036112"/>
    <n v="29.998673974461109"/>
    <n v="39.185730115638883"/>
    <n v="63"/>
  </r>
  <r>
    <d v="2026-09-10T10:00:00"/>
    <x v="6"/>
    <n v="10"/>
    <n v="27.34044262699722"/>
    <n v="29.940752650016659"/>
    <n v="28.60769965054444"/>
    <n v="20.8"/>
    <n v="34.800257082394452"/>
    <n v="32.22571424757222"/>
    <n v="39.269404420838889"/>
    <n v="56"/>
  </r>
  <r>
    <d v="2026-09-10T11:00:00"/>
    <x v="6"/>
    <n v="11"/>
    <n v="27.556930096522219"/>
    <n v="30.36168807715833"/>
    <n v="28.658298175502779"/>
    <n v="23.2"/>
    <n v="36.515572827625"/>
    <n v="32.120912712299997"/>
    <n v="39.694680360083332"/>
    <n v="52"/>
  </r>
  <r>
    <d v="2026-09-10T12:00:00"/>
    <x v="6"/>
    <n v="12"/>
    <n v="27.597958785058331"/>
    <n v="29.938474538202779"/>
    <m/>
    <n v="25"/>
    <n v="36.583299614163892"/>
    <n v="32.82748106781667"/>
    <m/>
    <n v="47"/>
  </r>
  <r>
    <d v="2026-09-10T13:00:00"/>
    <x v="6"/>
    <n v="13"/>
    <n v="27.472224187725001"/>
    <n v="29.052757477144439"/>
    <m/>
    <n v="26.2"/>
    <n v="35.258130440824999"/>
    <n v="36.289630124827767"/>
    <m/>
    <n v="42"/>
  </r>
  <r>
    <d v="2026-09-10T14:00:00"/>
    <x v="6"/>
    <n v="14"/>
    <n v="27.39446026832222"/>
    <n v="28.773541897113891"/>
    <m/>
    <n v="26.8"/>
    <n v="34.585822272158332"/>
    <n v="35.341714934913888"/>
    <m/>
    <n v="40"/>
  </r>
  <r>
    <d v="2026-09-10T15:00:00"/>
    <x v="6"/>
    <n v="15"/>
    <n v="27.42780314760833"/>
    <n v="29.009432025166671"/>
    <m/>
    <n v="28.1"/>
    <n v="34.56910587771111"/>
    <n v="35.456500113125003"/>
    <m/>
    <n v="35"/>
  </r>
  <r>
    <d v="2026-09-10T16:00:00"/>
    <x v="6"/>
    <n v="16"/>
    <n v="27.40556390411945"/>
    <n v="28.87663373083889"/>
    <m/>
    <n v="28.2"/>
    <n v="35.566989739319453"/>
    <n v="34.355536113130547"/>
    <m/>
    <n v="34"/>
  </r>
  <r>
    <d v="2026-09-10T17:00:00"/>
    <x v="6"/>
    <n v="17"/>
    <n v="27.46855896449167"/>
    <n v="28.724227010086111"/>
    <m/>
    <n v="27.7"/>
    <n v="34.067666613686107"/>
    <n v="37.200627293841663"/>
    <m/>
    <n v="34"/>
  </r>
  <r>
    <d v="2026-09-10T18:00:00"/>
    <x v="6"/>
    <n v="18"/>
    <n v="27.340626766250001"/>
    <n v="28.929928587361111"/>
    <m/>
    <n v="26.4"/>
    <n v="34.647345132586111"/>
    <n v="36.852364599436108"/>
    <m/>
    <n v="38"/>
  </r>
  <r>
    <d v="2026-09-10T19:00:00"/>
    <x v="6"/>
    <n v="19"/>
    <n v="26.891162535405559"/>
    <n v="28.387182490230561"/>
    <m/>
    <n v="24.2"/>
    <n v="37.005825082080563"/>
    <n v="37.980431910702777"/>
    <m/>
    <n v="45"/>
  </r>
  <r>
    <d v="2026-09-10T20:00:00"/>
    <x v="6"/>
    <n v="20"/>
    <n v="26.52990190766667"/>
    <n v="28.573049431772219"/>
    <m/>
    <n v="22.7"/>
    <n v="38.239987734613891"/>
    <n v="37.440397093355557"/>
    <m/>
    <n v="50"/>
  </r>
  <r>
    <d v="2026-09-10T21:00:00"/>
    <x v="6"/>
    <n v="21"/>
    <n v="26.289390121516661"/>
    <n v="28.816656656816669"/>
    <m/>
    <n v="21.7"/>
    <n v="39.470139540683327"/>
    <n v="39.151600132122219"/>
    <m/>
    <n v="51"/>
  </r>
  <r>
    <d v="2026-09-10T22:00:00"/>
    <x v="6"/>
    <n v="22"/>
    <n v="25.986265274866671"/>
    <n v="28.316157096711109"/>
    <m/>
    <n v="20.9"/>
    <n v="38.889574255741671"/>
    <n v="38.015565299722219"/>
    <m/>
    <n v="53"/>
  </r>
  <r>
    <d v="2026-09-10T23:00:00"/>
    <x v="6"/>
    <n v="23"/>
    <n v="25.92304219434444"/>
    <n v="28.03122024690833"/>
    <m/>
    <n v="20.399999999999999"/>
    <n v="38.203878603055557"/>
    <n v="36.46989555986945"/>
    <m/>
    <n v="54"/>
  </r>
  <r>
    <d v="2026-09-11T00:00:00"/>
    <x v="6"/>
    <n v="0"/>
    <n v="25.716432939616659"/>
    <n v="27.511545235838891"/>
    <m/>
    <n v="19.899999999999999"/>
    <n v="38.167154989083343"/>
    <n v="37.502566181366667"/>
    <m/>
    <n v="56"/>
  </r>
  <r>
    <d v="2026-09-11T01:00:00"/>
    <x v="6"/>
    <n v="1"/>
    <n v="25.244109153830561"/>
    <n v="27.22300402737222"/>
    <m/>
    <n v="19.3"/>
    <n v="39.175461246788892"/>
    <n v="37.336647088541667"/>
    <m/>
    <n v="58"/>
  </r>
  <r>
    <d v="2026-09-11T02:00:00"/>
    <x v="6"/>
    <n v="2"/>
    <n v="24.624190066194441"/>
    <n v="26.92414099162222"/>
    <m/>
    <n v="18.7"/>
    <n v="40.332449695530563"/>
    <n v="36.59523787233055"/>
    <m/>
    <n v="60"/>
  </r>
  <r>
    <d v="2026-09-11T03:00:00"/>
    <x v="6"/>
    <n v="3"/>
    <n v="24.42906591594722"/>
    <n v="26.706729343138889"/>
    <m/>
    <n v="17.7"/>
    <n v="40.836570064033332"/>
    <n v="36.782914790222222"/>
    <m/>
    <n v="67"/>
  </r>
  <r>
    <d v="2026-09-11T04:00:00"/>
    <x v="6"/>
    <n v="4"/>
    <n v="23.723844606002771"/>
    <n v="26.378127174697219"/>
    <m/>
    <n v="17.5"/>
    <n v="42.192689762299999"/>
    <n v="36.944586720736112"/>
    <m/>
    <n v="69"/>
  </r>
  <r>
    <d v="2026-09-11T05:00:00"/>
    <x v="6"/>
    <n v="5"/>
    <n v="23.484994449508331"/>
    <n v="26.223134814163888"/>
    <m/>
    <n v="17.399999999999999"/>
    <n v="43.456590885883337"/>
    <n v="37.430136283505561"/>
    <m/>
    <n v="71"/>
  </r>
  <r>
    <d v="2026-09-11T06:00:00"/>
    <x v="6"/>
    <n v="6"/>
    <n v="23.659186884905559"/>
    <n v="26.218286755575001"/>
    <m/>
    <n v="16.899999999999999"/>
    <n v="43.860162978163878"/>
    <n v="37.97066599294444"/>
    <m/>
    <n v="74"/>
  </r>
  <r>
    <d v="2026-09-11T07:00:00"/>
    <x v="6"/>
    <n v="7"/>
    <n v="23.892636218377781"/>
    <n v="26.22454232817778"/>
    <m/>
    <n v="17.2"/>
    <n v="44.443315991166664"/>
    <n v="38.850717006444448"/>
    <m/>
    <n v="74"/>
  </r>
  <r>
    <d v="2026-09-11T08:00:00"/>
    <x v="6"/>
    <n v="8"/>
    <n v="24.09730387903889"/>
    <n v="26.276210192205561"/>
    <m/>
    <n v="18.5"/>
    <n v="45.057622205149997"/>
    <n v="39.645448447422218"/>
    <m/>
    <n v="71"/>
  </r>
  <r>
    <d v="2026-09-11T09:00:00"/>
    <x v="6"/>
    <n v="9"/>
    <n v="24.544552139844441"/>
    <n v="26.39733448948612"/>
    <m/>
    <n v="18.8"/>
    <n v="45.283242654388893"/>
    <n v="40.299053462433328"/>
    <m/>
    <n v="71"/>
  </r>
  <r>
    <d v="2026-09-11T10:00:00"/>
    <x v="6"/>
    <n v="10"/>
    <n v="24.408764937325"/>
    <n v="26.425693277124999"/>
    <m/>
    <n v="20.7"/>
    <n v="47.634104223908331"/>
    <n v="41.60255438934167"/>
    <m/>
    <n v="67"/>
  </r>
  <r>
    <d v="2026-09-11T11:00:00"/>
    <x v="6"/>
    <n v="11"/>
    <n v="24.066274487113891"/>
    <n v="26.66623983712778"/>
    <m/>
    <n v="21.4"/>
    <n v="52.269383925350013"/>
    <n v="44.858187344902781"/>
    <m/>
    <n v="66"/>
  </r>
  <r>
    <d v="2026-09-11T12:00:00"/>
    <x v="6"/>
    <n v="12"/>
    <n v="24.295375241811112"/>
    <n v="26.93655718449444"/>
    <m/>
    <n v="20.7"/>
    <n v="52.156813356577779"/>
    <n v="44.93155246645"/>
    <m/>
    <n v="68"/>
  </r>
  <r>
    <d v="2026-09-11T13:00:00"/>
    <x v="6"/>
    <n v="13"/>
    <m/>
    <n v="26.962519318861109"/>
    <m/>
    <n v="21.2"/>
    <m/>
    <n v="44.527339962591668"/>
    <m/>
    <n v="62"/>
  </r>
  <r>
    <d v="2026-09-11T14:00:00"/>
    <x v="6"/>
    <n v="14"/>
    <m/>
    <n v="26.878345718352779"/>
    <m/>
    <n v="22.6"/>
    <m/>
    <n v="39.201717853383343"/>
    <m/>
    <n v="50"/>
  </r>
  <r>
    <d v="2026-09-11T15:00:00"/>
    <x v="6"/>
    <n v="15"/>
    <n v="25.07814038234087"/>
    <n v="27.02330768288612"/>
    <m/>
    <n v="23.2"/>
    <n v="38.315719900628977"/>
    <n v="38.491383336736106"/>
    <m/>
    <n v="43"/>
  </r>
  <r>
    <d v="2026-09-11T16:00:00"/>
    <x v="6"/>
    <n v="16"/>
    <n v="25.469429464002779"/>
    <n v="27.53054474655"/>
    <m/>
    <n v="23.2"/>
    <n v="36.993965876394448"/>
    <n v="38.943400005402772"/>
    <m/>
    <n v="40"/>
  </r>
  <r>
    <d v="2026-09-11T17:00:00"/>
    <x v="6"/>
    <n v="17"/>
    <n v="25.712810071552781"/>
    <n v="27.62953418805278"/>
    <m/>
    <n v="22.7"/>
    <n v="37.573788009927767"/>
    <n v="38.126954544908337"/>
    <m/>
    <n v="39"/>
  </r>
  <r>
    <d v="2026-09-11T18:00:00"/>
    <x v="6"/>
    <n v="18"/>
    <n v="25.59466588230833"/>
    <n v="28.007233030697229"/>
    <m/>
    <n v="21.8"/>
    <n v="37.788530113177778"/>
    <n v="37.88379286393333"/>
    <m/>
    <n v="42"/>
  </r>
  <r>
    <d v="2026-09-11T19:00:00"/>
    <x v="6"/>
    <n v="19"/>
    <n v="24.942971557111111"/>
    <n v="28.023029909052781"/>
    <m/>
    <n v="20.3"/>
    <n v="40.212964321352779"/>
    <n v="36.922826931347217"/>
    <m/>
    <n v="49"/>
  </r>
  <r>
    <d v="2026-09-11T20:00:00"/>
    <x v="6"/>
    <n v="20"/>
    <n v="24.604654583622221"/>
    <n v="27.90982508746389"/>
    <m/>
    <n v="19"/>
    <n v="40.955188391705562"/>
    <n v="36.890388462944443"/>
    <m/>
    <n v="57"/>
  </r>
  <r>
    <d v="2026-09-11T21:00:00"/>
    <x v="6"/>
    <n v="21"/>
    <n v="23.916589448713889"/>
    <n v="27.287065603702789"/>
    <m/>
    <n v="17.8"/>
    <n v="41.827096642583342"/>
    <n v="37.509334526208328"/>
    <m/>
    <n v="63"/>
  </r>
  <r>
    <d v="2026-09-11T22:00:00"/>
    <x v="6"/>
    <n v="22"/>
    <n v="23.36774856185"/>
    <n v="26.987089565950001"/>
    <m/>
    <n v="17.100000000000001"/>
    <n v="41.843249802286117"/>
    <n v="36.110942514330553"/>
    <m/>
    <n v="66"/>
  </r>
  <r>
    <d v="2026-09-11T23:00:00"/>
    <x v="6"/>
    <n v="23"/>
    <n v="23.227318347666671"/>
    <n v="27.287639859725001"/>
    <m/>
    <n v="16.399999999999999"/>
    <n v="41.58352607251944"/>
    <n v="35.050613357866673"/>
    <m/>
    <n v="69"/>
  </r>
  <r>
    <d v="2026-09-12T00:00:00"/>
    <x v="6"/>
    <n v="0"/>
    <n v="23.03638117423889"/>
    <n v="27.279311440027779"/>
    <m/>
    <n v="15.5"/>
    <n v="40.292220380186123"/>
    <n v="34.384033357205553"/>
    <m/>
    <n v="71"/>
  </r>
  <r>
    <d v="2026-09-12T01:00:00"/>
    <x v="6"/>
    <n v="1"/>
    <n v="22.40075937703611"/>
    <n v="26.75229081641389"/>
    <m/>
    <n v="14.9"/>
    <n v="41.62548359651111"/>
    <n v="34.776726405058326"/>
    <m/>
    <n v="71"/>
  </r>
  <r>
    <d v="2026-09-12T02:00:00"/>
    <x v="6"/>
    <n v="2"/>
    <n v="22.526903482994449"/>
    <n v="26.09662531264722"/>
    <m/>
    <n v="14.5"/>
    <n v="40.394255973308333"/>
    <n v="35.451068822219447"/>
    <m/>
    <n v="70"/>
  </r>
  <r>
    <d v="2026-09-12T03:00:00"/>
    <x v="6"/>
    <n v="3"/>
    <n v="22.566416571325"/>
    <n v="25.622214737988891"/>
    <m/>
    <n v="13.5"/>
    <n v="39.013906567897223"/>
    <n v="34.013392946099998"/>
    <m/>
    <n v="69"/>
  </r>
  <r>
    <d v="2026-09-12T04:00:00"/>
    <x v="6"/>
    <n v="4"/>
    <n v="22.086781615633331"/>
    <n v="25.314085718811121"/>
    <m/>
    <n v="13.2"/>
    <n v="40.242712990716669"/>
    <n v="34.205801302752782"/>
    <m/>
    <n v="70"/>
  </r>
  <r>
    <d v="2026-09-12T05:00:00"/>
    <x v="6"/>
    <n v="5"/>
    <n v="21.820926033425"/>
    <n v="25.099434611869441"/>
    <m/>
    <n v="12.5"/>
    <n v="42.342688666030561"/>
    <n v="35.58490149029722"/>
    <m/>
    <n v="74"/>
  </r>
  <r>
    <d v="2026-09-12T06:00:00"/>
    <x v="6"/>
    <n v="6"/>
    <n v="22.15279729721389"/>
    <n v="25.079869264363889"/>
    <m/>
    <n v="12"/>
    <n v="39.851868705866671"/>
    <n v="34.419937178336113"/>
    <m/>
    <n v="77"/>
  </r>
  <r>
    <d v="2026-09-12T07:00:00"/>
    <x v="6"/>
    <n v="7"/>
    <n v="22.170945820947221"/>
    <n v="25.21261890505556"/>
    <m/>
    <n v="12.5"/>
    <n v="38.863302059294448"/>
    <n v="33.46189131441389"/>
    <m/>
    <n v="75"/>
  </r>
  <r>
    <d v="2026-09-12T08:00:00"/>
    <x v="6"/>
    <n v="8"/>
    <n v="22.931890284925"/>
    <n v="25.529271152408331"/>
    <m/>
    <n v="13.8"/>
    <n v="37.646924292866672"/>
    <n v="33.14347447862778"/>
    <m/>
    <n v="71"/>
  </r>
  <r>
    <d v="2026-09-12T09:00:00"/>
    <x v="6"/>
    <n v="9"/>
    <n v="23.621433825450001"/>
    <n v="25.7007701422"/>
    <m/>
    <n v="16.2"/>
    <n v="37.47560312348611"/>
    <n v="34.117525405302779"/>
    <m/>
    <n v="62"/>
  </r>
  <r>
    <d v="2026-09-12T10:00:00"/>
    <x v="6"/>
    <n v="10"/>
    <n v="24.595208459655559"/>
    <n v="26.386017936152779"/>
    <m/>
    <n v="18"/>
    <n v="36.359838996477777"/>
    <n v="33.720697904950001"/>
    <m/>
    <n v="56"/>
  </r>
  <r>
    <d v="2026-09-12T11:00:00"/>
    <x v="6"/>
    <n v="11"/>
    <n v="25.038870801577779"/>
    <n v="26.682360006724998"/>
    <m/>
    <n v="19.7"/>
    <n v="35.339675278127778"/>
    <n v="33.323327630586107"/>
    <m/>
    <n v="50"/>
  </r>
  <r>
    <d v="2026-09-12T12:00:00"/>
    <x v="6"/>
    <n v="12"/>
    <n v="25.267718269483339"/>
    <n v="26.916161476494441"/>
    <m/>
    <n v="21.1"/>
    <n v="34.407826102100003"/>
    <n v="32.943261981299997"/>
    <m/>
    <n v="45"/>
  </r>
  <r>
    <d v="2026-09-12T13:00:00"/>
    <x v="6"/>
    <n v="13"/>
    <n v="25.28072799366112"/>
    <n v="27.183273327616661"/>
    <m/>
    <n v="21.9"/>
    <n v="33.692999738099999"/>
    <n v="34.093340863213889"/>
    <m/>
    <n v="43"/>
  </r>
  <r>
    <d v="2026-09-12T14:00:00"/>
    <x v="6"/>
    <n v="14"/>
    <n v="25.30794823113612"/>
    <n v="26.91585792631389"/>
    <m/>
    <n v="22.2"/>
    <n v="31.466596952288889"/>
    <n v="30.835034223813889"/>
    <m/>
    <n v="42"/>
  </r>
  <r>
    <d v="2026-09-12T15:00:00"/>
    <x v="6"/>
    <n v="15"/>
    <n v="25.197784454463889"/>
    <n v="26.80849897621944"/>
    <m/>
    <n v="23.3"/>
    <n v="33.197969205677779"/>
    <n v="34.185189937997222"/>
    <m/>
    <n v="39"/>
  </r>
  <r>
    <d v="2026-09-12T16:00:00"/>
    <x v="6"/>
    <n v="16"/>
    <n v="24.934608205949999"/>
    <n v="26.543485849227778"/>
    <m/>
    <n v="23.2"/>
    <n v="34.429151008208329"/>
    <n v="32.906610340638892"/>
    <m/>
    <n v="39"/>
  </r>
  <r>
    <d v="2026-09-12T17:00:00"/>
    <x v="6"/>
    <n v="17"/>
    <n v="24.687829127705559"/>
    <n v="26.249159025391659"/>
    <m/>
    <n v="22.7"/>
    <n v="33.495687030788893"/>
    <n v="31.858891645252779"/>
    <m/>
    <n v="41"/>
  </r>
  <r>
    <d v="2026-09-12T18:00:00"/>
    <x v="6"/>
    <n v="18"/>
    <n v="24.004440969988892"/>
    <n v="25.992167840827779"/>
    <m/>
    <n v="21.8"/>
    <n v="34.785856933283327"/>
    <n v="32.154784394430557"/>
    <m/>
    <n v="43"/>
  </r>
  <r>
    <d v="2026-09-12T19:00:00"/>
    <x v="6"/>
    <n v="19"/>
    <n v="24.45987583366389"/>
    <n v="26.098837783836121"/>
    <m/>
    <n v="20.5"/>
    <n v="34.755579603152768"/>
    <n v="32.431914262527783"/>
    <m/>
    <n v="47"/>
  </r>
  <r>
    <d v="2026-09-12T20:00:00"/>
    <x v="6"/>
    <n v="20"/>
    <n v="23.965565206494439"/>
    <n v="26.817592123466671"/>
    <m/>
    <n v="19.100000000000001"/>
    <n v="36.384560176319447"/>
    <n v="34.156474799461108"/>
    <m/>
    <n v="52"/>
  </r>
  <r>
    <d v="2026-09-12T21:00:00"/>
    <x v="6"/>
    <n v="21"/>
    <n v="23.672357340616671"/>
    <n v="26.821897967819439"/>
    <m/>
    <n v="17.600000000000001"/>
    <n v="37.946533111597219"/>
    <n v="35.041592740038887"/>
    <m/>
    <n v="56"/>
  </r>
  <r>
    <d v="2026-09-12T22:00:00"/>
    <x v="6"/>
    <n v="22"/>
    <n v="23.206570794697221"/>
    <n v="26.70244119261945"/>
    <m/>
    <n v="17.5"/>
    <n v="39.385568822000003"/>
    <n v="35.254987178961109"/>
    <m/>
    <n v="54"/>
  </r>
  <r>
    <d v="2026-09-12T23:00:00"/>
    <x v="6"/>
    <n v="23"/>
    <n v="22.921780270191661"/>
    <n v="26.518919121119438"/>
    <m/>
    <n v="17.5"/>
    <n v="40.276352050702783"/>
    <n v="34.539919045333328"/>
    <m/>
    <n v="52"/>
  </r>
  <r>
    <d v="2026-09-13T00:00:00"/>
    <x v="6"/>
    <n v="0"/>
    <n v="23.139901386527779"/>
    <n v="26.738294882475"/>
    <m/>
    <n v="17.5"/>
    <n v="41.119057974908337"/>
    <n v="37.032711425400002"/>
    <m/>
    <n v="50"/>
  </r>
  <r>
    <d v="2026-09-13T01:00:00"/>
    <x v="6"/>
    <n v="1"/>
    <n v="23.52477250445833"/>
    <n v="26.878165766863891"/>
    <m/>
    <n v="17"/>
    <n v="41.443622910458338"/>
    <n v="36.370881805416673"/>
    <m/>
    <n v="52"/>
  </r>
  <r>
    <d v="2026-09-13T02:00:00"/>
    <x v="6"/>
    <n v="2"/>
    <n v="23.390746543938889"/>
    <n v="26.554747116061112"/>
    <m/>
    <n v="16.600000000000001"/>
    <n v="42.093411427652782"/>
    <n v="36.310332004536107"/>
    <m/>
    <n v="55"/>
  </r>
  <r>
    <d v="2026-09-13T03:00:00"/>
    <x v="6"/>
    <n v="3"/>
    <n v="22.84174684726111"/>
    <n v="26.14626366177778"/>
    <m/>
    <n v="15.2"/>
    <n v="43.790103450025008"/>
    <n v="36.998001396358333"/>
    <m/>
    <n v="71"/>
  </r>
  <r>
    <d v="2026-09-13T04:00:00"/>
    <x v="6"/>
    <n v="4"/>
    <n v="22.09308431423333"/>
    <n v="25.86853725111667"/>
    <m/>
    <n v="14.7"/>
    <n v="45.694517492191672"/>
    <n v="37.419099333402777"/>
    <m/>
    <n v="77"/>
  </r>
  <r>
    <d v="2026-09-13T05:00:00"/>
    <x v="6"/>
    <n v="5"/>
    <n v="21.60217508993334"/>
    <n v="25.610451693786121"/>
    <m/>
    <n v="14.2"/>
    <n v="46.541437702055553"/>
    <n v="37.424807745527779"/>
    <m/>
    <n v="81"/>
  </r>
  <r>
    <d v="2026-09-13T06:00:00"/>
    <x v="6"/>
    <n v="6"/>
    <n v="21.660023077091669"/>
    <n v="25.576683886772219"/>
    <m/>
    <n v="13.9"/>
    <n v="46.786420268755563"/>
    <n v="37.760295394944443"/>
    <m/>
    <n v="83"/>
  </r>
  <r>
    <d v="2026-09-13T07:00:00"/>
    <x v="6"/>
    <n v="7"/>
    <n v="22.427553057963891"/>
    <n v="25.923611781283331"/>
    <m/>
    <n v="14.1"/>
    <n v="45.511278007097218"/>
    <n v="38.267081324094448"/>
    <m/>
    <n v="82"/>
  </r>
  <r>
    <d v="2026-09-13T08:00:00"/>
    <x v="6"/>
    <n v="8"/>
    <n v="23.495046985938892"/>
    <n v="26.356332535825"/>
    <m/>
    <n v="15.1"/>
    <n v="43.558643675508343"/>
    <n v="38.647937901063891"/>
    <m/>
    <n v="77"/>
  </r>
  <r>
    <d v="2026-09-13T09:00:00"/>
    <x v="6"/>
    <n v="9"/>
    <n v="23.703990760147221"/>
    <n v="26.270702023794449"/>
    <m/>
    <n v="16.2"/>
    <n v="43.358118435061108"/>
    <n v="38.639987715091671"/>
    <m/>
    <n v="73"/>
  </r>
  <r>
    <d v="2026-09-13T10:00:00"/>
    <x v="6"/>
    <n v="10"/>
    <n v="23.85066657139722"/>
    <n v="26.204653538211112"/>
    <m/>
    <n v="17.8"/>
    <n v="43.326385781113878"/>
    <n v="38.610253397494439"/>
    <m/>
    <n v="67"/>
  </r>
  <r>
    <d v="2026-09-13T11:00:00"/>
    <x v="6"/>
    <n v="11"/>
    <n v="24.389111056663889"/>
    <n v="26.321266622300001"/>
    <m/>
    <n v="18.3"/>
    <n v="42.965774404419449"/>
    <n v="39.023049015969448"/>
    <m/>
    <n v="66"/>
  </r>
  <r>
    <d v="2026-09-13T12:00:00"/>
    <x v="6"/>
    <n v="12"/>
    <n v="24.64501714220556"/>
    <n v="26.773504762708331"/>
    <m/>
    <n v="19.8"/>
    <n v="43.820545846452781"/>
    <n v="40.852460437250002"/>
    <m/>
    <n v="61"/>
  </r>
  <r>
    <d v="2026-09-13T13:00:00"/>
    <x v="6"/>
    <n v="13"/>
    <n v="24.800875085327771"/>
    <n v="27.202763601188892"/>
    <m/>
    <n v="20.8"/>
    <n v="44.620508713461113"/>
    <n v="41.836807522961109"/>
    <m/>
    <n v="58"/>
  </r>
  <r>
    <d v="2026-09-13T14:00:00"/>
    <x v="6"/>
    <n v="14"/>
    <n v="25.040991944958328"/>
    <n v="27.216296937844451"/>
    <m/>
    <n v="21.3"/>
    <n v="43.90156459921667"/>
    <n v="40.911753364894437"/>
    <m/>
    <n v="56"/>
  </r>
  <r>
    <d v="2026-09-13T15:00:00"/>
    <x v="6"/>
    <n v="15"/>
    <n v="24.907124816774999"/>
    <n v="27.031151457516671"/>
    <m/>
    <n v="22.3"/>
    <n v="44.20532541127222"/>
    <n v="41.048057751061123"/>
    <m/>
    <n v="55"/>
  </r>
  <r>
    <d v="2026-09-13T16:00:00"/>
    <x v="6"/>
    <n v="16"/>
    <n v="24.792555264663889"/>
    <n v="27.035031201447222"/>
    <m/>
    <n v="21.8"/>
    <n v="44.629581543024997"/>
    <n v="41.613761981783327"/>
    <m/>
    <n v="57"/>
  </r>
  <r>
    <d v="2026-09-13T17:00:00"/>
    <x v="6"/>
    <n v="17"/>
    <n v="24.793160177324999"/>
    <n v="27.236395048350001"/>
    <m/>
    <n v="21"/>
    <n v="44.958083621074998"/>
    <n v="42.465878394105552"/>
    <m/>
    <n v="59"/>
  </r>
  <r>
    <d v="2026-09-13T18:00:00"/>
    <x v="6"/>
    <n v="18"/>
    <n v="24.48240335501389"/>
    <n v="27.320131751955561"/>
    <m/>
    <n v="19.8"/>
    <n v="45.767829085149998"/>
    <n v="42.83973140761389"/>
    <m/>
    <n v="63"/>
  </r>
  <r>
    <d v="2026-09-13T19:00:00"/>
    <x v="6"/>
    <n v="19"/>
    <n v="23.904066446538891"/>
    <n v="26.911935503072229"/>
    <n v="27.841875458302152"/>
    <n v="18.100000000000001"/>
    <n v="48.330752824947218"/>
    <n v="43.116493424994452"/>
    <n v="44.896228251900681"/>
    <n v="69"/>
  </r>
  <r>
    <d v="2026-09-13T20:00:00"/>
    <x v="6"/>
    <n v="20"/>
    <n v="23.226164977197211"/>
    <n v="26.368682224499999"/>
    <n v="28.175500359327771"/>
    <n v="17.100000000000001"/>
    <n v="48.399067468752783"/>
    <n v="41.285441716605547"/>
    <n v="43.249680367566668"/>
    <n v="73"/>
  </r>
  <r>
    <d v="2026-09-13T21:00:00"/>
    <x v="6"/>
    <n v="21"/>
    <n v="22.653167654366669"/>
    <n v="25.965024268577778"/>
    <n v="28.23120381290833"/>
    <n v="16"/>
    <n v="48.568230879836108"/>
    <n v="40.769526626050002"/>
    <n v="42.75663754419444"/>
    <n v="80"/>
  </r>
  <r>
    <d v="2026-09-13T22:00:00"/>
    <x v="6"/>
    <n v="22"/>
    <n v="22.164752453805551"/>
    <n v="25.887263262136109"/>
    <n v="28.248685174097229"/>
    <n v="15.2"/>
    <n v="49.465852216000002"/>
    <n v="41.22399704195"/>
    <n v="42.502539651033331"/>
    <n v="83"/>
  </r>
  <r>
    <d v="2026-09-13T23:00:00"/>
    <x v="6"/>
    <n v="23"/>
    <n v="22.088938404055561"/>
    <n v="26.45340809198056"/>
    <n v="28.24727657601666"/>
    <n v="14.5"/>
    <n v="51.204934370972218"/>
    <n v="42.745291096258327"/>
    <n v="42.436753472277779"/>
    <n v="86"/>
  </r>
  <r>
    <d v="2026-09-14T00:00:00"/>
    <x v="6"/>
    <n v="0"/>
    <n v="22.193473773311108"/>
    <n v="26.311420928250001"/>
    <n v="28.248666000475001"/>
    <n v="14.1"/>
    <n v="49.215431448247223"/>
    <n v="40.498983326716669"/>
    <n v="42.387582243394441"/>
    <n v="87"/>
  </r>
  <r>
    <d v="2026-09-14T01:00:00"/>
    <x v="6"/>
    <n v="1"/>
    <n v="23.1501317699"/>
    <n v="26.18440320771667"/>
    <n v="28.222491221133328"/>
    <n v="13.9"/>
    <n v="47.338511551708343"/>
    <n v="40.864745198177779"/>
    <n v="42.301206382849998"/>
    <n v="87"/>
  </r>
  <r>
    <d v="2026-09-14T02:00:00"/>
    <x v="6"/>
    <n v="2"/>
    <n v="23.638948412702771"/>
    <n v="26.082106821233332"/>
    <n v="28.216703960430561"/>
    <n v="13.7"/>
    <n v="49.005103689899997"/>
    <n v="42.139806492158343"/>
    <n v="42.207601695186113"/>
    <n v="87"/>
  </r>
  <r>
    <d v="2026-09-14T03:00:00"/>
    <x v="6"/>
    <n v="3"/>
    <n v="23.635205252297219"/>
    <n v="25.918860237536109"/>
    <n v="28.220490739016672"/>
    <n v="13.9"/>
    <n v="48.354374330036109"/>
    <n v="42.58848870626111"/>
    <n v="42.133120315872233"/>
    <n v="85"/>
  </r>
  <r>
    <d v="2026-09-14T04:00:00"/>
    <x v="6"/>
    <n v="4"/>
    <n v="23.663157001511109"/>
    <n v="25.8068964508"/>
    <n v="28.214186872622221"/>
    <n v="13.9"/>
    <n v="47.654193425330561"/>
    <n v="42.374221877916661"/>
    <n v="42.047195138113892"/>
    <n v="84"/>
  </r>
  <r>
    <d v="2026-09-14T05:00:00"/>
    <x v="6"/>
    <n v="5"/>
    <n v="23.563730707752779"/>
    <n v="25.751462327591661"/>
    <n v="28.195703470213889"/>
    <n v="13.9"/>
    <n v="47.380253117005559"/>
    <n v="42.090359184361112"/>
    <n v="42.007505793838888"/>
    <n v="83"/>
  </r>
  <r>
    <d v="2026-09-14T06:00:00"/>
    <x v="6"/>
    <n v="6"/>
    <n v="23.512030301330551"/>
    <n v="25.657301945566669"/>
    <n v="28.178629307547219"/>
    <n v="13.9"/>
    <n v="47.110510472983329"/>
    <n v="41.855542657358328"/>
    <n v="42.005582839436109"/>
    <n v="82"/>
  </r>
  <r>
    <d v="2026-09-14T07:00:00"/>
    <x v="6"/>
    <n v="7"/>
    <n v="23.484555643591669"/>
    <n v="25.587754418838891"/>
    <n v="28.169324149280559"/>
    <n v="14"/>
    <n v="46.880928046075013"/>
    <n v="41.652011714416673"/>
    <n v="41.98581402563611"/>
    <n v="82"/>
  </r>
  <r>
    <d v="2026-09-14T08:00:00"/>
    <x v="6"/>
    <n v="8"/>
    <n v="23.708896960258329"/>
    <n v="25.714832727899999"/>
    <n v="28.157759197000001"/>
    <n v="14.6"/>
    <n v="46.462249284299993"/>
    <n v="41.367727394894438"/>
    <n v="41.975565261919442"/>
    <n v="79"/>
  </r>
  <r>
    <d v="2026-09-14T09:00:00"/>
    <x v="6"/>
    <n v="9"/>
    <n v="23.774571568247222"/>
    <n v="25.65713844468889"/>
    <n v="28.13807385686944"/>
    <n v="14.6"/>
    <n v="46.308442335563889"/>
    <n v="41.494771284316663"/>
    <n v="41.958331496441673"/>
    <n v="80"/>
  </r>
  <r>
    <d v="2026-09-14T10:00:00"/>
    <x v="6"/>
    <n v="10"/>
    <n v="23.75061044021944"/>
    <n v="25.801356782733329"/>
    <n v="28.13260163770833"/>
    <n v="15.4"/>
    <n v="46.402951250794437"/>
    <n v="41.511379655322223"/>
    <n v="42.021660209730562"/>
    <n v="77"/>
  </r>
  <r>
    <d v="2026-09-14T11:00:00"/>
    <x v="6"/>
    <n v="11"/>
    <n v="23.758328517297219"/>
    <n v="26.00558365116667"/>
    <n v="28.117599914916671"/>
    <n v="16.899999999999999"/>
    <n v="47.095533653502777"/>
    <n v="41.575632034916673"/>
    <n v="42.282330202202779"/>
    <n v="72"/>
  </r>
  <r>
    <d v="2026-09-14T12:00:00"/>
    <x v="6"/>
    <n v="12"/>
    <n v="23.728613867100002"/>
    <n v="26.18907892703611"/>
    <n v="28.085679349275001"/>
    <n v="17.5"/>
    <n v="47.064820169719447"/>
    <n v="41.117535201172217"/>
    <n v="43.33324770828056"/>
    <n v="71"/>
  </r>
  <r>
    <d v="2026-09-14T13:00:00"/>
    <x v="6"/>
    <n v="13"/>
    <n v="23.796349441036121"/>
    <n v="26.31875667840556"/>
    <n v="28.047117614177779"/>
    <n v="17.600000000000001"/>
    <n v="47.409506091627783"/>
    <n v="41.844378408025001"/>
    <n v="43.986602711002767"/>
    <n v="73"/>
  </r>
  <r>
    <d v="2026-09-14T14:00:00"/>
    <x v="6"/>
    <n v="14"/>
    <n v="24.299122640966669"/>
    <n v="26.753892109058331"/>
    <n v="27.954559016869439"/>
    <n v="18.399999999999999"/>
    <n v="47.726223188166671"/>
    <n v="42.074344717452782"/>
    <n v="45.037614611661112"/>
    <n v="70"/>
  </r>
  <r>
    <d v="2026-09-14T15:00:00"/>
    <x v="6"/>
    <n v="15"/>
    <n v="24.694519296386112"/>
    <n v="26.695479212944441"/>
    <n v="27.700286611091659"/>
    <n v="18.399999999999999"/>
    <n v="47.06323715963611"/>
    <n v="42.351529663666668"/>
    <n v="46.201135685330563"/>
    <n v="71"/>
  </r>
  <r>
    <d v="2026-09-14T16:00:00"/>
    <x v="6"/>
    <n v="16"/>
    <n v="24.80717994138611"/>
    <n v="26.539817773227771"/>
    <n v="27.951414848677771"/>
    <n v="18.2"/>
    <n v="47.775258977386109"/>
    <n v="42.798310284363893"/>
    <n v="45.332835833250002"/>
    <n v="73"/>
  </r>
  <r>
    <d v="2026-09-14T17:00:00"/>
    <x v="6"/>
    <n v="17"/>
    <n v="24.74674259875556"/>
    <n v="26.480082851072229"/>
    <n v="28.139207263966671"/>
    <n v="17.600000000000001"/>
    <n v="50.636615377544437"/>
    <n v="47.15016050671111"/>
    <n v="44.558579173002776"/>
    <n v="78"/>
  </r>
  <r>
    <d v="2026-09-14T18:00:00"/>
    <x v="6"/>
    <n v="18"/>
    <n v="24.75411476150278"/>
    <n v="26.37840832565"/>
    <n v="28.264327288263889"/>
    <n v="17"/>
    <n v="49.784847889691669"/>
    <n v="46.181447941708328"/>
    <n v="44.266239696905558"/>
    <n v="83"/>
  </r>
  <r>
    <d v="2026-09-14T19:00:00"/>
    <x v="6"/>
    <n v="19"/>
    <n v="24.672362026436119"/>
    <n v="26.573333375394441"/>
    <n v="27.584124328841671"/>
    <n v="16.899999999999999"/>
    <n v="47.865064115830563"/>
    <n v="43.740261358738877"/>
    <n v="47.990203967366661"/>
    <n v="82"/>
  </r>
  <r>
    <d v="2026-09-14T20:00:00"/>
    <x v="6"/>
    <n v="20"/>
    <n v="24.624313810730559"/>
    <n v="26.453671434008331"/>
    <n v="26.913604579680559"/>
    <n v="16.399999999999999"/>
    <n v="47.238804168436111"/>
    <n v="43.909811112488889"/>
    <n v="49.412761865058343"/>
    <n v="84"/>
  </r>
  <r>
    <d v="2026-09-14T21:00:00"/>
    <x v="6"/>
    <n v="21"/>
    <n v="24.40695955733889"/>
    <n v="26.256334635211111"/>
    <n v="26.967018602863892"/>
    <n v="16.399999999999999"/>
    <n v="48.513683045513893"/>
    <n v="45.978864566338892"/>
    <n v="49.590677047061121"/>
    <n v="88"/>
  </r>
  <r>
    <d v="2026-09-14T22:00:00"/>
    <x v="6"/>
    <n v="22"/>
    <n v="23.880370689161111"/>
    <n v="25.857045805758329"/>
    <n v="27.449783003536108"/>
    <n v="16.2"/>
    <n v="48.845553646866669"/>
    <n v="44.814823389816667"/>
    <n v="47.391049063377778"/>
    <n v="91"/>
  </r>
  <r>
    <d v="2026-09-14T23:00:00"/>
    <x v="6"/>
    <n v="23"/>
    <n v="24.358019885425001"/>
    <n v="26.41268033455556"/>
    <n v="27.68602521327778"/>
    <n v="15.6"/>
    <n v="47.705256858186111"/>
    <n v="43.520180976405562"/>
    <n v="46.304273214222228"/>
    <n v="94"/>
  </r>
  <r>
    <d v="2026-09-15T00:00:00"/>
    <x v="6"/>
    <n v="0"/>
    <n v="24.584687216797221"/>
    <n v="26.359618272913892"/>
    <n v="27.796889512"/>
    <n v="15.2"/>
    <n v="47.162923152702767"/>
    <n v="44.359080686944438"/>
    <n v="45.840323869755558"/>
    <n v="96"/>
  </r>
  <r>
    <d v="2026-09-15T01:00:00"/>
    <x v="6"/>
    <n v="1"/>
    <n v="24.195514373824999"/>
    <n v="26.052575302902781"/>
    <n v="27.841123110783329"/>
    <n v="14.8"/>
    <n v="49.138524444786107"/>
    <n v="46.219672399669442"/>
    <n v="46.369608693313893"/>
    <n v="97"/>
  </r>
  <r>
    <d v="2026-09-15T02:00:00"/>
    <x v="6"/>
    <n v="2"/>
    <n v="23.922094966386108"/>
    <n v="25.75260538001945"/>
    <n v="27.990882465011111"/>
    <n v="14.8"/>
    <n v="50.241846482044451"/>
    <n v="45.993961177422221"/>
    <n v="45.434826970338889"/>
    <n v="97"/>
  </r>
  <r>
    <d v="2026-09-15T03:00:00"/>
    <x v="6"/>
    <n v="3"/>
    <n v="24.508040689594441"/>
    <n v="25.814553065675"/>
    <n v="28.089614270386111"/>
    <n v="14"/>
    <n v="49.750284256308333"/>
    <n v="45.375558874675001"/>
    <n v="44.91883850751389"/>
    <n v="98"/>
  </r>
  <r>
    <d v="2026-09-15T04:00:00"/>
    <x v="6"/>
    <n v="4"/>
    <n v="24.599362452780561"/>
    <n v="25.845005880888891"/>
    <n v="28.149881897669449"/>
    <n v="14.3"/>
    <n v="50.056336292202779"/>
    <n v="45.366226402372227"/>
    <n v="44.543749269975002"/>
    <n v="98"/>
  </r>
  <r>
    <d v="2026-09-15T05:00:00"/>
    <x v="6"/>
    <n v="5"/>
    <n v="24.611354966861111"/>
    <n v="25.82002609466112"/>
    <n v="28.154981010555559"/>
    <n v="14.3"/>
    <n v="50.379007787666673"/>
    <n v="45.439374971980563"/>
    <n v="44.230354321969443"/>
    <n v="98"/>
  </r>
  <r>
    <d v="2026-09-15T06:00:00"/>
    <x v="6"/>
    <n v="6"/>
    <n v="24.61883334119722"/>
    <n v="25.822702000338889"/>
    <n v="28.118925753799999"/>
    <n v="13.8"/>
    <n v="50.23657639630278"/>
    <n v="45.290985735500001"/>
    <n v="44.029317258819447"/>
    <n v="98"/>
  </r>
  <r>
    <d v="2026-09-15T07:00:00"/>
    <x v="6"/>
    <n v="7"/>
    <n v="24.617666543824999"/>
    <n v="25.782808192672221"/>
    <n v="28.079841025219441"/>
    <n v="13.4"/>
    <n v="50.008500672783327"/>
    <n v="45.389352701111108"/>
    <n v="43.885830205444442"/>
    <n v="97"/>
  </r>
  <r>
    <d v="2026-09-15T08:00:00"/>
    <x v="6"/>
    <n v="8"/>
    <n v="24.615604955988889"/>
    <n v="25.814620167952778"/>
    <n v="28.050905720133329"/>
    <n v="13.4"/>
    <n v="50.012671322744438"/>
    <n v="45.372305825150001"/>
    <n v="43.794461915702783"/>
    <n v="97"/>
  </r>
  <r>
    <d v="2026-09-15T09:00:00"/>
    <x v="6"/>
    <n v="9"/>
    <n v="24.63140967525834"/>
    <n v="25.839859894197222"/>
    <n v="28.021674745130561"/>
    <n v="12.9"/>
    <n v="50.062282239066668"/>
    <n v="45.479378212936098"/>
    <n v="43.786175812277783"/>
    <n v="97"/>
  </r>
  <r>
    <d v="2026-09-15T10:00:00"/>
    <x v="6"/>
    <n v="10"/>
    <n v="24.659359155827779"/>
    <n v="26.093817870544441"/>
    <n v="28.004036537408339"/>
    <n v="13.2"/>
    <n v="50.554921104197227"/>
    <n v="46.465556242119447"/>
    <n v="44.185873226852777"/>
    <n v="96"/>
  </r>
  <r>
    <d v="2026-09-15T11:00:00"/>
    <x v="6"/>
    <n v="11"/>
    <n v="24.689166870547229"/>
    <n v="25.938944880588888"/>
    <n v="28.01821377505556"/>
    <n v="13.6"/>
    <n v="50.41278947189722"/>
    <n v="46.780685342669443"/>
    <n v="44.737630561652772"/>
    <n v="94"/>
  </r>
  <r>
    <d v="2026-09-15T12:00:00"/>
    <x v="6"/>
    <n v="12"/>
    <n v="24.690938763213889"/>
    <n v="26.066176759494439"/>
    <n v="28.05204663356945"/>
    <n v="14.8"/>
    <n v="49.813827707252777"/>
    <n v="46.232288303213892"/>
    <n v="44.864275135586119"/>
    <n v="84"/>
  </r>
  <r>
    <d v="2026-09-15T13:00:00"/>
    <x v="6"/>
    <n v="13"/>
    <n v="24.73080460333334"/>
    <n v="26.144698686775001"/>
    <n v="27.979322109138892"/>
    <n v="15.4"/>
    <n v="49.575305417563889"/>
    <n v="45.401365077152782"/>
    <n v="45.80275527888611"/>
    <n v="85"/>
  </r>
  <r>
    <d v="2026-09-15T14:00:00"/>
    <x v="6"/>
    <n v="14"/>
    <n v="24.763971772927778"/>
    <n v="26.165938665563889"/>
    <n v="28.063782385466659"/>
    <n v="15"/>
    <n v="49.139287193519444"/>
    <n v="45.561837735127767"/>
    <n v="45.433062077105546"/>
    <n v="86"/>
  </r>
  <r>
    <d v="2026-09-15T15:00:00"/>
    <x v="6"/>
    <n v="15"/>
    <n v="24.500265691369449"/>
    <n v="26.193103407119441"/>
    <n v="28.10706506260556"/>
    <n v="14.4"/>
    <n v="49.443397976486118"/>
    <n v="45.432397630174997"/>
    <n v="45.847063361508333"/>
    <n v="86"/>
  </r>
  <r>
    <d v="2026-09-15T16:00:00"/>
    <x v="6"/>
    <n v="16"/>
    <n v="24.029141850183329"/>
    <n v="26.196189135891672"/>
    <n v="28.166168838266671"/>
    <n v="13.8"/>
    <n v="50.079670082822219"/>
    <n v="44.875660316577779"/>
    <n v="45.698774969602773"/>
    <n v="90"/>
  </r>
  <r>
    <d v="2026-09-15T17:00:00"/>
    <x v="6"/>
    <n v="17"/>
    <n v="23.910708880772219"/>
    <n v="26.276318096400001"/>
    <n v="27.96851707007778"/>
    <n v="13.6"/>
    <n v="50.404770411166659"/>
    <n v="46.33585800717222"/>
    <n v="46.789657510741669"/>
    <n v="91"/>
  </r>
  <r>
    <d v="2026-09-15T18:00:00"/>
    <x v="6"/>
    <n v="18"/>
    <n v="24.080643011063891"/>
    <n v="26.51838783168612"/>
    <n v="27.34379395140278"/>
    <n v="13.3"/>
    <n v="50.479611905494451"/>
    <n v="46.984398800861108"/>
    <n v="49.69746187362778"/>
    <n v="91"/>
  </r>
  <r>
    <d v="2026-09-15T19:00:00"/>
    <x v="6"/>
    <n v="19"/>
    <n v="24.013121979916669"/>
    <n v="26.327210885116671"/>
    <n v="27.38284604211389"/>
    <n v="13"/>
    <n v="49.348918665822232"/>
    <n v="44.714398326194448"/>
    <n v="48.295939840908339"/>
    <n v="90"/>
  </r>
  <r>
    <d v="2026-09-15T20:00:00"/>
    <x v="6"/>
    <n v="20"/>
    <n v="23.93033670286944"/>
    <n v="26.349122249311112"/>
    <n v="27.747102684213889"/>
    <n v="12.8"/>
    <n v="50.725865918311108"/>
    <n v="46.72209541920833"/>
    <n v="46.924946554666661"/>
    <n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CD688-9E43-4E7C-8737-99452CFDCF9C}" name="Зведена таблиця1" cacheId="2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A112:D120" firstHeaderRow="0" firstDataRow="1" firstDataCol="1"/>
  <pivotFields count="11">
    <pivotField numFmtId="165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" showAll="0"/>
    <pivotField dataField="1" showAll="0"/>
    <pivotField dataField="1" showAll="0"/>
    <pivotField dataField="1" showAll="0"/>
    <pivotField numFmtId="166" showAll="0"/>
    <pivotField showAll="0"/>
    <pivotField showAll="0"/>
    <pivotField showAll="0"/>
    <pivotField numFmtId="167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ереднє з Кімната °C" fld="3" subtotal="average" baseField="1" baseItem="0" numFmtId="166"/>
    <dataField name="Середнє з Кухня °C" fld="4" subtotal="average" baseField="1" baseItem="0" numFmtId="166"/>
    <dataField name="Середнє з Кладова °C" fld="5" subtotal="average" baseField="1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Місяць" xr10:uid="{567B8911-8DE2-40C6-8DC9-16E83B08F78B}" sourceName="Місяць">
  <pivotTables>
    <pivotTable tabId="3" name="Зведена таблиця1"/>
  </pivotTables>
  <data>
    <tabular pivotCacheId="1196011476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ісяць" xr10:uid="{A4AF61BA-3A29-4E8C-B712-7FBA24836A16}" cache="Роздільник_Місяць" caption="Місяць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" displayName="raw" ref="A1:K4403">
  <autoFilter ref="A1:K4403" xr:uid="{00000000-0009-0000-0100-000001000000}"/>
  <tableColumns count="11">
    <tableColumn id="1" xr3:uid="{00000000-0010-0000-0000-000001000000}" name="Дата-час (Київ)"/>
    <tableColumn id="2" xr3:uid="{00000000-0010-0000-0000-000002000000}" name="Місяць"/>
    <tableColumn id="3" xr3:uid="{00000000-0010-0000-0000-000003000000}" name="Година"/>
    <tableColumn id="4" xr3:uid="{00000000-0010-0000-0000-000004000000}" name="Кімната °C"/>
    <tableColumn id="5" xr3:uid="{00000000-0010-0000-0000-000005000000}" name="Кухня °C"/>
    <tableColumn id="6" xr3:uid="{00000000-0010-0000-0000-000006000000}" name="Кладова °C"/>
    <tableColumn id="7" xr3:uid="{00000000-0010-0000-0000-000007000000}" name="Надворі °C"/>
    <tableColumn id="8" xr3:uid="{00000000-0010-0000-0000-000008000000}" name="Кімната RH"/>
    <tableColumn id="9" xr3:uid="{00000000-0010-0000-0000-000009000000}" name="Кухня RH"/>
    <tableColumn id="10" xr3:uid="{00000000-0010-0000-0000-00000A000000}" name="Кладова RH"/>
    <tableColumn id="11" xr3:uid="{00000000-0010-0000-0000-00000B000000}" name="Надворі R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03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8" customWidth="1"/>
    <col min="2" max="2" width="10" customWidth="1"/>
    <col min="3" max="3" width="8" customWidth="1"/>
    <col min="4" max="11" width="1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46097.416666666657</v>
      </c>
      <c r="B2" t="str">
        <f t="shared" ref="B2:B65" si="0">TEXT(A2,"yyyy-mm")</f>
        <v>2026-03</v>
      </c>
      <c r="C2" s="3">
        <f t="shared" ref="C2:C65" si="1">HOUR(A2)</f>
        <v>10</v>
      </c>
      <c r="D2" s="4">
        <v>23.75084543600223</v>
      </c>
      <c r="E2" s="4"/>
      <c r="F2" s="4"/>
      <c r="G2" s="4">
        <v>5.7</v>
      </c>
      <c r="H2" s="5">
        <v>28.133015247153889</v>
      </c>
      <c r="I2" s="5"/>
      <c r="J2" s="5"/>
      <c r="K2" s="5">
        <v>69</v>
      </c>
    </row>
    <row r="3" spans="1:11" x14ac:dyDescent="0.25">
      <c r="A3" s="2">
        <v>46097.458333333343</v>
      </c>
      <c r="B3" t="str">
        <f t="shared" si="0"/>
        <v>2026-03</v>
      </c>
      <c r="C3" s="3">
        <f t="shared" si="1"/>
        <v>11</v>
      </c>
      <c r="D3" s="4">
        <v>24.797228389352771</v>
      </c>
      <c r="E3" s="4"/>
      <c r="F3" s="4"/>
      <c r="G3" s="4">
        <v>7.3</v>
      </c>
      <c r="H3" s="5">
        <v>28.30750083935277</v>
      </c>
      <c r="I3" s="5"/>
      <c r="J3" s="5"/>
      <c r="K3" s="5">
        <v>62</v>
      </c>
    </row>
    <row r="4" spans="1:11" x14ac:dyDescent="0.25">
      <c r="A4" s="2">
        <v>46097.5</v>
      </c>
      <c r="B4" t="str">
        <f t="shared" si="0"/>
        <v>2026-03</v>
      </c>
      <c r="C4" s="3">
        <f t="shared" si="1"/>
        <v>12</v>
      </c>
      <c r="D4" s="4">
        <v>23.036916531452778</v>
      </c>
      <c r="E4" s="4"/>
      <c r="F4" s="4"/>
      <c r="G4" s="4">
        <v>8.3000000000000007</v>
      </c>
      <c r="H4" s="5">
        <v>27.54653601695</v>
      </c>
      <c r="I4" s="5"/>
      <c r="J4" s="5"/>
      <c r="K4" s="5">
        <v>57</v>
      </c>
    </row>
    <row r="5" spans="1:11" x14ac:dyDescent="0.25">
      <c r="A5" s="2">
        <v>46097.541666666657</v>
      </c>
      <c r="B5" t="str">
        <f t="shared" si="0"/>
        <v>2026-03</v>
      </c>
      <c r="C5" s="3">
        <f t="shared" si="1"/>
        <v>13</v>
      </c>
      <c r="D5" s="4">
        <v>23.58867207686944</v>
      </c>
      <c r="E5" s="4"/>
      <c r="F5" s="4"/>
      <c r="G5" s="4">
        <v>8</v>
      </c>
      <c r="H5" s="5">
        <v>26.783215931238889</v>
      </c>
      <c r="I5" s="5"/>
      <c r="J5" s="5"/>
      <c r="K5" s="5">
        <v>60</v>
      </c>
    </row>
    <row r="6" spans="1:11" x14ac:dyDescent="0.25">
      <c r="A6" s="2">
        <v>46097.583333333343</v>
      </c>
      <c r="B6" t="str">
        <f t="shared" si="0"/>
        <v>2026-03</v>
      </c>
      <c r="C6" s="3">
        <f t="shared" si="1"/>
        <v>14</v>
      </c>
      <c r="D6" s="4">
        <v>24.66411066461389</v>
      </c>
      <c r="E6" s="4"/>
      <c r="F6" s="4"/>
      <c r="G6" s="4">
        <v>9.1</v>
      </c>
      <c r="H6" s="5">
        <v>27.831592413508339</v>
      </c>
      <c r="I6" s="5"/>
      <c r="J6" s="5"/>
      <c r="K6" s="5">
        <v>54</v>
      </c>
    </row>
    <row r="7" spans="1:11" x14ac:dyDescent="0.25">
      <c r="A7" s="2">
        <v>46097.625</v>
      </c>
      <c r="B7" t="str">
        <f t="shared" si="0"/>
        <v>2026-03</v>
      </c>
      <c r="C7" s="3">
        <f t="shared" si="1"/>
        <v>15</v>
      </c>
      <c r="D7" s="4">
        <v>24.741413906152779</v>
      </c>
      <c r="E7" s="4"/>
      <c r="F7" s="4"/>
      <c r="G7" s="4">
        <v>9.1999999999999993</v>
      </c>
      <c r="H7" s="5">
        <v>28.36321783371945</v>
      </c>
      <c r="I7" s="5"/>
      <c r="J7" s="5"/>
      <c r="K7" s="5">
        <v>51</v>
      </c>
    </row>
    <row r="8" spans="1:11" x14ac:dyDescent="0.25">
      <c r="A8" s="2">
        <v>46097.666666666657</v>
      </c>
      <c r="B8" t="str">
        <f t="shared" si="0"/>
        <v>2026-03</v>
      </c>
      <c r="C8" s="3">
        <f t="shared" si="1"/>
        <v>16</v>
      </c>
      <c r="D8" s="4">
        <v>24.48731267617222</v>
      </c>
      <c r="E8" s="4"/>
      <c r="F8" s="4"/>
      <c r="G8" s="4">
        <v>8.6</v>
      </c>
      <c r="H8" s="5">
        <v>29.403072284619441</v>
      </c>
      <c r="I8" s="5"/>
      <c r="J8" s="5"/>
      <c r="K8" s="5">
        <v>56</v>
      </c>
    </row>
    <row r="9" spans="1:11" x14ac:dyDescent="0.25">
      <c r="A9" s="2">
        <v>46097.708333333343</v>
      </c>
      <c r="B9" t="str">
        <f t="shared" si="0"/>
        <v>2026-03</v>
      </c>
      <c r="C9" s="3">
        <f t="shared" si="1"/>
        <v>17</v>
      </c>
      <c r="D9" s="4">
        <v>24.55346962163334</v>
      </c>
      <c r="E9" s="4"/>
      <c r="F9" s="4"/>
      <c r="G9" s="4">
        <v>7.5</v>
      </c>
      <c r="H9" s="5">
        <v>31.453719625819449</v>
      </c>
      <c r="I9" s="5"/>
      <c r="J9" s="5"/>
      <c r="K9" s="5">
        <v>62</v>
      </c>
    </row>
    <row r="10" spans="1:11" x14ac:dyDescent="0.25">
      <c r="A10" s="2">
        <v>46097.75</v>
      </c>
      <c r="B10" t="str">
        <f t="shared" si="0"/>
        <v>2026-03</v>
      </c>
      <c r="C10" s="3">
        <f t="shared" si="1"/>
        <v>18</v>
      </c>
      <c r="D10" s="4">
        <v>24.566718848225001</v>
      </c>
      <c r="E10" s="4"/>
      <c r="F10" s="4"/>
      <c r="G10" s="4">
        <v>6.4</v>
      </c>
      <c r="H10" s="5">
        <v>31.74965943133056</v>
      </c>
      <c r="I10" s="5"/>
      <c r="J10" s="5"/>
      <c r="K10" s="5">
        <v>67</v>
      </c>
    </row>
    <row r="11" spans="1:11" x14ac:dyDescent="0.25">
      <c r="A11" s="2">
        <v>46097.791666666657</v>
      </c>
      <c r="B11" t="str">
        <f t="shared" si="0"/>
        <v>2026-03</v>
      </c>
      <c r="C11" s="3">
        <f t="shared" si="1"/>
        <v>19</v>
      </c>
      <c r="D11" s="4">
        <v>24.40922066245556</v>
      </c>
      <c r="E11" s="4"/>
      <c r="F11" s="4"/>
      <c r="G11" s="4">
        <v>5.5</v>
      </c>
      <c r="H11" s="5">
        <v>32.094125869002767</v>
      </c>
      <c r="I11" s="5"/>
      <c r="J11" s="5"/>
      <c r="K11" s="5">
        <v>71</v>
      </c>
    </row>
    <row r="12" spans="1:11" x14ac:dyDescent="0.25">
      <c r="A12" s="2">
        <v>46097.833333333343</v>
      </c>
      <c r="B12" t="str">
        <f t="shared" si="0"/>
        <v>2026-03</v>
      </c>
      <c r="C12" s="3">
        <f t="shared" si="1"/>
        <v>20</v>
      </c>
      <c r="D12" s="4">
        <v>24.355717181174999</v>
      </c>
      <c r="E12" s="4"/>
      <c r="F12" s="4"/>
      <c r="G12" s="4">
        <v>5.3</v>
      </c>
      <c r="H12" s="5">
        <v>34.981259254361113</v>
      </c>
      <c r="I12" s="5"/>
      <c r="J12" s="5"/>
      <c r="K12" s="5">
        <v>77</v>
      </c>
    </row>
    <row r="13" spans="1:11" x14ac:dyDescent="0.25">
      <c r="A13" s="2">
        <v>46097.875</v>
      </c>
      <c r="B13" t="str">
        <f t="shared" si="0"/>
        <v>2026-03</v>
      </c>
      <c r="C13" s="3">
        <f t="shared" si="1"/>
        <v>21</v>
      </c>
      <c r="D13" s="4">
        <v>24.282014610777772</v>
      </c>
      <c r="E13" s="4"/>
      <c r="F13" s="4"/>
      <c r="G13" s="4">
        <v>4.5</v>
      </c>
      <c r="H13" s="5">
        <v>37.283802700450003</v>
      </c>
      <c r="I13" s="5"/>
      <c r="J13" s="5"/>
      <c r="K13" s="5">
        <v>80</v>
      </c>
    </row>
    <row r="14" spans="1:11" x14ac:dyDescent="0.25">
      <c r="A14" s="2">
        <v>46097.916666666657</v>
      </c>
      <c r="B14" t="str">
        <f t="shared" si="0"/>
        <v>2026-03</v>
      </c>
      <c r="C14" s="3">
        <f t="shared" si="1"/>
        <v>22</v>
      </c>
      <c r="D14" s="4">
        <v>24.23382310214722</v>
      </c>
      <c r="E14" s="4"/>
      <c r="F14" s="4"/>
      <c r="G14" s="4">
        <v>3.7</v>
      </c>
      <c r="H14" s="5">
        <v>36.717904668641673</v>
      </c>
      <c r="I14" s="5"/>
      <c r="J14" s="5"/>
      <c r="K14" s="5">
        <v>83</v>
      </c>
    </row>
    <row r="15" spans="1:11" x14ac:dyDescent="0.25">
      <c r="A15" s="2">
        <v>46097.958333333343</v>
      </c>
      <c r="B15" t="str">
        <f t="shared" si="0"/>
        <v>2026-03</v>
      </c>
      <c r="C15" s="3">
        <f t="shared" si="1"/>
        <v>23</v>
      </c>
      <c r="D15" s="4">
        <v>24.324090662347221</v>
      </c>
      <c r="E15" s="4"/>
      <c r="F15" s="4"/>
      <c r="G15" s="4">
        <v>2.8</v>
      </c>
      <c r="H15" s="5">
        <v>37.514726362499999</v>
      </c>
      <c r="I15" s="5"/>
      <c r="J15" s="5"/>
      <c r="K15" s="5">
        <v>88</v>
      </c>
    </row>
    <row r="16" spans="1:11" x14ac:dyDescent="0.25">
      <c r="A16" s="2">
        <v>46098</v>
      </c>
      <c r="B16" t="str">
        <f t="shared" si="0"/>
        <v>2026-03</v>
      </c>
      <c r="C16" s="3">
        <f t="shared" si="1"/>
        <v>0</v>
      </c>
      <c r="D16" s="4">
        <v>24.094581030438889</v>
      </c>
      <c r="E16" s="4"/>
      <c r="F16" s="4"/>
      <c r="G16" s="4">
        <v>2.2000000000000002</v>
      </c>
      <c r="H16" s="5">
        <v>37.238378144922223</v>
      </c>
      <c r="I16" s="5"/>
      <c r="J16" s="5"/>
      <c r="K16" s="5">
        <v>90</v>
      </c>
    </row>
    <row r="17" spans="1:11" x14ac:dyDescent="0.25">
      <c r="A17" s="2">
        <v>46098.041666666657</v>
      </c>
      <c r="B17" t="str">
        <f t="shared" si="0"/>
        <v>2026-03</v>
      </c>
      <c r="C17" s="3">
        <f t="shared" si="1"/>
        <v>1</v>
      </c>
      <c r="D17" s="4">
        <v>23.806057744866671</v>
      </c>
      <c r="E17" s="4"/>
      <c r="F17" s="4"/>
      <c r="G17" s="4">
        <v>1.9</v>
      </c>
      <c r="H17" s="5">
        <v>36.866244904644446</v>
      </c>
      <c r="I17" s="5"/>
      <c r="J17" s="5"/>
      <c r="K17" s="5">
        <v>92</v>
      </c>
    </row>
    <row r="18" spans="1:11" x14ac:dyDescent="0.25">
      <c r="A18" s="2">
        <v>46098.083333333343</v>
      </c>
      <c r="B18" t="str">
        <f t="shared" si="0"/>
        <v>2026-03</v>
      </c>
      <c r="C18" s="3">
        <f t="shared" si="1"/>
        <v>2</v>
      </c>
      <c r="D18" s="4">
        <v>23.63206538788333</v>
      </c>
      <c r="E18" s="4"/>
      <c r="F18" s="4"/>
      <c r="G18" s="4">
        <v>1.6</v>
      </c>
      <c r="H18" s="5">
        <v>36.291113007380559</v>
      </c>
      <c r="I18" s="5"/>
      <c r="J18" s="5"/>
      <c r="K18" s="5">
        <v>93</v>
      </c>
    </row>
    <row r="19" spans="1:11" x14ac:dyDescent="0.25">
      <c r="A19" s="2">
        <v>46098.125</v>
      </c>
      <c r="B19" t="str">
        <f t="shared" si="0"/>
        <v>2026-03</v>
      </c>
      <c r="C19" s="3">
        <f t="shared" si="1"/>
        <v>3</v>
      </c>
      <c r="D19" s="4">
        <v>23.509101707422221</v>
      </c>
      <c r="E19" s="4"/>
      <c r="F19" s="4"/>
      <c r="G19" s="4">
        <v>1.7</v>
      </c>
      <c r="H19" s="5">
        <v>36.06949483390833</v>
      </c>
      <c r="I19" s="5"/>
      <c r="J19" s="5"/>
      <c r="K19" s="5">
        <v>95</v>
      </c>
    </row>
    <row r="20" spans="1:11" x14ac:dyDescent="0.25">
      <c r="A20" s="2">
        <v>46098.166666666657</v>
      </c>
      <c r="B20" t="str">
        <f t="shared" si="0"/>
        <v>2026-03</v>
      </c>
      <c r="C20" s="3">
        <f t="shared" si="1"/>
        <v>4</v>
      </c>
      <c r="D20" s="4">
        <v>23.411655684402781</v>
      </c>
      <c r="E20" s="4"/>
      <c r="F20" s="4"/>
      <c r="G20" s="4">
        <v>2.2000000000000002</v>
      </c>
      <c r="H20" s="5">
        <v>35.95758248352778</v>
      </c>
      <c r="I20" s="5"/>
      <c r="J20" s="5"/>
      <c r="K20" s="5">
        <v>95</v>
      </c>
    </row>
    <row r="21" spans="1:11" x14ac:dyDescent="0.25">
      <c r="A21" s="2">
        <v>46098.208333333343</v>
      </c>
      <c r="B21" t="str">
        <f t="shared" si="0"/>
        <v>2026-03</v>
      </c>
      <c r="C21" s="3">
        <f t="shared" si="1"/>
        <v>5</v>
      </c>
      <c r="D21" s="4">
        <v>23.306238049619441</v>
      </c>
      <c r="E21" s="4"/>
      <c r="F21" s="4"/>
      <c r="G21" s="4">
        <v>2.2999999999999998</v>
      </c>
      <c r="H21" s="5">
        <v>35.550758814666658</v>
      </c>
      <c r="I21" s="5"/>
      <c r="J21" s="5"/>
      <c r="K21" s="5">
        <v>96</v>
      </c>
    </row>
    <row r="22" spans="1:11" x14ac:dyDescent="0.25">
      <c r="A22" s="2">
        <v>46098.25</v>
      </c>
      <c r="B22" t="str">
        <f t="shared" si="0"/>
        <v>2026-03</v>
      </c>
      <c r="C22" s="3">
        <f t="shared" si="1"/>
        <v>6</v>
      </c>
      <c r="D22" s="4">
        <v>23.23629454639444</v>
      </c>
      <c r="E22" s="4"/>
      <c r="F22" s="4"/>
      <c r="G22" s="4">
        <v>2.1</v>
      </c>
      <c r="H22" s="5">
        <v>35.541412576172227</v>
      </c>
      <c r="I22" s="5"/>
      <c r="J22" s="5"/>
      <c r="K22" s="5">
        <v>97</v>
      </c>
    </row>
    <row r="23" spans="1:11" x14ac:dyDescent="0.25">
      <c r="A23" s="2">
        <v>46098.291666666657</v>
      </c>
      <c r="B23" t="str">
        <f t="shared" si="0"/>
        <v>2026-03</v>
      </c>
      <c r="C23" s="3">
        <f t="shared" si="1"/>
        <v>7</v>
      </c>
      <c r="D23" s="4">
        <v>23.21510978231667</v>
      </c>
      <c r="E23" s="4"/>
      <c r="F23" s="4"/>
      <c r="G23" s="4">
        <v>1.8</v>
      </c>
      <c r="H23" s="5">
        <v>35.267053745708331</v>
      </c>
      <c r="I23" s="5"/>
      <c r="J23" s="5"/>
      <c r="K23" s="5">
        <v>98</v>
      </c>
    </row>
    <row r="24" spans="1:11" x14ac:dyDescent="0.25">
      <c r="A24" s="2">
        <v>46098.333333333343</v>
      </c>
      <c r="B24" t="str">
        <f t="shared" si="0"/>
        <v>2026-03</v>
      </c>
      <c r="C24" s="3">
        <f t="shared" si="1"/>
        <v>8</v>
      </c>
      <c r="D24" s="4">
        <v>23.294260972941672</v>
      </c>
      <c r="E24" s="4"/>
      <c r="F24" s="4"/>
      <c r="G24" s="4">
        <v>1.3</v>
      </c>
      <c r="H24" s="5">
        <v>36.029915898744441</v>
      </c>
      <c r="I24" s="5"/>
      <c r="J24" s="5"/>
      <c r="K24" s="5">
        <v>99</v>
      </c>
    </row>
    <row r="25" spans="1:11" x14ac:dyDescent="0.25">
      <c r="A25" s="2">
        <v>46098.375</v>
      </c>
      <c r="B25" t="str">
        <f t="shared" si="0"/>
        <v>2026-03</v>
      </c>
      <c r="C25" s="3">
        <f t="shared" si="1"/>
        <v>9</v>
      </c>
      <c r="D25" s="4">
        <v>23.332367099630559</v>
      </c>
      <c r="E25" s="4"/>
      <c r="F25" s="4"/>
      <c r="G25" s="4">
        <v>1.6</v>
      </c>
      <c r="H25" s="5">
        <v>35.447264273888891</v>
      </c>
      <c r="I25" s="5"/>
      <c r="J25" s="5"/>
      <c r="K25" s="5">
        <v>99</v>
      </c>
    </row>
    <row r="26" spans="1:11" x14ac:dyDescent="0.25">
      <c r="A26" s="2">
        <v>46098.416666666657</v>
      </c>
      <c r="B26" t="str">
        <f t="shared" si="0"/>
        <v>2026-03</v>
      </c>
      <c r="C26" s="3">
        <f t="shared" si="1"/>
        <v>10</v>
      </c>
      <c r="D26" s="4">
        <v>23.410726248541671</v>
      </c>
      <c r="E26" s="4"/>
      <c r="F26" s="4"/>
      <c r="G26" s="4">
        <v>2.2999999999999998</v>
      </c>
      <c r="H26" s="5">
        <v>35.353928973033327</v>
      </c>
      <c r="I26" s="5"/>
      <c r="J26" s="5"/>
      <c r="K26" s="5">
        <v>94</v>
      </c>
    </row>
    <row r="27" spans="1:11" x14ac:dyDescent="0.25">
      <c r="A27" s="2">
        <v>46098.458333333343</v>
      </c>
      <c r="B27" t="str">
        <f t="shared" si="0"/>
        <v>2026-03</v>
      </c>
      <c r="C27" s="3">
        <f t="shared" si="1"/>
        <v>11</v>
      </c>
      <c r="D27" s="4">
        <v>23.663649030502778</v>
      </c>
      <c r="E27" s="4"/>
      <c r="F27" s="4"/>
      <c r="G27" s="4">
        <v>2.6</v>
      </c>
      <c r="H27" s="5">
        <v>34.890404688986109</v>
      </c>
      <c r="I27" s="5"/>
      <c r="J27" s="5"/>
      <c r="K27" s="5">
        <v>93</v>
      </c>
    </row>
    <row r="28" spans="1:11" x14ac:dyDescent="0.25">
      <c r="A28" s="2">
        <v>46098.5</v>
      </c>
      <c r="B28" t="str">
        <f t="shared" si="0"/>
        <v>2026-03</v>
      </c>
      <c r="C28" s="3">
        <f t="shared" si="1"/>
        <v>12</v>
      </c>
      <c r="D28" s="4">
        <v>23.68480688641111</v>
      </c>
      <c r="E28" s="4"/>
      <c r="F28" s="4"/>
      <c r="G28" s="4">
        <v>2.9</v>
      </c>
      <c r="H28" s="5">
        <v>34.381226689180551</v>
      </c>
      <c r="I28" s="5"/>
      <c r="J28" s="5"/>
      <c r="K28" s="5">
        <v>92</v>
      </c>
    </row>
    <row r="29" spans="1:11" x14ac:dyDescent="0.25">
      <c r="A29" s="2">
        <v>46098.541666666657</v>
      </c>
      <c r="B29" t="str">
        <f t="shared" si="0"/>
        <v>2026-03</v>
      </c>
      <c r="C29" s="3">
        <f t="shared" si="1"/>
        <v>13</v>
      </c>
      <c r="D29" s="4">
        <v>23.60928503014722</v>
      </c>
      <c r="E29" s="4"/>
      <c r="F29" s="4"/>
      <c r="G29" s="4">
        <v>3.3</v>
      </c>
      <c r="H29" s="5">
        <v>34.214651771844437</v>
      </c>
      <c r="I29" s="5"/>
      <c r="J29" s="5"/>
      <c r="K29" s="5">
        <v>90</v>
      </c>
    </row>
    <row r="30" spans="1:11" x14ac:dyDescent="0.25">
      <c r="A30" s="2">
        <v>46098.583333333343</v>
      </c>
      <c r="B30" t="str">
        <f t="shared" si="0"/>
        <v>2026-03</v>
      </c>
      <c r="C30" s="3">
        <f t="shared" si="1"/>
        <v>14</v>
      </c>
      <c r="D30" s="4">
        <v>23.46116313886667</v>
      </c>
      <c r="E30" s="4"/>
      <c r="F30" s="4"/>
      <c r="G30" s="4">
        <v>3.6</v>
      </c>
      <c r="H30" s="5">
        <v>34.111836725894442</v>
      </c>
      <c r="I30" s="5"/>
      <c r="J30" s="5"/>
      <c r="K30" s="5">
        <v>89</v>
      </c>
    </row>
    <row r="31" spans="1:11" x14ac:dyDescent="0.25">
      <c r="A31" s="2">
        <v>46098.625</v>
      </c>
      <c r="B31" t="str">
        <f t="shared" si="0"/>
        <v>2026-03</v>
      </c>
      <c r="C31" s="3">
        <f t="shared" si="1"/>
        <v>15</v>
      </c>
      <c r="D31" s="4">
        <v>23.449827792122221</v>
      </c>
      <c r="E31" s="4"/>
      <c r="F31" s="4"/>
      <c r="G31" s="4">
        <v>3.8</v>
      </c>
      <c r="H31" s="5">
        <v>34.030690810386112</v>
      </c>
      <c r="I31" s="5"/>
      <c r="J31" s="5"/>
      <c r="K31" s="5">
        <v>88</v>
      </c>
    </row>
    <row r="32" spans="1:11" x14ac:dyDescent="0.25">
      <c r="A32" s="2">
        <v>46098.666666666657</v>
      </c>
      <c r="B32" t="str">
        <f t="shared" si="0"/>
        <v>2026-03</v>
      </c>
      <c r="C32" s="3">
        <f t="shared" si="1"/>
        <v>16</v>
      </c>
      <c r="D32" s="4">
        <v>23.409071112458331</v>
      </c>
      <c r="E32" s="4"/>
      <c r="F32" s="4"/>
      <c r="G32" s="4">
        <v>3.5</v>
      </c>
      <c r="H32" s="5">
        <v>34.397401956141657</v>
      </c>
      <c r="I32" s="5"/>
      <c r="J32" s="5"/>
      <c r="K32" s="5">
        <v>88</v>
      </c>
    </row>
    <row r="33" spans="1:11" x14ac:dyDescent="0.25">
      <c r="A33" s="2">
        <v>46098.708333333343</v>
      </c>
      <c r="B33" t="str">
        <f t="shared" si="0"/>
        <v>2026-03</v>
      </c>
      <c r="C33" s="3">
        <f t="shared" si="1"/>
        <v>17</v>
      </c>
      <c r="D33" s="4">
        <v>23.315380947394441</v>
      </c>
      <c r="E33" s="4"/>
      <c r="F33" s="4"/>
      <c r="G33" s="4">
        <v>3.2</v>
      </c>
      <c r="H33" s="5">
        <v>33.898399115222233</v>
      </c>
      <c r="I33" s="5"/>
      <c r="J33" s="5"/>
      <c r="K33" s="5">
        <v>91</v>
      </c>
    </row>
    <row r="34" spans="1:11" x14ac:dyDescent="0.25">
      <c r="A34" s="2">
        <v>46098.75</v>
      </c>
      <c r="B34" t="str">
        <f t="shared" si="0"/>
        <v>2026-03</v>
      </c>
      <c r="C34" s="3">
        <f t="shared" si="1"/>
        <v>18</v>
      </c>
      <c r="D34" s="4">
        <v>23.442958287536111</v>
      </c>
      <c r="E34" s="4"/>
      <c r="F34" s="4"/>
      <c r="G34" s="4">
        <v>2.8</v>
      </c>
      <c r="H34" s="5">
        <v>35.375384919711109</v>
      </c>
      <c r="I34" s="5"/>
      <c r="J34" s="5"/>
      <c r="K34" s="5">
        <v>93</v>
      </c>
    </row>
    <row r="35" spans="1:11" x14ac:dyDescent="0.25">
      <c r="A35" s="2">
        <v>46098.791666666657</v>
      </c>
      <c r="B35" t="str">
        <f t="shared" si="0"/>
        <v>2026-03</v>
      </c>
      <c r="C35" s="3">
        <f t="shared" si="1"/>
        <v>19</v>
      </c>
      <c r="D35" s="4">
        <v>23.29613442819166</v>
      </c>
      <c r="E35" s="4"/>
      <c r="F35" s="4"/>
      <c r="G35" s="4">
        <v>2.6</v>
      </c>
      <c r="H35" s="5">
        <v>36.27501708298611</v>
      </c>
      <c r="I35" s="5"/>
      <c r="J35" s="5"/>
      <c r="K35" s="5">
        <v>95</v>
      </c>
    </row>
    <row r="36" spans="1:11" x14ac:dyDescent="0.25">
      <c r="A36" s="2">
        <v>46098.833333333343</v>
      </c>
      <c r="B36" t="str">
        <f t="shared" si="0"/>
        <v>2026-03</v>
      </c>
      <c r="C36" s="3">
        <f t="shared" si="1"/>
        <v>20</v>
      </c>
      <c r="D36" s="4">
        <v>23.107506891936112</v>
      </c>
      <c r="E36" s="4"/>
      <c r="F36" s="4"/>
      <c r="G36" s="4">
        <v>3</v>
      </c>
      <c r="H36" s="5">
        <v>36.895199737522233</v>
      </c>
      <c r="I36" s="5"/>
      <c r="J36" s="5"/>
      <c r="K36" s="5">
        <v>96</v>
      </c>
    </row>
    <row r="37" spans="1:11" x14ac:dyDescent="0.25">
      <c r="A37" s="2">
        <v>46098.875</v>
      </c>
      <c r="B37" t="str">
        <f t="shared" si="0"/>
        <v>2026-03</v>
      </c>
      <c r="C37" s="3">
        <f t="shared" si="1"/>
        <v>21</v>
      </c>
      <c r="D37" s="4">
        <v>23.087905714024998</v>
      </c>
      <c r="E37" s="4"/>
      <c r="F37" s="4"/>
      <c r="G37" s="4">
        <v>3</v>
      </c>
      <c r="H37" s="5">
        <v>36.950535131061109</v>
      </c>
      <c r="I37" s="5"/>
      <c r="J37" s="5"/>
      <c r="K37" s="5">
        <v>97</v>
      </c>
    </row>
    <row r="38" spans="1:11" x14ac:dyDescent="0.25">
      <c r="A38" s="2">
        <v>46098.916666666657</v>
      </c>
      <c r="B38" t="str">
        <f t="shared" si="0"/>
        <v>2026-03</v>
      </c>
      <c r="C38" s="3">
        <f t="shared" si="1"/>
        <v>22</v>
      </c>
      <c r="D38" s="4">
        <v>23.294880023572219</v>
      </c>
      <c r="E38" s="4"/>
      <c r="F38" s="4"/>
      <c r="G38" s="4">
        <v>2.8</v>
      </c>
      <c r="H38" s="5">
        <v>37.325344859325</v>
      </c>
      <c r="I38" s="5"/>
      <c r="J38" s="5"/>
      <c r="K38" s="5">
        <v>98</v>
      </c>
    </row>
    <row r="39" spans="1:11" x14ac:dyDescent="0.25">
      <c r="A39" s="2">
        <v>46098.958333333343</v>
      </c>
      <c r="B39" t="str">
        <f t="shared" si="0"/>
        <v>2026-03</v>
      </c>
      <c r="C39" s="3">
        <f t="shared" si="1"/>
        <v>23</v>
      </c>
      <c r="D39" s="4">
        <v>23.67426959606389</v>
      </c>
      <c r="E39" s="4"/>
      <c r="F39" s="4"/>
      <c r="G39" s="4">
        <v>2.5</v>
      </c>
      <c r="H39" s="5">
        <v>36.733001040250002</v>
      </c>
      <c r="I39" s="5"/>
      <c r="J39" s="5"/>
      <c r="K39" s="5">
        <v>98</v>
      </c>
    </row>
    <row r="40" spans="1:11" x14ac:dyDescent="0.25">
      <c r="A40" s="2">
        <v>46099</v>
      </c>
      <c r="B40" t="str">
        <f t="shared" si="0"/>
        <v>2026-03</v>
      </c>
      <c r="C40" s="3">
        <f t="shared" si="1"/>
        <v>0</v>
      </c>
      <c r="D40" s="4">
        <v>24.019319531663889</v>
      </c>
      <c r="E40" s="4"/>
      <c r="F40" s="4"/>
      <c r="G40" s="4">
        <v>2.2999999999999998</v>
      </c>
      <c r="H40" s="5">
        <v>36.083133195127779</v>
      </c>
      <c r="I40" s="5"/>
      <c r="J40" s="5"/>
      <c r="K40" s="5">
        <v>99</v>
      </c>
    </row>
    <row r="41" spans="1:11" x14ac:dyDescent="0.25">
      <c r="A41" s="2">
        <v>46099.041666666657</v>
      </c>
      <c r="B41" t="str">
        <f t="shared" si="0"/>
        <v>2026-03</v>
      </c>
      <c r="C41" s="3">
        <f t="shared" si="1"/>
        <v>1</v>
      </c>
      <c r="D41" s="4">
        <v>23.553158209458331</v>
      </c>
      <c r="E41" s="4"/>
      <c r="F41" s="4"/>
      <c r="G41" s="4">
        <v>2.2999999999999998</v>
      </c>
      <c r="H41" s="5">
        <v>36.993987794511114</v>
      </c>
      <c r="I41" s="5"/>
      <c r="J41" s="5"/>
      <c r="K41" s="5">
        <v>99</v>
      </c>
    </row>
    <row r="42" spans="1:11" x14ac:dyDescent="0.25">
      <c r="A42" s="2">
        <v>46099.083333333343</v>
      </c>
      <c r="B42" t="str">
        <f t="shared" si="0"/>
        <v>2026-03</v>
      </c>
      <c r="C42" s="3">
        <f t="shared" si="1"/>
        <v>2</v>
      </c>
      <c r="D42" s="4">
        <v>23.208395566383331</v>
      </c>
      <c r="E42" s="4"/>
      <c r="F42" s="4"/>
      <c r="G42" s="4">
        <v>2.2000000000000002</v>
      </c>
      <c r="H42" s="5">
        <v>36.767468071836113</v>
      </c>
      <c r="I42" s="5"/>
      <c r="J42" s="5"/>
      <c r="K42" s="5">
        <v>98</v>
      </c>
    </row>
    <row r="43" spans="1:11" x14ac:dyDescent="0.25">
      <c r="A43" s="2">
        <v>46099.125</v>
      </c>
      <c r="B43" t="str">
        <f t="shared" si="0"/>
        <v>2026-03</v>
      </c>
      <c r="C43" s="3">
        <f t="shared" si="1"/>
        <v>3</v>
      </c>
      <c r="D43" s="4"/>
      <c r="E43" s="4"/>
      <c r="F43" s="4"/>
      <c r="G43" s="4">
        <v>2.2999999999999998</v>
      </c>
      <c r="H43" s="5"/>
      <c r="I43" s="5"/>
      <c r="J43" s="5"/>
      <c r="K43" s="5">
        <v>98</v>
      </c>
    </row>
    <row r="44" spans="1:11" x14ac:dyDescent="0.25">
      <c r="A44" s="2">
        <v>46099.166666666657</v>
      </c>
      <c r="B44" t="str">
        <f t="shared" si="0"/>
        <v>2026-03</v>
      </c>
      <c r="C44" s="3">
        <f t="shared" si="1"/>
        <v>4</v>
      </c>
      <c r="D44" s="4"/>
      <c r="E44" s="4"/>
      <c r="F44" s="4"/>
      <c r="G44" s="4">
        <v>2.1</v>
      </c>
      <c r="H44" s="5"/>
      <c r="I44" s="5"/>
      <c r="J44" s="5"/>
      <c r="K44" s="5">
        <v>98</v>
      </c>
    </row>
    <row r="45" spans="1:11" x14ac:dyDescent="0.25">
      <c r="A45" s="2">
        <v>46099.208333333343</v>
      </c>
      <c r="B45" t="str">
        <f t="shared" si="0"/>
        <v>2026-03</v>
      </c>
      <c r="C45" s="3">
        <f t="shared" si="1"/>
        <v>5</v>
      </c>
      <c r="D45" s="4"/>
      <c r="E45" s="4"/>
      <c r="F45" s="4"/>
      <c r="G45" s="4">
        <v>1.8</v>
      </c>
      <c r="H45" s="5"/>
      <c r="I45" s="5"/>
      <c r="J45" s="5"/>
      <c r="K45" s="5">
        <v>99</v>
      </c>
    </row>
    <row r="46" spans="1:11" x14ac:dyDescent="0.25">
      <c r="A46" s="2">
        <v>46099.25</v>
      </c>
      <c r="B46" t="str">
        <f t="shared" si="0"/>
        <v>2026-03</v>
      </c>
      <c r="C46" s="3">
        <f t="shared" si="1"/>
        <v>6</v>
      </c>
      <c r="D46" s="4"/>
      <c r="E46" s="4"/>
      <c r="F46" s="4"/>
      <c r="G46" s="4">
        <v>1.6</v>
      </c>
      <c r="H46" s="5"/>
      <c r="I46" s="5"/>
      <c r="J46" s="5"/>
      <c r="K46" s="5">
        <v>99</v>
      </c>
    </row>
    <row r="47" spans="1:11" x14ac:dyDescent="0.25">
      <c r="A47" s="2">
        <v>46099.291666666657</v>
      </c>
      <c r="B47" t="str">
        <f t="shared" si="0"/>
        <v>2026-03</v>
      </c>
      <c r="C47" s="3">
        <f t="shared" si="1"/>
        <v>7</v>
      </c>
      <c r="D47" s="4"/>
      <c r="E47" s="4"/>
      <c r="F47" s="4"/>
      <c r="G47" s="4">
        <v>2.1</v>
      </c>
      <c r="H47" s="5"/>
      <c r="I47" s="5"/>
      <c r="J47" s="5"/>
      <c r="K47" s="5">
        <v>96</v>
      </c>
    </row>
    <row r="48" spans="1:11" x14ac:dyDescent="0.25">
      <c r="A48" s="2">
        <v>46099.333333333343</v>
      </c>
      <c r="B48" t="str">
        <f t="shared" si="0"/>
        <v>2026-03</v>
      </c>
      <c r="C48" s="3">
        <f t="shared" si="1"/>
        <v>8</v>
      </c>
      <c r="D48" s="4"/>
      <c r="E48" s="4"/>
      <c r="F48" s="4"/>
      <c r="G48" s="4">
        <v>3</v>
      </c>
      <c r="H48" s="5"/>
      <c r="I48" s="5"/>
      <c r="J48" s="5"/>
      <c r="K48" s="5">
        <v>93</v>
      </c>
    </row>
    <row r="49" spans="1:11" x14ac:dyDescent="0.25">
      <c r="A49" s="2">
        <v>46099.375</v>
      </c>
      <c r="B49" t="str">
        <f t="shared" si="0"/>
        <v>2026-03</v>
      </c>
      <c r="C49" s="3">
        <f t="shared" si="1"/>
        <v>9</v>
      </c>
      <c r="D49" s="4">
        <v>22.843813164665139</v>
      </c>
      <c r="E49" s="4"/>
      <c r="F49" s="4"/>
      <c r="G49" s="4">
        <v>3.8</v>
      </c>
      <c r="H49" s="5">
        <v>38.33571806804764</v>
      </c>
      <c r="I49" s="5"/>
      <c r="J49" s="5"/>
      <c r="K49" s="5">
        <v>89</v>
      </c>
    </row>
    <row r="50" spans="1:11" x14ac:dyDescent="0.25">
      <c r="A50" s="2">
        <v>46099.416666666657</v>
      </c>
      <c r="B50" t="str">
        <f t="shared" si="0"/>
        <v>2026-03</v>
      </c>
      <c r="C50" s="3">
        <f t="shared" si="1"/>
        <v>10</v>
      </c>
      <c r="D50" s="4">
        <v>22.797095710563891</v>
      </c>
      <c r="E50" s="4"/>
      <c r="F50" s="4"/>
      <c r="G50" s="4">
        <v>4.2</v>
      </c>
      <c r="H50" s="5">
        <v>37.241255038588889</v>
      </c>
      <c r="I50" s="5"/>
      <c r="J50" s="5"/>
      <c r="K50" s="5">
        <v>88</v>
      </c>
    </row>
    <row r="51" spans="1:11" x14ac:dyDescent="0.25">
      <c r="A51" s="2">
        <v>46099.458333333343</v>
      </c>
      <c r="B51" t="str">
        <f t="shared" si="0"/>
        <v>2026-03</v>
      </c>
      <c r="C51" s="3">
        <f t="shared" si="1"/>
        <v>11</v>
      </c>
      <c r="D51" s="4">
        <v>23.265928943337041</v>
      </c>
      <c r="E51" s="4"/>
      <c r="F51" s="4"/>
      <c r="G51" s="4">
        <v>4.4000000000000004</v>
      </c>
      <c r="H51" s="5">
        <v>36.517485770566672</v>
      </c>
      <c r="I51" s="5"/>
      <c r="J51" s="5"/>
      <c r="K51" s="5">
        <v>87</v>
      </c>
    </row>
    <row r="52" spans="1:11" x14ac:dyDescent="0.25">
      <c r="A52" s="2">
        <v>46099.5</v>
      </c>
      <c r="B52" t="str">
        <f t="shared" si="0"/>
        <v>2026-03</v>
      </c>
      <c r="C52" s="3">
        <f t="shared" si="1"/>
        <v>12</v>
      </c>
      <c r="D52" s="4">
        <v>23.505710750651129</v>
      </c>
      <c r="E52" s="4"/>
      <c r="F52" s="4"/>
      <c r="G52" s="4">
        <v>4.9000000000000004</v>
      </c>
      <c r="H52" s="5">
        <v>35.934935647667047</v>
      </c>
      <c r="I52" s="5"/>
      <c r="J52" s="5"/>
      <c r="K52" s="5">
        <v>86</v>
      </c>
    </row>
    <row r="53" spans="1:11" x14ac:dyDescent="0.25">
      <c r="A53" s="2">
        <v>46099.541666666657</v>
      </c>
      <c r="B53" t="str">
        <f t="shared" si="0"/>
        <v>2026-03</v>
      </c>
      <c r="C53" s="3">
        <f t="shared" si="1"/>
        <v>13</v>
      </c>
      <c r="D53" s="4">
        <v>23.239410151091661</v>
      </c>
      <c r="E53" s="4"/>
      <c r="F53" s="4"/>
      <c r="G53" s="4">
        <v>5.0999999999999996</v>
      </c>
      <c r="H53" s="5">
        <v>35.076860478725003</v>
      </c>
      <c r="I53" s="5"/>
      <c r="J53" s="5"/>
      <c r="K53" s="5">
        <v>84</v>
      </c>
    </row>
    <row r="54" spans="1:11" x14ac:dyDescent="0.25">
      <c r="A54" s="2">
        <v>46099.583333333343</v>
      </c>
      <c r="B54" t="str">
        <f t="shared" si="0"/>
        <v>2026-03</v>
      </c>
      <c r="C54" s="3">
        <f t="shared" si="1"/>
        <v>14</v>
      </c>
      <c r="D54" s="4">
        <v>23.23760274229722</v>
      </c>
      <c r="E54" s="4"/>
      <c r="F54" s="4"/>
      <c r="G54" s="4">
        <v>5.3</v>
      </c>
      <c r="H54" s="5">
        <v>34.222992056549998</v>
      </c>
      <c r="I54" s="5"/>
      <c r="J54" s="5"/>
      <c r="K54" s="5">
        <v>83</v>
      </c>
    </row>
    <row r="55" spans="1:11" x14ac:dyDescent="0.25">
      <c r="A55" s="2">
        <v>46099.625</v>
      </c>
      <c r="B55" t="str">
        <f t="shared" si="0"/>
        <v>2026-03</v>
      </c>
      <c r="C55" s="3">
        <f t="shared" si="1"/>
        <v>15</v>
      </c>
      <c r="D55" s="4">
        <v>23.353401044555561</v>
      </c>
      <c r="E55" s="4"/>
      <c r="F55" s="4"/>
      <c r="G55" s="4">
        <v>5.2</v>
      </c>
      <c r="H55" s="5">
        <v>33.815904067069447</v>
      </c>
      <c r="I55" s="5"/>
      <c r="J55" s="5"/>
      <c r="K55" s="5">
        <v>82</v>
      </c>
    </row>
    <row r="56" spans="1:11" x14ac:dyDescent="0.25">
      <c r="A56" s="2">
        <v>46099.666666666657</v>
      </c>
      <c r="B56" t="str">
        <f t="shared" si="0"/>
        <v>2026-03</v>
      </c>
      <c r="C56" s="3">
        <f t="shared" si="1"/>
        <v>16</v>
      </c>
      <c r="D56" s="4">
        <v>23.27213457532222</v>
      </c>
      <c r="E56" s="4"/>
      <c r="F56" s="4"/>
      <c r="G56" s="4">
        <v>5.0999999999999996</v>
      </c>
      <c r="H56" s="5">
        <v>34.678930706883342</v>
      </c>
      <c r="I56" s="5"/>
      <c r="J56" s="5"/>
      <c r="K56" s="5">
        <v>82</v>
      </c>
    </row>
    <row r="57" spans="1:11" x14ac:dyDescent="0.25">
      <c r="A57" s="2">
        <v>46099.708333333343</v>
      </c>
      <c r="B57" t="str">
        <f t="shared" si="0"/>
        <v>2026-03</v>
      </c>
      <c r="C57" s="3">
        <f t="shared" si="1"/>
        <v>17</v>
      </c>
      <c r="D57" s="4">
        <v>23.075593372944439</v>
      </c>
      <c r="E57" s="4"/>
      <c r="F57" s="4"/>
      <c r="G57" s="4">
        <v>4.5999999999999996</v>
      </c>
      <c r="H57" s="5">
        <v>35.603568947877783</v>
      </c>
      <c r="I57" s="5"/>
      <c r="J57" s="5"/>
      <c r="K57" s="5">
        <v>85</v>
      </c>
    </row>
    <row r="58" spans="1:11" x14ac:dyDescent="0.25">
      <c r="A58" s="2">
        <v>46099.75</v>
      </c>
      <c r="B58" t="str">
        <f t="shared" si="0"/>
        <v>2026-03</v>
      </c>
      <c r="C58" s="3">
        <f t="shared" si="1"/>
        <v>18</v>
      </c>
      <c r="D58" s="4">
        <v>23.123044048316672</v>
      </c>
      <c r="E58" s="4"/>
      <c r="F58" s="4"/>
      <c r="G58" s="4">
        <v>3.8</v>
      </c>
      <c r="H58" s="5">
        <v>38.080900359280562</v>
      </c>
      <c r="I58" s="5"/>
      <c r="J58" s="5"/>
      <c r="K58" s="5">
        <v>89</v>
      </c>
    </row>
    <row r="59" spans="1:11" x14ac:dyDescent="0.25">
      <c r="A59" s="2">
        <v>46099.791666666657</v>
      </c>
      <c r="B59" t="str">
        <f t="shared" si="0"/>
        <v>2026-03</v>
      </c>
      <c r="C59" s="3">
        <f t="shared" si="1"/>
        <v>19</v>
      </c>
      <c r="D59" s="4">
        <v>23.189252812391668</v>
      </c>
      <c r="E59" s="4"/>
      <c r="F59" s="4"/>
      <c r="G59" s="4">
        <v>3.1</v>
      </c>
      <c r="H59" s="5">
        <v>39.172660767786113</v>
      </c>
      <c r="I59" s="5"/>
      <c r="J59" s="5"/>
      <c r="K59" s="5">
        <v>93</v>
      </c>
    </row>
    <row r="60" spans="1:11" x14ac:dyDescent="0.25">
      <c r="A60" s="2">
        <v>46099.833333333343</v>
      </c>
      <c r="B60" t="str">
        <f t="shared" si="0"/>
        <v>2026-03</v>
      </c>
      <c r="C60" s="3">
        <f t="shared" si="1"/>
        <v>20</v>
      </c>
      <c r="D60" s="4">
        <v>23.29481728369722</v>
      </c>
      <c r="E60" s="4"/>
      <c r="F60" s="4"/>
      <c r="G60" s="4">
        <v>3.5</v>
      </c>
      <c r="H60" s="5">
        <v>41.058827359652767</v>
      </c>
      <c r="I60" s="5"/>
      <c r="J60" s="5"/>
      <c r="K60" s="5">
        <v>96</v>
      </c>
    </row>
    <row r="61" spans="1:11" x14ac:dyDescent="0.25">
      <c r="A61" s="2">
        <v>46099.875</v>
      </c>
      <c r="B61" t="str">
        <f t="shared" si="0"/>
        <v>2026-03</v>
      </c>
      <c r="C61" s="3">
        <f t="shared" si="1"/>
        <v>21</v>
      </c>
      <c r="D61" s="4">
        <v>23.227297298816669</v>
      </c>
      <c r="E61" s="4"/>
      <c r="F61" s="4"/>
      <c r="G61" s="4">
        <v>3</v>
      </c>
      <c r="H61" s="5">
        <v>42.002613792205558</v>
      </c>
      <c r="I61" s="5"/>
      <c r="J61" s="5"/>
      <c r="K61" s="5">
        <v>97</v>
      </c>
    </row>
    <row r="62" spans="1:11" x14ac:dyDescent="0.25">
      <c r="A62" s="2">
        <v>46099.916666666657</v>
      </c>
      <c r="B62" t="str">
        <f t="shared" si="0"/>
        <v>2026-03</v>
      </c>
      <c r="C62" s="3">
        <f t="shared" si="1"/>
        <v>22</v>
      </c>
      <c r="D62" s="4">
        <v>23.128378263272221</v>
      </c>
      <c r="E62" s="4"/>
      <c r="F62" s="4"/>
      <c r="G62" s="4">
        <v>3</v>
      </c>
      <c r="H62" s="5">
        <v>40.743186077636111</v>
      </c>
      <c r="I62" s="5"/>
      <c r="J62" s="5"/>
      <c r="K62" s="5">
        <v>98</v>
      </c>
    </row>
    <row r="63" spans="1:11" x14ac:dyDescent="0.25">
      <c r="A63" s="2">
        <v>46099.958333333343</v>
      </c>
      <c r="B63" t="str">
        <f t="shared" si="0"/>
        <v>2026-03</v>
      </c>
      <c r="C63" s="3">
        <f t="shared" si="1"/>
        <v>23</v>
      </c>
      <c r="D63" s="4">
        <v>22.88156298002778</v>
      </c>
      <c r="E63" s="4"/>
      <c r="F63" s="4"/>
      <c r="G63" s="4">
        <v>2.6</v>
      </c>
      <c r="H63" s="5">
        <v>40.368238308547227</v>
      </c>
      <c r="I63" s="5"/>
      <c r="J63" s="5"/>
      <c r="K63" s="5">
        <v>99</v>
      </c>
    </row>
    <row r="64" spans="1:11" x14ac:dyDescent="0.25">
      <c r="A64" s="2">
        <v>46100</v>
      </c>
      <c r="B64" t="str">
        <f t="shared" si="0"/>
        <v>2026-03</v>
      </c>
      <c r="C64" s="3">
        <f t="shared" si="1"/>
        <v>0</v>
      </c>
      <c r="D64" s="4">
        <v>22.691196770122222</v>
      </c>
      <c r="E64" s="4"/>
      <c r="F64" s="4"/>
      <c r="G64" s="4">
        <v>2.5</v>
      </c>
      <c r="H64" s="5">
        <v>39.87963722756944</v>
      </c>
      <c r="I64" s="5"/>
      <c r="J64" s="5"/>
      <c r="K64" s="5">
        <v>100</v>
      </c>
    </row>
    <row r="65" spans="1:11" x14ac:dyDescent="0.25">
      <c r="A65" s="2">
        <v>46100.041666666657</v>
      </c>
      <c r="B65" t="str">
        <f t="shared" si="0"/>
        <v>2026-03</v>
      </c>
      <c r="C65" s="3">
        <f t="shared" si="1"/>
        <v>1</v>
      </c>
      <c r="D65" s="4">
        <v>22.577278225941669</v>
      </c>
      <c r="E65" s="4"/>
      <c r="F65" s="4"/>
      <c r="G65" s="4">
        <v>2.2999999999999998</v>
      </c>
      <c r="H65" s="5">
        <v>39.637441716941673</v>
      </c>
      <c r="I65" s="5"/>
      <c r="J65" s="5"/>
      <c r="K65" s="5">
        <v>100</v>
      </c>
    </row>
    <row r="66" spans="1:11" x14ac:dyDescent="0.25">
      <c r="A66" s="2">
        <v>46100.083333333343</v>
      </c>
      <c r="B66" t="str">
        <f t="shared" ref="B66:B129" si="2">TEXT(A66,"yyyy-mm")</f>
        <v>2026-03</v>
      </c>
      <c r="C66" s="3">
        <f t="shared" ref="C66:C129" si="3">HOUR(A66)</f>
        <v>2</v>
      </c>
      <c r="D66" s="4">
        <v>22.491749469230559</v>
      </c>
      <c r="E66" s="4"/>
      <c r="F66" s="4"/>
      <c r="G66" s="4">
        <v>2.6</v>
      </c>
      <c r="H66" s="5">
        <v>39.442334231194451</v>
      </c>
      <c r="I66" s="5"/>
      <c r="J66" s="5"/>
      <c r="K66" s="5">
        <v>99</v>
      </c>
    </row>
    <row r="67" spans="1:11" x14ac:dyDescent="0.25">
      <c r="A67" s="2">
        <v>46100.125</v>
      </c>
      <c r="B67" t="str">
        <f t="shared" si="2"/>
        <v>2026-03</v>
      </c>
      <c r="C67" s="3">
        <f t="shared" si="3"/>
        <v>3</v>
      </c>
      <c r="D67" s="4">
        <v>22.416818399069449</v>
      </c>
      <c r="E67" s="4"/>
      <c r="F67" s="4"/>
      <c r="G67" s="4">
        <v>2.8</v>
      </c>
      <c r="H67" s="5">
        <v>39.333533331172227</v>
      </c>
      <c r="I67" s="5"/>
      <c r="J67" s="5"/>
      <c r="K67" s="5">
        <v>98</v>
      </c>
    </row>
    <row r="68" spans="1:11" x14ac:dyDescent="0.25">
      <c r="A68" s="2">
        <v>46100.166666666657</v>
      </c>
      <c r="B68" t="str">
        <f t="shared" si="2"/>
        <v>2026-03</v>
      </c>
      <c r="C68" s="3">
        <f t="shared" si="3"/>
        <v>4</v>
      </c>
      <c r="D68" s="4">
        <v>22.35226196785278</v>
      </c>
      <c r="E68" s="4"/>
      <c r="F68" s="4"/>
      <c r="G68" s="4">
        <v>2.7</v>
      </c>
      <c r="H68" s="5">
        <v>38.850841298402777</v>
      </c>
      <c r="I68" s="5"/>
      <c r="J68" s="5"/>
      <c r="K68" s="5">
        <v>99</v>
      </c>
    </row>
    <row r="69" spans="1:11" x14ac:dyDescent="0.25">
      <c r="A69" s="2">
        <v>46100.208333333343</v>
      </c>
      <c r="B69" t="str">
        <f t="shared" si="2"/>
        <v>2026-03</v>
      </c>
      <c r="C69" s="3">
        <f t="shared" si="3"/>
        <v>5</v>
      </c>
      <c r="D69" s="4">
        <v>22.270858131413888</v>
      </c>
      <c r="E69" s="4"/>
      <c r="F69" s="4"/>
      <c r="G69" s="4">
        <v>2.8</v>
      </c>
      <c r="H69" s="5">
        <v>38.493130843750002</v>
      </c>
      <c r="I69" s="5"/>
      <c r="J69" s="5"/>
      <c r="K69" s="5">
        <v>99</v>
      </c>
    </row>
    <row r="70" spans="1:11" x14ac:dyDescent="0.25">
      <c r="A70" s="2">
        <v>46100.25</v>
      </c>
      <c r="B70" t="str">
        <f t="shared" si="2"/>
        <v>2026-03</v>
      </c>
      <c r="C70" s="3">
        <f t="shared" si="3"/>
        <v>6</v>
      </c>
      <c r="D70" s="4">
        <v>22.22147117956111</v>
      </c>
      <c r="E70" s="4"/>
      <c r="F70" s="4"/>
      <c r="G70" s="4">
        <v>2.6</v>
      </c>
      <c r="H70" s="5">
        <v>38.217217747155551</v>
      </c>
      <c r="I70" s="5"/>
      <c r="J70" s="5"/>
      <c r="K70" s="5">
        <v>99</v>
      </c>
    </row>
    <row r="71" spans="1:11" x14ac:dyDescent="0.25">
      <c r="A71" s="2">
        <v>46100.291666666657</v>
      </c>
      <c r="B71" t="str">
        <f t="shared" si="2"/>
        <v>2026-03</v>
      </c>
      <c r="C71" s="3">
        <f t="shared" si="3"/>
        <v>7</v>
      </c>
      <c r="D71" s="4">
        <v>22.18983242528056</v>
      </c>
      <c r="E71" s="4"/>
      <c r="F71" s="4"/>
      <c r="G71" s="4">
        <v>2.9</v>
      </c>
      <c r="H71" s="5">
        <v>38.1356532354</v>
      </c>
      <c r="I71" s="5"/>
      <c r="J71" s="5"/>
      <c r="K71" s="5">
        <v>95</v>
      </c>
    </row>
    <row r="72" spans="1:11" x14ac:dyDescent="0.25">
      <c r="A72" s="2">
        <v>46100.333333333343</v>
      </c>
      <c r="B72" t="str">
        <f t="shared" si="2"/>
        <v>2026-03</v>
      </c>
      <c r="C72" s="3">
        <f t="shared" si="3"/>
        <v>8</v>
      </c>
      <c r="D72" s="4">
        <v>22.24087043094444</v>
      </c>
      <c r="E72" s="4"/>
      <c r="F72" s="4"/>
      <c r="G72" s="4">
        <v>2.8</v>
      </c>
      <c r="H72" s="5">
        <v>39.665140185527783</v>
      </c>
      <c r="I72" s="5"/>
      <c r="J72" s="5"/>
      <c r="K72" s="5">
        <v>97</v>
      </c>
    </row>
    <row r="73" spans="1:11" x14ac:dyDescent="0.25">
      <c r="A73" s="2">
        <v>46100.375</v>
      </c>
      <c r="B73" t="str">
        <f t="shared" si="2"/>
        <v>2026-03</v>
      </c>
      <c r="C73" s="3">
        <f t="shared" si="3"/>
        <v>9</v>
      </c>
      <c r="D73" s="4">
        <v>22.380244572627781</v>
      </c>
      <c r="E73" s="4"/>
      <c r="F73" s="4"/>
      <c r="G73" s="4">
        <v>3.9</v>
      </c>
      <c r="H73" s="5">
        <v>40.071595104036113</v>
      </c>
      <c r="I73" s="5"/>
      <c r="J73" s="5"/>
      <c r="K73" s="5">
        <v>91</v>
      </c>
    </row>
    <row r="74" spans="1:11" x14ac:dyDescent="0.25">
      <c r="A74" s="2">
        <v>46100.416666666657</v>
      </c>
      <c r="B74" t="str">
        <f t="shared" si="2"/>
        <v>2026-03</v>
      </c>
      <c r="C74" s="3">
        <f t="shared" si="3"/>
        <v>10</v>
      </c>
      <c r="D74" s="4">
        <v>22.499582745849999</v>
      </c>
      <c r="E74" s="4"/>
      <c r="F74" s="4"/>
      <c r="G74" s="4">
        <v>4.9000000000000004</v>
      </c>
      <c r="H74" s="5">
        <v>40.014184266983328</v>
      </c>
      <c r="I74" s="5"/>
      <c r="J74" s="5"/>
      <c r="K74" s="5">
        <v>84</v>
      </c>
    </row>
    <row r="75" spans="1:11" x14ac:dyDescent="0.25">
      <c r="A75" s="2">
        <v>46100.458333333343</v>
      </c>
      <c r="B75" t="str">
        <f t="shared" si="2"/>
        <v>2026-03</v>
      </c>
      <c r="C75" s="3">
        <f t="shared" si="3"/>
        <v>11</v>
      </c>
      <c r="D75" s="4">
        <v>22.43982673153889</v>
      </c>
      <c r="E75" s="4"/>
      <c r="F75" s="4"/>
      <c r="G75" s="4">
        <v>6.1</v>
      </c>
      <c r="H75" s="5">
        <v>38.33125456198055</v>
      </c>
      <c r="I75" s="5"/>
      <c r="J75" s="5"/>
      <c r="K75" s="5">
        <v>78</v>
      </c>
    </row>
    <row r="76" spans="1:11" x14ac:dyDescent="0.25">
      <c r="A76" s="2">
        <v>46100.5</v>
      </c>
      <c r="B76" t="str">
        <f t="shared" si="2"/>
        <v>2026-03</v>
      </c>
      <c r="C76" s="3">
        <f t="shared" si="3"/>
        <v>12</v>
      </c>
      <c r="D76" s="4">
        <v>22.549894556547219</v>
      </c>
      <c r="E76" s="4"/>
      <c r="F76" s="4"/>
      <c r="G76" s="4">
        <v>6.1</v>
      </c>
      <c r="H76" s="5">
        <v>38.042252543536122</v>
      </c>
      <c r="I76" s="5"/>
      <c r="J76" s="5"/>
      <c r="K76" s="5">
        <v>78</v>
      </c>
    </row>
    <row r="77" spans="1:11" x14ac:dyDescent="0.25">
      <c r="A77" s="2">
        <v>46100.541666666657</v>
      </c>
      <c r="B77" t="str">
        <f t="shared" si="2"/>
        <v>2026-03</v>
      </c>
      <c r="C77" s="3">
        <f t="shared" si="3"/>
        <v>13</v>
      </c>
      <c r="D77" s="4">
        <v>22.445340598211111</v>
      </c>
      <c r="E77" s="4"/>
      <c r="F77" s="4"/>
      <c r="G77" s="4">
        <v>6.8</v>
      </c>
      <c r="H77" s="5">
        <v>37.553746148497218</v>
      </c>
      <c r="I77" s="5"/>
      <c r="J77" s="5"/>
      <c r="K77" s="5">
        <v>75</v>
      </c>
    </row>
    <row r="78" spans="1:11" x14ac:dyDescent="0.25">
      <c r="A78" s="2">
        <v>46100.583333333343</v>
      </c>
      <c r="B78" t="str">
        <f t="shared" si="2"/>
        <v>2026-03</v>
      </c>
      <c r="C78" s="3">
        <f t="shared" si="3"/>
        <v>14</v>
      </c>
      <c r="D78" s="4">
        <v>22.465186459072221</v>
      </c>
      <c r="E78" s="4"/>
      <c r="F78" s="4"/>
      <c r="G78" s="4">
        <v>6.6</v>
      </c>
      <c r="H78" s="5">
        <v>37.058424570813891</v>
      </c>
      <c r="I78" s="5"/>
      <c r="J78" s="5"/>
      <c r="K78" s="5">
        <v>75</v>
      </c>
    </row>
    <row r="79" spans="1:11" x14ac:dyDescent="0.25">
      <c r="A79" s="2">
        <v>46100.625</v>
      </c>
      <c r="B79" t="str">
        <f t="shared" si="2"/>
        <v>2026-03</v>
      </c>
      <c r="C79" s="3">
        <f t="shared" si="3"/>
        <v>15</v>
      </c>
      <c r="D79" s="4">
        <v>22.263052013194439</v>
      </c>
      <c r="E79" s="4"/>
      <c r="F79" s="4"/>
      <c r="G79" s="4">
        <v>6.1</v>
      </c>
      <c r="H79" s="5">
        <v>37.174025111463891</v>
      </c>
      <c r="I79" s="5"/>
      <c r="J79" s="5"/>
      <c r="K79" s="5">
        <v>79</v>
      </c>
    </row>
    <row r="80" spans="1:11" x14ac:dyDescent="0.25">
      <c r="A80" s="2">
        <v>46100.666666666657</v>
      </c>
      <c r="B80" t="str">
        <f t="shared" si="2"/>
        <v>2026-03</v>
      </c>
      <c r="C80" s="3">
        <f t="shared" si="3"/>
        <v>16</v>
      </c>
      <c r="D80" s="4">
        <v>22.185756019641669</v>
      </c>
      <c r="E80" s="4"/>
      <c r="F80" s="4"/>
      <c r="G80" s="4">
        <v>6</v>
      </c>
      <c r="H80" s="5">
        <v>37.176035287855562</v>
      </c>
      <c r="I80" s="5"/>
      <c r="J80" s="5"/>
      <c r="K80" s="5">
        <v>80</v>
      </c>
    </row>
    <row r="81" spans="1:11" x14ac:dyDescent="0.25">
      <c r="A81" s="2">
        <v>46100.708333333343</v>
      </c>
      <c r="B81" t="str">
        <f t="shared" si="2"/>
        <v>2026-03</v>
      </c>
      <c r="C81" s="3">
        <f t="shared" si="3"/>
        <v>17</v>
      </c>
      <c r="D81" s="4">
        <v>22.300839056219441</v>
      </c>
      <c r="E81" s="4"/>
      <c r="F81" s="4"/>
      <c r="G81" s="4">
        <v>5.5</v>
      </c>
      <c r="H81" s="5">
        <v>39.324268083252782</v>
      </c>
      <c r="I81" s="5"/>
      <c r="J81" s="5"/>
      <c r="K81" s="5">
        <v>82</v>
      </c>
    </row>
    <row r="82" spans="1:11" x14ac:dyDescent="0.25">
      <c r="A82" s="2">
        <v>46100.75</v>
      </c>
      <c r="B82" t="str">
        <f t="shared" si="2"/>
        <v>2026-03</v>
      </c>
      <c r="C82" s="3">
        <f t="shared" si="3"/>
        <v>18</v>
      </c>
      <c r="D82" s="4">
        <v>22.260435837241669</v>
      </c>
      <c r="E82" s="4"/>
      <c r="F82" s="4"/>
      <c r="G82" s="4">
        <v>4.0999999999999996</v>
      </c>
      <c r="H82" s="5">
        <v>40.132336321383328</v>
      </c>
      <c r="I82" s="5"/>
      <c r="J82" s="5"/>
      <c r="K82" s="5">
        <v>87</v>
      </c>
    </row>
    <row r="83" spans="1:11" x14ac:dyDescent="0.25">
      <c r="A83" s="2">
        <v>46100.791666666657</v>
      </c>
      <c r="B83" t="str">
        <f t="shared" si="2"/>
        <v>2026-03</v>
      </c>
      <c r="C83" s="3">
        <f t="shared" si="3"/>
        <v>19</v>
      </c>
      <c r="D83" s="4">
        <v>22.318208743438891</v>
      </c>
      <c r="E83" s="4"/>
      <c r="F83" s="4"/>
      <c r="G83" s="4">
        <v>2.8</v>
      </c>
      <c r="H83" s="5">
        <v>40.825296641536113</v>
      </c>
      <c r="I83" s="5"/>
      <c r="J83" s="5"/>
      <c r="K83" s="5">
        <v>90</v>
      </c>
    </row>
    <row r="84" spans="1:11" x14ac:dyDescent="0.25">
      <c r="A84" s="2">
        <v>46100.833333333343</v>
      </c>
      <c r="B84" t="str">
        <f t="shared" si="2"/>
        <v>2026-03</v>
      </c>
      <c r="C84" s="3">
        <f t="shared" si="3"/>
        <v>20</v>
      </c>
      <c r="D84" s="4">
        <v>22.341433913786119</v>
      </c>
      <c r="E84" s="4"/>
      <c r="F84" s="4"/>
      <c r="G84" s="4">
        <v>3.9</v>
      </c>
      <c r="H84" s="5">
        <v>40.910376748805547</v>
      </c>
      <c r="I84" s="5"/>
      <c r="J84" s="5"/>
      <c r="K84" s="5">
        <v>94</v>
      </c>
    </row>
    <row r="85" spans="1:11" x14ac:dyDescent="0.25">
      <c r="A85" s="2">
        <v>46100.875</v>
      </c>
      <c r="B85" t="str">
        <f t="shared" si="2"/>
        <v>2026-03</v>
      </c>
      <c r="C85" s="3">
        <f t="shared" si="3"/>
        <v>21</v>
      </c>
      <c r="D85" s="4">
        <v>22.463185835233329</v>
      </c>
      <c r="E85" s="4"/>
      <c r="F85" s="4"/>
      <c r="G85" s="4">
        <v>2.7</v>
      </c>
      <c r="H85" s="5">
        <v>40.76156593691389</v>
      </c>
      <c r="I85" s="5"/>
      <c r="J85" s="5"/>
      <c r="K85" s="5">
        <v>90</v>
      </c>
    </row>
    <row r="86" spans="1:11" x14ac:dyDescent="0.25">
      <c r="A86" s="2">
        <v>46100.916666666657</v>
      </c>
      <c r="B86" t="str">
        <f t="shared" si="2"/>
        <v>2026-03</v>
      </c>
      <c r="C86" s="3">
        <f t="shared" si="3"/>
        <v>22</v>
      </c>
      <c r="D86" s="4">
        <v>22.960426436980551</v>
      </c>
      <c r="E86" s="4"/>
      <c r="F86" s="4"/>
      <c r="G86" s="4">
        <v>2.7</v>
      </c>
      <c r="H86" s="5">
        <v>39.185142277261122</v>
      </c>
      <c r="I86" s="5"/>
      <c r="J86" s="5"/>
      <c r="K86" s="5">
        <v>95</v>
      </c>
    </row>
    <row r="87" spans="1:11" x14ac:dyDescent="0.25">
      <c r="A87" s="2">
        <v>46100.958333333343</v>
      </c>
      <c r="B87" t="str">
        <f t="shared" si="2"/>
        <v>2026-03</v>
      </c>
      <c r="C87" s="3">
        <f t="shared" si="3"/>
        <v>23</v>
      </c>
      <c r="D87" s="4">
        <v>23.218306213086109</v>
      </c>
      <c r="E87" s="4"/>
      <c r="F87" s="4"/>
      <c r="G87" s="4">
        <v>1.7</v>
      </c>
      <c r="H87" s="5">
        <v>38.422722949875002</v>
      </c>
      <c r="I87" s="5"/>
      <c r="J87" s="5"/>
      <c r="K87" s="5">
        <v>90</v>
      </c>
    </row>
    <row r="88" spans="1:11" x14ac:dyDescent="0.25">
      <c r="A88" s="2">
        <v>46101</v>
      </c>
      <c r="B88" t="str">
        <f t="shared" si="2"/>
        <v>2026-03</v>
      </c>
      <c r="C88" s="3">
        <f t="shared" si="3"/>
        <v>0</v>
      </c>
      <c r="D88" s="4">
        <v>22.945441021319439</v>
      </c>
      <c r="E88" s="4"/>
      <c r="F88" s="4"/>
      <c r="G88" s="4">
        <v>0.9</v>
      </c>
      <c r="H88" s="5">
        <v>42.873408406238887</v>
      </c>
      <c r="I88" s="5"/>
      <c r="J88" s="5"/>
      <c r="K88" s="5">
        <v>89</v>
      </c>
    </row>
    <row r="89" spans="1:11" x14ac:dyDescent="0.25">
      <c r="A89" s="2">
        <v>46101.041666666657</v>
      </c>
      <c r="B89" t="str">
        <f t="shared" si="2"/>
        <v>2026-03</v>
      </c>
      <c r="C89" s="3">
        <f t="shared" si="3"/>
        <v>1</v>
      </c>
      <c r="D89" s="4">
        <v>22.52533264863056</v>
      </c>
      <c r="E89" s="4"/>
      <c r="F89" s="4"/>
      <c r="G89" s="4">
        <v>0.5</v>
      </c>
      <c r="H89" s="5">
        <v>41.62347826992778</v>
      </c>
      <c r="I89" s="5"/>
      <c r="J89" s="5"/>
      <c r="K89" s="5">
        <v>95</v>
      </c>
    </row>
    <row r="90" spans="1:11" x14ac:dyDescent="0.25">
      <c r="A90" s="2">
        <v>46101.083333333343</v>
      </c>
      <c r="B90" t="str">
        <f t="shared" si="2"/>
        <v>2026-03</v>
      </c>
      <c r="C90" s="3">
        <f t="shared" si="3"/>
        <v>2</v>
      </c>
      <c r="D90" s="4">
        <v>22.254462671966671</v>
      </c>
      <c r="E90" s="4"/>
      <c r="F90" s="4"/>
      <c r="G90" s="4">
        <v>1.1000000000000001</v>
      </c>
      <c r="H90" s="5">
        <v>40.899501857702781</v>
      </c>
      <c r="I90" s="5"/>
      <c r="J90" s="5"/>
      <c r="K90" s="5">
        <v>95</v>
      </c>
    </row>
    <row r="91" spans="1:11" x14ac:dyDescent="0.25">
      <c r="A91" s="2">
        <v>46101.125</v>
      </c>
      <c r="B91" t="str">
        <f t="shared" si="2"/>
        <v>2026-03</v>
      </c>
      <c r="C91" s="3">
        <f t="shared" si="3"/>
        <v>3</v>
      </c>
      <c r="D91" s="4">
        <v>22.081563201200002</v>
      </c>
      <c r="E91" s="4"/>
      <c r="F91" s="4"/>
      <c r="G91" s="4">
        <v>0.6</v>
      </c>
      <c r="H91" s="5">
        <v>40.553023687325002</v>
      </c>
      <c r="I91" s="5"/>
      <c r="J91" s="5"/>
      <c r="K91" s="5">
        <v>95</v>
      </c>
    </row>
    <row r="92" spans="1:11" x14ac:dyDescent="0.25">
      <c r="A92" s="2">
        <v>46101.166666666657</v>
      </c>
      <c r="B92" t="str">
        <f t="shared" si="2"/>
        <v>2026-03</v>
      </c>
      <c r="C92" s="3">
        <f t="shared" si="3"/>
        <v>4</v>
      </c>
      <c r="D92" s="4">
        <v>21.971860708016671</v>
      </c>
      <c r="E92" s="4"/>
      <c r="F92" s="4"/>
      <c r="G92" s="4">
        <v>0</v>
      </c>
      <c r="H92" s="5">
        <v>40.549602940144453</v>
      </c>
      <c r="I92" s="5"/>
      <c r="J92" s="5"/>
      <c r="K92" s="5">
        <v>95</v>
      </c>
    </row>
    <row r="93" spans="1:11" x14ac:dyDescent="0.25">
      <c r="A93" s="2">
        <v>46101.208333333343</v>
      </c>
      <c r="B93" t="str">
        <f t="shared" si="2"/>
        <v>2026-03</v>
      </c>
      <c r="C93" s="3">
        <f t="shared" si="3"/>
        <v>5</v>
      </c>
      <c r="D93" s="4">
        <v>21.876105339919441</v>
      </c>
      <c r="E93" s="4"/>
      <c r="F93" s="4"/>
      <c r="G93" s="4">
        <v>0.3</v>
      </c>
      <c r="H93" s="5">
        <v>40.154578995608333</v>
      </c>
      <c r="I93" s="5"/>
      <c r="J93" s="5"/>
      <c r="K93" s="5">
        <v>95</v>
      </c>
    </row>
    <row r="94" spans="1:11" x14ac:dyDescent="0.25">
      <c r="A94" s="2">
        <v>46101.25</v>
      </c>
      <c r="B94" t="str">
        <f t="shared" si="2"/>
        <v>2026-03</v>
      </c>
      <c r="C94" s="3">
        <f t="shared" si="3"/>
        <v>6</v>
      </c>
      <c r="D94" s="4">
        <v>21.82098213224722</v>
      </c>
      <c r="E94" s="4"/>
      <c r="F94" s="4"/>
      <c r="G94" s="4">
        <v>0.8</v>
      </c>
      <c r="H94" s="5">
        <v>40.011625536136108</v>
      </c>
      <c r="I94" s="5"/>
      <c r="J94" s="5"/>
      <c r="K94" s="5">
        <v>95</v>
      </c>
    </row>
    <row r="95" spans="1:11" x14ac:dyDescent="0.25">
      <c r="A95" s="2">
        <v>46101.291666666657</v>
      </c>
      <c r="B95" t="str">
        <f t="shared" si="2"/>
        <v>2026-03</v>
      </c>
      <c r="C95" s="3">
        <f t="shared" si="3"/>
        <v>7</v>
      </c>
      <c r="D95" s="4">
        <v>21.774164874383331</v>
      </c>
      <c r="E95" s="4"/>
      <c r="F95" s="4"/>
      <c r="G95" s="4">
        <v>1.8</v>
      </c>
      <c r="H95" s="5">
        <v>39.614708573074999</v>
      </c>
      <c r="I95" s="5"/>
      <c r="J95" s="5"/>
      <c r="K95" s="5">
        <v>94</v>
      </c>
    </row>
    <row r="96" spans="1:11" x14ac:dyDescent="0.25">
      <c r="A96" s="2">
        <v>46101.333333333343</v>
      </c>
      <c r="B96" t="str">
        <f t="shared" si="2"/>
        <v>2026-03</v>
      </c>
      <c r="C96" s="3">
        <f t="shared" si="3"/>
        <v>8</v>
      </c>
      <c r="D96" s="4">
        <v>21.727406653380559</v>
      </c>
      <c r="E96" s="4"/>
      <c r="F96" s="4"/>
      <c r="G96" s="4">
        <v>2.2000000000000002</v>
      </c>
      <c r="H96" s="5">
        <v>39.351027116172219</v>
      </c>
      <c r="I96" s="5"/>
      <c r="J96" s="5"/>
      <c r="K96" s="5">
        <v>95</v>
      </c>
    </row>
    <row r="97" spans="1:11" x14ac:dyDescent="0.25">
      <c r="A97" s="2">
        <v>46101.375</v>
      </c>
      <c r="B97" t="str">
        <f t="shared" si="2"/>
        <v>2026-03</v>
      </c>
      <c r="C97" s="3">
        <f t="shared" si="3"/>
        <v>9</v>
      </c>
      <c r="D97" s="4">
        <v>21.898509775505559</v>
      </c>
      <c r="E97" s="4"/>
      <c r="F97" s="4"/>
      <c r="G97" s="4">
        <v>3.9</v>
      </c>
      <c r="H97" s="5">
        <v>43.594887288438883</v>
      </c>
      <c r="I97" s="5"/>
      <c r="J97" s="5"/>
      <c r="K97" s="5">
        <v>91</v>
      </c>
    </row>
    <row r="98" spans="1:11" x14ac:dyDescent="0.25">
      <c r="A98" s="2">
        <v>46101.416666666657</v>
      </c>
      <c r="B98" t="str">
        <f t="shared" si="2"/>
        <v>2026-03</v>
      </c>
      <c r="C98" s="3">
        <f t="shared" si="3"/>
        <v>10</v>
      </c>
      <c r="D98" s="4">
        <v>22.07120558038056</v>
      </c>
      <c r="E98" s="4"/>
      <c r="F98" s="4"/>
      <c r="G98" s="4">
        <v>4.4000000000000004</v>
      </c>
      <c r="H98" s="5">
        <v>42.051053363083327</v>
      </c>
      <c r="I98" s="5"/>
      <c r="J98" s="5"/>
      <c r="K98" s="5">
        <v>88</v>
      </c>
    </row>
    <row r="99" spans="1:11" x14ac:dyDescent="0.25">
      <c r="A99" s="2">
        <v>46101.458333333343</v>
      </c>
      <c r="B99" t="str">
        <f t="shared" si="2"/>
        <v>2026-03</v>
      </c>
      <c r="C99" s="3">
        <f t="shared" si="3"/>
        <v>11</v>
      </c>
      <c r="D99" s="4">
        <v>22.29812205833889</v>
      </c>
      <c r="E99" s="4"/>
      <c r="F99" s="4"/>
      <c r="G99" s="4">
        <v>5</v>
      </c>
      <c r="H99" s="5">
        <v>39.636997425886122</v>
      </c>
      <c r="I99" s="5"/>
      <c r="J99" s="5"/>
      <c r="K99" s="5">
        <v>84</v>
      </c>
    </row>
    <row r="100" spans="1:11" x14ac:dyDescent="0.25">
      <c r="A100" s="2">
        <v>46101.5</v>
      </c>
      <c r="B100" t="str">
        <f t="shared" si="2"/>
        <v>2026-03</v>
      </c>
      <c r="C100" s="3">
        <f t="shared" si="3"/>
        <v>12</v>
      </c>
      <c r="D100" s="4">
        <v>22.57493560140556</v>
      </c>
      <c r="E100" s="4"/>
      <c r="F100" s="4"/>
      <c r="G100" s="4">
        <v>5.8</v>
      </c>
      <c r="H100" s="5">
        <v>38.616484881133339</v>
      </c>
      <c r="I100" s="5"/>
      <c r="J100" s="5"/>
      <c r="K100" s="5">
        <v>83</v>
      </c>
    </row>
    <row r="101" spans="1:11" x14ac:dyDescent="0.25">
      <c r="A101" s="2">
        <v>46101.541666666657</v>
      </c>
      <c r="B101" t="str">
        <f t="shared" si="2"/>
        <v>2026-03</v>
      </c>
      <c r="C101" s="3">
        <f t="shared" si="3"/>
        <v>13</v>
      </c>
      <c r="D101" s="4">
        <v>22.752816920869449</v>
      </c>
      <c r="E101" s="4"/>
      <c r="F101" s="4"/>
      <c r="G101" s="4">
        <v>5.5</v>
      </c>
      <c r="H101" s="5">
        <v>37.887825727791672</v>
      </c>
      <c r="I101" s="5"/>
      <c r="J101" s="5"/>
      <c r="K101" s="5">
        <v>84</v>
      </c>
    </row>
    <row r="102" spans="1:11" x14ac:dyDescent="0.25">
      <c r="A102" s="2">
        <v>46101.583333333343</v>
      </c>
      <c r="B102" t="str">
        <f t="shared" si="2"/>
        <v>2026-03</v>
      </c>
      <c r="C102" s="3">
        <f t="shared" si="3"/>
        <v>14</v>
      </c>
      <c r="D102" s="4">
        <v>22.80152024825</v>
      </c>
      <c r="E102" s="4"/>
      <c r="F102" s="4"/>
      <c r="G102" s="4">
        <v>7</v>
      </c>
      <c r="H102" s="5">
        <v>38.145426909338887</v>
      </c>
      <c r="I102" s="5"/>
      <c r="J102" s="5"/>
      <c r="K102" s="5">
        <v>80</v>
      </c>
    </row>
    <row r="103" spans="1:11" x14ac:dyDescent="0.25">
      <c r="A103" s="2">
        <v>46101.625</v>
      </c>
      <c r="B103" t="str">
        <f t="shared" si="2"/>
        <v>2026-03</v>
      </c>
      <c r="C103" s="3">
        <f t="shared" si="3"/>
        <v>15</v>
      </c>
      <c r="D103" s="4">
        <v>22.846194092274999</v>
      </c>
      <c r="E103" s="4"/>
      <c r="F103" s="4"/>
      <c r="G103" s="4">
        <v>7.3</v>
      </c>
      <c r="H103" s="5">
        <v>38.358687988058342</v>
      </c>
      <c r="I103" s="5"/>
      <c r="J103" s="5"/>
      <c r="K103" s="5">
        <v>79</v>
      </c>
    </row>
    <row r="104" spans="1:11" x14ac:dyDescent="0.25">
      <c r="A104" s="2">
        <v>46101.666666666657</v>
      </c>
      <c r="B104" t="str">
        <f t="shared" si="2"/>
        <v>2026-03</v>
      </c>
      <c r="C104" s="3">
        <f t="shared" si="3"/>
        <v>16</v>
      </c>
      <c r="D104" s="4">
        <v>22.63641067982222</v>
      </c>
      <c r="E104" s="4"/>
      <c r="F104" s="4"/>
      <c r="G104" s="4">
        <v>7.1</v>
      </c>
      <c r="H104" s="5">
        <v>38.641941918011113</v>
      </c>
      <c r="I104" s="5"/>
      <c r="J104" s="5"/>
      <c r="K104" s="5">
        <v>80</v>
      </c>
    </row>
    <row r="105" spans="1:11" x14ac:dyDescent="0.25">
      <c r="A105" s="2">
        <v>46101.708333333343</v>
      </c>
      <c r="B105" t="str">
        <f t="shared" si="2"/>
        <v>2026-03</v>
      </c>
      <c r="C105" s="3">
        <f t="shared" si="3"/>
        <v>17</v>
      </c>
      <c r="D105" s="4">
        <v>22.480229833102779</v>
      </c>
      <c r="E105" s="4"/>
      <c r="F105" s="4"/>
      <c r="G105" s="4">
        <v>6.3</v>
      </c>
      <c r="H105" s="5">
        <v>39.682622765152779</v>
      </c>
      <c r="I105" s="5"/>
      <c r="J105" s="5"/>
      <c r="K105" s="5">
        <v>81</v>
      </c>
    </row>
    <row r="106" spans="1:11" x14ac:dyDescent="0.25">
      <c r="A106" s="2">
        <v>46101.75</v>
      </c>
      <c r="B106" t="str">
        <f t="shared" si="2"/>
        <v>2026-03</v>
      </c>
      <c r="C106" s="3">
        <f t="shared" si="3"/>
        <v>18</v>
      </c>
      <c r="D106" s="4">
        <v>22.479921204283329</v>
      </c>
      <c r="E106" s="4"/>
      <c r="F106" s="4"/>
      <c r="G106" s="4">
        <v>5.2</v>
      </c>
      <c r="H106" s="5">
        <v>39.778828441975001</v>
      </c>
      <c r="I106" s="5"/>
      <c r="J106" s="5"/>
      <c r="K106" s="5">
        <v>84</v>
      </c>
    </row>
    <row r="107" spans="1:11" x14ac:dyDescent="0.25">
      <c r="A107" s="2">
        <v>46101.791666666657</v>
      </c>
      <c r="B107" t="str">
        <f t="shared" si="2"/>
        <v>2026-03</v>
      </c>
      <c r="C107" s="3">
        <f t="shared" si="3"/>
        <v>19</v>
      </c>
      <c r="D107" s="4">
        <v>22.469569035961111</v>
      </c>
      <c r="E107" s="4"/>
      <c r="F107" s="4"/>
      <c r="G107" s="4">
        <v>4.9000000000000004</v>
      </c>
      <c r="H107" s="5">
        <v>39.704728356213892</v>
      </c>
      <c r="I107" s="5"/>
      <c r="J107" s="5"/>
      <c r="K107" s="5">
        <v>84</v>
      </c>
    </row>
    <row r="108" spans="1:11" x14ac:dyDescent="0.25">
      <c r="A108" s="2">
        <v>46101.833333333343</v>
      </c>
      <c r="B108" t="str">
        <f t="shared" si="2"/>
        <v>2026-03</v>
      </c>
      <c r="C108" s="3">
        <f t="shared" si="3"/>
        <v>20</v>
      </c>
      <c r="D108" s="4">
        <v>22.43415491167222</v>
      </c>
      <c r="E108" s="4"/>
      <c r="F108" s="4"/>
      <c r="G108" s="4">
        <v>5.2</v>
      </c>
      <c r="H108" s="5">
        <v>46.085321327305557</v>
      </c>
      <c r="I108" s="5"/>
      <c r="J108" s="5"/>
      <c r="K108" s="5">
        <v>84</v>
      </c>
    </row>
    <row r="109" spans="1:11" x14ac:dyDescent="0.25">
      <c r="A109" s="2">
        <v>46101.875</v>
      </c>
      <c r="B109" t="str">
        <f t="shared" si="2"/>
        <v>2026-03</v>
      </c>
      <c r="C109" s="3">
        <f t="shared" si="3"/>
        <v>21</v>
      </c>
      <c r="D109" s="4">
        <v>22.849890198163891</v>
      </c>
      <c r="E109" s="4"/>
      <c r="F109" s="4"/>
      <c r="G109" s="4">
        <v>5</v>
      </c>
      <c r="H109" s="5">
        <v>47.689696524988882</v>
      </c>
      <c r="I109" s="5"/>
      <c r="J109" s="5"/>
      <c r="K109" s="5">
        <v>82</v>
      </c>
    </row>
    <row r="110" spans="1:11" x14ac:dyDescent="0.25">
      <c r="A110" s="2">
        <v>46101.916666666657</v>
      </c>
      <c r="B110" t="str">
        <f t="shared" si="2"/>
        <v>2026-03</v>
      </c>
      <c r="C110" s="3">
        <f t="shared" si="3"/>
        <v>22</v>
      </c>
      <c r="D110" s="4">
        <v>22.77054658540278</v>
      </c>
      <c r="E110" s="4"/>
      <c r="F110" s="4"/>
      <c r="G110" s="4">
        <v>4.5999999999999996</v>
      </c>
      <c r="H110" s="5">
        <v>47.073761147047207</v>
      </c>
      <c r="I110" s="5"/>
      <c r="J110" s="5"/>
      <c r="K110" s="5">
        <v>83</v>
      </c>
    </row>
    <row r="111" spans="1:11" x14ac:dyDescent="0.25">
      <c r="A111" s="2">
        <v>46101.958333333343</v>
      </c>
      <c r="B111" t="str">
        <f t="shared" si="2"/>
        <v>2026-03</v>
      </c>
      <c r="C111" s="3">
        <f t="shared" si="3"/>
        <v>23</v>
      </c>
      <c r="D111" s="4">
        <v>22.938048993797221</v>
      </c>
      <c r="E111" s="4"/>
      <c r="F111" s="4"/>
      <c r="G111" s="4">
        <v>4.0999999999999996</v>
      </c>
      <c r="H111" s="5">
        <v>46.659768323741673</v>
      </c>
      <c r="I111" s="5"/>
      <c r="J111" s="5"/>
      <c r="K111" s="5">
        <v>83</v>
      </c>
    </row>
    <row r="112" spans="1:11" x14ac:dyDescent="0.25">
      <c r="A112" s="2">
        <v>46102</v>
      </c>
      <c r="B112" t="str">
        <f t="shared" si="2"/>
        <v>2026-03</v>
      </c>
      <c r="C112" s="3">
        <f t="shared" si="3"/>
        <v>0</v>
      </c>
      <c r="D112" s="4">
        <v>22.91979173775</v>
      </c>
      <c r="E112" s="4"/>
      <c r="F112" s="4"/>
      <c r="G112" s="4">
        <v>3.8</v>
      </c>
      <c r="H112" s="5">
        <v>45.470903666194452</v>
      </c>
      <c r="I112" s="5"/>
      <c r="J112" s="5"/>
      <c r="K112" s="5">
        <v>84</v>
      </c>
    </row>
    <row r="113" spans="1:11" x14ac:dyDescent="0.25">
      <c r="A113" s="2">
        <v>46102.041666666657</v>
      </c>
      <c r="B113" t="str">
        <f t="shared" si="2"/>
        <v>2026-03</v>
      </c>
      <c r="C113" s="3">
        <f t="shared" si="3"/>
        <v>1</v>
      </c>
      <c r="D113" s="4">
        <v>22.368195893452778</v>
      </c>
      <c r="E113" s="4"/>
      <c r="F113" s="4"/>
      <c r="G113" s="4">
        <v>3.8</v>
      </c>
      <c r="H113" s="5">
        <v>45.265921772561121</v>
      </c>
      <c r="I113" s="5"/>
      <c r="J113" s="5"/>
      <c r="K113" s="5">
        <v>83</v>
      </c>
    </row>
    <row r="114" spans="1:11" x14ac:dyDescent="0.25">
      <c r="A114" s="2">
        <v>46102.083333333343</v>
      </c>
      <c r="B114" t="str">
        <f t="shared" si="2"/>
        <v>2026-03</v>
      </c>
      <c r="C114" s="3">
        <f t="shared" si="3"/>
        <v>2</v>
      </c>
      <c r="D114" s="4">
        <v>22.063404417322221</v>
      </c>
      <c r="E114" s="4"/>
      <c r="F114" s="4"/>
      <c r="G114" s="4">
        <v>3</v>
      </c>
      <c r="H114" s="5">
        <v>44.120011473902792</v>
      </c>
      <c r="I114" s="5"/>
      <c r="J114" s="5"/>
      <c r="K114" s="5">
        <v>86</v>
      </c>
    </row>
    <row r="115" spans="1:11" x14ac:dyDescent="0.25">
      <c r="A115" s="2">
        <v>46102.125</v>
      </c>
      <c r="B115" t="str">
        <f t="shared" si="2"/>
        <v>2026-03</v>
      </c>
      <c r="C115" s="3">
        <f t="shared" si="3"/>
        <v>3</v>
      </c>
      <c r="D115" s="4">
        <v>21.885557376400001</v>
      </c>
      <c r="E115" s="4"/>
      <c r="F115" s="4"/>
      <c r="G115" s="4">
        <v>2.9</v>
      </c>
      <c r="H115" s="5">
        <v>43.123279291661113</v>
      </c>
      <c r="I115" s="5"/>
      <c r="J115" s="5"/>
      <c r="K115" s="5">
        <v>87</v>
      </c>
    </row>
    <row r="116" spans="1:11" x14ac:dyDescent="0.25">
      <c r="A116" s="2">
        <v>46102.166666666657</v>
      </c>
      <c r="B116" t="str">
        <f t="shared" si="2"/>
        <v>2026-03</v>
      </c>
      <c r="C116" s="3">
        <f t="shared" si="3"/>
        <v>4</v>
      </c>
      <c r="D116" s="4">
        <v>21.748571446858332</v>
      </c>
      <c r="E116" s="4"/>
      <c r="F116" s="4"/>
      <c r="G116" s="4">
        <v>2.7</v>
      </c>
      <c r="H116" s="5">
        <v>42.342531187302782</v>
      </c>
      <c r="I116" s="5"/>
      <c r="J116" s="5"/>
      <c r="K116" s="5">
        <v>88</v>
      </c>
    </row>
    <row r="117" spans="1:11" x14ac:dyDescent="0.25">
      <c r="A117" s="2">
        <v>46102.208333333343</v>
      </c>
      <c r="B117" t="str">
        <f t="shared" si="2"/>
        <v>2026-03</v>
      </c>
      <c r="C117" s="3">
        <f t="shared" si="3"/>
        <v>5</v>
      </c>
      <c r="D117" s="4">
        <v>21.65177658543611</v>
      </c>
      <c r="E117" s="4"/>
      <c r="F117" s="4"/>
      <c r="G117" s="4">
        <v>2.2999999999999998</v>
      </c>
      <c r="H117" s="5">
        <v>41.926199531599998</v>
      </c>
      <c r="I117" s="5"/>
      <c r="J117" s="5"/>
      <c r="K117" s="5">
        <v>88</v>
      </c>
    </row>
    <row r="118" spans="1:11" x14ac:dyDescent="0.25">
      <c r="A118" s="2">
        <v>46102.25</v>
      </c>
      <c r="B118" t="str">
        <f t="shared" si="2"/>
        <v>2026-03</v>
      </c>
      <c r="C118" s="3">
        <f t="shared" si="3"/>
        <v>6</v>
      </c>
      <c r="D118" s="4">
        <v>21.60761634993889</v>
      </c>
      <c r="E118" s="4"/>
      <c r="F118" s="4"/>
      <c r="G118" s="4">
        <v>2.2000000000000002</v>
      </c>
      <c r="H118" s="5">
        <v>41.33600946803611</v>
      </c>
      <c r="I118" s="5"/>
      <c r="J118" s="5"/>
      <c r="K118" s="5">
        <v>86</v>
      </c>
    </row>
    <row r="119" spans="1:11" x14ac:dyDescent="0.25">
      <c r="A119" s="2">
        <v>46102.291666666657</v>
      </c>
      <c r="B119" t="str">
        <f t="shared" si="2"/>
        <v>2026-03</v>
      </c>
      <c r="C119" s="3">
        <f t="shared" si="3"/>
        <v>7</v>
      </c>
      <c r="D119" s="4">
        <v>21.699581481786112</v>
      </c>
      <c r="E119" s="4"/>
      <c r="F119" s="4"/>
      <c r="G119" s="4">
        <v>2.5</v>
      </c>
      <c r="H119" s="5">
        <v>40.417733956852778</v>
      </c>
      <c r="I119" s="5"/>
      <c r="J119" s="5"/>
      <c r="K119" s="5">
        <v>82</v>
      </c>
    </row>
    <row r="120" spans="1:11" x14ac:dyDescent="0.25">
      <c r="A120" s="2">
        <v>46102.333333333343</v>
      </c>
      <c r="B120" t="str">
        <f t="shared" si="2"/>
        <v>2026-03</v>
      </c>
      <c r="C120" s="3">
        <f t="shared" si="3"/>
        <v>8</v>
      </c>
      <c r="D120" s="4">
        <v>22.440617259652779</v>
      </c>
      <c r="E120" s="4"/>
      <c r="F120" s="4"/>
      <c r="G120" s="4">
        <v>2.4</v>
      </c>
      <c r="H120" s="5">
        <v>39.305590768713891</v>
      </c>
      <c r="I120" s="5"/>
      <c r="J120" s="5"/>
      <c r="K120" s="5">
        <v>84</v>
      </c>
    </row>
    <row r="121" spans="1:11" x14ac:dyDescent="0.25">
      <c r="A121" s="2">
        <v>46102.375</v>
      </c>
      <c r="B121" t="str">
        <f t="shared" si="2"/>
        <v>2026-03</v>
      </c>
      <c r="C121" s="3">
        <f t="shared" si="3"/>
        <v>9</v>
      </c>
      <c r="D121" s="4">
        <v>23.292447513822221</v>
      </c>
      <c r="E121" s="4"/>
      <c r="F121" s="4"/>
      <c r="G121" s="4">
        <v>4.4000000000000004</v>
      </c>
      <c r="H121" s="5">
        <v>38.932682767222232</v>
      </c>
      <c r="I121" s="5"/>
      <c r="J121" s="5"/>
      <c r="K121" s="5">
        <v>76</v>
      </c>
    </row>
    <row r="122" spans="1:11" x14ac:dyDescent="0.25">
      <c r="A122" s="2">
        <v>46102.416666666657</v>
      </c>
      <c r="B122" t="str">
        <f t="shared" si="2"/>
        <v>2026-03</v>
      </c>
      <c r="C122" s="3">
        <f t="shared" si="3"/>
        <v>10</v>
      </c>
      <c r="D122" s="4">
        <v>23.233753628441669</v>
      </c>
      <c r="E122" s="4"/>
      <c r="F122" s="4"/>
      <c r="G122" s="4">
        <v>6.6</v>
      </c>
      <c r="H122" s="5">
        <v>40.201693577222223</v>
      </c>
      <c r="I122" s="5"/>
      <c r="J122" s="5"/>
      <c r="K122" s="5">
        <v>66</v>
      </c>
    </row>
    <row r="123" spans="1:11" x14ac:dyDescent="0.25">
      <c r="A123" s="2">
        <v>46102.458333333343</v>
      </c>
      <c r="B123" t="str">
        <f t="shared" si="2"/>
        <v>2026-03</v>
      </c>
      <c r="C123" s="3">
        <f t="shared" si="3"/>
        <v>11</v>
      </c>
      <c r="D123" s="4">
        <v>23.221775833780551</v>
      </c>
      <c r="E123" s="4"/>
      <c r="F123" s="4"/>
      <c r="G123" s="4">
        <v>8.1999999999999993</v>
      </c>
      <c r="H123" s="5">
        <v>39.820014111013883</v>
      </c>
      <c r="I123" s="5"/>
      <c r="J123" s="5"/>
      <c r="K123" s="5">
        <v>59</v>
      </c>
    </row>
    <row r="124" spans="1:11" x14ac:dyDescent="0.25">
      <c r="A124" s="2">
        <v>46102.5</v>
      </c>
      <c r="B124" t="str">
        <f t="shared" si="2"/>
        <v>2026-03</v>
      </c>
      <c r="C124" s="3">
        <f t="shared" si="3"/>
        <v>12</v>
      </c>
      <c r="D124" s="4">
        <v>23.05187345485</v>
      </c>
      <c r="E124" s="4"/>
      <c r="F124" s="4"/>
      <c r="G124" s="4">
        <v>9.1999999999999993</v>
      </c>
      <c r="H124" s="5">
        <v>38.403298316777779</v>
      </c>
      <c r="I124" s="5"/>
      <c r="J124" s="5"/>
      <c r="K124" s="5">
        <v>54</v>
      </c>
    </row>
    <row r="125" spans="1:11" x14ac:dyDescent="0.25">
      <c r="A125" s="2">
        <v>46102.541666666657</v>
      </c>
      <c r="B125" t="str">
        <f t="shared" si="2"/>
        <v>2026-03</v>
      </c>
      <c r="C125" s="3">
        <f t="shared" si="3"/>
        <v>13</v>
      </c>
      <c r="D125" s="4">
        <v>22.806921825683329</v>
      </c>
      <c r="E125" s="4"/>
      <c r="F125" s="4"/>
      <c r="G125" s="4">
        <v>9.9</v>
      </c>
      <c r="H125" s="5">
        <v>38.690766034411112</v>
      </c>
      <c r="I125" s="5"/>
      <c r="J125" s="5"/>
      <c r="K125" s="5">
        <v>51</v>
      </c>
    </row>
    <row r="126" spans="1:11" x14ac:dyDescent="0.25">
      <c r="A126" s="2">
        <v>46102.583333333343</v>
      </c>
      <c r="B126" t="str">
        <f t="shared" si="2"/>
        <v>2026-03</v>
      </c>
      <c r="C126" s="3">
        <f t="shared" si="3"/>
        <v>14</v>
      </c>
      <c r="D126" s="4">
        <v>23.005094971633341</v>
      </c>
      <c r="E126" s="4"/>
      <c r="F126" s="4"/>
      <c r="G126" s="4">
        <v>10.4</v>
      </c>
      <c r="H126" s="5">
        <v>40.563772631283342</v>
      </c>
      <c r="I126" s="5"/>
      <c r="J126" s="5"/>
      <c r="K126" s="5">
        <v>49</v>
      </c>
    </row>
    <row r="127" spans="1:11" x14ac:dyDescent="0.25">
      <c r="A127" s="2">
        <v>46102.625</v>
      </c>
      <c r="B127" t="str">
        <f t="shared" si="2"/>
        <v>2026-03</v>
      </c>
      <c r="C127" s="3">
        <f t="shared" si="3"/>
        <v>15</v>
      </c>
      <c r="D127" s="4">
        <v>23.08781759788333</v>
      </c>
      <c r="E127" s="4"/>
      <c r="F127" s="4"/>
      <c r="G127" s="4">
        <v>10.3</v>
      </c>
      <c r="H127" s="5">
        <v>39.755816954830557</v>
      </c>
      <c r="I127" s="5"/>
      <c r="J127" s="5"/>
      <c r="K127" s="5">
        <v>49</v>
      </c>
    </row>
    <row r="128" spans="1:11" x14ac:dyDescent="0.25">
      <c r="A128" s="2">
        <v>46102.666666666657</v>
      </c>
      <c r="B128" t="str">
        <f t="shared" si="2"/>
        <v>2026-03</v>
      </c>
      <c r="C128" s="3">
        <f t="shared" si="3"/>
        <v>16</v>
      </c>
      <c r="D128" s="4">
        <v>22.902228795333329</v>
      </c>
      <c r="E128" s="4"/>
      <c r="F128" s="4"/>
      <c r="G128" s="4">
        <v>9.6999999999999993</v>
      </c>
      <c r="H128" s="5">
        <v>39.147929701708328</v>
      </c>
      <c r="I128" s="5"/>
      <c r="J128" s="5"/>
      <c r="K128" s="5">
        <v>51</v>
      </c>
    </row>
    <row r="129" spans="1:11" x14ac:dyDescent="0.25">
      <c r="A129" s="2">
        <v>46102.708333333343</v>
      </c>
      <c r="B129" t="str">
        <f t="shared" si="2"/>
        <v>2026-03</v>
      </c>
      <c r="C129" s="3">
        <f t="shared" si="3"/>
        <v>17</v>
      </c>
      <c r="D129" s="4">
        <v>22.671433770724999</v>
      </c>
      <c r="E129" s="4"/>
      <c r="F129" s="4"/>
      <c r="G129" s="4">
        <v>8.4</v>
      </c>
      <c r="H129" s="5">
        <v>39.14025886647778</v>
      </c>
      <c r="I129" s="5"/>
      <c r="J129" s="5"/>
      <c r="K129" s="5">
        <v>57</v>
      </c>
    </row>
    <row r="130" spans="1:11" x14ac:dyDescent="0.25">
      <c r="A130" s="2">
        <v>46102.75</v>
      </c>
      <c r="B130" t="str">
        <f t="shared" ref="B130:B193" si="4">TEXT(A130,"yyyy-mm")</f>
        <v>2026-03</v>
      </c>
      <c r="C130" s="3">
        <f t="shared" ref="C130:C193" si="5">HOUR(A130)</f>
        <v>18</v>
      </c>
      <c r="D130" s="4">
        <v>22.497269425561111</v>
      </c>
      <c r="E130" s="4"/>
      <c r="F130" s="4"/>
      <c r="G130" s="4">
        <v>6.5</v>
      </c>
      <c r="H130" s="5">
        <v>40.199491862563889</v>
      </c>
      <c r="I130" s="5"/>
      <c r="J130" s="5"/>
      <c r="K130" s="5">
        <v>63</v>
      </c>
    </row>
    <row r="131" spans="1:11" x14ac:dyDescent="0.25">
      <c r="A131" s="2">
        <v>46102.791666666657</v>
      </c>
      <c r="B131" t="str">
        <f t="shared" si="4"/>
        <v>2026-03</v>
      </c>
      <c r="C131" s="3">
        <f t="shared" si="5"/>
        <v>19</v>
      </c>
      <c r="D131" s="4">
        <v>22.350588464291661</v>
      </c>
      <c r="E131" s="4"/>
      <c r="F131" s="4"/>
      <c r="G131" s="4">
        <v>5</v>
      </c>
      <c r="H131" s="5">
        <v>40.119462181888878</v>
      </c>
      <c r="I131" s="5"/>
      <c r="J131" s="5"/>
      <c r="K131" s="5">
        <v>67</v>
      </c>
    </row>
    <row r="132" spans="1:11" x14ac:dyDescent="0.25">
      <c r="A132" s="2">
        <v>46102.833333333343</v>
      </c>
      <c r="B132" t="str">
        <f t="shared" si="4"/>
        <v>2026-03</v>
      </c>
      <c r="C132" s="3">
        <f t="shared" si="5"/>
        <v>20</v>
      </c>
      <c r="D132" s="4">
        <v>22.329693627325</v>
      </c>
      <c r="E132" s="4"/>
      <c r="F132" s="4"/>
      <c r="G132" s="4">
        <v>4.5</v>
      </c>
      <c r="H132" s="5">
        <v>39.689751405130558</v>
      </c>
      <c r="I132" s="5"/>
      <c r="J132" s="5"/>
      <c r="K132" s="5">
        <v>71</v>
      </c>
    </row>
    <row r="133" spans="1:11" x14ac:dyDescent="0.25">
      <c r="A133" s="2">
        <v>46102.875</v>
      </c>
      <c r="B133" t="str">
        <f t="shared" si="4"/>
        <v>2026-03</v>
      </c>
      <c r="C133" s="3">
        <f t="shared" si="5"/>
        <v>21</v>
      </c>
      <c r="D133" s="4">
        <v>22.331172468847221</v>
      </c>
      <c r="E133" s="4"/>
      <c r="F133" s="4"/>
      <c r="G133" s="4">
        <v>3.7</v>
      </c>
      <c r="H133" s="5">
        <v>39.664966328569442</v>
      </c>
      <c r="I133" s="5"/>
      <c r="J133" s="5"/>
      <c r="K133" s="5">
        <v>75</v>
      </c>
    </row>
    <row r="134" spans="1:11" x14ac:dyDescent="0.25">
      <c r="A134" s="2">
        <v>46102.916666666657</v>
      </c>
      <c r="B134" t="str">
        <f t="shared" si="4"/>
        <v>2026-03</v>
      </c>
      <c r="C134" s="3">
        <f t="shared" si="5"/>
        <v>22</v>
      </c>
      <c r="D134" s="4">
        <v>22.43208898163612</v>
      </c>
      <c r="E134" s="4"/>
      <c r="F134" s="4"/>
      <c r="G134" s="4">
        <v>3</v>
      </c>
      <c r="H134" s="5">
        <v>40.678212157066667</v>
      </c>
      <c r="I134" s="5"/>
      <c r="J134" s="5"/>
      <c r="K134" s="5">
        <v>80</v>
      </c>
    </row>
    <row r="135" spans="1:11" x14ac:dyDescent="0.25">
      <c r="A135" s="2">
        <v>46102.958333333343</v>
      </c>
      <c r="B135" t="str">
        <f t="shared" si="4"/>
        <v>2026-03</v>
      </c>
      <c r="C135" s="3">
        <f t="shared" si="5"/>
        <v>23</v>
      </c>
      <c r="D135" s="4">
        <v>22.359314692933332</v>
      </c>
      <c r="E135" s="4"/>
      <c r="F135" s="4"/>
      <c r="G135" s="4">
        <v>2.2000000000000002</v>
      </c>
      <c r="H135" s="5">
        <v>41.560686652086112</v>
      </c>
      <c r="I135" s="5"/>
      <c r="J135" s="5"/>
      <c r="K135" s="5">
        <v>84</v>
      </c>
    </row>
    <row r="136" spans="1:11" x14ac:dyDescent="0.25">
      <c r="A136" s="2">
        <v>46103</v>
      </c>
      <c r="B136" t="str">
        <f t="shared" si="4"/>
        <v>2026-03</v>
      </c>
      <c r="C136" s="3">
        <f t="shared" si="5"/>
        <v>0</v>
      </c>
      <c r="D136" s="4">
        <v>22.16044010723056</v>
      </c>
      <c r="E136" s="4"/>
      <c r="F136" s="4"/>
      <c r="G136" s="4">
        <v>1.4</v>
      </c>
      <c r="H136" s="5">
        <v>43.403881212024999</v>
      </c>
      <c r="I136" s="5"/>
      <c r="J136" s="5"/>
      <c r="K136" s="5">
        <v>87</v>
      </c>
    </row>
    <row r="137" spans="1:11" x14ac:dyDescent="0.25">
      <c r="A137" s="2">
        <v>46103.041666666657</v>
      </c>
      <c r="B137" t="str">
        <f t="shared" si="4"/>
        <v>2026-03</v>
      </c>
      <c r="C137" s="3">
        <f t="shared" si="5"/>
        <v>1</v>
      </c>
      <c r="D137" s="4">
        <v>22.003031903722221</v>
      </c>
      <c r="E137" s="4"/>
      <c r="F137" s="4"/>
      <c r="G137" s="4">
        <v>0.6</v>
      </c>
      <c r="H137" s="5">
        <v>41.56925028378889</v>
      </c>
      <c r="I137" s="5"/>
      <c r="J137" s="5"/>
      <c r="K137" s="5">
        <v>89</v>
      </c>
    </row>
    <row r="138" spans="1:11" x14ac:dyDescent="0.25">
      <c r="A138" s="2">
        <v>46103.083333333343</v>
      </c>
      <c r="B138" t="str">
        <f t="shared" si="4"/>
        <v>2026-03</v>
      </c>
      <c r="C138" s="3">
        <f t="shared" si="5"/>
        <v>2</v>
      </c>
      <c r="D138" s="4">
        <v>21.841026498147219</v>
      </c>
      <c r="E138" s="4"/>
      <c r="F138" s="4"/>
      <c r="G138" s="4">
        <v>0.3</v>
      </c>
      <c r="H138" s="5">
        <v>39.565863867116668</v>
      </c>
      <c r="I138" s="5"/>
      <c r="J138" s="5"/>
      <c r="K138" s="5">
        <v>89</v>
      </c>
    </row>
    <row r="139" spans="1:11" x14ac:dyDescent="0.25">
      <c r="A139" s="2">
        <v>46103.125</v>
      </c>
      <c r="B139" t="str">
        <f t="shared" si="4"/>
        <v>2026-03</v>
      </c>
      <c r="C139" s="3">
        <f t="shared" si="5"/>
        <v>3</v>
      </c>
      <c r="D139" s="4">
        <v>21.743249416947229</v>
      </c>
      <c r="E139" s="4"/>
      <c r="F139" s="4"/>
      <c r="G139" s="4">
        <v>-0.2</v>
      </c>
      <c r="H139" s="5">
        <v>38.333008612411113</v>
      </c>
      <c r="I139" s="5"/>
      <c r="J139" s="5"/>
      <c r="K139" s="5">
        <v>90</v>
      </c>
    </row>
    <row r="140" spans="1:11" x14ac:dyDescent="0.25">
      <c r="A140" s="2">
        <v>46103.166666666657</v>
      </c>
      <c r="B140" t="str">
        <f t="shared" si="4"/>
        <v>2026-03</v>
      </c>
      <c r="C140" s="3">
        <f t="shared" si="5"/>
        <v>4</v>
      </c>
      <c r="D140" s="4">
        <v>21.639261263055559</v>
      </c>
      <c r="E140" s="4"/>
      <c r="F140" s="4"/>
      <c r="G140" s="4">
        <v>-0.7</v>
      </c>
      <c r="H140" s="5">
        <v>37.369213628786113</v>
      </c>
      <c r="I140" s="5"/>
      <c r="J140" s="5"/>
      <c r="K140" s="5">
        <v>91</v>
      </c>
    </row>
    <row r="141" spans="1:11" x14ac:dyDescent="0.25">
      <c r="A141" s="2">
        <v>46103.208333333343</v>
      </c>
      <c r="B141" t="str">
        <f t="shared" si="4"/>
        <v>2026-03</v>
      </c>
      <c r="C141" s="3">
        <f t="shared" si="5"/>
        <v>5</v>
      </c>
      <c r="D141" s="4">
        <v>21.543488327130561</v>
      </c>
      <c r="E141" s="4"/>
      <c r="F141" s="4"/>
      <c r="G141" s="4">
        <v>-1.1000000000000001</v>
      </c>
      <c r="H141" s="5">
        <v>36.669615980544442</v>
      </c>
      <c r="I141" s="5"/>
      <c r="J141" s="5"/>
      <c r="K141" s="5">
        <v>92</v>
      </c>
    </row>
    <row r="142" spans="1:11" x14ac:dyDescent="0.25">
      <c r="A142" s="2">
        <v>46103.25</v>
      </c>
      <c r="B142" t="str">
        <f t="shared" si="4"/>
        <v>2026-03</v>
      </c>
      <c r="C142" s="3">
        <f t="shared" si="5"/>
        <v>6</v>
      </c>
      <c r="D142" s="4">
        <v>21.508595688411109</v>
      </c>
      <c r="E142" s="4"/>
      <c r="F142" s="4"/>
      <c r="G142" s="4">
        <v>-1.3</v>
      </c>
      <c r="H142" s="5">
        <v>36.467366433055552</v>
      </c>
      <c r="I142" s="5"/>
      <c r="J142" s="5"/>
      <c r="K142" s="5">
        <v>93</v>
      </c>
    </row>
    <row r="143" spans="1:11" x14ac:dyDescent="0.25">
      <c r="A143" s="2">
        <v>46103.291666666657</v>
      </c>
      <c r="B143" t="str">
        <f t="shared" si="4"/>
        <v>2026-03</v>
      </c>
      <c r="C143" s="3">
        <f t="shared" si="5"/>
        <v>7</v>
      </c>
      <c r="D143" s="4">
        <v>21.519167964191659</v>
      </c>
      <c r="E143" s="4"/>
      <c r="F143" s="4"/>
      <c r="G143" s="4">
        <v>-0.2</v>
      </c>
      <c r="H143" s="5">
        <v>36.31392432159722</v>
      </c>
      <c r="I143" s="5"/>
      <c r="J143" s="5"/>
      <c r="K143" s="5">
        <v>90</v>
      </c>
    </row>
    <row r="144" spans="1:11" x14ac:dyDescent="0.25">
      <c r="A144" s="2">
        <v>46103.333333333343</v>
      </c>
      <c r="B144" t="str">
        <f t="shared" si="4"/>
        <v>2026-03</v>
      </c>
      <c r="C144" s="3">
        <f t="shared" si="5"/>
        <v>8</v>
      </c>
      <c r="D144" s="4">
        <v>21.562504091833329</v>
      </c>
      <c r="E144" s="4"/>
      <c r="F144" s="4"/>
      <c r="G144" s="4">
        <v>0.4</v>
      </c>
      <c r="H144" s="5">
        <v>36.334356541963892</v>
      </c>
      <c r="I144" s="5"/>
      <c r="J144" s="5"/>
      <c r="K144" s="5">
        <v>83</v>
      </c>
    </row>
    <row r="145" spans="1:11" x14ac:dyDescent="0.25">
      <c r="A145" s="2">
        <v>46103.375</v>
      </c>
      <c r="B145" t="str">
        <f t="shared" si="4"/>
        <v>2026-03</v>
      </c>
      <c r="C145" s="3">
        <f t="shared" si="5"/>
        <v>9</v>
      </c>
      <c r="D145" s="4">
        <v>21.840282202347229</v>
      </c>
      <c r="E145" s="4"/>
      <c r="F145" s="4"/>
      <c r="G145" s="4">
        <v>2.1</v>
      </c>
      <c r="H145" s="5">
        <v>38.814215973258342</v>
      </c>
      <c r="I145" s="5"/>
      <c r="J145" s="5"/>
      <c r="K145" s="5">
        <v>71</v>
      </c>
    </row>
    <row r="146" spans="1:11" x14ac:dyDescent="0.25">
      <c r="A146" s="2">
        <v>46103.416666666657</v>
      </c>
      <c r="B146" t="str">
        <f t="shared" si="4"/>
        <v>2026-03</v>
      </c>
      <c r="C146" s="3">
        <f t="shared" si="5"/>
        <v>10</v>
      </c>
      <c r="D146" s="4">
        <v>21.97859527783611</v>
      </c>
      <c r="E146" s="4"/>
      <c r="F146" s="4"/>
      <c r="G146" s="4">
        <v>3.9</v>
      </c>
      <c r="H146" s="5">
        <v>38.310052952041673</v>
      </c>
      <c r="I146" s="5"/>
      <c r="J146" s="5"/>
      <c r="K146" s="5">
        <v>65</v>
      </c>
    </row>
    <row r="147" spans="1:11" x14ac:dyDescent="0.25">
      <c r="A147" s="2">
        <v>46103.458333333343</v>
      </c>
      <c r="B147" t="str">
        <f t="shared" si="4"/>
        <v>2026-03</v>
      </c>
      <c r="C147" s="3">
        <f t="shared" si="5"/>
        <v>11</v>
      </c>
      <c r="D147" s="4">
        <v>22.497163135797219</v>
      </c>
      <c r="E147" s="4"/>
      <c r="F147" s="4"/>
      <c r="G147" s="4">
        <v>5.6</v>
      </c>
      <c r="H147" s="5">
        <v>37.365134052797217</v>
      </c>
      <c r="I147" s="5"/>
      <c r="J147" s="5"/>
      <c r="K147" s="5">
        <v>63</v>
      </c>
    </row>
    <row r="148" spans="1:11" x14ac:dyDescent="0.25">
      <c r="A148" s="2">
        <v>46103.5</v>
      </c>
      <c r="B148" t="str">
        <f t="shared" si="4"/>
        <v>2026-03</v>
      </c>
      <c r="C148" s="3">
        <f t="shared" si="5"/>
        <v>12</v>
      </c>
      <c r="D148" s="4">
        <v>22.75212647638056</v>
      </c>
      <c r="E148" s="4"/>
      <c r="F148" s="4"/>
      <c r="G148" s="4">
        <v>7.1</v>
      </c>
      <c r="H148" s="5">
        <v>38.290603907227784</v>
      </c>
      <c r="I148" s="5"/>
      <c r="J148" s="5"/>
      <c r="K148" s="5">
        <v>58</v>
      </c>
    </row>
    <row r="149" spans="1:11" x14ac:dyDescent="0.25">
      <c r="A149" s="2">
        <v>46103.541666666657</v>
      </c>
      <c r="B149" t="str">
        <f t="shared" si="4"/>
        <v>2026-03</v>
      </c>
      <c r="C149" s="3">
        <f t="shared" si="5"/>
        <v>13</v>
      </c>
      <c r="D149" s="4">
        <v>22.404517467588889</v>
      </c>
      <c r="E149" s="4"/>
      <c r="F149" s="4"/>
      <c r="G149" s="4">
        <v>8.3000000000000007</v>
      </c>
      <c r="H149" s="5">
        <v>37.313533093527766</v>
      </c>
      <c r="I149" s="5"/>
      <c r="J149" s="5"/>
      <c r="K149" s="5">
        <v>52</v>
      </c>
    </row>
    <row r="150" spans="1:11" x14ac:dyDescent="0.25">
      <c r="A150" s="2">
        <v>46103.583333333343</v>
      </c>
      <c r="B150" t="str">
        <f t="shared" si="4"/>
        <v>2026-03</v>
      </c>
      <c r="C150" s="3">
        <f t="shared" si="5"/>
        <v>14</v>
      </c>
      <c r="D150" s="4">
        <v>22.394183388711109</v>
      </c>
      <c r="E150" s="4"/>
      <c r="F150" s="4"/>
      <c r="G150" s="4">
        <v>8.5</v>
      </c>
      <c r="H150" s="5">
        <v>40.299395225666657</v>
      </c>
      <c r="I150" s="5"/>
      <c r="J150" s="5"/>
      <c r="K150" s="5">
        <v>56</v>
      </c>
    </row>
    <row r="151" spans="1:11" x14ac:dyDescent="0.25">
      <c r="A151" s="2">
        <v>46103.625</v>
      </c>
      <c r="B151" t="str">
        <f t="shared" si="4"/>
        <v>2026-03</v>
      </c>
      <c r="C151" s="3">
        <f t="shared" si="5"/>
        <v>15</v>
      </c>
      <c r="D151" s="4">
        <v>22.929906035691669</v>
      </c>
      <c r="E151" s="4"/>
      <c r="F151" s="4"/>
      <c r="G151" s="4">
        <v>8.9</v>
      </c>
      <c r="H151" s="5">
        <v>43.046226514322221</v>
      </c>
      <c r="I151" s="5"/>
      <c r="J151" s="5"/>
      <c r="K151" s="5">
        <v>53</v>
      </c>
    </row>
    <row r="152" spans="1:11" x14ac:dyDescent="0.25">
      <c r="A152" s="2">
        <v>46103.666666666657</v>
      </c>
      <c r="B152" t="str">
        <f t="shared" si="4"/>
        <v>2026-03</v>
      </c>
      <c r="C152" s="3">
        <f t="shared" si="5"/>
        <v>16</v>
      </c>
      <c r="D152" s="4">
        <v>23</v>
      </c>
      <c r="E152" s="4"/>
      <c r="F152" s="4"/>
      <c r="G152" s="4">
        <v>8.4</v>
      </c>
      <c r="H152" s="5">
        <v>43.29999999999999</v>
      </c>
      <c r="I152" s="5"/>
      <c r="J152" s="5"/>
      <c r="K152" s="5">
        <v>54</v>
      </c>
    </row>
    <row r="153" spans="1:11" x14ac:dyDescent="0.25">
      <c r="A153" s="2">
        <v>46103.708333333343</v>
      </c>
      <c r="B153" t="str">
        <f t="shared" si="4"/>
        <v>2026-03</v>
      </c>
      <c r="C153" s="3">
        <f t="shared" si="5"/>
        <v>17</v>
      </c>
      <c r="D153" s="4">
        <v>23</v>
      </c>
      <c r="E153" s="4"/>
      <c r="F153" s="4"/>
      <c r="G153" s="4">
        <v>7</v>
      </c>
      <c r="H153" s="5">
        <v>43.29999999999999</v>
      </c>
      <c r="I153" s="5"/>
      <c r="J153" s="5"/>
      <c r="K153" s="5">
        <v>61</v>
      </c>
    </row>
    <row r="154" spans="1:11" x14ac:dyDescent="0.25">
      <c r="A154" s="2">
        <v>46103.75</v>
      </c>
      <c r="B154" t="str">
        <f t="shared" si="4"/>
        <v>2026-03</v>
      </c>
      <c r="C154" s="3">
        <f t="shared" si="5"/>
        <v>18</v>
      </c>
      <c r="D154" s="4">
        <v>23</v>
      </c>
      <c r="E154" s="4"/>
      <c r="F154" s="4"/>
      <c r="G154" s="4">
        <v>5</v>
      </c>
      <c r="H154" s="5">
        <v>43.29999999999999</v>
      </c>
      <c r="I154" s="5"/>
      <c r="J154" s="5"/>
      <c r="K154" s="5">
        <v>68</v>
      </c>
    </row>
    <row r="155" spans="1:11" x14ac:dyDescent="0.25">
      <c r="A155" s="2">
        <v>46103.791666666657</v>
      </c>
      <c r="B155" t="str">
        <f t="shared" si="4"/>
        <v>2026-03</v>
      </c>
      <c r="C155" s="3">
        <f t="shared" si="5"/>
        <v>19</v>
      </c>
      <c r="D155" s="4">
        <v>23</v>
      </c>
      <c r="E155" s="4"/>
      <c r="F155" s="4"/>
      <c r="G155" s="4">
        <v>3.7</v>
      </c>
      <c r="H155" s="5">
        <v>43.29999999999999</v>
      </c>
      <c r="I155" s="5"/>
      <c r="J155" s="5"/>
      <c r="K155" s="5">
        <v>71</v>
      </c>
    </row>
    <row r="156" spans="1:11" x14ac:dyDescent="0.25">
      <c r="A156" s="2">
        <v>46103.833333333343</v>
      </c>
      <c r="B156" t="str">
        <f t="shared" si="4"/>
        <v>2026-03</v>
      </c>
      <c r="C156" s="3">
        <f t="shared" si="5"/>
        <v>20</v>
      </c>
      <c r="D156" s="4">
        <v>23</v>
      </c>
      <c r="E156" s="4"/>
      <c r="F156" s="4"/>
      <c r="G156" s="4">
        <v>3.5</v>
      </c>
      <c r="H156" s="5">
        <v>43.29999999999999</v>
      </c>
      <c r="I156" s="5"/>
      <c r="J156" s="5"/>
      <c r="K156" s="5">
        <v>79</v>
      </c>
    </row>
    <row r="157" spans="1:11" x14ac:dyDescent="0.25">
      <c r="A157" s="2">
        <v>46103.875</v>
      </c>
      <c r="B157" t="str">
        <f t="shared" si="4"/>
        <v>2026-03</v>
      </c>
      <c r="C157" s="3">
        <f t="shared" si="5"/>
        <v>21</v>
      </c>
      <c r="D157" s="4">
        <v>23</v>
      </c>
      <c r="E157" s="4"/>
      <c r="F157" s="4"/>
      <c r="G157" s="4">
        <v>2.9</v>
      </c>
      <c r="H157" s="5">
        <v>43.29999999999999</v>
      </c>
      <c r="I157" s="5"/>
      <c r="J157" s="5"/>
      <c r="K157" s="5">
        <v>81</v>
      </c>
    </row>
    <row r="158" spans="1:11" x14ac:dyDescent="0.25">
      <c r="A158" s="2">
        <v>46103.916666666657</v>
      </c>
      <c r="B158" t="str">
        <f t="shared" si="4"/>
        <v>2026-03</v>
      </c>
      <c r="C158" s="3">
        <f t="shared" si="5"/>
        <v>22</v>
      </c>
      <c r="D158" s="4">
        <v>23</v>
      </c>
      <c r="E158" s="4"/>
      <c r="F158" s="4"/>
      <c r="G158" s="4">
        <v>2.2000000000000002</v>
      </c>
      <c r="H158" s="5">
        <v>43.29999999999999</v>
      </c>
      <c r="I158" s="5"/>
      <c r="J158" s="5"/>
      <c r="K158" s="5">
        <v>83</v>
      </c>
    </row>
    <row r="159" spans="1:11" x14ac:dyDescent="0.25">
      <c r="A159" s="2">
        <v>46103.958333333343</v>
      </c>
      <c r="B159" t="str">
        <f t="shared" si="4"/>
        <v>2026-03</v>
      </c>
      <c r="C159" s="3">
        <f t="shared" si="5"/>
        <v>23</v>
      </c>
      <c r="D159" s="4">
        <v>23</v>
      </c>
      <c r="E159" s="4"/>
      <c r="F159" s="4"/>
      <c r="G159" s="4">
        <v>1.6</v>
      </c>
      <c r="H159" s="5">
        <v>43.29999999999999</v>
      </c>
      <c r="I159" s="5"/>
      <c r="J159" s="5"/>
      <c r="K159" s="5">
        <v>85</v>
      </c>
    </row>
    <row r="160" spans="1:11" x14ac:dyDescent="0.25">
      <c r="A160" s="2">
        <v>46104</v>
      </c>
      <c r="B160" t="str">
        <f t="shared" si="4"/>
        <v>2026-03</v>
      </c>
      <c r="C160" s="3">
        <f t="shared" si="5"/>
        <v>0</v>
      </c>
      <c r="D160" s="4">
        <v>23</v>
      </c>
      <c r="E160" s="4"/>
      <c r="F160" s="4"/>
      <c r="G160" s="4">
        <v>1.2</v>
      </c>
      <c r="H160" s="5">
        <v>43.29999999999999</v>
      </c>
      <c r="I160" s="5"/>
      <c r="J160" s="5"/>
      <c r="K160" s="5">
        <v>85</v>
      </c>
    </row>
    <row r="161" spans="1:11" x14ac:dyDescent="0.25">
      <c r="A161" s="2">
        <v>46104.041666666657</v>
      </c>
      <c r="B161" t="str">
        <f t="shared" si="4"/>
        <v>2026-03</v>
      </c>
      <c r="C161" s="3">
        <f t="shared" si="5"/>
        <v>1</v>
      </c>
      <c r="D161" s="4">
        <v>23</v>
      </c>
      <c r="E161" s="4"/>
      <c r="F161" s="4"/>
      <c r="G161" s="4">
        <v>0.9</v>
      </c>
      <c r="H161" s="5">
        <v>43.29999999999999</v>
      </c>
      <c r="I161" s="5"/>
      <c r="J161" s="5"/>
      <c r="K161" s="5">
        <v>85</v>
      </c>
    </row>
    <row r="162" spans="1:11" x14ac:dyDescent="0.25">
      <c r="A162" s="2">
        <v>46104.083333333343</v>
      </c>
      <c r="B162" t="str">
        <f t="shared" si="4"/>
        <v>2026-03</v>
      </c>
      <c r="C162" s="3">
        <f t="shared" si="5"/>
        <v>2</v>
      </c>
      <c r="D162" s="4">
        <v>23</v>
      </c>
      <c r="E162" s="4"/>
      <c r="F162" s="4"/>
      <c r="G162" s="4">
        <v>0.3</v>
      </c>
      <c r="H162" s="5">
        <v>43.29999999999999</v>
      </c>
      <c r="I162" s="5"/>
      <c r="J162" s="5"/>
      <c r="K162" s="5">
        <v>87</v>
      </c>
    </row>
    <row r="163" spans="1:11" x14ac:dyDescent="0.25">
      <c r="A163" s="2">
        <v>46104.125</v>
      </c>
      <c r="B163" t="str">
        <f t="shared" si="4"/>
        <v>2026-03</v>
      </c>
      <c r="C163" s="3">
        <f t="shared" si="5"/>
        <v>3</v>
      </c>
      <c r="D163" s="4">
        <v>23</v>
      </c>
      <c r="E163" s="4"/>
      <c r="F163" s="4"/>
      <c r="G163" s="4">
        <v>-0.1</v>
      </c>
      <c r="H163" s="5">
        <v>43.29999999999999</v>
      </c>
      <c r="I163" s="5"/>
      <c r="J163" s="5"/>
      <c r="K163" s="5">
        <v>88</v>
      </c>
    </row>
    <row r="164" spans="1:11" x14ac:dyDescent="0.25">
      <c r="A164" s="2">
        <v>46104.166666666657</v>
      </c>
      <c r="B164" t="str">
        <f t="shared" si="4"/>
        <v>2026-03</v>
      </c>
      <c r="C164" s="3">
        <f t="shared" si="5"/>
        <v>4</v>
      </c>
      <c r="D164" s="4">
        <v>23</v>
      </c>
      <c r="E164" s="4"/>
      <c r="F164" s="4"/>
      <c r="G164" s="4">
        <v>-0.4</v>
      </c>
      <c r="H164" s="5">
        <v>43.29999999999999</v>
      </c>
      <c r="I164" s="5"/>
      <c r="J164" s="5"/>
      <c r="K164" s="5">
        <v>89</v>
      </c>
    </row>
    <row r="165" spans="1:11" x14ac:dyDescent="0.25">
      <c r="A165" s="2">
        <v>46104.208333333343</v>
      </c>
      <c r="B165" t="str">
        <f t="shared" si="4"/>
        <v>2026-03</v>
      </c>
      <c r="C165" s="3">
        <f t="shared" si="5"/>
        <v>5</v>
      </c>
      <c r="D165" s="4">
        <v>23</v>
      </c>
      <c r="E165" s="4"/>
      <c r="F165" s="4"/>
      <c r="G165" s="4">
        <v>-0.9</v>
      </c>
      <c r="H165" s="5">
        <v>43.29999999999999</v>
      </c>
      <c r="I165" s="5"/>
      <c r="J165" s="5"/>
      <c r="K165" s="5">
        <v>90</v>
      </c>
    </row>
    <row r="166" spans="1:11" x14ac:dyDescent="0.25">
      <c r="A166" s="2">
        <v>46104.25</v>
      </c>
      <c r="B166" t="str">
        <f t="shared" si="4"/>
        <v>2026-03</v>
      </c>
      <c r="C166" s="3">
        <f t="shared" si="5"/>
        <v>6</v>
      </c>
      <c r="D166" s="4">
        <v>23</v>
      </c>
      <c r="E166" s="4"/>
      <c r="F166" s="4"/>
      <c r="G166" s="4">
        <v>-1.2</v>
      </c>
      <c r="H166" s="5">
        <v>43.29999999999999</v>
      </c>
      <c r="I166" s="5"/>
      <c r="J166" s="5"/>
      <c r="K166" s="5">
        <v>92</v>
      </c>
    </row>
    <row r="167" spans="1:11" x14ac:dyDescent="0.25">
      <c r="A167" s="2">
        <v>46104.291666666657</v>
      </c>
      <c r="B167" t="str">
        <f t="shared" si="4"/>
        <v>2026-03</v>
      </c>
      <c r="C167" s="3">
        <f t="shared" si="5"/>
        <v>7</v>
      </c>
      <c r="D167" s="4">
        <v>23</v>
      </c>
      <c r="E167" s="4"/>
      <c r="F167" s="4"/>
      <c r="G167" s="4">
        <v>-0.2</v>
      </c>
      <c r="H167" s="5">
        <v>43.29999999999999</v>
      </c>
      <c r="I167" s="5"/>
      <c r="J167" s="5"/>
      <c r="K167" s="5">
        <v>90</v>
      </c>
    </row>
    <row r="168" spans="1:11" x14ac:dyDescent="0.25">
      <c r="A168" s="2">
        <v>46104.333333333343</v>
      </c>
      <c r="B168" t="str">
        <f t="shared" si="4"/>
        <v>2026-03</v>
      </c>
      <c r="C168" s="3">
        <f t="shared" si="5"/>
        <v>8</v>
      </c>
      <c r="D168" s="4">
        <v>23</v>
      </c>
      <c r="E168" s="4"/>
      <c r="F168" s="4"/>
      <c r="G168" s="4">
        <v>1.2</v>
      </c>
      <c r="H168" s="5">
        <v>43.29999999999999</v>
      </c>
      <c r="I168" s="5"/>
      <c r="J168" s="5"/>
      <c r="K168" s="5">
        <v>83</v>
      </c>
    </row>
    <row r="169" spans="1:11" x14ac:dyDescent="0.25">
      <c r="A169" s="2">
        <v>46104.375</v>
      </c>
      <c r="B169" t="str">
        <f t="shared" si="4"/>
        <v>2026-03</v>
      </c>
      <c r="C169" s="3">
        <f t="shared" si="5"/>
        <v>9</v>
      </c>
      <c r="D169" s="4">
        <v>23</v>
      </c>
      <c r="E169" s="4"/>
      <c r="F169" s="4"/>
      <c r="G169" s="4">
        <v>3.7</v>
      </c>
      <c r="H169" s="5">
        <v>43.29999999999999</v>
      </c>
      <c r="I169" s="5"/>
      <c r="J169" s="5"/>
      <c r="K169" s="5">
        <v>66</v>
      </c>
    </row>
    <row r="170" spans="1:11" x14ac:dyDescent="0.25">
      <c r="A170" s="2">
        <v>46104.416666666657</v>
      </c>
      <c r="B170" t="str">
        <f t="shared" si="4"/>
        <v>2026-03</v>
      </c>
      <c r="C170" s="3">
        <f t="shared" si="5"/>
        <v>10</v>
      </c>
      <c r="D170" s="4">
        <v>23</v>
      </c>
      <c r="E170" s="4"/>
      <c r="F170" s="4"/>
      <c r="G170" s="4">
        <v>5.8</v>
      </c>
      <c r="H170" s="5">
        <v>43.29999999999999</v>
      </c>
      <c r="I170" s="5"/>
      <c r="J170" s="5"/>
      <c r="K170" s="5">
        <v>60</v>
      </c>
    </row>
    <row r="171" spans="1:11" x14ac:dyDescent="0.25">
      <c r="A171" s="2">
        <v>46104.458333333343</v>
      </c>
      <c r="B171" t="str">
        <f t="shared" si="4"/>
        <v>2026-03</v>
      </c>
      <c r="C171" s="3">
        <f t="shared" si="5"/>
        <v>11</v>
      </c>
      <c r="D171" s="4">
        <v>23</v>
      </c>
      <c r="E171" s="4"/>
      <c r="F171" s="4"/>
      <c r="G171" s="4">
        <v>7.4</v>
      </c>
      <c r="H171" s="5">
        <v>43.29999999999999</v>
      </c>
      <c r="I171" s="5"/>
      <c r="J171" s="5"/>
      <c r="K171" s="5">
        <v>58</v>
      </c>
    </row>
    <row r="172" spans="1:11" x14ac:dyDescent="0.25">
      <c r="A172" s="2">
        <v>46104.5</v>
      </c>
      <c r="B172" t="str">
        <f t="shared" si="4"/>
        <v>2026-03</v>
      </c>
      <c r="C172" s="3">
        <f t="shared" si="5"/>
        <v>12</v>
      </c>
      <c r="D172" s="4">
        <v>23</v>
      </c>
      <c r="E172" s="4"/>
      <c r="F172" s="4"/>
      <c r="G172" s="4">
        <v>8.5</v>
      </c>
      <c r="H172" s="5">
        <v>43.29999999999999</v>
      </c>
      <c r="I172" s="5"/>
      <c r="J172" s="5"/>
      <c r="K172" s="5">
        <v>53</v>
      </c>
    </row>
    <row r="173" spans="1:11" x14ac:dyDescent="0.25">
      <c r="A173" s="2">
        <v>46104.541666666657</v>
      </c>
      <c r="B173" t="str">
        <f t="shared" si="4"/>
        <v>2026-03</v>
      </c>
      <c r="C173" s="3">
        <f t="shared" si="5"/>
        <v>13</v>
      </c>
      <c r="D173" s="4">
        <v>23</v>
      </c>
      <c r="E173" s="4"/>
      <c r="F173" s="4"/>
      <c r="G173" s="4">
        <v>9.4</v>
      </c>
      <c r="H173" s="5">
        <v>43.29999999999999</v>
      </c>
      <c r="I173" s="5"/>
      <c r="J173" s="5"/>
      <c r="K173" s="5">
        <v>49</v>
      </c>
    </row>
    <row r="174" spans="1:11" x14ac:dyDescent="0.25">
      <c r="A174" s="2">
        <v>46104.583333333343</v>
      </c>
      <c r="B174" t="str">
        <f t="shared" si="4"/>
        <v>2026-03</v>
      </c>
      <c r="C174" s="3">
        <f t="shared" si="5"/>
        <v>14</v>
      </c>
      <c r="D174" s="4">
        <v>23</v>
      </c>
      <c r="E174" s="4"/>
      <c r="F174" s="4"/>
      <c r="G174" s="4">
        <v>10.4</v>
      </c>
      <c r="H174" s="5">
        <v>43.29999999999999</v>
      </c>
      <c r="I174" s="5"/>
      <c r="J174" s="5"/>
      <c r="K174" s="5">
        <v>44</v>
      </c>
    </row>
    <row r="175" spans="1:11" x14ac:dyDescent="0.25">
      <c r="A175" s="2">
        <v>46104.625</v>
      </c>
      <c r="B175" t="str">
        <f t="shared" si="4"/>
        <v>2026-03</v>
      </c>
      <c r="C175" s="3">
        <f t="shared" si="5"/>
        <v>15</v>
      </c>
      <c r="D175" s="4">
        <v>23</v>
      </c>
      <c r="E175" s="4"/>
      <c r="F175" s="4"/>
      <c r="G175" s="4">
        <v>10.4</v>
      </c>
      <c r="H175" s="5">
        <v>43.29999999999999</v>
      </c>
      <c r="I175" s="5"/>
      <c r="J175" s="5"/>
      <c r="K175" s="5">
        <v>43</v>
      </c>
    </row>
    <row r="176" spans="1:11" x14ac:dyDescent="0.25">
      <c r="A176" s="2">
        <v>46104.666666666657</v>
      </c>
      <c r="B176" t="str">
        <f t="shared" si="4"/>
        <v>2026-03</v>
      </c>
      <c r="C176" s="3">
        <f t="shared" si="5"/>
        <v>16</v>
      </c>
      <c r="D176" s="4">
        <v>23</v>
      </c>
      <c r="E176" s="4"/>
      <c r="F176" s="4"/>
      <c r="G176" s="4">
        <v>9.8000000000000007</v>
      </c>
      <c r="H176" s="5">
        <v>43.29999999999999</v>
      </c>
      <c r="I176" s="5"/>
      <c r="J176" s="5"/>
      <c r="K176" s="5">
        <v>46</v>
      </c>
    </row>
    <row r="177" spans="1:11" x14ac:dyDescent="0.25">
      <c r="A177" s="2">
        <v>46104.708333333343</v>
      </c>
      <c r="B177" t="str">
        <f t="shared" si="4"/>
        <v>2026-03</v>
      </c>
      <c r="C177" s="3">
        <f t="shared" si="5"/>
        <v>17</v>
      </c>
      <c r="D177" s="4">
        <v>21.93018173364722</v>
      </c>
      <c r="E177" s="4"/>
      <c r="F177" s="4"/>
      <c r="G177" s="4">
        <v>8.3000000000000007</v>
      </c>
      <c r="H177" s="5">
        <v>39.846559757772219</v>
      </c>
      <c r="I177" s="5"/>
      <c r="J177" s="5"/>
      <c r="K177" s="5">
        <v>56</v>
      </c>
    </row>
    <row r="178" spans="1:11" x14ac:dyDescent="0.25">
      <c r="A178" s="2">
        <v>46104.75</v>
      </c>
      <c r="B178" t="str">
        <f t="shared" si="4"/>
        <v>2026-03</v>
      </c>
      <c r="C178" s="3">
        <f t="shared" si="5"/>
        <v>18</v>
      </c>
      <c r="D178" s="4">
        <v>21.79563135954167</v>
      </c>
      <c r="E178" s="4"/>
      <c r="F178" s="4"/>
      <c r="G178" s="4">
        <v>6.3</v>
      </c>
      <c r="H178" s="5">
        <v>39.109024166508327</v>
      </c>
      <c r="I178" s="5"/>
      <c r="J178" s="5"/>
      <c r="K178" s="5">
        <v>61</v>
      </c>
    </row>
    <row r="179" spans="1:11" x14ac:dyDescent="0.25">
      <c r="A179" s="2">
        <v>46104.791666666657</v>
      </c>
      <c r="B179" t="str">
        <f t="shared" si="4"/>
        <v>2026-03</v>
      </c>
      <c r="C179" s="3">
        <f t="shared" si="5"/>
        <v>19</v>
      </c>
      <c r="D179" s="4">
        <v>22.275054948600001</v>
      </c>
      <c r="E179" s="4"/>
      <c r="F179" s="4"/>
      <c r="G179" s="4">
        <v>4.8</v>
      </c>
      <c r="H179" s="5">
        <v>39.067219854152782</v>
      </c>
      <c r="I179" s="5"/>
      <c r="J179" s="5"/>
      <c r="K179" s="5">
        <v>64</v>
      </c>
    </row>
    <row r="180" spans="1:11" x14ac:dyDescent="0.25">
      <c r="A180" s="2">
        <v>46104.833333333343</v>
      </c>
      <c r="B180" t="str">
        <f t="shared" si="4"/>
        <v>2026-03</v>
      </c>
      <c r="C180" s="3">
        <f t="shared" si="5"/>
        <v>20</v>
      </c>
      <c r="D180" s="4">
        <v>22.53714756376111</v>
      </c>
      <c r="E180" s="4"/>
      <c r="F180" s="4"/>
      <c r="G180" s="4">
        <v>4.5</v>
      </c>
      <c r="H180" s="5">
        <v>39.150487128102768</v>
      </c>
      <c r="I180" s="5"/>
      <c r="J180" s="5"/>
      <c r="K180" s="5">
        <v>67</v>
      </c>
    </row>
    <row r="181" spans="1:11" x14ac:dyDescent="0.25">
      <c r="A181" s="2">
        <v>46104.875</v>
      </c>
      <c r="B181" t="str">
        <f t="shared" si="4"/>
        <v>2026-03</v>
      </c>
      <c r="C181" s="3">
        <f t="shared" si="5"/>
        <v>21</v>
      </c>
      <c r="D181" s="4">
        <v>22.707307784230551</v>
      </c>
      <c r="E181" s="4"/>
      <c r="F181" s="4"/>
      <c r="G181" s="4">
        <v>4.3</v>
      </c>
      <c r="H181" s="5">
        <v>38.16729979513611</v>
      </c>
      <c r="I181" s="5"/>
      <c r="J181" s="5"/>
      <c r="K181" s="5">
        <v>67</v>
      </c>
    </row>
    <row r="182" spans="1:11" x14ac:dyDescent="0.25">
      <c r="A182" s="2">
        <v>46104.916666666657</v>
      </c>
      <c r="B182" t="str">
        <f t="shared" si="4"/>
        <v>2026-03</v>
      </c>
      <c r="C182" s="3">
        <f t="shared" si="5"/>
        <v>22</v>
      </c>
      <c r="D182" s="4">
        <v>22.46335561545278</v>
      </c>
      <c r="E182" s="4"/>
      <c r="F182" s="4"/>
      <c r="G182" s="4">
        <v>3.7</v>
      </c>
      <c r="H182" s="5">
        <v>46.011103950061113</v>
      </c>
      <c r="I182" s="5"/>
      <c r="J182" s="5"/>
      <c r="K182" s="5">
        <v>69</v>
      </c>
    </row>
    <row r="183" spans="1:11" x14ac:dyDescent="0.25">
      <c r="A183" s="2">
        <v>46104.958333333343</v>
      </c>
      <c r="B183" t="str">
        <f t="shared" si="4"/>
        <v>2026-03</v>
      </c>
      <c r="C183" s="3">
        <f t="shared" si="5"/>
        <v>23</v>
      </c>
      <c r="D183" s="4">
        <v>22.492721215161112</v>
      </c>
      <c r="E183" s="4"/>
      <c r="F183" s="4"/>
      <c r="G183" s="4">
        <v>3.2</v>
      </c>
      <c r="H183" s="5">
        <v>43.886333928972221</v>
      </c>
      <c r="I183" s="5"/>
      <c r="J183" s="5"/>
      <c r="K183" s="5">
        <v>70</v>
      </c>
    </row>
    <row r="184" spans="1:11" x14ac:dyDescent="0.25">
      <c r="A184" s="2">
        <v>46105</v>
      </c>
      <c r="B184" t="str">
        <f t="shared" si="4"/>
        <v>2026-03</v>
      </c>
      <c r="C184" s="3">
        <f t="shared" si="5"/>
        <v>0</v>
      </c>
      <c r="D184" s="4">
        <v>22.641299761555551</v>
      </c>
      <c r="E184" s="4"/>
      <c r="F184" s="4"/>
      <c r="G184" s="4">
        <v>2.7</v>
      </c>
      <c r="H184" s="5">
        <v>41.550961385975</v>
      </c>
      <c r="I184" s="5"/>
      <c r="J184" s="5"/>
      <c r="K184" s="5">
        <v>72</v>
      </c>
    </row>
    <row r="185" spans="1:11" x14ac:dyDescent="0.25">
      <c r="A185" s="2">
        <v>46105.041666666657</v>
      </c>
      <c r="B185" t="str">
        <f t="shared" si="4"/>
        <v>2026-03</v>
      </c>
      <c r="C185" s="3">
        <f t="shared" si="5"/>
        <v>1</v>
      </c>
      <c r="D185" s="4">
        <v>21.932445128558332</v>
      </c>
      <c r="E185" s="4"/>
      <c r="F185" s="4"/>
      <c r="G185" s="4">
        <v>2.1</v>
      </c>
      <c r="H185" s="5">
        <v>41.371943598361113</v>
      </c>
      <c r="I185" s="5"/>
      <c r="J185" s="5"/>
      <c r="K185" s="5">
        <v>73</v>
      </c>
    </row>
    <row r="186" spans="1:11" x14ac:dyDescent="0.25">
      <c r="A186" s="2">
        <v>46105.083333333343</v>
      </c>
      <c r="B186" t="str">
        <f t="shared" si="4"/>
        <v>2026-03</v>
      </c>
      <c r="C186" s="3">
        <f t="shared" si="5"/>
        <v>2</v>
      </c>
      <c r="D186" s="4">
        <v>21.566684768569441</v>
      </c>
      <c r="E186" s="4"/>
      <c r="F186" s="4"/>
      <c r="G186" s="4">
        <v>1.8</v>
      </c>
      <c r="H186" s="5">
        <v>40.562860985683344</v>
      </c>
      <c r="I186" s="5"/>
      <c r="J186" s="5"/>
      <c r="K186" s="5">
        <v>71</v>
      </c>
    </row>
    <row r="187" spans="1:11" x14ac:dyDescent="0.25">
      <c r="A187" s="2">
        <v>46105.125</v>
      </c>
      <c r="B187" t="str">
        <f t="shared" si="4"/>
        <v>2026-03</v>
      </c>
      <c r="C187" s="3">
        <f t="shared" si="5"/>
        <v>3</v>
      </c>
      <c r="D187" s="4">
        <v>21.370862287600001</v>
      </c>
      <c r="E187" s="4"/>
      <c r="F187" s="4"/>
      <c r="G187" s="4">
        <v>1.6</v>
      </c>
      <c r="H187" s="5">
        <v>40.21148127130278</v>
      </c>
      <c r="I187" s="5"/>
      <c r="J187" s="5"/>
      <c r="K187" s="5">
        <v>71</v>
      </c>
    </row>
    <row r="188" spans="1:11" x14ac:dyDescent="0.25">
      <c r="A188" s="2">
        <v>46105.166666666657</v>
      </c>
      <c r="B188" t="str">
        <f t="shared" si="4"/>
        <v>2026-03</v>
      </c>
      <c r="C188" s="3">
        <f t="shared" si="5"/>
        <v>4</v>
      </c>
      <c r="D188" s="4">
        <v>21.233093770577771</v>
      </c>
      <c r="E188" s="4"/>
      <c r="F188" s="4"/>
      <c r="G188" s="4">
        <v>1.5</v>
      </c>
      <c r="H188" s="5">
        <v>39.879162309388889</v>
      </c>
      <c r="I188" s="5"/>
      <c r="J188" s="5"/>
      <c r="K188" s="5">
        <v>71</v>
      </c>
    </row>
    <row r="189" spans="1:11" x14ac:dyDescent="0.25">
      <c r="A189" s="2">
        <v>46105.208333333343</v>
      </c>
      <c r="B189" t="str">
        <f t="shared" si="4"/>
        <v>2026-03</v>
      </c>
      <c r="C189" s="3">
        <f t="shared" si="5"/>
        <v>5</v>
      </c>
      <c r="D189" s="4">
        <v>21.14439991241111</v>
      </c>
      <c r="E189" s="4"/>
      <c r="F189" s="4"/>
      <c r="G189" s="4">
        <v>1.4</v>
      </c>
      <c r="H189" s="5">
        <v>39.806313688300001</v>
      </c>
      <c r="I189" s="5"/>
      <c r="J189" s="5"/>
      <c r="K189" s="5">
        <v>73</v>
      </c>
    </row>
    <row r="190" spans="1:11" x14ac:dyDescent="0.25">
      <c r="A190" s="2">
        <v>46105.25</v>
      </c>
      <c r="B190" t="str">
        <f t="shared" si="4"/>
        <v>2026-03</v>
      </c>
      <c r="C190" s="3">
        <f t="shared" si="5"/>
        <v>6</v>
      </c>
      <c r="D190" s="4">
        <v>21.10964468976389</v>
      </c>
      <c r="E190" s="4"/>
      <c r="F190" s="4"/>
      <c r="G190" s="4">
        <v>1.7</v>
      </c>
      <c r="H190" s="5">
        <v>39.470252034641668</v>
      </c>
      <c r="I190" s="5"/>
      <c r="J190" s="5"/>
      <c r="K190" s="5">
        <v>73</v>
      </c>
    </row>
    <row r="191" spans="1:11" x14ac:dyDescent="0.25">
      <c r="A191" s="2">
        <v>46105.291666666657</v>
      </c>
      <c r="B191" t="str">
        <f t="shared" si="4"/>
        <v>2026-03</v>
      </c>
      <c r="C191" s="3">
        <f t="shared" si="5"/>
        <v>7</v>
      </c>
      <c r="D191" s="4">
        <v>21.137751671155559</v>
      </c>
      <c r="E191" s="4"/>
      <c r="F191" s="4"/>
      <c r="G191" s="4">
        <v>2.5</v>
      </c>
      <c r="H191" s="5">
        <v>39.230892611622217</v>
      </c>
      <c r="I191" s="5"/>
      <c r="J191" s="5"/>
      <c r="K191" s="5">
        <v>71</v>
      </c>
    </row>
    <row r="192" spans="1:11" x14ac:dyDescent="0.25">
      <c r="A192" s="2">
        <v>46105.333333333343</v>
      </c>
      <c r="B192" t="str">
        <f t="shared" si="4"/>
        <v>2026-03</v>
      </c>
      <c r="C192" s="3">
        <f t="shared" si="5"/>
        <v>8</v>
      </c>
      <c r="D192" s="4">
        <v>21.185387248461112</v>
      </c>
      <c r="E192" s="4"/>
      <c r="F192" s="4"/>
      <c r="G192" s="4">
        <v>2.8</v>
      </c>
      <c r="H192" s="5">
        <v>38.994340207283329</v>
      </c>
      <c r="I192" s="5"/>
      <c r="J192" s="5"/>
      <c r="K192" s="5">
        <v>76</v>
      </c>
    </row>
    <row r="193" spans="1:11" x14ac:dyDescent="0.25">
      <c r="A193" s="2">
        <v>46105.375</v>
      </c>
      <c r="B193" t="str">
        <f t="shared" si="4"/>
        <v>2026-03</v>
      </c>
      <c r="C193" s="3">
        <f t="shared" si="5"/>
        <v>9</v>
      </c>
      <c r="D193" s="4">
        <v>21.38082960288612</v>
      </c>
      <c r="E193" s="4"/>
      <c r="F193" s="4"/>
      <c r="G193" s="4">
        <v>3.8</v>
      </c>
      <c r="H193" s="5">
        <v>39.063918169402783</v>
      </c>
      <c r="I193" s="5"/>
      <c r="J193" s="5"/>
      <c r="K193" s="5">
        <v>74</v>
      </c>
    </row>
    <row r="194" spans="1:11" x14ac:dyDescent="0.25">
      <c r="A194" s="2">
        <v>46105.416666666657</v>
      </c>
      <c r="B194" t="str">
        <f t="shared" ref="B194:B257" si="6">TEXT(A194,"yyyy-mm")</f>
        <v>2026-03</v>
      </c>
      <c r="C194" s="3">
        <f t="shared" ref="C194:C257" si="7">HOUR(A194)</f>
        <v>10</v>
      </c>
      <c r="D194" s="4">
        <v>21.661679162144441</v>
      </c>
      <c r="E194" s="4"/>
      <c r="F194" s="4"/>
      <c r="G194" s="4">
        <v>4.7</v>
      </c>
      <c r="H194" s="5">
        <v>39.132002346605553</v>
      </c>
      <c r="I194" s="5"/>
      <c r="J194" s="5"/>
      <c r="K194" s="5">
        <v>73</v>
      </c>
    </row>
    <row r="195" spans="1:11" x14ac:dyDescent="0.25">
      <c r="A195" s="2">
        <v>46105.458333333343</v>
      </c>
      <c r="B195" t="str">
        <f t="shared" si="6"/>
        <v>2026-03</v>
      </c>
      <c r="C195" s="3">
        <f t="shared" si="7"/>
        <v>11</v>
      </c>
      <c r="D195" s="4">
        <v>21.947760084538888</v>
      </c>
      <c r="E195" s="4"/>
      <c r="F195" s="4"/>
      <c r="G195" s="4">
        <v>6.4</v>
      </c>
      <c r="H195" s="5">
        <v>39.389494553380558</v>
      </c>
      <c r="I195" s="5"/>
      <c r="J195" s="5"/>
      <c r="K195" s="5">
        <v>67</v>
      </c>
    </row>
    <row r="196" spans="1:11" x14ac:dyDescent="0.25">
      <c r="A196" s="2">
        <v>46105.5</v>
      </c>
      <c r="B196" t="str">
        <f t="shared" si="6"/>
        <v>2026-03</v>
      </c>
      <c r="C196" s="3">
        <f t="shared" si="7"/>
        <v>12</v>
      </c>
      <c r="D196" s="4">
        <v>22.026708060124999</v>
      </c>
      <c r="E196" s="4"/>
      <c r="F196" s="4"/>
      <c r="G196" s="4">
        <v>7.9</v>
      </c>
      <c r="H196" s="5">
        <v>37.709688490813889</v>
      </c>
      <c r="I196" s="5"/>
      <c r="J196" s="5"/>
      <c r="K196" s="5">
        <v>61</v>
      </c>
    </row>
    <row r="197" spans="1:11" x14ac:dyDescent="0.25">
      <c r="A197" s="2">
        <v>46105.541666666657</v>
      </c>
      <c r="B197" t="str">
        <f t="shared" si="6"/>
        <v>2026-03</v>
      </c>
      <c r="C197" s="3">
        <f t="shared" si="7"/>
        <v>13</v>
      </c>
      <c r="D197" s="4">
        <v>22.066963426630551</v>
      </c>
      <c r="E197" s="4"/>
      <c r="F197" s="4"/>
      <c r="G197" s="4">
        <v>8.3000000000000007</v>
      </c>
      <c r="H197" s="5">
        <v>38.782057316425004</v>
      </c>
      <c r="I197" s="5"/>
      <c r="J197" s="5"/>
      <c r="K197" s="5">
        <v>59</v>
      </c>
    </row>
    <row r="198" spans="1:11" x14ac:dyDescent="0.25">
      <c r="A198" s="2">
        <v>46105.583333333343</v>
      </c>
      <c r="B198" t="str">
        <f t="shared" si="6"/>
        <v>2026-03</v>
      </c>
      <c r="C198" s="3">
        <f t="shared" si="7"/>
        <v>14</v>
      </c>
      <c r="D198" s="4">
        <v>21.933972682275002</v>
      </c>
      <c r="E198" s="4"/>
      <c r="F198" s="4"/>
      <c r="G198" s="4">
        <v>9.4</v>
      </c>
      <c r="H198" s="5">
        <v>38.455972797419442</v>
      </c>
      <c r="I198" s="5"/>
      <c r="J198" s="5"/>
      <c r="K198" s="5">
        <v>53</v>
      </c>
    </row>
    <row r="199" spans="1:11" x14ac:dyDescent="0.25">
      <c r="A199" s="2">
        <v>46105.625</v>
      </c>
      <c r="B199" t="str">
        <f t="shared" si="6"/>
        <v>2026-03</v>
      </c>
      <c r="C199" s="3">
        <f t="shared" si="7"/>
        <v>15</v>
      </c>
      <c r="D199" s="4">
        <v>21.762338087886111</v>
      </c>
      <c r="E199" s="4"/>
      <c r="F199" s="4"/>
      <c r="G199" s="4">
        <v>8.1999999999999993</v>
      </c>
      <c r="H199" s="5">
        <v>37.771044525536112</v>
      </c>
      <c r="I199" s="5"/>
      <c r="J199" s="5"/>
      <c r="K199" s="5">
        <v>65</v>
      </c>
    </row>
    <row r="200" spans="1:11" x14ac:dyDescent="0.25">
      <c r="A200" s="2">
        <v>46105.666666666657</v>
      </c>
      <c r="B200" t="str">
        <f t="shared" si="6"/>
        <v>2026-03</v>
      </c>
      <c r="C200" s="3">
        <f t="shared" si="7"/>
        <v>16</v>
      </c>
      <c r="D200" s="4">
        <v>21.913906021611108</v>
      </c>
      <c r="E200" s="4"/>
      <c r="F200" s="4"/>
      <c r="G200" s="4">
        <v>7.1</v>
      </c>
      <c r="H200" s="5">
        <v>39.837457159305558</v>
      </c>
      <c r="I200" s="5"/>
      <c r="J200" s="5"/>
      <c r="K200" s="5">
        <v>74</v>
      </c>
    </row>
    <row r="201" spans="1:11" x14ac:dyDescent="0.25">
      <c r="A201" s="2">
        <v>46105.708333333343</v>
      </c>
      <c r="B201" t="str">
        <f t="shared" si="6"/>
        <v>2026-03</v>
      </c>
      <c r="C201" s="3">
        <f t="shared" si="7"/>
        <v>17</v>
      </c>
      <c r="D201" s="4">
        <v>21.984967624402771</v>
      </c>
      <c r="E201" s="4"/>
      <c r="F201" s="4"/>
      <c r="G201" s="4">
        <v>6.4</v>
      </c>
      <c r="H201" s="5">
        <v>40.725174551994442</v>
      </c>
      <c r="I201" s="5"/>
      <c r="J201" s="5"/>
      <c r="K201" s="5">
        <v>76</v>
      </c>
    </row>
    <row r="202" spans="1:11" x14ac:dyDescent="0.25">
      <c r="A202" s="2">
        <v>46105.75</v>
      </c>
      <c r="B202" t="str">
        <f t="shared" si="6"/>
        <v>2026-03</v>
      </c>
      <c r="C202" s="3">
        <f t="shared" si="7"/>
        <v>18</v>
      </c>
      <c r="D202" s="4">
        <v>22.004277701863892</v>
      </c>
      <c r="E202" s="4"/>
      <c r="F202" s="4"/>
      <c r="G202" s="4">
        <v>6.1</v>
      </c>
      <c r="H202" s="5">
        <v>41.135365071458331</v>
      </c>
      <c r="I202" s="5"/>
      <c r="J202" s="5"/>
      <c r="K202" s="5">
        <v>75</v>
      </c>
    </row>
    <row r="203" spans="1:11" x14ac:dyDescent="0.25">
      <c r="A203" s="2">
        <v>46105.791666666657</v>
      </c>
      <c r="B203" t="str">
        <f t="shared" si="6"/>
        <v>2026-03</v>
      </c>
      <c r="C203" s="3">
        <f t="shared" si="7"/>
        <v>19</v>
      </c>
      <c r="D203" s="4">
        <v>22.132084293672222</v>
      </c>
      <c r="E203" s="4"/>
      <c r="F203" s="4"/>
      <c r="G203" s="4">
        <v>6</v>
      </c>
      <c r="H203" s="5">
        <v>42.421898928994437</v>
      </c>
      <c r="I203" s="5"/>
      <c r="J203" s="5"/>
      <c r="K203" s="5">
        <v>74</v>
      </c>
    </row>
    <row r="204" spans="1:11" x14ac:dyDescent="0.25">
      <c r="A204" s="2">
        <v>46105.833333333343</v>
      </c>
      <c r="B204" t="str">
        <f t="shared" si="6"/>
        <v>2026-03</v>
      </c>
      <c r="C204" s="3">
        <f t="shared" si="7"/>
        <v>20</v>
      </c>
      <c r="D204" s="4">
        <v>22.32487722866945</v>
      </c>
      <c r="E204" s="4"/>
      <c r="F204" s="4"/>
      <c r="G204" s="4">
        <v>6.8</v>
      </c>
      <c r="H204" s="5">
        <v>43.221224441127781</v>
      </c>
      <c r="I204" s="5"/>
      <c r="J204" s="5"/>
      <c r="K204" s="5">
        <v>72</v>
      </c>
    </row>
    <row r="205" spans="1:11" x14ac:dyDescent="0.25">
      <c r="A205" s="2">
        <v>46105.875</v>
      </c>
      <c r="B205" t="str">
        <f t="shared" si="6"/>
        <v>2026-03</v>
      </c>
      <c r="C205" s="3">
        <f t="shared" si="7"/>
        <v>21</v>
      </c>
      <c r="D205" s="4">
        <v>22.346836999274998</v>
      </c>
      <c r="E205" s="4"/>
      <c r="F205" s="4"/>
      <c r="G205" s="4">
        <v>6.7</v>
      </c>
      <c r="H205" s="5">
        <v>43.007399675980558</v>
      </c>
      <c r="I205" s="5"/>
      <c r="J205" s="5"/>
      <c r="K205" s="5">
        <v>73</v>
      </c>
    </row>
    <row r="206" spans="1:11" x14ac:dyDescent="0.25">
      <c r="A206" s="2">
        <v>46105.916666666657</v>
      </c>
      <c r="B206" t="str">
        <f t="shared" si="6"/>
        <v>2026-03</v>
      </c>
      <c r="C206" s="3">
        <f t="shared" si="7"/>
        <v>22</v>
      </c>
      <c r="D206" s="4">
        <v>22.54105881881944</v>
      </c>
      <c r="E206" s="4"/>
      <c r="F206" s="4"/>
      <c r="G206" s="4">
        <v>6.4</v>
      </c>
      <c r="H206" s="5">
        <v>44.10362360705556</v>
      </c>
      <c r="I206" s="5"/>
      <c r="J206" s="5"/>
      <c r="K206" s="5">
        <v>74</v>
      </c>
    </row>
    <row r="207" spans="1:11" x14ac:dyDescent="0.25">
      <c r="A207" s="2">
        <v>46105.958333333343</v>
      </c>
      <c r="B207" t="str">
        <f t="shared" si="6"/>
        <v>2026-03</v>
      </c>
      <c r="C207" s="3">
        <f t="shared" si="7"/>
        <v>23</v>
      </c>
      <c r="D207" s="4">
        <v>22.555311245127779</v>
      </c>
      <c r="E207" s="4"/>
      <c r="F207" s="4"/>
      <c r="G207" s="4">
        <v>6</v>
      </c>
      <c r="H207" s="5">
        <v>45.755176022947218</v>
      </c>
      <c r="I207" s="5"/>
      <c r="J207" s="5"/>
      <c r="K207" s="5">
        <v>77</v>
      </c>
    </row>
    <row r="208" spans="1:11" x14ac:dyDescent="0.25">
      <c r="A208" s="2">
        <v>46106</v>
      </c>
      <c r="B208" t="str">
        <f t="shared" si="6"/>
        <v>2026-03</v>
      </c>
      <c r="C208" s="3">
        <f t="shared" si="7"/>
        <v>0</v>
      </c>
      <c r="D208" s="4">
        <v>22.774705897511112</v>
      </c>
      <c r="E208" s="4"/>
      <c r="F208" s="4"/>
      <c r="G208" s="4">
        <v>5.5</v>
      </c>
      <c r="H208" s="5">
        <v>43.876330483436107</v>
      </c>
      <c r="I208" s="5"/>
      <c r="J208" s="5"/>
      <c r="K208" s="5">
        <v>80</v>
      </c>
    </row>
    <row r="209" spans="1:11" x14ac:dyDescent="0.25">
      <c r="A209" s="2">
        <v>46106.041666666657</v>
      </c>
      <c r="B209" t="str">
        <f t="shared" si="6"/>
        <v>2026-03</v>
      </c>
      <c r="C209" s="3">
        <f t="shared" si="7"/>
        <v>1</v>
      </c>
      <c r="D209" s="4">
        <v>22.573639985336111</v>
      </c>
      <c r="E209" s="4"/>
      <c r="F209" s="4"/>
      <c r="G209" s="4">
        <v>4.9000000000000004</v>
      </c>
      <c r="H209" s="5">
        <v>43.209431413002783</v>
      </c>
      <c r="I209" s="5"/>
      <c r="J209" s="5"/>
      <c r="K209" s="5">
        <v>83</v>
      </c>
    </row>
    <row r="210" spans="1:11" x14ac:dyDescent="0.25">
      <c r="A210" s="2">
        <v>46106.083333333343</v>
      </c>
      <c r="B210" t="str">
        <f t="shared" si="6"/>
        <v>2026-03</v>
      </c>
      <c r="C210" s="3">
        <f t="shared" si="7"/>
        <v>2</v>
      </c>
      <c r="D210" s="4">
        <v>21.97012288237778</v>
      </c>
      <c r="E210" s="4"/>
      <c r="F210" s="4"/>
      <c r="G210" s="4">
        <v>3.7</v>
      </c>
      <c r="H210" s="5">
        <v>43.204869562827781</v>
      </c>
      <c r="I210" s="5"/>
      <c r="J210" s="5"/>
      <c r="K210" s="5">
        <v>78</v>
      </c>
    </row>
    <row r="211" spans="1:11" x14ac:dyDescent="0.25">
      <c r="A211" s="2">
        <v>46106.125</v>
      </c>
      <c r="B211" t="str">
        <f t="shared" si="6"/>
        <v>2026-03</v>
      </c>
      <c r="C211" s="3">
        <f t="shared" si="7"/>
        <v>3</v>
      </c>
      <c r="D211" s="4">
        <v>21.687387848722221</v>
      </c>
      <c r="E211" s="4"/>
      <c r="F211" s="4"/>
      <c r="G211" s="4">
        <v>4</v>
      </c>
      <c r="H211" s="5">
        <v>42.740502881388892</v>
      </c>
      <c r="I211" s="5"/>
      <c r="J211" s="5"/>
      <c r="K211" s="5">
        <v>78</v>
      </c>
    </row>
    <row r="212" spans="1:11" x14ac:dyDescent="0.25">
      <c r="A212" s="2">
        <v>46106.166666666657</v>
      </c>
      <c r="B212" t="str">
        <f t="shared" si="6"/>
        <v>2026-03</v>
      </c>
      <c r="C212" s="3">
        <f t="shared" si="7"/>
        <v>4</v>
      </c>
      <c r="D212" s="4">
        <v>21.52064482318611</v>
      </c>
      <c r="E212" s="4"/>
      <c r="F212" s="4"/>
      <c r="G212" s="4">
        <v>3.8</v>
      </c>
      <c r="H212" s="5">
        <v>42.355066158377767</v>
      </c>
      <c r="I212" s="5"/>
      <c r="J212" s="5"/>
      <c r="K212" s="5">
        <v>79</v>
      </c>
    </row>
    <row r="213" spans="1:11" x14ac:dyDescent="0.25">
      <c r="A213" s="2">
        <v>46106.208333333343</v>
      </c>
      <c r="B213" t="str">
        <f t="shared" si="6"/>
        <v>2026-03</v>
      </c>
      <c r="C213" s="3">
        <f t="shared" si="7"/>
        <v>5</v>
      </c>
      <c r="D213" s="4">
        <v>21.3964489968</v>
      </c>
      <c r="E213" s="4"/>
      <c r="F213" s="4"/>
      <c r="G213" s="4">
        <v>3.4</v>
      </c>
      <c r="H213" s="5">
        <v>42.147129449819452</v>
      </c>
      <c r="I213" s="5"/>
      <c r="J213" s="5"/>
      <c r="K213" s="5">
        <v>81</v>
      </c>
    </row>
    <row r="214" spans="1:11" x14ac:dyDescent="0.25">
      <c r="A214" s="2">
        <v>46106.25</v>
      </c>
      <c r="B214" t="str">
        <f t="shared" si="6"/>
        <v>2026-03</v>
      </c>
      <c r="C214" s="3">
        <f t="shared" si="7"/>
        <v>6</v>
      </c>
      <c r="D214" s="4">
        <v>21.322375906236111</v>
      </c>
      <c r="E214" s="4"/>
      <c r="F214" s="4"/>
      <c r="G214" s="4">
        <v>3.1</v>
      </c>
      <c r="H214" s="5">
        <v>41.937543632894453</v>
      </c>
      <c r="I214" s="5"/>
      <c r="J214" s="5"/>
      <c r="K214" s="5">
        <v>81</v>
      </c>
    </row>
    <row r="215" spans="1:11" x14ac:dyDescent="0.25">
      <c r="A215" s="2">
        <v>46106.291666666657</v>
      </c>
      <c r="B215" t="str">
        <f t="shared" si="6"/>
        <v>2026-03</v>
      </c>
      <c r="C215" s="3">
        <f t="shared" si="7"/>
        <v>7</v>
      </c>
      <c r="D215" s="4">
        <v>21.308110566091671</v>
      </c>
      <c r="E215" s="4"/>
      <c r="F215" s="4"/>
      <c r="G215" s="4">
        <v>3.3</v>
      </c>
      <c r="H215" s="5">
        <v>41.568144847500001</v>
      </c>
      <c r="I215" s="5"/>
      <c r="J215" s="5"/>
      <c r="K215" s="5">
        <v>81</v>
      </c>
    </row>
    <row r="216" spans="1:11" x14ac:dyDescent="0.25">
      <c r="A216" s="2">
        <v>46106.333333333343</v>
      </c>
      <c r="B216" t="str">
        <f t="shared" si="6"/>
        <v>2026-03</v>
      </c>
      <c r="C216" s="3">
        <f t="shared" si="7"/>
        <v>8</v>
      </c>
      <c r="D216" s="4">
        <v>21.316481829541669</v>
      </c>
      <c r="E216" s="4"/>
      <c r="F216" s="4"/>
      <c r="G216" s="4">
        <v>4.0999999999999996</v>
      </c>
      <c r="H216" s="5">
        <v>41.340629364100003</v>
      </c>
      <c r="I216" s="5"/>
      <c r="J216" s="5"/>
      <c r="K216" s="5">
        <v>79</v>
      </c>
    </row>
    <row r="217" spans="1:11" x14ac:dyDescent="0.25">
      <c r="A217" s="2">
        <v>46106.375</v>
      </c>
      <c r="B217" t="str">
        <f t="shared" si="6"/>
        <v>2026-03</v>
      </c>
      <c r="C217" s="3">
        <f t="shared" si="7"/>
        <v>9</v>
      </c>
      <c r="D217" s="4">
        <v>21.452425257205551</v>
      </c>
      <c r="E217" s="4"/>
      <c r="F217" s="4"/>
      <c r="G217" s="4">
        <v>4.5</v>
      </c>
      <c r="H217" s="5">
        <v>40.895090494197227</v>
      </c>
      <c r="I217" s="5"/>
      <c r="J217" s="5"/>
      <c r="K217" s="5">
        <v>80</v>
      </c>
    </row>
    <row r="218" spans="1:11" x14ac:dyDescent="0.25">
      <c r="A218" s="2">
        <v>46106.416666666657</v>
      </c>
      <c r="B218" t="str">
        <f t="shared" si="6"/>
        <v>2026-03</v>
      </c>
      <c r="C218" s="3">
        <f t="shared" si="7"/>
        <v>10</v>
      </c>
      <c r="D218" s="4">
        <v>21.504876218908329</v>
      </c>
      <c r="E218" s="4"/>
      <c r="F218" s="4"/>
      <c r="G218" s="4">
        <v>6.2</v>
      </c>
      <c r="H218" s="5">
        <v>39.731018971619449</v>
      </c>
      <c r="I218" s="5"/>
      <c r="J218" s="5"/>
      <c r="K218" s="5">
        <v>76</v>
      </c>
    </row>
    <row r="219" spans="1:11" x14ac:dyDescent="0.25">
      <c r="A219" s="2">
        <v>46106.458333333343</v>
      </c>
      <c r="B219" t="str">
        <f t="shared" si="6"/>
        <v>2026-03</v>
      </c>
      <c r="C219" s="3">
        <f t="shared" si="7"/>
        <v>11</v>
      </c>
      <c r="D219" s="4">
        <v>21.709152642438891</v>
      </c>
      <c r="E219" s="4"/>
      <c r="F219" s="4"/>
      <c r="G219" s="4">
        <v>9.6999999999999993</v>
      </c>
      <c r="H219" s="5">
        <v>39.698128361733332</v>
      </c>
      <c r="I219" s="5"/>
      <c r="J219" s="5"/>
      <c r="K219" s="5">
        <v>65</v>
      </c>
    </row>
    <row r="220" spans="1:11" x14ac:dyDescent="0.25">
      <c r="A220" s="2">
        <v>46106.5</v>
      </c>
      <c r="B220" t="str">
        <f t="shared" si="6"/>
        <v>2026-03</v>
      </c>
      <c r="C220" s="3">
        <f t="shared" si="7"/>
        <v>12</v>
      </c>
      <c r="D220" s="4">
        <v>21.995312236469449</v>
      </c>
      <c r="E220" s="4"/>
      <c r="F220" s="4"/>
      <c r="G220" s="4">
        <v>11.7</v>
      </c>
      <c r="H220" s="5">
        <v>39.291334019916668</v>
      </c>
      <c r="I220" s="5"/>
      <c r="J220" s="5"/>
      <c r="K220" s="5">
        <v>53</v>
      </c>
    </row>
    <row r="221" spans="1:11" x14ac:dyDescent="0.25">
      <c r="A221" s="2">
        <v>46106.541666666657</v>
      </c>
      <c r="B221" t="str">
        <f t="shared" si="6"/>
        <v>2026-03</v>
      </c>
      <c r="C221" s="3">
        <f t="shared" si="7"/>
        <v>13</v>
      </c>
      <c r="D221" s="4">
        <v>22.066090663961109</v>
      </c>
      <c r="E221" s="4"/>
      <c r="F221" s="4"/>
      <c r="G221" s="4">
        <v>12.5</v>
      </c>
      <c r="H221" s="5">
        <v>39.761859597091657</v>
      </c>
      <c r="I221" s="5"/>
      <c r="J221" s="5"/>
      <c r="K221" s="5">
        <v>48</v>
      </c>
    </row>
    <row r="222" spans="1:11" x14ac:dyDescent="0.25">
      <c r="A222" s="2">
        <v>46106.583333333343</v>
      </c>
      <c r="B222" t="str">
        <f t="shared" si="6"/>
        <v>2026-03</v>
      </c>
      <c r="C222" s="3">
        <f t="shared" si="7"/>
        <v>14</v>
      </c>
      <c r="D222" s="4">
        <v>21.91933246152222</v>
      </c>
      <c r="E222" s="4"/>
      <c r="F222" s="4"/>
      <c r="G222" s="4">
        <v>12.8</v>
      </c>
      <c r="H222" s="5">
        <v>39.510396364811108</v>
      </c>
      <c r="I222" s="5"/>
      <c r="J222" s="5"/>
      <c r="K222" s="5">
        <v>48</v>
      </c>
    </row>
    <row r="223" spans="1:11" x14ac:dyDescent="0.25">
      <c r="A223" s="2">
        <v>46106.625</v>
      </c>
      <c r="B223" t="str">
        <f t="shared" si="6"/>
        <v>2026-03</v>
      </c>
      <c r="C223" s="3">
        <f t="shared" si="7"/>
        <v>15</v>
      </c>
      <c r="D223" s="4">
        <v>21.974456487936109</v>
      </c>
      <c r="E223" s="4"/>
      <c r="F223" s="4"/>
      <c r="G223" s="4">
        <v>13</v>
      </c>
      <c r="H223" s="5">
        <v>39.378453214566669</v>
      </c>
      <c r="I223" s="5"/>
      <c r="J223" s="5"/>
      <c r="K223" s="5">
        <v>46</v>
      </c>
    </row>
    <row r="224" spans="1:11" x14ac:dyDescent="0.25">
      <c r="A224" s="2">
        <v>46106.666666666657</v>
      </c>
      <c r="B224" t="str">
        <f t="shared" si="6"/>
        <v>2026-03</v>
      </c>
      <c r="C224" s="3">
        <f t="shared" si="7"/>
        <v>16</v>
      </c>
      <c r="D224" s="4">
        <v>21.856104325916661</v>
      </c>
      <c r="E224" s="4"/>
      <c r="F224" s="4"/>
      <c r="G224" s="4">
        <v>12.6</v>
      </c>
      <c r="H224" s="5">
        <v>38.924067731194448</v>
      </c>
      <c r="I224" s="5"/>
      <c r="J224" s="5"/>
      <c r="K224" s="5">
        <v>51</v>
      </c>
    </row>
    <row r="225" spans="1:11" x14ac:dyDescent="0.25">
      <c r="A225" s="2">
        <v>46106.708333333343</v>
      </c>
      <c r="B225" t="str">
        <f t="shared" si="6"/>
        <v>2026-03</v>
      </c>
      <c r="C225" s="3">
        <f t="shared" si="7"/>
        <v>17</v>
      </c>
      <c r="D225" s="4">
        <v>20.612724633336111</v>
      </c>
      <c r="E225" s="4"/>
      <c r="F225" s="4"/>
      <c r="G225" s="4">
        <v>11.7</v>
      </c>
      <c r="H225" s="5">
        <v>32.769377113855548</v>
      </c>
      <c r="I225" s="5"/>
      <c r="J225" s="5"/>
      <c r="K225" s="5">
        <v>57</v>
      </c>
    </row>
    <row r="226" spans="1:11" x14ac:dyDescent="0.25">
      <c r="A226" s="2">
        <v>46106.75</v>
      </c>
      <c r="B226" t="str">
        <f t="shared" si="6"/>
        <v>2026-03</v>
      </c>
      <c r="C226" s="3">
        <f t="shared" si="7"/>
        <v>18</v>
      </c>
      <c r="D226" s="4">
        <v>20.871819826825</v>
      </c>
      <c r="E226" s="4"/>
      <c r="F226" s="4"/>
      <c r="G226" s="4">
        <v>10</v>
      </c>
      <c r="H226" s="5">
        <v>35.174751832108328</v>
      </c>
      <c r="I226" s="5"/>
      <c r="J226" s="5"/>
      <c r="K226" s="5">
        <v>61</v>
      </c>
    </row>
    <row r="227" spans="1:11" x14ac:dyDescent="0.25">
      <c r="A227" s="2">
        <v>46106.791666666657</v>
      </c>
      <c r="B227" t="str">
        <f t="shared" si="6"/>
        <v>2026-03</v>
      </c>
      <c r="C227" s="3">
        <f t="shared" si="7"/>
        <v>19</v>
      </c>
      <c r="D227" s="4">
        <v>21.256795602558331</v>
      </c>
      <c r="E227" s="4"/>
      <c r="F227" s="4"/>
      <c r="G227" s="4">
        <v>9.3000000000000007</v>
      </c>
      <c r="H227" s="5">
        <v>42.433296878547218</v>
      </c>
      <c r="I227" s="5"/>
      <c r="J227" s="5"/>
      <c r="K227" s="5">
        <v>62</v>
      </c>
    </row>
    <row r="228" spans="1:11" x14ac:dyDescent="0.25">
      <c r="A228" s="2">
        <v>46106.833333333343</v>
      </c>
      <c r="B228" t="str">
        <f t="shared" si="6"/>
        <v>2026-03</v>
      </c>
      <c r="C228" s="3">
        <f t="shared" si="7"/>
        <v>20</v>
      </c>
      <c r="D228" s="4">
        <v>21.303960742600001</v>
      </c>
      <c r="E228" s="4"/>
      <c r="F228" s="4"/>
      <c r="G228" s="4">
        <v>9.3000000000000007</v>
      </c>
      <c r="H228" s="5">
        <v>45.061878170966658</v>
      </c>
      <c r="I228" s="5"/>
      <c r="J228" s="5"/>
      <c r="K228" s="5">
        <v>62</v>
      </c>
    </row>
    <row r="229" spans="1:11" x14ac:dyDescent="0.25">
      <c r="A229" s="2">
        <v>46106.875</v>
      </c>
      <c r="B229" t="str">
        <f t="shared" si="6"/>
        <v>2026-03</v>
      </c>
      <c r="C229" s="3">
        <f t="shared" si="7"/>
        <v>21</v>
      </c>
      <c r="D229" s="4">
        <v>21.35168117344444</v>
      </c>
      <c r="E229" s="4"/>
      <c r="F229" s="4"/>
      <c r="G229" s="4">
        <v>8.4</v>
      </c>
      <c r="H229" s="5">
        <v>44.447880916563889</v>
      </c>
      <c r="I229" s="5"/>
      <c r="J229" s="5"/>
      <c r="K229" s="5">
        <v>64</v>
      </c>
    </row>
    <row r="230" spans="1:11" x14ac:dyDescent="0.25">
      <c r="A230" s="2">
        <v>46106.916666666657</v>
      </c>
      <c r="B230" t="str">
        <f t="shared" si="6"/>
        <v>2026-03</v>
      </c>
      <c r="C230" s="3">
        <f t="shared" si="7"/>
        <v>22</v>
      </c>
      <c r="D230" s="4">
        <v>21.85071952117778</v>
      </c>
      <c r="E230" s="4"/>
      <c r="F230" s="4"/>
      <c r="G230" s="4">
        <v>7.8</v>
      </c>
      <c r="H230" s="5">
        <v>42.06361874345</v>
      </c>
      <c r="I230" s="5"/>
      <c r="J230" s="5"/>
      <c r="K230" s="5">
        <v>65</v>
      </c>
    </row>
    <row r="231" spans="1:11" x14ac:dyDescent="0.25">
      <c r="A231" s="2">
        <v>46106.958333333343</v>
      </c>
      <c r="B231" t="str">
        <f t="shared" si="6"/>
        <v>2026-03</v>
      </c>
      <c r="C231" s="3">
        <f t="shared" si="7"/>
        <v>23</v>
      </c>
      <c r="D231" s="4">
        <v>22.049298325380558</v>
      </c>
      <c r="E231" s="4"/>
      <c r="F231" s="4"/>
      <c r="G231" s="4">
        <v>7.8</v>
      </c>
      <c r="H231" s="5">
        <v>40.496438877986122</v>
      </c>
      <c r="I231" s="5"/>
      <c r="J231" s="5"/>
      <c r="K231" s="5">
        <v>63</v>
      </c>
    </row>
    <row r="232" spans="1:11" x14ac:dyDescent="0.25">
      <c r="A232" s="2">
        <v>46107</v>
      </c>
      <c r="B232" t="str">
        <f t="shared" si="6"/>
        <v>2026-03</v>
      </c>
      <c r="C232" s="3">
        <f t="shared" si="7"/>
        <v>0</v>
      </c>
      <c r="D232" s="4">
        <v>21.907981866219441</v>
      </c>
      <c r="E232" s="4"/>
      <c r="F232" s="4"/>
      <c r="G232" s="4">
        <v>7.2</v>
      </c>
      <c r="H232" s="5">
        <v>39.86922864245556</v>
      </c>
      <c r="I232" s="5"/>
      <c r="J232" s="5"/>
      <c r="K232" s="5">
        <v>63</v>
      </c>
    </row>
    <row r="233" spans="1:11" x14ac:dyDescent="0.25">
      <c r="A233" s="2">
        <v>46107.041666666657</v>
      </c>
      <c r="B233" t="str">
        <f t="shared" si="6"/>
        <v>2026-03</v>
      </c>
      <c r="C233" s="3">
        <f t="shared" si="7"/>
        <v>1</v>
      </c>
      <c r="D233" s="4">
        <v>21.859698554680548</v>
      </c>
      <c r="E233" s="4"/>
      <c r="F233" s="4"/>
      <c r="G233" s="4">
        <v>5.8</v>
      </c>
      <c r="H233" s="5">
        <v>39.305647551366668</v>
      </c>
      <c r="I233" s="5"/>
      <c r="J233" s="5"/>
      <c r="K233" s="5">
        <v>66</v>
      </c>
    </row>
    <row r="234" spans="1:11" x14ac:dyDescent="0.25">
      <c r="A234" s="2">
        <v>46107.083333333343</v>
      </c>
      <c r="B234" t="str">
        <f t="shared" si="6"/>
        <v>2026-03</v>
      </c>
      <c r="C234" s="3">
        <f t="shared" si="7"/>
        <v>2</v>
      </c>
      <c r="D234" s="4">
        <v>21.438387353524998</v>
      </c>
      <c r="E234" s="4"/>
      <c r="F234" s="4"/>
      <c r="G234" s="4">
        <v>5.7</v>
      </c>
      <c r="H234" s="5">
        <v>39.442009556277768</v>
      </c>
      <c r="I234" s="5"/>
      <c r="J234" s="5"/>
      <c r="K234" s="5">
        <v>69</v>
      </c>
    </row>
    <row r="235" spans="1:11" x14ac:dyDescent="0.25">
      <c r="A235" s="2">
        <v>46107.125</v>
      </c>
      <c r="B235" t="str">
        <f t="shared" si="6"/>
        <v>2026-03</v>
      </c>
      <c r="C235" s="3">
        <f t="shared" si="7"/>
        <v>3</v>
      </c>
      <c r="D235" s="4">
        <v>21.206460800761111</v>
      </c>
      <c r="E235" s="4"/>
      <c r="F235" s="4"/>
      <c r="G235" s="4">
        <v>5.4</v>
      </c>
      <c r="H235" s="5">
        <v>39.460352716041669</v>
      </c>
      <c r="I235" s="5"/>
      <c r="J235" s="5"/>
      <c r="K235" s="5">
        <v>70</v>
      </c>
    </row>
    <row r="236" spans="1:11" x14ac:dyDescent="0.25">
      <c r="A236" s="2">
        <v>46107.166666666657</v>
      </c>
      <c r="B236" t="str">
        <f t="shared" si="6"/>
        <v>2026-03</v>
      </c>
      <c r="C236" s="3">
        <f t="shared" si="7"/>
        <v>4</v>
      </c>
      <c r="D236" s="4">
        <v>21.033546954327779</v>
      </c>
      <c r="E236" s="4"/>
      <c r="F236" s="4"/>
      <c r="G236" s="4">
        <v>4.9000000000000004</v>
      </c>
      <c r="H236" s="5">
        <v>39.153857435977777</v>
      </c>
      <c r="I236" s="5"/>
      <c r="J236" s="5"/>
      <c r="K236" s="5">
        <v>71</v>
      </c>
    </row>
    <row r="237" spans="1:11" x14ac:dyDescent="0.25">
      <c r="A237" s="2">
        <v>46107.208333333343</v>
      </c>
      <c r="B237" t="str">
        <f t="shared" si="6"/>
        <v>2026-03</v>
      </c>
      <c r="C237" s="3">
        <f t="shared" si="7"/>
        <v>5</v>
      </c>
      <c r="D237" s="4">
        <v>20.956877195283329</v>
      </c>
      <c r="E237" s="4"/>
      <c r="F237" s="4"/>
      <c r="G237" s="4">
        <v>4.3</v>
      </c>
      <c r="H237" s="5">
        <v>39.008640742638889</v>
      </c>
      <c r="I237" s="5"/>
      <c r="J237" s="5"/>
      <c r="K237" s="5">
        <v>73</v>
      </c>
    </row>
    <row r="238" spans="1:11" x14ac:dyDescent="0.25">
      <c r="A238" s="2">
        <v>46107.25</v>
      </c>
      <c r="B238" t="str">
        <f t="shared" si="6"/>
        <v>2026-03</v>
      </c>
      <c r="C238" s="3">
        <f t="shared" si="7"/>
        <v>6</v>
      </c>
      <c r="D238" s="4">
        <v>21.660119352566671</v>
      </c>
      <c r="E238" s="4"/>
      <c r="F238" s="4"/>
      <c r="G238" s="4">
        <v>4</v>
      </c>
      <c r="H238" s="5">
        <v>37.415848931950002</v>
      </c>
      <c r="I238" s="5"/>
      <c r="J238" s="5"/>
      <c r="K238" s="5">
        <v>74</v>
      </c>
    </row>
    <row r="239" spans="1:11" x14ac:dyDescent="0.25">
      <c r="A239" s="2">
        <v>46107.291666666657</v>
      </c>
      <c r="B239" t="str">
        <f t="shared" si="6"/>
        <v>2026-03</v>
      </c>
      <c r="C239" s="3">
        <f t="shared" si="7"/>
        <v>7</v>
      </c>
      <c r="D239" s="4">
        <v>22.435743930358331</v>
      </c>
      <c r="E239" s="4"/>
      <c r="F239" s="4"/>
      <c r="G239" s="4">
        <v>5.3</v>
      </c>
      <c r="H239" s="5">
        <v>35.427765658894451</v>
      </c>
      <c r="I239" s="5"/>
      <c r="J239" s="5"/>
      <c r="K239" s="5">
        <v>72</v>
      </c>
    </row>
    <row r="240" spans="1:11" x14ac:dyDescent="0.25">
      <c r="A240" s="2">
        <v>46107.333333333343</v>
      </c>
      <c r="B240" t="str">
        <f t="shared" si="6"/>
        <v>2026-03</v>
      </c>
      <c r="C240" s="3">
        <f t="shared" si="7"/>
        <v>8</v>
      </c>
      <c r="D240" s="4">
        <v>23.041332868377779</v>
      </c>
      <c r="E240" s="4"/>
      <c r="F240" s="4"/>
      <c r="G240" s="4">
        <v>7.6</v>
      </c>
      <c r="H240" s="5">
        <v>35.492922897252782</v>
      </c>
      <c r="I240" s="5"/>
      <c r="J240" s="5"/>
      <c r="K240" s="5">
        <v>67</v>
      </c>
    </row>
    <row r="241" spans="1:11" x14ac:dyDescent="0.25">
      <c r="A241" s="2">
        <v>46107.375</v>
      </c>
      <c r="B241" t="str">
        <f t="shared" si="6"/>
        <v>2026-03</v>
      </c>
      <c r="C241" s="3">
        <f t="shared" si="7"/>
        <v>9</v>
      </c>
      <c r="D241" s="4">
        <v>23.339230021047221</v>
      </c>
      <c r="E241" s="4"/>
      <c r="F241" s="4"/>
      <c r="G241" s="4">
        <v>10.1</v>
      </c>
      <c r="H241" s="5">
        <v>36.153431059227778</v>
      </c>
      <c r="I241" s="5"/>
      <c r="J241" s="5"/>
      <c r="K241" s="5">
        <v>61</v>
      </c>
    </row>
    <row r="242" spans="1:11" x14ac:dyDescent="0.25">
      <c r="A242" s="2">
        <v>46107.416666666657</v>
      </c>
      <c r="B242" t="str">
        <f t="shared" si="6"/>
        <v>2026-03</v>
      </c>
      <c r="C242" s="3">
        <f t="shared" si="7"/>
        <v>10</v>
      </c>
      <c r="D242" s="4">
        <v>23.283068615074999</v>
      </c>
      <c r="E242" s="4"/>
      <c r="F242" s="4"/>
      <c r="G242" s="4">
        <v>12.7</v>
      </c>
      <c r="H242" s="5">
        <v>37.194655577811112</v>
      </c>
      <c r="I242" s="5"/>
      <c r="J242" s="5"/>
      <c r="K242" s="5">
        <v>55</v>
      </c>
    </row>
    <row r="243" spans="1:11" x14ac:dyDescent="0.25">
      <c r="A243" s="2">
        <v>46107.458333333343</v>
      </c>
      <c r="B243" t="str">
        <f t="shared" si="6"/>
        <v>2026-03</v>
      </c>
      <c r="C243" s="3">
        <f t="shared" si="7"/>
        <v>11</v>
      </c>
      <c r="D243" s="4">
        <v>22.733497232580561</v>
      </c>
      <c r="E243" s="4"/>
      <c r="F243" s="4"/>
      <c r="G243" s="4">
        <v>14.4</v>
      </c>
      <c r="H243" s="5">
        <v>32.431384372644438</v>
      </c>
      <c r="I243" s="5"/>
      <c r="J243" s="5"/>
      <c r="K243" s="5">
        <v>50</v>
      </c>
    </row>
    <row r="244" spans="1:11" x14ac:dyDescent="0.25">
      <c r="A244" s="2">
        <v>46107.5</v>
      </c>
      <c r="B244" t="str">
        <f t="shared" si="6"/>
        <v>2026-03</v>
      </c>
      <c r="C244" s="3">
        <f t="shared" si="7"/>
        <v>12</v>
      </c>
      <c r="D244" s="4">
        <v>22.102737675494438</v>
      </c>
      <c r="E244" s="4"/>
      <c r="F244" s="4"/>
      <c r="G244" s="4">
        <v>15</v>
      </c>
      <c r="H244" s="5">
        <v>27.056645094494449</v>
      </c>
      <c r="I244" s="5"/>
      <c r="J244" s="5"/>
      <c r="K244" s="5">
        <v>49</v>
      </c>
    </row>
    <row r="245" spans="1:11" x14ac:dyDescent="0.25">
      <c r="A245" s="2">
        <v>46107.541666666657</v>
      </c>
      <c r="B245" t="str">
        <f t="shared" si="6"/>
        <v>2026-03</v>
      </c>
      <c r="C245" s="3">
        <f t="shared" si="7"/>
        <v>13</v>
      </c>
      <c r="D245" s="4">
        <v>21.954229925949999</v>
      </c>
      <c r="E245" s="4"/>
      <c r="F245" s="4"/>
      <c r="G245" s="4">
        <v>15.4</v>
      </c>
      <c r="H245" s="5">
        <v>27.83228154221111</v>
      </c>
      <c r="I245" s="5"/>
      <c r="J245" s="5"/>
      <c r="K245" s="5">
        <v>50</v>
      </c>
    </row>
    <row r="246" spans="1:11" x14ac:dyDescent="0.25">
      <c r="A246" s="2">
        <v>46107.583333333343</v>
      </c>
      <c r="B246" t="str">
        <f t="shared" si="6"/>
        <v>2026-03</v>
      </c>
      <c r="C246" s="3">
        <f t="shared" si="7"/>
        <v>14</v>
      </c>
      <c r="D246" s="4">
        <v>21.506554444347231</v>
      </c>
      <c r="E246" s="4"/>
      <c r="F246" s="4"/>
      <c r="G246" s="4">
        <v>15.7</v>
      </c>
      <c r="H246" s="5">
        <v>27.70417200367222</v>
      </c>
      <c r="I246" s="5"/>
      <c r="J246" s="5"/>
      <c r="K246" s="5">
        <v>49</v>
      </c>
    </row>
    <row r="247" spans="1:11" x14ac:dyDescent="0.25">
      <c r="A247" s="2">
        <v>46107.625</v>
      </c>
      <c r="B247" t="str">
        <f t="shared" si="6"/>
        <v>2026-03</v>
      </c>
      <c r="C247" s="3">
        <f t="shared" si="7"/>
        <v>15</v>
      </c>
      <c r="D247" s="4">
        <v>21.156473583875002</v>
      </c>
      <c r="E247" s="4"/>
      <c r="F247" s="4"/>
      <c r="G247" s="4">
        <v>15.8</v>
      </c>
      <c r="H247" s="5">
        <v>25.483735437680551</v>
      </c>
      <c r="I247" s="5"/>
      <c r="J247" s="5"/>
      <c r="K247" s="5">
        <v>49</v>
      </c>
    </row>
    <row r="248" spans="1:11" x14ac:dyDescent="0.25">
      <c r="A248" s="2">
        <v>46107.666666666657</v>
      </c>
      <c r="B248" t="str">
        <f t="shared" si="6"/>
        <v>2026-03</v>
      </c>
      <c r="C248" s="3">
        <f t="shared" si="7"/>
        <v>16</v>
      </c>
      <c r="D248" s="4">
        <v>21.260056204769441</v>
      </c>
      <c r="E248" s="4"/>
      <c r="F248" s="4"/>
      <c r="G248" s="4">
        <v>15.3</v>
      </c>
      <c r="H248" s="5">
        <v>26.03394472327777</v>
      </c>
      <c r="I248" s="5"/>
      <c r="J248" s="5"/>
      <c r="K248" s="5">
        <v>53</v>
      </c>
    </row>
    <row r="249" spans="1:11" x14ac:dyDescent="0.25">
      <c r="A249" s="2">
        <v>46107.708333333343</v>
      </c>
      <c r="B249" t="str">
        <f t="shared" si="6"/>
        <v>2026-03</v>
      </c>
      <c r="C249" s="3">
        <f t="shared" si="7"/>
        <v>17</v>
      </c>
      <c r="D249" s="4">
        <v>21.654207928652781</v>
      </c>
      <c r="E249" s="4"/>
      <c r="F249" s="4"/>
      <c r="G249" s="4">
        <v>14</v>
      </c>
      <c r="H249" s="5">
        <v>28.464103546975</v>
      </c>
      <c r="I249" s="5"/>
      <c r="J249" s="5"/>
      <c r="K249" s="5">
        <v>61</v>
      </c>
    </row>
    <row r="250" spans="1:11" x14ac:dyDescent="0.25">
      <c r="A250" s="2">
        <v>46107.75</v>
      </c>
      <c r="B250" t="str">
        <f t="shared" si="6"/>
        <v>2026-03</v>
      </c>
      <c r="C250" s="3">
        <f t="shared" si="7"/>
        <v>18</v>
      </c>
      <c r="D250" s="4">
        <v>21.886789684469441</v>
      </c>
      <c r="E250" s="4"/>
      <c r="F250" s="4"/>
      <c r="G250" s="4">
        <v>12.3</v>
      </c>
      <c r="H250" s="5">
        <v>31.799408665222231</v>
      </c>
      <c r="I250" s="5"/>
      <c r="J250" s="5"/>
      <c r="K250" s="5">
        <v>66</v>
      </c>
    </row>
    <row r="251" spans="1:11" x14ac:dyDescent="0.25">
      <c r="A251" s="2">
        <v>46107.791666666657</v>
      </c>
      <c r="B251" t="str">
        <f t="shared" si="6"/>
        <v>2026-03</v>
      </c>
      <c r="C251" s="3">
        <f t="shared" si="7"/>
        <v>19</v>
      </c>
      <c r="D251" s="4">
        <v>21.992310202194449</v>
      </c>
      <c r="E251" s="4"/>
      <c r="F251" s="4"/>
      <c r="G251" s="4">
        <v>11.3</v>
      </c>
      <c r="H251" s="5">
        <v>35.699478489780553</v>
      </c>
      <c r="I251" s="5"/>
      <c r="J251" s="5"/>
      <c r="K251" s="5">
        <v>68</v>
      </c>
    </row>
    <row r="252" spans="1:11" x14ac:dyDescent="0.25">
      <c r="A252" s="2">
        <v>46107.833333333343</v>
      </c>
      <c r="B252" t="str">
        <f t="shared" si="6"/>
        <v>2026-03</v>
      </c>
      <c r="C252" s="3">
        <f t="shared" si="7"/>
        <v>20</v>
      </c>
      <c r="D252" s="4">
        <v>22.102701836077781</v>
      </c>
      <c r="E252" s="4"/>
      <c r="F252" s="4"/>
      <c r="G252" s="4">
        <v>11.2</v>
      </c>
      <c r="H252" s="5">
        <v>37.087155969633343</v>
      </c>
      <c r="I252" s="5"/>
      <c r="J252" s="5"/>
      <c r="K252" s="5">
        <v>76</v>
      </c>
    </row>
    <row r="253" spans="1:11" x14ac:dyDescent="0.25">
      <c r="A253" s="2">
        <v>46107.875</v>
      </c>
      <c r="B253" t="str">
        <f t="shared" si="6"/>
        <v>2026-03</v>
      </c>
      <c r="C253" s="3">
        <f t="shared" si="7"/>
        <v>21</v>
      </c>
      <c r="D253" s="4">
        <v>22.265064778036109</v>
      </c>
      <c r="E253" s="4"/>
      <c r="F253" s="4"/>
      <c r="G253" s="4">
        <v>10.3</v>
      </c>
      <c r="H253" s="5">
        <v>37.504379620722219</v>
      </c>
      <c r="I253" s="5"/>
      <c r="J253" s="5"/>
      <c r="K253" s="5">
        <v>84</v>
      </c>
    </row>
    <row r="254" spans="1:11" x14ac:dyDescent="0.25">
      <c r="A254" s="2">
        <v>46107.916666666657</v>
      </c>
      <c r="B254" t="str">
        <f t="shared" si="6"/>
        <v>2026-03</v>
      </c>
      <c r="C254" s="3">
        <f t="shared" si="7"/>
        <v>22</v>
      </c>
      <c r="D254" s="4">
        <v>22.73887697793889</v>
      </c>
      <c r="E254" s="4"/>
      <c r="F254" s="4"/>
      <c r="G254" s="4">
        <v>9.8000000000000007</v>
      </c>
      <c r="H254" s="5">
        <v>38.646909708655564</v>
      </c>
      <c r="I254" s="5"/>
      <c r="J254" s="5"/>
      <c r="K254" s="5">
        <v>88</v>
      </c>
    </row>
    <row r="255" spans="1:11" x14ac:dyDescent="0.25">
      <c r="A255" s="2">
        <v>46107.958333333343</v>
      </c>
      <c r="B255" t="str">
        <f t="shared" si="6"/>
        <v>2026-03</v>
      </c>
      <c r="C255" s="3">
        <f t="shared" si="7"/>
        <v>23</v>
      </c>
      <c r="D255" s="4">
        <v>23.049118709350001</v>
      </c>
      <c r="E255" s="4"/>
      <c r="F255" s="4"/>
      <c r="G255" s="4">
        <v>9.6</v>
      </c>
      <c r="H255" s="5">
        <v>37.928780295530551</v>
      </c>
      <c r="I255" s="5"/>
      <c r="J255" s="5"/>
      <c r="K255" s="5">
        <v>89</v>
      </c>
    </row>
    <row r="256" spans="1:11" x14ac:dyDescent="0.25">
      <c r="A256" s="2">
        <v>46108</v>
      </c>
      <c r="B256" t="str">
        <f t="shared" si="6"/>
        <v>2026-03</v>
      </c>
      <c r="C256" s="3">
        <f t="shared" si="7"/>
        <v>0</v>
      </c>
      <c r="D256" s="4">
        <v>23.053686042841669</v>
      </c>
      <c r="E256" s="4"/>
      <c r="F256" s="4"/>
      <c r="G256" s="4">
        <v>9.4</v>
      </c>
      <c r="H256" s="5">
        <v>38.699432745199999</v>
      </c>
      <c r="I256" s="5"/>
      <c r="J256" s="5"/>
      <c r="K256" s="5">
        <v>90</v>
      </c>
    </row>
    <row r="257" spans="1:11" x14ac:dyDescent="0.25">
      <c r="A257" s="2">
        <v>46108.041666666657</v>
      </c>
      <c r="B257" t="str">
        <f t="shared" si="6"/>
        <v>2026-03</v>
      </c>
      <c r="C257" s="3">
        <f t="shared" si="7"/>
        <v>1</v>
      </c>
      <c r="D257" s="4">
        <v>22.68026642596389</v>
      </c>
      <c r="E257" s="4"/>
      <c r="F257" s="4"/>
      <c r="G257" s="4">
        <v>9</v>
      </c>
      <c r="H257" s="5">
        <v>40.639827385483329</v>
      </c>
      <c r="I257" s="5"/>
      <c r="J257" s="5"/>
      <c r="K257" s="5">
        <v>91</v>
      </c>
    </row>
    <row r="258" spans="1:11" x14ac:dyDescent="0.25">
      <c r="A258" s="2">
        <v>46108.083333333343</v>
      </c>
      <c r="B258" t="str">
        <f t="shared" ref="B258:B321" si="8">TEXT(A258,"yyyy-mm")</f>
        <v>2026-03</v>
      </c>
      <c r="C258" s="3">
        <f t="shared" ref="C258:C321" si="9">HOUR(A258)</f>
        <v>2</v>
      </c>
      <c r="D258" s="4">
        <v>22.313955948227768</v>
      </c>
      <c r="E258" s="4"/>
      <c r="F258" s="4"/>
      <c r="G258" s="4">
        <v>9.1</v>
      </c>
      <c r="H258" s="5">
        <v>40.484674089305557</v>
      </c>
      <c r="I258" s="5"/>
      <c r="J258" s="5"/>
      <c r="K258" s="5">
        <v>90</v>
      </c>
    </row>
    <row r="259" spans="1:11" x14ac:dyDescent="0.25">
      <c r="A259" s="2">
        <v>46108.125</v>
      </c>
      <c r="B259" t="str">
        <f t="shared" si="8"/>
        <v>2026-03</v>
      </c>
      <c r="C259" s="3">
        <f t="shared" si="9"/>
        <v>3</v>
      </c>
      <c r="D259" s="4">
        <v>22.13862744462778</v>
      </c>
      <c r="E259" s="4"/>
      <c r="F259" s="4"/>
      <c r="G259" s="4">
        <v>8.8000000000000007</v>
      </c>
      <c r="H259" s="5">
        <v>40.752396895952778</v>
      </c>
      <c r="I259" s="5"/>
      <c r="J259" s="5"/>
      <c r="K259" s="5">
        <v>92</v>
      </c>
    </row>
    <row r="260" spans="1:11" x14ac:dyDescent="0.25">
      <c r="A260" s="2">
        <v>46108.166666666657</v>
      </c>
      <c r="B260" t="str">
        <f t="shared" si="8"/>
        <v>2026-03</v>
      </c>
      <c r="C260" s="3">
        <f t="shared" si="9"/>
        <v>4</v>
      </c>
      <c r="D260" s="4">
        <v>22.03798239825278</v>
      </c>
      <c r="E260" s="4"/>
      <c r="F260" s="4"/>
      <c r="G260" s="4">
        <v>8.3000000000000007</v>
      </c>
      <c r="H260" s="5">
        <v>41.207954045194448</v>
      </c>
      <c r="I260" s="5"/>
      <c r="J260" s="5"/>
      <c r="K260" s="5">
        <v>95</v>
      </c>
    </row>
    <row r="261" spans="1:11" x14ac:dyDescent="0.25">
      <c r="A261" s="2">
        <v>46108.208333333343</v>
      </c>
      <c r="B261" t="str">
        <f t="shared" si="8"/>
        <v>2026-03</v>
      </c>
      <c r="C261" s="3">
        <f t="shared" si="9"/>
        <v>5</v>
      </c>
      <c r="D261" s="4">
        <v>22.072702473197221</v>
      </c>
      <c r="E261" s="4"/>
      <c r="F261" s="4"/>
      <c r="G261" s="4">
        <v>8</v>
      </c>
      <c r="H261" s="5">
        <v>41.085689258772227</v>
      </c>
      <c r="I261" s="5"/>
      <c r="J261" s="5"/>
      <c r="K261" s="5">
        <v>97</v>
      </c>
    </row>
    <row r="262" spans="1:11" x14ac:dyDescent="0.25">
      <c r="A262" s="2">
        <v>46108.25</v>
      </c>
      <c r="B262" t="str">
        <f t="shared" si="8"/>
        <v>2026-03</v>
      </c>
      <c r="C262" s="3">
        <f t="shared" si="9"/>
        <v>6</v>
      </c>
      <c r="D262" s="4">
        <v>22.117665715502781</v>
      </c>
      <c r="E262" s="4"/>
      <c r="F262" s="4"/>
      <c r="G262" s="4">
        <v>7.9</v>
      </c>
      <c r="H262" s="5">
        <v>40.950315416747223</v>
      </c>
      <c r="I262" s="5"/>
      <c r="J262" s="5"/>
      <c r="K262" s="5">
        <v>97</v>
      </c>
    </row>
    <row r="263" spans="1:11" x14ac:dyDescent="0.25">
      <c r="A263" s="2">
        <v>46108.291666666657</v>
      </c>
      <c r="B263" t="str">
        <f t="shared" si="8"/>
        <v>2026-03</v>
      </c>
      <c r="C263" s="3">
        <f t="shared" si="9"/>
        <v>7</v>
      </c>
      <c r="D263" s="4">
        <v>22.162026901502781</v>
      </c>
      <c r="E263" s="4"/>
      <c r="F263" s="4"/>
      <c r="G263" s="4">
        <v>7.8</v>
      </c>
      <c r="H263" s="5">
        <v>41.019684991011111</v>
      </c>
      <c r="I263" s="5"/>
      <c r="J263" s="5"/>
      <c r="K263" s="5">
        <v>98</v>
      </c>
    </row>
    <row r="264" spans="1:11" x14ac:dyDescent="0.25">
      <c r="A264" s="2">
        <v>46108.333333333343</v>
      </c>
      <c r="B264" t="str">
        <f t="shared" si="8"/>
        <v>2026-03</v>
      </c>
      <c r="C264" s="3">
        <f t="shared" si="9"/>
        <v>8</v>
      </c>
      <c r="D264" s="4">
        <v>22.173564967388891</v>
      </c>
      <c r="E264" s="4"/>
      <c r="F264" s="4"/>
      <c r="G264" s="4">
        <v>8</v>
      </c>
      <c r="H264" s="5">
        <v>41.028683558891672</v>
      </c>
      <c r="I264" s="5"/>
      <c r="J264" s="5"/>
      <c r="K264" s="5">
        <v>96</v>
      </c>
    </row>
    <row r="265" spans="1:11" x14ac:dyDescent="0.25">
      <c r="A265" s="2">
        <v>46108.375</v>
      </c>
      <c r="B265" t="str">
        <f t="shared" si="8"/>
        <v>2026-03</v>
      </c>
      <c r="C265" s="3">
        <f t="shared" si="9"/>
        <v>9</v>
      </c>
      <c r="D265" s="4">
        <v>22.280225741483331</v>
      </c>
      <c r="E265" s="4"/>
      <c r="F265" s="4"/>
      <c r="G265" s="4">
        <v>8.5</v>
      </c>
      <c r="H265" s="5">
        <v>40.924547958594452</v>
      </c>
      <c r="I265" s="5"/>
      <c r="J265" s="5"/>
      <c r="K265" s="5">
        <v>92</v>
      </c>
    </row>
    <row r="266" spans="1:11" x14ac:dyDescent="0.25">
      <c r="A266" s="2">
        <v>46108.416666666657</v>
      </c>
      <c r="B266" t="str">
        <f t="shared" si="8"/>
        <v>2026-03</v>
      </c>
      <c r="C266" s="3">
        <f t="shared" si="9"/>
        <v>10</v>
      </c>
      <c r="D266" s="4">
        <v>22.462142679252779</v>
      </c>
      <c r="E266" s="4"/>
      <c r="F266" s="4"/>
      <c r="G266" s="4">
        <v>9.4</v>
      </c>
      <c r="H266" s="5">
        <v>41.283916817291669</v>
      </c>
      <c r="I266" s="5"/>
      <c r="J266" s="5"/>
      <c r="K266" s="5">
        <v>87</v>
      </c>
    </row>
    <row r="267" spans="1:11" x14ac:dyDescent="0.25">
      <c r="A267" s="2">
        <v>46108.458333333343</v>
      </c>
      <c r="B267" t="str">
        <f t="shared" si="8"/>
        <v>2026-03</v>
      </c>
      <c r="C267" s="3">
        <f t="shared" si="9"/>
        <v>11</v>
      </c>
      <c r="D267" s="4">
        <v>22.66578797311389</v>
      </c>
      <c r="E267" s="4"/>
      <c r="F267" s="4"/>
      <c r="G267" s="4">
        <v>10.3</v>
      </c>
      <c r="H267" s="5">
        <v>43.120032041474992</v>
      </c>
      <c r="I267" s="5"/>
      <c r="J267" s="5"/>
      <c r="K267" s="5">
        <v>84</v>
      </c>
    </row>
    <row r="268" spans="1:11" x14ac:dyDescent="0.25">
      <c r="A268" s="2">
        <v>46108.5</v>
      </c>
      <c r="B268" t="str">
        <f t="shared" si="8"/>
        <v>2026-03</v>
      </c>
      <c r="C268" s="3">
        <f t="shared" si="9"/>
        <v>12</v>
      </c>
      <c r="D268" s="4">
        <v>22.787239315408328</v>
      </c>
      <c r="E268" s="4"/>
      <c r="F268" s="4"/>
      <c r="G268" s="4">
        <v>9.6999999999999993</v>
      </c>
      <c r="H268" s="5">
        <v>42.851877449766668</v>
      </c>
      <c r="I268" s="5"/>
      <c r="J268" s="5"/>
      <c r="K268" s="5">
        <v>85</v>
      </c>
    </row>
    <row r="269" spans="1:11" x14ac:dyDescent="0.25">
      <c r="A269" s="2">
        <v>46108.541666666657</v>
      </c>
      <c r="B269" t="str">
        <f t="shared" si="8"/>
        <v>2026-03</v>
      </c>
      <c r="C269" s="3">
        <f t="shared" si="9"/>
        <v>13</v>
      </c>
      <c r="D269" s="4">
        <v>22.79689903543056</v>
      </c>
      <c r="E269" s="4"/>
      <c r="F269" s="4"/>
      <c r="G269" s="4">
        <v>9.6999999999999993</v>
      </c>
      <c r="H269" s="5">
        <v>41.84672088426111</v>
      </c>
      <c r="I269" s="5"/>
      <c r="J269" s="5"/>
      <c r="K269" s="5">
        <v>86</v>
      </c>
    </row>
    <row r="270" spans="1:11" x14ac:dyDescent="0.25">
      <c r="A270" s="2">
        <v>46108.583333333343</v>
      </c>
      <c r="B270" t="str">
        <f t="shared" si="8"/>
        <v>2026-03</v>
      </c>
      <c r="C270" s="3">
        <f t="shared" si="9"/>
        <v>14</v>
      </c>
      <c r="D270" s="4">
        <v>22.81878959726944</v>
      </c>
      <c r="E270" s="4"/>
      <c r="F270" s="4"/>
      <c r="G270" s="4">
        <v>9</v>
      </c>
      <c r="H270" s="5">
        <v>41.91942735763611</v>
      </c>
      <c r="I270" s="5"/>
      <c r="J270" s="5"/>
      <c r="K270" s="5">
        <v>87</v>
      </c>
    </row>
    <row r="271" spans="1:11" x14ac:dyDescent="0.25">
      <c r="A271" s="2">
        <v>46108.625</v>
      </c>
      <c r="B271" t="str">
        <f t="shared" si="8"/>
        <v>2026-03</v>
      </c>
      <c r="C271" s="3">
        <f t="shared" si="9"/>
        <v>15</v>
      </c>
      <c r="D271" s="4">
        <v>22.87575909392778</v>
      </c>
      <c r="E271" s="4"/>
      <c r="F271" s="4"/>
      <c r="G271" s="4">
        <v>9.3000000000000007</v>
      </c>
      <c r="H271" s="5">
        <v>43.25293419906388</v>
      </c>
      <c r="I271" s="5"/>
      <c r="J271" s="5"/>
      <c r="K271" s="5">
        <v>86</v>
      </c>
    </row>
    <row r="272" spans="1:11" x14ac:dyDescent="0.25">
      <c r="A272" s="2">
        <v>46108.666666666657</v>
      </c>
      <c r="B272" t="str">
        <f t="shared" si="8"/>
        <v>2026-03</v>
      </c>
      <c r="C272" s="3">
        <f t="shared" si="9"/>
        <v>16</v>
      </c>
      <c r="D272" s="4">
        <v>22.91688628213889</v>
      </c>
      <c r="E272" s="4"/>
      <c r="F272" s="4"/>
      <c r="G272" s="4">
        <v>9.1</v>
      </c>
      <c r="H272" s="5">
        <v>43.474323292650013</v>
      </c>
      <c r="I272" s="5"/>
      <c r="J272" s="5"/>
      <c r="K272" s="5">
        <v>86</v>
      </c>
    </row>
    <row r="273" spans="1:11" x14ac:dyDescent="0.25">
      <c r="A273" s="2">
        <v>46108.708333333343</v>
      </c>
      <c r="B273" t="str">
        <f t="shared" si="8"/>
        <v>2026-03</v>
      </c>
      <c r="C273" s="3">
        <f t="shared" si="9"/>
        <v>17</v>
      </c>
      <c r="D273" s="4">
        <v>22.967528180786111</v>
      </c>
      <c r="E273" s="4"/>
      <c r="F273" s="4"/>
      <c r="G273" s="4">
        <v>8.9</v>
      </c>
      <c r="H273" s="5">
        <v>44.85126673505556</v>
      </c>
      <c r="I273" s="5"/>
      <c r="J273" s="5"/>
      <c r="K273" s="5">
        <v>87</v>
      </c>
    </row>
    <row r="274" spans="1:11" x14ac:dyDescent="0.25">
      <c r="A274" s="2">
        <v>46108.75</v>
      </c>
      <c r="B274" t="str">
        <f t="shared" si="8"/>
        <v>2026-03</v>
      </c>
      <c r="C274" s="3">
        <f t="shared" si="9"/>
        <v>18</v>
      </c>
      <c r="D274" s="4">
        <v>23.06899930076111</v>
      </c>
      <c r="E274" s="4"/>
      <c r="F274" s="4"/>
      <c r="G274" s="4">
        <v>8.3000000000000007</v>
      </c>
      <c r="H274" s="5">
        <v>42.946004783480561</v>
      </c>
      <c r="I274" s="5"/>
      <c r="J274" s="5"/>
      <c r="K274" s="5">
        <v>90</v>
      </c>
    </row>
    <row r="275" spans="1:11" x14ac:dyDescent="0.25">
      <c r="A275" s="2">
        <v>46108.791666666657</v>
      </c>
      <c r="B275" t="str">
        <f t="shared" si="8"/>
        <v>2026-03</v>
      </c>
      <c r="C275" s="3">
        <f t="shared" si="9"/>
        <v>19</v>
      </c>
      <c r="D275" s="4">
        <v>22.983063566533328</v>
      </c>
      <c r="E275" s="4"/>
      <c r="F275" s="4"/>
      <c r="G275" s="4">
        <v>8</v>
      </c>
      <c r="H275" s="5">
        <v>43.902600483524999</v>
      </c>
      <c r="I275" s="5"/>
      <c r="J275" s="5"/>
      <c r="K275" s="5">
        <v>91</v>
      </c>
    </row>
    <row r="276" spans="1:11" x14ac:dyDescent="0.25">
      <c r="A276" s="2">
        <v>46108.833333333343</v>
      </c>
      <c r="B276" t="str">
        <f t="shared" si="8"/>
        <v>2026-03</v>
      </c>
      <c r="C276" s="3">
        <f t="shared" si="9"/>
        <v>20</v>
      </c>
      <c r="D276" s="4">
        <v>22.843293781724999</v>
      </c>
      <c r="E276" s="4"/>
      <c r="F276" s="4"/>
      <c r="G276" s="4">
        <v>8.4</v>
      </c>
      <c r="H276" s="5">
        <v>46.947571045347217</v>
      </c>
      <c r="I276" s="5"/>
      <c r="J276" s="5"/>
      <c r="K276" s="5">
        <v>91</v>
      </c>
    </row>
    <row r="277" spans="1:11" x14ac:dyDescent="0.25">
      <c r="A277" s="2">
        <v>46108.875</v>
      </c>
      <c r="B277" t="str">
        <f t="shared" si="8"/>
        <v>2026-03</v>
      </c>
      <c r="C277" s="3">
        <f t="shared" si="9"/>
        <v>21</v>
      </c>
      <c r="D277" s="4">
        <v>22.720043903813892</v>
      </c>
      <c r="E277" s="4"/>
      <c r="F277" s="4"/>
      <c r="G277" s="4">
        <v>8.3000000000000007</v>
      </c>
      <c r="H277" s="5">
        <v>52.077766915019453</v>
      </c>
      <c r="I277" s="5"/>
      <c r="J277" s="5"/>
      <c r="K277" s="5">
        <v>91</v>
      </c>
    </row>
    <row r="278" spans="1:11" x14ac:dyDescent="0.25">
      <c r="A278" s="2">
        <v>46108.916666666657</v>
      </c>
      <c r="B278" t="str">
        <f t="shared" si="8"/>
        <v>2026-03</v>
      </c>
      <c r="C278" s="3">
        <f t="shared" si="9"/>
        <v>22</v>
      </c>
      <c r="D278" s="4">
        <v>22.702431103419439</v>
      </c>
      <c r="E278" s="4"/>
      <c r="F278" s="4"/>
      <c r="G278" s="4">
        <v>7.9</v>
      </c>
      <c r="H278" s="5">
        <v>52.14887564470834</v>
      </c>
      <c r="I278" s="5"/>
      <c r="J278" s="5"/>
      <c r="K278" s="5">
        <v>92</v>
      </c>
    </row>
    <row r="279" spans="1:11" x14ac:dyDescent="0.25">
      <c r="A279" s="2">
        <v>46108.958333333343</v>
      </c>
      <c r="B279" t="str">
        <f t="shared" si="8"/>
        <v>2026-03</v>
      </c>
      <c r="C279" s="3">
        <f t="shared" si="9"/>
        <v>23</v>
      </c>
      <c r="D279" s="4">
        <v>22.60130961879722</v>
      </c>
      <c r="E279" s="4"/>
      <c r="F279" s="4"/>
      <c r="G279" s="4">
        <v>7.6</v>
      </c>
      <c r="H279" s="5">
        <v>57.279405751730557</v>
      </c>
      <c r="I279" s="5"/>
      <c r="J279" s="5"/>
      <c r="K279" s="5">
        <v>93</v>
      </c>
    </row>
    <row r="280" spans="1:11" x14ac:dyDescent="0.25">
      <c r="A280" s="2">
        <v>46109</v>
      </c>
      <c r="B280" t="str">
        <f t="shared" si="8"/>
        <v>2026-03</v>
      </c>
      <c r="C280" s="3">
        <f t="shared" si="9"/>
        <v>0</v>
      </c>
      <c r="D280" s="4">
        <v>22.677154596641671</v>
      </c>
      <c r="E280" s="4"/>
      <c r="F280" s="4"/>
      <c r="G280" s="4">
        <v>7.4</v>
      </c>
      <c r="H280" s="5">
        <v>57.335731576175</v>
      </c>
      <c r="I280" s="5"/>
      <c r="J280" s="5"/>
      <c r="K280" s="5">
        <v>94</v>
      </c>
    </row>
    <row r="281" spans="1:11" x14ac:dyDescent="0.25">
      <c r="A281" s="2">
        <v>46109.041666666657</v>
      </c>
      <c r="B281" t="str">
        <f t="shared" si="8"/>
        <v>2026-03</v>
      </c>
      <c r="C281" s="3">
        <f t="shared" si="9"/>
        <v>1</v>
      </c>
      <c r="D281" s="4">
        <v>23.09534774766389</v>
      </c>
      <c r="E281" s="4"/>
      <c r="F281" s="4"/>
      <c r="G281" s="4">
        <v>7.2</v>
      </c>
      <c r="H281" s="5">
        <v>56.113071453363887</v>
      </c>
      <c r="I281" s="5"/>
      <c r="J281" s="5"/>
      <c r="K281" s="5">
        <v>95</v>
      </c>
    </row>
    <row r="282" spans="1:11" x14ac:dyDescent="0.25">
      <c r="A282" s="2">
        <v>46109.083333333343</v>
      </c>
      <c r="B282" t="str">
        <f t="shared" si="8"/>
        <v>2026-03</v>
      </c>
      <c r="C282" s="3">
        <f t="shared" si="9"/>
        <v>2</v>
      </c>
      <c r="D282" s="4">
        <v>22.998628285875</v>
      </c>
      <c r="E282" s="4"/>
      <c r="F282" s="4"/>
      <c r="G282" s="4">
        <v>7.1</v>
      </c>
      <c r="H282" s="5">
        <v>56.083765492244453</v>
      </c>
      <c r="I282" s="5"/>
      <c r="J282" s="5"/>
      <c r="K282" s="5">
        <v>95</v>
      </c>
    </row>
    <row r="283" spans="1:11" x14ac:dyDescent="0.25">
      <c r="A283" s="2">
        <v>46109.125</v>
      </c>
      <c r="B283" t="str">
        <f t="shared" si="8"/>
        <v>2026-03</v>
      </c>
      <c r="C283" s="3">
        <f t="shared" si="9"/>
        <v>3</v>
      </c>
      <c r="D283" s="4">
        <v>22.52443183896111</v>
      </c>
      <c r="E283" s="4"/>
      <c r="F283" s="4"/>
      <c r="G283" s="4">
        <v>7</v>
      </c>
      <c r="H283" s="5">
        <v>54.992045439194442</v>
      </c>
      <c r="I283" s="5"/>
      <c r="J283" s="5"/>
      <c r="K283" s="5">
        <v>96</v>
      </c>
    </row>
    <row r="284" spans="1:11" x14ac:dyDescent="0.25">
      <c r="A284" s="2">
        <v>46109.166666666657</v>
      </c>
      <c r="B284" t="str">
        <f t="shared" si="8"/>
        <v>2026-03</v>
      </c>
      <c r="C284" s="3">
        <f t="shared" si="9"/>
        <v>4</v>
      </c>
      <c r="D284" s="4">
        <v>22.24317458654167</v>
      </c>
      <c r="E284" s="4"/>
      <c r="F284" s="4"/>
      <c r="G284" s="4">
        <v>6.9</v>
      </c>
      <c r="H284" s="5">
        <v>54.40364597878056</v>
      </c>
      <c r="I284" s="5"/>
      <c r="J284" s="5"/>
      <c r="K284" s="5">
        <v>97</v>
      </c>
    </row>
    <row r="285" spans="1:11" x14ac:dyDescent="0.25">
      <c r="A285" s="2">
        <v>46109.208333333343</v>
      </c>
      <c r="B285" t="str">
        <f t="shared" si="8"/>
        <v>2026-03</v>
      </c>
      <c r="C285" s="3">
        <f t="shared" si="9"/>
        <v>5</v>
      </c>
      <c r="D285" s="4">
        <v>22.06795903646945</v>
      </c>
      <c r="E285" s="4"/>
      <c r="F285" s="4"/>
      <c r="G285" s="4">
        <v>6.7</v>
      </c>
      <c r="H285" s="5">
        <v>54.055104190136113</v>
      </c>
      <c r="I285" s="5"/>
      <c r="J285" s="5"/>
      <c r="K285" s="5">
        <v>97</v>
      </c>
    </row>
    <row r="286" spans="1:11" x14ac:dyDescent="0.25">
      <c r="A286" s="2">
        <v>46109.25</v>
      </c>
      <c r="B286" t="str">
        <f t="shared" si="8"/>
        <v>2026-03</v>
      </c>
      <c r="C286" s="3">
        <f t="shared" si="9"/>
        <v>6</v>
      </c>
      <c r="D286" s="4">
        <v>21.988054477961111</v>
      </c>
      <c r="E286" s="4"/>
      <c r="F286" s="4"/>
      <c r="G286" s="4">
        <v>6.7</v>
      </c>
      <c r="H286" s="5">
        <v>54.044560175638892</v>
      </c>
      <c r="I286" s="5"/>
      <c r="J286" s="5"/>
      <c r="K286" s="5">
        <v>97</v>
      </c>
    </row>
    <row r="287" spans="1:11" x14ac:dyDescent="0.25">
      <c r="A287" s="2">
        <v>46109.291666666657</v>
      </c>
      <c r="B287" t="str">
        <f t="shared" si="8"/>
        <v>2026-03</v>
      </c>
      <c r="C287" s="3">
        <f t="shared" si="9"/>
        <v>7</v>
      </c>
      <c r="D287" s="4">
        <v>21.943137660952772</v>
      </c>
      <c r="E287" s="4"/>
      <c r="F287" s="4"/>
      <c r="G287" s="4">
        <v>7.3</v>
      </c>
      <c r="H287" s="5">
        <v>53.823809256880558</v>
      </c>
      <c r="I287" s="5"/>
      <c r="J287" s="5"/>
      <c r="K287" s="5">
        <v>95</v>
      </c>
    </row>
    <row r="288" spans="1:11" x14ac:dyDescent="0.25">
      <c r="A288" s="2">
        <v>46109.333333333343</v>
      </c>
      <c r="B288" t="str">
        <f t="shared" si="8"/>
        <v>2026-03</v>
      </c>
      <c r="C288" s="3">
        <f t="shared" si="9"/>
        <v>8</v>
      </c>
      <c r="D288" s="4">
        <v>21.908694908061111</v>
      </c>
      <c r="E288" s="4"/>
      <c r="F288" s="4"/>
      <c r="G288" s="4">
        <v>7.5</v>
      </c>
      <c r="H288" s="5">
        <v>53.043696393138887</v>
      </c>
      <c r="I288" s="5"/>
      <c r="J288" s="5"/>
      <c r="K288" s="5">
        <v>93</v>
      </c>
    </row>
    <row r="289" spans="1:11" x14ac:dyDescent="0.25">
      <c r="A289" s="2">
        <v>46109.375</v>
      </c>
      <c r="B289" t="str">
        <f t="shared" si="8"/>
        <v>2026-03</v>
      </c>
      <c r="C289" s="3">
        <f t="shared" si="9"/>
        <v>9</v>
      </c>
      <c r="D289" s="4">
        <v>21.968287270183328</v>
      </c>
      <c r="E289" s="4"/>
      <c r="F289" s="4"/>
      <c r="G289" s="4">
        <v>8.4</v>
      </c>
      <c r="H289" s="5">
        <v>52.651267146394453</v>
      </c>
      <c r="I289" s="5"/>
      <c r="J289" s="5"/>
      <c r="K289" s="5">
        <v>90</v>
      </c>
    </row>
    <row r="290" spans="1:11" x14ac:dyDescent="0.25">
      <c r="A290" s="2">
        <v>46109.416666666657</v>
      </c>
      <c r="B290" t="str">
        <f t="shared" si="8"/>
        <v>2026-03</v>
      </c>
      <c r="C290" s="3">
        <f t="shared" si="9"/>
        <v>10</v>
      </c>
      <c r="D290" s="4">
        <v>22.103313165536111</v>
      </c>
      <c r="E290" s="4"/>
      <c r="F290" s="4"/>
      <c r="G290" s="4">
        <v>9.4</v>
      </c>
      <c r="H290" s="5">
        <v>51.999713504641669</v>
      </c>
      <c r="I290" s="5"/>
      <c r="J290" s="5"/>
      <c r="K290" s="5">
        <v>87</v>
      </c>
    </row>
    <row r="291" spans="1:11" x14ac:dyDescent="0.25">
      <c r="A291" s="2">
        <v>46109.458333333343</v>
      </c>
      <c r="B291" t="str">
        <f t="shared" si="8"/>
        <v>2026-03</v>
      </c>
      <c r="C291" s="3">
        <f t="shared" si="9"/>
        <v>11</v>
      </c>
      <c r="D291" s="4">
        <v>22.233372451205561</v>
      </c>
      <c r="E291" s="4"/>
      <c r="F291" s="4"/>
      <c r="G291" s="4">
        <v>10.9</v>
      </c>
      <c r="H291" s="5">
        <v>51.373123532841667</v>
      </c>
      <c r="I291" s="5"/>
      <c r="J291" s="5"/>
      <c r="K291" s="5">
        <v>81</v>
      </c>
    </row>
    <row r="292" spans="1:11" x14ac:dyDescent="0.25">
      <c r="A292" s="2">
        <v>46109.5</v>
      </c>
      <c r="B292" t="str">
        <f t="shared" si="8"/>
        <v>2026-03</v>
      </c>
      <c r="C292" s="3">
        <f t="shared" si="9"/>
        <v>12</v>
      </c>
      <c r="D292" s="4">
        <v>22.438504263466669</v>
      </c>
      <c r="E292" s="4"/>
      <c r="F292" s="4"/>
      <c r="G292" s="4">
        <v>12.2</v>
      </c>
      <c r="H292" s="5">
        <v>51.747490494769437</v>
      </c>
      <c r="I292" s="5"/>
      <c r="J292" s="5"/>
      <c r="K292" s="5">
        <v>75</v>
      </c>
    </row>
    <row r="293" spans="1:11" x14ac:dyDescent="0.25">
      <c r="A293" s="2">
        <v>46109.541666666657</v>
      </c>
      <c r="B293" t="str">
        <f t="shared" si="8"/>
        <v>2026-03</v>
      </c>
      <c r="C293" s="3">
        <f t="shared" si="9"/>
        <v>13</v>
      </c>
      <c r="D293" s="4">
        <v>22.798434721241659</v>
      </c>
      <c r="E293" s="4"/>
      <c r="F293" s="4"/>
      <c r="G293" s="4">
        <v>13</v>
      </c>
      <c r="H293" s="5">
        <v>48.761780673905548</v>
      </c>
      <c r="I293" s="5"/>
      <c r="J293" s="5"/>
      <c r="K293" s="5">
        <v>69</v>
      </c>
    </row>
    <row r="294" spans="1:11" x14ac:dyDescent="0.25">
      <c r="A294" s="2">
        <v>46109.583333333343</v>
      </c>
      <c r="B294" t="str">
        <f t="shared" si="8"/>
        <v>2026-03</v>
      </c>
      <c r="C294" s="3">
        <f t="shared" si="9"/>
        <v>14</v>
      </c>
      <c r="D294" s="4">
        <v>22.483221165705551</v>
      </c>
      <c r="E294" s="4"/>
      <c r="F294" s="4"/>
      <c r="G294" s="4">
        <v>12.1</v>
      </c>
      <c r="H294" s="5">
        <v>47.87772093809722</v>
      </c>
      <c r="I294" s="5"/>
      <c r="J294" s="5"/>
      <c r="K294" s="5">
        <v>73</v>
      </c>
    </row>
    <row r="295" spans="1:11" x14ac:dyDescent="0.25">
      <c r="A295" s="2">
        <v>46109.625</v>
      </c>
      <c r="B295" t="str">
        <f t="shared" si="8"/>
        <v>2026-03</v>
      </c>
      <c r="C295" s="3">
        <f t="shared" si="9"/>
        <v>15</v>
      </c>
      <c r="D295" s="4">
        <v>22.344629177344441</v>
      </c>
      <c r="E295" s="4"/>
      <c r="F295" s="4"/>
      <c r="G295" s="4">
        <v>12.5</v>
      </c>
      <c r="H295" s="5">
        <v>47.25431220686945</v>
      </c>
      <c r="I295" s="5"/>
      <c r="J295" s="5"/>
      <c r="K295" s="5">
        <v>71</v>
      </c>
    </row>
    <row r="296" spans="1:11" x14ac:dyDescent="0.25">
      <c r="A296" s="2">
        <v>46109.666666666657</v>
      </c>
      <c r="B296" t="str">
        <f t="shared" si="8"/>
        <v>2026-03</v>
      </c>
      <c r="C296" s="3">
        <f t="shared" si="9"/>
        <v>16</v>
      </c>
      <c r="D296" s="4">
        <v>22.25473439184444</v>
      </c>
      <c r="E296" s="4"/>
      <c r="F296" s="4"/>
      <c r="G296" s="4">
        <v>12.4</v>
      </c>
      <c r="H296" s="5">
        <v>46.57640229095</v>
      </c>
      <c r="I296" s="5"/>
      <c r="J296" s="5"/>
      <c r="K296" s="5">
        <v>72</v>
      </c>
    </row>
    <row r="297" spans="1:11" x14ac:dyDescent="0.25">
      <c r="A297" s="2">
        <v>46109.708333333343</v>
      </c>
      <c r="B297" t="str">
        <f t="shared" si="8"/>
        <v>2026-03</v>
      </c>
      <c r="C297" s="3">
        <f t="shared" si="9"/>
        <v>17</v>
      </c>
      <c r="D297" s="4">
        <v>22.15330551992778</v>
      </c>
      <c r="E297" s="4"/>
      <c r="F297" s="4"/>
      <c r="G297" s="4">
        <v>11.9</v>
      </c>
      <c r="H297" s="5">
        <v>45.998050551247218</v>
      </c>
      <c r="I297" s="5"/>
      <c r="J297" s="5"/>
      <c r="K297" s="5">
        <v>77</v>
      </c>
    </row>
    <row r="298" spans="1:11" x14ac:dyDescent="0.25">
      <c r="A298" s="2">
        <v>46109.75</v>
      </c>
      <c r="B298" t="str">
        <f t="shared" si="8"/>
        <v>2026-03</v>
      </c>
      <c r="C298" s="3">
        <f t="shared" si="9"/>
        <v>18</v>
      </c>
      <c r="D298" s="4">
        <v>22.059525566030551</v>
      </c>
      <c r="E298" s="4"/>
      <c r="F298" s="4"/>
      <c r="G298" s="4">
        <v>11.1</v>
      </c>
      <c r="H298" s="5">
        <v>45.325418420533332</v>
      </c>
      <c r="I298" s="5"/>
      <c r="J298" s="5"/>
      <c r="K298" s="5">
        <v>80</v>
      </c>
    </row>
    <row r="299" spans="1:11" x14ac:dyDescent="0.25">
      <c r="A299" s="2">
        <v>46109.791666666657</v>
      </c>
      <c r="B299" t="str">
        <f t="shared" si="8"/>
        <v>2026-03</v>
      </c>
      <c r="C299" s="3">
        <f t="shared" si="9"/>
        <v>19</v>
      </c>
      <c r="D299" s="4">
        <v>22.015781375374999</v>
      </c>
      <c r="E299" s="4"/>
      <c r="F299" s="4"/>
      <c r="G299" s="4">
        <v>10.6</v>
      </c>
      <c r="H299" s="5">
        <v>44.362092936875001</v>
      </c>
      <c r="I299" s="5"/>
      <c r="J299" s="5"/>
      <c r="K299" s="5">
        <v>79</v>
      </c>
    </row>
    <row r="300" spans="1:11" x14ac:dyDescent="0.25">
      <c r="A300" s="2">
        <v>46109.833333333343</v>
      </c>
      <c r="B300" t="str">
        <f t="shared" si="8"/>
        <v>2026-03</v>
      </c>
      <c r="C300" s="3">
        <f t="shared" si="9"/>
        <v>20</v>
      </c>
      <c r="D300" s="4">
        <v>22.08211365431945</v>
      </c>
      <c r="E300" s="4"/>
      <c r="F300" s="4"/>
      <c r="G300" s="4">
        <v>10.7</v>
      </c>
      <c r="H300" s="5">
        <v>45.02518340665555</v>
      </c>
      <c r="I300" s="5"/>
      <c r="J300" s="5"/>
      <c r="K300" s="5">
        <v>80</v>
      </c>
    </row>
    <row r="301" spans="1:11" x14ac:dyDescent="0.25">
      <c r="A301" s="2">
        <v>46109.875</v>
      </c>
      <c r="B301" t="str">
        <f t="shared" si="8"/>
        <v>2026-03</v>
      </c>
      <c r="C301" s="3">
        <f t="shared" si="9"/>
        <v>21</v>
      </c>
      <c r="D301" s="4">
        <v>22.090705364036111</v>
      </c>
      <c r="E301" s="4"/>
      <c r="F301" s="4"/>
      <c r="G301" s="4">
        <v>10.1</v>
      </c>
      <c r="H301" s="5">
        <v>45.639622116105564</v>
      </c>
      <c r="I301" s="5"/>
      <c r="J301" s="5"/>
      <c r="K301" s="5">
        <v>82</v>
      </c>
    </row>
    <row r="302" spans="1:11" x14ac:dyDescent="0.25">
      <c r="A302" s="2">
        <v>46109.916666666657</v>
      </c>
      <c r="B302" t="str">
        <f t="shared" si="8"/>
        <v>2026-03</v>
      </c>
      <c r="C302" s="3">
        <f t="shared" si="9"/>
        <v>22</v>
      </c>
      <c r="D302" s="4">
        <v>22.082708430058329</v>
      </c>
      <c r="E302" s="4"/>
      <c r="F302" s="4"/>
      <c r="G302" s="4">
        <v>9.6999999999999993</v>
      </c>
      <c r="H302" s="5">
        <v>47.409655937497213</v>
      </c>
      <c r="I302" s="5"/>
      <c r="J302" s="5"/>
      <c r="K302" s="5">
        <v>84</v>
      </c>
    </row>
    <row r="303" spans="1:11" x14ac:dyDescent="0.25">
      <c r="A303" s="2">
        <v>46109.958333333343</v>
      </c>
      <c r="B303" t="str">
        <f t="shared" si="8"/>
        <v>2026-03</v>
      </c>
      <c r="C303" s="3">
        <f t="shared" si="9"/>
        <v>23</v>
      </c>
      <c r="D303" s="4">
        <v>22.163798502958329</v>
      </c>
      <c r="E303" s="4"/>
      <c r="F303" s="4"/>
      <c r="G303" s="4">
        <v>9.3000000000000007</v>
      </c>
      <c r="H303" s="5">
        <v>51.765102165649999</v>
      </c>
      <c r="I303" s="5"/>
      <c r="J303" s="5"/>
      <c r="K303" s="5">
        <v>86</v>
      </c>
    </row>
    <row r="304" spans="1:11" x14ac:dyDescent="0.25">
      <c r="A304" s="2">
        <v>46110</v>
      </c>
      <c r="B304" t="str">
        <f t="shared" si="8"/>
        <v>2026-03</v>
      </c>
      <c r="C304" s="3">
        <f t="shared" si="9"/>
        <v>0</v>
      </c>
      <c r="D304" s="4">
        <v>22.600031122938891</v>
      </c>
      <c r="E304" s="4"/>
      <c r="F304" s="4"/>
      <c r="G304" s="4">
        <v>8.3000000000000007</v>
      </c>
      <c r="H304" s="5">
        <v>49.839324422788877</v>
      </c>
      <c r="I304" s="5"/>
      <c r="J304" s="5"/>
      <c r="K304" s="5">
        <v>88</v>
      </c>
    </row>
    <row r="305" spans="1:11" x14ac:dyDescent="0.25">
      <c r="A305" s="2">
        <v>46110.041666666657</v>
      </c>
      <c r="B305" t="str">
        <f t="shared" si="8"/>
        <v>2026-03</v>
      </c>
      <c r="C305" s="3">
        <f t="shared" si="9"/>
        <v>1</v>
      </c>
      <c r="D305" s="4">
        <v>22.89935298152778</v>
      </c>
      <c r="E305" s="4"/>
      <c r="F305" s="4"/>
      <c r="G305" s="4">
        <v>7.9</v>
      </c>
      <c r="H305" s="5">
        <v>47.57186644793611</v>
      </c>
      <c r="I305" s="5"/>
      <c r="J305" s="5"/>
      <c r="K305" s="5">
        <v>87</v>
      </c>
    </row>
    <row r="306" spans="1:11" x14ac:dyDescent="0.25">
      <c r="A306" s="2">
        <v>46110.083333333343</v>
      </c>
      <c r="B306" t="str">
        <f t="shared" si="8"/>
        <v>2026-03</v>
      </c>
      <c r="C306" s="3">
        <f t="shared" si="9"/>
        <v>2</v>
      </c>
      <c r="D306" s="4">
        <v>22.900654723475</v>
      </c>
      <c r="E306" s="4"/>
      <c r="F306" s="4"/>
      <c r="G306" s="4">
        <v>7.2</v>
      </c>
      <c r="H306" s="5">
        <v>46.419016280272217</v>
      </c>
      <c r="I306" s="5"/>
      <c r="J306" s="5"/>
      <c r="K306" s="5">
        <v>87</v>
      </c>
    </row>
    <row r="307" spans="1:11" x14ac:dyDescent="0.25">
      <c r="A307" s="2">
        <v>46110.166666666657</v>
      </c>
      <c r="B307" t="str">
        <f t="shared" si="8"/>
        <v>2026-03</v>
      </c>
      <c r="C307" s="3">
        <f t="shared" si="9"/>
        <v>4</v>
      </c>
      <c r="D307" s="4">
        <v>22.604785797480559</v>
      </c>
      <c r="E307" s="4"/>
      <c r="F307" s="4"/>
      <c r="G307" s="4">
        <v>6.8</v>
      </c>
      <c r="H307" s="5">
        <v>46.241592552705562</v>
      </c>
      <c r="I307" s="5"/>
      <c r="J307" s="5"/>
      <c r="K307" s="5">
        <v>89</v>
      </c>
    </row>
    <row r="308" spans="1:11" x14ac:dyDescent="0.25">
      <c r="A308" s="2">
        <v>46110.208333333343</v>
      </c>
      <c r="B308" t="str">
        <f t="shared" si="8"/>
        <v>2026-03</v>
      </c>
      <c r="C308" s="3">
        <f t="shared" si="9"/>
        <v>5</v>
      </c>
      <c r="D308" s="4">
        <v>22.11220314605556</v>
      </c>
      <c r="E308" s="4"/>
      <c r="F308" s="4"/>
      <c r="G308" s="4">
        <v>6.5</v>
      </c>
      <c r="H308" s="5">
        <v>47.144193163347218</v>
      </c>
      <c r="I308" s="5"/>
      <c r="J308" s="5"/>
      <c r="K308" s="5">
        <v>90</v>
      </c>
    </row>
    <row r="309" spans="1:11" x14ac:dyDescent="0.25">
      <c r="A309" s="2">
        <v>46110.25</v>
      </c>
      <c r="B309" t="str">
        <f t="shared" si="8"/>
        <v>2026-03</v>
      </c>
      <c r="C309" s="3">
        <f t="shared" si="9"/>
        <v>6</v>
      </c>
      <c r="D309" s="4">
        <v>21.919250098083332</v>
      </c>
      <c r="E309" s="4"/>
      <c r="F309" s="4"/>
      <c r="G309" s="4">
        <v>6</v>
      </c>
      <c r="H309" s="5">
        <v>47.119555946261109</v>
      </c>
      <c r="I309" s="5"/>
      <c r="J309" s="5"/>
      <c r="K309" s="5">
        <v>91</v>
      </c>
    </row>
    <row r="310" spans="1:11" x14ac:dyDescent="0.25">
      <c r="A310" s="2">
        <v>46110.291666666657</v>
      </c>
      <c r="B310" t="str">
        <f t="shared" si="8"/>
        <v>2026-03</v>
      </c>
      <c r="C310" s="3">
        <f t="shared" si="9"/>
        <v>7</v>
      </c>
      <c r="D310" s="4">
        <v>22.35992542136389</v>
      </c>
      <c r="E310" s="4"/>
      <c r="F310" s="4"/>
      <c r="G310" s="4">
        <v>5.7</v>
      </c>
      <c r="H310" s="5">
        <v>45.535140086938888</v>
      </c>
      <c r="I310" s="5"/>
      <c r="J310" s="5"/>
      <c r="K310" s="5">
        <v>92</v>
      </c>
    </row>
    <row r="311" spans="1:11" x14ac:dyDescent="0.25">
      <c r="A311" s="2">
        <v>46110.333333333343</v>
      </c>
      <c r="B311" t="str">
        <f t="shared" si="8"/>
        <v>2026-03</v>
      </c>
      <c r="C311" s="3">
        <f t="shared" si="9"/>
        <v>8</v>
      </c>
      <c r="D311" s="4">
        <v>22.749933436197221</v>
      </c>
      <c r="E311" s="4"/>
      <c r="F311" s="4"/>
      <c r="G311" s="4">
        <v>6.8</v>
      </c>
      <c r="H311" s="5">
        <v>44.100143442919439</v>
      </c>
      <c r="I311" s="5"/>
      <c r="J311" s="5"/>
      <c r="K311" s="5">
        <v>90</v>
      </c>
    </row>
    <row r="312" spans="1:11" x14ac:dyDescent="0.25">
      <c r="A312" s="2">
        <v>46110.375</v>
      </c>
      <c r="B312" t="str">
        <f t="shared" si="8"/>
        <v>2026-03</v>
      </c>
      <c r="C312" s="3">
        <f t="shared" si="9"/>
        <v>9</v>
      </c>
      <c r="D312" s="4">
        <v>23.456910188352779</v>
      </c>
      <c r="E312" s="4"/>
      <c r="F312" s="4"/>
      <c r="G312" s="4">
        <v>8.4</v>
      </c>
      <c r="H312" s="5">
        <v>42.001059382372233</v>
      </c>
      <c r="I312" s="5"/>
      <c r="J312" s="5"/>
      <c r="K312" s="5">
        <v>86</v>
      </c>
    </row>
    <row r="313" spans="1:11" x14ac:dyDescent="0.25">
      <c r="A313" s="2">
        <v>46110.416666666657</v>
      </c>
      <c r="B313" t="str">
        <f t="shared" si="8"/>
        <v>2026-03</v>
      </c>
      <c r="C313" s="3">
        <f t="shared" si="9"/>
        <v>10</v>
      </c>
      <c r="D313" s="4">
        <v>23.813795249666668</v>
      </c>
      <c r="E313" s="4"/>
      <c r="F313" s="4"/>
      <c r="G313" s="4">
        <v>11</v>
      </c>
      <c r="H313" s="5">
        <v>41.854363754708338</v>
      </c>
      <c r="I313" s="5"/>
      <c r="J313" s="5"/>
      <c r="K313" s="5">
        <v>76</v>
      </c>
    </row>
    <row r="314" spans="1:11" x14ac:dyDescent="0.25">
      <c r="A314" s="2">
        <v>46110.458333333343</v>
      </c>
      <c r="B314" t="str">
        <f t="shared" si="8"/>
        <v>2026-03</v>
      </c>
      <c r="C314" s="3">
        <f t="shared" si="9"/>
        <v>11</v>
      </c>
      <c r="D314" s="4">
        <v>23.880470852908331</v>
      </c>
      <c r="E314" s="4"/>
      <c r="F314" s="4"/>
      <c r="G314" s="4">
        <v>13.7</v>
      </c>
      <c r="H314" s="5">
        <v>42.592997036416669</v>
      </c>
      <c r="I314" s="5"/>
      <c r="J314" s="5"/>
      <c r="K314" s="5">
        <v>65</v>
      </c>
    </row>
    <row r="315" spans="1:11" x14ac:dyDescent="0.25">
      <c r="A315" s="2">
        <v>46110.5</v>
      </c>
      <c r="B315" t="str">
        <f t="shared" si="8"/>
        <v>2026-03</v>
      </c>
      <c r="C315" s="3">
        <f t="shared" si="9"/>
        <v>12</v>
      </c>
      <c r="D315" s="4">
        <v>23.777670474838889</v>
      </c>
      <c r="E315" s="4"/>
      <c r="F315" s="4"/>
      <c r="G315" s="4">
        <v>15.9</v>
      </c>
      <c r="H315" s="5">
        <v>43.109002284377773</v>
      </c>
      <c r="I315" s="5"/>
      <c r="J315" s="5"/>
      <c r="K315" s="5">
        <v>52</v>
      </c>
    </row>
    <row r="316" spans="1:11" x14ac:dyDescent="0.25">
      <c r="A316" s="2">
        <v>46110.541666666657</v>
      </c>
      <c r="B316" t="str">
        <f t="shared" si="8"/>
        <v>2026-03</v>
      </c>
      <c r="C316" s="3">
        <f t="shared" si="9"/>
        <v>13</v>
      </c>
      <c r="D316" s="4">
        <v>23.47597454521112</v>
      </c>
      <c r="E316" s="4"/>
      <c r="F316" s="4"/>
      <c r="G316" s="4">
        <v>17.399999999999999</v>
      </c>
      <c r="H316" s="5">
        <v>37.072241574713892</v>
      </c>
      <c r="I316" s="5"/>
      <c r="J316" s="5"/>
      <c r="K316" s="5">
        <v>45</v>
      </c>
    </row>
    <row r="317" spans="1:11" x14ac:dyDescent="0.25">
      <c r="A317" s="2">
        <v>46110.583333333343</v>
      </c>
      <c r="B317" t="str">
        <f t="shared" si="8"/>
        <v>2026-03</v>
      </c>
      <c r="C317" s="3">
        <f t="shared" si="9"/>
        <v>14</v>
      </c>
      <c r="D317" s="4">
        <v>23.61660670016667</v>
      </c>
      <c r="E317" s="4"/>
      <c r="F317" s="4"/>
      <c r="G317" s="4">
        <v>18.3</v>
      </c>
      <c r="H317" s="5">
        <v>31.34399989536389</v>
      </c>
      <c r="I317" s="5"/>
      <c r="J317" s="5"/>
      <c r="K317" s="5">
        <v>42</v>
      </c>
    </row>
    <row r="318" spans="1:11" x14ac:dyDescent="0.25">
      <c r="A318" s="2">
        <v>46110.625</v>
      </c>
      <c r="B318" t="str">
        <f t="shared" si="8"/>
        <v>2026-03</v>
      </c>
      <c r="C318" s="3">
        <f t="shared" si="9"/>
        <v>15</v>
      </c>
      <c r="D318" s="4">
        <v>23.723542034625002</v>
      </c>
      <c r="E318" s="4"/>
      <c r="F318" s="4"/>
      <c r="G318" s="4">
        <v>18.899999999999999</v>
      </c>
      <c r="H318" s="5">
        <v>29.959963564950002</v>
      </c>
      <c r="I318" s="5"/>
      <c r="J318" s="5"/>
      <c r="K318" s="5">
        <v>37</v>
      </c>
    </row>
    <row r="319" spans="1:11" x14ac:dyDescent="0.25">
      <c r="A319" s="2">
        <v>46110.666666666657</v>
      </c>
      <c r="B319" t="str">
        <f t="shared" si="8"/>
        <v>2026-03</v>
      </c>
      <c r="C319" s="3">
        <f t="shared" si="9"/>
        <v>16</v>
      </c>
      <c r="D319" s="4">
        <v>23.430986929549999</v>
      </c>
      <c r="E319" s="4"/>
      <c r="F319" s="4"/>
      <c r="G319" s="4">
        <v>18.7</v>
      </c>
      <c r="H319" s="5">
        <v>29.814320097913889</v>
      </c>
      <c r="I319" s="5"/>
      <c r="J319" s="5"/>
      <c r="K319" s="5">
        <v>37</v>
      </c>
    </row>
    <row r="320" spans="1:11" x14ac:dyDescent="0.25">
      <c r="A320" s="2">
        <v>46110.708333333343</v>
      </c>
      <c r="B320" t="str">
        <f t="shared" si="8"/>
        <v>2026-03</v>
      </c>
      <c r="C320" s="3">
        <f t="shared" si="9"/>
        <v>17</v>
      </c>
      <c r="D320" s="4">
        <v>23.29438804123334</v>
      </c>
      <c r="E320" s="4"/>
      <c r="F320" s="4"/>
      <c r="G320" s="4">
        <v>18</v>
      </c>
      <c r="H320" s="5">
        <v>31.552480520961112</v>
      </c>
      <c r="I320" s="5"/>
      <c r="J320" s="5"/>
      <c r="K320" s="5">
        <v>41</v>
      </c>
    </row>
    <row r="321" spans="1:11" x14ac:dyDescent="0.25">
      <c r="A321" s="2">
        <v>46110.75</v>
      </c>
      <c r="B321" t="str">
        <f t="shared" si="8"/>
        <v>2026-03</v>
      </c>
      <c r="C321" s="3">
        <f t="shared" si="9"/>
        <v>18</v>
      </c>
      <c r="D321" s="4">
        <v>23.17615047874445</v>
      </c>
      <c r="E321" s="4"/>
      <c r="F321" s="4"/>
      <c r="G321" s="4">
        <v>16.5</v>
      </c>
      <c r="H321" s="5">
        <v>31.677400052286121</v>
      </c>
      <c r="I321" s="5"/>
      <c r="J321" s="5"/>
      <c r="K321" s="5">
        <v>44</v>
      </c>
    </row>
    <row r="322" spans="1:11" x14ac:dyDescent="0.25">
      <c r="A322" s="2">
        <v>46110.791666666657</v>
      </c>
      <c r="B322" t="str">
        <f t="shared" ref="B322:B385" si="10">TEXT(A322,"yyyy-mm")</f>
        <v>2026-03</v>
      </c>
      <c r="C322" s="3">
        <f t="shared" ref="C322:C385" si="11">HOUR(A322)</f>
        <v>19</v>
      </c>
      <c r="D322" s="4">
        <v>22.979349847849999</v>
      </c>
      <c r="E322" s="4"/>
      <c r="F322" s="4"/>
      <c r="G322" s="4">
        <v>14.4</v>
      </c>
      <c r="H322" s="5">
        <v>36.626596757369448</v>
      </c>
      <c r="I322" s="5"/>
      <c r="J322" s="5"/>
      <c r="K322" s="5">
        <v>48</v>
      </c>
    </row>
    <row r="323" spans="1:11" x14ac:dyDescent="0.25">
      <c r="A323" s="2">
        <v>46110.833333333343</v>
      </c>
      <c r="B323" t="str">
        <f t="shared" si="10"/>
        <v>2026-03</v>
      </c>
      <c r="C323" s="3">
        <f t="shared" si="11"/>
        <v>20</v>
      </c>
      <c r="D323" s="4">
        <v>22.99007364695278</v>
      </c>
      <c r="E323" s="4"/>
      <c r="F323" s="4"/>
      <c r="G323" s="4">
        <v>13.2</v>
      </c>
      <c r="H323" s="5">
        <v>42.62516847721389</v>
      </c>
      <c r="I323" s="5"/>
      <c r="J323" s="5"/>
      <c r="K323" s="5">
        <v>50</v>
      </c>
    </row>
    <row r="324" spans="1:11" x14ac:dyDescent="0.25">
      <c r="A324" s="2">
        <v>46110.875</v>
      </c>
      <c r="B324" t="str">
        <f t="shared" si="10"/>
        <v>2026-03</v>
      </c>
      <c r="C324" s="3">
        <f t="shared" si="11"/>
        <v>21</v>
      </c>
      <c r="D324" s="4">
        <v>23.09557821343612</v>
      </c>
      <c r="E324" s="4"/>
      <c r="F324" s="4"/>
      <c r="G324" s="4">
        <v>13</v>
      </c>
      <c r="H324" s="5">
        <v>47.692321928091673</v>
      </c>
      <c r="I324" s="5"/>
      <c r="J324" s="5"/>
      <c r="K324" s="5">
        <v>53</v>
      </c>
    </row>
    <row r="325" spans="1:11" x14ac:dyDescent="0.25">
      <c r="A325" s="2">
        <v>46110.916666666657</v>
      </c>
      <c r="B325" t="str">
        <f t="shared" si="10"/>
        <v>2026-03</v>
      </c>
      <c r="C325" s="3">
        <f t="shared" si="11"/>
        <v>22</v>
      </c>
      <c r="D325" s="4">
        <v>23.202123320188889</v>
      </c>
      <c r="E325" s="4"/>
      <c r="F325" s="4"/>
      <c r="G325" s="4">
        <v>12.4</v>
      </c>
      <c r="H325" s="5">
        <v>47.738423754802767</v>
      </c>
      <c r="I325" s="5"/>
      <c r="J325" s="5"/>
      <c r="K325" s="5">
        <v>56</v>
      </c>
    </row>
    <row r="326" spans="1:11" x14ac:dyDescent="0.25">
      <c r="A326" s="2">
        <v>46110.958333333343</v>
      </c>
      <c r="B326" t="str">
        <f t="shared" si="10"/>
        <v>2026-03</v>
      </c>
      <c r="C326" s="3">
        <f t="shared" si="11"/>
        <v>23</v>
      </c>
      <c r="D326" s="4">
        <v>23.60169842288612</v>
      </c>
      <c r="E326" s="4"/>
      <c r="F326" s="4"/>
      <c r="G326" s="4">
        <v>11.7</v>
      </c>
      <c r="H326" s="5">
        <v>49.243385803952783</v>
      </c>
      <c r="I326" s="5"/>
      <c r="J326" s="5"/>
      <c r="K326" s="5">
        <v>58</v>
      </c>
    </row>
    <row r="327" spans="1:11" x14ac:dyDescent="0.25">
      <c r="A327" s="2">
        <v>46111</v>
      </c>
      <c r="B327" t="str">
        <f t="shared" si="10"/>
        <v>2026-03</v>
      </c>
      <c r="C327" s="3">
        <f t="shared" si="11"/>
        <v>0</v>
      </c>
      <c r="D327" s="4">
        <v>23.681484194955559</v>
      </c>
      <c r="E327" s="4"/>
      <c r="F327" s="4"/>
      <c r="G327" s="4">
        <v>11.1</v>
      </c>
      <c r="H327" s="5">
        <v>47.88456258028333</v>
      </c>
      <c r="I327" s="5"/>
      <c r="J327" s="5"/>
      <c r="K327" s="5">
        <v>60</v>
      </c>
    </row>
    <row r="328" spans="1:11" x14ac:dyDescent="0.25">
      <c r="A328" s="2">
        <v>46111.041666666657</v>
      </c>
      <c r="B328" t="str">
        <f t="shared" si="10"/>
        <v>2026-03</v>
      </c>
      <c r="C328" s="3">
        <f t="shared" si="11"/>
        <v>1</v>
      </c>
      <c r="D328" s="4">
        <v>23.756280380708329</v>
      </c>
      <c r="E328" s="4"/>
      <c r="F328" s="4"/>
      <c r="G328" s="4">
        <v>10.7</v>
      </c>
      <c r="H328" s="5">
        <v>46.637125635811117</v>
      </c>
      <c r="I328" s="5"/>
      <c r="J328" s="5"/>
      <c r="K328" s="5">
        <v>61</v>
      </c>
    </row>
    <row r="329" spans="1:11" x14ac:dyDescent="0.25">
      <c r="A329" s="2">
        <v>46111.083333333343</v>
      </c>
      <c r="B329" t="str">
        <f t="shared" si="10"/>
        <v>2026-03</v>
      </c>
      <c r="C329" s="3">
        <f t="shared" si="11"/>
        <v>2</v>
      </c>
      <c r="D329" s="4">
        <v>23.558303684116659</v>
      </c>
      <c r="E329" s="4"/>
      <c r="F329" s="4"/>
      <c r="G329" s="4">
        <v>10.199999999999999</v>
      </c>
      <c r="H329" s="5">
        <v>46.963480989819438</v>
      </c>
      <c r="I329" s="5"/>
      <c r="J329" s="5"/>
      <c r="K329" s="5">
        <v>63</v>
      </c>
    </row>
    <row r="330" spans="1:11" x14ac:dyDescent="0.25">
      <c r="A330" s="2">
        <v>46111.125</v>
      </c>
      <c r="B330" t="str">
        <f t="shared" si="10"/>
        <v>2026-03</v>
      </c>
      <c r="C330" s="3">
        <f t="shared" si="11"/>
        <v>3</v>
      </c>
      <c r="D330" s="4">
        <v>23.07673895696945</v>
      </c>
      <c r="E330" s="4"/>
      <c r="F330" s="4"/>
      <c r="G330" s="4">
        <v>9.6999999999999993</v>
      </c>
      <c r="H330" s="5">
        <v>47.211635141130557</v>
      </c>
      <c r="I330" s="5"/>
      <c r="J330" s="5"/>
      <c r="K330" s="5">
        <v>66</v>
      </c>
    </row>
    <row r="331" spans="1:11" x14ac:dyDescent="0.25">
      <c r="A331" s="2">
        <v>46111.166666666657</v>
      </c>
      <c r="B331" t="str">
        <f t="shared" si="10"/>
        <v>2026-03</v>
      </c>
      <c r="C331" s="3">
        <f t="shared" si="11"/>
        <v>4</v>
      </c>
      <c r="D331" s="4">
        <v>22.799723926266669</v>
      </c>
      <c r="E331" s="4"/>
      <c r="F331" s="4"/>
      <c r="G331" s="4">
        <v>8.9</v>
      </c>
      <c r="H331" s="5">
        <v>47.170083042052767</v>
      </c>
      <c r="I331" s="5"/>
      <c r="J331" s="5"/>
      <c r="K331" s="5">
        <v>69</v>
      </c>
    </row>
    <row r="332" spans="1:11" x14ac:dyDescent="0.25">
      <c r="A332" s="2">
        <v>46111.208333333343</v>
      </c>
      <c r="B332" t="str">
        <f t="shared" si="10"/>
        <v>2026-03</v>
      </c>
      <c r="C332" s="3">
        <f t="shared" si="11"/>
        <v>5</v>
      </c>
      <c r="D332" s="4">
        <v>22.641925539311121</v>
      </c>
      <c r="E332" s="4"/>
      <c r="F332" s="4"/>
      <c r="G332" s="4">
        <v>8.4</v>
      </c>
      <c r="H332" s="5">
        <v>46.939840537841668</v>
      </c>
      <c r="I332" s="5"/>
      <c r="J332" s="5"/>
      <c r="K332" s="5">
        <v>71</v>
      </c>
    </row>
    <row r="333" spans="1:11" x14ac:dyDescent="0.25">
      <c r="A333" s="2">
        <v>46111.25</v>
      </c>
      <c r="B333" t="str">
        <f t="shared" si="10"/>
        <v>2026-03</v>
      </c>
      <c r="C333" s="3">
        <f t="shared" si="11"/>
        <v>6</v>
      </c>
      <c r="D333" s="4">
        <v>22.568174288363888</v>
      </c>
      <c r="E333" s="4"/>
      <c r="F333" s="4"/>
      <c r="G333" s="4">
        <v>8.1999999999999993</v>
      </c>
      <c r="H333" s="5">
        <v>46.344436633741672</v>
      </c>
      <c r="I333" s="5"/>
      <c r="J333" s="5"/>
      <c r="K333" s="5">
        <v>72</v>
      </c>
    </row>
    <row r="334" spans="1:11" x14ac:dyDescent="0.25">
      <c r="A334" s="2">
        <v>46111.291666666657</v>
      </c>
      <c r="B334" t="str">
        <f t="shared" si="10"/>
        <v>2026-03</v>
      </c>
      <c r="C334" s="3">
        <f t="shared" si="11"/>
        <v>7</v>
      </c>
      <c r="D334" s="4">
        <v>22.563999851866669</v>
      </c>
      <c r="E334" s="4"/>
      <c r="F334" s="4"/>
      <c r="G334" s="4">
        <v>8</v>
      </c>
      <c r="H334" s="5">
        <v>45.645377342916667</v>
      </c>
      <c r="I334" s="5"/>
      <c r="J334" s="5"/>
      <c r="K334" s="5">
        <v>72</v>
      </c>
    </row>
    <row r="335" spans="1:11" x14ac:dyDescent="0.25">
      <c r="A335" s="2">
        <v>46111.333333333343</v>
      </c>
      <c r="B335" t="str">
        <f t="shared" si="10"/>
        <v>2026-03</v>
      </c>
      <c r="C335" s="3">
        <f t="shared" si="11"/>
        <v>8</v>
      </c>
      <c r="D335" s="4">
        <v>22.653381681452782</v>
      </c>
      <c r="E335" s="4"/>
      <c r="F335" s="4"/>
      <c r="G335" s="4">
        <v>8.1999999999999993</v>
      </c>
      <c r="H335" s="5">
        <v>44.147298500180561</v>
      </c>
      <c r="I335" s="5"/>
      <c r="J335" s="5"/>
      <c r="K335" s="5">
        <v>71</v>
      </c>
    </row>
    <row r="336" spans="1:11" x14ac:dyDescent="0.25">
      <c r="A336" s="2">
        <v>46111.375</v>
      </c>
      <c r="B336" t="str">
        <f t="shared" si="10"/>
        <v>2026-03</v>
      </c>
      <c r="C336" s="3">
        <f t="shared" si="11"/>
        <v>9</v>
      </c>
      <c r="D336" s="4">
        <v>22.804580525452771</v>
      </c>
      <c r="E336" s="4"/>
      <c r="F336" s="4"/>
      <c r="G336" s="4">
        <v>9.1999999999999993</v>
      </c>
      <c r="H336" s="5">
        <v>43.52328794955833</v>
      </c>
      <c r="I336" s="5"/>
      <c r="J336" s="5"/>
      <c r="K336" s="5">
        <v>69</v>
      </c>
    </row>
    <row r="337" spans="1:11" x14ac:dyDescent="0.25">
      <c r="A337" s="2">
        <v>46111.416666666657</v>
      </c>
      <c r="B337" t="str">
        <f t="shared" si="10"/>
        <v>2026-03</v>
      </c>
      <c r="C337" s="3">
        <f t="shared" si="11"/>
        <v>10</v>
      </c>
      <c r="D337" s="4">
        <v>23.086945394975</v>
      </c>
      <c r="E337" s="4"/>
      <c r="F337" s="4"/>
      <c r="G337" s="4">
        <v>10.5</v>
      </c>
      <c r="H337" s="5">
        <v>42.547347461474999</v>
      </c>
      <c r="I337" s="5"/>
      <c r="J337" s="5"/>
      <c r="K337" s="5">
        <v>66</v>
      </c>
    </row>
    <row r="338" spans="1:11" x14ac:dyDescent="0.25">
      <c r="A338" s="2">
        <v>46111.458333333343</v>
      </c>
      <c r="B338" t="str">
        <f t="shared" si="10"/>
        <v>2026-03</v>
      </c>
      <c r="C338" s="3">
        <f t="shared" si="11"/>
        <v>11</v>
      </c>
      <c r="D338" s="4">
        <v>23.472865429355551</v>
      </c>
      <c r="E338" s="4"/>
      <c r="F338" s="4"/>
      <c r="G338" s="4">
        <v>11.8</v>
      </c>
      <c r="H338" s="5">
        <v>42.322448761033343</v>
      </c>
      <c r="I338" s="5"/>
      <c r="J338" s="5"/>
      <c r="K338" s="5">
        <v>63</v>
      </c>
    </row>
    <row r="339" spans="1:11" x14ac:dyDescent="0.25">
      <c r="A339" s="2">
        <v>46111.5</v>
      </c>
      <c r="B339" t="str">
        <f t="shared" si="10"/>
        <v>2026-03</v>
      </c>
      <c r="C339" s="3">
        <f t="shared" si="11"/>
        <v>12</v>
      </c>
      <c r="D339" s="4">
        <v>23.969214890313889</v>
      </c>
      <c r="E339" s="4"/>
      <c r="F339" s="4"/>
      <c r="G339" s="4">
        <v>14.2</v>
      </c>
      <c r="H339" s="5">
        <v>44.131625525013902</v>
      </c>
      <c r="I339" s="5"/>
      <c r="J339" s="5"/>
      <c r="K339" s="5">
        <v>58</v>
      </c>
    </row>
    <row r="340" spans="1:11" x14ac:dyDescent="0.25">
      <c r="A340" s="2">
        <v>46111.541666666657</v>
      </c>
      <c r="B340" t="str">
        <f t="shared" si="10"/>
        <v>2026-03</v>
      </c>
      <c r="C340" s="3">
        <f t="shared" si="11"/>
        <v>13</v>
      </c>
      <c r="D340" s="4">
        <v>23.957849862191669</v>
      </c>
      <c r="E340" s="4"/>
      <c r="F340" s="4"/>
      <c r="G340" s="4">
        <v>15.2</v>
      </c>
      <c r="H340" s="5">
        <v>44.718267642163887</v>
      </c>
      <c r="I340" s="5"/>
      <c r="J340" s="5"/>
      <c r="K340" s="5">
        <v>56</v>
      </c>
    </row>
    <row r="341" spans="1:11" x14ac:dyDescent="0.25">
      <c r="A341" s="2">
        <v>46111.583333333343</v>
      </c>
      <c r="B341" t="str">
        <f t="shared" si="10"/>
        <v>2026-03</v>
      </c>
      <c r="C341" s="3">
        <f t="shared" si="11"/>
        <v>14</v>
      </c>
      <c r="D341" s="4">
        <v>23.944082859652781</v>
      </c>
      <c r="E341" s="4"/>
      <c r="F341" s="4"/>
      <c r="G341" s="4">
        <v>15.9</v>
      </c>
      <c r="H341" s="5">
        <v>44.143989871591657</v>
      </c>
      <c r="I341" s="5"/>
      <c r="J341" s="5"/>
      <c r="K341" s="5">
        <v>56</v>
      </c>
    </row>
    <row r="342" spans="1:11" x14ac:dyDescent="0.25">
      <c r="A342" s="2">
        <v>46111.625</v>
      </c>
      <c r="B342" t="str">
        <f t="shared" si="10"/>
        <v>2026-03</v>
      </c>
      <c r="C342" s="3">
        <f t="shared" si="11"/>
        <v>15</v>
      </c>
      <c r="D342" s="4">
        <v>23.89977266948334</v>
      </c>
      <c r="E342" s="4"/>
      <c r="F342" s="4"/>
      <c r="G342" s="4">
        <v>17.399999999999999</v>
      </c>
      <c r="H342" s="5">
        <v>44.988166264775003</v>
      </c>
      <c r="I342" s="5"/>
      <c r="J342" s="5"/>
      <c r="K342" s="5">
        <v>54</v>
      </c>
    </row>
    <row r="343" spans="1:11" x14ac:dyDescent="0.25">
      <c r="A343" s="2">
        <v>46111.666666666657</v>
      </c>
      <c r="B343" t="str">
        <f t="shared" si="10"/>
        <v>2026-03</v>
      </c>
      <c r="C343" s="3">
        <f t="shared" si="11"/>
        <v>16</v>
      </c>
      <c r="D343" s="4">
        <v>23.889802564736112</v>
      </c>
      <c r="E343" s="4"/>
      <c r="F343" s="4"/>
      <c r="G343" s="4">
        <v>18</v>
      </c>
      <c r="H343" s="5">
        <v>46.761673750955559</v>
      </c>
      <c r="I343" s="5"/>
      <c r="J343" s="5"/>
      <c r="K343" s="5">
        <v>53</v>
      </c>
    </row>
    <row r="344" spans="1:11" x14ac:dyDescent="0.25">
      <c r="A344" s="2">
        <v>46111.708333333343</v>
      </c>
      <c r="B344" t="str">
        <f t="shared" si="10"/>
        <v>2026-03</v>
      </c>
      <c r="C344" s="3">
        <f t="shared" si="11"/>
        <v>17</v>
      </c>
      <c r="D344" s="4">
        <v>23.718214166955558</v>
      </c>
      <c r="E344" s="4"/>
      <c r="F344" s="4"/>
      <c r="G344" s="4">
        <v>18</v>
      </c>
      <c r="H344" s="5">
        <v>46.416978225736109</v>
      </c>
      <c r="I344" s="5"/>
      <c r="J344" s="5"/>
      <c r="K344" s="5">
        <v>55</v>
      </c>
    </row>
    <row r="345" spans="1:11" x14ac:dyDescent="0.25">
      <c r="A345" s="2">
        <v>46111.75</v>
      </c>
      <c r="B345" t="str">
        <f t="shared" si="10"/>
        <v>2026-03</v>
      </c>
      <c r="C345" s="3">
        <f t="shared" si="11"/>
        <v>18</v>
      </c>
      <c r="D345" s="4">
        <v>23.673509633133332</v>
      </c>
      <c r="E345" s="4"/>
      <c r="F345" s="4"/>
      <c r="G345" s="4">
        <v>16.600000000000001</v>
      </c>
      <c r="H345" s="5">
        <v>46.89554167067778</v>
      </c>
      <c r="I345" s="5"/>
      <c r="J345" s="5"/>
      <c r="K345" s="5">
        <v>67</v>
      </c>
    </row>
    <row r="346" spans="1:11" x14ac:dyDescent="0.25">
      <c r="A346" s="2">
        <v>46111.791666666657</v>
      </c>
      <c r="B346" t="str">
        <f t="shared" si="10"/>
        <v>2026-03</v>
      </c>
      <c r="C346" s="3">
        <f t="shared" si="11"/>
        <v>19</v>
      </c>
      <c r="D346" s="4">
        <v>23.54036044515</v>
      </c>
      <c r="E346" s="4"/>
      <c r="F346" s="4"/>
      <c r="G346" s="4">
        <v>14.5</v>
      </c>
      <c r="H346" s="5">
        <v>47.102844437619439</v>
      </c>
      <c r="I346" s="5"/>
      <c r="J346" s="5"/>
      <c r="K346" s="5">
        <v>72</v>
      </c>
    </row>
    <row r="347" spans="1:11" x14ac:dyDescent="0.25">
      <c r="A347" s="2">
        <v>46111.833333333343</v>
      </c>
      <c r="B347" t="str">
        <f t="shared" si="10"/>
        <v>2026-03</v>
      </c>
      <c r="C347" s="3">
        <f t="shared" si="11"/>
        <v>20</v>
      </c>
      <c r="D347" s="4">
        <v>23.892967667383331</v>
      </c>
      <c r="E347" s="4"/>
      <c r="F347" s="4"/>
      <c r="G347" s="4">
        <v>13.6</v>
      </c>
      <c r="H347" s="5">
        <v>46.382818786669453</v>
      </c>
      <c r="I347" s="5"/>
      <c r="J347" s="5"/>
      <c r="K347" s="5">
        <v>74</v>
      </c>
    </row>
    <row r="348" spans="1:11" x14ac:dyDescent="0.25">
      <c r="A348" s="2">
        <v>46111.875</v>
      </c>
      <c r="B348" t="str">
        <f t="shared" si="10"/>
        <v>2026-03</v>
      </c>
      <c r="C348" s="3">
        <f t="shared" si="11"/>
        <v>21</v>
      </c>
      <c r="D348" s="4">
        <v>23.765223729386111</v>
      </c>
      <c r="E348" s="4"/>
      <c r="F348" s="4"/>
      <c r="G348" s="4">
        <v>13.1</v>
      </c>
      <c r="H348" s="5">
        <v>48.953665583961111</v>
      </c>
      <c r="I348" s="5"/>
      <c r="J348" s="5"/>
      <c r="K348" s="5">
        <v>72</v>
      </c>
    </row>
    <row r="349" spans="1:11" x14ac:dyDescent="0.25">
      <c r="A349" s="2">
        <v>46111.916666666657</v>
      </c>
      <c r="B349" t="str">
        <f t="shared" si="10"/>
        <v>2026-03</v>
      </c>
      <c r="C349" s="3">
        <f t="shared" si="11"/>
        <v>22</v>
      </c>
      <c r="D349" s="4">
        <v>23.611793735141671</v>
      </c>
      <c r="E349" s="4"/>
      <c r="F349" s="4"/>
      <c r="G349" s="4">
        <v>11.6</v>
      </c>
      <c r="H349" s="5">
        <v>49.012055250955562</v>
      </c>
      <c r="I349" s="5"/>
      <c r="J349" s="5"/>
      <c r="K349" s="5">
        <v>84</v>
      </c>
    </row>
    <row r="350" spans="1:11" x14ac:dyDescent="0.25">
      <c r="A350" s="2">
        <v>46111.958333333343</v>
      </c>
      <c r="B350" t="str">
        <f t="shared" si="10"/>
        <v>2026-03</v>
      </c>
      <c r="C350" s="3">
        <f t="shared" si="11"/>
        <v>23</v>
      </c>
      <c r="D350" s="4">
        <v>23.574991998624999</v>
      </c>
      <c r="E350" s="4"/>
      <c r="F350" s="4"/>
      <c r="G350" s="4">
        <v>11.4</v>
      </c>
      <c r="H350" s="5">
        <v>48.572916039905557</v>
      </c>
      <c r="I350" s="5"/>
      <c r="J350" s="5"/>
      <c r="K350" s="5">
        <v>84</v>
      </c>
    </row>
    <row r="351" spans="1:11" x14ac:dyDescent="0.25">
      <c r="A351" s="2">
        <v>46112</v>
      </c>
      <c r="B351" t="str">
        <f t="shared" si="10"/>
        <v>2026-03</v>
      </c>
      <c r="C351" s="3">
        <f t="shared" si="11"/>
        <v>0</v>
      </c>
      <c r="D351" s="4">
        <v>23.78398276993056</v>
      </c>
      <c r="E351" s="4"/>
      <c r="F351" s="4"/>
      <c r="G351" s="4">
        <v>11.1</v>
      </c>
      <c r="H351" s="5">
        <v>48.029366647063888</v>
      </c>
      <c r="I351" s="5"/>
      <c r="J351" s="5"/>
      <c r="K351" s="5">
        <v>85</v>
      </c>
    </row>
    <row r="352" spans="1:11" x14ac:dyDescent="0.25">
      <c r="A352" s="2">
        <v>46112.041666666657</v>
      </c>
      <c r="B352" t="str">
        <f t="shared" si="10"/>
        <v>2026-03</v>
      </c>
      <c r="C352" s="3">
        <f t="shared" si="11"/>
        <v>1</v>
      </c>
      <c r="D352" s="4">
        <v>23.855131080591661</v>
      </c>
      <c r="E352" s="4"/>
      <c r="F352" s="4"/>
      <c r="G352" s="4">
        <v>10</v>
      </c>
      <c r="H352" s="5">
        <v>47.422671314500001</v>
      </c>
      <c r="I352" s="5"/>
      <c r="J352" s="5"/>
      <c r="K352" s="5">
        <v>91</v>
      </c>
    </row>
    <row r="353" spans="1:11" x14ac:dyDescent="0.25">
      <c r="A353" s="2">
        <v>46112.083333333343</v>
      </c>
      <c r="B353" t="str">
        <f t="shared" si="10"/>
        <v>2026-03</v>
      </c>
      <c r="C353" s="3">
        <f t="shared" si="11"/>
        <v>2</v>
      </c>
      <c r="D353" s="4">
        <v>23.478275737994441</v>
      </c>
      <c r="E353" s="4"/>
      <c r="F353" s="4"/>
      <c r="G353" s="4">
        <v>10</v>
      </c>
      <c r="H353" s="5">
        <v>48.240159387269443</v>
      </c>
      <c r="I353" s="5"/>
      <c r="J353" s="5"/>
      <c r="K353" s="5">
        <v>90</v>
      </c>
    </row>
    <row r="354" spans="1:11" x14ac:dyDescent="0.25">
      <c r="A354" s="2">
        <v>46112.125</v>
      </c>
      <c r="B354" t="str">
        <f t="shared" si="10"/>
        <v>2026-03</v>
      </c>
      <c r="C354" s="3">
        <f t="shared" si="11"/>
        <v>3</v>
      </c>
      <c r="D354" s="4">
        <v>23.19259431576112</v>
      </c>
      <c r="E354" s="4"/>
      <c r="F354" s="4"/>
      <c r="G354" s="4">
        <v>10.199999999999999</v>
      </c>
      <c r="H354" s="5">
        <v>48.127562878752776</v>
      </c>
      <c r="I354" s="5"/>
      <c r="J354" s="5"/>
      <c r="K354" s="5">
        <v>87</v>
      </c>
    </row>
    <row r="355" spans="1:11" x14ac:dyDescent="0.25">
      <c r="A355" s="2">
        <v>46112.166666666657</v>
      </c>
      <c r="B355" t="str">
        <f t="shared" si="10"/>
        <v>2026-03</v>
      </c>
      <c r="C355" s="3">
        <f t="shared" si="11"/>
        <v>4</v>
      </c>
      <c r="D355" s="4">
        <v>23.048634256924998</v>
      </c>
      <c r="E355" s="4"/>
      <c r="F355" s="4"/>
      <c r="G355" s="4">
        <v>9.9</v>
      </c>
      <c r="H355" s="5">
        <v>48.209767159158332</v>
      </c>
      <c r="I355" s="5"/>
      <c r="J355" s="5"/>
      <c r="K355" s="5">
        <v>87</v>
      </c>
    </row>
    <row r="356" spans="1:11" x14ac:dyDescent="0.25">
      <c r="A356" s="2">
        <v>46112.208333333343</v>
      </c>
      <c r="B356" t="str">
        <f t="shared" si="10"/>
        <v>2026-03</v>
      </c>
      <c r="C356" s="3">
        <f t="shared" si="11"/>
        <v>5</v>
      </c>
      <c r="D356" s="4">
        <v>22.95241007173334</v>
      </c>
      <c r="E356" s="4"/>
      <c r="F356" s="4"/>
      <c r="G356" s="4">
        <v>9.4</v>
      </c>
      <c r="H356" s="5">
        <v>48.255389586252782</v>
      </c>
      <c r="I356" s="5"/>
      <c r="J356" s="5"/>
      <c r="K356" s="5">
        <v>90</v>
      </c>
    </row>
    <row r="357" spans="1:11" x14ac:dyDescent="0.25">
      <c r="A357" s="2">
        <v>46112.25</v>
      </c>
      <c r="B357" t="str">
        <f t="shared" si="10"/>
        <v>2026-03</v>
      </c>
      <c r="C357" s="3">
        <f t="shared" si="11"/>
        <v>6</v>
      </c>
      <c r="D357" s="4">
        <v>22.934477534141671</v>
      </c>
      <c r="E357" s="4"/>
      <c r="F357" s="4"/>
      <c r="G357" s="4">
        <v>9.1999999999999993</v>
      </c>
      <c r="H357" s="5">
        <v>48.052843917702781</v>
      </c>
      <c r="I357" s="5"/>
      <c r="J357" s="5"/>
      <c r="K357" s="5">
        <v>91</v>
      </c>
    </row>
    <row r="358" spans="1:11" x14ac:dyDescent="0.25">
      <c r="A358" s="2">
        <v>46112.291666666657</v>
      </c>
      <c r="B358" t="str">
        <f t="shared" si="10"/>
        <v>2026-03</v>
      </c>
      <c r="C358" s="3">
        <f t="shared" si="11"/>
        <v>7</v>
      </c>
      <c r="D358" s="4">
        <v>23.42773515569445</v>
      </c>
      <c r="E358" s="4"/>
      <c r="F358" s="4"/>
      <c r="G358" s="4">
        <v>8.4</v>
      </c>
      <c r="H358" s="5">
        <v>46.282486307544453</v>
      </c>
      <c r="I358" s="5"/>
      <c r="J358" s="5"/>
      <c r="K358" s="5">
        <v>93</v>
      </c>
    </row>
    <row r="359" spans="1:11" x14ac:dyDescent="0.25">
      <c r="A359" s="2">
        <v>46112.333333333343</v>
      </c>
      <c r="B359" t="str">
        <f t="shared" si="10"/>
        <v>2026-03</v>
      </c>
      <c r="C359" s="3">
        <f t="shared" si="11"/>
        <v>8</v>
      </c>
      <c r="D359" s="4">
        <v>23.42571330594722</v>
      </c>
      <c r="E359" s="4"/>
      <c r="F359" s="4"/>
      <c r="G359" s="4">
        <v>10</v>
      </c>
      <c r="H359" s="5">
        <v>46.728041441169452</v>
      </c>
      <c r="I359" s="5"/>
      <c r="J359" s="5"/>
      <c r="K359" s="5">
        <v>91</v>
      </c>
    </row>
    <row r="360" spans="1:11" x14ac:dyDescent="0.25">
      <c r="A360" s="2">
        <v>46112.375</v>
      </c>
      <c r="B360" t="str">
        <f t="shared" si="10"/>
        <v>2026-03</v>
      </c>
      <c r="C360" s="3">
        <f t="shared" si="11"/>
        <v>9</v>
      </c>
      <c r="D360" s="4">
        <v>23.637956808052781</v>
      </c>
      <c r="E360" s="4"/>
      <c r="F360" s="4"/>
      <c r="G360" s="4">
        <v>12.1</v>
      </c>
      <c r="H360" s="5">
        <v>45.897241342725003</v>
      </c>
      <c r="I360" s="5"/>
      <c r="J360" s="5"/>
      <c r="K360" s="5">
        <v>86</v>
      </c>
    </row>
    <row r="361" spans="1:11" x14ac:dyDescent="0.25">
      <c r="A361" s="2">
        <v>46112.416666666657</v>
      </c>
      <c r="B361" t="str">
        <f t="shared" si="10"/>
        <v>2026-03</v>
      </c>
      <c r="C361" s="3">
        <f t="shared" si="11"/>
        <v>10</v>
      </c>
      <c r="D361" s="4">
        <v>24.091379727147221</v>
      </c>
      <c r="E361" s="4"/>
      <c r="F361" s="4"/>
      <c r="G361" s="4">
        <v>14.1</v>
      </c>
      <c r="H361" s="5">
        <v>44.787393445958337</v>
      </c>
      <c r="I361" s="5"/>
      <c r="J361" s="5"/>
      <c r="K361" s="5">
        <v>79</v>
      </c>
    </row>
    <row r="362" spans="1:11" x14ac:dyDescent="0.25">
      <c r="A362" s="2">
        <v>46112.458333333343</v>
      </c>
      <c r="B362" t="str">
        <f t="shared" si="10"/>
        <v>2026-03</v>
      </c>
      <c r="C362" s="3">
        <f t="shared" si="11"/>
        <v>11</v>
      </c>
      <c r="D362" s="4">
        <v>24.43788230796666</v>
      </c>
      <c r="E362" s="4"/>
      <c r="F362" s="4"/>
      <c r="G362" s="4">
        <v>15.9</v>
      </c>
      <c r="H362" s="5">
        <v>45.98809008363056</v>
      </c>
      <c r="I362" s="5"/>
      <c r="J362" s="5"/>
      <c r="K362" s="5">
        <v>72</v>
      </c>
    </row>
    <row r="363" spans="1:11" x14ac:dyDescent="0.25">
      <c r="A363" s="2">
        <v>46112.5</v>
      </c>
      <c r="B363" t="str">
        <f t="shared" si="10"/>
        <v>2026-03</v>
      </c>
      <c r="C363" s="3">
        <f t="shared" si="11"/>
        <v>12</v>
      </c>
      <c r="D363" s="4">
        <v>24.399238115774999</v>
      </c>
      <c r="E363" s="4"/>
      <c r="F363" s="4"/>
      <c r="G363" s="4">
        <v>17.3</v>
      </c>
      <c r="H363" s="5">
        <v>47.497049211780563</v>
      </c>
      <c r="I363" s="5"/>
      <c r="J363" s="5"/>
      <c r="K363" s="5">
        <v>66</v>
      </c>
    </row>
    <row r="364" spans="1:11" x14ac:dyDescent="0.25">
      <c r="A364" s="2">
        <v>46112.541666666657</v>
      </c>
      <c r="B364" t="str">
        <f t="shared" si="10"/>
        <v>2026-03</v>
      </c>
      <c r="C364" s="3">
        <f t="shared" si="11"/>
        <v>13</v>
      </c>
      <c r="D364" s="4">
        <v>24.351175753069441</v>
      </c>
      <c r="E364" s="4"/>
      <c r="F364" s="4"/>
      <c r="G364" s="4">
        <v>18.399999999999999</v>
      </c>
      <c r="H364" s="5">
        <v>47.02262265649167</v>
      </c>
      <c r="I364" s="5"/>
      <c r="J364" s="5"/>
      <c r="K364" s="5">
        <v>59</v>
      </c>
    </row>
    <row r="365" spans="1:11" x14ac:dyDescent="0.25">
      <c r="A365" s="2">
        <v>46112.583333333343</v>
      </c>
      <c r="B365" t="str">
        <f t="shared" si="10"/>
        <v>2026-03</v>
      </c>
      <c r="C365" s="3">
        <f t="shared" si="11"/>
        <v>14</v>
      </c>
      <c r="D365" s="4">
        <v>24.334254734011111</v>
      </c>
      <c r="E365" s="4"/>
      <c r="F365" s="4"/>
      <c r="G365" s="4">
        <v>18.7</v>
      </c>
      <c r="H365" s="5">
        <v>46.811679290275002</v>
      </c>
      <c r="I365" s="5"/>
      <c r="J365" s="5"/>
      <c r="K365" s="5">
        <v>54</v>
      </c>
    </row>
    <row r="366" spans="1:11" x14ac:dyDescent="0.25">
      <c r="A366" s="2">
        <v>46112.625</v>
      </c>
      <c r="B366" t="str">
        <f t="shared" si="10"/>
        <v>2026-03</v>
      </c>
      <c r="C366" s="3">
        <f t="shared" si="11"/>
        <v>15</v>
      </c>
      <c r="D366" s="4">
        <v>24.09176867902778</v>
      </c>
      <c r="E366" s="4"/>
      <c r="F366" s="4"/>
      <c r="G366" s="4">
        <v>16.8</v>
      </c>
      <c r="H366" s="5">
        <v>44.533741280161109</v>
      </c>
      <c r="I366" s="5"/>
      <c r="J366" s="5"/>
      <c r="K366" s="5">
        <v>62</v>
      </c>
    </row>
    <row r="367" spans="1:11" x14ac:dyDescent="0.25">
      <c r="A367" s="2">
        <v>46112.666666666657</v>
      </c>
      <c r="B367" t="str">
        <f t="shared" si="10"/>
        <v>2026-03</v>
      </c>
      <c r="C367" s="3">
        <f t="shared" si="11"/>
        <v>16</v>
      </c>
      <c r="D367" s="4">
        <v>23.54721652268611</v>
      </c>
      <c r="E367" s="4"/>
      <c r="F367" s="4"/>
      <c r="G367" s="4">
        <v>14.1</v>
      </c>
      <c r="H367" s="5">
        <v>40.476193647072222</v>
      </c>
      <c r="I367" s="5"/>
      <c r="J367" s="5"/>
      <c r="K367" s="5">
        <v>85</v>
      </c>
    </row>
    <row r="368" spans="1:11" x14ac:dyDescent="0.25">
      <c r="A368" s="2">
        <v>46112.708333333343</v>
      </c>
      <c r="B368" t="str">
        <f t="shared" si="10"/>
        <v>2026-03</v>
      </c>
      <c r="C368" s="3">
        <f t="shared" si="11"/>
        <v>17</v>
      </c>
      <c r="D368" s="4">
        <v>23.14565571315833</v>
      </c>
      <c r="E368" s="4"/>
      <c r="F368" s="4"/>
      <c r="G368" s="4">
        <v>13.8</v>
      </c>
      <c r="H368" s="5">
        <v>42.057761220069438</v>
      </c>
      <c r="I368" s="5"/>
      <c r="J368" s="5"/>
      <c r="K368" s="5">
        <v>84</v>
      </c>
    </row>
    <row r="369" spans="1:11" x14ac:dyDescent="0.25">
      <c r="A369" s="2">
        <v>46112.75</v>
      </c>
      <c r="B369" t="str">
        <f t="shared" si="10"/>
        <v>2026-03</v>
      </c>
      <c r="C369" s="3">
        <f t="shared" si="11"/>
        <v>18</v>
      </c>
      <c r="D369" s="4">
        <v>23.16262720533889</v>
      </c>
      <c r="E369" s="4"/>
      <c r="F369" s="4"/>
      <c r="G369" s="4">
        <v>14.1</v>
      </c>
      <c r="H369" s="5">
        <v>41.687776941727783</v>
      </c>
      <c r="I369" s="5"/>
      <c r="J369" s="5"/>
      <c r="K369" s="5">
        <v>83</v>
      </c>
    </row>
    <row r="370" spans="1:11" x14ac:dyDescent="0.25">
      <c r="A370" s="2">
        <v>46112.791666666657</v>
      </c>
      <c r="B370" t="str">
        <f t="shared" si="10"/>
        <v>2026-03</v>
      </c>
      <c r="C370" s="3">
        <f t="shared" si="11"/>
        <v>19</v>
      </c>
      <c r="D370" s="4">
        <v>22.525205828886111</v>
      </c>
      <c r="E370" s="4"/>
      <c r="F370" s="4"/>
      <c r="G370" s="4">
        <v>12.2</v>
      </c>
      <c r="H370" s="5">
        <v>41.888010065300001</v>
      </c>
      <c r="I370" s="5"/>
      <c r="J370" s="5"/>
      <c r="K370" s="5">
        <v>92</v>
      </c>
    </row>
    <row r="371" spans="1:11" x14ac:dyDescent="0.25">
      <c r="A371" s="2">
        <v>46112.833333333343</v>
      </c>
      <c r="B371" t="str">
        <f t="shared" si="10"/>
        <v>2026-03</v>
      </c>
      <c r="C371" s="3">
        <f t="shared" si="11"/>
        <v>20</v>
      </c>
      <c r="D371" s="4">
        <v>22.606883516216669</v>
      </c>
      <c r="E371" s="4"/>
      <c r="F371" s="4"/>
      <c r="G371" s="4">
        <v>11.5</v>
      </c>
      <c r="H371" s="5">
        <v>42.718882541888888</v>
      </c>
      <c r="I371" s="5"/>
      <c r="J371" s="5"/>
      <c r="K371" s="5">
        <v>94</v>
      </c>
    </row>
    <row r="372" spans="1:11" x14ac:dyDescent="0.25">
      <c r="A372" s="2">
        <v>46112.875</v>
      </c>
      <c r="B372" t="str">
        <f t="shared" si="10"/>
        <v>2026-03</v>
      </c>
      <c r="C372" s="3">
        <f t="shared" si="11"/>
        <v>21</v>
      </c>
      <c r="D372" s="4">
        <v>22.658876988966671</v>
      </c>
      <c r="E372" s="4"/>
      <c r="F372" s="4"/>
      <c r="G372" s="4">
        <v>11.9</v>
      </c>
      <c r="H372" s="5">
        <v>45.308523293430561</v>
      </c>
      <c r="I372" s="5"/>
      <c r="J372" s="5"/>
      <c r="K372" s="5">
        <v>91</v>
      </c>
    </row>
    <row r="373" spans="1:11" x14ac:dyDescent="0.25">
      <c r="A373" s="2">
        <v>46112.916666666657</v>
      </c>
      <c r="B373" t="str">
        <f t="shared" si="10"/>
        <v>2026-03</v>
      </c>
      <c r="C373" s="3">
        <f t="shared" si="11"/>
        <v>22</v>
      </c>
      <c r="D373" s="4">
        <v>23.558849102505562</v>
      </c>
      <c r="E373" s="4"/>
      <c r="F373" s="4"/>
      <c r="G373" s="4">
        <v>10.9</v>
      </c>
      <c r="H373" s="5">
        <v>44.752476016066673</v>
      </c>
      <c r="I373" s="5"/>
      <c r="J373" s="5"/>
      <c r="K373" s="5">
        <v>95</v>
      </c>
    </row>
    <row r="374" spans="1:11" x14ac:dyDescent="0.25">
      <c r="A374" s="2">
        <v>46112.958333333343</v>
      </c>
      <c r="B374" t="str">
        <f t="shared" si="10"/>
        <v>2026-03</v>
      </c>
      <c r="C374" s="3">
        <f t="shared" si="11"/>
        <v>23</v>
      </c>
      <c r="D374" s="4">
        <v>24.402161669805551</v>
      </c>
      <c r="E374" s="4"/>
      <c r="F374" s="4"/>
      <c r="G374" s="4">
        <v>10.1</v>
      </c>
      <c r="H374" s="5">
        <v>44.116288372463877</v>
      </c>
      <c r="I374" s="5"/>
      <c r="J374" s="5"/>
      <c r="K374" s="5">
        <v>97</v>
      </c>
    </row>
    <row r="375" spans="1:11" x14ac:dyDescent="0.25">
      <c r="A375" s="2">
        <v>46113</v>
      </c>
      <c r="B375" t="str">
        <f t="shared" si="10"/>
        <v>2026-04</v>
      </c>
      <c r="C375" s="3">
        <f t="shared" si="11"/>
        <v>0</v>
      </c>
      <c r="D375" s="4">
        <v>24.516681519738889</v>
      </c>
      <c r="E375" s="4"/>
      <c r="F375" s="4"/>
      <c r="G375" s="4">
        <v>9.3000000000000007</v>
      </c>
      <c r="H375" s="5">
        <v>44.316999861530562</v>
      </c>
      <c r="I375" s="5"/>
      <c r="J375" s="5"/>
      <c r="K375" s="5">
        <v>97</v>
      </c>
    </row>
    <row r="376" spans="1:11" x14ac:dyDescent="0.25">
      <c r="A376" s="2">
        <v>46113.041666666657</v>
      </c>
      <c r="B376" t="str">
        <f t="shared" si="10"/>
        <v>2026-04</v>
      </c>
      <c r="C376" s="3">
        <f t="shared" si="11"/>
        <v>1</v>
      </c>
      <c r="D376" s="4">
        <v>24.42783981398334</v>
      </c>
      <c r="E376" s="4"/>
      <c r="F376" s="4"/>
      <c r="G376" s="4">
        <v>8.1999999999999993</v>
      </c>
      <c r="H376" s="5">
        <v>44.974245106286112</v>
      </c>
      <c r="I376" s="5"/>
      <c r="J376" s="5"/>
      <c r="K376" s="5">
        <v>98</v>
      </c>
    </row>
    <row r="377" spans="1:11" x14ac:dyDescent="0.25">
      <c r="A377" s="2">
        <v>46113.083333333343</v>
      </c>
      <c r="B377" t="str">
        <f t="shared" si="10"/>
        <v>2026-04</v>
      </c>
      <c r="C377" s="3">
        <f t="shared" si="11"/>
        <v>2</v>
      </c>
      <c r="D377" s="4">
        <v>23.983200397655551</v>
      </c>
      <c r="E377" s="4"/>
      <c r="F377" s="4"/>
      <c r="G377" s="4">
        <v>7.5</v>
      </c>
      <c r="H377" s="5">
        <v>47.115646563761111</v>
      </c>
      <c r="I377" s="5"/>
      <c r="J377" s="5"/>
      <c r="K377" s="5">
        <v>100</v>
      </c>
    </row>
    <row r="378" spans="1:11" x14ac:dyDescent="0.25">
      <c r="A378" s="2">
        <v>46113.125</v>
      </c>
      <c r="B378" t="str">
        <f t="shared" si="10"/>
        <v>2026-04</v>
      </c>
      <c r="C378" s="3">
        <f t="shared" si="11"/>
        <v>3</v>
      </c>
      <c r="D378" s="4">
        <v>23.675076250699998</v>
      </c>
      <c r="E378" s="4"/>
      <c r="F378" s="4"/>
      <c r="G378" s="4">
        <v>9.3000000000000007</v>
      </c>
      <c r="H378" s="5">
        <v>47.306951401277779</v>
      </c>
      <c r="I378" s="5"/>
      <c r="J378" s="5"/>
      <c r="K378" s="5">
        <v>98</v>
      </c>
    </row>
    <row r="379" spans="1:11" x14ac:dyDescent="0.25">
      <c r="A379" s="2">
        <v>46113.166666666657</v>
      </c>
      <c r="B379" t="str">
        <f t="shared" si="10"/>
        <v>2026-04</v>
      </c>
      <c r="C379" s="3">
        <f t="shared" si="11"/>
        <v>4</v>
      </c>
      <c r="D379" s="4">
        <v>23.48610364546111</v>
      </c>
      <c r="E379" s="4"/>
      <c r="F379" s="4"/>
      <c r="G379" s="4">
        <v>8.8000000000000007</v>
      </c>
      <c r="H379" s="5">
        <v>47.434546828444446</v>
      </c>
      <c r="I379" s="5"/>
      <c r="J379" s="5"/>
      <c r="K379" s="5">
        <v>100</v>
      </c>
    </row>
    <row r="380" spans="1:11" x14ac:dyDescent="0.25">
      <c r="A380" s="2">
        <v>46113.208333333343</v>
      </c>
      <c r="B380" t="str">
        <f t="shared" si="10"/>
        <v>2026-04</v>
      </c>
      <c r="C380" s="3">
        <f t="shared" si="11"/>
        <v>5</v>
      </c>
      <c r="D380" s="4">
        <v>23.354725987108331</v>
      </c>
      <c r="E380" s="4"/>
      <c r="F380" s="4"/>
      <c r="G380" s="4">
        <v>8.1</v>
      </c>
      <c r="H380" s="5">
        <v>47.778096521325011</v>
      </c>
      <c r="I380" s="5"/>
      <c r="J380" s="5"/>
      <c r="K380" s="5">
        <v>100</v>
      </c>
    </row>
    <row r="381" spans="1:11" x14ac:dyDescent="0.25">
      <c r="A381" s="2">
        <v>46113.25</v>
      </c>
      <c r="B381" t="str">
        <f t="shared" si="10"/>
        <v>2026-04</v>
      </c>
      <c r="C381" s="3">
        <f t="shared" si="11"/>
        <v>6</v>
      </c>
      <c r="D381" s="4">
        <v>23.27866030201389</v>
      </c>
      <c r="E381" s="4"/>
      <c r="F381" s="4"/>
      <c r="G381" s="4">
        <v>7.9</v>
      </c>
      <c r="H381" s="5">
        <v>47.702830487033339</v>
      </c>
      <c r="I381" s="5"/>
      <c r="J381" s="5"/>
      <c r="K381" s="5">
        <v>100</v>
      </c>
    </row>
    <row r="382" spans="1:11" x14ac:dyDescent="0.25">
      <c r="A382" s="2">
        <v>46113.291666666657</v>
      </c>
      <c r="B382" t="str">
        <f t="shared" si="10"/>
        <v>2026-04</v>
      </c>
      <c r="C382" s="3">
        <f t="shared" si="11"/>
        <v>7</v>
      </c>
      <c r="D382" s="4">
        <v>23.264721912327779</v>
      </c>
      <c r="E382" s="4"/>
      <c r="F382" s="4"/>
      <c r="G382" s="4">
        <v>8.1999999999999993</v>
      </c>
      <c r="H382" s="5">
        <v>47.41493129020833</v>
      </c>
      <c r="I382" s="5"/>
      <c r="J382" s="5"/>
      <c r="K382" s="5">
        <v>100</v>
      </c>
    </row>
    <row r="383" spans="1:11" x14ac:dyDescent="0.25">
      <c r="A383" s="2">
        <v>46113.333333333343</v>
      </c>
      <c r="B383" t="str">
        <f t="shared" si="10"/>
        <v>2026-04</v>
      </c>
      <c r="C383" s="3">
        <f t="shared" si="11"/>
        <v>8</v>
      </c>
      <c r="D383" s="4">
        <v>23.274534131483328</v>
      </c>
      <c r="E383" s="4"/>
      <c r="F383" s="4"/>
      <c r="G383" s="4">
        <v>9.1</v>
      </c>
      <c r="H383" s="5">
        <v>47.153901138650014</v>
      </c>
      <c r="I383" s="5"/>
      <c r="J383" s="5"/>
      <c r="K383" s="5">
        <v>97</v>
      </c>
    </row>
    <row r="384" spans="1:11" x14ac:dyDescent="0.25">
      <c r="A384" s="2">
        <v>46113.375</v>
      </c>
      <c r="B384" t="str">
        <f t="shared" si="10"/>
        <v>2026-04</v>
      </c>
      <c r="C384" s="3">
        <f t="shared" si="11"/>
        <v>9</v>
      </c>
      <c r="D384" s="4">
        <v>23.275895943658341</v>
      </c>
      <c r="E384" s="4"/>
      <c r="F384" s="4"/>
      <c r="G384" s="4">
        <v>10</v>
      </c>
      <c r="H384" s="5">
        <v>47.330735705508339</v>
      </c>
      <c r="I384" s="5"/>
      <c r="J384" s="5"/>
      <c r="K384" s="5">
        <v>98</v>
      </c>
    </row>
    <row r="385" spans="1:11" x14ac:dyDescent="0.25">
      <c r="A385" s="2">
        <v>46113.416666666657</v>
      </c>
      <c r="B385" t="str">
        <f t="shared" si="10"/>
        <v>2026-04</v>
      </c>
      <c r="C385" s="3">
        <f t="shared" si="11"/>
        <v>10</v>
      </c>
      <c r="D385" s="4">
        <v>23.384968950980561</v>
      </c>
      <c r="E385" s="4"/>
      <c r="F385" s="4"/>
      <c r="G385" s="4">
        <v>12.3</v>
      </c>
      <c r="H385" s="5">
        <v>47.113181364491659</v>
      </c>
      <c r="I385" s="5"/>
      <c r="J385" s="5"/>
      <c r="K385" s="5">
        <v>89</v>
      </c>
    </row>
    <row r="386" spans="1:11" x14ac:dyDescent="0.25">
      <c r="A386" s="2">
        <v>46113.458333333343</v>
      </c>
      <c r="B386" t="str">
        <f t="shared" ref="B386:B449" si="12">TEXT(A386,"yyyy-mm")</f>
        <v>2026-04</v>
      </c>
      <c r="C386" s="3">
        <f t="shared" ref="C386:C449" si="13">HOUR(A386)</f>
        <v>11</v>
      </c>
      <c r="D386" s="4">
        <v>23.71033723922778</v>
      </c>
      <c r="E386" s="4"/>
      <c r="F386" s="4"/>
      <c r="G386" s="4">
        <v>13.9</v>
      </c>
      <c r="H386" s="5">
        <v>48.42565628700833</v>
      </c>
      <c r="I386" s="5"/>
      <c r="J386" s="5"/>
      <c r="K386" s="5">
        <v>80</v>
      </c>
    </row>
    <row r="387" spans="1:11" x14ac:dyDescent="0.25">
      <c r="A387" s="2">
        <v>46113.5</v>
      </c>
      <c r="B387" t="str">
        <f t="shared" si="12"/>
        <v>2026-04</v>
      </c>
      <c r="C387" s="3">
        <f t="shared" si="13"/>
        <v>12</v>
      </c>
      <c r="D387" s="4">
        <v>24.054377706136108</v>
      </c>
      <c r="E387" s="4"/>
      <c r="F387" s="4"/>
      <c r="G387" s="4">
        <v>15.2</v>
      </c>
      <c r="H387" s="5">
        <v>48.249580805977779</v>
      </c>
      <c r="I387" s="5"/>
      <c r="J387" s="5"/>
      <c r="K387" s="5">
        <v>72</v>
      </c>
    </row>
    <row r="388" spans="1:11" x14ac:dyDescent="0.25">
      <c r="A388" s="2">
        <v>46113.541666666657</v>
      </c>
      <c r="B388" t="str">
        <f t="shared" si="12"/>
        <v>2026-04</v>
      </c>
      <c r="C388" s="3">
        <f t="shared" si="13"/>
        <v>13</v>
      </c>
      <c r="D388" s="4">
        <v>24.09409674860833</v>
      </c>
      <c r="E388" s="4"/>
      <c r="F388" s="4"/>
      <c r="G388" s="4">
        <v>15.8</v>
      </c>
      <c r="H388" s="5">
        <v>48.701219276769443</v>
      </c>
      <c r="I388" s="5"/>
      <c r="J388" s="5"/>
      <c r="K388" s="5">
        <v>70</v>
      </c>
    </row>
    <row r="389" spans="1:11" x14ac:dyDescent="0.25">
      <c r="A389" s="2">
        <v>46113.583333333343</v>
      </c>
      <c r="B389" t="str">
        <f t="shared" si="12"/>
        <v>2026-04</v>
      </c>
      <c r="C389" s="3">
        <f t="shared" si="13"/>
        <v>14</v>
      </c>
      <c r="D389" s="4">
        <v>24.231023181913891</v>
      </c>
      <c r="E389" s="4"/>
      <c r="F389" s="4"/>
      <c r="G389" s="4">
        <v>16.399999999999999</v>
      </c>
      <c r="H389" s="5">
        <v>48.805977056961112</v>
      </c>
      <c r="I389" s="5"/>
      <c r="J389" s="5"/>
      <c r="K389" s="5">
        <v>67</v>
      </c>
    </row>
    <row r="390" spans="1:11" x14ac:dyDescent="0.25">
      <c r="A390" s="2">
        <v>46113.625</v>
      </c>
      <c r="B390" t="str">
        <f t="shared" si="12"/>
        <v>2026-04</v>
      </c>
      <c r="C390" s="3">
        <f t="shared" si="13"/>
        <v>15</v>
      </c>
      <c r="D390" s="4">
        <v>24.243016653186121</v>
      </c>
      <c r="E390" s="4"/>
      <c r="F390" s="4"/>
      <c r="G390" s="4">
        <v>16.3</v>
      </c>
      <c r="H390" s="5">
        <v>49.221232997199998</v>
      </c>
      <c r="I390" s="5"/>
      <c r="J390" s="5"/>
      <c r="K390" s="5">
        <v>65</v>
      </c>
    </row>
    <row r="391" spans="1:11" x14ac:dyDescent="0.25">
      <c r="A391" s="2">
        <v>46113.666666666657</v>
      </c>
      <c r="B391" t="str">
        <f t="shared" si="12"/>
        <v>2026-04</v>
      </c>
      <c r="C391" s="3">
        <f t="shared" si="13"/>
        <v>16</v>
      </c>
      <c r="D391" s="4">
        <v>24.224056567516669</v>
      </c>
      <c r="E391" s="4"/>
      <c r="F391" s="4"/>
      <c r="G391" s="4">
        <v>16.5</v>
      </c>
      <c r="H391" s="5">
        <v>48.163795628580552</v>
      </c>
      <c r="I391" s="5"/>
      <c r="J391" s="5"/>
      <c r="K391" s="5">
        <v>63</v>
      </c>
    </row>
    <row r="392" spans="1:11" x14ac:dyDescent="0.25">
      <c r="A392" s="2">
        <v>46113.708333333343</v>
      </c>
      <c r="B392" t="str">
        <f t="shared" si="12"/>
        <v>2026-04</v>
      </c>
      <c r="C392" s="3">
        <f t="shared" si="13"/>
        <v>17</v>
      </c>
      <c r="D392" s="4">
        <v>24.122441690125001</v>
      </c>
      <c r="E392" s="4"/>
      <c r="F392" s="4"/>
      <c r="G392" s="4">
        <v>16.2</v>
      </c>
      <c r="H392" s="5">
        <v>48.178469653897217</v>
      </c>
      <c r="I392" s="5"/>
      <c r="J392" s="5"/>
      <c r="K392" s="5">
        <v>63</v>
      </c>
    </row>
    <row r="393" spans="1:11" x14ac:dyDescent="0.25">
      <c r="A393" s="2">
        <v>46113.75</v>
      </c>
      <c r="B393" t="str">
        <f t="shared" si="12"/>
        <v>2026-04</v>
      </c>
      <c r="C393" s="3">
        <f t="shared" si="13"/>
        <v>18</v>
      </c>
      <c r="D393" s="4">
        <v>24.196981513124999</v>
      </c>
      <c r="E393" s="4"/>
      <c r="F393" s="4"/>
      <c r="G393" s="4">
        <v>16</v>
      </c>
      <c r="H393" s="5">
        <v>47.283483360697232</v>
      </c>
      <c r="I393" s="5"/>
      <c r="J393" s="5"/>
      <c r="K393" s="5">
        <v>69</v>
      </c>
    </row>
    <row r="394" spans="1:11" x14ac:dyDescent="0.25">
      <c r="A394" s="2">
        <v>46113.791666666657</v>
      </c>
      <c r="B394" t="str">
        <f t="shared" si="12"/>
        <v>2026-04</v>
      </c>
      <c r="C394" s="3">
        <f t="shared" si="13"/>
        <v>19</v>
      </c>
      <c r="D394" s="4">
        <v>24.14607734323889</v>
      </c>
      <c r="E394" s="4"/>
      <c r="F394" s="4"/>
      <c r="G394" s="4">
        <v>12.5</v>
      </c>
      <c r="H394" s="5">
        <v>47.712977272100012</v>
      </c>
      <c r="I394" s="5"/>
      <c r="J394" s="5"/>
      <c r="K394" s="5">
        <v>88</v>
      </c>
    </row>
    <row r="395" spans="1:11" x14ac:dyDescent="0.25">
      <c r="A395" s="2">
        <v>46113.833333333343</v>
      </c>
      <c r="B395" t="str">
        <f t="shared" si="12"/>
        <v>2026-04</v>
      </c>
      <c r="C395" s="3">
        <f t="shared" si="13"/>
        <v>20</v>
      </c>
      <c r="D395" s="4">
        <v>24.057789809555551</v>
      </c>
      <c r="E395" s="4"/>
      <c r="F395" s="4"/>
      <c r="G395" s="4">
        <v>11.7</v>
      </c>
      <c r="H395" s="5">
        <v>48.436402641313883</v>
      </c>
      <c r="I395" s="5"/>
      <c r="J395" s="5"/>
      <c r="K395" s="5">
        <v>91</v>
      </c>
    </row>
    <row r="396" spans="1:11" x14ac:dyDescent="0.25">
      <c r="A396" s="2">
        <v>46113.875</v>
      </c>
      <c r="B396" t="str">
        <f t="shared" si="12"/>
        <v>2026-04</v>
      </c>
      <c r="C396" s="3">
        <f t="shared" si="13"/>
        <v>21</v>
      </c>
      <c r="D396" s="4">
        <v>24.120164347647229</v>
      </c>
      <c r="E396" s="4"/>
      <c r="F396" s="4"/>
      <c r="G396" s="4">
        <v>11.2</v>
      </c>
      <c r="H396" s="5">
        <v>50.946388030636122</v>
      </c>
      <c r="I396" s="5"/>
      <c r="J396" s="5"/>
      <c r="K396" s="5">
        <v>94</v>
      </c>
    </row>
    <row r="397" spans="1:11" x14ac:dyDescent="0.25">
      <c r="A397" s="2">
        <v>46113.916666666657</v>
      </c>
      <c r="B397" t="str">
        <f t="shared" si="12"/>
        <v>2026-04</v>
      </c>
      <c r="C397" s="3">
        <f t="shared" si="13"/>
        <v>22</v>
      </c>
      <c r="D397" s="4">
        <v>24.11498996192778</v>
      </c>
      <c r="E397" s="4"/>
      <c r="F397" s="4"/>
      <c r="G397" s="4">
        <v>10.9</v>
      </c>
      <c r="H397" s="5">
        <v>50.994971310952792</v>
      </c>
      <c r="I397" s="5"/>
      <c r="J397" s="5"/>
      <c r="K397" s="5">
        <v>94</v>
      </c>
    </row>
    <row r="398" spans="1:11" x14ac:dyDescent="0.25">
      <c r="A398" s="2">
        <v>46113.958333333343</v>
      </c>
      <c r="B398" t="str">
        <f t="shared" si="12"/>
        <v>2026-04</v>
      </c>
      <c r="C398" s="3">
        <f t="shared" si="13"/>
        <v>23</v>
      </c>
      <c r="D398" s="4">
        <v>23.994271046322229</v>
      </c>
      <c r="E398" s="4"/>
      <c r="F398" s="4"/>
      <c r="G398" s="4">
        <v>10.199999999999999</v>
      </c>
      <c r="H398" s="5">
        <v>50.00406831939722</v>
      </c>
      <c r="I398" s="5"/>
      <c r="J398" s="5"/>
      <c r="K398" s="5">
        <v>96</v>
      </c>
    </row>
    <row r="399" spans="1:11" x14ac:dyDescent="0.25">
      <c r="A399" s="2">
        <v>46114</v>
      </c>
      <c r="B399" t="str">
        <f t="shared" si="12"/>
        <v>2026-04</v>
      </c>
      <c r="C399" s="3">
        <f t="shared" si="13"/>
        <v>0</v>
      </c>
      <c r="D399" s="4">
        <v>24.196699993083332</v>
      </c>
      <c r="E399" s="4"/>
      <c r="F399" s="4"/>
      <c r="G399" s="4">
        <v>9.6</v>
      </c>
      <c r="H399" s="5">
        <v>49.933488514925003</v>
      </c>
      <c r="I399" s="5"/>
      <c r="J399" s="5"/>
      <c r="K399" s="5">
        <v>96</v>
      </c>
    </row>
    <row r="400" spans="1:11" x14ac:dyDescent="0.25">
      <c r="A400" s="2">
        <v>46114.041666666657</v>
      </c>
      <c r="B400" t="str">
        <f t="shared" si="12"/>
        <v>2026-04</v>
      </c>
      <c r="C400" s="3">
        <f t="shared" si="13"/>
        <v>1</v>
      </c>
      <c r="D400" s="4">
        <v>24.17661842531389</v>
      </c>
      <c r="E400" s="4"/>
      <c r="F400" s="4"/>
      <c r="G400" s="4">
        <v>9.1</v>
      </c>
      <c r="H400" s="5">
        <v>50.137914164163881</v>
      </c>
      <c r="I400" s="5"/>
      <c r="J400" s="5"/>
      <c r="K400" s="5">
        <v>96</v>
      </c>
    </row>
    <row r="401" spans="1:11" x14ac:dyDescent="0.25">
      <c r="A401" s="2">
        <v>46114.083333333343</v>
      </c>
      <c r="B401" t="str">
        <f t="shared" si="12"/>
        <v>2026-04</v>
      </c>
      <c r="C401" s="3">
        <f t="shared" si="13"/>
        <v>2</v>
      </c>
      <c r="D401" s="4">
        <v>23.794978823791659</v>
      </c>
      <c r="E401" s="4"/>
      <c r="F401" s="4"/>
      <c r="G401" s="4">
        <v>8.4</v>
      </c>
      <c r="H401" s="5">
        <v>50.959067559580561</v>
      </c>
      <c r="I401" s="5"/>
      <c r="J401" s="5"/>
      <c r="K401" s="5">
        <v>96</v>
      </c>
    </row>
    <row r="402" spans="1:11" x14ac:dyDescent="0.25">
      <c r="A402" s="2">
        <v>46114.125</v>
      </c>
      <c r="B402" t="str">
        <f t="shared" si="12"/>
        <v>2026-04</v>
      </c>
      <c r="C402" s="3">
        <f t="shared" si="13"/>
        <v>3</v>
      </c>
      <c r="D402" s="4">
        <v>23.52123758886389</v>
      </c>
      <c r="E402" s="4"/>
      <c r="F402" s="4"/>
      <c r="G402" s="4">
        <v>8.6999999999999993</v>
      </c>
      <c r="H402" s="5">
        <v>51.136414305130558</v>
      </c>
      <c r="I402" s="5"/>
      <c r="J402" s="5"/>
      <c r="K402" s="5">
        <v>100</v>
      </c>
    </row>
    <row r="403" spans="1:11" x14ac:dyDescent="0.25">
      <c r="A403" s="2">
        <v>46114.166666666657</v>
      </c>
      <c r="B403" t="str">
        <f t="shared" si="12"/>
        <v>2026-04</v>
      </c>
      <c r="C403" s="3">
        <f t="shared" si="13"/>
        <v>4</v>
      </c>
      <c r="D403" s="4">
        <v>23.35350404688889</v>
      </c>
      <c r="E403" s="4"/>
      <c r="F403" s="4"/>
      <c r="G403" s="4">
        <v>8.5</v>
      </c>
      <c r="H403" s="5">
        <v>50.954515288155562</v>
      </c>
      <c r="I403" s="5"/>
      <c r="J403" s="5"/>
      <c r="K403" s="5">
        <v>100</v>
      </c>
    </row>
    <row r="404" spans="1:11" x14ac:dyDescent="0.25">
      <c r="A404" s="2">
        <v>46114.208333333343</v>
      </c>
      <c r="B404" t="str">
        <f t="shared" si="12"/>
        <v>2026-04</v>
      </c>
      <c r="C404" s="3">
        <f t="shared" si="13"/>
        <v>5</v>
      </c>
      <c r="D404" s="4">
        <v>23.220661349344439</v>
      </c>
      <c r="E404" s="4"/>
      <c r="F404" s="4"/>
      <c r="G404" s="4">
        <v>8.4</v>
      </c>
      <c r="H404" s="5">
        <v>50.682346625022227</v>
      </c>
      <c r="I404" s="5"/>
      <c r="J404" s="5"/>
      <c r="K404" s="5">
        <v>100</v>
      </c>
    </row>
    <row r="405" spans="1:11" x14ac:dyDescent="0.25">
      <c r="A405" s="2">
        <v>46114.25</v>
      </c>
      <c r="B405" t="str">
        <f t="shared" si="12"/>
        <v>2026-04</v>
      </c>
      <c r="C405" s="3">
        <f t="shared" si="13"/>
        <v>6</v>
      </c>
      <c r="D405" s="4">
        <v>23.254943214994441</v>
      </c>
      <c r="E405" s="4"/>
      <c r="F405" s="4"/>
      <c r="G405" s="4">
        <v>7.7</v>
      </c>
      <c r="H405" s="5">
        <v>50.177272027502767</v>
      </c>
      <c r="I405" s="5"/>
      <c r="J405" s="5"/>
      <c r="K405" s="5">
        <v>100</v>
      </c>
    </row>
    <row r="406" spans="1:11" x14ac:dyDescent="0.25">
      <c r="A406" s="2">
        <v>46114.291666666657</v>
      </c>
      <c r="B406" t="str">
        <f t="shared" si="12"/>
        <v>2026-04</v>
      </c>
      <c r="C406" s="3">
        <f t="shared" si="13"/>
        <v>7</v>
      </c>
      <c r="D406" s="4">
        <v>23.90052336923889</v>
      </c>
      <c r="E406" s="4"/>
      <c r="F406" s="4"/>
      <c r="G406" s="4">
        <v>7.3</v>
      </c>
      <c r="H406" s="5">
        <v>47.439088434641661</v>
      </c>
      <c r="I406" s="5"/>
      <c r="J406" s="5"/>
      <c r="K406" s="5">
        <v>99</v>
      </c>
    </row>
    <row r="407" spans="1:11" x14ac:dyDescent="0.25">
      <c r="A407" s="2">
        <v>46114.333333333343</v>
      </c>
      <c r="B407" t="str">
        <f t="shared" si="12"/>
        <v>2026-04</v>
      </c>
      <c r="C407" s="3">
        <f t="shared" si="13"/>
        <v>8</v>
      </c>
      <c r="D407" s="4">
        <v>24.480874487277781</v>
      </c>
      <c r="E407" s="4"/>
      <c r="F407" s="4"/>
      <c r="G407" s="4">
        <v>7.7</v>
      </c>
      <c r="H407" s="5">
        <v>45.567490714877778</v>
      </c>
      <c r="I407" s="5"/>
      <c r="J407" s="5"/>
      <c r="K407" s="5">
        <v>97</v>
      </c>
    </row>
    <row r="408" spans="1:11" x14ac:dyDescent="0.25">
      <c r="A408" s="2">
        <v>46114.375</v>
      </c>
      <c r="B408" t="str">
        <f t="shared" si="12"/>
        <v>2026-04</v>
      </c>
      <c r="C408" s="3">
        <f t="shared" si="13"/>
        <v>9</v>
      </c>
      <c r="D408" s="4">
        <v>25.022535541450001</v>
      </c>
      <c r="E408" s="4"/>
      <c r="F408" s="4"/>
      <c r="G408" s="4">
        <v>9</v>
      </c>
      <c r="H408" s="5">
        <v>44.749212924941673</v>
      </c>
      <c r="I408" s="5"/>
      <c r="J408" s="5"/>
      <c r="K408" s="5">
        <v>92</v>
      </c>
    </row>
    <row r="409" spans="1:11" x14ac:dyDescent="0.25">
      <c r="A409" s="2">
        <v>46114.416666666657</v>
      </c>
      <c r="B409" t="str">
        <f t="shared" si="12"/>
        <v>2026-04</v>
      </c>
      <c r="C409" s="3">
        <f t="shared" si="13"/>
        <v>10</v>
      </c>
      <c r="D409" s="4">
        <v>25.335316739</v>
      </c>
      <c r="E409" s="4"/>
      <c r="F409" s="4"/>
      <c r="G409" s="4">
        <v>11.4</v>
      </c>
      <c r="H409" s="5">
        <v>45.497242259194451</v>
      </c>
      <c r="I409" s="5"/>
      <c r="J409" s="5"/>
      <c r="K409" s="5">
        <v>88</v>
      </c>
    </row>
    <row r="410" spans="1:11" x14ac:dyDescent="0.25">
      <c r="A410" s="2">
        <v>46114.458333333343</v>
      </c>
      <c r="B410" t="str">
        <f t="shared" si="12"/>
        <v>2026-04</v>
      </c>
      <c r="C410" s="3">
        <f t="shared" si="13"/>
        <v>11</v>
      </c>
      <c r="D410" s="4">
        <v>25.516771998413891</v>
      </c>
      <c r="E410" s="4"/>
      <c r="F410" s="4"/>
      <c r="G410" s="4">
        <v>14.3</v>
      </c>
      <c r="H410" s="5">
        <v>46.398499777136102</v>
      </c>
      <c r="I410" s="5"/>
      <c r="J410" s="5"/>
      <c r="K410" s="5">
        <v>72</v>
      </c>
    </row>
    <row r="411" spans="1:11" x14ac:dyDescent="0.25">
      <c r="A411" s="2">
        <v>46114.5</v>
      </c>
      <c r="B411" t="str">
        <f t="shared" si="12"/>
        <v>2026-04</v>
      </c>
      <c r="C411" s="3">
        <f t="shared" si="13"/>
        <v>12</v>
      </c>
      <c r="D411" s="4">
        <v>25.350653765522221</v>
      </c>
      <c r="E411" s="4"/>
      <c r="F411" s="4"/>
      <c r="G411" s="4">
        <v>15.7</v>
      </c>
      <c r="H411" s="5">
        <v>47.88719534363333</v>
      </c>
      <c r="I411" s="5"/>
      <c r="J411" s="5"/>
      <c r="K411" s="5">
        <v>64</v>
      </c>
    </row>
    <row r="412" spans="1:11" x14ac:dyDescent="0.25">
      <c r="A412" s="2">
        <v>46114.541666666657</v>
      </c>
      <c r="B412" t="str">
        <f t="shared" si="12"/>
        <v>2026-04</v>
      </c>
      <c r="C412" s="3">
        <f t="shared" si="13"/>
        <v>13</v>
      </c>
      <c r="D412" s="4">
        <v>24.995782299661109</v>
      </c>
      <c r="E412" s="4"/>
      <c r="F412" s="4"/>
      <c r="G412" s="4">
        <v>16.2</v>
      </c>
      <c r="H412" s="5">
        <v>46.58144273208611</v>
      </c>
      <c r="I412" s="5"/>
      <c r="J412" s="5"/>
      <c r="K412" s="5">
        <v>61</v>
      </c>
    </row>
    <row r="413" spans="1:11" x14ac:dyDescent="0.25">
      <c r="A413" s="2">
        <v>46114.583333333343</v>
      </c>
      <c r="B413" t="str">
        <f t="shared" si="12"/>
        <v>2026-04</v>
      </c>
      <c r="C413" s="3">
        <f t="shared" si="13"/>
        <v>14</v>
      </c>
      <c r="D413" s="4">
        <v>24.252735818311109</v>
      </c>
      <c r="E413" s="4"/>
      <c r="F413" s="4"/>
      <c r="G413" s="4">
        <v>16.399999999999999</v>
      </c>
      <c r="H413" s="5">
        <v>44.051134031880537</v>
      </c>
      <c r="I413" s="5"/>
      <c r="J413" s="5"/>
      <c r="K413" s="5">
        <v>60</v>
      </c>
    </row>
    <row r="414" spans="1:11" x14ac:dyDescent="0.25">
      <c r="A414" s="2">
        <v>46114.625</v>
      </c>
      <c r="B414" t="str">
        <f t="shared" si="12"/>
        <v>2026-04</v>
      </c>
      <c r="C414" s="3">
        <f t="shared" si="13"/>
        <v>15</v>
      </c>
      <c r="D414" s="4">
        <v>23.848502642016669</v>
      </c>
      <c r="E414" s="4"/>
      <c r="F414" s="4"/>
      <c r="G414" s="4">
        <v>16.8</v>
      </c>
      <c r="H414" s="5">
        <v>42.381993603208343</v>
      </c>
      <c r="I414" s="5"/>
      <c r="J414" s="5"/>
      <c r="K414" s="5">
        <v>57</v>
      </c>
    </row>
    <row r="415" spans="1:11" x14ac:dyDescent="0.25">
      <c r="A415" s="2">
        <v>46114.666666666657</v>
      </c>
      <c r="B415" t="str">
        <f t="shared" si="12"/>
        <v>2026-04</v>
      </c>
      <c r="C415" s="3">
        <f t="shared" si="13"/>
        <v>16</v>
      </c>
      <c r="D415" s="4">
        <v>24.049744773888889</v>
      </c>
      <c r="E415" s="4"/>
      <c r="F415" s="4"/>
      <c r="G415" s="4">
        <v>17</v>
      </c>
      <c r="H415" s="5">
        <v>43.625059966511117</v>
      </c>
      <c r="I415" s="5"/>
      <c r="J415" s="5"/>
      <c r="K415" s="5">
        <v>55</v>
      </c>
    </row>
    <row r="416" spans="1:11" x14ac:dyDescent="0.25">
      <c r="A416" s="2">
        <v>46114.708333333343</v>
      </c>
      <c r="B416" t="str">
        <f t="shared" si="12"/>
        <v>2026-04</v>
      </c>
      <c r="C416" s="3">
        <f t="shared" si="13"/>
        <v>17</v>
      </c>
      <c r="D416" s="4">
        <v>24.112879548599999</v>
      </c>
      <c r="E416" s="4"/>
      <c r="F416" s="4"/>
      <c r="G416" s="4">
        <v>17</v>
      </c>
      <c r="H416" s="5">
        <v>43.641129338313903</v>
      </c>
      <c r="I416" s="5"/>
      <c r="J416" s="5"/>
      <c r="K416" s="5">
        <v>54</v>
      </c>
    </row>
    <row r="417" spans="1:11" x14ac:dyDescent="0.25">
      <c r="A417" s="2">
        <v>46114.75</v>
      </c>
      <c r="B417" t="str">
        <f t="shared" si="12"/>
        <v>2026-04</v>
      </c>
      <c r="C417" s="3">
        <f t="shared" si="13"/>
        <v>18</v>
      </c>
      <c r="D417" s="4">
        <v>23.77183898110556</v>
      </c>
      <c r="E417" s="4"/>
      <c r="F417" s="4"/>
      <c r="G417" s="4">
        <v>16.2</v>
      </c>
      <c r="H417" s="5">
        <v>47.443066903616661</v>
      </c>
      <c r="I417" s="5"/>
      <c r="J417" s="5"/>
      <c r="K417" s="5">
        <v>66</v>
      </c>
    </row>
    <row r="418" spans="1:11" x14ac:dyDescent="0.25">
      <c r="A418" s="2">
        <v>46114.791666666657</v>
      </c>
      <c r="B418" t="str">
        <f t="shared" si="12"/>
        <v>2026-04</v>
      </c>
      <c r="C418" s="3">
        <f t="shared" si="13"/>
        <v>19</v>
      </c>
      <c r="D418" s="4">
        <v>23.36407451103889</v>
      </c>
      <c r="E418" s="4"/>
      <c r="F418" s="4"/>
      <c r="G418" s="4">
        <v>14.1</v>
      </c>
      <c r="H418" s="5">
        <v>49.004623230186112</v>
      </c>
      <c r="I418" s="5"/>
      <c r="J418" s="5"/>
      <c r="K418" s="5">
        <v>72</v>
      </c>
    </row>
    <row r="419" spans="1:11" x14ac:dyDescent="0.25">
      <c r="A419" s="2">
        <v>46114.833333333343</v>
      </c>
      <c r="B419" t="str">
        <f t="shared" si="12"/>
        <v>2026-04</v>
      </c>
      <c r="C419" s="3">
        <f t="shared" si="13"/>
        <v>20</v>
      </c>
      <c r="D419" s="4">
        <v>22.92449623475833</v>
      </c>
      <c r="E419" s="4"/>
      <c r="F419" s="4"/>
      <c r="G419" s="4">
        <v>12.7</v>
      </c>
      <c r="H419" s="5">
        <v>49.909109880697223</v>
      </c>
      <c r="I419" s="5"/>
      <c r="J419" s="5"/>
      <c r="K419" s="5">
        <v>75</v>
      </c>
    </row>
    <row r="420" spans="1:11" x14ac:dyDescent="0.25">
      <c r="A420" s="2">
        <v>46114.875</v>
      </c>
      <c r="B420" t="str">
        <f t="shared" si="12"/>
        <v>2026-04</v>
      </c>
      <c r="C420" s="3">
        <f t="shared" si="13"/>
        <v>21</v>
      </c>
      <c r="D420" s="4">
        <v>22.510377337902771</v>
      </c>
      <c r="E420" s="4"/>
      <c r="F420" s="4"/>
      <c r="G420" s="4">
        <v>12.2</v>
      </c>
      <c r="H420" s="5">
        <v>49.605528448936113</v>
      </c>
      <c r="I420" s="5"/>
      <c r="J420" s="5"/>
      <c r="K420" s="5">
        <v>77</v>
      </c>
    </row>
    <row r="421" spans="1:11" x14ac:dyDescent="0.25">
      <c r="A421" s="2">
        <v>46114.916666666657</v>
      </c>
      <c r="B421" t="str">
        <f t="shared" si="12"/>
        <v>2026-04</v>
      </c>
      <c r="C421" s="3">
        <f t="shared" si="13"/>
        <v>22</v>
      </c>
      <c r="D421" s="4">
        <v>22.541857725174999</v>
      </c>
      <c r="E421" s="4"/>
      <c r="F421" s="4"/>
      <c r="G421" s="4">
        <v>11.7</v>
      </c>
      <c r="H421" s="5">
        <v>46.791640957872232</v>
      </c>
      <c r="I421" s="5"/>
      <c r="J421" s="5"/>
      <c r="K421" s="5">
        <v>84</v>
      </c>
    </row>
    <row r="422" spans="1:11" x14ac:dyDescent="0.25">
      <c r="A422" s="2">
        <v>46114.958333333343</v>
      </c>
      <c r="B422" t="str">
        <f t="shared" si="12"/>
        <v>2026-04</v>
      </c>
      <c r="C422" s="3">
        <f t="shared" si="13"/>
        <v>23</v>
      </c>
      <c r="D422" s="4">
        <v>21.850392091397222</v>
      </c>
      <c r="E422" s="4"/>
      <c r="F422" s="4"/>
      <c r="G422" s="4">
        <v>10.7</v>
      </c>
      <c r="H422" s="5">
        <v>46.251954495930562</v>
      </c>
      <c r="I422" s="5"/>
      <c r="J422" s="5"/>
      <c r="K422" s="5">
        <v>87</v>
      </c>
    </row>
    <row r="423" spans="1:11" x14ac:dyDescent="0.25">
      <c r="A423" s="2">
        <v>46115</v>
      </c>
      <c r="B423" t="str">
        <f t="shared" si="12"/>
        <v>2026-04</v>
      </c>
      <c r="C423" s="3">
        <f t="shared" si="13"/>
        <v>0</v>
      </c>
      <c r="D423" s="4">
        <v>21.624485764705561</v>
      </c>
      <c r="E423" s="4"/>
      <c r="F423" s="4"/>
      <c r="G423" s="4">
        <v>9.6999999999999993</v>
      </c>
      <c r="H423" s="5">
        <v>45.699942467558337</v>
      </c>
      <c r="I423" s="5"/>
      <c r="J423" s="5"/>
      <c r="K423" s="5">
        <v>91</v>
      </c>
    </row>
    <row r="424" spans="1:11" x14ac:dyDescent="0.25">
      <c r="A424" s="2">
        <v>46115.041666666657</v>
      </c>
      <c r="B424" t="str">
        <f t="shared" si="12"/>
        <v>2026-04</v>
      </c>
      <c r="C424" s="3">
        <f t="shared" si="13"/>
        <v>1</v>
      </c>
      <c r="D424" s="4">
        <v>21.674161260347219</v>
      </c>
      <c r="E424" s="4"/>
      <c r="F424" s="4"/>
      <c r="G424" s="4">
        <v>9</v>
      </c>
      <c r="H424" s="5">
        <v>47.748381065383327</v>
      </c>
      <c r="I424" s="5"/>
      <c r="J424" s="5"/>
      <c r="K424" s="5">
        <v>94</v>
      </c>
    </row>
    <row r="425" spans="1:11" x14ac:dyDescent="0.25">
      <c r="A425" s="2">
        <v>46115.083333333343</v>
      </c>
      <c r="B425" t="str">
        <f t="shared" si="12"/>
        <v>2026-04</v>
      </c>
      <c r="C425" s="3">
        <f t="shared" si="13"/>
        <v>2</v>
      </c>
      <c r="D425" s="4">
        <v>23.184029502194441</v>
      </c>
      <c r="E425" s="4"/>
      <c r="F425" s="4"/>
      <c r="G425" s="4">
        <v>8.5</v>
      </c>
      <c r="H425" s="5">
        <v>49.403890458261117</v>
      </c>
      <c r="I425" s="5"/>
      <c r="J425" s="5"/>
      <c r="K425" s="5">
        <v>96</v>
      </c>
    </row>
    <row r="426" spans="1:11" x14ac:dyDescent="0.25">
      <c r="A426" s="2">
        <v>46115.125</v>
      </c>
      <c r="B426" t="str">
        <f t="shared" si="12"/>
        <v>2026-04</v>
      </c>
      <c r="C426" s="3">
        <f t="shared" si="13"/>
        <v>3</v>
      </c>
      <c r="D426" s="4">
        <v>23.399960639905551</v>
      </c>
      <c r="E426" s="4"/>
      <c r="F426" s="4"/>
      <c r="G426" s="4">
        <v>8.6</v>
      </c>
      <c r="H426" s="5">
        <v>50.024856272436097</v>
      </c>
      <c r="I426" s="5"/>
      <c r="J426" s="5"/>
      <c r="K426" s="5">
        <v>95</v>
      </c>
    </row>
    <row r="427" spans="1:11" x14ac:dyDescent="0.25">
      <c r="A427" s="2">
        <v>46115.166666666657</v>
      </c>
      <c r="B427" t="str">
        <f t="shared" si="12"/>
        <v>2026-04</v>
      </c>
      <c r="C427" s="3">
        <f t="shared" si="13"/>
        <v>4</v>
      </c>
      <c r="D427" s="4">
        <v>23.39767509925278</v>
      </c>
      <c r="E427" s="4"/>
      <c r="F427" s="4"/>
      <c r="G427" s="4">
        <v>8.3000000000000007</v>
      </c>
      <c r="H427" s="5">
        <v>50.598651821669449</v>
      </c>
      <c r="I427" s="5"/>
      <c r="J427" s="5"/>
      <c r="K427" s="5">
        <v>96</v>
      </c>
    </row>
    <row r="428" spans="1:11" x14ac:dyDescent="0.25">
      <c r="A428" s="2">
        <v>46115.208333333343</v>
      </c>
      <c r="B428" t="str">
        <f t="shared" si="12"/>
        <v>2026-04</v>
      </c>
      <c r="C428" s="3">
        <f t="shared" si="13"/>
        <v>5</v>
      </c>
      <c r="D428" s="4">
        <v>23.349349421311121</v>
      </c>
      <c r="E428" s="4"/>
      <c r="F428" s="4"/>
      <c r="G428" s="4">
        <v>8</v>
      </c>
      <c r="H428" s="5">
        <v>51.101078043100003</v>
      </c>
      <c r="I428" s="5"/>
      <c r="J428" s="5"/>
      <c r="K428" s="5">
        <v>98</v>
      </c>
    </row>
    <row r="429" spans="1:11" x14ac:dyDescent="0.25">
      <c r="A429" s="2">
        <v>46115.25</v>
      </c>
      <c r="B429" t="str">
        <f t="shared" si="12"/>
        <v>2026-04</v>
      </c>
      <c r="C429" s="3">
        <f t="shared" si="13"/>
        <v>6</v>
      </c>
      <c r="D429" s="4">
        <v>23.308536165113889</v>
      </c>
      <c r="E429" s="4"/>
      <c r="F429" s="4"/>
      <c r="G429" s="4">
        <v>7.6</v>
      </c>
      <c r="H429" s="5">
        <v>51.195828778716667</v>
      </c>
      <c r="I429" s="5"/>
      <c r="J429" s="5"/>
      <c r="K429" s="5">
        <v>95</v>
      </c>
    </row>
    <row r="430" spans="1:11" x14ac:dyDescent="0.25">
      <c r="A430" s="2">
        <v>46115.291666666657</v>
      </c>
      <c r="B430" t="str">
        <f t="shared" si="12"/>
        <v>2026-04</v>
      </c>
      <c r="C430" s="3">
        <f t="shared" si="13"/>
        <v>7</v>
      </c>
      <c r="D430" s="4">
        <v>23.281533031966671</v>
      </c>
      <c r="E430" s="4"/>
      <c r="F430" s="4"/>
      <c r="G430" s="4">
        <v>8.3000000000000007</v>
      </c>
      <c r="H430" s="5">
        <v>51.29273215848611</v>
      </c>
      <c r="I430" s="5"/>
      <c r="J430" s="5"/>
      <c r="K430" s="5">
        <v>92</v>
      </c>
    </row>
    <row r="431" spans="1:11" x14ac:dyDescent="0.25">
      <c r="A431" s="2">
        <v>46115.333333333343</v>
      </c>
      <c r="B431" t="str">
        <f t="shared" si="12"/>
        <v>2026-04</v>
      </c>
      <c r="C431" s="3">
        <f t="shared" si="13"/>
        <v>8</v>
      </c>
      <c r="D431" s="4">
        <v>23.296126632094449</v>
      </c>
      <c r="E431" s="4"/>
      <c r="F431" s="4"/>
      <c r="G431" s="4">
        <v>9.6</v>
      </c>
      <c r="H431" s="5">
        <v>51.148798649163894</v>
      </c>
      <c r="I431" s="5"/>
      <c r="J431" s="5"/>
      <c r="K431" s="5">
        <v>95</v>
      </c>
    </row>
    <row r="432" spans="1:11" x14ac:dyDescent="0.25">
      <c r="A432" s="2">
        <v>46115.375</v>
      </c>
      <c r="B432" t="str">
        <f t="shared" si="12"/>
        <v>2026-04</v>
      </c>
      <c r="C432" s="3">
        <f t="shared" si="13"/>
        <v>9</v>
      </c>
      <c r="D432" s="4">
        <v>23.325218895672229</v>
      </c>
      <c r="E432" s="4"/>
      <c r="F432" s="4"/>
      <c r="G432" s="4">
        <v>10.6</v>
      </c>
      <c r="H432" s="5">
        <v>50.821479750816671</v>
      </c>
      <c r="I432" s="5"/>
      <c r="J432" s="5"/>
      <c r="K432" s="5">
        <v>95</v>
      </c>
    </row>
    <row r="433" spans="1:11" x14ac:dyDescent="0.25">
      <c r="A433" s="2">
        <v>46115.416666666657</v>
      </c>
      <c r="B433" t="str">
        <f t="shared" si="12"/>
        <v>2026-04</v>
      </c>
      <c r="C433" s="3">
        <f t="shared" si="13"/>
        <v>10</v>
      </c>
      <c r="D433" s="4">
        <v>23.334055154980561</v>
      </c>
      <c r="E433" s="4"/>
      <c r="F433" s="4"/>
      <c r="G433" s="4">
        <v>12.6</v>
      </c>
      <c r="H433" s="5">
        <v>48.867386427388887</v>
      </c>
      <c r="I433" s="5"/>
      <c r="J433" s="5"/>
      <c r="K433" s="5">
        <v>88</v>
      </c>
    </row>
    <row r="434" spans="1:11" x14ac:dyDescent="0.25">
      <c r="A434" s="2">
        <v>46115.458333333343</v>
      </c>
      <c r="B434" t="str">
        <f t="shared" si="12"/>
        <v>2026-04</v>
      </c>
      <c r="C434" s="3">
        <f t="shared" si="13"/>
        <v>11</v>
      </c>
      <c r="D434" s="4">
        <v>23.435012811786109</v>
      </c>
      <c r="E434" s="4"/>
      <c r="F434" s="4"/>
      <c r="G434" s="4">
        <v>13.9</v>
      </c>
      <c r="H434" s="5">
        <v>48.664630408636107</v>
      </c>
      <c r="I434" s="5"/>
      <c r="J434" s="5"/>
      <c r="K434" s="5">
        <v>80</v>
      </c>
    </row>
    <row r="435" spans="1:11" x14ac:dyDescent="0.25">
      <c r="A435" s="2">
        <v>46115.5</v>
      </c>
      <c r="B435" t="str">
        <f t="shared" si="12"/>
        <v>2026-04</v>
      </c>
      <c r="C435" s="3">
        <f t="shared" si="13"/>
        <v>12</v>
      </c>
      <c r="D435" s="4">
        <v>23.669449441402779</v>
      </c>
      <c r="E435" s="4"/>
      <c r="F435" s="4"/>
      <c r="G435" s="4">
        <v>14.7</v>
      </c>
      <c r="H435" s="5">
        <v>48.320452963830562</v>
      </c>
      <c r="I435" s="5"/>
      <c r="J435" s="5"/>
      <c r="K435" s="5">
        <v>75</v>
      </c>
    </row>
    <row r="436" spans="1:11" x14ac:dyDescent="0.25">
      <c r="A436" s="2">
        <v>46115.541666666657</v>
      </c>
      <c r="B436" t="str">
        <f t="shared" si="12"/>
        <v>2026-04</v>
      </c>
      <c r="C436" s="3">
        <f t="shared" si="13"/>
        <v>13</v>
      </c>
      <c r="D436" s="4">
        <v>22.50282365833889</v>
      </c>
      <c r="E436" s="4"/>
      <c r="F436" s="4"/>
      <c r="G436" s="4">
        <v>15.7</v>
      </c>
      <c r="H436" s="5">
        <v>46.946539428133327</v>
      </c>
      <c r="I436" s="5"/>
      <c r="J436" s="5"/>
      <c r="K436" s="5">
        <v>70</v>
      </c>
    </row>
    <row r="437" spans="1:11" x14ac:dyDescent="0.25">
      <c r="A437" s="2">
        <v>46115.583333333343</v>
      </c>
      <c r="B437" t="str">
        <f t="shared" si="12"/>
        <v>2026-04</v>
      </c>
      <c r="C437" s="3">
        <f t="shared" si="13"/>
        <v>14</v>
      </c>
      <c r="D437" s="4">
        <v>21.128788604747221</v>
      </c>
      <c r="E437" s="4"/>
      <c r="F437" s="4"/>
      <c r="G437" s="4">
        <v>16.100000000000001</v>
      </c>
      <c r="H437" s="5">
        <v>46.100945993316657</v>
      </c>
      <c r="I437" s="5"/>
      <c r="J437" s="5"/>
      <c r="K437" s="5">
        <v>65</v>
      </c>
    </row>
    <row r="438" spans="1:11" x14ac:dyDescent="0.25">
      <c r="A438" s="2">
        <v>46115.625</v>
      </c>
      <c r="B438" t="str">
        <f t="shared" si="12"/>
        <v>2026-04</v>
      </c>
      <c r="C438" s="3">
        <f t="shared" si="13"/>
        <v>15</v>
      </c>
      <c r="D438" s="4">
        <v>21.32694821493611</v>
      </c>
      <c r="E438" s="4"/>
      <c r="F438" s="4"/>
      <c r="G438" s="4">
        <v>16.8</v>
      </c>
      <c r="H438" s="5">
        <v>46.086393125522221</v>
      </c>
      <c r="I438" s="5"/>
      <c r="J438" s="5"/>
      <c r="K438" s="5">
        <v>61</v>
      </c>
    </row>
    <row r="439" spans="1:11" x14ac:dyDescent="0.25">
      <c r="A439" s="2">
        <v>46115.666666666657</v>
      </c>
      <c r="B439" t="str">
        <f t="shared" si="12"/>
        <v>2026-04</v>
      </c>
      <c r="C439" s="3">
        <f t="shared" si="13"/>
        <v>16</v>
      </c>
      <c r="D439" s="4">
        <v>21.60133533631112</v>
      </c>
      <c r="E439" s="4"/>
      <c r="F439" s="4"/>
      <c r="G439" s="4">
        <v>13.7</v>
      </c>
      <c r="H439" s="5">
        <v>44.250751723047223</v>
      </c>
      <c r="I439" s="5"/>
      <c r="J439" s="5"/>
      <c r="K439" s="5">
        <v>82</v>
      </c>
    </row>
    <row r="440" spans="1:11" x14ac:dyDescent="0.25">
      <c r="A440" s="2">
        <v>46115.708333333343</v>
      </c>
      <c r="B440" t="str">
        <f t="shared" si="12"/>
        <v>2026-04</v>
      </c>
      <c r="C440" s="3">
        <f t="shared" si="13"/>
        <v>17</v>
      </c>
      <c r="D440" s="4">
        <v>21.724257045200002</v>
      </c>
      <c r="E440" s="4"/>
      <c r="F440" s="4"/>
      <c r="G440" s="4">
        <v>14.7</v>
      </c>
      <c r="H440" s="5">
        <v>42.36906158195</v>
      </c>
      <c r="I440" s="5"/>
      <c r="J440" s="5"/>
      <c r="K440" s="5">
        <v>75</v>
      </c>
    </row>
    <row r="441" spans="1:11" x14ac:dyDescent="0.25">
      <c r="A441" s="2">
        <v>46115.75</v>
      </c>
      <c r="B441" t="str">
        <f t="shared" si="12"/>
        <v>2026-04</v>
      </c>
      <c r="C441" s="3">
        <f t="shared" si="13"/>
        <v>18</v>
      </c>
      <c r="D441" s="4">
        <v>21.774579200686109</v>
      </c>
      <c r="E441" s="4"/>
      <c r="F441" s="4"/>
      <c r="G441" s="4">
        <v>14.2</v>
      </c>
      <c r="H441" s="5">
        <v>42.349015551677773</v>
      </c>
      <c r="I441" s="5"/>
      <c r="J441" s="5"/>
      <c r="K441" s="5">
        <v>80</v>
      </c>
    </row>
    <row r="442" spans="1:11" x14ac:dyDescent="0.25">
      <c r="A442" s="2">
        <v>46115.791666666657</v>
      </c>
      <c r="B442" t="str">
        <f t="shared" si="12"/>
        <v>2026-04</v>
      </c>
      <c r="C442" s="3">
        <f t="shared" si="13"/>
        <v>19</v>
      </c>
      <c r="D442" s="4">
        <v>21.584384973500001</v>
      </c>
      <c r="E442" s="4"/>
      <c r="F442" s="4"/>
      <c r="G442" s="4">
        <v>12.9</v>
      </c>
      <c r="H442" s="5">
        <v>43.112881990375001</v>
      </c>
      <c r="I442" s="5"/>
      <c r="J442" s="5"/>
      <c r="K442" s="5">
        <v>85</v>
      </c>
    </row>
    <row r="443" spans="1:11" x14ac:dyDescent="0.25">
      <c r="A443" s="2">
        <v>46115.833333333343</v>
      </c>
      <c r="B443" t="str">
        <f t="shared" si="12"/>
        <v>2026-04</v>
      </c>
      <c r="C443" s="3">
        <f t="shared" si="13"/>
        <v>20</v>
      </c>
      <c r="D443" s="4">
        <v>21.279060176044439</v>
      </c>
      <c r="E443" s="4"/>
      <c r="F443" s="4"/>
      <c r="G443" s="4">
        <v>11.6</v>
      </c>
      <c r="H443" s="5">
        <v>41.013230320791671</v>
      </c>
      <c r="I443" s="5"/>
      <c r="J443" s="5"/>
      <c r="K443" s="5">
        <v>88</v>
      </c>
    </row>
    <row r="444" spans="1:11" x14ac:dyDescent="0.25">
      <c r="A444" s="2">
        <v>46115.875</v>
      </c>
      <c r="B444" t="str">
        <f t="shared" si="12"/>
        <v>2026-04</v>
      </c>
      <c r="C444" s="3">
        <f t="shared" si="13"/>
        <v>21</v>
      </c>
      <c r="D444" s="4">
        <v>22.807470906727779</v>
      </c>
      <c r="E444" s="4"/>
      <c r="F444" s="4"/>
      <c r="G444" s="4">
        <v>11.4</v>
      </c>
      <c r="H444" s="5">
        <v>40.665510270544438</v>
      </c>
      <c r="I444" s="5"/>
      <c r="J444" s="5"/>
      <c r="K444" s="5">
        <v>89</v>
      </c>
    </row>
    <row r="445" spans="1:11" x14ac:dyDescent="0.25">
      <c r="A445" s="2">
        <v>46115.916666666657</v>
      </c>
      <c r="B445" t="str">
        <f t="shared" si="12"/>
        <v>2026-04</v>
      </c>
      <c r="C445" s="3">
        <f t="shared" si="13"/>
        <v>22</v>
      </c>
      <c r="D445" s="4">
        <v>23.340893605880559</v>
      </c>
      <c r="E445" s="4"/>
      <c r="F445" s="4"/>
      <c r="G445" s="4">
        <v>10.5</v>
      </c>
      <c r="H445" s="5">
        <v>42.397172754619447</v>
      </c>
      <c r="I445" s="5"/>
      <c r="J445" s="5"/>
      <c r="K445" s="5">
        <v>91</v>
      </c>
    </row>
    <row r="446" spans="1:11" x14ac:dyDescent="0.25">
      <c r="A446" s="2">
        <v>46115.958333333343</v>
      </c>
      <c r="B446" t="str">
        <f t="shared" si="12"/>
        <v>2026-04</v>
      </c>
      <c r="C446" s="3">
        <f t="shared" si="13"/>
        <v>23</v>
      </c>
      <c r="D446" s="4">
        <v>23.34696988730278</v>
      </c>
      <c r="E446" s="4"/>
      <c r="F446" s="4"/>
      <c r="G446" s="4">
        <v>9.6</v>
      </c>
      <c r="H446" s="5">
        <v>45.520310753269449</v>
      </c>
      <c r="I446" s="5"/>
      <c r="J446" s="5"/>
      <c r="K446" s="5">
        <v>92</v>
      </c>
    </row>
    <row r="447" spans="1:11" x14ac:dyDescent="0.25">
      <c r="A447" s="2">
        <v>46116</v>
      </c>
      <c r="B447" t="str">
        <f t="shared" si="12"/>
        <v>2026-04</v>
      </c>
      <c r="C447" s="3">
        <f t="shared" si="13"/>
        <v>0</v>
      </c>
      <c r="D447" s="4">
        <v>23.353446153319439</v>
      </c>
      <c r="E447" s="4"/>
      <c r="F447" s="4"/>
      <c r="G447" s="4">
        <v>8.9</v>
      </c>
      <c r="H447" s="5">
        <v>47.432983752844443</v>
      </c>
      <c r="I447" s="5"/>
      <c r="J447" s="5"/>
      <c r="K447" s="5">
        <v>95</v>
      </c>
    </row>
    <row r="448" spans="1:11" x14ac:dyDescent="0.25">
      <c r="A448" s="2">
        <v>46116.041666666657</v>
      </c>
      <c r="B448" t="str">
        <f t="shared" si="12"/>
        <v>2026-04</v>
      </c>
      <c r="C448" s="3">
        <f t="shared" si="13"/>
        <v>1</v>
      </c>
      <c r="D448" s="4">
        <v>23.302087526783328</v>
      </c>
      <c r="E448" s="4"/>
      <c r="F448" s="4"/>
      <c r="G448" s="4">
        <v>8.6</v>
      </c>
      <c r="H448" s="5">
        <v>48.158650333261122</v>
      </c>
      <c r="I448" s="5"/>
      <c r="J448" s="5"/>
      <c r="K448" s="5">
        <v>95</v>
      </c>
    </row>
    <row r="449" spans="1:11" x14ac:dyDescent="0.25">
      <c r="A449" s="2">
        <v>46116.083333333343</v>
      </c>
      <c r="B449" t="str">
        <f t="shared" si="12"/>
        <v>2026-04</v>
      </c>
      <c r="C449" s="3">
        <f t="shared" si="13"/>
        <v>2</v>
      </c>
      <c r="D449" s="4">
        <v>23.214339655958341</v>
      </c>
      <c r="E449" s="4"/>
      <c r="F449" s="4"/>
      <c r="G449" s="4">
        <v>7.9</v>
      </c>
      <c r="H449" s="5">
        <v>47.760077766844439</v>
      </c>
      <c r="I449" s="5"/>
      <c r="J449" s="5"/>
      <c r="K449" s="5">
        <v>96</v>
      </c>
    </row>
    <row r="450" spans="1:11" x14ac:dyDescent="0.25">
      <c r="A450" s="2">
        <v>46116.125</v>
      </c>
      <c r="B450" t="str">
        <f t="shared" ref="B450:B513" si="14">TEXT(A450,"yyyy-mm")</f>
        <v>2026-04</v>
      </c>
      <c r="C450" s="3">
        <f t="shared" ref="C450:C513" si="15">HOUR(A450)</f>
        <v>3</v>
      </c>
      <c r="D450" s="4">
        <v>23.157806454252778</v>
      </c>
      <c r="E450" s="4"/>
      <c r="F450" s="4"/>
      <c r="G450" s="4">
        <v>9.1</v>
      </c>
      <c r="H450" s="5">
        <v>47.386076498844439</v>
      </c>
      <c r="I450" s="5"/>
      <c r="J450" s="5"/>
      <c r="K450" s="5">
        <v>93</v>
      </c>
    </row>
    <row r="451" spans="1:11" x14ac:dyDescent="0.25">
      <c r="A451" s="2">
        <v>46116.166666666657</v>
      </c>
      <c r="B451" t="str">
        <f t="shared" si="14"/>
        <v>2026-04</v>
      </c>
      <c r="C451" s="3">
        <f t="shared" si="15"/>
        <v>4</v>
      </c>
      <c r="D451" s="4">
        <v>23.113309656027781</v>
      </c>
      <c r="E451" s="4"/>
      <c r="F451" s="4"/>
      <c r="G451" s="4">
        <v>9</v>
      </c>
      <c r="H451" s="5">
        <v>47.123600137219448</v>
      </c>
      <c r="I451" s="5"/>
      <c r="J451" s="5"/>
      <c r="K451" s="5">
        <v>93</v>
      </c>
    </row>
    <row r="452" spans="1:11" x14ac:dyDescent="0.25">
      <c r="A452" s="2">
        <v>46116.208333333343</v>
      </c>
      <c r="B452" t="str">
        <f t="shared" si="14"/>
        <v>2026-04</v>
      </c>
      <c r="C452" s="3">
        <f t="shared" si="15"/>
        <v>5</v>
      </c>
      <c r="D452" s="4">
        <v>23.07961183702222</v>
      </c>
      <c r="E452" s="4"/>
      <c r="F452" s="4"/>
      <c r="G452" s="4">
        <v>8.6999999999999993</v>
      </c>
      <c r="H452" s="5">
        <v>46.630924000402779</v>
      </c>
      <c r="I452" s="5"/>
      <c r="J452" s="5"/>
      <c r="K452" s="5">
        <v>94</v>
      </c>
    </row>
    <row r="453" spans="1:11" x14ac:dyDescent="0.25">
      <c r="A453" s="2">
        <v>46116.25</v>
      </c>
      <c r="B453" t="str">
        <f t="shared" si="14"/>
        <v>2026-04</v>
      </c>
      <c r="C453" s="3">
        <f t="shared" si="15"/>
        <v>6</v>
      </c>
      <c r="D453" s="4">
        <v>23.089079533880561</v>
      </c>
      <c r="E453" s="4"/>
      <c r="F453" s="4"/>
      <c r="G453" s="4">
        <v>8.4</v>
      </c>
      <c r="H453" s="5">
        <v>46.545447426791668</v>
      </c>
      <c r="I453" s="5"/>
      <c r="J453" s="5"/>
      <c r="K453" s="5">
        <v>94</v>
      </c>
    </row>
    <row r="454" spans="1:11" x14ac:dyDescent="0.25">
      <c r="A454" s="2">
        <v>46116.291666666657</v>
      </c>
      <c r="B454" t="str">
        <f t="shared" si="14"/>
        <v>2026-04</v>
      </c>
      <c r="C454" s="3">
        <f t="shared" si="15"/>
        <v>7</v>
      </c>
      <c r="D454" s="4">
        <v>23.411995561019442</v>
      </c>
      <c r="E454" s="4"/>
      <c r="F454" s="4"/>
      <c r="G454" s="4">
        <v>8.4</v>
      </c>
      <c r="H454" s="5">
        <v>45.827531958741673</v>
      </c>
      <c r="I454" s="5"/>
      <c r="J454" s="5"/>
      <c r="K454" s="5">
        <v>94</v>
      </c>
    </row>
    <row r="455" spans="1:11" x14ac:dyDescent="0.25">
      <c r="A455" s="2">
        <v>46116.333333333343</v>
      </c>
      <c r="B455" t="str">
        <f t="shared" si="14"/>
        <v>2026-04</v>
      </c>
      <c r="C455" s="3">
        <f t="shared" si="15"/>
        <v>8</v>
      </c>
      <c r="D455" s="4">
        <v>23.55613642931111</v>
      </c>
      <c r="E455" s="4"/>
      <c r="F455" s="4"/>
      <c r="G455" s="4">
        <v>9.6</v>
      </c>
      <c r="H455" s="5">
        <v>45.48669558741944</v>
      </c>
      <c r="I455" s="5"/>
      <c r="J455" s="5"/>
      <c r="K455" s="5">
        <v>93</v>
      </c>
    </row>
    <row r="456" spans="1:11" x14ac:dyDescent="0.25">
      <c r="A456" s="2">
        <v>46116.375</v>
      </c>
      <c r="B456" t="str">
        <f t="shared" si="14"/>
        <v>2026-04</v>
      </c>
      <c r="C456" s="3">
        <f t="shared" si="15"/>
        <v>9</v>
      </c>
      <c r="D456" s="4">
        <v>24.218415447183329</v>
      </c>
      <c r="E456" s="4"/>
      <c r="F456" s="4"/>
      <c r="G456" s="4">
        <v>11.5</v>
      </c>
      <c r="H456" s="5">
        <v>43.516448391925003</v>
      </c>
      <c r="I456" s="5"/>
      <c r="J456" s="5"/>
      <c r="K456" s="5">
        <v>88</v>
      </c>
    </row>
    <row r="457" spans="1:11" x14ac:dyDescent="0.25">
      <c r="A457" s="2">
        <v>46116.416666666657</v>
      </c>
      <c r="B457" t="str">
        <f t="shared" si="14"/>
        <v>2026-04</v>
      </c>
      <c r="C457" s="3">
        <f t="shared" si="15"/>
        <v>10</v>
      </c>
      <c r="D457" s="4">
        <v>24.23344430743612</v>
      </c>
      <c r="E457" s="4"/>
      <c r="F457" s="4"/>
      <c r="G457" s="4">
        <v>12.6</v>
      </c>
      <c r="H457" s="5">
        <v>44.299152585644443</v>
      </c>
      <c r="I457" s="5"/>
      <c r="J457" s="5"/>
      <c r="K457" s="5">
        <v>84</v>
      </c>
    </row>
    <row r="458" spans="1:11" x14ac:dyDescent="0.25">
      <c r="A458" s="2">
        <v>46116.458333333343</v>
      </c>
      <c r="B458" t="str">
        <f t="shared" si="14"/>
        <v>2026-04</v>
      </c>
      <c r="C458" s="3">
        <f t="shared" si="15"/>
        <v>11</v>
      </c>
      <c r="D458" s="4">
        <v>24.275278965677781</v>
      </c>
      <c r="E458" s="4"/>
      <c r="F458" s="4"/>
      <c r="G458" s="4">
        <v>14.7</v>
      </c>
      <c r="H458" s="5">
        <v>44.684104180858327</v>
      </c>
      <c r="I458" s="5"/>
      <c r="J458" s="5"/>
      <c r="K458" s="5">
        <v>76</v>
      </c>
    </row>
    <row r="459" spans="1:11" x14ac:dyDescent="0.25">
      <c r="A459" s="2">
        <v>46116.5</v>
      </c>
      <c r="B459" t="str">
        <f t="shared" si="14"/>
        <v>2026-04</v>
      </c>
      <c r="C459" s="3">
        <f t="shared" si="15"/>
        <v>12</v>
      </c>
      <c r="D459" s="4">
        <v>24.368196530222221</v>
      </c>
      <c r="E459" s="4"/>
      <c r="F459" s="4"/>
      <c r="G459" s="4">
        <v>16.100000000000001</v>
      </c>
      <c r="H459" s="5">
        <v>45.767391071475011</v>
      </c>
      <c r="I459" s="5"/>
      <c r="J459" s="5"/>
      <c r="K459" s="5">
        <v>68</v>
      </c>
    </row>
    <row r="460" spans="1:11" x14ac:dyDescent="0.25">
      <c r="A460" s="2">
        <v>46116.541666666657</v>
      </c>
      <c r="B460" t="str">
        <f t="shared" si="14"/>
        <v>2026-04</v>
      </c>
      <c r="C460" s="3">
        <f t="shared" si="15"/>
        <v>13</v>
      </c>
      <c r="D460" s="4">
        <v>24.55656592314444</v>
      </c>
      <c r="E460" s="4"/>
      <c r="F460" s="4"/>
      <c r="G460" s="4">
        <v>16.3</v>
      </c>
      <c r="H460" s="5">
        <v>46.688411944763892</v>
      </c>
      <c r="I460" s="5"/>
      <c r="J460" s="5"/>
      <c r="K460" s="5">
        <v>66</v>
      </c>
    </row>
    <row r="461" spans="1:11" x14ac:dyDescent="0.25">
      <c r="A461" s="2">
        <v>46116.583333333343</v>
      </c>
      <c r="B461" t="str">
        <f t="shared" si="14"/>
        <v>2026-04</v>
      </c>
      <c r="C461" s="3">
        <f t="shared" si="15"/>
        <v>14</v>
      </c>
      <c r="D461" s="4">
        <v>24.445120598236109</v>
      </c>
      <c r="E461" s="4"/>
      <c r="F461" s="4"/>
      <c r="G461" s="4">
        <v>16.600000000000001</v>
      </c>
      <c r="H461" s="5">
        <v>41.043965635816669</v>
      </c>
      <c r="I461" s="5"/>
      <c r="J461" s="5"/>
      <c r="K461" s="5">
        <v>63</v>
      </c>
    </row>
    <row r="462" spans="1:11" x14ac:dyDescent="0.25">
      <c r="A462" s="2">
        <v>46116.625</v>
      </c>
      <c r="B462" t="str">
        <f t="shared" si="14"/>
        <v>2026-04</v>
      </c>
      <c r="C462" s="3">
        <f t="shared" si="15"/>
        <v>15</v>
      </c>
      <c r="D462" s="4">
        <v>24.436721321661111</v>
      </c>
      <c r="E462" s="4">
        <v>25.587983908106771</v>
      </c>
      <c r="F462" s="4"/>
      <c r="G462" s="4">
        <v>14.2</v>
      </c>
      <c r="H462" s="5">
        <v>42.658612286644441</v>
      </c>
      <c r="I462" s="5">
        <v>40.943838693228187</v>
      </c>
      <c r="J462" s="5"/>
      <c r="K462" s="5">
        <v>78</v>
      </c>
    </row>
    <row r="463" spans="1:11" x14ac:dyDescent="0.25">
      <c r="A463" s="2">
        <v>46116.666666666657</v>
      </c>
      <c r="B463" t="str">
        <f t="shared" si="14"/>
        <v>2026-04</v>
      </c>
      <c r="C463" s="3">
        <f t="shared" si="15"/>
        <v>16</v>
      </c>
      <c r="D463" s="4">
        <v>24.193552301038888</v>
      </c>
      <c r="E463" s="4">
        <v>25.410360869933339</v>
      </c>
      <c r="F463" s="4"/>
      <c r="G463" s="4">
        <v>14.2</v>
      </c>
      <c r="H463" s="5">
        <v>45.109583249288903</v>
      </c>
      <c r="I463" s="5">
        <v>42.045472329144452</v>
      </c>
      <c r="J463" s="5"/>
      <c r="K463" s="5">
        <v>73</v>
      </c>
    </row>
    <row r="464" spans="1:11" x14ac:dyDescent="0.25">
      <c r="A464" s="2">
        <v>46116.708333333343</v>
      </c>
      <c r="B464" t="str">
        <f t="shared" si="14"/>
        <v>2026-04</v>
      </c>
      <c r="C464" s="3">
        <f t="shared" si="15"/>
        <v>17</v>
      </c>
      <c r="D464" s="4">
        <v>23.775955764666669</v>
      </c>
      <c r="E464" s="4"/>
      <c r="F464" s="4"/>
      <c r="G464" s="4">
        <v>15.1</v>
      </c>
      <c r="H464" s="5">
        <v>45.177889331066673</v>
      </c>
      <c r="I464" s="5"/>
      <c r="J464" s="5"/>
      <c r="K464" s="5">
        <v>65</v>
      </c>
    </row>
    <row r="465" spans="1:11" x14ac:dyDescent="0.25">
      <c r="A465" s="2">
        <v>46116.75</v>
      </c>
      <c r="B465" t="str">
        <f t="shared" si="14"/>
        <v>2026-04</v>
      </c>
      <c r="C465" s="3">
        <f t="shared" si="15"/>
        <v>18</v>
      </c>
      <c r="D465" s="4">
        <v>23.257119515986108</v>
      </c>
      <c r="E465" s="4">
        <v>25.252453980092831</v>
      </c>
      <c r="F465" s="4"/>
      <c r="G465" s="4">
        <v>14.5</v>
      </c>
      <c r="H465" s="5">
        <v>44.058058383622217</v>
      </c>
      <c r="I465" s="5">
        <v>40.356450052320703</v>
      </c>
      <c r="J465" s="5"/>
      <c r="K465" s="5">
        <v>72</v>
      </c>
    </row>
    <row r="466" spans="1:11" x14ac:dyDescent="0.25">
      <c r="A466" s="2">
        <v>46116.791666666657</v>
      </c>
      <c r="B466" t="str">
        <f t="shared" si="14"/>
        <v>2026-04</v>
      </c>
      <c r="C466" s="3">
        <f t="shared" si="15"/>
        <v>19</v>
      </c>
      <c r="D466" s="4">
        <v>22.958649443127779</v>
      </c>
      <c r="E466" s="4">
        <v>24.643175600409091</v>
      </c>
      <c r="F466" s="4">
        <v>24.540415449987531</v>
      </c>
      <c r="G466" s="4">
        <v>12.8</v>
      </c>
      <c r="H466" s="5">
        <v>44.024788614800002</v>
      </c>
      <c r="I466" s="5">
        <v>44.915054509166673</v>
      </c>
      <c r="J466" s="5">
        <v>56.121924773386787</v>
      </c>
      <c r="K466" s="5">
        <v>75</v>
      </c>
    </row>
    <row r="467" spans="1:11" x14ac:dyDescent="0.25">
      <c r="A467" s="2">
        <v>46116.833333333343</v>
      </c>
      <c r="B467" t="str">
        <f t="shared" si="14"/>
        <v>2026-04</v>
      </c>
      <c r="C467" s="3">
        <f t="shared" si="15"/>
        <v>20</v>
      </c>
      <c r="D467" s="4">
        <v>22.2377975731</v>
      </c>
      <c r="E467" s="4">
        <v>24.33227549381667</v>
      </c>
      <c r="F467" s="4">
        <v>24.650355495494441</v>
      </c>
      <c r="G467" s="4">
        <v>11.4</v>
      </c>
      <c r="H467" s="5">
        <v>44.165605779022222</v>
      </c>
      <c r="I467" s="5">
        <v>43.834495522658329</v>
      </c>
      <c r="J467" s="5">
        <v>54.564765382880559</v>
      </c>
      <c r="K467" s="5">
        <v>80</v>
      </c>
    </row>
    <row r="468" spans="1:11" x14ac:dyDescent="0.25">
      <c r="A468" s="2">
        <v>46116.875</v>
      </c>
      <c r="B468" t="str">
        <f t="shared" si="14"/>
        <v>2026-04</v>
      </c>
      <c r="C468" s="3">
        <f t="shared" si="15"/>
        <v>21</v>
      </c>
      <c r="D468" s="4">
        <v>21.98270442036112</v>
      </c>
      <c r="E468" s="4">
        <v>24.131826178166669</v>
      </c>
      <c r="F468" s="4">
        <v>24.801270801558331</v>
      </c>
      <c r="G468" s="4">
        <v>10.9</v>
      </c>
      <c r="H468" s="5">
        <v>44.551442332433339</v>
      </c>
      <c r="I468" s="5">
        <v>44.389739498888893</v>
      </c>
      <c r="J468" s="5">
        <v>52.75832489676111</v>
      </c>
      <c r="K468" s="5">
        <v>86</v>
      </c>
    </row>
    <row r="469" spans="1:11" x14ac:dyDescent="0.25">
      <c r="A469" s="2">
        <v>46116.916666666657</v>
      </c>
      <c r="B469" t="str">
        <f t="shared" si="14"/>
        <v>2026-04</v>
      </c>
      <c r="C469" s="3">
        <f t="shared" si="15"/>
        <v>22</v>
      </c>
      <c r="D469" s="4">
        <v>21.88864925966945</v>
      </c>
      <c r="E469" s="4">
        <v>24.336340595144449</v>
      </c>
      <c r="F469" s="4">
        <v>24.85065109606111</v>
      </c>
      <c r="G469" s="4">
        <v>9.9</v>
      </c>
      <c r="H469" s="5">
        <v>45.908639120822222</v>
      </c>
      <c r="I469" s="5">
        <v>44.208771960225</v>
      </c>
      <c r="J469" s="5">
        <v>52.121652672330562</v>
      </c>
      <c r="K469" s="5">
        <v>90</v>
      </c>
    </row>
    <row r="470" spans="1:11" x14ac:dyDescent="0.25">
      <c r="A470" s="2">
        <v>46116.958333333343</v>
      </c>
      <c r="B470" t="str">
        <f t="shared" si="14"/>
        <v>2026-04</v>
      </c>
      <c r="C470" s="3">
        <f t="shared" si="15"/>
        <v>23</v>
      </c>
      <c r="D470" s="4">
        <v>22.122446712819439</v>
      </c>
      <c r="E470" s="4">
        <v>24.564026484555558</v>
      </c>
      <c r="F470" s="4">
        <v>24.888456240983331</v>
      </c>
      <c r="G470" s="4">
        <v>10.1</v>
      </c>
      <c r="H470" s="5">
        <v>45.490850790763893</v>
      </c>
      <c r="I470" s="5">
        <v>42.24158519162777</v>
      </c>
      <c r="J470" s="5">
        <v>51.795917476505558</v>
      </c>
      <c r="K470" s="5">
        <v>90</v>
      </c>
    </row>
    <row r="471" spans="1:11" x14ac:dyDescent="0.25">
      <c r="A471" s="2">
        <v>46117</v>
      </c>
      <c r="B471" t="str">
        <f t="shared" si="14"/>
        <v>2026-04</v>
      </c>
      <c r="C471" s="3">
        <f t="shared" si="15"/>
        <v>0</v>
      </c>
      <c r="D471" s="4">
        <v>22.020320727163892</v>
      </c>
      <c r="E471" s="4">
        <v>24.476016982905549</v>
      </c>
      <c r="F471" s="4">
        <v>24.903305514177781</v>
      </c>
      <c r="G471" s="4">
        <v>10.3</v>
      </c>
      <c r="H471" s="5">
        <v>44.74849777050833</v>
      </c>
      <c r="I471" s="5">
        <v>43.016823928547218</v>
      </c>
      <c r="J471" s="5">
        <v>51.587045585688877</v>
      </c>
      <c r="K471" s="5">
        <v>91</v>
      </c>
    </row>
    <row r="472" spans="1:11" x14ac:dyDescent="0.25">
      <c r="A472" s="2">
        <v>46117.041666666657</v>
      </c>
      <c r="B472" t="str">
        <f t="shared" si="14"/>
        <v>2026-04</v>
      </c>
      <c r="C472" s="3">
        <f t="shared" si="15"/>
        <v>1</v>
      </c>
      <c r="D472" s="4">
        <v>21.656809695552781</v>
      </c>
      <c r="E472" s="4">
        <v>24.167899451791669</v>
      </c>
      <c r="F472" s="4">
        <v>24.907303572438892</v>
      </c>
      <c r="G472" s="4">
        <v>9.6</v>
      </c>
      <c r="H472" s="5">
        <v>43.214861416188889</v>
      </c>
      <c r="I472" s="5">
        <v>43.312938769180562</v>
      </c>
      <c r="J472" s="5">
        <v>51.34609592450834</v>
      </c>
      <c r="K472" s="5">
        <v>89</v>
      </c>
    </row>
    <row r="473" spans="1:11" x14ac:dyDescent="0.25">
      <c r="A473" s="2">
        <v>46117.083333333343</v>
      </c>
      <c r="B473" t="str">
        <f t="shared" si="14"/>
        <v>2026-04</v>
      </c>
      <c r="C473" s="3">
        <f t="shared" si="15"/>
        <v>2</v>
      </c>
      <c r="D473" s="4">
        <v>21.728925065611111</v>
      </c>
      <c r="E473" s="4">
        <v>24.44983872505556</v>
      </c>
      <c r="F473" s="4">
        <v>24.900995245038889</v>
      </c>
      <c r="G473" s="4">
        <v>8.1999999999999993</v>
      </c>
      <c r="H473" s="5">
        <v>42.77182391678889</v>
      </c>
      <c r="I473" s="5">
        <v>39.75480335536389</v>
      </c>
      <c r="J473" s="5">
        <v>51.043882189683337</v>
      </c>
      <c r="K473" s="5">
        <v>79</v>
      </c>
    </row>
    <row r="474" spans="1:11" x14ac:dyDescent="0.25">
      <c r="A474" s="2">
        <v>46117.125</v>
      </c>
      <c r="B474" t="str">
        <f t="shared" si="14"/>
        <v>2026-04</v>
      </c>
      <c r="C474" s="3">
        <f t="shared" si="15"/>
        <v>3</v>
      </c>
      <c r="D474" s="4">
        <v>22.812801280799999</v>
      </c>
      <c r="E474" s="4">
        <v>24.677583153425001</v>
      </c>
      <c r="F474" s="4">
        <v>24.907938294905559</v>
      </c>
      <c r="G474" s="4">
        <v>8.3000000000000007</v>
      </c>
      <c r="H474" s="5">
        <v>46.348334178755557</v>
      </c>
      <c r="I474" s="5">
        <v>41.726342640630563</v>
      </c>
      <c r="J474" s="5">
        <v>50.420472220627772</v>
      </c>
      <c r="K474" s="5">
        <v>64</v>
      </c>
    </row>
    <row r="475" spans="1:11" x14ac:dyDescent="0.25">
      <c r="A475" s="2">
        <v>46117.166666666657</v>
      </c>
      <c r="B475" t="str">
        <f t="shared" si="14"/>
        <v>2026-04</v>
      </c>
      <c r="C475" s="3">
        <f t="shared" si="15"/>
        <v>4</v>
      </c>
      <c r="D475" s="4">
        <v>22.78781829576667</v>
      </c>
      <c r="E475" s="4">
        <v>24.478525633038888</v>
      </c>
      <c r="F475" s="4">
        <v>24.880524625011109</v>
      </c>
      <c r="G475" s="4">
        <v>7.4</v>
      </c>
      <c r="H475" s="5">
        <v>46.962969360041662</v>
      </c>
      <c r="I475" s="5">
        <v>42.080996030477777</v>
      </c>
      <c r="J475" s="5">
        <v>49.847962079652781</v>
      </c>
      <c r="K475" s="5">
        <v>64</v>
      </c>
    </row>
    <row r="476" spans="1:11" x14ac:dyDescent="0.25">
      <c r="A476" s="2">
        <v>46117.208333333343</v>
      </c>
      <c r="B476" t="str">
        <f t="shared" si="14"/>
        <v>2026-04</v>
      </c>
      <c r="C476" s="3">
        <f t="shared" si="15"/>
        <v>5</v>
      </c>
      <c r="D476" s="4">
        <v>22.716958643733332</v>
      </c>
      <c r="E476" s="4">
        <v>24.357395940055561</v>
      </c>
      <c r="F476" s="4">
        <v>24.856021312380559</v>
      </c>
      <c r="G476" s="4">
        <v>6.5</v>
      </c>
      <c r="H476" s="5">
        <v>46.713304126755553</v>
      </c>
      <c r="I476" s="5">
        <v>41.902203072147223</v>
      </c>
      <c r="J476" s="5">
        <v>49.389734238677782</v>
      </c>
      <c r="K476" s="5">
        <v>67</v>
      </c>
    </row>
    <row r="477" spans="1:11" x14ac:dyDescent="0.25">
      <c r="A477" s="2">
        <v>46117.25</v>
      </c>
      <c r="B477" t="str">
        <f t="shared" si="14"/>
        <v>2026-04</v>
      </c>
      <c r="C477" s="3">
        <f t="shared" si="15"/>
        <v>6</v>
      </c>
      <c r="D477" s="4">
        <v>22.920253446591669</v>
      </c>
      <c r="E477" s="4">
        <v>24.320242884877771</v>
      </c>
      <c r="F477" s="4">
        <v>24.863398455247221</v>
      </c>
      <c r="G477" s="4">
        <v>5.8</v>
      </c>
      <c r="H477" s="5">
        <v>46.123349706769439</v>
      </c>
      <c r="I477" s="5">
        <v>41.944679077772221</v>
      </c>
      <c r="J477" s="5">
        <v>49.006211455888888</v>
      </c>
      <c r="K477" s="5">
        <v>69</v>
      </c>
    </row>
    <row r="478" spans="1:11" x14ac:dyDescent="0.25">
      <c r="A478" s="2">
        <v>46117.291666666657</v>
      </c>
      <c r="B478" t="str">
        <f t="shared" si="14"/>
        <v>2026-04</v>
      </c>
      <c r="C478" s="3">
        <f t="shared" si="15"/>
        <v>7</v>
      </c>
      <c r="D478" s="4">
        <v>23.771692891336109</v>
      </c>
      <c r="E478" s="4">
        <v>24.888860011347219</v>
      </c>
      <c r="F478" s="4">
        <v>24.875583528755559</v>
      </c>
      <c r="G478" s="4">
        <v>6.3</v>
      </c>
      <c r="H478" s="5">
        <v>43.102349230250013</v>
      </c>
      <c r="I478" s="5">
        <v>41.407168514647218</v>
      </c>
      <c r="J478" s="5">
        <v>48.684907917472223</v>
      </c>
      <c r="K478" s="5">
        <v>66</v>
      </c>
    </row>
    <row r="479" spans="1:11" x14ac:dyDescent="0.25">
      <c r="A479" s="2">
        <v>46117.333333333343</v>
      </c>
      <c r="B479" t="str">
        <f t="shared" si="14"/>
        <v>2026-04</v>
      </c>
      <c r="C479" s="3">
        <f t="shared" si="15"/>
        <v>8</v>
      </c>
      <c r="D479" s="4">
        <v>24.439330671763891</v>
      </c>
      <c r="E479" s="4">
        <v>25.50745244901389</v>
      </c>
      <c r="F479" s="4">
        <v>24.89170437049167</v>
      </c>
      <c r="G479" s="4">
        <v>8</v>
      </c>
      <c r="H479" s="5">
        <v>42.541536338563887</v>
      </c>
      <c r="I479" s="5">
        <v>40.679390449972232</v>
      </c>
      <c r="J479" s="5">
        <v>48.428977753352783</v>
      </c>
      <c r="K479" s="5">
        <v>65</v>
      </c>
    </row>
    <row r="480" spans="1:11" x14ac:dyDescent="0.25">
      <c r="A480" s="2">
        <v>46117.375</v>
      </c>
      <c r="B480" t="str">
        <f t="shared" si="14"/>
        <v>2026-04</v>
      </c>
      <c r="C480" s="3">
        <f t="shared" si="15"/>
        <v>9</v>
      </c>
      <c r="D480" s="4">
        <v>24.68626096951667</v>
      </c>
      <c r="E480" s="4">
        <v>25.762349334025</v>
      </c>
      <c r="F480" s="4">
        <v>24.928100106477771</v>
      </c>
      <c r="G480" s="4">
        <v>10.199999999999999</v>
      </c>
      <c r="H480" s="5">
        <v>43.446860051733331</v>
      </c>
      <c r="I480" s="5">
        <v>40.963047618058333</v>
      </c>
      <c r="J480" s="5">
        <v>48.706025838263884</v>
      </c>
      <c r="K480" s="5">
        <v>61</v>
      </c>
    </row>
    <row r="481" spans="1:11" x14ac:dyDescent="0.25">
      <c r="A481" s="2">
        <v>46117.416666666657</v>
      </c>
      <c r="B481" t="str">
        <f t="shared" si="14"/>
        <v>2026-04</v>
      </c>
      <c r="C481" s="3">
        <f t="shared" si="15"/>
        <v>10</v>
      </c>
      <c r="D481" s="4">
        <v>24.773859599630551</v>
      </c>
      <c r="E481" s="4">
        <v>25.783565840024998</v>
      </c>
      <c r="F481" s="4">
        <v>24.973652345008329</v>
      </c>
      <c r="G481" s="4">
        <v>11.1</v>
      </c>
      <c r="H481" s="5">
        <v>43.714548259397219</v>
      </c>
      <c r="I481" s="5">
        <v>41.489024135186114</v>
      </c>
      <c r="J481" s="5">
        <v>48.938072152863889</v>
      </c>
      <c r="K481" s="5">
        <v>57</v>
      </c>
    </row>
    <row r="482" spans="1:11" x14ac:dyDescent="0.25">
      <c r="A482" s="2">
        <v>46117.458333333343</v>
      </c>
      <c r="B482" t="str">
        <f t="shared" si="14"/>
        <v>2026-04</v>
      </c>
      <c r="C482" s="3">
        <f t="shared" si="15"/>
        <v>11</v>
      </c>
      <c r="D482" s="4">
        <v>25.142250193505561</v>
      </c>
      <c r="E482" s="4">
        <v>26.408881404105561</v>
      </c>
      <c r="F482" s="4">
        <v>25.02474987301667</v>
      </c>
      <c r="G482" s="4">
        <v>12.7</v>
      </c>
      <c r="H482" s="5">
        <v>45.673263369805561</v>
      </c>
      <c r="I482" s="5">
        <v>44.762330030133327</v>
      </c>
      <c r="J482" s="5">
        <v>49.397236235105559</v>
      </c>
      <c r="K482" s="5">
        <v>51</v>
      </c>
    </row>
    <row r="483" spans="1:11" x14ac:dyDescent="0.25">
      <c r="A483" s="2">
        <v>46117.5</v>
      </c>
      <c r="B483" t="str">
        <f t="shared" si="14"/>
        <v>2026-04</v>
      </c>
      <c r="C483" s="3">
        <f t="shared" si="15"/>
        <v>12</v>
      </c>
      <c r="D483" s="4">
        <v>25.135371358413892</v>
      </c>
      <c r="E483" s="4">
        <v>26.644757296877781</v>
      </c>
      <c r="F483" s="4">
        <v>25.081347075602778</v>
      </c>
      <c r="G483" s="4">
        <v>13.1</v>
      </c>
      <c r="H483" s="5">
        <v>48.981761223936111</v>
      </c>
      <c r="I483" s="5">
        <v>44.371103286191669</v>
      </c>
      <c r="J483" s="5">
        <v>50.161958401933333</v>
      </c>
      <c r="K483" s="5">
        <v>33</v>
      </c>
    </row>
    <row r="484" spans="1:11" x14ac:dyDescent="0.25">
      <c r="A484" s="2">
        <v>46117.541666666657</v>
      </c>
      <c r="B484" t="str">
        <f t="shared" si="14"/>
        <v>2026-04</v>
      </c>
      <c r="C484" s="3">
        <f t="shared" si="15"/>
        <v>13</v>
      </c>
      <c r="D484" s="4">
        <v>24.827897391886111</v>
      </c>
      <c r="E484" s="4">
        <v>26.051848951111111</v>
      </c>
      <c r="F484" s="4">
        <v>25.115204824336111</v>
      </c>
      <c r="G484" s="4">
        <v>13.2</v>
      </c>
      <c r="H484" s="5">
        <v>48.243407505383338</v>
      </c>
      <c r="I484" s="5">
        <v>42.710982343469453</v>
      </c>
      <c r="J484" s="5">
        <v>50.961071960308338</v>
      </c>
      <c r="K484" s="5">
        <v>31</v>
      </c>
    </row>
    <row r="485" spans="1:11" x14ac:dyDescent="0.25">
      <c r="A485" s="2">
        <v>46117.583333333343</v>
      </c>
      <c r="B485" t="str">
        <f t="shared" si="14"/>
        <v>2026-04</v>
      </c>
      <c r="C485" s="3">
        <f t="shared" si="15"/>
        <v>14</v>
      </c>
      <c r="D485" s="4">
        <v>24.392955036886111</v>
      </c>
      <c r="E485" s="4">
        <v>25.11673539423056</v>
      </c>
      <c r="F485" s="4">
        <v>25.073847079966669</v>
      </c>
      <c r="G485" s="4">
        <v>13.5</v>
      </c>
      <c r="H485" s="5">
        <v>36.438067672800003</v>
      </c>
      <c r="I485" s="5">
        <v>34.573928918725002</v>
      </c>
      <c r="J485" s="5">
        <v>50.067727880255553</v>
      </c>
      <c r="K485" s="5">
        <v>31</v>
      </c>
    </row>
    <row r="486" spans="1:11" x14ac:dyDescent="0.25">
      <c r="A486" s="2">
        <v>46117.625</v>
      </c>
      <c r="B486" t="str">
        <f t="shared" si="14"/>
        <v>2026-04</v>
      </c>
      <c r="C486" s="3">
        <f t="shared" si="15"/>
        <v>15</v>
      </c>
      <c r="D486" s="4">
        <v>24.102566603547221</v>
      </c>
      <c r="E486" s="4">
        <v>24.76102556396944</v>
      </c>
      <c r="F486" s="4">
        <v>25.018367756561108</v>
      </c>
      <c r="G486" s="4">
        <v>13.6</v>
      </c>
      <c r="H486" s="5">
        <v>33.041525516924999</v>
      </c>
      <c r="I486" s="5">
        <v>31.534835777677781</v>
      </c>
      <c r="J486" s="5">
        <v>49.263855269644438</v>
      </c>
      <c r="K486" s="5">
        <v>31</v>
      </c>
    </row>
    <row r="487" spans="1:11" x14ac:dyDescent="0.25">
      <c r="A487" s="2">
        <v>46117.666666666657</v>
      </c>
      <c r="B487" t="str">
        <f t="shared" si="14"/>
        <v>2026-04</v>
      </c>
      <c r="C487" s="3">
        <f t="shared" si="15"/>
        <v>16</v>
      </c>
      <c r="D487" s="4">
        <v>23.833793485805561</v>
      </c>
      <c r="E487" s="4">
        <v>24.543369731166671</v>
      </c>
      <c r="F487" s="4">
        <v>24.970346724630559</v>
      </c>
      <c r="G487" s="4">
        <v>13.3</v>
      </c>
      <c r="H487" s="5">
        <v>30.78034484283889</v>
      </c>
      <c r="I487" s="5">
        <v>29.891428189980559</v>
      </c>
      <c r="J487" s="5">
        <v>48.592873238211112</v>
      </c>
      <c r="K487" s="5">
        <v>32</v>
      </c>
    </row>
    <row r="488" spans="1:11" x14ac:dyDescent="0.25">
      <c r="A488" s="2">
        <v>46117.708333333343</v>
      </c>
      <c r="B488" t="str">
        <f t="shared" si="14"/>
        <v>2026-04</v>
      </c>
      <c r="C488" s="3">
        <f t="shared" si="15"/>
        <v>17</v>
      </c>
      <c r="D488" s="4">
        <v>23.621639040575001</v>
      </c>
      <c r="E488" s="4">
        <v>24.343929235080559</v>
      </c>
      <c r="F488" s="4">
        <v>24.941162948288891</v>
      </c>
      <c r="G488" s="4">
        <v>12.7</v>
      </c>
      <c r="H488" s="5">
        <v>29.8801344042</v>
      </c>
      <c r="I488" s="5">
        <v>29.169694218744439</v>
      </c>
      <c r="J488" s="5">
        <v>47.944645578591668</v>
      </c>
      <c r="K488" s="5">
        <v>34</v>
      </c>
    </row>
    <row r="489" spans="1:11" x14ac:dyDescent="0.25">
      <c r="A489" s="2">
        <v>46117.75</v>
      </c>
      <c r="B489" t="str">
        <f t="shared" si="14"/>
        <v>2026-04</v>
      </c>
      <c r="C489" s="3">
        <f t="shared" si="15"/>
        <v>18</v>
      </c>
      <c r="D489" s="4">
        <v>23.464557165491669</v>
      </c>
      <c r="E489" s="4">
        <v>24.319481029155561</v>
      </c>
      <c r="F489" s="4">
        <v>24.92532959308889</v>
      </c>
      <c r="G489" s="4">
        <v>11.8</v>
      </c>
      <c r="H489" s="5">
        <v>33.428857201477783</v>
      </c>
      <c r="I489" s="5">
        <v>33.88399283891389</v>
      </c>
      <c r="J489" s="5">
        <v>47.818509787161112</v>
      </c>
      <c r="K489" s="5">
        <v>38</v>
      </c>
    </row>
    <row r="490" spans="1:11" x14ac:dyDescent="0.25">
      <c r="A490" s="2">
        <v>46117.791666666657</v>
      </c>
      <c r="B490" t="str">
        <f t="shared" si="14"/>
        <v>2026-04</v>
      </c>
      <c r="C490" s="3">
        <f t="shared" si="15"/>
        <v>19</v>
      </c>
      <c r="D490" s="4">
        <v>23.565215347991671</v>
      </c>
      <c r="E490" s="4">
        <v>24.75035875707778</v>
      </c>
      <c r="F490" s="4">
        <v>24.92917033105833</v>
      </c>
      <c r="G490" s="4">
        <v>10.3</v>
      </c>
      <c r="H490" s="5">
        <v>37.284710271094447</v>
      </c>
      <c r="I490" s="5">
        <v>36.838179251638877</v>
      </c>
      <c r="J490" s="5">
        <v>48.281617657480552</v>
      </c>
      <c r="K490" s="5">
        <v>42</v>
      </c>
    </row>
    <row r="491" spans="1:11" x14ac:dyDescent="0.25">
      <c r="A491" s="2">
        <v>46117.833333333343</v>
      </c>
      <c r="B491" t="str">
        <f t="shared" si="14"/>
        <v>2026-04</v>
      </c>
      <c r="C491" s="3">
        <f t="shared" si="15"/>
        <v>20</v>
      </c>
      <c r="D491" s="4">
        <v>23.660606467699999</v>
      </c>
      <c r="E491" s="4">
        <v>25.123534105625001</v>
      </c>
      <c r="F491" s="4">
        <v>24.9336386614</v>
      </c>
      <c r="G491" s="4">
        <v>9.1999999999999993</v>
      </c>
      <c r="H491" s="5">
        <v>36.346360104230563</v>
      </c>
      <c r="I491" s="5">
        <v>37.011361833430549</v>
      </c>
      <c r="J491" s="5">
        <v>48.411546584911122</v>
      </c>
      <c r="K491" s="5">
        <v>45</v>
      </c>
    </row>
    <row r="492" spans="1:11" x14ac:dyDescent="0.25">
      <c r="A492" s="2">
        <v>46117.875</v>
      </c>
      <c r="B492" t="str">
        <f t="shared" si="14"/>
        <v>2026-04</v>
      </c>
      <c r="C492" s="3">
        <f t="shared" si="15"/>
        <v>21</v>
      </c>
      <c r="D492" s="4">
        <v>23.65296573704444</v>
      </c>
      <c r="E492" s="4">
        <v>25.397253401161109</v>
      </c>
      <c r="F492" s="4">
        <v>24.950090591563889</v>
      </c>
      <c r="G492" s="4">
        <v>8.8000000000000007</v>
      </c>
      <c r="H492" s="5">
        <v>34.445958479300003</v>
      </c>
      <c r="I492" s="5">
        <v>34.690148909866657</v>
      </c>
      <c r="J492" s="5">
        <v>48.344947038411107</v>
      </c>
      <c r="K492" s="5">
        <v>49</v>
      </c>
    </row>
    <row r="493" spans="1:11" x14ac:dyDescent="0.25">
      <c r="A493" s="2">
        <v>46117.916666666657</v>
      </c>
      <c r="B493" t="str">
        <f t="shared" si="14"/>
        <v>2026-04</v>
      </c>
      <c r="C493" s="3">
        <f t="shared" si="15"/>
        <v>22</v>
      </c>
      <c r="D493" s="4">
        <v>23.51504650174445</v>
      </c>
      <c r="E493" s="4">
        <v>25.443510687169439</v>
      </c>
      <c r="F493" s="4">
        <v>24.951317009033328</v>
      </c>
      <c r="G493" s="4">
        <v>7.8</v>
      </c>
      <c r="H493" s="5">
        <v>39.036727852672222</v>
      </c>
      <c r="I493" s="5">
        <v>37.326349704697222</v>
      </c>
      <c r="J493" s="5">
        <v>47.263201790577767</v>
      </c>
      <c r="K493" s="5">
        <v>55</v>
      </c>
    </row>
    <row r="494" spans="1:11" x14ac:dyDescent="0.25">
      <c r="A494" s="2">
        <v>46117.958333333343</v>
      </c>
      <c r="B494" t="str">
        <f t="shared" si="14"/>
        <v>2026-04</v>
      </c>
      <c r="C494" s="3">
        <f t="shared" si="15"/>
        <v>23</v>
      </c>
      <c r="D494" s="4">
        <v>23.568580071294441</v>
      </c>
      <c r="E494" s="4">
        <v>25.44694445747222</v>
      </c>
      <c r="F494" s="4">
        <v>24.974969120730549</v>
      </c>
      <c r="G494" s="4">
        <v>6.8</v>
      </c>
      <c r="H494" s="5">
        <v>43.392395545727773</v>
      </c>
      <c r="I494" s="5">
        <v>40.886978172305561</v>
      </c>
      <c r="J494" s="5">
        <v>46.890676786133326</v>
      </c>
      <c r="K494" s="5">
        <v>59</v>
      </c>
    </row>
    <row r="495" spans="1:11" x14ac:dyDescent="0.25">
      <c r="A495" s="2">
        <v>46118</v>
      </c>
      <c r="B495" t="str">
        <f t="shared" si="14"/>
        <v>2026-04</v>
      </c>
      <c r="C495" s="3">
        <f t="shared" si="15"/>
        <v>0</v>
      </c>
      <c r="D495" s="4">
        <v>23.431631164161111</v>
      </c>
      <c r="E495" s="4">
        <v>25.179266679077781</v>
      </c>
      <c r="F495" s="4">
        <v>24.971273730025001</v>
      </c>
      <c r="G495" s="4">
        <v>5.8</v>
      </c>
      <c r="H495" s="5">
        <v>45.476844662075003</v>
      </c>
      <c r="I495" s="5">
        <v>40.667228092513888</v>
      </c>
      <c r="J495" s="5">
        <v>46.449279516730549</v>
      </c>
      <c r="K495" s="5">
        <v>64</v>
      </c>
    </row>
    <row r="496" spans="1:11" x14ac:dyDescent="0.25">
      <c r="A496" s="2">
        <v>46118.041666666657</v>
      </c>
      <c r="B496" t="str">
        <f t="shared" si="14"/>
        <v>2026-04</v>
      </c>
      <c r="C496" s="3">
        <f t="shared" si="15"/>
        <v>1</v>
      </c>
      <c r="D496" s="4">
        <v>23.326222505563891</v>
      </c>
      <c r="E496" s="4">
        <v>24.993851396699998</v>
      </c>
      <c r="F496" s="4">
        <v>24.937841436525002</v>
      </c>
      <c r="G496" s="4">
        <v>5</v>
      </c>
      <c r="H496" s="5">
        <v>43.201240638927779</v>
      </c>
      <c r="I496" s="5">
        <v>39.105847001675002</v>
      </c>
      <c r="J496" s="5">
        <v>46.138719426658326</v>
      </c>
      <c r="K496" s="5">
        <v>68</v>
      </c>
    </row>
    <row r="497" spans="1:11" x14ac:dyDescent="0.25">
      <c r="A497" s="2">
        <v>46118.083333333343</v>
      </c>
      <c r="B497" t="str">
        <f t="shared" si="14"/>
        <v>2026-04</v>
      </c>
      <c r="C497" s="3">
        <f t="shared" si="15"/>
        <v>2</v>
      </c>
      <c r="D497" s="4">
        <v>23.276453367955561</v>
      </c>
      <c r="E497" s="4">
        <v>24.715302413252768</v>
      </c>
      <c r="F497" s="4">
        <v>24.89846108211389</v>
      </c>
      <c r="G497" s="4">
        <v>4.5</v>
      </c>
      <c r="H497" s="5">
        <v>42.232177908875002</v>
      </c>
      <c r="I497" s="5">
        <v>39.747251586572219</v>
      </c>
      <c r="J497" s="5">
        <v>46.024107332916657</v>
      </c>
      <c r="K497" s="5">
        <v>70</v>
      </c>
    </row>
    <row r="498" spans="1:11" x14ac:dyDescent="0.25">
      <c r="A498" s="2">
        <v>46118.125</v>
      </c>
      <c r="B498" t="str">
        <f t="shared" si="14"/>
        <v>2026-04</v>
      </c>
      <c r="C498" s="3">
        <f t="shared" si="15"/>
        <v>3</v>
      </c>
      <c r="D498" s="4">
        <v>23.131014877436112</v>
      </c>
      <c r="E498" s="4">
        <v>24.528991465686111</v>
      </c>
      <c r="F498" s="4">
        <v>24.878056528419449</v>
      </c>
      <c r="G498" s="4">
        <v>4.0999999999999996</v>
      </c>
      <c r="H498" s="5">
        <v>43.183881071413893</v>
      </c>
      <c r="I498" s="5">
        <v>40.453989175858332</v>
      </c>
      <c r="J498" s="5">
        <v>45.933816238683328</v>
      </c>
      <c r="K498" s="5">
        <v>69</v>
      </c>
    </row>
    <row r="499" spans="1:11" x14ac:dyDescent="0.25">
      <c r="A499" s="2">
        <v>46118.166666666657</v>
      </c>
      <c r="B499" t="str">
        <f t="shared" si="14"/>
        <v>2026-04</v>
      </c>
      <c r="C499" s="3">
        <f t="shared" si="15"/>
        <v>4</v>
      </c>
      <c r="D499" s="4">
        <v>23.056462976969438</v>
      </c>
      <c r="E499" s="4">
        <v>24.560849873011112</v>
      </c>
      <c r="F499" s="4">
        <v>24.875881133341672</v>
      </c>
      <c r="G499" s="4">
        <v>3.5</v>
      </c>
      <c r="H499" s="5">
        <v>43.010527074519437</v>
      </c>
      <c r="I499" s="5">
        <v>40.053279788944451</v>
      </c>
      <c r="J499" s="5">
        <v>45.793302520288883</v>
      </c>
      <c r="K499" s="5">
        <v>72</v>
      </c>
    </row>
    <row r="500" spans="1:11" x14ac:dyDescent="0.25">
      <c r="A500" s="2">
        <v>46118.208333333343</v>
      </c>
      <c r="B500" t="str">
        <f t="shared" si="14"/>
        <v>2026-04</v>
      </c>
      <c r="C500" s="3">
        <f t="shared" si="15"/>
        <v>5</v>
      </c>
      <c r="D500" s="4">
        <v>22.972812514166659</v>
      </c>
      <c r="E500" s="4">
        <v>24.34123163596945</v>
      </c>
      <c r="F500" s="4">
        <v>24.860730234361121</v>
      </c>
      <c r="G500" s="4">
        <v>3</v>
      </c>
      <c r="H500" s="5">
        <v>42.835893490919439</v>
      </c>
      <c r="I500" s="5">
        <v>40.104147620630563</v>
      </c>
      <c r="J500" s="5">
        <v>45.653829562022217</v>
      </c>
      <c r="K500" s="5">
        <v>73</v>
      </c>
    </row>
    <row r="501" spans="1:11" x14ac:dyDescent="0.25">
      <c r="A501" s="2">
        <v>46118.25</v>
      </c>
      <c r="B501" t="str">
        <f t="shared" si="14"/>
        <v>2026-04</v>
      </c>
      <c r="C501" s="3">
        <f t="shared" si="15"/>
        <v>6</v>
      </c>
      <c r="D501" s="4">
        <v>23.237258007502781</v>
      </c>
      <c r="E501" s="4">
        <v>24.394616472338889</v>
      </c>
      <c r="F501" s="4">
        <v>24.851742071208331</v>
      </c>
      <c r="G501" s="4">
        <v>2.6</v>
      </c>
      <c r="H501" s="5">
        <v>41.755622858374998</v>
      </c>
      <c r="I501" s="5">
        <v>39.291851912974998</v>
      </c>
      <c r="J501" s="5">
        <v>45.503103058066671</v>
      </c>
      <c r="K501" s="5">
        <v>75</v>
      </c>
    </row>
    <row r="502" spans="1:11" x14ac:dyDescent="0.25">
      <c r="A502" s="2">
        <v>46118.291666666657</v>
      </c>
      <c r="B502" t="str">
        <f t="shared" si="14"/>
        <v>2026-04</v>
      </c>
      <c r="C502" s="3">
        <f t="shared" si="15"/>
        <v>7</v>
      </c>
      <c r="D502" s="4">
        <v>24.141830100949999</v>
      </c>
      <c r="E502" s="4">
        <v>24.98755007010833</v>
      </c>
      <c r="F502" s="4">
        <v>24.86511894732778</v>
      </c>
      <c r="G502" s="4">
        <v>3</v>
      </c>
      <c r="H502" s="5">
        <v>39.041709766827779</v>
      </c>
      <c r="I502" s="5">
        <v>38.477295157797222</v>
      </c>
      <c r="J502" s="5">
        <v>45.35575729989722</v>
      </c>
      <c r="K502" s="5">
        <v>74</v>
      </c>
    </row>
    <row r="503" spans="1:11" x14ac:dyDescent="0.25">
      <c r="A503" s="2">
        <v>46118.333333333343</v>
      </c>
      <c r="B503" t="str">
        <f t="shared" si="14"/>
        <v>2026-04</v>
      </c>
      <c r="C503" s="3">
        <f t="shared" si="15"/>
        <v>8</v>
      </c>
      <c r="D503" s="4">
        <v>24.814574913558332</v>
      </c>
      <c r="E503" s="4">
        <v>25.750815141833328</v>
      </c>
      <c r="F503" s="4">
        <v>24.873190402888891</v>
      </c>
      <c r="G503" s="4">
        <v>5.2</v>
      </c>
      <c r="H503" s="5">
        <v>38.486180383261122</v>
      </c>
      <c r="I503" s="5">
        <v>38.046027908472219</v>
      </c>
      <c r="J503" s="5">
        <v>45.252221696249997</v>
      </c>
      <c r="K503" s="5">
        <v>71</v>
      </c>
    </row>
    <row r="504" spans="1:11" x14ac:dyDescent="0.25">
      <c r="A504" s="2">
        <v>46118.375</v>
      </c>
      <c r="B504" t="str">
        <f t="shared" si="14"/>
        <v>2026-04</v>
      </c>
      <c r="C504" s="3">
        <f t="shared" si="15"/>
        <v>9</v>
      </c>
      <c r="D504" s="4">
        <v>25.277568224063891</v>
      </c>
      <c r="E504" s="4">
        <v>26.443148159347221</v>
      </c>
      <c r="F504" s="4">
        <v>24.876337601330562</v>
      </c>
      <c r="G504" s="4">
        <v>8.6</v>
      </c>
      <c r="H504" s="5">
        <v>38.748694280205562</v>
      </c>
      <c r="I504" s="5">
        <v>37.984750420508327</v>
      </c>
      <c r="J504" s="5">
        <v>45.189798079713889</v>
      </c>
      <c r="K504" s="5">
        <v>61</v>
      </c>
    </row>
    <row r="505" spans="1:11" x14ac:dyDescent="0.25">
      <c r="A505" s="2">
        <v>46118.416666666657</v>
      </c>
      <c r="B505" t="str">
        <f t="shared" si="14"/>
        <v>2026-04</v>
      </c>
      <c r="C505" s="3">
        <f t="shared" si="15"/>
        <v>10</v>
      </c>
      <c r="D505" s="4">
        <v>25.546931550055561</v>
      </c>
      <c r="E505" s="4">
        <v>26.716984220552771</v>
      </c>
      <c r="F505" s="4">
        <v>24.894461057991659</v>
      </c>
      <c r="G505" s="4">
        <v>11.6</v>
      </c>
      <c r="H505" s="5">
        <v>39.71222033596667</v>
      </c>
      <c r="I505" s="5">
        <v>39.307345924544443</v>
      </c>
      <c r="J505" s="5">
        <v>45.184988678241673</v>
      </c>
      <c r="K505" s="5">
        <v>52</v>
      </c>
    </row>
    <row r="506" spans="1:11" x14ac:dyDescent="0.25">
      <c r="A506" s="2">
        <v>46118.458333333343</v>
      </c>
      <c r="B506" t="str">
        <f t="shared" si="14"/>
        <v>2026-04</v>
      </c>
      <c r="C506" s="3">
        <f t="shared" si="15"/>
        <v>11</v>
      </c>
      <c r="D506" s="4">
        <v>25.57400554419722</v>
      </c>
      <c r="E506" s="4">
        <v>27.139799662819449</v>
      </c>
      <c r="F506" s="4">
        <v>24.926670772538891</v>
      </c>
      <c r="G506" s="4">
        <v>13.9</v>
      </c>
      <c r="H506" s="5">
        <v>41.106936779688887</v>
      </c>
      <c r="I506" s="5">
        <v>39.633733664902778</v>
      </c>
      <c r="J506" s="5">
        <v>45.178199315008328</v>
      </c>
      <c r="K506" s="5">
        <v>40</v>
      </c>
    </row>
    <row r="507" spans="1:11" x14ac:dyDescent="0.25">
      <c r="A507" s="2">
        <v>46118.5</v>
      </c>
      <c r="B507" t="str">
        <f t="shared" si="14"/>
        <v>2026-04</v>
      </c>
      <c r="C507" s="3">
        <f t="shared" si="15"/>
        <v>12</v>
      </c>
      <c r="D507" s="4">
        <v>25.080576716591661</v>
      </c>
      <c r="E507" s="4">
        <v>26.759344575383331</v>
      </c>
      <c r="F507" s="4">
        <v>24.958485990761108</v>
      </c>
      <c r="G507" s="4">
        <v>15.5</v>
      </c>
      <c r="H507" s="5">
        <v>33.243000806250002</v>
      </c>
      <c r="I507" s="5">
        <v>36.808577120991657</v>
      </c>
      <c r="J507" s="5">
        <v>45.280792527047232</v>
      </c>
      <c r="K507" s="5">
        <v>38</v>
      </c>
    </row>
    <row r="508" spans="1:11" x14ac:dyDescent="0.25">
      <c r="A508" s="2">
        <v>46118.541666666657</v>
      </c>
      <c r="B508" t="str">
        <f t="shared" si="14"/>
        <v>2026-04</v>
      </c>
      <c r="C508" s="3">
        <f t="shared" si="15"/>
        <v>13</v>
      </c>
      <c r="D508" s="4">
        <v>24.488911483750002</v>
      </c>
      <c r="E508" s="4">
        <v>26.274707389591669</v>
      </c>
      <c r="F508" s="4">
        <v>24.986003969322219</v>
      </c>
      <c r="G508" s="4">
        <v>16.7</v>
      </c>
      <c r="H508" s="5">
        <v>30.08219562251945</v>
      </c>
      <c r="I508" s="5">
        <v>34.340591164724998</v>
      </c>
      <c r="J508" s="5">
        <v>46.909743507280552</v>
      </c>
      <c r="K508" s="5">
        <v>37</v>
      </c>
    </row>
    <row r="509" spans="1:11" x14ac:dyDescent="0.25">
      <c r="A509" s="2">
        <v>46118.583333333343</v>
      </c>
      <c r="B509" t="str">
        <f t="shared" si="14"/>
        <v>2026-04</v>
      </c>
      <c r="C509" s="3">
        <f t="shared" si="15"/>
        <v>14</v>
      </c>
      <c r="D509" s="4">
        <v>24.330820560838891</v>
      </c>
      <c r="E509" s="4">
        <v>26.20639798564445</v>
      </c>
      <c r="F509" s="4">
        <v>24.976106774158328</v>
      </c>
      <c r="G509" s="4">
        <v>17.7</v>
      </c>
      <c r="H509" s="5">
        <v>30.253185798630561</v>
      </c>
      <c r="I509" s="5">
        <v>32.815324011847217</v>
      </c>
      <c r="J509" s="5">
        <v>46.024363288975003</v>
      </c>
      <c r="K509" s="5">
        <v>38</v>
      </c>
    </row>
    <row r="510" spans="1:11" x14ac:dyDescent="0.25">
      <c r="A510" s="2">
        <v>46118.625</v>
      </c>
      <c r="B510" t="str">
        <f t="shared" si="14"/>
        <v>2026-04</v>
      </c>
      <c r="C510" s="3">
        <f t="shared" si="15"/>
        <v>15</v>
      </c>
      <c r="D510" s="4">
        <v>23.81868157214722</v>
      </c>
      <c r="E510" s="4">
        <v>25.65337183886389</v>
      </c>
      <c r="F510" s="4">
        <v>24.940728719633331</v>
      </c>
      <c r="G510" s="4">
        <v>18.7</v>
      </c>
      <c r="H510" s="5">
        <v>27.476364156852771</v>
      </c>
      <c r="I510" s="5">
        <v>29.060329389408331</v>
      </c>
      <c r="J510" s="5">
        <v>45.430644689830558</v>
      </c>
      <c r="K510" s="5">
        <v>34</v>
      </c>
    </row>
    <row r="511" spans="1:11" x14ac:dyDescent="0.25">
      <c r="A511" s="2">
        <v>46118.666666666657</v>
      </c>
      <c r="B511" t="str">
        <f t="shared" si="14"/>
        <v>2026-04</v>
      </c>
      <c r="C511" s="3">
        <f t="shared" si="15"/>
        <v>16</v>
      </c>
      <c r="D511" s="4">
        <v>23.50686677400833</v>
      </c>
      <c r="E511" s="4">
        <v>25.339714013247221</v>
      </c>
      <c r="F511" s="4">
        <v>24.904894967516661</v>
      </c>
      <c r="G511" s="4">
        <v>18.3</v>
      </c>
      <c r="H511" s="5">
        <v>27.11020960121111</v>
      </c>
      <c r="I511" s="5">
        <v>27.65522840285556</v>
      </c>
      <c r="J511" s="5">
        <v>44.938044784172227</v>
      </c>
      <c r="K511" s="5">
        <v>38</v>
      </c>
    </row>
    <row r="512" spans="1:11" x14ac:dyDescent="0.25">
      <c r="A512" s="2">
        <v>46118.708333333343</v>
      </c>
      <c r="B512" t="str">
        <f t="shared" si="14"/>
        <v>2026-04</v>
      </c>
      <c r="C512" s="3">
        <f t="shared" si="15"/>
        <v>17</v>
      </c>
      <c r="D512" s="4">
        <v>23.192219443277779</v>
      </c>
      <c r="E512" s="4">
        <v>25.157507716030551</v>
      </c>
      <c r="F512" s="4">
        <v>24.88188903298612</v>
      </c>
      <c r="G512" s="4">
        <v>17.2</v>
      </c>
      <c r="H512" s="5">
        <v>26.852037685816668</v>
      </c>
      <c r="I512" s="5">
        <v>27.3905705795</v>
      </c>
      <c r="J512" s="5">
        <v>44.692193633391668</v>
      </c>
      <c r="K512" s="5">
        <v>42</v>
      </c>
    </row>
    <row r="513" spans="1:11" x14ac:dyDescent="0.25">
      <c r="A513" s="2">
        <v>46118.75</v>
      </c>
      <c r="B513" t="str">
        <f t="shared" si="14"/>
        <v>2026-04</v>
      </c>
      <c r="C513" s="3">
        <f t="shared" si="15"/>
        <v>18</v>
      </c>
      <c r="D513" s="4">
        <v>23.38764228851667</v>
      </c>
      <c r="E513" s="4">
        <v>24.84453945683612</v>
      </c>
      <c r="F513" s="4">
        <v>24.864333410947221</v>
      </c>
      <c r="G513" s="4">
        <v>13.7</v>
      </c>
      <c r="H513" s="5">
        <v>31.40589687286111</v>
      </c>
      <c r="I513" s="5">
        <v>31.284249907572232</v>
      </c>
      <c r="J513" s="5">
        <v>44.800116951080561</v>
      </c>
      <c r="K513" s="5">
        <v>66</v>
      </c>
    </row>
    <row r="514" spans="1:11" x14ac:dyDescent="0.25">
      <c r="A514" s="2">
        <v>46118.791666666657</v>
      </c>
      <c r="B514" t="str">
        <f t="shared" ref="B514:B577" si="16">TEXT(A514,"yyyy-mm")</f>
        <v>2026-04</v>
      </c>
      <c r="C514" s="3">
        <f t="shared" ref="C514:C577" si="17">HOUR(A514)</f>
        <v>19</v>
      </c>
      <c r="D514" s="4">
        <v>23.613644746369449</v>
      </c>
      <c r="E514" s="4">
        <v>25.082081662647219</v>
      </c>
      <c r="F514" s="4">
        <v>24.871856650755561</v>
      </c>
      <c r="G514" s="4">
        <v>12</v>
      </c>
      <c r="H514" s="5">
        <v>35.967530299208327</v>
      </c>
      <c r="I514" s="5">
        <v>35.353314098844443</v>
      </c>
      <c r="J514" s="5">
        <v>45.383851666933332</v>
      </c>
      <c r="K514" s="5">
        <v>80</v>
      </c>
    </row>
    <row r="515" spans="1:11" x14ac:dyDescent="0.25">
      <c r="A515" s="2">
        <v>46118.833333333343</v>
      </c>
      <c r="B515" t="str">
        <f t="shared" si="16"/>
        <v>2026-04</v>
      </c>
      <c r="C515" s="3">
        <f t="shared" si="17"/>
        <v>20</v>
      </c>
      <c r="D515" s="4">
        <v>23.610588756875</v>
      </c>
      <c r="E515" s="4">
        <v>25.11397842474722</v>
      </c>
      <c r="F515" s="4">
        <v>24.88109236833056</v>
      </c>
      <c r="G515" s="4">
        <v>11</v>
      </c>
      <c r="H515" s="5">
        <v>37.63842846347778</v>
      </c>
      <c r="I515" s="5">
        <v>38.186908549400002</v>
      </c>
      <c r="J515" s="5">
        <v>45.683911090369442</v>
      </c>
      <c r="K515" s="5">
        <v>85</v>
      </c>
    </row>
    <row r="516" spans="1:11" x14ac:dyDescent="0.25">
      <c r="A516" s="2">
        <v>46118.875</v>
      </c>
      <c r="B516" t="str">
        <f t="shared" si="16"/>
        <v>2026-04</v>
      </c>
      <c r="C516" s="3">
        <f t="shared" si="17"/>
        <v>21</v>
      </c>
      <c r="D516" s="4">
        <v>23.553737201386109</v>
      </c>
      <c r="E516" s="4">
        <v>24.948549341177781</v>
      </c>
      <c r="F516" s="4">
        <v>24.876301715577771</v>
      </c>
      <c r="G516" s="4">
        <v>10.3</v>
      </c>
      <c r="H516" s="5">
        <v>37.382165799811112</v>
      </c>
      <c r="I516" s="5">
        <v>37.887555246541673</v>
      </c>
      <c r="J516" s="5">
        <v>45.236905139425012</v>
      </c>
      <c r="K516" s="5">
        <v>94</v>
      </c>
    </row>
    <row r="517" spans="1:11" x14ac:dyDescent="0.25">
      <c r="A517" s="2">
        <v>46118.916666666657</v>
      </c>
      <c r="B517" t="str">
        <f t="shared" si="16"/>
        <v>2026-04</v>
      </c>
      <c r="C517" s="3">
        <f t="shared" si="17"/>
        <v>22</v>
      </c>
      <c r="D517" s="4">
        <v>23.467219907747221</v>
      </c>
      <c r="E517" s="4">
        <v>24.71815280525</v>
      </c>
      <c r="F517" s="4">
        <v>24.87135661521112</v>
      </c>
      <c r="G517" s="4">
        <v>9.6999999999999993</v>
      </c>
      <c r="H517" s="5">
        <v>37.612480671738894</v>
      </c>
      <c r="I517" s="5">
        <v>37.868609659491668</v>
      </c>
      <c r="J517" s="5">
        <v>45.465598990788891</v>
      </c>
      <c r="K517" s="5">
        <v>93</v>
      </c>
    </row>
    <row r="518" spans="1:11" x14ac:dyDescent="0.25">
      <c r="A518" s="2">
        <v>46118.958333333343</v>
      </c>
      <c r="B518" t="str">
        <f t="shared" si="16"/>
        <v>2026-04</v>
      </c>
      <c r="C518" s="3">
        <f t="shared" si="17"/>
        <v>23</v>
      </c>
      <c r="D518" s="4">
        <v>23.360607957944438</v>
      </c>
      <c r="E518" s="4">
        <v>24.537754764991661</v>
      </c>
      <c r="F518" s="4">
        <v>24.860754373441669</v>
      </c>
      <c r="G518" s="4">
        <v>8.3000000000000007</v>
      </c>
      <c r="H518" s="5">
        <v>37.80822117828334</v>
      </c>
      <c r="I518" s="5">
        <v>37.863949309961107</v>
      </c>
      <c r="J518" s="5">
        <v>45.386307224872219</v>
      </c>
      <c r="K518" s="5">
        <v>93</v>
      </c>
    </row>
    <row r="519" spans="1:11" x14ac:dyDescent="0.25">
      <c r="A519" s="2">
        <v>46119</v>
      </c>
      <c r="B519" t="str">
        <f t="shared" si="16"/>
        <v>2026-04</v>
      </c>
      <c r="C519" s="3">
        <f t="shared" si="17"/>
        <v>0</v>
      </c>
      <c r="D519" s="4">
        <v>23.082399026255551</v>
      </c>
      <c r="E519" s="4">
        <v>24.46667438611389</v>
      </c>
      <c r="F519" s="4">
        <v>24.859282385349999</v>
      </c>
      <c r="G519" s="4">
        <v>6.9</v>
      </c>
      <c r="H519" s="5">
        <v>37.610172587836111</v>
      </c>
      <c r="I519" s="5">
        <v>35.423999063844441</v>
      </c>
      <c r="J519" s="5">
        <v>45.589438977199997</v>
      </c>
      <c r="K519" s="5">
        <v>91</v>
      </c>
    </row>
    <row r="520" spans="1:11" x14ac:dyDescent="0.25">
      <c r="A520" s="2">
        <v>46119.041666666657</v>
      </c>
      <c r="B520" t="str">
        <f t="shared" si="16"/>
        <v>2026-04</v>
      </c>
      <c r="C520" s="3">
        <f t="shared" si="17"/>
        <v>1</v>
      </c>
      <c r="D520" s="4">
        <v>23.103630047108339</v>
      </c>
      <c r="E520" s="4">
        <v>24.517126079291671</v>
      </c>
      <c r="F520" s="4">
        <v>24.86076881493333</v>
      </c>
      <c r="G520" s="4">
        <v>5.5</v>
      </c>
      <c r="H520" s="5">
        <v>39.714357254758333</v>
      </c>
      <c r="I520" s="5">
        <v>37.061587902625</v>
      </c>
      <c r="J520" s="5">
        <v>45.661038447313892</v>
      </c>
      <c r="K520" s="5">
        <v>90</v>
      </c>
    </row>
    <row r="521" spans="1:11" x14ac:dyDescent="0.25">
      <c r="A521" s="2">
        <v>46119.083333333343</v>
      </c>
      <c r="B521" t="str">
        <f t="shared" si="16"/>
        <v>2026-04</v>
      </c>
      <c r="C521" s="3">
        <f t="shared" si="17"/>
        <v>2</v>
      </c>
      <c r="D521" s="4">
        <v>23.089564970033329</v>
      </c>
      <c r="E521" s="4">
        <v>24.505387459061112</v>
      </c>
      <c r="F521" s="4">
        <v>24.846661687880559</v>
      </c>
      <c r="G521" s="4">
        <v>4.2</v>
      </c>
      <c r="H521" s="5">
        <v>40.620965596191667</v>
      </c>
      <c r="I521" s="5">
        <v>37.731777052897222</v>
      </c>
      <c r="J521" s="5">
        <v>45.524958927869442</v>
      </c>
      <c r="K521" s="5">
        <v>87</v>
      </c>
    </row>
    <row r="522" spans="1:11" x14ac:dyDescent="0.25">
      <c r="A522" s="2">
        <v>46119.125</v>
      </c>
      <c r="B522" t="str">
        <f t="shared" si="16"/>
        <v>2026-04</v>
      </c>
      <c r="C522" s="3">
        <f t="shared" si="17"/>
        <v>3</v>
      </c>
      <c r="D522" s="4">
        <v>23.00991702606111</v>
      </c>
      <c r="E522" s="4">
        <v>24.452988723783331</v>
      </c>
      <c r="F522" s="4">
        <v>24.81959481251112</v>
      </c>
      <c r="G522" s="4">
        <v>4</v>
      </c>
      <c r="H522" s="5">
        <v>41.263031463366673</v>
      </c>
      <c r="I522" s="5">
        <v>38.385367501402783</v>
      </c>
      <c r="J522" s="5">
        <v>45.330775368794441</v>
      </c>
      <c r="K522" s="5">
        <v>79</v>
      </c>
    </row>
    <row r="523" spans="1:11" x14ac:dyDescent="0.25">
      <c r="A523" s="2">
        <v>46119.166666666657</v>
      </c>
      <c r="B523" t="str">
        <f t="shared" si="16"/>
        <v>2026-04</v>
      </c>
      <c r="C523" s="3">
        <f t="shared" si="17"/>
        <v>4</v>
      </c>
      <c r="D523" s="4">
        <v>22.890344020197219</v>
      </c>
      <c r="E523" s="4">
        <v>24.47476536872778</v>
      </c>
      <c r="F523" s="4">
        <v>24.796962266641671</v>
      </c>
      <c r="G523" s="4">
        <v>3.5</v>
      </c>
      <c r="H523" s="5">
        <v>41.649467725163888</v>
      </c>
      <c r="I523" s="5">
        <v>38.485425772316667</v>
      </c>
      <c r="J523" s="5">
        <v>45.115200148836117</v>
      </c>
      <c r="K523" s="5">
        <v>80</v>
      </c>
    </row>
    <row r="524" spans="1:11" x14ac:dyDescent="0.25">
      <c r="A524" s="2">
        <v>46119.208333333343</v>
      </c>
      <c r="B524" t="str">
        <f t="shared" si="16"/>
        <v>2026-04</v>
      </c>
      <c r="C524" s="3">
        <f t="shared" si="17"/>
        <v>5</v>
      </c>
      <c r="D524" s="4">
        <v>22.812225421697221</v>
      </c>
      <c r="E524" s="4">
        <v>24.20291266495278</v>
      </c>
      <c r="F524" s="4">
        <v>24.78490715025556</v>
      </c>
      <c r="G524" s="4">
        <v>2.9</v>
      </c>
      <c r="H524" s="5">
        <v>41.696242953938892</v>
      </c>
      <c r="I524" s="5">
        <v>38.791674694755557</v>
      </c>
      <c r="J524" s="5">
        <v>44.93578649331667</v>
      </c>
      <c r="K524" s="5">
        <v>83</v>
      </c>
    </row>
    <row r="525" spans="1:11" x14ac:dyDescent="0.25">
      <c r="A525" s="2">
        <v>46119.25</v>
      </c>
      <c r="B525" t="str">
        <f t="shared" si="16"/>
        <v>2026-04</v>
      </c>
      <c r="C525" s="3">
        <f t="shared" si="17"/>
        <v>6</v>
      </c>
      <c r="D525" s="4">
        <v>23.09188463525</v>
      </c>
      <c r="E525" s="4">
        <v>24.271842605774999</v>
      </c>
      <c r="F525" s="4">
        <v>24.784504189</v>
      </c>
      <c r="G525" s="4">
        <v>2.4</v>
      </c>
      <c r="H525" s="5">
        <v>40.789369276086113</v>
      </c>
      <c r="I525" s="5">
        <v>38.390784211355559</v>
      </c>
      <c r="J525" s="5">
        <v>44.807898222675</v>
      </c>
      <c r="K525" s="5">
        <v>85</v>
      </c>
    </row>
    <row r="526" spans="1:11" x14ac:dyDescent="0.25">
      <c r="A526" s="2">
        <v>46119.291666666657</v>
      </c>
      <c r="B526" t="str">
        <f t="shared" si="16"/>
        <v>2026-04</v>
      </c>
      <c r="C526" s="3">
        <f t="shared" si="17"/>
        <v>7</v>
      </c>
      <c r="D526" s="4">
        <v>24.09061998938056</v>
      </c>
      <c r="E526" s="4">
        <v>24.856742965172231</v>
      </c>
      <c r="F526" s="4">
        <v>24.771256825108331</v>
      </c>
      <c r="G526" s="4">
        <v>2.5</v>
      </c>
      <c r="H526" s="5">
        <v>37.945651981172233</v>
      </c>
      <c r="I526" s="5">
        <v>37.461570107916657</v>
      </c>
      <c r="J526" s="5">
        <v>44.751276499227778</v>
      </c>
      <c r="K526" s="5">
        <v>83</v>
      </c>
    </row>
    <row r="527" spans="1:11" x14ac:dyDescent="0.25">
      <c r="A527" s="2">
        <v>46119.333333333343</v>
      </c>
      <c r="B527" t="str">
        <f t="shared" si="16"/>
        <v>2026-04</v>
      </c>
      <c r="C527" s="3">
        <f t="shared" si="17"/>
        <v>8</v>
      </c>
      <c r="D527" s="4">
        <v>24.674151265913888</v>
      </c>
      <c r="E527" s="4">
        <v>25.40627700579445</v>
      </c>
      <c r="F527" s="4">
        <v>24.788999762344449</v>
      </c>
      <c r="G527" s="4">
        <v>3.6</v>
      </c>
      <c r="H527" s="5">
        <v>37.529517852955557</v>
      </c>
      <c r="I527" s="5">
        <v>37.241745751605563</v>
      </c>
      <c r="J527" s="5">
        <v>44.622494932619453</v>
      </c>
      <c r="K527" s="5">
        <v>77</v>
      </c>
    </row>
    <row r="528" spans="1:11" x14ac:dyDescent="0.25">
      <c r="A528" s="2">
        <v>46119.375</v>
      </c>
      <c r="B528" t="str">
        <f t="shared" si="16"/>
        <v>2026-04</v>
      </c>
      <c r="C528" s="3">
        <f t="shared" si="17"/>
        <v>9</v>
      </c>
      <c r="D528" s="4">
        <v>25.09076836180278</v>
      </c>
      <c r="E528" s="4">
        <v>25.793752988308331</v>
      </c>
      <c r="F528" s="4">
        <v>24.796616209730551</v>
      </c>
      <c r="G528" s="4">
        <v>5.3</v>
      </c>
      <c r="H528" s="5">
        <v>37.698149943258329</v>
      </c>
      <c r="I528" s="5">
        <v>37.589487851458337</v>
      </c>
      <c r="J528" s="5">
        <v>44.61206804305278</v>
      </c>
      <c r="K528" s="5">
        <v>71</v>
      </c>
    </row>
    <row r="529" spans="1:11" x14ac:dyDescent="0.25">
      <c r="A529" s="2">
        <v>46119.416666666657</v>
      </c>
      <c r="B529" t="str">
        <f t="shared" si="16"/>
        <v>2026-04</v>
      </c>
      <c r="C529" s="3">
        <f t="shared" si="17"/>
        <v>10</v>
      </c>
      <c r="D529" s="4">
        <v>25.225104979200001</v>
      </c>
      <c r="E529" s="4">
        <v>26.062570313047221</v>
      </c>
      <c r="F529" s="4">
        <v>24.830191128108339</v>
      </c>
      <c r="G529" s="4">
        <v>6.7</v>
      </c>
      <c r="H529" s="5">
        <v>38.680994145349999</v>
      </c>
      <c r="I529" s="5">
        <v>39.938223943258329</v>
      </c>
      <c r="J529" s="5">
        <v>44.551323711661112</v>
      </c>
      <c r="K529" s="5">
        <v>62</v>
      </c>
    </row>
    <row r="530" spans="1:11" x14ac:dyDescent="0.25">
      <c r="A530" s="2">
        <v>46119.458333333343</v>
      </c>
      <c r="B530" t="str">
        <f t="shared" si="16"/>
        <v>2026-04</v>
      </c>
      <c r="C530" s="3">
        <f t="shared" si="17"/>
        <v>11</v>
      </c>
      <c r="D530" s="4">
        <v>25.269444784486112</v>
      </c>
      <c r="E530" s="4">
        <v>26.35810769261111</v>
      </c>
      <c r="F530" s="4">
        <v>24.84028256933334</v>
      </c>
      <c r="G530" s="4">
        <v>7.7</v>
      </c>
      <c r="H530" s="5">
        <v>40.024132728347219</v>
      </c>
      <c r="I530" s="5">
        <v>39.898847445147233</v>
      </c>
      <c r="J530" s="5">
        <v>44.561696026258339</v>
      </c>
      <c r="K530" s="5">
        <v>54</v>
      </c>
    </row>
    <row r="531" spans="1:11" x14ac:dyDescent="0.25">
      <c r="A531" s="2">
        <v>46119.5</v>
      </c>
      <c r="B531" t="str">
        <f t="shared" si="16"/>
        <v>2026-04</v>
      </c>
      <c r="C531" s="3">
        <f t="shared" si="17"/>
        <v>12</v>
      </c>
      <c r="D531" s="4">
        <v>25.008307071002779</v>
      </c>
      <c r="E531" s="4">
        <v>26.043979598913889</v>
      </c>
      <c r="F531" s="4">
        <v>24.84851316403611</v>
      </c>
      <c r="G531" s="4">
        <v>8.5</v>
      </c>
      <c r="H531" s="5">
        <v>41.277137523580564</v>
      </c>
      <c r="I531" s="5">
        <v>39.772755219322221</v>
      </c>
      <c r="J531" s="5">
        <v>44.676122608688878</v>
      </c>
      <c r="K531" s="5">
        <v>49</v>
      </c>
    </row>
    <row r="532" spans="1:11" x14ac:dyDescent="0.25">
      <c r="A532" s="2">
        <v>46119.541666666657</v>
      </c>
      <c r="B532" t="str">
        <f t="shared" si="16"/>
        <v>2026-04</v>
      </c>
      <c r="C532" s="3">
        <f t="shared" si="17"/>
        <v>13</v>
      </c>
      <c r="D532" s="4">
        <v>24.862025529816659</v>
      </c>
      <c r="E532" s="4">
        <v>25.946956679591661</v>
      </c>
      <c r="F532" s="4">
        <v>24.83883083781112</v>
      </c>
      <c r="G532" s="4">
        <v>9.4</v>
      </c>
      <c r="H532" s="5">
        <v>42.555460950972233</v>
      </c>
      <c r="I532" s="5">
        <v>40.256543324933332</v>
      </c>
      <c r="J532" s="5">
        <v>44.555898578613878</v>
      </c>
      <c r="K532" s="5">
        <v>45</v>
      </c>
    </row>
    <row r="533" spans="1:11" x14ac:dyDescent="0.25">
      <c r="A533" s="2">
        <v>46119.583333333343</v>
      </c>
      <c r="B533" t="str">
        <f t="shared" si="16"/>
        <v>2026-04</v>
      </c>
      <c r="C533" s="3">
        <f t="shared" si="17"/>
        <v>14</v>
      </c>
      <c r="D533" s="4">
        <v>24.617114197555551</v>
      </c>
      <c r="E533" s="4">
        <v>25.787987495252779</v>
      </c>
      <c r="F533" s="4">
        <v>24.822305449316669</v>
      </c>
      <c r="G533" s="4">
        <v>10.199999999999999</v>
      </c>
      <c r="H533" s="5">
        <v>44.12648205641667</v>
      </c>
      <c r="I533" s="5">
        <v>42.732846862630559</v>
      </c>
      <c r="J533" s="5">
        <v>44.491099112552767</v>
      </c>
      <c r="K533" s="5">
        <v>45</v>
      </c>
    </row>
    <row r="534" spans="1:11" x14ac:dyDescent="0.25">
      <c r="A534" s="2">
        <v>46119.625</v>
      </c>
      <c r="B534" t="str">
        <f t="shared" si="16"/>
        <v>2026-04</v>
      </c>
      <c r="C534" s="3">
        <f t="shared" si="17"/>
        <v>15</v>
      </c>
      <c r="D534" s="4">
        <v>23.521542453675</v>
      </c>
      <c r="E534" s="4">
        <v>25.414324218936109</v>
      </c>
      <c r="F534" s="4">
        <v>24.863039971541671</v>
      </c>
      <c r="G534" s="4">
        <v>10</v>
      </c>
      <c r="H534" s="5">
        <v>40.381724966105558</v>
      </c>
      <c r="I534" s="5">
        <v>39.826611686366668</v>
      </c>
      <c r="J534" s="5">
        <v>44.45748386604722</v>
      </c>
      <c r="K534" s="5">
        <v>48</v>
      </c>
    </row>
    <row r="535" spans="1:11" x14ac:dyDescent="0.25">
      <c r="A535" s="2">
        <v>46119.666666666657</v>
      </c>
      <c r="B535" t="str">
        <f t="shared" si="16"/>
        <v>2026-04</v>
      </c>
      <c r="C535" s="3">
        <f t="shared" si="17"/>
        <v>16</v>
      </c>
      <c r="D535" s="4">
        <v>22.488456674011111</v>
      </c>
      <c r="E535" s="4">
        <v>25.102524434566661</v>
      </c>
      <c r="F535" s="4">
        <v>24.891429210575001</v>
      </c>
      <c r="G535" s="4">
        <v>9.9</v>
      </c>
      <c r="H535" s="5">
        <v>34.385870587358333</v>
      </c>
      <c r="I535" s="5">
        <v>32.617801092033332</v>
      </c>
      <c r="J535" s="5">
        <v>44.710598222627773</v>
      </c>
      <c r="K535" s="5">
        <v>47</v>
      </c>
    </row>
    <row r="536" spans="1:11" x14ac:dyDescent="0.25">
      <c r="A536" s="2">
        <v>46119.708333333343</v>
      </c>
      <c r="B536" t="str">
        <f t="shared" si="16"/>
        <v>2026-04</v>
      </c>
      <c r="C536" s="3">
        <f t="shared" si="17"/>
        <v>17</v>
      </c>
      <c r="D536" s="4">
        <v>23.475725102211111</v>
      </c>
      <c r="E536" s="4">
        <v>25.086570653544449</v>
      </c>
      <c r="F536" s="4">
        <v>24.86979049879444</v>
      </c>
      <c r="G536" s="4">
        <v>7</v>
      </c>
      <c r="H536" s="5">
        <v>38.96756953543612</v>
      </c>
      <c r="I536" s="5">
        <v>35.407640188013893</v>
      </c>
      <c r="J536" s="5">
        <v>44.596517152688882</v>
      </c>
      <c r="K536" s="5">
        <v>66</v>
      </c>
    </row>
    <row r="537" spans="1:11" x14ac:dyDescent="0.25">
      <c r="A537" s="2">
        <v>46119.75</v>
      </c>
      <c r="B537" t="str">
        <f t="shared" si="16"/>
        <v>2026-04</v>
      </c>
      <c r="C537" s="3">
        <f t="shared" si="17"/>
        <v>18</v>
      </c>
      <c r="D537" s="4">
        <v>23.62574406135278</v>
      </c>
      <c r="E537" s="4">
        <v>25.258481389388891</v>
      </c>
      <c r="F537" s="4">
        <v>24.837408630897219</v>
      </c>
      <c r="G537" s="4">
        <v>6.6</v>
      </c>
      <c r="H537" s="5">
        <v>45.881997636472221</v>
      </c>
      <c r="I537" s="5">
        <v>42.628921389522233</v>
      </c>
      <c r="J537" s="5">
        <v>44.313098218152781</v>
      </c>
      <c r="K537" s="5">
        <v>70</v>
      </c>
    </row>
    <row r="538" spans="1:11" x14ac:dyDescent="0.25">
      <c r="A538" s="2">
        <v>46119.791666666657</v>
      </c>
      <c r="B538" t="str">
        <f t="shared" si="16"/>
        <v>2026-04</v>
      </c>
      <c r="C538" s="3">
        <f t="shared" si="17"/>
        <v>19</v>
      </c>
      <c r="D538" s="4">
        <v>23.718377779625001</v>
      </c>
      <c r="E538" s="4">
        <v>25.324490266769441</v>
      </c>
      <c r="F538" s="4">
        <v>24.837182069613888</v>
      </c>
      <c r="G538" s="4">
        <v>5.5</v>
      </c>
      <c r="H538" s="5">
        <v>46.280766568591673</v>
      </c>
      <c r="I538" s="5">
        <v>43.864348138366672</v>
      </c>
      <c r="J538" s="5">
        <v>44.397033978511111</v>
      </c>
      <c r="K538" s="5">
        <v>78</v>
      </c>
    </row>
    <row r="539" spans="1:11" x14ac:dyDescent="0.25">
      <c r="A539" s="2">
        <v>46119.833333333343</v>
      </c>
      <c r="B539" t="str">
        <f t="shared" si="16"/>
        <v>2026-04</v>
      </c>
      <c r="C539" s="3">
        <f t="shared" si="17"/>
        <v>20</v>
      </c>
      <c r="D539" s="4">
        <v>23.781114972861111</v>
      </c>
      <c r="E539" s="4">
        <v>25.326914878705551</v>
      </c>
      <c r="F539" s="4">
        <v>24.841378512563889</v>
      </c>
      <c r="G539" s="4">
        <v>4.8</v>
      </c>
      <c r="H539" s="5">
        <v>44.884695719908343</v>
      </c>
      <c r="I539" s="5">
        <v>40.845353496122222</v>
      </c>
      <c r="J539" s="5">
        <v>46.852064137777766</v>
      </c>
      <c r="K539" s="5">
        <v>81</v>
      </c>
    </row>
    <row r="540" spans="1:11" x14ac:dyDescent="0.25">
      <c r="A540" s="2">
        <v>46119.875</v>
      </c>
      <c r="B540" t="str">
        <f t="shared" si="16"/>
        <v>2026-04</v>
      </c>
      <c r="C540" s="3">
        <f t="shared" si="17"/>
        <v>21</v>
      </c>
      <c r="D540" s="4">
        <v>23.669208912152779</v>
      </c>
      <c r="E540" s="4">
        <v>25.201653582780551</v>
      </c>
      <c r="F540" s="4">
        <v>24.854064199266659</v>
      </c>
      <c r="G540" s="4">
        <v>4.4000000000000004</v>
      </c>
      <c r="H540" s="5">
        <v>44.064223401038888</v>
      </c>
      <c r="I540" s="5">
        <v>40.993494516574998</v>
      </c>
      <c r="J540" s="5">
        <v>47.463077356044451</v>
      </c>
      <c r="K540" s="5">
        <v>87</v>
      </c>
    </row>
    <row r="541" spans="1:11" x14ac:dyDescent="0.25">
      <c r="A541" s="2">
        <v>46119.916666666657</v>
      </c>
      <c r="B541" t="str">
        <f t="shared" si="16"/>
        <v>2026-04</v>
      </c>
      <c r="C541" s="3">
        <f t="shared" si="17"/>
        <v>22</v>
      </c>
      <c r="D541" s="4">
        <v>23.611247847630551</v>
      </c>
      <c r="E541" s="4">
        <v>25.436387184286119</v>
      </c>
      <c r="F541" s="4">
        <v>24.939319397908331</v>
      </c>
      <c r="G541" s="4">
        <v>3.8</v>
      </c>
      <c r="H541" s="5">
        <v>44.16175899164444</v>
      </c>
      <c r="I541" s="5">
        <v>41.017878758888891</v>
      </c>
      <c r="J541" s="5">
        <v>46.042714102347219</v>
      </c>
      <c r="K541" s="5">
        <v>89</v>
      </c>
    </row>
    <row r="542" spans="1:11" x14ac:dyDescent="0.25">
      <c r="A542" s="2">
        <v>46119.958333333343</v>
      </c>
      <c r="B542" t="str">
        <f t="shared" si="16"/>
        <v>2026-04</v>
      </c>
      <c r="C542" s="3">
        <f t="shared" si="17"/>
        <v>23</v>
      </c>
      <c r="D542" s="4">
        <v>23.91305684298889</v>
      </c>
      <c r="E542" s="4">
        <v>25.479347291516671</v>
      </c>
      <c r="F542" s="4">
        <v>24.953159129377781</v>
      </c>
      <c r="G542" s="4">
        <v>2.2999999999999998</v>
      </c>
      <c r="H542" s="5">
        <v>42.121099827325011</v>
      </c>
      <c r="I542" s="5">
        <v>39.977663075311114</v>
      </c>
      <c r="J542" s="5">
        <v>48.69292820030833</v>
      </c>
      <c r="K542" s="5">
        <v>92</v>
      </c>
    </row>
    <row r="543" spans="1:11" x14ac:dyDescent="0.25">
      <c r="A543" s="2">
        <v>46120</v>
      </c>
      <c r="B543" t="str">
        <f t="shared" si="16"/>
        <v>2026-04</v>
      </c>
      <c r="C543" s="3">
        <f t="shared" si="17"/>
        <v>0</v>
      </c>
      <c r="D543" s="4">
        <v>24.092413697333331</v>
      </c>
      <c r="E543" s="4">
        <v>25.741394185583331</v>
      </c>
      <c r="F543" s="4">
        <v>24.954277638730559</v>
      </c>
      <c r="G543" s="4">
        <v>2.5</v>
      </c>
      <c r="H543" s="5">
        <v>41.294051981658328</v>
      </c>
      <c r="I543" s="5">
        <v>39.069910386852783</v>
      </c>
      <c r="J543" s="5">
        <v>45.816159975213893</v>
      </c>
      <c r="K543" s="5">
        <v>93</v>
      </c>
    </row>
    <row r="544" spans="1:11" x14ac:dyDescent="0.25">
      <c r="A544" s="2">
        <v>46120.041666666657</v>
      </c>
      <c r="B544" t="str">
        <f t="shared" si="16"/>
        <v>2026-04</v>
      </c>
      <c r="C544" s="3">
        <f t="shared" si="17"/>
        <v>1</v>
      </c>
      <c r="D544" s="4">
        <v>23.986838080288891</v>
      </c>
      <c r="E544" s="4">
        <v>25.634061888205551</v>
      </c>
      <c r="F544" s="4">
        <v>24.930444475477771</v>
      </c>
      <c r="G544" s="4">
        <v>2.1</v>
      </c>
      <c r="H544" s="5">
        <v>41.386279456505562</v>
      </c>
      <c r="I544" s="5">
        <v>38.386554300041666</v>
      </c>
      <c r="J544" s="5">
        <v>45.796948970519438</v>
      </c>
      <c r="K544" s="5">
        <v>94</v>
      </c>
    </row>
    <row r="545" spans="1:11" x14ac:dyDescent="0.25">
      <c r="A545" s="2">
        <v>46120.083333333343</v>
      </c>
      <c r="B545" t="str">
        <f t="shared" si="16"/>
        <v>2026-04</v>
      </c>
      <c r="C545" s="3">
        <f t="shared" si="17"/>
        <v>2</v>
      </c>
      <c r="D545" s="4">
        <v>23.545639407880561</v>
      </c>
      <c r="E545" s="4">
        <v>25.419386094361109</v>
      </c>
      <c r="F545" s="4">
        <v>24.925601423658328</v>
      </c>
      <c r="G545" s="4">
        <v>1.6</v>
      </c>
      <c r="H545" s="5">
        <v>42.093721416102781</v>
      </c>
      <c r="I545" s="5">
        <v>38.392054243366672</v>
      </c>
      <c r="J545" s="5">
        <v>46.071616135755562</v>
      </c>
      <c r="K545" s="5">
        <v>94</v>
      </c>
    </row>
    <row r="546" spans="1:11" x14ac:dyDescent="0.25">
      <c r="A546" s="2">
        <v>46120.125</v>
      </c>
      <c r="B546" t="str">
        <f t="shared" si="16"/>
        <v>2026-04</v>
      </c>
      <c r="C546" s="3">
        <f t="shared" si="17"/>
        <v>3</v>
      </c>
      <c r="D546" s="4">
        <v>23.06051283050833</v>
      </c>
      <c r="E546" s="4">
        <v>24.92251337555556</v>
      </c>
      <c r="F546" s="4">
        <v>24.845156916511112</v>
      </c>
      <c r="G546" s="4">
        <v>2.2000000000000002</v>
      </c>
      <c r="H546" s="5">
        <v>42.580991154280561</v>
      </c>
      <c r="I546" s="5">
        <v>38.205653299661108</v>
      </c>
      <c r="J546" s="5">
        <v>45.055519415691663</v>
      </c>
      <c r="K546" s="5">
        <v>92</v>
      </c>
    </row>
    <row r="547" spans="1:11" x14ac:dyDescent="0.25">
      <c r="A547" s="2">
        <v>46120.166666666657</v>
      </c>
      <c r="B547" t="str">
        <f t="shared" si="16"/>
        <v>2026-04</v>
      </c>
      <c r="C547" s="3">
        <f t="shared" si="17"/>
        <v>4</v>
      </c>
      <c r="D547" s="4">
        <v>22.811457108519441</v>
      </c>
      <c r="E547" s="4">
        <v>24.603234830541659</v>
      </c>
      <c r="F547" s="4">
        <v>24.797084152552781</v>
      </c>
      <c r="G547" s="4">
        <v>2.5</v>
      </c>
      <c r="H547" s="5">
        <v>42.659644367105557</v>
      </c>
      <c r="I547" s="5">
        <v>37.982675840394442</v>
      </c>
      <c r="J547" s="5">
        <v>44.706742697494441</v>
      </c>
      <c r="K547" s="5">
        <v>93</v>
      </c>
    </row>
    <row r="548" spans="1:11" x14ac:dyDescent="0.25">
      <c r="A548" s="2">
        <v>46120.208333333343</v>
      </c>
      <c r="B548" t="str">
        <f t="shared" si="16"/>
        <v>2026-04</v>
      </c>
      <c r="C548" s="3">
        <f t="shared" si="17"/>
        <v>5</v>
      </c>
      <c r="D548" s="4">
        <v>22.64429426652222</v>
      </c>
      <c r="E548" s="4">
        <v>24.45992506034445</v>
      </c>
      <c r="F548" s="4">
        <v>24.756844623425</v>
      </c>
      <c r="G548" s="4">
        <v>2</v>
      </c>
      <c r="H548" s="5">
        <v>42.657376821930562</v>
      </c>
      <c r="I548" s="5">
        <v>37.804666133669443</v>
      </c>
      <c r="J548" s="5">
        <v>44.513001795027783</v>
      </c>
      <c r="K548" s="5">
        <v>95</v>
      </c>
    </row>
    <row r="549" spans="1:11" x14ac:dyDescent="0.25">
      <c r="A549" s="2">
        <v>46120.25</v>
      </c>
      <c r="B549" t="str">
        <f t="shared" si="16"/>
        <v>2026-04</v>
      </c>
      <c r="C549" s="3">
        <f t="shared" si="17"/>
        <v>6</v>
      </c>
      <c r="D549" s="4">
        <v>22.56288921197778</v>
      </c>
      <c r="E549" s="4">
        <v>24.41529973662222</v>
      </c>
      <c r="F549" s="4">
        <v>24.73652250574445</v>
      </c>
      <c r="G549" s="4">
        <v>1.7</v>
      </c>
      <c r="H549" s="5">
        <v>42.389951395563891</v>
      </c>
      <c r="I549" s="5">
        <v>37.588739990305562</v>
      </c>
      <c r="J549" s="5">
        <v>44.384295697877768</v>
      </c>
      <c r="K549" s="5">
        <v>96</v>
      </c>
    </row>
    <row r="550" spans="1:11" x14ac:dyDescent="0.25">
      <c r="A550" s="2">
        <v>46120.291666666657</v>
      </c>
      <c r="B550" t="str">
        <f t="shared" si="16"/>
        <v>2026-04</v>
      </c>
      <c r="C550" s="3">
        <f t="shared" si="17"/>
        <v>7</v>
      </c>
      <c r="D550" s="4">
        <v>22.704277216133331</v>
      </c>
      <c r="E550" s="4">
        <v>24.264253634736111</v>
      </c>
      <c r="F550" s="4">
        <v>24.698939141183331</v>
      </c>
      <c r="G550" s="4">
        <v>2</v>
      </c>
      <c r="H550" s="5">
        <v>41.820005607555551</v>
      </c>
      <c r="I550" s="5">
        <v>37.783485246119447</v>
      </c>
      <c r="J550" s="5">
        <v>44.307139214272219</v>
      </c>
      <c r="K550" s="5">
        <v>96</v>
      </c>
    </row>
    <row r="551" spans="1:11" x14ac:dyDescent="0.25">
      <c r="A551" s="2">
        <v>46120.333333333343</v>
      </c>
      <c r="B551" t="str">
        <f t="shared" si="16"/>
        <v>2026-04</v>
      </c>
      <c r="C551" s="3">
        <f t="shared" si="17"/>
        <v>8</v>
      </c>
      <c r="D551" s="4">
        <v>23.158554293327779</v>
      </c>
      <c r="E551" s="4">
        <v>24.393139093766671</v>
      </c>
      <c r="F551" s="4">
        <v>24.677755438583329</v>
      </c>
      <c r="G551" s="4">
        <v>3.1</v>
      </c>
      <c r="H551" s="5">
        <v>40.608960344591672</v>
      </c>
      <c r="I551" s="5">
        <v>37.914361778658332</v>
      </c>
      <c r="J551" s="5">
        <v>44.226506068763889</v>
      </c>
      <c r="K551" s="5">
        <v>91</v>
      </c>
    </row>
    <row r="552" spans="1:11" x14ac:dyDescent="0.25">
      <c r="A552" s="2">
        <v>46120.375</v>
      </c>
      <c r="B552" t="str">
        <f t="shared" si="16"/>
        <v>2026-04</v>
      </c>
      <c r="C552" s="3">
        <f t="shared" si="17"/>
        <v>9</v>
      </c>
      <c r="D552" s="4">
        <v>23.30999026429167</v>
      </c>
      <c r="E552" s="4">
        <v>24.736310450844439</v>
      </c>
      <c r="F552" s="4">
        <v>24.685844723513888</v>
      </c>
      <c r="G552" s="4">
        <v>4.4000000000000004</v>
      </c>
      <c r="H552" s="5">
        <v>40.359594931197229</v>
      </c>
      <c r="I552" s="5">
        <v>37.657370005505562</v>
      </c>
      <c r="J552" s="5">
        <v>44.158100038377768</v>
      </c>
      <c r="K552" s="5">
        <v>89</v>
      </c>
    </row>
    <row r="553" spans="1:11" x14ac:dyDescent="0.25">
      <c r="A553" s="2">
        <v>46120.416666666657</v>
      </c>
      <c r="B553" t="str">
        <f t="shared" si="16"/>
        <v>2026-04</v>
      </c>
      <c r="C553" s="3">
        <f t="shared" si="17"/>
        <v>10</v>
      </c>
      <c r="D553" s="4">
        <v>23.595666632875002</v>
      </c>
      <c r="E553" s="4">
        <v>24.74887991806667</v>
      </c>
      <c r="F553" s="4">
        <v>24.67234388967222</v>
      </c>
      <c r="G553" s="4">
        <v>6</v>
      </c>
      <c r="H553" s="5">
        <v>39.743858942700001</v>
      </c>
      <c r="I553" s="5">
        <v>37.895628899608333</v>
      </c>
      <c r="J553" s="5">
        <v>44.126672122188893</v>
      </c>
      <c r="K553" s="5">
        <v>83</v>
      </c>
    </row>
    <row r="554" spans="1:11" x14ac:dyDescent="0.25">
      <c r="A554" s="2">
        <v>46120.458333333343</v>
      </c>
      <c r="B554" t="str">
        <f t="shared" si="16"/>
        <v>2026-04</v>
      </c>
      <c r="C554" s="3">
        <f t="shared" si="17"/>
        <v>11</v>
      </c>
      <c r="D554" s="4">
        <v>23.862220249352781</v>
      </c>
      <c r="E554" s="4">
        <v>24.984019457374998</v>
      </c>
      <c r="F554" s="4">
        <v>24.658705443705561</v>
      </c>
      <c r="G554" s="4">
        <v>7.2</v>
      </c>
      <c r="H554" s="5">
        <v>40.697520379358338</v>
      </c>
      <c r="I554" s="5">
        <v>40.593233825602773</v>
      </c>
      <c r="J554" s="5">
        <v>44.094694380652783</v>
      </c>
      <c r="K554" s="5">
        <v>73</v>
      </c>
    </row>
    <row r="555" spans="1:11" x14ac:dyDescent="0.25">
      <c r="A555" s="2">
        <v>46120.5</v>
      </c>
      <c r="B555" t="str">
        <f t="shared" si="16"/>
        <v>2026-04</v>
      </c>
      <c r="C555" s="3">
        <f t="shared" si="17"/>
        <v>12</v>
      </c>
      <c r="D555" s="4">
        <v>23.63695091014722</v>
      </c>
      <c r="E555" s="4">
        <v>24.988620719219441</v>
      </c>
      <c r="F555" s="4">
        <v>24.651728034366659</v>
      </c>
      <c r="G555" s="4">
        <v>8.1</v>
      </c>
      <c r="H555" s="5">
        <v>41.941913917247227</v>
      </c>
      <c r="I555" s="5">
        <v>40.300962173580558</v>
      </c>
      <c r="J555" s="5">
        <v>44.002620881497222</v>
      </c>
      <c r="K555" s="5">
        <v>64</v>
      </c>
    </row>
    <row r="556" spans="1:11" x14ac:dyDescent="0.25">
      <c r="A556" s="2">
        <v>46120.541666666657</v>
      </c>
      <c r="B556" t="str">
        <f t="shared" si="16"/>
        <v>2026-04</v>
      </c>
      <c r="C556" s="3">
        <f t="shared" si="17"/>
        <v>13</v>
      </c>
      <c r="D556" s="4">
        <v>22.090600154630561</v>
      </c>
      <c r="E556" s="4">
        <v>24.698559131225</v>
      </c>
      <c r="F556" s="4">
        <v>24.64187753079166</v>
      </c>
      <c r="G556" s="4">
        <v>7.9</v>
      </c>
      <c r="H556" s="5">
        <v>40.592110316011109</v>
      </c>
      <c r="I556" s="5">
        <v>38.328550030630559</v>
      </c>
      <c r="J556" s="5">
        <v>44.356106882052778</v>
      </c>
      <c r="K556" s="5">
        <v>59</v>
      </c>
    </row>
    <row r="557" spans="1:11" x14ac:dyDescent="0.25">
      <c r="A557" s="2">
        <v>46120.583333333343</v>
      </c>
      <c r="B557" t="str">
        <f t="shared" si="16"/>
        <v>2026-04</v>
      </c>
      <c r="C557" s="3">
        <f t="shared" si="17"/>
        <v>14</v>
      </c>
      <c r="D557" s="4">
        <v>22.946213838677771</v>
      </c>
      <c r="E557" s="4">
        <v>24.754346916683328</v>
      </c>
      <c r="F557" s="4">
        <v>24.612778747977771</v>
      </c>
      <c r="G557" s="4">
        <v>7.8</v>
      </c>
      <c r="H557" s="5">
        <v>40.593904574555559</v>
      </c>
      <c r="I557" s="5">
        <v>38.773504352986123</v>
      </c>
      <c r="J557" s="5">
        <v>44.093987301952779</v>
      </c>
      <c r="K557" s="5">
        <v>58</v>
      </c>
    </row>
    <row r="558" spans="1:11" x14ac:dyDescent="0.25">
      <c r="A558" s="2">
        <v>46120.625</v>
      </c>
      <c r="B558" t="str">
        <f t="shared" si="16"/>
        <v>2026-04</v>
      </c>
      <c r="C558" s="3">
        <f t="shared" si="17"/>
        <v>15</v>
      </c>
      <c r="D558" s="4">
        <v>23.219059506183331</v>
      </c>
      <c r="E558" s="4">
        <v>24.943851135538889</v>
      </c>
      <c r="F558" s="4">
        <v>24.571677631883329</v>
      </c>
      <c r="G558" s="4">
        <v>7.6</v>
      </c>
      <c r="H558" s="5">
        <v>41.01379532010278</v>
      </c>
      <c r="I558" s="5">
        <v>38.511030157930563</v>
      </c>
      <c r="J558" s="5">
        <v>46.892974350247222</v>
      </c>
      <c r="K558" s="5">
        <v>61</v>
      </c>
    </row>
    <row r="559" spans="1:11" x14ac:dyDescent="0.25">
      <c r="A559" s="2">
        <v>46120.666666666657</v>
      </c>
      <c r="B559" t="str">
        <f t="shared" si="16"/>
        <v>2026-04</v>
      </c>
      <c r="C559" s="3">
        <f t="shared" si="17"/>
        <v>16</v>
      </c>
      <c r="D559" s="4">
        <v>23.336709061558331</v>
      </c>
      <c r="E559" s="4">
        <v>25.23374832896112</v>
      </c>
      <c r="F559" s="4">
        <v>24.491080140638889</v>
      </c>
      <c r="G559" s="4">
        <v>7.3</v>
      </c>
      <c r="H559" s="5">
        <v>42.329196586488891</v>
      </c>
      <c r="I559" s="5">
        <v>39.742939903358327</v>
      </c>
      <c r="J559" s="5">
        <v>50.90556482371111</v>
      </c>
      <c r="K559" s="5">
        <v>66</v>
      </c>
    </row>
    <row r="560" spans="1:11" x14ac:dyDescent="0.25">
      <c r="A560" s="2">
        <v>46120.708333333343</v>
      </c>
      <c r="B560" t="str">
        <f t="shared" si="16"/>
        <v>2026-04</v>
      </c>
      <c r="C560" s="3">
        <f t="shared" si="17"/>
        <v>17</v>
      </c>
      <c r="D560" s="4">
        <v>23.371112544691659</v>
      </c>
      <c r="E560" s="4">
        <v>25.287750186250001</v>
      </c>
      <c r="F560" s="4">
        <v>24.376645840363889</v>
      </c>
      <c r="G560" s="4">
        <v>6.7</v>
      </c>
      <c r="H560" s="5">
        <v>42.892958937419444</v>
      </c>
      <c r="I560" s="5">
        <v>40.502058375658329</v>
      </c>
      <c r="J560" s="5">
        <v>54.072168363358337</v>
      </c>
      <c r="K560" s="5">
        <v>72</v>
      </c>
    </row>
    <row r="561" spans="1:11" x14ac:dyDescent="0.25">
      <c r="A561" s="2">
        <v>46120.75</v>
      </c>
      <c r="B561" t="str">
        <f t="shared" si="16"/>
        <v>2026-04</v>
      </c>
      <c r="C561" s="3">
        <f t="shared" si="17"/>
        <v>18</v>
      </c>
      <c r="D561" s="4">
        <v>23.379614686305558</v>
      </c>
      <c r="E561" s="4">
        <v>25.106112392308329</v>
      </c>
      <c r="F561" s="4">
        <v>24.539732344372229</v>
      </c>
      <c r="G561" s="4">
        <v>6.7</v>
      </c>
      <c r="H561" s="5">
        <v>42.381119533997222</v>
      </c>
      <c r="I561" s="5">
        <v>39.646047827761123</v>
      </c>
      <c r="J561" s="5">
        <v>49.790724250855547</v>
      </c>
      <c r="K561" s="5">
        <v>70</v>
      </c>
    </row>
    <row r="562" spans="1:11" x14ac:dyDescent="0.25">
      <c r="A562" s="2">
        <v>46120.791666666657</v>
      </c>
      <c r="B562" t="str">
        <f t="shared" si="16"/>
        <v>2026-04</v>
      </c>
      <c r="C562" s="3">
        <f t="shared" si="17"/>
        <v>19</v>
      </c>
      <c r="D562" s="4">
        <v>23.757668773113888</v>
      </c>
      <c r="E562" s="4">
        <v>25.35815684413333</v>
      </c>
      <c r="F562" s="4">
        <v>24.596935943097229</v>
      </c>
      <c r="G562" s="4">
        <v>5.6</v>
      </c>
      <c r="H562" s="5">
        <v>41.274284733774998</v>
      </c>
      <c r="I562" s="5">
        <v>38.363622091733333</v>
      </c>
      <c r="J562" s="5">
        <v>47.015657073983327</v>
      </c>
      <c r="K562" s="5">
        <v>78</v>
      </c>
    </row>
    <row r="563" spans="1:11" x14ac:dyDescent="0.25">
      <c r="A563" s="2">
        <v>46120.833333333343</v>
      </c>
      <c r="B563" t="str">
        <f t="shared" si="16"/>
        <v>2026-04</v>
      </c>
      <c r="C563" s="3">
        <f t="shared" si="17"/>
        <v>20</v>
      </c>
      <c r="D563" s="4">
        <v>23.43426728853056</v>
      </c>
      <c r="E563" s="4">
        <v>25.118979118683331</v>
      </c>
      <c r="F563" s="4">
        <v>24.619210481741661</v>
      </c>
      <c r="G563" s="4">
        <v>4.5999999999999996</v>
      </c>
      <c r="H563" s="5">
        <v>42.498416939413893</v>
      </c>
      <c r="I563" s="5">
        <v>39.4931886404</v>
      </c>
      <c r="J563" s="5">
        <v>45.864356351241668</v>
      </c>
      <c r="K563" s="5">
        <v>83</v>
      </c>
    </row>
    <row r="564" spans="1:11" x14ac:dyDescent="0.25">
      <c r="A564" s="2">
        <v>46120.875</v>
      </c>
      <c r="B564" t="str">
        <f t="shared" si="16"/>
        <v>2026-04</v>
      </c>
      <c r="C564" s="3">
        <f t="shared" si="17"/>
        <v>21</v>
      </c>
      <c r="D564" s="4">
        <v>23.316157754919441</v>
      </c>
      <c r="E564" s="4">
        <v>24.96581386919167</v>
      </c>
      <c r="F564" s="4">
        <v>24.62385499900833</v>
      </c>
      <c r="G564" s="4">
        <v>3.5</v>
      </c>
      <c r="H564" s="5">
        <v>42.973685022538888</v>
      </c>
      <c r="I564" s="5">
        <v>39.96394035182778</v>
      </c>
      <c r="J564" s="5">
        <v>46.720494975725003</v>
      </c>
      <c r="K564" s="5">
        <v>93</v>
      </c>
    </row>
    <row r="565" spans="1:11" x14ac:dyDescent="0.25">
      <c r="A565" s="2">
        <v>46120.916666666657</v>
      </c>
      <c r="B565" t="str">
        <f t="shared" si="16"/>
        <v>2026-04</v>
      </c>
      <c r="C565" s="3">
        <f t="shared" si="17"/>
        <v>22</v>
      </c>
      <c r="D565" s="4">
        <v>23.374443264152781</v>
      </c>
      <c r="E565" s="4">
        <v>24.893201892127781</v>
      </c>
      <c r="F565" s="4">
        <v>24.617860984161108</v>
      </c>
      <c r="G565" s="4">
        <v>3.1</v>
      </c>
      <c r="H565" s="5">
        <v>42.051123975913889</v>
      </c>
      <c r="I565" s="5">
        <v>42.428032635402779</v>
      </c>
      <c r="J565" s="5">
        <v>45.605216542627772</v>
      </c>
      <c r="K565" s="5">
        <v>94</v>
      </c>
    </row>
    <row r="566" spans="1:11" x14ac:dyDescent="0.25">
      <c r="A566" s="2">
        <v>46120.958333333343</v>
      </c>
      <c r="B566" t="str">
        <f t="shared" si="16"/>
        <v>2026-04</v>
      </c>
      <c r="C566" s="3">
        <f t="shared" si="17"/>
        <v>23</v>
      </c>
      <c r="D566" s="4">
        <v>23.720139468555551</v>
      </c>
      <c r="E566" s="4">
        <v>25.155299081016661</v>
      </c>
      <c r="F566" s="4">
        <v>24.630578297749999</v>
      </c>
      <c r="G566" s="4">
        <v>2.4</v>
      </c>
      <c r="H566" s="5">
        <v>39.526493402772218</v>
      </c>
      <c r="I566" s="5">
        <v>38.087288748713888</v>
      </c>
      <c r="J566" s="5">
        <v>44.848042038319448</v>
      </c>
      <c r="K566" s="5">
        <v>96</v>
      </c>
    </row>
    <row r="567" spans="1:11" x14ac:dyDescent="0.25">
      <c r="A567" s="2">
        <v>46121</v>
      </c>
      <c r="B567" t="str">
        <f t="shared" si="16"/>
        <v>2026-04</v>
      </c>
      <c r="C567" s="3">
        <f t="shared" si="17"/>
        <v>0</v>
      </c>
      <c r="D567" s="4">
        <v>23.595338390858331</v>
      </c>
      <c r="E567" s="4">
        <v>25.23156960654444</v>
      </c>
      <c r="F567" s="4">
        <v>24.626909442233341</v>
      </c>
      <c r="G567" s="4">
        <v>2</v>
      </c>
      <c r="H567" s="5">
        <v>39.496687315400003</v>
      </c>
      <c r="I567" s="5">
        <v>37.467083214491673</v>
      </c>
      <c r="J567" s="5">
        <v>44.510937784544439</v>
      </c>
      <c r="K567" s="5">
        <v>97</v>
      </c>
    </row>
    <row r="568" spans="1:11" x14ac:dyDescent="0.25">
      <c r="A568" s="2">
        <v>46121.041666666657</v>
      </c>
      <c r="B568" t="str">
        <f t="shared" si="16"/>
        <v>2026-04</v>
      </c>
      <c r="C568" s="3">
        <f t="shared" si="17"/>
        <v>1</v>
      </c>
      <c r="D568" s="4">
        <v>23.199516905816669</v>
      </c>
      <c r="E568" s="4">
        <v>24.707711094683329</v>
      </c>
      <c r="F568" s="4">
        <v>24.619488023911121</v>
      </c>
      <c r="G568" s="4">
        <v>1.5</v>
      </c>
      <c r="H568" s="5">
        <v>41.723036235561104</v>
      </c>
      <c r="I568" s="5">
        <v>39.728072910297222</v>
      </c>
      <c r="J568" s="5">
        <v>44.335825999447223</v>
      </c>
      <c r="K568" s="5">
        <v>97</v>
      </c>
    </row>
    <row r="569" spans="1:11" x14ac:dyDescent="0.25">
      <c r="A569" s="2">
        <v>46121.083333333343</v>
      </c>
      <c r="B569" t="str">
        <f t="shared" si="16"/>
        <v>2026-04</v>
      </c>
      <c r="C569" s="3">
        <f t="shared" si="17"/>
        <v>2</v>
      </c>
      <c r="D569" s="4">
        <v>22.70988535745278</v>
      </c>
      <c r="E569" s="4">
        <v>24.349289005561111</v>
      </c>
      <c r="F569" s="4">
        <v>24.61024404283333</v>
      </c>
      <c r="G569" s="4">
        <v>1.1000000000000001</v>
      </c>
      <c r="H569" s="5">
        <v>43.013162932766669</v>
      </c>
      <c r="I569" s="5">
        <v>39.61400505238889</v>
      </c>
      <c r="J569" s="5">
        <v>44.175003304161123</v>
      </c>
      <c r="K569" s="5">
        <v>98</v>
      </c>
    </row>
    <row r="570" spans="1:11" x14ac:dyDescent="0.25">
      <c r="A570" s="2">
        <v>46121.125</v>
      </c>
      <c r="B570" t="str">
        <f t="shared" si="16"/>
        <v>2026-04</v>
      </c>
      <c r="C570" s="3">
        <f t="shared" si="17"/>
        <v>3</v>
      </c>
      <c r="D570" s="4">
        <v>22.46300548250278</v>
      </c>
      <c r="E570" s="4">
        <v>24.15811225083889</v>
      </c>
      <c r="F570" s="4">
        <v>24.59564639821944</v>
      </c>
      <c r="G570" s="4">
        <v>1.3</v>
      </c>
      <c r="H570" s="5">
        <v>43.223431376047223</v>
      </c>
      <c r="I570" s="5">
        <v>39.192862578586109</v>
      </c>
      <c r="J570" s="5">
        <v>44.042386251816673</v>
      </c>
      <c r="K570" s="5">
        <v>95</v>
      </c>
    </row>
    <row r="571" spans="1:11" x14ac:dyDescent="0.25">
      <c r="A571" s="2">
        <v>46121.166666666657</v>
      </c>
      <c r="B571" t="str">
        <f t="shared" si="16"/>
        <v>2026-04</v>
      </c>
      <c r="C571" s="3">
        <f t="shared" si="17"/>
        <v>4</v>
      </c>
      <c r="D571" s="4">
        <v>22.29336380853611</v>
      </c>
      <c r="E571" s="4">
        <v>24.011704198716671</v>
      </c>
      <c r="F571" s="4">
        <v>24.549780721727771</v>
      </c>
      <c r="G571" s="4">
        <v>1.5</v>
      </c>
      <c r="H571" s="5">
        <v>43.366606844016673</v>
      </c>
      <c r="I571" s="5">
        <v>38.908625647538891</v>
      </c>
      <c r="J571" s="5">
        <v>43.930765736052777</v>
      </c>
      <c r="K571" s="5">
        <v>93</v>
      </c>
    </row>
    <row r="572" spans="1:11" x14ac:dyDescent="0.25">
      <c r="A572" s="2">
        <v>46121.208333333343</v>
      </c>
      <c r="B572" t="str">
        <f t="shared" si="16"/>
        <v>2026-04</v>
      </c>
      <c r="C572" s="3">
        <f t="shared" si="17"/>
        <v>5</v>
      </c>
      <c r="D572" s="4">
        <v>22.14769000924445</v>
      </c>
      <c r="E572" s="4">
        <v>23.835983120938891</v>
      </c>
      <c r="F572" s="4">
        <v>24.514613936888889</v>
      </c>
      <c r="G572" s="4">
        <v>1.5</v>
      </c>
      <c r="H572" s="5">
        <v>43.473896010258329</v>
      </c>
      <c r="I572" s="5">
        <v>38.745203910127778</v>
      </c>
      <c r="J572" s="5">
        <v>43.816722153299999</v>
      </c>
      <c r="K572" s="5">
        <v>93</v>
      </c>
    </row>
    <row r="573" spans="1:11" x14ac:dyDescent="0.25">
      <c r="A573" s="2">
        <v>46121.25</v>
      </c>
      <c r="B573" t="str">
        <f t="shared" si="16"/>
        <v>2026-04</v>
      </c>
      <c r="C573" s="3">
        <f t="shared" si="17"/>
        <v>6</v>
      </c>
      <c r="D573" s="4">
        <v>22.078611131897219</v>
      </c>
      <c r="E573" s="4">
        <v>23.789555541269451</v>
      </c>
      <c r="F573" s="4">
        <v>24.47144744626944</v>
      </c>
      <c r="G573" s="4">
        <v>1.1000000000000001</v>
      </c>
      <c r="H573" s="5">
        <v>43.245344464375002</v>
      </c>
      <c r="I573" s="5">
        <v>38.682091126499998</v>
      </c>
      <c r="J573" s="5">
        <v>43.729172377647217</v>
      </c>
      <c r="K573" s="5">
        <v>94</v>
      </c>
    </row>
    <row r="574" spans="1:11" x14ac:dyDescent="0.25">
      <c r="A574" s="2">
        <v>46121.291666666657</v>
      </c>
      <c r="B574" t="str">
        <f t="shared" si="16"/>
        <v>2026-04</v>
      </c>
      <c r="C574" s="3">
        <f t="shared" si="17"/>
        <v>7</v>
      </c>
      <c r="D574" s="4">
        <v>22.080065523261108</v>
      </c>
      <c r="E574" s="4">
        <v>23.788529734436111</v>
      </c>
      <c r="F574" s="4">
        <v>24.448382649733329</v>
      </c>
      <c r="G574" s="4">
        <v>1.5</v>
      </c>
      <c r="H574" s="5">
        <v>43.097577999769442</v>
      </c>
      <c r="I574" s="5">
        <v>38.470745846494452</v>
      </c>
      <c r="J574" s="5">
        <v>43.644576505916667</v>
      </c>
      <c r="K574" s="5">
        <v>95</v>
      </c>
    </row>
    <row r="575" spans="1:11" x14ac:dyDescent="0.25">
      <c r="A575" s="2">
        <v>46121.333333333343</v>
      </c>
      <c r="B575" t="str">
        <f t="shared" si="16"/>
        <v>2026-04</v>
      </c>
      <c r="C575" s="3">
        <f t="shared" si="17"/>
        <v>8</v>
      </c>
      <c r="D575" s="4">
        <v>22.166445007036121</v>
      </c>
      <c r="E575" s="4">
        <v>23.688056250438891</v>
      </c>
      <c r="F575" s="4">
        <v>24.420252570908328</v>
      </c>
      <c r="G575" s="4">
        <v>3.2</v>
      </c>
      <c r="H575" s="5">
        <v>42.849535335500001</v>
      </c>
      <c r="I575" s="5">
        <v>38.928274536377778</v>
      </c>
      <c r="J575" s="5">
        <v>43.5780739287</v>
      </c>
      <c r="K575" s="5">
        <v>90</v>
      </c>
    </row>
    <row r="576" spans="1:11" x14ac:dyDescent="0.25">
      <c r="A576" s="2">
        <v>46121.375</v>
      </c>
      <c r="B576" t="str">
        <f t="shared" si="16"/>
        <v>2026-04</v>
      </c>
      <c r="C576" s="3">
        <f t="shared" si="17"/>
        <v>9</v>
      </c>
      <c r="D576" s="4">
        <v>22.050634052769439</v>
      </c>
      <c r="E576" s="4">
        <v>23.680189659816669</v>
      </c>
      <c r="F576" s="4">
        <v>24.384508669916659</v>
      </c>
      <c r="G576" s="4">
        <v>5.4</v>
      </c>
      <c r="H576" s="5">
        <v>43.130052344322223</v>
      </c>
      <c r="I576" s="5">
        <v>38.656817664211111</v>
      </c>
      <c r="J576" s="5">
        <v>43.502517526425002</v>
      </c>
      <c r="K576" s="5">
        <v>85</v>
      </c>
    </row>
    <row r="577" spans="1:11" x14ac:dyDescent="0.25">
      <c r="A577" s="2">
        <v>46121.416666666657</v>
      </c>
      <c r="B577" t="str">
        <f t="shared" si="16"/>
        <v>2026-04</v>
      </c>
      <c r="C577" s="3">
        <f t="shared" si="17"/>
        <v>10</v>
      </c>
      <c r="D577" s="4">
        <v>22.040631762450001</v>
      </c>
      <c r="E577" s="4">
        <v>23.790861641972221</v>
      </c>
      <c r="F577" s="4">
        <v>24.371617402727779</v>
      </c>
      <c r="G577" s="4">
        <v>7.6</v>
      </c>
      <c r="H577" s="5">
        <v>43.064324900255549</v>
      </c>
      <c r="I577" s="5">
        <v>38.726062604205559</v>
      </c>
      <c r="J577" s="5">
        <v>43.478382171666659</v>
      </c>
      <c r="K577" s="5">
        <v>74</v>
      </c>
    </row>
    <row r="578" spans="1:11" x14ac:dyDescent="0.25">
      <c r="A578" s="2">
        <v>46121.458333333343</v>
      </c>
      <c r="B578" t="str">
        <f t="shared" ref="B578:B641" si="18">TEXT(A578,"yyyy-mm")</f>
        <v>2026-04</v>
      </c>
      <c r="C578" s="3">
        <f t="shared" ref="C578:C641" si="19">HOUR(A578)</f>
        <v>11</v>
      </c>
      <c r="D578" s="4">
        <v>22.787287896361111</v>
      </c>
      <c r="E578" s="4">
        <v>24.528107397047229</v>
      </c>
      <c r="F578" s="4">
        <v>24.388512784866659</v>
      </c>
      <c r="G578" s="4">
        <v>9</v>
      </c>
      <c r="H578" s="5">
        <v>44.39142840975277</v>
      </c>
      <c r="I578" s="5">
        <v>42.956496036724992</v>
      </c>
      <c r="J578" s="5">
        <v>43.380553772724987</v>
      </c>
      <c r="K578" s="5">
        <v>64</v>
      </c>
    </row>
    <row r="579" spans="1:11" x14ac:dyDescent="0.25">
      <c r="A579" s="2">
        <v>46121.5</v>
      </c>
      <c r="B579" t="str">
        <f t="shared" si="18"/>
        <v>2026-04</v>
      </c>
      <c r="C579" s="3">
        <f t="shared" si="19"/>
        <v>12</v>
      </c>
      <c r="D579" s="4">
        <v>22.962554830119441</v>
      </c>
      <c r="E579" s="4">
        <v>24.61886255626111</v>
      </c>
      <c r="F579" s="4">
        <v>24.407623851075002</v>
      </c>
      <c r="G579" s="4">
        <v>9.6</v>
      </c>
      <c r="H579" s="5">
        <v>44.975540428375012</v>
      </c>
      <c r="I579" s="5">
        <v>42.736073129363888</v>
      </c>
      <c r="J579" s="5">
        <v>43.347878113155559</v>
      </c>
      <c r="K579" s="5">
        <v>58</v>
      </c>
    </row>
    <row r="580" spans="1:11" x14ac:dyDescent="0.25">
      <c r="A580" s="2">
        <v>46121.541666666657</v>
      </c>
      <c r="B580" t="str">
        <f t="shared" si="18"/>
        <v>2026-04</v>
      </c>
      <c r="C580" s="3">
        <f t="shared" si="19"/>
        <v>13</v>
      </c>
      <c r="D580" s="4">
        <v>23.17722845136112</v>
      </c>
      <c r="E580" s="4">
        <v>24.73969623521111</v>
      </c>
      <c r="F580" s="4">
        <v>24.416055660030551</v>
      </c>
      <c r="G580" s="4">
        <v>9.4</v>
      </c>
      <c r="H580" s="5">
        <v>46.374348345166673</v>
      </c>
      <c r="I580" s="5">
        <v>43.662742075983338</v>
      </c>
      <c r="J580" s="5">
        <v>43.384743977836109</v>
      </c>
      <c r="K580" s="5">
        <v>53</v>
      </c>
    </row>
    <row r="581" spans="1:11" x14ac:dyDescent="0.25">
      <c r="A581" s="2">
        <v>46121.583333333343</v>
      </c>
      <c r="B581" t="str">
        <f t="shared" si="18"/>
        <v>2026-04</v>
      </c>
      <c r="C581" s="3">
        <f t="shared" si="19"/>
        <v>14</v>
      </c>
      <c r="D581" s="4">
        <v>23.236551486475001</v>
      </c>
      <c r="E581" s="4">
        <v>24.714170583611111</v>
      </c>
      <c r="F581" s="4">
        <v>24.399403832105559</v>
      </c>
      <c r="G581" s="4">
        <v>7.8</v>
      </c>
      <c r="H581" s="5">
        <v>45.583016565305549</v>
      </c>
      <c r="I581" s="5">
        <v>43.831565380850002</v>
      </c>
      <c r="J581" s="5">
        <v>43.31424599521111</v>
      </c>
      <c r="K581" s="5">
        <v>64</v>
      </c>
    </row>
    <row r="582" spans="1:11" x14ac:dyDescent="0.25">
      <c r="A582" s="2">
        <v>46121.625</v>
      </c>
      <c r="B582" t="str">
        <f t="shared" si="18"/>
        <v>2026-04</v>
      </c>
      <c r="C582" s="3">
        <f t="shared" si="19"/>
        <v>15</v>
      </c>
      <c r="D582" s="4">
        <v>23.036780501066669</v>
      </c>
      <c r="E582" s="4">
        <v>24.631091128891669</v>
      </c>
      <c r="F582" s="4">
        <v>24.372356299227771</v>
      </c>
      <c r="G582" s="4">
        <v>7.1</v>
      </c>
      <c r="H582" s="5">
        <v>45.033762972338877</v>
      </c>
      <c r="I582" s="5">
        <v>42.603530172388894</v>
      </c>
      <c r="J582" s="5">
        <v>43.209423682438889</v>
      </c>
      <c r="K582" s="5">
        <v>70</v>
      </c>
    </row>
    <row r="583" spans="1:11" x14ac:dyDescent="0.25">
      <c r="A583" s="2">
        <v>46121.666666666657</v>
      </c>
      <c r="B583" t="str">
        <f t="shared" si="18"/>
        <v>2026-04</v>
      </c>
      <c r="C583" s="3">
        <f t="shared" si="19"/>
        <v>16</v>
      </c>
      <c r="D583" s="4">
        <v>22.706914004261112</v>
      </c>
      <c r="E583" s="4">
        <v>24.375869364602771</v>
      </c>
      <c r="F583" s="4">
        <v>24.361374210419449</v>
      </c>
      <c r="G583" s="4">
        <v>7.4</v>
      </c>
      <c r="H583" s="5">
        <v>44.369706872605562</v>
      </c>
      <c r="I583" s="5">
        <v>41.324154494375001</v>
      </c>
      <c r="J583" s="5">
        <v>43.215736915461122</v>
      </c>
      <c r="K583" s="5">
        <v>69</v>
      </c>
    </row>
    <row r="584" spans="1:11" x14ac:dyDescent="0.25">
      <c r="A584" s="2">
        <v>46121.708333333343</v>
      </c>
      <c r="B584" t="str">
        <f t="shared" si="18"/>
        <v>2026-04</v>
      </c>
      <c r="C584" s="3">
        <f t="shared" si="19"/>
        <v>17</v>
      </c>
      <c r="D584" s="4">
        <v>22.75524235018333</v>
      </c>
      <c r="E584" s="4">
        <v>24.675563896608331</v>
      </c>
      <c r="F584" s="4">
        <v>24.37397868781666</v>
      </c>
      <c r="G584" s="4">
        <v>6.8</v>
      </c>
      <c r="H584" s="5">
        <v>49.058762137630559</v>
      </c>
      <c r="I584" s="5">
        <v>46.356555471172221</v>
      </c>
      <c r="J584" s="5">
        <v>43.102391889625011</v>
      </c>
      <c r="K584" s="5">
        <v>75</v>
      </c>
    </row>
    <row r="585" spans="1:11" x14ac:dyDescent="0.25">
      <c r="A585" s="2">
        <v>46121.75</v>
      </c>
      <c r="B585" t="str">
        <f t="shared" si="18"/>
        <v>2026-04</v>
      </c>
      <c r="C585" s="3">
        <f t="shared" si="19"/>
        <v>18</v>
      </c>
      <c r="D585" s="4">
        <v>22.536401749577781</v>
      </c>
      <c r="E585" s="4">
        <v>24.613951336688888</v>
      </c>
      <c r="F585" s="4">
        <v>24.377923385477771</v>
      </c>
      <c r="G585" s="4">
        <v>7.3</v>
      </c>
      <c r="H585" s="5">
        <v>49.757585224650001</v>
      </c>
      <c r="I585" s="5">
        <v>45.28422863266389</v>
      </c>
      <c r="J585" s="5">
        <v>42.991546514705547</v>
      </c>
      <c r="K585" s="5">
        <v>73</v>
      </c>
    </row>
    <row r="586" spans="1:11" x14ac:dyDescent="0.25">
      <c r="A586" s="2">
        <v>46121.791666666657</v>
      </c>
      <c r="B586" t="str">
        <f t="shared" si="18"/>
        <v>2026-04</v>
      </c>
      <c r="C586" s="3">
        <f t="shared" si="19"/>
        <v>19</v>
      </c>
      <c r="D586" s="4">
        <v>22.310257835866661</v>
      </c>
      <c r="E586" s="4">
        <v>24.369989302147221</v>
      </c>
      <c r="F586" s="4">
        <v>24.37510344189722</v>
      </c>
      <c r="G586" s="4">
        <v>7</v>
      </c>
      <c r="H586" s="5">
        <v>49.009027244327783</v>
      </c>
      <c r="I586" s="5">
        <v>42.265097663641669</v>
      </c>
      <c r="J586" s="5">
        <v>43.015186670416661</v>
      </c>
      <c r="K586" s="5">
        <v>67</v>
      </c>
    </row>
    <row r="587" spans="1:11" x14ac:dyDescent="0.25">
      <c r="A587" s="2">
        <v>46121.833333333343</v>
      </c>
      <c r="B587" t="str">
        <f t="shared" si="18"/>
        <v>2026-04</v>
      </c>
      <c r="C587" s="3">
        <f t="shared" si="19"/>
        <v>20</v>
      </c>
      <c r="D587" s="4">
        <v>22.219444674733332</v>
      </c>
      <c r="E587" s="4">
        <v>24.21554573950278</v>
      </c>
      <c r="F587" s="4">
        <v>24.358986631097221</v>
      </c>
      <c r="G587" s="4">
        <v>6.2</v>
      </c>
      <c r="H587" s="5">
        <v>48.460635309363887</v>
      </c>
      <c r="I587" s="5">
        <v>41.967267842719437</v>
      </c>
      <c r="J587" s="5">
        <v>43.036068961308331</v>
      </c>
      <c r="K587" s="5">
        <v>67</v>
      </c>
    </row>
    <row r="588" spans="1:11" x14ac:dyDescent="0.25">
      <c r="A588" s="2">
        <v>46121.875</v>
      </c>
      <c r="B588" t="str">
        <f t="shared" si="18"/>
        <v>2026-04</v>
      </c>
      <c r="C588" s="3">
        <f t="shared" si="19"/>
        <v>21</v>
      </c>
      <c r="D588" s="4">
        <v>22.271732486377768</v>
      </c>
      <c r="E588" s="4">
        <v>24.238082770913891</v>
      </c>
      <c r="F588" s="4">
        <v>24.354125427780559</v>
      </c>
      <c r="G588" s="4">
        <v>4.8</v>
      </c>
      <c r="H588" s="5">
        <v>49.361786940149997</v>
      </c>
      <c r="I588" s="5">
        <v>43.232606250638888</v>
      </c>
      <c r="J588" s="5">
        <v>43.026777830194447</v>
      </c>
      <c r="K588" s="5">
        <v>79</v>
      </c>
    </row>
    <row r="589" spans="1:11" x14ac:dyDescent="0.25">
      <c r="A589" s="2">
        <v>46121.916666666657</v>
      </c>
      <c r="B589" t="str">
        <f t="shared" si="18"/>
        <v>2026-04</v>
      </c>
      <c r="C589" s="3">
        <f t="shared" si="19"/>
        <v>22</v>
      </c>
      <c r="D589" s="4">
        <v>22.695308034772221</v>
      </c>
      <c r="E589" s="4">
        <v>24.53521476245556</v>
      </c>
      <c r="F589" s="4">
        <v>24.344499869930559</v>
      </c>
      <c r="G589" s="4">
        <v>4.4000000000000004</v>
      </c>
      <c r="H589" s="5">
        <v>46.256105539266663</v>
      </c>
      <c r="I589" s="5">
        <v>42.405699113891657</v>
      </c>
      <c r="J589" s="5">
        <v>43.063311366208332</v>
      </c>
      <c r="K589" s="5">
        <v>84</v>
      </c>
    </row>
    <row r="590" spans="1:11" x14ac:dyDescent="0.25">
      <c r="A590" s="2">
        <v>46121.958333333343</v>
      </c>
      <c r="B590" t="str">
        <f t="shared" si="18"/>
        <v>2026-04</v>
      </c>
      <c r="C590" s="3">
        <f t="shared" si="19"/>
        <v>23</v>
      </c>
      <c r="D590" s="4">
        <v>22.519420939877779</v>
      </c>
      <c r="E590" s="4">
        <v>24.435920886841672</v>
      </c>
      <c r="F590" s="4">
        <v>24.335298826833331</v>
      </c>
      <c r="G590" s="4">
        <v>3.8</v>
      </c>
      <c r="H590" s="5">
        <v>45.002690564969441</v>
      </c>
      <c r="I590" s="5">
        <v>41.493174400097217</v>
      </c>
      <c r="J590" s="5">
        <v>42.976022490194453</v>
      </c>
      <c r="K590" s="5">
        <v>89</v>
      </c>
    </row>
    <row r="591" spans="1:11" x14ac:dyDescent="0.25">
      <c r="A591" s="2">
        <v>46122</v>
      </c>
      <c r="B591" t="str">
        <f t="shared" si="18"/>
        <v>2026-04</v>
      </c>
      <c r="C591" s="3">
        <f t="shared" si="19"/>
        <v>0</v>
      </c>
      <c r="D591" s="4">
        <v>22.477527071952771</v>
      </c>
      <c r="E591" s="4">
        <v>24.418687643019439</v>
      </c>
      <c r="F591" s="4">
        <v>24.314778323333329</v>
      </c>
      <c r="G591" s="4">
        <v>3.5</v>
      </c>
      <c r="H591" s="5">
        <v>44.724126827172221</v>
      </c>
      <c r="I591" s="5">
        <v>41.38681097629167</v>
      </c>
      <c r="J591" s="5">
        <v>43.030117378097223</v>
      </c>
      <c r="K591" s="5">
        <v>92</v>
      </c>
    </row>
    <row r="592" spans="1:11" x14ac:dyDescent="0.25">
      <c r="A592" s="2">
        <v>46122.041666666657</v>
      </c>
      <c r="B592" t="str">
        <f t="shared" si="18"/>
        <v>2026-04</v>
      </c>
      <c r="C592" s="3">
        <f t="shared" si="19"/>
        <v>1</v>
      </c>
      <c r="D592" s="4">
        <v>22.487916901472211</v>
      </c>
      <c r="E592" s="4">
        <v>24.410709323397221</v>
      </c>
      <c r="F592" s="4">
        <v>24.29647834383611</v>
      </c>
      <c r="G592" s="4">
        <v>3.2</v>
      </c>
      <c r="H592" s="5">
        <v>44.36961141746945</v>
      </c>
      <c r="I592" s="5">
        <v>40.839377318938887</v>
      </c>
      <c r="J592" s="5">
        <v>43.550481513333331</v>
      </c>
      <c r="K592" s="5">
        <v>92</v>
      </c>
    </row>
    <row r="593" spans="1:11" x14ac:dyDescent="0.25">
      <c r="A593" s="2">
        <v>46122.083333333343</v>
      </c>
      <c r="B593" t="str">
        <f t="shared" si="18"/>
        <v>2026-04</v>
      </c>
      <c r="C593" s="3">
        <f t="shared" si="19"/>
        <v>2</v>
      </c>
      <c r="D593" s="4">
        <v>22.240904897263889</v>
      </c>
      <c r="E593" s="4">
        <v>24.322432919419441</v>
      </c>
      <c r="F593" s="4">
        <v>24.332271072947229</v>
      </c>
      <c r="G593" s="4">
        <v>2.8</v>
      </c>
      <c r="H593" s="5">
        <v>43.49701948766667</v>
      </c>
      <c r="I593" s="5">
        <v>38.831149243483338</v>
      </c>
      <c r="J593" s="5">
        <v>45.431585612638891</v>
      </c>
      <c r="K593" s="5">
        <v>93</v>
      </c>
    </row>
    <row r="594" spans="1:11" x14ac:dyDescent="0.25">
      <c r="A594" s="2">
        <v>46122.125</v>
      </c>
      <c r="B594" t="str">
        <f t="shared" si="18"/>
        <v>2026-04</v>
      </c>
      <c r="C594" s="3">
        <f t="shared" si="19"/>
        <v>3</v>
      </c>
      <c r="D594" s="4">
        <v>21.832852499911109</v>
      </c>
      <c r="E594" s="4">
        <v>23.8336131529</v>
      </c>
      <c r="F594" s="4">
        <v>24.380951253463891</v>
      </c>
      <c r="G594" s="4">
        <v>2.2999999999999998</v>
      </c>
      <c r="H594" s="5">
        <v>44.44273231895</v>
      </c>
      <c r="I594" s="5">
        <v>39.283119305097223</v>
      </c>
      <c r="J594" s="5">
        <v>44.238272097602781</v>
      </c>
      <c r="K594" s="5">
        <v>93</v>
      </c>
    </row>
    <row r="595" spans="1:11" x14ac:dyDescent="0.25">
      <c r="A595" s="2">
        <v>46122.166666666657</v>
      </c>
      <c r="B595" t="str">
        <f t="shared" si="18"/>
        <v>2026-04</v>
      </c>
      <c r="C595" s="3">
        <f t="shared" si="19"/>
        <v>4</v>
      </c>
      <c r="D595" s="4">
        <v>21.619593788719449</v>
      </c>
      <c r="E595" s="4">
        <v>23.53229798212778</v>
      </c>
      <c r="F595" s="4">
        <v>24.37170987821667</v>
      </c>
      <c r="G595" s="4">
        <v>1.9</v>
      </c>
      <c r="H595" s="5">
        <v>44.690893251475003</v>
      </c>
      <c r="I595" s="5">
        <v>39.417032866799993</v>
      </c>
      <c r="J595" s="5">
        <v>43.813781932605558</v>
      </c>
      <c r="K595" s="5">
        <v>93</v>
      </c>
    </row>
    <row r="596" spans="1:11" x14ac:dyDescent="0.25">
      <c r="A596" s="2">
        <v>46122.208333333343</v>
      </c>
      <c r="B596" t="str">
        <f t="shared" si="18"/>
        <v>2026-04</v>
      </c>
      <c r="C596" s="3">
        <f t="shared" si="19"/>
        <v>5</v>
      </c>
      <c r="D596" s="4">
        <v>21.464006520338891</v>
      </c>
      <c r="E596" s="4">
        <v>23.34807042726111</v>
      </c>
      <c r="F596" s="4">
        <v>24.326284459922221</v>
      </c>
      <c r="G596" s="4">
        <v>1.4</v>
      </c>
      <c r="H596" s="5">
        <v>44.758245074419449</v>
      </c>
      <c r="I596" s="5">
        <v>39.374755011755553</v>
      </c>
      <c r="J596" s="5">
        <v>43.616922392847222</v>
      </c>
      <c r="K596" s="5">
        <v>96</v>
      </c>
    </row>
    <row r="597" spans="1:11" x14ac:dyDescent="0.25">
      <c r="A597" s="2">
        <v>46122.25</v>
      </c>
      <c r="B597" t="str">
        <f t="shared" si="18"/>
        <v>2026-04</v>
      </c>
      <c r="C597" s="3">
        <f t="shared" si="19"/>
        <v>6</v>
      </c>
      <c r="D597" s="4">
        <v>21.34596156870278</v>
      </c>
      <c r="E597" s="4">
        <v>23.219720925425001</v>
      </c>
      <c r="F597" s="4">
        <v>24.25320098980556</v>
      </c>
      <c r="G597" s="4">
        <v>1.2</v>
      </c>
      <c r="H597" s="5">
        <v>44.717977059950002</v>
      </c>
      <c r="I597" s="5">
        <v>39.161961276227778</v>
      </c>
      <c r="J597" s="5">
        <v>43.417165633241673</v>
      </c>
      <c r="K597" s="5">
        <v>95</v>
      </c>
    </row>
    <row r="598" spans="1:11" x14ac:dyDescent="0.25">
      <c r="A598" s="2">
        <v>46122.291666666657</v>
      </c>
      <c r="B598" t="str">
        <f t="shared" si="18"/>
        <v>2026-04</v>
      </c>
      <c r="C598" s="3">
        <f t="shared" si="19"/>
        <v>7</v>
      </c>
      <c r="D598" s="4">
        <v>21.27877899780556</v>
      </c>
      <c r="E598" s="4">
        <v>23.05700062295</v>
      </c>
      <c r="F598" s="4">
        <v>24.20395113578056</v>
      </c>
      <c r="G598" s="4">
        <v>1.1000000000000001</v>
      </c>
      <c r="H598" s="5">
        <v>44.488722194899999</v>
      </c>
      <c r="I598" s="5">
        <v>38.976275918699997</v>
      </c>
      <c r="J598" s="5">
        <v>43.274783553538889</v>
      </c>
      <c r="K598" s="5">
        <v>94</v>
      </c>
    </row>
    <row r="599" spans="1:11" x14ac:dyDescent="0.25">
      <c r="A599" s="2">
        <v>46122.333333333343</v>
      </c>
      <c r="B599" t="str">
        <f t="shared" si="18"/>
        <v>2026-04</v>
      </c>
      <c r="C599" s="3">
        <f t="shared" si="19"/>
        <v>8</v>
      </c>
      <c r="D599" s="4">
        <v>21.230445406736109</v>
      </c>
      <c r="E599" s="4">
        <v>23.101468825444449</v>
      </c>
      <c r="F599" s="4">
        <v>24.170096995955561</v>
      </c>
      <c r="G599" s="4">
        <v>1.2</v>
      </c>
      <c r="H599" s="5">
        <v>44.21453451020556</v>
      </c>
      <c r="I599" s="5">
        <v>38.525211111125003</v>
      </c>
      <c r="J599" s="5">
        <v>43.186090850597218</v>
      </c>
      <c r="K599" s="5">
        <v>92</v>
      </c>
    </row>
    <row r="600" spans="1:11" x14ac:dyDescent="0.25">
      <c r="A600" s="2">
        <v>46122.375</v>
      </c>
      <c r="B600" t="str">
        <f t="shared" si="18"/>
        <v>2026-04</v>
      </c>
      <c r="C600" s="3">
        <f t="shared" si="19"/>
        <v>9</v>
      </c>
      <c r="D600" s="4">
        <v>21.228138059586112</v>
      </c>
      <c r="E600" s="4">
        <v>22.982666907475</v>
      </c>
      <c r="F600" s="4">
        <v>24.13885350761112</v>
      </c>
      <c r="G600" s="4">
        <v>1.5</v>
      </c>
      <c r="H600" s="5">
        <v>43.851826093799993</v>
      </c>
      <c r="I600" s="5">
        <v>38.582424007663889</v>
      </c>
      <c r="J600" s="5">
        <v>43.510609510027777</v>
      </c>
      <c r="K600" s="5">
        <v>94</v>
      </c>
    </row>
    <row r="601" spans="1:11" x14ac:dyDescent="0.25">
      <c r="A601" s="2">
        <v>46122.416666666657</v>
      </c>
      <c r="B601" t="str">
        <f t="shared" si="18"/>
        <v>2026-04</v>
      </c>
      <c r="C601" s="3">
        <f t="shared" si="19"/>
        <v>10</v>
      </c>
      <c r="D601" s="4">
        <v>21.39814000382778</v>
      </c>
      <c r="E601" s="4">
        <v>23.52275250003056</v>
      </c>
      <c r="F601" s="4">
        <v>24.125333210261111</v>
      </c>
      <c r="G601" s="4">
        <v>1.8</v>
      </c>
      <c r="H601" s="5">
        <v>43.831610703569453</v>
      </c>
      <c r="I601" s="5">
        <v>40.418598305641673</v>
      </c>
      <c r="J601" s="5">
        <v>44.119971624830562</v>
      </c>
      <c r="K601" s="5">
        <v>93</v>
      </c>
    </row>
    <row r="602" spans="1:11" x14ac:dyDescent="0.25">
      <c r="A602" s="2">
        <v>46122.458333333343</v>
      </c>
      <c r="B602" t="str">
        <f t="shared" si="18"/>
        <v>2026-04</v>
      </c>
      <c r="C602" s="3">
        <f t="shared" si="19"/>
        <v>11</v>
      </c>
      <c r="D602" s="4">
        <v>21.811451094405559</v>
      </c>
      <c r="E602" s="4">
        <v>23.65801956567778</v>
      </c>
      <c r="F602" s="4">
        <v>24.10329835863056</v>
      </c>
      <c r="G602" s="4">
        <v>2</v>
      </c>
      <c r="H602" s="5">
        <v>45.075248397713892</v>
      </c>
      <c r="I602" s="5">
        <v>40.197413610586118</v>
      </c>
      <c r="J602" s="5">
        <v>43.369542939819453</v>
      </c>
      <c r="K602" s="5">
        <v>90</v>
      </c>
    </row>
    <row r="603" spans="1:11" x14ac:dyDescent="0.25">
      <c r="A603" s="2">
        <v>46122.5</v>
      </c>
      <c r="B603" t="str">
        <f t="shared" si="18"/>
        <v>2026-04</v>
      </c>
      <c r="C603" s="3">
        <f t="shared" si="19"/>
        <v>12</v>
      </c>
      <c r="D603" s="4">
        <v>22.118777512102781</v>
      </c>
      <c r="E603" s="4">
        <v>23.640858038025002</v>
      </c>
      <c r="F603" s="4">
        <v>24.08514981245278</v>
      </c>
      <c r="G603" s="4">
        <v>2</v>
      </c>
      <c r="H603" s="5">
        <v>43.750484964266668</v>
      </c>
      <c r="I603" s="5">
        <v>39.14952694125278</v>
      </c>
      <c r="J603" s="5">
        <v>43.265132302491658</v>
      </c>
      <c r="K603" s="5">
        <v>91</v>
      </c>
    </row>
    <row r="604" spans="1:11" x14ac:dyDescent="0.25">
      <c r="A604" s="2">
        <v>46122.541666666657</v>
      </c>
      <c r="B604" t="str">
        <f t="shared" si="18"/>
        <v>2026-04</v>
      </c>
      <c r="C604" s="3">
        <f t="shared" si="19"/>
        <v>13</v>
      </c>
      <c r="D604" s="4">
        <v>22.206756726194449</v>
      </c>
      <c r="E604" s="4">
        <v>23.751030108684201</v>
      </c>
      <c r="F604" s="4">
        <v>24.046362772902778</v>
      </c>
      <c r="G604" s="4">
        <v>1.7</v>
      </c>
      <c r="H604" s="5">
        <v>41.347252158619447</v>
      </c>
      <c r="I604" s="5">
        <v>38.803900188596288</v>
      </c>
      <c r="J604" s="5">
        <v>47.015084482911107</v>
      </c>
      <c r="K604" s="5">
        <v>96</v>
      </c>
    </row>
    <row r="605" spans="1:11" x14ac:dyDescent="0.25">
      <c r="A605" s="2">
        <v>46122.583333333343</v>
      </c>
      <c r="B605" t="str">
        <f t="shared" si="18"/>
        <v>2026-04</v>
      </c>
      <c r="C605" s="3">
        <f t="shared" si="19"/>
        <v>14</v>
      </c>
      <c r="D605" s="4">
        <v>22.48878861511389</v>
      </c>
      <c r="E605" s="4">
        <v>24.18397941967222</v>
      </c>
      <c r="F605" s="4">
        <v>23.95744009865556</v>
      </c>
      <c r="G605" s="4">
        <v>2</v>
      </c>
      <c r="H605" s="5">
        <v>40.996010640155554</v>
      </c>
      <c r="I605" s="5">
        <v>37.985458495366657</v>
      </c>
      <c r="J605" s="5">
        <v>49.386089639527768</v>
      </c>
      <c r="K605" s="5">
        <v>94</v>
      </c>
    </row>
    <row r="606" spans="1:11" x14ac:dyDescent="0.25">
      <c r="A606" s="2">
        <v>46122.625</v>
      </c>
      <c r="B606" t="str">
        <f t="shared" si="18"/>
        <v>2026-04</v>
      </c>
      <c r="C606" s="3">
        <f t="shared" si="19"/>
        <v>15</v>
      </c>
      <c r="D606" s="4">
        <v>22.62427852488889</v>
      </c>
      <c r="E606" s="4">
        <v>24.106582705436111</v>
      </c>
      <c r="F606" s="4">
        <v>23.772821575694451</v>
      </c>
      <c r="G606" s="4">
        <v>2.4</v>
      </c>
      <c r="H606" s="5">
        <v>39.641485994552767</v>
      </c>
      <c r="I606" s="5">
        <v>37.132141072827778</v>
      </c>
      <c r="J606" s="5">
        <v>49.685803806227767</v>
      </c>
      <c r="K606" s="5">
        <v>99</v>
      </c>
    </row>
    <row r="607" spans="1:11" x14ac:dyDescent="0.25">
      <c r="A607" s="2">
        <v>46122.666666666657</v>
      </c>
      <c r="B607" t="str">
        <f t="shared" si="18"/>
        <v>2026-04</v>
      </c>
      <c r="C607" s="3">
        <f t="shared" si="19"/>
        <v>16</v>
      </c>
      <c r="D607" s="4">
        <v>22.48724728731111</v>
      </c>
      <c r="E607" s="4">
        <v>23.858152876350001</v>
      </c>
      <c r="F607" s="4">
        <v>23.682775252763889</v>
      </c>
      <c r="G607" s="4">
        <v>2.5</v>
      </c>
      <c r="H607" s="5">
        <v>39.567160001488887</v>
      </c>
      <c r="I607" s="5">
        <v>37.172428741208343</v>
      </c>
      <c r="J607" s="5">
        <v>49.138920566647222</v>
      </c>
      <c r="K607" s="5">
        <v>95</v>
      </c>
    </row>
    <row r="608" spans="1:11" x14ac:dyDescent="0.25">
      <c r="A608" s="2">
        <v>46122.708333333343</v>
      </c>
      <c r="B608" t="str">
        <f t="shared" si="18"/>
        <v>2026-04</v>
      </c>
      <c r="C608" s="3">
        <f t="shared" si="19"/>
        <v>17</v>
      </c>
      <c r="D608" s="4">
        <v>22.159851110922219</v>
      </c>
      <c r="E608" s="4">
        <v>23.518090496825</v>
      </c>
      <c r="F608" s="4">
        <v>23.874203131000002</v>
      </c>
      <c r="G608" s="4">
        <v>2.6</v>
      </c>
      <c r="H608" s="5">
        <v>39.621448789475011</v>
      </c>
      <c r="I608" s="5">
        <v>37.506573419472218</v>
      </c>
      <c r="J608" s="5">
        <v>46.253290299372232</v>
      </c>
      <c r="K608" s="5">
        <v>93</v>
      </c>
    </row>
    <row r="609" spans="1:11" x14ac:dyDescent="0.25">
      <c r="A609" s="2">
        <v>46122.75</v>
      </c>
      <c r="B609" t="str">
        <f t="shared" si="18"/>
        <v>2026-04</v>
      </c>
      <c r="C609" s="3">
        <f t="shared" si="19"/>
        <v>18</v>
      </c>
      <c r="D609" s="4">
        <v>21.95303416253056</v>
      </c>
      <c r="E609" s="4">
        <v>23.608791570494439</v>
      </c>
      <c r="F609" s="4">
        <v>23.93478816064167</v>
      </c>
      <c r="G609" s="4">
        <v>2.2999999999999998</v>
      </c>
      <c r="H609" s="5">
        <v>40.538755810833337</v>
      </c>
      <c r="I609" s="5">
        <v>39.094317917475003</v>
      </c>
      <c r="J609" s="5">
        <v>44.999850157063889</v>
      </c>
      <c r="K609" s="5">
        <v>93</v>
      </c>
    </row>
    <row r="610" spans="1:11" x14ac:dyDescent="0.25">
      <c r="A610" s="2">
        <v>46122.791666666657</v>
      </c>
      <c r="B610" t="str">
        <f t="shared" si="18"/>
        <v>2026-04</v>
      </c>
      <c r="C610" s="3">
        <f t="shared" si="19"/>
        <v>19</v>
      </c>
      <c r="D610" s="4">
        <v>22.073353252775</v>
      </c>
      <c r="E610" s="4">
        <v>23.999441225991671</v>
      </c>
      <c r="F610" s="4">
        <v>23.963493660927771</v>
      </c>
      <c r="G610" s="4">
        <v>1.8</v>
      </c>
      <c r="H610" s="5">
        <v>41.651639719986107</v>
      </c>
      <c r="I610" s="5">
        <v>39.183254449783327</v>
      </c>
      <c r="J610" s="5">
        <v>44.432810536113891</v>
      </c>
      <c r="K610" s="5">
        <v>97</v>
      </c>
    </row>
    <row r="611" spans="1:11" x14ac:dyDescent="0.25">
      <c r="A611" s="2">
        <v>46122.833333333343</v>
      </c>
      <c r="B611" t="str">
        <f t="shared" si="18"/>
        <v>2026-04</v>
      </c>
      <c r="C611" s="3">
        <f t="shared" si="19"/>
        <v>20</v>
      </c>
      <c r="D611" s="4">
        <v>22.461806388469441</v>
      </c>
      <c r="E611" s="4">
        <v>24.735842562730561</v>
      </c>
      <c r="F611" s="4">
        <v>23.835755986700001</v>
      </c>
      <c r="G611" s="4">
        <v>1.6</v>
      </c>
      <c r="H611" s="5">
        <v>40.860936986808333</v>
      </c>
      <c r="I611" s="5">
        <v>37.531472788041661</v>
      </c>
      <c r="J611" s="5">
        <v>50.403627864880562</v>
      </c>
      <c r="K611" s="5">
        <v>99</v>
      </c>
    </row>
    <row r="612" spans="1:11" x14ac:dyDescent="0.25">
      <c r="A612" s="2">
        <v>46122.875</v>
      </c>
      <c r="B612" t="str">
        <f t="shared" si="18"/>
        <v>2026-04</v>
      </c>
      <c r="C612" s="3">
        <f t="shared" si="19"/>
        <v>21</v>
      </c>
      <c r="D612" s="4">
        <v>22.60967832846945</v>
      </c>
      <c r="E612" s="4">
        <v>24.937746390972219</v>
      </c>
      <c r="F612" s="4">
        <v>23.769100965277779</v>
      </c>
      <c r="G612" s="4">
        <v>1.8</v>
      </c>
      <c r="H612" s="5">
        <v>40.589664197761103</v>
      </c>
      <c r="I612" s="5">
        <v>37.252704493872223</v>
      </c>
      <c r="J612" s="5">
        <v>50.907080913975001</v>
      </c>
      <c r="K612" s="5">
        <v>98</v>
      </c>
    </row>
    <row r="613" spans="1:11" x14ac:dyDescent="0.25">
      <c r="A613" s="2">
        <v>46122.916666666657</v>
      </c>
      <c r="B613" t="str">
        <f t="shared" si="18"/>
        <v>2026-04</v>
      </c>
      <c r="C613" s="3">
        <f t="shared" si="19"/>
        <v>22</v>
      </c>
      <c r="D613" s="4">
        <v>22.704792402288891</v>
      </c>
      <c r="E613" s="4">
        <v>24.787250170997229</v>
      </c>
      <c r="F613" s="4">
        <v>23.756504206963889</v>
      </c>
      <c r="G613" s="4">
        <v>1</v>
      </c>
      <c r="H613" s="5">
        <v>41.623422963486107</v>
      </c>
      <c r="I613" s="5">
        <v>38.195749946711111</v>
      </c>
      <c r="J613" s="5">
        <v>51.192779114647223</v>
      </c>
      <c r="K613" s="5">
        <v>99</v>
      </c>
    </row>
    <row r="614" spans="1:11" x14ac:dyDescent="0.25">
      <c r="A614" s="2">
        <v>46122.958333333343</v>
      </c>
      <c r="B614" t="str">
        <f t="shared" si="18"/>
        <v>2026-04</v>
      </c>
      <c r="C614" s="3">
        <f t="shared" si="19"/>
        <v>23</v>
      </c>
      <c r="D614" s="4">
        <v>22.60985066603611</v>
      </c>
      <c r="E614" s="4">
        <v>24.339233767813891</v>
      </c>
      <c r="F614" s="4">
        <v>23.63960362588611</v>
      </c>
      <c r="G614" s="4">
        <v>1.2</v>
      </c>
      <c r="H614" s="5">
        <v>43.637796905944448</v>
      </c>
      <c r="I614" s="5">
        <v>41.428331014519443</v>
      </c>
      <c r="J614" s="5">
        <v>53.791673651569447</v>
      </c>
      <c r="K614" s="5">
        <v>99</v>
      </c>
    </row>
    <row r="615" spans="1:11" x14ac:dyDescent="0.25">
      <c r="A615" s="2">
        <v>46123</v>
      </c>
      <c r="B615" t="str">
        <f t="shared" si="18"/>
        <v>2026-04</v>
      </c>
      <c r="C615" s="3">
        <f t="shared" si="19"/>
        <v>0</v>
      </c>
      <c r="D615" s="4">
        <v>22.286954518980551</v>
      </c>
      <c r="E615" s="4">
        <v>24.204048873847221</v>
      </c>
      <c r="F615" s="4">
        <v>23.45923459242222</v>
      </c>
      <c r="G615" s="4">
        <v>1.3</v>
      </c>
      <c r="H615" s="5">
        <v>47.000563717613893</v>
      </c>
      <c r="I615" s="5">
        <v>45.593512121647223</v>
      </c>
      <c r="J615" s="5">
        <v>58.906399824041657</v>
      </c>
      <c r="K615" s="5">
        <v>99</v>
      </c>
    </row>
    <row r="616" spans="1:11" x14ac:dyDescent="0.25">
      <c r="A616" s="2">
        <v>46123.041666666657</v>
      </c>
      <c r="B616" t="str">
        <f t="shared" si="18"/>
        <v>2026-04</v>
      </c>
      <c r="C616" s="3">
        <f t="shared" si="19"/>
        <v>1</v>
      </c>
      <c r="D616" s="4">
        <v>22.023770202552779</v>
      </c>
      <c r="E616" s="4">
        <v>24.109604571788889</v>
      </c>
      <c r="F616" s="4">
        <v>23.29903545837222</v>
      </c>
      <c r="G616" s="4">
        <v>1.5</v>
      </c>
      <c r="H616" s="5">
        <v>51.343530811966673</v>
      </c>
      <c r="I616" s="5">
        <v>46.987886181325003</v>
      </c>
      <c r="J616" s="5">
        <v>60.892705008894453</v>
      </c>
      <c r="K616" s="5">
        <v>99</v>
      </c>
    </row>
    <row r="617" spans="1:11" x14ac:dyDescent="0.25">
      <c r="A617" s="2">
        <v>46123.083333333343</v>
      </c>
      <c r="B617" t="str">
        <f t="shared" si="18"/>
        <v>2026-04</v>
      </c>
      <c r="C617" s="3">
        <f t="shared" si="19"/>
        <v>2</v>
      </c>
      <c r="D617" s="4">
        <v>21.685243901969439</v>
      </c>
      <c r="E617" s="4">
        <v>23.734948753169441</v>
      </c>
      <c r="F617" s="4">
        <v>23.567784721333329</v>
      </c>
      <c r="G617" s="4">
        <v>1.6</v>
      </c>
      <c r="H617" s="5">
        <v>54.260736722252773</v>
      </c>
      <c r="I617" s="5">
        <v>49.629182058147222</v>
      </c>
      <c r="J617" s="5">
        <v>52.267591697391673</v>
      </c>
      <c r="K617" s="5">
        <v>99</v>
      </c>
    </row>
    <row r="618" spans="1:11" x14ac:dyDescent="0.25">
      <c r="A618" s="2">
        <v>46123.125</v>
      </c>
      <c r="B618" t="str">
        <f t="shared" si="18"/>
        <v>2026-04</v>
      </c>
      <c r="C618" s="3">
        <f t="shared" si="19"/>
        <v>3</v>
      </c>
      <c r="D618" s="4">
        <v>21.282893493402771</v>
      </c>
      <c r="E618" s="4">
        <v>23.21119777196667</v>
      </c>
      <c r="F618" s="4">
        <v>23.631850412733328</v>
      </c>
      <c r="G618" s="4">
        <v>1.4</v>
      </c>
      <c r="H618" s="5">
        <v>54.381143831311121</v>
      </c>
      <c r="I618" s="5">
        <v>49.512480663166663</v>
      </c>
      <c r="J618" s="5">
        <v>48.78123374656667</v>
      </c>
      <c r="K618" s="5">
        <v>99</v>
      </c>
    </row>
    <row r="619" spans="1:11" x14ac:dyDescent="0.25">
      <c r="A619" s="2">
        <v>46123.166666666657</v>
      </c>
      <c r="B619" t="str">
        <f t="shared" si="18"/>
        <v>2026-04</v>
      </c>
      <c r="C619" s="3">
        <f t="shared" si="19"/>
        <v>4</v>
      </c>
      <c r="D619" s="4">
        <v>21.057405849544441</v>
      </c>
      <c r="E619" s="4">
        <v>22.845174555691671</v>
      </c>
      <c r="F619" s="4">
        <v>23.642644636899998</v>
      </c>
      <c r="G619" s="4">
        <v>1</v>
      </c>
      <c r="H619" s="5">
        <v>54.671601944811108</v>
      </c>
      <c r="I619" s="5">
        <v>49.406227960236123</v>
      </c>
      <c r="J619" s="5">
        <v>47.381307770105558</v>
      </c>
      <c r="K619" s="5">
        <v>100</v>
      </c>
    </row>
    <row r="620" spans="1:11" x14ac:dyDescent="0.25">
      <c r="A620" s="2">
        <v>46123.208333333343</v>
      </c>
      <c r="B620" t="str">
        <f t="shared" si="18"/>
        <v>2026-04</v>
      </c>
      <c r="C620" s="3">
        <f t="shared" si="19"/>
        <v>5</v>
      </c>
      <c r="D620" s="4">
        <v>20.883627975997221</v>
      </c>
      <c r="E620" s="4">
        <v>22.588614314141669</v>
      </c>
      <c r="F620" s="4">
        <v>23.638565694572229</v>
      </c>
      <c r="G620" s="4">
        <v>0.8</v>
      </c>
      <c r="H620" s="5">
        <v>54.736672244977782</v>
      </c>
      <c r="I620" s="5">
        <v>49.265465843999998</v>
      </c>
      <c r="J620" s="5">
        <v>46.552175693047218</v>
      </c>
      <c r="K620" s="5">
        <v>100</v>
      </c>
    </row>
    <row r="621" spans="1:11" x14ac:dyDescent="0.25">
      <c r="A621" s="2">
        <v>46123.25</v>
      </c>
      <c r="B621" t="str">
        <f t="shared" si="18"/>
        <v>2026-04</v>
      </c>
      <c r="C621" s="3">
        <f t="shared" si="19"/>
        <v>6</v>
      </c>
      <c r="D621" s="4">
        <v>20.75903573384722</v>
      </c>
      <c r="E621" s="4">
        <v>22.50765392940556</v>
      </c>
      <c r="F621" s="4">
        <v>23.609076133913891</v>
      </c>
      <c r="G621" s="4">
        <v>0.8</v>
      </c>
      <c r="H621" s="5">
        <v>54.467885970897221</v>
      </c>
      <c r="I621" s="5">
        <v>48.761180426638887</v>
      </c>
      <c r="J621" s="5">
        <v>46.020470819397232</v>
      </c>
      <c r="K621" s="5">
        <v>100</v>
      </c>
    </row>
    <row r="622" spans="1:11" x14ac:dyDescent="0.25">
      <c r="A622" s="2">
        <v>46123.291666666657</v>
      </c>
      <c r="B622" t="str">
        <f t="shared" si="18"/>
        <v>2026-04</v>
      </c>
      <c r="C622" s="3">
        <f t="shared" si="19"/>
        <v>7</v>
      </c>
      <c r="D622" s="4">
        <v>20.72230555488056</v>
      </c>
      <c r="E622" s="4">
        <v>22.379508455263888</v>
      </c>
      <c r="F622" s="4">
        <v>23.568032619655561</v>
      </c>
      <c r="G622" s="4">
        <v>1.1000000000000001</v>
      </c>
      <c r="H622" s="5">
        <v>54.003039718261107</v>
      </c>
      <c r="I622" s="5">
        <v>48.287807481286109</v>
      </c>
      <c r="J622" s="5">
        <v>45.592885719383332</v>
      </c>
      <c r="K622" s="5">
        <v>99</v>
      </c>
    </row>
    <row r="623" spans="1:11" x14ac:dyDescent="0.25">
      <c r="A623" s="2">
        <v>46123.333333333343</v>
      </c>
      <c r="B623" t="str">
        <f t="shared" si="18"/>
        <v>2026-04</v>
      </c>
      <c r="C623" s="3">
        <f t="shared" si="19"/>
        <v>8</v>
      </c>
      <c r="D623" s="4">
        <v>20.751538573911109</v>
      </c>
      <c r="E623" s="4">
        <v>22.302042720166671</v>
      </c>
      <c r="F623" s="4">
        <v>23.57386091945278</v>
      </c>
      <c r="G623" s="4">
        <v>1.9</v>
      </c>
      <c r="H623" s="5">
        <v>53.393975047174997</v>
      </c>
      <c r="I623" s="5">
        <v>47.798010194355562</v>
      </c>
      <c r="J623" s="5">
        <v>45.235617403055556</v>
      </c>
      <c r="K623" s="5">
        <v>95</v>
      </c>
    </row>
    <row r="624" spans="1:11" x14ac:dyDescent="0.25">
      <c r="A624" s="2">
        <v>46123.375</v>
      </c>
      <c r="B624" t="str">
        <f t="shared" si="18"/>
        <v>2026-04</v>
      </c>
      <c r="C624" s="3">
        <f t="shared" si="19"/>
        <v>9</v>
      </c>
      <c r="D624" s="4">
        <v>20.824988998224999</v>
      </c>
      <c r="E624" s="4">
        <v>22.338596845516669</v>
      </c>
      <c r="F624" s="4">
        <v>23.574049916341671</v>
      </c>
      <c r="G624" s="4">
        <v>2.7</v>
      </c>
      <c r="H624" s="5">
        <v>52.776378289122221</v>
      </c>
      <c r="I624" s="5">
        <v>47.248818209302783</v>
      </c>
      <c r="J624" s="5">
        <v>44.993124708591672</v>
      </c>
      <c r="K624" s="5">
        <v>91</v>
      </c>
    </row>
    <row r="625" spans="1:11" x14ac:dyDescent="0.25">
      <c r="A625" s="2">
        <v>46123.416666666657</v>
      </c>
      <c r="B625" t="str">
        <f t="shared" si="18"/>
        <v>2026-04</v>
      </c>
      <c r="C625" s="3">
        <f t="shared" si="19"/>
        <v>10</v>
      </c>
      <c r="D625" s="4">
        <v>20.885323403486112</v>
      </c>
      <c r="E625" s="4">
        <v>22.59668417001112</v>
      </c>
      <c r="F625" s="4">
        <v>23.56753906840278</v>
      </c>
      <c r="G625" s="4">
        <v>3.3</v>
      </c>
      <c r="H625" s="5">
        <v>52.25356718382222</v>
      </c>
      <c r="I625" s="5">
        <v>48.134966394647222</v>
      </c>
      <c r="J625" s="5">
        <v>44.745283957694447</v>
      </c>
      <c r="K625" s="5">
        <v>87</v>
      </c>
    </row>
    <row r="626" spans="1:11" x14ac:dyDescent="0.25">
      <c r="A626" s="2">
        <v>46123.458333333343</v>
      </c>
      <c r="B626" t="str">
        <f t="shared" si="18"/>
        <v>2026-04</v>
      </c>
      <c r="C626" s="3">
        <f t="shared" si="19"/>
        <v>11</v>
      </c>
      <c r="D626" s="4">
        <v>20.984217190075</v>
      </c>
      <c r="E626" s="4">
        <v>22.838767960627781</v>
      </c>
      <c r="F626" s="4">
        <v>23.551282902727781</v>
      </c>
      <c r="G626" s="4">
        <v>4</v>
      </c>
      <c r="H626" s="5">
        <v>52.950639623002779</v>
      </c>
      <c r="I626" s="5">
        <v>48.020561019727779</v>
      </c>
      <c r="J626" s="5">
        <v>47.48411744093611</v>
      </c>
      <c r="K626" s="5">
        <v>87</v>
      </c>
    </row>
    <row r="627" spans="1:11" x14ac:dyDescent="0.25">
      <c r="A627" s="2">
        <v>46123.5</v>
      </c>
      <c r="B627" t="str">
        <f t="shared" si="18"/>
        <v>2026-04</v>
      </c>
      <c r="C627" s="3">
        <f t="shared" si="19"/>
        <v>12</v>
      </c>
      <c r="D627" s="4">
        <v>21.01245835893333</v>
      </c>
      <c r="E627" s="4">
        <v>22.990678989897219</v>
      </c>
      <c r="F627" s="4">
        <v>23.561596831683332</v>
      </c>
      <c r="G627" s="4">
        <v>5.0999999999999996</v>
      </c>
      <c r="H627" s="5">
        <v>55.772557895680563</v>
      </c>
      <c r="I627" s="5">
        <v>49.519719992258331</v>
      </c>
      <c r="J627" s="5">
        <v>45.389471427391669</v>
      </c>
      <c r="K627" s="5">
        <v>76</v>
      </c>
    </row>
    <row r="628" spans="1:11" x14ac:dyDescent="0.25">
      <c r="A628" s="2">
        <v>46123.541666666657</v>
      </c>
      <c r="B628" t="str">
        <f t="shared" si="18"/>
        <v>2026-04</v>
      </c>
      <c r="C628" s="3">
        <f t="shared" si="19"/>
        <v>13</v>
      </c>
      <c r="D628" s="4">
        <v>21.27372725033333</v>
      </c>
      <c r="E628" s="4">
        <v>23.44850043950278</v>
      </c>
      <c r="F628" s="4">
        <v>23.56202498915</v>
      </c>
      <c r="G628" s="4">
        <v>5.9</v>
      </c>
      <c r="H628" s="5">
        <v>54.335997556586108</v>
      </c>
      <c r="I628" s="5">
        <v>48.419478620638891</v>
      </c>
      <c r="J628" s="5">
        <v>48.781617556813892</v>
      </c>
      <c r="K628" s="5">
        <v>69</v>
      </c>
    </row>
    <row r="629" spans="1:11" x14ac:dyDescent="0.25">
      <c r="A629" s="2">
        <v>46123.583333333343</v>
      </c>
      <c r="B629" t="str">
        <f t="shared" si="18"/>
        <v>2026-04</v>
      </c>
      <c r="C629" s="3">
        <f t="shared" si="19"/>
        <v>14</v>
      </c>
      <c r="D629" s="4">
        <v>21.120737104055561</v>
      </c>
      <c r="E629" s="4">
        <v>23.112945542133328</v>
      </c>
      <c r="F629" s="4">
        <v>23.63995193084445</v>
      </c>
      <c r="G629" s="4">
        <v>6.6</v>
      </c>
      <c r="H629" s="5">
        <v>51.211854315533337</v>
      </c>
      <c r="I629" s="5">
        <v>46.65305127694166</v>
      </c>
      <c r="J629" s="5">
        <v>49.106432521819443</v>
      </c>
      <c r="K629" s="5">
        <v>64</v>
      </c>
    </row>
    <row r="630" spans="1:11" x14ac:dyDescent="0.25">
      <c r="A630" s="2">
        <v>46123.625</v>
      </c>
      <c r="B630" t="str">
        <f t="shared" si="18"/>
        <v>2026-04</v>
      </c>
      <c r="C630" s="3">
        <f t="shared" si="19"/>
        <v>15</v>
      </c>
      <c r="D630" s="4">
        <v>21.044278994163889</v>
      </c>
      <c r="E630" s="4">
        <v>23.211828181455559</v>
      </c>
      <c r="F630" s="4">
        <v>23.734510682136111</v>
      </c>
      <c r="G630" s="4">
        <v>6.3</v>
      </c>
      <c r="H630" s="5">
        <v>50.511416413855557</v>
      </c>
      <c r="I630" s="5">
        <v>46.786255789633337</v>
      </c>
      <c r="J630" s="5">
        <v>46.670011137911111</v>
      </c>
      <c r="K630" s="5">
        <v>65</v>
      </c>
    </row>
    <row r="631" spans="1:11" x14ac:dyDescent="0.25">
      <c r="A631" s="2">
        <v>46123.666666666657</v>
      </c>
      <c r="B631" t="str">
        <f t="shared" si="18"/>
        <v>2026-04</v>
      </c>
      <c r="C631" s="3">
        <f t="shared" si="19"/>
        <v>16</v>
      </c>
      <c r="D631" s="4">
        <v>21.21391962225</v>
      </c>
      <c r="E631" s="4">
        <v>23.599232306394441</v>
      </c>
      <c r="F631" s="4">
        <v>23.77030908461667</v>
      </c>
      <c r="G631" s="4">
        <v>6.1</v>
      </c>
      <c r="H631" s="5">
        <v>52.311962444319448</v>
      </c>
      <c r="I631" s="5">
        <v>46.959919675172223</v>
      </c>
      <c r="J631" s="5">
        <v>45.875074292699999</v>
      </c>
      <c r="K631" s="5">
        <v>67</v>
      </c>
    </row>
    <row r="632" spans="1:11" x14ac:dyDescent="0.25">
      <c r="A632" s="2">
        <v>46123.708333333343</v>
      </c>
      <c r="B632" t="str">
        <f t="shared" si="18"/>
        <v>2026-04</v>
      </c>
      <c r="C632" s="3">
        <f t="shared" si="19"/>
        <v>17</v>
      </c>
      <c r="D632" s="4">
        <v>21.685948913588891</v>
      </c>
      <c r="E632" s="4">
        <v>23.88485952163056</v>
      </c>
      <c r="F632" s="4">
        <v>23.74012596436112</v>
      </c>
      <c r="G632" s="4">
        <v>5.8</v>
      </c>
      <c r="H632" s="5">
        <v>51.827291936480563</v>
      </c>
      <c r="I632" s="5">
        <v>46.243694008969442</v>
      </c>
      <c r="J632" s="5">
        <v>50.664485168130547</v>
      </c>
      <c r="K632" s="5">
        <v>71</v>
      </c>
    </row>
    <row r="633" spans="1:11" x14ac:dyDescent="0.25">
      <c r="A633" s="2">
        <v>46123.75</v>
      </c>
      <c r="B633" t="str">
        <f t="shared" si="18"/>
        <v>2026-04</v>
      </c>
      <c r="C633" s="3">
        <f t="shared" si="19"/>
        <v>18</v>
      </c>
      <c r="D633" s="4">
        <v>21.537717557772229</v>
      </c>
      <c r="E633" s="4">
        <v>23.977553181030551</v>
      </c>
      <c r="F633" s="4">
        <v>23.554730025852781</v>
      </c>
      <c r="G633" s="4">
        <v>5.5</v>
      </c>
      <c r="H633" s="5">
        <v>50.735204971908331</v>
      </c>
      <c r="I633" s="5">
        <v>46.123020196250003</v>
      </c>
      <c r="J633" s="5">
        <v>55.026535060072213</v>
      </c>
      <c r="K633" s="5">
        <v>74</v>
      </c>
    </row>
    <row r="634" spans="1:11" x14ac:dyDescent="0.25">
      <c r="A634" s="2">
        <v>46123.791666666657</v>
      </c>
      <c r="B634" t="str">
        <f t="shared" si="18"/>
        <v>2026-04</v>
      </c>
      <c r="C634" s="3">
        <f t="shared" si="19"/>
        <v>19</v>
      </c>
      <c r="D634" s="4">
        <v>21.406727424977781</v>
      </c>
      <c r="E634" s="4">
        <v>23.907348052627778</v>
      </c>
      <c r="F634" s="4">
        <v>23.70576285145556</v>
      </c>
      <c r="G634" s="4">
        <v>4.7</v>
      </c>
      <c r="H634" s="5">
        <v>52.123156752100009</v>
      </c>
      <c r="I634" s="5">
        <v>47.036233335830559</v>
      </c>
      <c r="J634" s="5">
        <v>48.953207656658329</v>
      </c>
      <c r="K634" s="5">
        <v>82</v>
      </c>
    </row>
    <row r="635" spans="1:11" x14ac:dyDescent="0.25">
      <c r="A635" s="2">
        <v>46123.833333333343</v>
      </c>
      <c r="B635" t="str">
        <f t="shared" si="18"/>
        <v>2026-04</v>
      </c>
      <c r="C635" s="3">
        <f t="shared" si="19"/>
        <v>20</v>
      </c>
      <c r="D635" s="4">
        <v>21.370258281230551</v>
      </c>
      <c r="E635" s="4">
        <v>23.903739026341668</v>
      </c>
      <c r="F635" s="4">
        <v>23.29156793844167</v>
      </c>
      <c r="G635" s="4">
        <v>4</v>
      </c>
      <c r="H635" s="5">
        <v>50.58411753390277</v>
      </c>
      <c r="I635" s="5">
        <v>45.321112996794447</v>
      </c>
      <c r="J635" s="5">
        <v>56.866637171022226</v>
      </c>
      <c r="K635" s="5">
        <v>84</v>
      </c>
    </row>
    <row r="636" spans="1:11" x14ac:dyDescent="0.25">
      <c r="A636" s="2">
        <v>46123.875</v>
      </c>
      <c r="B636" t="str">
        <f t="shared" si="18"/>
        <v>2026-04</v>
      </c>
      <c r="C636" s="3">
        <f t="shared" si="19"/>
        <v>21</v>
      </c>
      <c r="D636" s="4">
        <v>21.651129360627781</v>
      </c>
      <c r="E636" s="4">
        <v>23.99924582121389</v>
      </c>
      <c r="F636" s="4">
        <v>23.13400461620833</v>
      </c>
      <c r="G636" s="4">
        <v>3.7</v>
      </c>
      <c r="H636" s="5">
        <v>50.833624224602772</v>
      </c>
      <c r="I636" s="5">
        <v>44.420044850325013</v>
      </c>
      <c r="J636" s="5">
        <v>57.087570206005552</v>
      </c>
      <c r="K636" s="5">
        <v>89</v>
      </c>
    </row>
    <row r="637" spans="1:11" x14ac:dyDescent="0.25">
      <c r="A637" s="2">
        <v>46123.916666666657</v>
      </c>
      <c r="B637" t="str">
        <f t="shared" si="18"/>
        <v>2026-04</v>
      </c>
      <c r="C637" s="3">
        <f t="shared" si="19"/>
        <v>22</v>
      </c>
      <c r="D637" s="4">
        <v>21.366787143961108</v>
      </c>
      <c r="E637" s="4">
        <v>23.69757686958333</v>
      </c>
      <c r="F637" s="4">
        <v>23.337095647313891</v>
      </c>
      <c r="G637" s="4">
        <v>2.6</v>
      </c>
      <c r="H637" s="5">
        <v>52.28015855383611</v>
      </c>
      <c r="I637" s="5">
        <v>45.662715802325003</v>
      </c>
      <c r="J637" s="5">
        <v>52.797015322174992</v>
      </c>
      <c r="K637" s="5">
        <v>91</v>
      </c>
    </row>
    <row r="638" spans="1:11" x14ac:dyDescent="0.25">
      <c r="A638" s="2">
        <v>46123.958333333343</v>
      </c>
      <c r="B638" t="str">
        <f t="shared" si="18"/>
        <v>2026-04</v>
      </c>
      <c r="C638" s="3">
        <f t="shared" si="19"/>
        <v>23</v>
      </c>
      <c r="D638" s="4">
        <v>21.156902094608331</v>
      </c>
      <c r="E638" s="4">
        <v>23.800523292952771</v>
      </c>
      <c r="F638" s="4">
        <v>23.564897390427781</v>
      </c>
      <c r="G638" s="4">
        <v>2</v>
      </c>
      <c r="H638" s="5">
        <v>52.401514481699998</v>
      </c>
      <c r="I638" s="5">
        <v>45.384199456663893</v>
      </c>
      <c r="J638" s="5">
        <v>49.540850120036112</v>
      </c>
      <c r="K638" s="5">
        <v>92</v>
      </c>
    </row>
    <row r="639" spans="1:11" x14ac:dyDescent="0.25">
      <c r="A639" s="2">
        <v>46124</v>
      </c>
      <c r="B639" t="str">
        <f t="shared" si="18"/>
        <v>2026-04</v>
      </c>
      <c r="C639" s="3">
        <f t="shared" si="19"/>
        <v>0</v>
      </c>
      <c r="D639" s="4">
        <v>21.182068253122221</v>
      </c>
      <c r="E639" s="4">
        <v>23.66423766491112</v>
      </c>
      <c r="F639" s="4">
        <v>23.278126707947219</v>
      </c>
      <c r="G639" s="4">
        <v>2.2000000000000002</v>
      </c>
      <c r="H639" s="5">
        <v>49.509126564627771</v>
      </c>
      <c r="I639" s="5">
        <v>44.418173719294437</v>
      </c>
      <c r="J639" s="5">
        <v>56.017441447355559</v>
      </c>
      <c r="K639" s="5">
        <v>93</v>
      </c>
    </row>
    <row r="640" spans="1:11" x14ac:dyDescent="0.25">
      <c r="A640" s="2">
        <v>46124.041666666657</v>
      </c>
      <c r="B640" t="str">
        <f t="shared" si="18"/>
        <v>2026-04</v>
      </c>
      <c r="C640" s="3">
        <f t="shared" si="19"/>
        <v>1</v>
      </c>
      <c r="D640" s="4">
        <v>21.52676646619722</v>
      </c>
      <c r="E640" s="4">
        <v>23.675129340388889</v>
      </c>
      <c r="F640" s="4">
        <v>23.058143785319441</v>
      </c>
      <c r="G640" s="4">
        <v>2.2999999999999998</v>
      </c>
      <c r="H640" s="5">
        <v>48.501214413294441</v>
      </c>
      <c r="I640" s="5">
        <v>42.737900657561113</v>
      </c>
      <c r="J640" s="5">
        <v>55.99394326466944</v>
      </c>
      <c r="K640" s="5">
        <v>93</v>
      </c>
    </row>
    <row r="641" spans="1:11" x14ac:dyDescent="0.25">
      <c r="A641" s="2">
        <v>46124.083333333343</v>
      </c>
      <c r="B641" t="str">
        <f t="shared" si="18"/>
        <v>2026-04</v>
      </c>
      <c r="C641" s="3">
        <f t="shared" si="19"/>
        <v>2</v>
      </c>
      <c r="D641" s="4">
        <v>21.277363288313889</v>
      </c>
      <c r="E641" s="4">
        <v>23.758176927638889</v>
      </c>
      <c r="F641" s="4">
        <v>23.309687692674999</v>
      </c>
      <c r="G641" s="4">
        <v>2.2999999999999998</v>
      </c>
      <c r="H641" s="5">
        <v>48.244802572341662</v>
      </c>
      <c r="I641" s="5">
        <v>42.457040050344439</v>
      </c>
      <c r="J641" s="5">
        <v>50.980921994244447</v>
      </c>
      <c r="K641" s="5">
        <v>93</v>
      </c>
    </row>
    <row r="642" spans="1:11" x14ac:dyDescent="0.25">
      <c r="A642" s="2">
        <v>46124.125</v>
      </c>
      <c r="B642" t="str">
        <f t="shared" ref="B642:B705" si="20">TEXT(A642,"yyyy-mm")</f>
        <v>2026-04</v>
      </c>
      <c r="C642" s="3">
        <f t="shared" ref="C642:C705" si="21">HOUR(A642)</f>
        <v>3</v>
      </c>
      <c r="D642" s="4">
        <v>20.788779985052781</v>
      </c>
      <c r="E642" s="4">
        <v>23.24564396854722</v>
      </c>
      <c r="F642" s="4">
        <v>23.433790269897219</v>
      </c>
      <c r="G642" s="4">
        <v>3.5</v>
      </c>
      <c r="H642" s="5">
        <v>48.986624207963892</v>
      </c>
      <c r="I642" s="5">
        <v>42.237868002341663</v>
      </c>
      <c r="J642" s="5">
        <v>48.394940543630561</v>
      </c>
      <c r="K642" s="5">
        <v>91</v>
      </c>
    </row>
    <row r="643" spans="1:11" x14ac:dyDescent="0.25">
      <c r="A643" s="2">
        <v>46124.166666666657</v>
      </c>
      <c r="B643" t="str">
        <f t="shared" si="20"/>
        <v>2026-04</v>
      </c>
      <c r="C643" s="3">
        <f t="shared" si="21"/>
        <v>4</v>
      </c>
      <c r="D643" s="4">
        <v>20.461057725625</v>
      </c>
      <c r="E643" s="4">
        <v>22.894592044438891</v>
      </c>
      <c r="F643" s="4">
        <v>23.458359393916659</v>
      </c>
      <c r="G643" s="4">
        <v>2.8</v>
      </c>
      <c r="H643" s="5">
        <v>48.75143245915833</v>
      </c>
      <c r="I643" s="5">
        <v>41.706726431313889</v>
      </c>
      <c r="J643" s="5">
        <v>47.285565397344442</v>
      </c>
      <c r="K643" s="5">
        <v>92</v>
      </c>
    </row>
    <row r="644" spans="1:11" x14ac:dyDescent="0.25">
      <c r="A644" s="2">
        <v>46124.208333333343</v>
      </c>
      <c r="B644" t="str">
        <f t="shared" si="20"/>
        <v>2026-04</v>
      </c>
      <c r="C644" s="3">
        <f t="shared" si="21"/>
        <v>5</v>
      </c>
      <c r="D644" s="4">
        <v>20.25808652585</v>
      </c>
      <c r="E644" s="4">
        <v>22.608103920969441</v>
      </c>
      <c r="F644" s="4">
        <v>23.437508708036109</v>
      </c>
      <c r="G644" s="4">
        <v>2.2000000000000002</v>
      </c>
      <c r="H644" s="5">
        <v>48.269059397644448</v>
      </c>
      <c r="I644" s="5">
        <v>41.335151719450003</v>
      </c>
      <c r="J644" s="5">
        <v>46.625834873283331</v>
      </c>
      <c r="K644" s="5">
        <v>92</v>
      </c>
    </row>
    <row r="645" spans="1:11" x14ac:dyDescent="0.25">
      <c r="A645" s="2">
        <v>46124.25</v>
      </c>
      <c r="B645" t="str">
        <f t="shared" si="20"/>
        <v>2026-04</v>
      </c>
      <c r="C645" s="3">
        <f t="shared" si="21"/>
        <v>6</v>
      </c>
      <c r="D645" s="4">
        <v>20.2514528146</v>
      </c>
      <c r="E645" s="4">
        <v>22.456511174438891</v>
      </c>
      <c r="F645" s="4">
        <v>23.416531912383331</v>
      </c>
      <c r="G645" s="4">
        <v>1.9</v>
      </c>
      <c r="H645" s="5">
        <v>47.830860496105551</v>
      </c>
      <c r="I645" s="5">
        <v>41.016999800841667</v>
      </c>
      <c r="J645" s="5">
        <v>46.15083349768333</v>
      </c>
      <c r="K645" s="5">
        <v>93</v>
      </c>
    </row>
    <row r="646" spans="1:11" x14ac:dyDescent="0.25">
      <c r="A646" s="2">
        <v>46124.291666666657</v>
      </c>
      <c r="B646" t="str">
        <f t="shared" si="20"/>
        <v>2026-04</v>
      </c>
      <c r="C646" s="3">
        <f t="shared" si="21"/>
        <v>7</v>
      </c>
      <c r="D646" s="4">
        <v>20.53496118553889</v>
      </c>
      <c r="E646" s="4">
        <v>22.390453165675002</v>
      </c>
      <c r="F646" s="4">
        <v>23.39787024751945</v>
      </c>
      <c r="G646" s="4">
        <v>2.6</v>
      </c>
      <c r="H646" s="5">
        <v>46.800967157374998</v>
      </c>
      <c r="I646" s="5">
        <v>40.991777668947222</v>
      </c>
      <c r="J646" s="5">
        <v>45.78277975280556</v>
      </c>
      <c r="K646" s="5">
        <v>92</v>
      </c>
    </row>
    <row r="647" spans="1:11" x14ac:dyDescent="0.25">
      <c r="A647" s="2">
        <v>46124.333333333343</v>
      </c>
      <c r="B647" t="str">
        <f t="shared" si="20"/>
        <v>2026-04</v>
      </c>
      <c r="C647" s="3">
        <f t="shared" si="21"/>
        <v>8</v>
      </c>
      <c r="D647" s="4">
        <v>21.35358380225</v>
      </c>
      <c r="E647" s="4">
        <v>22.741401105633329</v>
      </c>
      <c r="F647" s="4">
        <v>23.38398461798889</v>
      </c>
      <c r="G647" s="4">
        <v>3.9</v>
      </c>
      <c r="H647" s="5">
        <v>44.236183864933331</v>
      </c>
      <c r="I647" s="5">
        <v>40.947195000000001</v>
      </c>
      <c r="J647" s="5">
        <v>45.412944722111114</v>
      </c>
      <c r="K647" s="5">
        <v>92</v>
      </c>
    </row>
    <row r="648" spans="1:11" x14ac:dyDescent="0.25">
      <c r="A648" s="2">
        <v>46124.375</v>
      </c>
      <c r="B648" t="str">
        <f t="shared" si="20"/>
        <v>2026-04</v>
      </c>
      <c r="C648" s="3">
        <f t="shared" si="21"/>
        <v>9</v>
      </c>
      <c r="D648" s="4">
        <v>21.494724298986121</v>
      </c>
      <c r="E648" s="4">
        <v>22.828655876533329</v>
      </c>
      <c r="F648" s="4">
        <v>23.37987582063333</v>
      </c>
      <c r="G648" s="4">
        <v>5.8</v>
      </c>
      <c r="H648" s="5">
        <v>44.325650396536112</v>
      </c>
      <c r="I648" s="5">
        <v>41.023539802294451</v>
      </c>
      <c r="J648" s="5">
        <v>45.117988387383342</v>
      </c>
      <c r="K648" s="5">
        <v>83</v>
      </c>
    </row>
    <row r="649" spans="1:11" x14ac:dyDescent="0.25">
      <c r="A649" s="2">
        <v>46124.416666666657</v>
      </c>
      <c r="B649" t="str">
        <f t="shared" si="20"/>
        <v>2026-04</v>
      </c>
      <c r="C649" s="3">
        <f t="shared" si="21"/>
        <v>10</v>
      </c>
      <c r="D649" s="4">
        <v>21.781550526994451</v>
      </c>
      <c r="E649" s="4">
        <v>23.057128311391661</v>
      </c>
      <c r="F649" s="4">
        <v>23.412677086897219</v>
      </c>
      <c r="G649" s="4">
        <v>7.7</v>
      </c>
      <c r="H649" s="5">
        <v>43.925518802252782</v>
      </c>
      <c r="I649" s="5">
        <v>40.952240283036112</v>
      </c>
      <c r="J649" s="5">
        <v>44.830597824675003</v>
      </c>
      <c r="K649" s="5">
        <v>67</v>
      </c>
    </row>
    <row r="650" spans="1:11" x14ac:dyDescent="0.25">
      <c r="A650" s="2">
        <v>46124.458333333343</v>
      </c>
      <c r="B650" t="str">
        <f t="shared" si="20"/>
        <v>2026-04</v>
      </c>
      <c r="C650" s="3">
        <f t="shared" si="21"/>
        <v>11</v>
      </c>
      <c r="D650" s="4">
        <v>21.869937235799998</v>
      </c>
      <c r="E650" s="4">
        <v>23.146300653661111</v>
      </c>
      <c r="F650" s="4">
        <v>23.42406829293612</v>
      </c>
      <c r="G650" s="4">
        <v>8.5</v>
      </c>
      <c r="H650" s="5">
        <v>44.417601007050003</v>
      </c>
      <c r="I650" s="5">
        <v>41.363564126277772</v>
      </c>
      <c r="J650" s="5">
        <v>44.67526305781945</v>
      </c>
      <c r="K650" s="5">
        <v>59</v>
      </c>
    </row>
    <row r="651" spans="1:11" x14ac:dyDescent="0.25">
      <c r="A651" s="2">
        <v>46124.5</v>
      </c>
      <c r="B651" t="str">
        <f t="shared" si="20"/>
        <v>2026-04</v>
      </c>
      <c r="C651" s="3">
        <f t="shared" si="21"/>
        <v>12</v>
      </c>
      <c r="D651" s="4">
        <v>21.89257263916944</v>
      </c>
      <c r="E651" s="4">
        <v>23.549210205352779</v>
      </c>
      <c r="F651" s="4">
        <v>23.418298926513891</v>
      </c>
      <c r="G651" s="4">
        <v>8.9</v>
      </c>
      <c r="H651" s="5">
        <v>47.172287468519443</v>
      </c>
      <c r="I651" s="5">
        <v>43.494211505930558</v>
      </c>
      <c r="J651" s="5">
        <v>44.545745547211112</v>
      </c>
      <c r="K651" s="5">
        <v>55</v>
      </c>
    </row>
    <row r="652" spans="1:11" x14ac:dyDescent="0.25">
      <c r="A652" s="2">
        <v>46124.541666666657</v>
      </c>
      <c r="B652" t="str">
        <f t="shared" si="20"/>
        <v>2026-04</v>
      </c>
      <c r="C652" s="3">
        <f t="shared" si="21"/>
        <v>13</v>
      </c>
      <c r="D652" s="4">
        <v>21.801155446372221</v>
      </c>
      <c r="E652" s="4">
        <v>23.573404112072229</v>
      </c>
      <c r="F652" s="4">
        <v>24.039033160522219</v>
      </c>
      <c r="G652" s="4">
        <v>9.1</v>
      </c>
      <c r="H652" s="5">
        <v>46.602489752641667</v>
      </c>
      <c r="I652" s="5">
        <v>42.683650464083343</v>
      </c>
      <c r="J652" s="5">
        <v>45.79281320919722</v>
      </c>
      <c r="K652" s="5">
        <v>54</v>
      </c>
    </row>
    <row r="653" spans="1:11" x14ac:dyDescent="0.25">
      <c r="A653" s="2">
        <v>46124.583333333343</v>
      </c>
      <c r="B653" t="str">
        <f t="shared" si="20"/>
        <v>2026-04</v>
      </c>
      <c r="C653" s="3">
        <f t="shared" si="21"/>
        <v>14</v>
      </c>
      <c r="D653" s="4">
        <v>21.520103656491671</v>
      </c>
      <c r="E653" s="4">
        <v>23.379495195202779</v>
      </c>
      <c r="F653" s="4">
        <v>24.218081391199998</v>
      </c>
      <c r="G653" s="4">
        <v>9.3000000000000007</v>
      </c>
      <c r="H653" s="5">
        <v>44.926913699025</v>
      </c>
      <c r="I653" s="5">
        <v>39.588035352305553</v>
      </c>
      <c r="J653" s="5">
        <v>45.25885965714167</v>
      </c>
      <c r="K653" s="5">
        <v>54</v>
      </c>
    </row>
    <row r="654" spans="1:11" x14ac:dyDescent="0.25">
      <c r="A654" s="2">
        <v>46124.625</v>
      </c>
      <c r="B654" t="str">
        <f t="shared" si="20"/>
        <v>2026-04</v>
      </c>
      <c r="C654" s="3">
        <f t="shared" si="21"/>
        <v>15</v>
      </c>
      <c r="D654" s="4">
        <v>21.452002960377779</v>
      </c>
      <c r="E654" s="4">
        <v>23.12614213505833</v>
      </c>
      <c r="F654" s="4">
        <v>24.176179097594439</v>
      </c>
      <c r="G654" s="4">
        <v>9.6999999999999993</v>
      </c>
      <c r="H654" s="5">
        <v>45.241195187297222</v>
      </c>
      <c r="I654" s="5">
        <v>41.728961159113886</v>
      </c>
      <c r="J654" s="5">
        <v>46.823011546002782</v>
      </c>
      <c r="K654" s="5">
        <v>50</v>
      </c>
    </row>
    <row r="655" spans="1:11" x14ac:dyDescent="0.25">
      <c r="A655" s="2">
        <v>46124.666666666657</v>
      </c>
      <c r="B655" t="str">
        <f t="shared" si="20"/>
        <v>2026-04</v>
      </c>
      <c r="C655" s="3">
        <f t="shared" si="21"/>
        <v>16</v>
      </c>
      <c r="D655" s="4">
        <v>21.19475137605556</v>
      </c>
      <c r="E655" s="4">
        <v>22.73545310582778</v>
      </c>
      <c r="F655" s="4">
        <v>24.112244942566669</v>
      </c>
      <c r="G655" s="4">
        <v>9.9</v>
      </c>
      <c r="H655" s="5">
        <v>44.214880760730559</v>
      </c>
      <c r="I655" s="5">
        <v>41.02646569739445</v>
      </c>
      <c r="J655" s="5">
        <v>45.155544316002782</v>
      </c>
      <c r="K655" s="5">
        <v>51</v>
      </c>
    </row>
    <row r="656" spans="1:11" x14ac:dyDescent="0.25">
      <c r="A656" s="2">
        <v>46124.708333333343</v>
      </c>
      <c r="B656" t="str">
        <f t="shared" si="20"/>
        <v>2026-04</v>
      </c>
      <c r="C656" s="3">
        <f t="shared" si="21"/>
        <v>17</v>
      </c>
      <c r="D656" s="4">
        <v>20.700152179505551</v>
      </c>
      <c r="E656" s="4">
        <v>22.36177101488056</v>
      </c>
      <c r="F656" s="4">
        <v>24.06052938618889</v>
      </c>
      <c r="G656" s="4">
        <v>9.8000000000000007</v>
      </c>
      <c r="H656" s="5">
        <v>41.956101230436111</v>
      </c>
      <c r="I656" s="5">
        <v>39.616406869750001</v>
      </c>
      <c r="J656" s="5">
        <v>44.809597328647222</v>
      </c>
      <c r="K656" s="5">
        <v>51</v>
      </c>
    </row>
    <row r="657" spans="1:11" x14ac:dyDescent="0.25">
      <c r="A657" s="2">
        <v>46124.75</v>
      </c>
      <c r="B657" t="str">
        <f t="shared" si="20"/>
        <v>2026-04</v>
      </c>
      <c r="C657" s="3">
        <f t="shared" si="21"/>
        <v>18</v>
      </c>
      <c r="D657" s="4">
        <v>20.74931006886667</v>
      </c>
      <c r="E657" s="4">
        <v>22.696979412383332</v>
      </c>
      <c r="F657" s="4">
        <v>24.03631699850278</v>
      </c>
      <c r="G657" s="4">
        <v>9.1999999999999993</v>
      </c>
      <c r="H657" s="5">
        <v>37.682780306305553</v>
      </c>
      <c r="I657" s="5">
        <v>34.751538250369443</v>
      </c>
      <c r="J657" s="5">
        <v>44.813211683302782</v>
      </c>
      <c r="K657" s="5">
        <v>54</v>
      </c>
    </row>
    <row r="658" spans="1:11" x14ac:dyDescent="0.25">
      <c r="A658" s="2">
        <v>46124.791666666657</v>
      </c>
      <c r="B658" t="str">
        <f t="shared" si="20"/>
        <v>2026-04</v>
      </c>
      <c r="C658" s="3">
        <f t="shared" si="21"/>
        <v>19</v>
      </c>
      <c r="D658" s="4">
        <v>21.279016727491669</v>
      </c>
      <c r="E658" s="4">
        <v>22.91590147182222</v>
      </c>
      <c r="F658" s="4">
        <v>24.004882077111109</v>
      </c>
      <c r="G658" s="4">
        <v>7.7</v>
      </c>
      <c r="H658" s="5">
        <v>38.454157753691668</v>
      </c>
      <c r="I658" s="5">
        <v>36.451152530897232</v>
      </c>
      <c r="J658" s="5">
        <v>44.323413370452784</v>
      </c>
      <c r="K658" s="5">
        <v>65</v>
      </c>
    </row>
    <row r="659" spans="1:11" x14ac:dyDescent="0.25">
      <c r="A659" s="2">
        <v>46124.833333333343</v>
      </c>
      <c r="B659" t="str">
        <f t="shared" si="20"/>
        <v>2026-04</v>
      </c>
      <c r="C659" s="3">
        <f t="shared" si="21"/>
        <v>20</v>
      </c>
      <c r="D659" s="4">
        <v>21.482292480824999</v>
      </c>
      <c r="E659" s="4">
        <v>22.957908696936109</v>
      </c>
      <c r="F659" s="4">
        <v>23.997138780136108</v>
      </c>
      <c r="G659" s="4">
        <v>6.6</v>
      </c>
      <c r="H659" s="5">
        <v>41.026393481733329</v>
      </c>
      <c r="I659" s="5">
        <v>38.295066683133342</v>
      </c>
      <c r="J659" s="5">
        <v>43.795695483638887</v>
      </c>
      <c r="K659" s="5">
        <v>68</v>
      </c>
    </row>
    <row r="660" spans="1:11" x14ac:dyDescent="0.25">
      <c r="A660" s="2">
        <v>46124.875</v>
      </c>
      <c r="B660" t="str">
        <f t="shared" si="20"/>
        <v>2026-04</v>
      </c>
      <c r="C660" s="3">
        <f t="shared" si="21"/>
        <v>21</v>
      </c>
      <c r="D660" s="4">
        <v>21.436523291013891</v>
      </c>
      <c r="E660" s="4">
        <v>23.024414983875001</v>
      </c>
      <c r="F660" s="4">
        <v>23.990009234472229</v>
      </c>
      <c r="G660" s="4">
        <v>5.9</v>
      </c>
      <c r="H660" s="5">
        <v>42.055182002663891</v>
      </c>
      <c r="I660" s="5">
        <v>39.765741116986113</v>
      </c>
      <c r="J660" s="5">
        <v>43.409844419361121</v>
      </c>
      <c r="K660" s="5">
        <v>74</v>
      </c>
    </row>
    <row r="661" spans="1:11" x14ac:dyDescent="0.25">
      <c r="A661" s="2">
        <v>46124.916666666657</v>
      </c>
      <c r="B661" t="str">
        <f t="shared" si="20"/>
        <v>2026-04</v>
      </c>
      <c r="C661" s="3">
        <f t="shared" si="21"/>
        <v>22</v>
      </c>
      <c r="D661" s="4">
        <v>21.178824208911109</v>
      </c>
      <c r="E661" s="4">
        <v>23.094686407166659</v>
      </c>
      <c r="F661" s="4">
        <v>23.979871309686111</v>
      </c>
      <c r="G661" s="4">
        <v>5.8</v>
      </c>
      <c r="H661" s="5">
        <v>44.43201517506666</v>
      </c>
      <c r="I661" s="5">
        <v>40.430053109697219</v>
      </c>
      <c r="J661" s="5">
        <v>43.103204371408331</v>
      </c>
      <c r="K661" s="5">
        <v>77</v>
      </c>
    </row>
    <row r="662" spans="1:11" x14ac:dyDescent="0.25">
      <c r="A662" s="2">
        <v>46124.958333333343</v>
      </c>
      <c r="B662" t="str">
        <f t="shared" si="20"/>
        <v>2026-04</v>
      </c>
      <c r="C662" s="3">
        <f t="shared" si="21"/>
        <v>23</v>
      </c>
      <c r="D662" s="4">
        <v>21.02481478834445</v>
      </c>
      <c r="E662" s="4">
        <v>22.930197146402779</v>
      </c>
      <c r="F662" s="4">
        <v>23.946741328091669</v>
      </c>
      <c r="G662" s="4">
        <v>5.2</v>
      </c>
      <c r="H662" s="5">
        <v>45.907503752044448</v>
      </c>
      <c r="I662" s="5">
        <v>40.952239816519437</v>
      </c>
      <c r="J662" s="5">
        <v>42.861313241766659</v>
      </c>
      <c r="K662" s="5">
        <v>79</v>
      </c>
    </row>
    <row r="663" spans="1:11" x14ac:dyDescent="0.25">
      <c r="A663" s="2">
        <v>46125</v>
      </c>
      <c r="B663" t="str">
        <f t="shared" si="20"/>
        <v>2026-04</v>
      </c>
      <c r="C663" s="3">
        <f t="shared" si="21"/>
        <v>0</v>
      </c>
      <c r="D663" s="4">
        <v>20.898915068511108</v>
      </c>
      <c r="E663" s="4">
        <v>22.940148964338889</v>
      </c>
      <c r="F663" s="4">
        <v>23.92569569354167</v>
      </c>
      <c r="G663" s="4">
        <v>4.9000000000000004</v>
      </c>
      <c r="H663" s="5">
        <v>45.976322431155552</v>
      </c>
      <c r="I663" s="5">
        <v>42.05843836251389</v>
      </c>
      <c r="J663" s="5">
        <v>42.635274559597221</v>
      </c>
      <c r="K663" s="5">
        <v>80</v>
      </c>
    </row>
    <row r="664" spans="1:11" x14ac:dyDescent="0.25">
      <c r="A664" s="2">
        <v>46125.041666666657</v>
      </c>
      <c r="B664" t="str">
        <f t="shared" si="20"/>
        <v>2026-04</v>
      </c>
      <c r="C664" s="3">
        <f t="shared" si="21"/>
        <v>1</v>
      </c>
      <c r="D664" s="4">
        <v>20.759811722713891</v>
      </c>
      <c r="E664" s="4">
        <v>22.77628913741944</v>
      </c>
      <c r="F664" s="4">
        <v>23.902111554525</v>
      </c>
      <c r="G664" s="4">
        <v>4.4000000000000004</v>
      </c>
      <c r="H664" s="5">
        <v>46.737033585502779</v>
      </c>
      <c r="I664" s="5">
        <v>41.995112243761113</v>
      </c>
      <c r="J664" s="5">
        <v>42.524356357563889</v>
      </c>
      <c r="K664" s="5">
        <v>80</v>
      </c>
    </row>
    <row r="665" spans="1:11" x14ac:dyDescent="0.25">
      <c r="A665" s="2">
        <v>46125.083333333343</v>
      </c>
      <c r="B665" t="str">
        <f t="shared" si="20"/>
        <v>2026-04</v>
      </c>
      <c r="C665" s="3">
        <f t="shared" si="21"/>
        <v>2</v>
      </c>
      <c r="D665" s="4">
        <v>20.56372653804722</v>
      </c>
      <c r="E665" s="4">
        <v>22.373277377158331</v>
      </c>
      <c r="F665" s="4">
        <v>23.877518949991661</v>
      </c>
      <c r="G665" s="4">
        <v>3.7</v>
      </c>
      <c r="H665" s="5">
        <v>47.993241239847222</v>
      </c>
      <c r="I665" s="5">
        <v>42.159409025902782</v>
      </c>
      <c r="J665" s="5">
        <v>42.500650009636111</v>
      </c>
      <c r="K665" s="5">
        <v>80</v>
      </c>
    </row>
    <row r="666" spans="1:11" x14ac:dyDescent="0.25">
      <c r="A666" s="2">
        <v>46125.125</v>
      </c>
      <c r="B666" t="str">
        <f t="shared" si="20"/>
        <v>2026-04</v>
      </c>
      <c r="C666" s="3">
        <f t="shared" si="21"/>
        <v>3</v>
      </c>
      <c r="D666" s="4">
        <v>20.323930959030559</v>
      </c>
      <c r="E666" s="4">
        <v>22.127005438738891</v>
      </c>
      <c r="F666" s="4">
        <v>23.852508080997229</v>
      </c>
      <c r="G666" s="4">
        <v>3.3</v>
      </c>
      <c r="H666" s="5">
        <v>47.126310247730551</v>
      </c>
      <c r="I666" s="5">
        <v>41.802528868433328</v>
      </c>
      <c r="J666" s="5">
        <v>42.378458714261107</v>
      </c>
      <c r="K666" s="5">
        <v>80</v>
      </c>
    </row>
    <row r="667" spans="1:11" x14ac:dyDescent="0.25">
      <c r="A667" s="2">
        <v>46125.166666666657</v>
      </c>
      <c r="B667" t="str">
        <f t="shared" si="20"/>
        <v>2026-04</v>
      </c>
      <c r="C667" s="3">
        <f t="shared" si="21"/>
        <v>4</v>
      </c>
      <c r="D667" s="4">
        <v>20.12455299700833</v>
      </c>
      <c r="E667" s="4">
        <v>21.95221413719722</v>
      </c>
      <c r="F667" s="4">
        <v>23.82729014601389</v>
      </c>
      <c r="G667" s="4">
        <v>3.1</v>
      </c>
      <c r="H667" s="5">
        <v>47.001277074597233</v>
      </c>
      <c r="I667" s="5">
        <v>41.201900667977768</v>
      </c>
      <c r="J667" s="5">
        <v>42.142863281172232</v>
      </c>
      <c r="K667" s="5">
        <v>80</v>
      </c>
    </row>
    <row r="668" spans="1:11" x14ac:dyDescent="0.25">
      <c r="A668" s="2">
        <v>46125.208333333343</v>
      </c>
      <c r="B668" t="str">
        <f t="shared" si="20"/>
        <v>2026-04</v>
      </c>
      <c r="C668" s="3">
        <f t="shared" si="21"/>
        <v>5</v>
      </c>
      <c r="D668" s="4">
        <v>19.985535869438891</v>
      </c>
      <c r="E668" s="4">
        <v>21.852289535977778</v>
      </c>
      <c r="F668" s="4">
        <v>23.797426059719442</v>
      </c>
      <c r="G668" s="4">
        <v>3</v>
      </c>
      <c r="H668" s="5">
        <v>47.153957413077769</v>
      </c>
      <c r="I668" s="5">
        <v>40.813132293158333</v>
      </c>
      <c r="J668" s="5">
        <v>41.983603589499999</v>
      </c>
      <c r="K668" s="5">
        <v>79</v>
      </c>
    </row>
    <row r="669" spans="1:11" x14ac:dyDescent="0.25">
      <c r="A669" s="2">
        <v>46125.25</v>
      </c>
      <c r="B669" t="str">
        <f t="shared" si="20"/>
        <v>2026-04</v>
      </c>
      <c r="C669" s="3">
        <f t="shared" si="21"/>
        <v>6</v>
      </c>
      <c r="D669" s="4">
        <v>20.434982707875001</v>
      </c>
      <c r="E669" s="4">
        <v>22.062186258505559</v>
      </c>
      <c r="F669" s="4">
        <v>23.777537711547222</v>
      </c>
      <c r="G669" s="4">
        <v>2.9</v>
      </c>
      <c r="H669" s="5">
        <v>45.585199315036107</v>
      </c>
      <c r="I669" s="5">
        <v>40.238927498008337</v>
      </c>
      <c r="J669" s="5">
        <v>41.870009965538891</v>
      </c>
      <c r="K669" s="5">
        <v>80</v>
      </c>
    </row>
    <row r="670" spans="1:11" x14ac:dyDescent="0.25">
      <c r="A670" s="2">
        <v>46125.291666666657</v>
      </c>
      <c r="B670" t="str">
        <f t="shared" si="20"/>
        <v>2026-04</v>
      </c>
      <c r="C670" s="3">
        <f t="shared" si="21"/>
        <v>7</v>
      </c>
      <c r="D670" s="4">
        <v>21.314837580136111</v>
      </c>
      <c r="E670" s="4">
        <v>22.514036351816671</v>
      </c>
      <c r="F670" s="4">
        <v>23.738991231341672</v>
      </c>
      <c r="G670" s="4">
        <v>3.4</v>
      </c>
      <c r="H670" s="5">
        <v>42.705943012877768</v>
      </c>
      <c r="I670" s="5">
        <v>39.809642796422217</v>
      </c>
      <c r="J670" s="5">
        <v>41.769862739261107</v>
      </c>
      <c r="K670" s="5">
        <v>81</v>
      </c>
    </row>
    <row r="671" spans="1:11" x14ac:dyDescent="0.25">
      <c r="A671" s="2">
        <v>46125.333333333343</v>
      </c>
      <c r="B671" t="str">
        <f t="shared" si="20"/>
        <v>2026-04</v>
      </c>
      <c r="C671" s="3">
        <f t="shared" si="21"/>
        <v>8</v>
      </c>
      <c r="D671" s="4">
        <v>21.931826445938889</v>
      </c>
      <c r="E671" s="4">
        <v>23.066934547494441</v>
      </c>
      <c r="F671" s="4">
        <v>23.718675763588891</v>
      </c>
      <c r="G671" s="4">
        <v>5.3</v>
      </c>
      <c r="H671" s="5">
        <v>42.295849388080548</v>
      </c>
      <c r="I671" s="5">
        <v>39.266427763075001</v>
      </c>
      <c r="J671" s="5">
        <v>41.745536713422219</v>
      </c>
      <c r="K671" s="5">
        <v>79</v>
      </c>
    </row>
    <row r="672" spans="1:11" x14ac:dyDescent="0.25">
      <c r="A672" s="2">
        <v>46125.375</v>
      </c>
      <c r="B672" t="str">
        <f t="shared" si="20"/>
        <v>2026-04</v>
      </c>
      <c r="C672" s="3">
        <f t="shared" si="21"/>
        <v>9</v>
      </c>
      <c r="D672" s="4">
        <v>22.365478709877781</v>
      </c>
      <c r="E672" s="4">
        <v>23.604659946711109</v>
      </c>
      <c r="F672" s="4">
        <v>23.719018677588888</v>
      </c>
      <c r="G672" s="4">
        <v>8.3000000000000007</v>
      </c>
      <c r="H672" s="5">
        <v>42.495519669280561</v>
      </c>
      <c r="I672" s="5">
        <v>39.406417303961113</v>
      </c>
      <c r="J672" s="5">
        <v>41.746726755119447</v>
      </c>
      <c r="K672" s="5">
        <v>72</v>
      </c>
    </row>
    <row r="673" spans="1:11" x14ac:dyDescent="0.25">
      <c r="A673" s="2">
        <v>46125.416666666657</v>
      </c>
      <c r="B673" t="str">
        <f t="shared" si="20"/>
        <v>2026-04</v>
      </c>
      <c r="C673" s="3">
        <f t="shared" si="21"/>
        <v>10</v>
      </c>
      <c r="D673" s="4">
        <v>22.464773430408329</v>
      </c>
      <c r="E673" s="4">
        <v>23.85690392289445</v>
      </c>
      <c r="F673" s="4">
        <v>23.740036576372219</v>
      </c>
      <c r="G673" s="4">
        <v>10.3</v>
      </c>
      <c r="H673" s="5">
        <v>43.679454694463892</v>
      </c>
      <c r="I673" s="5">
        <v>41.523663810999999</v>
      </c>
      <c r="J673" s="5">
        <v>41.725490996122232</v>
      </c>
      <c r="K673" s="5">
        <v>50</v>
      </c>
    </row>
    <row r="674" spans="1:11" x14ac:dyDescent="0.25">
      <c r="A674" s="2">
        <v>46125.458333333343</v>
      </c>
      <c r="B674" t="str">
        <f t="shared" si="20"/>
        <v>2026-04</v>
      </c>
      <c r="C674" s="3">
        <f t="shared" si="21"/>
        <v>11</v>
      </c>
      <c r="D674" s="4">
        <v>22.366193989191672</v>
      </c>
      <c r="E674" s="4">
        <v>24.274181494327781</v>
      </c>
      <c r="F674" s="4">
        <v>23.770759541613891</v>
      </c>
      <c r="G674" s="4">
        <v>11.3</v>
      </c>
      <c r="H674" s="5">
        <v>46.818212378347233</v>
      </c>
      <c r="I674" s="5">
        <v>46.021358565358327</v>
      </c>
      <c r="J674" s="5">
        <v>41.750509275863891</v>
      </c>
      <c r="K674" s="5">
        <v>45</v>
      </c>
    </row>
    <row r="675" spans="1:11" x14ac:dyDescent="0.25">
      <c r="A675" s="2">
        <v>46125.5</v>
      </c>
      <c r="B675" t="str">
        <f t="shared" si="20"/>
        <v>2026-04</v>
      </c>
      <c r="C675" s="3">
        <f t="shared" si="21"/>
        <v>12</v>
      </c>
      <c r="D675" s="4">
        <v>22.28115310113612</v>
      </c>
      <c r="E675" s="4">
        <v>24.275900256136111</v>
      </c>
      <c r="F675" s="4">
        <v>23.775129537783329</v>
      </c>
      <c r="G675" s="4">
        <v>12.1</v>
      </c>
      <c r="H675" s="5">
        <v>48.114059644850002</v>
      </c>
      <c r="I675" s="5">
        <v>45.459857205947223</v>
      </c>
      <c r="J675" s="5">
        <v>41.750398235666673</v>
      </c>
      <c r="K675" s="5">
        <v>42</v>
      </c>
    </row>
    <row r="676" spans="1:11" x14ac:dyDescent="0.25">
      <c r="A676" s="2">
        <v>46125.541666666657</v>
      </c>
      <c r="B676" t="str">
        <f t="shared" si="20"/>
        <v>2026-04</v>
      </c>
      <c r="C676" s="3">
        <f t="shared" si="21"/>
        <v>13</v>
      </c>
      <c r="D676" s="4">
        <v>22.11746679320278</v>
      </c>
      <c r="E676" s="4">
        <v>23.95957895193612</v>
      </c>
      <c r="F676" s="4">
        <v>23.77879604072222</v>
      </c>
      <c r="G676" s="4">
        <v>12.6</v>
      </c>
      <c r="H676" s="5">
        <v>46.375909624725011</v>
      </c>
      <c r="I676" s="5">
        <v>42.247631823797221</v>
      </c>
      <c r="J676" s="5">
        <v>41.538492028438888</v>
      </c>
      <c r="K676" s="5">
        <v>40</v>
      </c>
    </row>
    <row r="677" spans="1:11" x14ac:dyDescent="0.25">
      <c r="A677" s="2">
        <v>46125.583333333343</v>
      </c>
      <c r="B677" t="str">
        <f t="shared" si="20"/>
        <v>2026-04</v>
      </c>
      <c r="C677" s="3">
        <f t="shared" si="21"/>
        <v>14</v>
      </c>
      <c r="D677" s="4">
        <v>21.895244128097222</v>
      </c>
      <c r="E677" s="4">
        <v>23.531501603836109</v>
      </c>
      <c r="F677" s="4">
        <v>23.762635815477779</v>
      </c>
      <c r="G677" s="4">
        <v>12.8</v>
      </c>
      <c r="H677" s="5">
        <v>42.702461215444451</v>
      </c>
      <c r="I677" s="5">
        <v>39.214407163877773</v>
      </c>
      <c r="J677" s="5">
        <v>41.286905346591674</v>
      </c>
      <c r="K677" s="5">
        <v>40</v>
      </c>
    </row>
    <row r="678" spans="1:11" x14ac:dyDescent="0.25">
      <c r="A678" s="2">
        <v>46125.625</v>
      </c>
      <c r="B678" t="str">
        <f t="shared" si="20"/>
        <v>2026-04</v>
      </c>
      <c r="C678" s="3">
        <f t="shared" si="21"/>
        <v>15</v>
      </c>
      <c r="D678" s="4">
        <v>21.818270809280559</v>
      </c>
      <c r="E678" s="4">
        <v>23.645749765419449</v>
      </c>
      <c r="F678" s="4">
        <v>23.74713917511389</v>
      </c>
      <c r="G678" s="4">
        <v>12.9</v>
      </c>
      <c r="H678" s="5">
        <v>42.087766428638894</v>
      </c>
      <c r="I678" s="5">
        <v>39.960022147383327</v>
      </c>
      <c r="J678" s="5">
        <v>41.263966402491668</v>
      </c>
      <c r="K678" s="5">
        <v>42</v>
      </c>
    </row>
    <row r="679" spans="1:11" x14ac:dyDescent="0.25">
      <c r="A679" s="2">
        <v>46125.666666666657</v>
      </c>
      <c r="B679" t="str">
        <f t="shared" si="20"/>
        <v>2026-04</v>
      </c>
      <c r="C679" s="3">
        <f t="shared" si="21"/>
        <v>16</v>
      </c>
      <c r="D679" s="4">
        <v>20.795364318430561</v>
      </c>
      <c r="E679" s="4">
        <v>23.529313627086111</v>
      </c>
      <c r="F679" s="4">
        <v>23.738685165833331</v>
      </c>
      <c r="G679" s="4">
        <v>12.7</v>
      </c>
      <c r="H679" s="5">
        <v>39.308536213397232</v>
      </c>
      <c r="I679" s="5">
        <v>36.772782981830552</v>
      </c>
      <c r="J679" s="5">
        <v>41.459949527569442</v>
      </c>
      <c r="K679" s="5">
        <v>47</v>
      </c>
    </row>
    <row r="680" spans="1:11" x14ac:dyDescent="0.25">
      <c r="A680" s="2">
        <v>46125.708333333343</v>
      </c>
      <c r="B680" t="str">
        <f t="shared" si="20"/>
        <v>2026-04</v>
      </c>
      <c r="C680" s="3">
        <f t="shared" si="21"/>
        <v>17</v>
      </c>
      <c r="D680" s="4">
        <v>21.498907114919451</v>
      </c>
      <c r="E680" s="4">
        <v>23.567364561686109</v>
      </c>
      <c r="F680" s="4">
        <v>23.72964769533333</v>
      </c>
      <c r="G680" s="4">
        <v>12.3</v>
      </c>
      <c r="H680" s="5">
        <v>45.381157049158332</v>
      </c>
      <c r="I680" s="5">
        <v>40.738642824255557</v>
      </c>
      <c r="J680" s="5">
        <v>41.460024083550003</v>
      </c>
      <c r="K680" s="5">
        <v>49</v>
      </c>
    </row>
    <row r="681" spans="1:11" x14ac:dyDescent="0.25">
      <c r="A681" s="2">
        <v>46125.75</v>
      </c>
      <c r="B681" t="str">
        <f t="shared" si="20"/>
        <v>2026-04</v>
      </c>
      <c r="C681" s="3">
        <f t="shared" si="21"/>
        <v>18</v>
      </c>
      <c r="D681" s="4">
        <v>21.914906309986112</v>
      </c>
      <c r="E681" s="4">
        <v>23.714670105116671</v>
      </c>
      <c r="F681" s="4">
        <v>23.719944171963888</v>
      </c>
      <c r="G681" s="4">
        <v>11.2</v>
      </c>
      <c r="H681" s="5">
        <v>49.073312280125002</v>
      </c>
      <c r="I681" s="5">
        <v>45.806182367444443</v>
      </c>
      <c r="J681" s="5">
        <v>41.248046769844443</v>
      </c>
      <c r="K681" s="5">
        <v>55</v>
      </c>
    </row>
    <row r="682" spans="1:11" x14ac:dyDescent="0.25">
      <c r="A682" s="2">
        <v>46125.791666666657</v>
      </c>
      <c r="B682" t="str">
        <f t="shared" si="20"/>
        <v>2026-04</v>
      </c>
      <c r="C682" s="3">
        <f t="shared" si="21"/>
        <v>19</v>
      </c>
      <c r="D682" s="4">
        <v>22.27472030420833</v>
      </c>
      <c r="E682" s="4">
        <v>24.18637074106389</v>
      </c>
      <c r="F682" s="4">
        <v>23.727844754411109</v>
      </c>
      <c r="G682" s="4">
        <v>10</v>
      </c>
      <c r="H682" s="5">
        <v>48.648071749819437</v>
      </c>
      <c r="I682" s="5">
        <v>46.519032669277777</v>
      </c>
      <c r="J682" s="5">
        <v>40.932441980108329</v>
      </c>
      <c r="K682" s="5">
        <v>60</v>
      </c>
    </row>
    <row r="683" spans="1:11" x14ac:dyDescent="0.25">
      <c r="A683" s="2">
        <v>46125.833333333343</v>
      </c>
      <c r="B683" t="str">
        <f t="shared" si="20"/>
        <v>2026-04</v>
      </c>
      <c r="C683" s="3">
        <f t="shared" si="21"/>
        <v>20</v>
      </c>
      <c r="D683" s="4">
        <v>22.366366342963889</v>
      </c>
      <c r="E683" s="4">
        <v>24.204909313011111</v>
      </c>
      <c r="F683" s="4">
        <v>23.72714808111667</v>
      </c>
      <c r="G683" s="4">
        <v>8.6</v>
      </c>
      <c r="H683" s="5">
        <v>47.609207300900003</v>
      </c>
      <c r="I683" s="5">
        <v>44.787931504033331</v>
      </c>
      <c r="J683" s="5">
        <v>40.947297533947221</v>
      </c>
      <c r="K683" s="5">
        <v>67</v>
      </c>
    </row>
    <row r="684" spans="1:11" x14ac:dyDescent="0.25">
      <c r="A684" s="2">
        <v>46125.875</v>
      </c>
      <c r="B684" t="str">
        <f t="shared" si="20"/>
        <v>2026-04</v>
      </c>
      <c r="C684" s="3">
        <f t="shared" si="21"/>
        <v>21</v>
      </c>
      <c r="D684" s="4">
        <v>22.466827473088891</v>
      </c>
      <c r="E684" s="4">
        <v>24.277534799005551</v>
      </c>
      <c r="F684" s="4">
        <v>23.72731422124167</v>
      </c>
      <c r="G684" s="4">
        <v>7.4</v>
      </c>
      <c r="H684" s="5">
        <v>46.554339877222219</v>
      </c>
      <c r="I684" s="5">
        <v>43.743462213561124</v>
      </c>
      <c r="J684" s="5">
        <v>40.985204085947217</v>
      </c>
      <c r="K684" s="5">
        <v>77</v>
      </c>
    </row>
    <row r="685" spans="1:11" x14ac:dyDescent="0.25">
      <c r="A685" s="2">
        <v>46125.916666666657</v>
      </c>
      <c r="B685" t="str">
        <f t="shared" si="20"/>
        <v>2026-04</v>
      </c>
      <c r="C685" s="3">
        <f t="shared" si="21"/>
        <v>22</v>
      </c>
      <c r="D685" s="4">
        <v>22.176530831249998</v>
      </c>
      <c r="E685" s="4">
        <v>24.048046473852779</v>
      </c>
      <c r="F685" s="4">
        <v>23.72499033261111</v>
      </c>
      <c r="G685" s="4">
        <v>6.9</v>
      </c>
      <c r="H685" s="5">
        <v>47.738455949030559</v>
      </c>
      <c r="I685" s="5">
        <v>43.982744556516671</v>
      </c>
      <c r="J685" s="5">
        <v>40.972416817569453</v>
      </c>
      <c r="K685" s="5">
        <v>83</v>
      </c>
    </row>
    <row r="686" spans="1:11" x14ac:dyDescent="0.25">
      <c r="A686" s="2">
        <v>46125.958333333343</v>
      </c>
      <c r="B686" t="str">
        <f t="shared" si="20"/>
        <v>2026-04</v>
      </c>
      <c r="C686" s="3">
        <f t="shared" si="21"/>
        <v>23</v>
      </c>
      <c r="D686" s="4">
        <v>22.168417786113888</v>
      </c>
      <c r="E686" s="4">
        <v>23.906319611650002</v>
      </c>
      <c r="F686" s="4">
        <v>23.71052923086112</v>
      </c>
      <c r="G686" s="4">
        <v>6.6</v>
      </c>
      <c r="H686" s="5">
        <v>47.765609380938884</v>
      </c>
      <c r="I686" s="5">
        <v>43.879573533277778</v>
      </c>
      <c r="J686" s="5">
        <v>41.019151301891668</v>
      </c>
      <c r="K686" s="5">
        <v>82</v>
      </c>
    </row>
    <row r="687" spans="1:11" x14ac:dyDescent="0.25">
      <c r="A687" s="2">
        <v>46126</v>
      </c>
      <c r="B687" t="str">
        <f t="shared" si="20"/>
        <v>2026-04</v>
      </c>
      <c r="C687" s="3">
        <f t="shared" si="21"/>
        <v>0</v>
      </c>
      <c r="D687" s="4">
        <v>22.143010399019449</v>
      </c>
      <c r="E687" s="4">
        <v>23.844716470702771</v>
      </c>
      <c r="F687" s="4">
        <v>23.705101626072221</v>
      </c>
      <c r="G687" s="4">
        <v>6.1</v>
      </c>
      <c r="H687" s="5">
        <v>47.44707056531945</v>
      </c>
      <c r="I687" s="5">
        <v>44.345553886677777</v>
      </c>
      <c r="J687" s="5">
        <v>41.078346418027778</v>
      </c>
      <c r="K687" s="5">
        <v>82</v>
      </c>
    </row>
    <row r="688" spans="1:11" x14ac:dyDescent="0.25">
      <c r="A688" s="2">
        <v>46126.041666666657</v>
      </c>
      <c r="B688" t="str">
        <f t="shared" si="20"/>
        <v>2026-04</v>
      </c>
      <c r="C688" s="3">
        <f t="shared" si="21"/>
        <v>1</v>
      </c>
      <c r="D688" s="4">
        <v>21.990103939975</v>
      </c>
      <c r="E688" s="4">
        <v>23.704591763694442</v>
      </c>
      <c r="F688" s="4">
        <v>23.692480382313889</v>
      </c>
      <c r="G688" s="4">
        <v>5.6</v>
      </c>
      <c r="H688" s="5">
        <v>48.237319621202779</v>
      </c>
      <c r="I688" s="5">
        <v>45.079811248672229</v>
      </c>
      <c r="J688" s="5">
        <v>41.118354907080558</v>
      </c>
      <c r="K688" s="5">
        <v>84</v>
      </c>
    </row>
    <row r="689" spans="1:11" x14ac:dyDescent="0.25">
      <c r="A689" s="2">
        <v>46126.083333333343</v>
      </c>
      <c r="B689" t="str">
        <f t="shared" si="20"/>
        <v>2026-04</v>
      </c>
      <c r="C689" s="3">
        <f t="shared" si="21"/>
        <v>2</v>
      </c>
      <c r="D689" s="4">
        <v>21.65403572045</v>
      </c>
      <c r="E689" s="4">
        <v>23.300450902733331</v>
      </c>
      <c r="F689" s="4">
        <v>23.67725989945556</v>
      </c>
      <c r="G689" s="4">
        <v>5.0999999999999996</v>
      </c>
      <c r="H689" s="5">
        <v>49.283979407472223</v>
      </c>
      <c r="I689" s="5">
        <v>43.949558611308333</v>
      </c>
      <c r="J689" s="5">
        <v>41.188238129708331</v>
      </c>
      <c r="K689" s="5">
        <v>85</v>
      </c>
    </row>
    <row r="690" spans="1:11" x14ac:dyDescent="0.25">
      <c r="A690" s="2">
        <v>46126.125</v>
      </c>
      <c r="B690" t="str">
        <f t="shared" si="20"/>
        <v>2026-04</v>
      </c>
      <c r="C690" s="3">
        <f t="shared" si="21"/>
        <v>3</v>
      </c>
      <c r="D690" s="4">
        <v>21.256480782263889</v>
      </c>
      <c r="E690" s="4">
        <v>22.922890270197229</v>
      </c>
      <c r="F690" s="4">
        <v>23.650813945225</v>
      </c>
      <c r="G690" s="4">
        <v>5.5</v>
      </c>
      <c r="H690" s="5">
        <v>49.461936384980561</v>
      </c>
      <c r="I690" s="5">
        <v>43.609329724394449</v>
      </c>
      <c r="J690" s="5">
        <v>41.335245095319443</v>
      </c>
      <c r="K690" s="5">
        <v>82</v>
      </c>
    </row>
    <row r="691" spans="1:11" x14ac:dyDescent="0.25">
      <c r="A691" s="2">
        <v>46126.166666666657</v>
      </c>
      <c r="B691" t="str">
        <f t="shared" si="20"/>
        <v>2026-04</v>
      </c>
      <c r="C691" s="3">
        <f t="shared" si="21"/>
        <v>4</v>
      </c>
      <c r="D691" s="4">
        <v>21.009458265277772</v>
      </c>
      <c r="E691" s="4">
        <v>22.632442844047219</v>
      </c>
      <c r="F691" s="4">
        <v>23.627887082591659</v>
      </c>
      <c r="G691" s="4">
        <v>5.7</v>
      </c>
      <c r="H691" s="5">
        <v>49.338036851636097</v>
      </c>
      <c r="I691" s="5">
        <v>43.372543784525</v>
      </c>
      <c r="J691" s="5">
        <v>41.482854985447233</v>
      </c>
      <c r="K691" s="5">
        <v>78</v>
      </c>
    </row>
    <row r="692" spans="1:11" x14ac:dyDescent="0.25">
      <c r="A692" s="2">
        <v>46126.208333333343</v>
      </c>
      <c r="B692" t="str">
        <f t="shared" si="20"/>
        <v>2026-04</v>
      </c>
      <c r="C692" s="3">
        <f t="shared" si="21"/>
        <v>5</v>
      </c>
      <c r="D692" s="4">
        <v>20.867352355366659</v>
      </c>
      <c r="E692" s="4">
        <v>22.471696652463891</v>
      </c>
      <c r="F692" s="4">
        <v>23.601563177138889</v>
      </c>
      <c r="G692" s="4">
        <v>5.8</v>
      </c>
      <c r="H692" s="5">
        <v>49.222095551305557</v>
      </c>
      <c r="I692" s="5">
        <v>43.133601369130552</v>
      </c>
      <c r="J692" s="5">
        <v>41.682422118872218</v>
      </c>
      <c r="K692" s="5">
        <v>74</v>
      </c>
    </row>
    <row r="693" spans="1:11" x14ac:dyDescent="0.25">
      <c r="A693" s="2">
        <v>46126.25</v>
      </c>
      <c r="B693" t="str">
        <f t="shared" si="20"/>
        <v>2026-04</v>
      </c>
      <c r="C693" s="3">
        <f t="shared" si="21"/>
        <v>6</v>
      </c>
      <c r="D693" s="4">
        <v>20.830023197566661</v>
      </c>
      <c r="E693" s="4">
        <v>22.329969948697219</v>
      </c>
      <c r="F693" s="4">
        <v>23.571236158677781</v>
      </c>
      <c r="G693" s="4">
        <v>5.9</v>
      </c>
      <c r="H693" s="5">
        <v>48.946589994816662</v>
      </c>
      <c r="I693" s="5">
        <v>43.121106227375002</v>
      </c>
      <c r="J693" s="5">
        <v>41.938805325544443</v>
      </c>
      <c r="K693" s="5">
        <v>72</v>
      </c>
    </row>
    <row r="694" spans="1:11" x14ac:dyDescent="0.25">
      <c r="A694" s="2">
        <v>46126.291666666657</v>
      </c>
      <c r="B694" t="str">
        <f t="shared" si="20"/>
        <v>2026-04</v>
      </c>
      <c r="C694" s="3">
        <f t="shared" si="21"/>
        <v>7</v>
      </c>
      <c r="D694" s="4">
        <v>20.813546288230562</v>
      </c>
      <c r="E694" s="4">
        <v>22.22530390631389</v>
      </c>
      <c r="F694" s="4">
        <v>23.538618710449999</v>
      </c>
      <c r="G694" s="4">
        <v>6.5</v>
      </c>
      <c r="H694" s="5">
        <v>48.457649246597221</v>
      </c>
      <c r="I694" s="5">
        <v>42.929907418611123</v>
      </c>
      <c r="J694" s="5">
        <v>42.407923190761117</v>
      </c>
      <c r="K694" s="5">
        <v>68</v>
      </c>
    </row>
    <row r="695" spans="1:11" x14ac:dyDescent="0.25">
      <c r="A695" s="2">
        <v>46126.333333333343</v>
      </c>
      <c r="B695" t="str">
        <f t="shared" si="20"/>
        <v>2026-04</v>
      </c>
      <c r="C695" s="3">
        <f t="shared" si="21"/>
        <v>8</v>
      </c>
      <c r="D695" s="4">
        <v>20.87163031165278</v>
      </c>
      <c r="E695" s="4">
        <v>22.173495547461108</v>
      </c>
      <c r="F695" s="4">
        <v>23.533916635905559</v>
      </c>
      <c r="G695" s="4">
        <v>7.1</v>
      </c>
      <c r="H695" s="5">
        <v>47.648624530525012</v>
      </c>
      <c r="I695" s="5">
        <v>42.411499406372222</v>
      </c>
      <c r="J695" s="5">
        <v>42.859838266655551</v>
      </c>
      <c r="K695" s="5">
        <v>66</v>
      </c>
    </row>
    <row r="696" spans="1:11" x14ac:dyDescent="0.25">
      <c r="A696" s="2">
        <v>46126.375</v>
      </c>
      <c r="B696" t="str">
        <f t="shared" si="20"/>
        <v>2026-04</v>
      </c>
      <c r="C696" s="3">
        <f t="shared" si="21"/>
        <v>9</v>
      </c>
      <c r="D696" s="4">
        <v>21.036830697177781</v>
      </c>
      <c r="E696" s="4">
        <v>22.13638125109722</v>
      </c>
      <c r="F696" s="4">
        <v>23.525303271861109</v>
      </c>
      <c r="G696" s="4">
        <v>8.1999999999999993</v>
      </c>
      <c r="H696" s="5">
        <v>46.860926445125003</v>
      </c>
      <c r="I696" s="5">
        <v>41.901421730197221</v>
      </c>
      <c r="J696" s="5">
        <v>43.208598643080563</v>
      </c>
      <c r="K696" s="5">
        <v>64</v>
      </c>
    </row>
    <row r="697" spans="1:11" x14ac:dyDescent="0.25">
      <c r="A697" s="2">
        <v>46126.416666666657</v>
      </c>
      <c r="B697" t="str">
        <f t="shared" si="20"/>
        <v>2026-04</v>
      </c>
      <c r="C697" s="3">
        <f t="shared" si="21"/>
        <v>10</v>
      </c>
      <c r="D697" s="4">
        <v>21.288426622797221</v>
      </c>
      <c r="E697" s="4">
        <v>22.219608607916669</v>
      </c>
      <c r="F697" s="4">
        <v>23.504139038155561</v>
      </c>
      <c r="G697" s="4">
        <v>9.3000000000000007</v>
      </c>
      <c r="H697" s="5">
        <v>45.752506382838902</v>
      </c>
      <c r="I697" s="5">
        <v>42.002557910524999</v>
      </c>
      <c r="J697" s="5">
        <v>43.732975777269438</v>
      </c>
      <c r="K697" s="5">
        <v>57</v>
      </c>
    </row>
    <row r="698" spans="1:11" x14ac:dyDescent="0.25">
      <c r="A698" s="2">
        <v>46126.458333333343</v>
      </c>
      <c r="B698" t="str">
        <f t="shared" si="20"/>
        <v>2026-04</v>
      </c>
      <c r="C698" s="3">
        <f t="shared" si="21"/>
        <v>11</v>
      </c>
      <c r="D698" s="4">
        <v>21.52166930509167</v>
      </c>
      <c r="E698" s="4">
        <v>22.58191086688889</v>
      </c>
      <c r="F698" s="4">
        <v>23.51562122507222</v>
      </c>
      <c r="G698" s="4">
        <v>10.5</v>
      </c>
      <c r="H698" s="5">
        <v>45.176409353511112</v>
      </c>
      <c r="I698" s="5">
        <v>42.657955120099999</v>
      </c>
      <c r="J698" s="5">
        <v>44.225066867102782</v>
      </c>
      <c r="K698" s="5">
        <v>49</v>
      </c>
    </row>
    <row r="699" spans="1:11" x14ac:dyDescent="0.25">
      <c r="A699" s="2">
        <v>46126.5</v>
      </c>
      <c r="B699" t="str">
        <f t="shared" si="20"/>
        <v>2026-04</v>
      </c>
      <c r="C699" s="3">
        <f t="shared" si="21"/>
        <v>12</v>
      </c>
      <c r="D699" s="4">
        <v>21.55477463742778</v>
      </c>
      <c r="E699" s="4">
        <v>23.087491761305561</v>
      </c>
      <c r="F699" s="4">
        <v>23.505323086097221</v>
      </c>
      <c r="G699" s="4">
        <v>11.3</v>
      </c>
      <c r="H699" s="5">
        <v>46.804154698399998</v>
      </c>
      <c r="I699" s="5">
        <v>42.311912139280558</v>
      </c>
      <c r="J699" s="5">
        <v>44.039700687211109</v>
      </c>
      <c r="K699" s="5">
        <v>43</v>
      </c>
    </row>
    <row r="700" spans="1:11" x14ac:dyDescent="0.25">
      <c r="A700" s="2">
        <v>46126.541666666657</v>
      </c>
      <c r="B700" t="str">
        <f t="shared" si="20"/>
        <v>2026-04</v>
      </c>
      <c r="C700" s="3">
        <f t="shared" si="21"/>
        <v>13</v>
      </c>
      <c r="D700" s="4">
        <v>21.332005706166669</v>
      </c>
      <c r="E700" s="4">
        <v>22.744846067655551</v>
      </c>
      <c r="F700" s="4">
        <v>23.482896078880561</v>
      </c>
      <c r="G700" s="4">
        <v>11.6</v>
      </c>
      <c r="H700" s="5">
        <v>46.037993002886111</v>
      </c>
      <c r="I700" s="5">
        <v>40.225148465055547</v>
      </c>
      <c r="J700" s="5">
        <v>44.394762886286109</v>
      </c>
      <c r="K700" s="5">
        <v>43</v>
      </c>
    </row>
    <row r="701" spans="1:11" x14ac:dyDescent="0.25">
      <c r="A701" s="2">
        <v>46126.583333333343</v>
      </c>
      <c r="B701" t="str">
        <f t="shared" si="20"/>
        <v>2026-04</v>
      </c>
      <c r="C701" s="3">
        <f t="shared" si="21"/>
        <v>14</v>
      </c>
      <c r="D701" s="4">
        <v>21.042019274449999</v>
      </c>
      <c r="E701" s="4">
        <v>22.346713157524999</v>
      </c>
      <c r="F701" s="4">
        <v>23.47957334384445</v>
      </c>
      <c r="G701" s="4">
        <v>10.4</v>
      </c>
      <c r="H701" s="5">
        <v>41.76082282534167</v>
      </c>
      <c r="I701" s="5">
        <v>38.188975433775013</v>
      </c>
      <c r="J701" s="5">
        <v>44.500477535141663</v>
      </c>
      <c r="K701" s="5">
        <v>49</v>
      </c>
    </row>
    <row r="702" spans="1:11" x14ac:dyDescent="0.25">
      <c r="A702" s="2">
        <v>46126.625</v>
      </c>
      <c r="B702" t="str">
        <f t="shared" si="20"/>
        <v>2026-04</v>
      </c>
      <c r="C702" s="3">
        <f t="shared" si="21"/>
        <v>15</v>
      </c>
      <c r="D702" s="4">
        <v>21.423843054641669</v>
      </c>
      <c r="E702" s="4">
        <v>22.693435653261108</v>
      </c>
      <c r="F702" s="4">
        <v>23.467684688011111</v>
      </c>
      <c r="G702" s="4">
        <v>9.8000000000000007</v>
      </c>
      <c r="H702" s="5">
        <v>44.240186648761117</v>
      </c>
      <c r="I702" s="5">
        <v>40.164473788222217</v>
      </c>
      <c r="J702" s="5">
        <v>43.223156299516667</v>
      </c>
      <c r="K702" s="5">
        <v>56</v>
      </c>
    </row>
    <row r="703" spans="1:11" x14ac:dyDescent="0.25">
      <c r="A703" s="2">
        <v>46126.666666666657</v>
      </c>
      <c r="B703" t="str">
        <f t="shared" si="20"/>
        <v>2026-04</v>
      </c>
      <c r="C703" s="3">
        <f t="shared" si="21"/>
        <v>16</v>
      </c>
      <c r="D703" s="4">
        <v>21.540499982736112</v>
      </c>
      <c r="E703" s="4">
        <v>22.917826045052781</v>
      </c>
      <c r="F703" s="4">
        <v>23.463055514711112</v>
      </c>
      <c r="G703" s="4">
        <v>8.6999999999999993</v>
      </c>
      <c r="H703" s="5">
        <v>44.064349035372217</v>
      </c>
      <c r="I703" s="5">
        <v>40.793912044869437</v>
      </c>
      <c r="J703" s="5">
        <v>42.91415401785278</v>
      </c>
      <c r="K703" s="5">
        <v>64</v>
      </c>
    </row>
    <row r="704" spans="1:11" x14ac:dyDescent="0.25">
      <c r="A704" s="2">
        <v>46126.708333333343</v>
      </c>
      <c r="B704" t="str">
        <f t="shared" si="20"/>
        <v>2026-04</v>
      </c>
      <c r="C704" s="3">
        <f t="shared" si="21"/>
        <v>17</v>
      </c>
      <c r="D704" s="4">
        <v>21.507653893291661</v>
      </c>
      <c r="E704" s="4">
        <v>22.999813625172219</v>
      </c>
      <c r="F704" s="4">
        <v>23.468028609761109</v>
      </c>
      <c r="G704" s="4">
        <v>7.9</v>
      </c>
      <c r="H704" s="5">
        <v>43.375152346666667</v>
      </c>
      <c r="I704" s="5">
        <v>39.913088072141669</v>
      </c>
      <c r="J704" s="5">
        <v>42.738516637405553</v>
      </c>
      <c r="K704" s="5">
        <v>71</v>
      </c>
    </row>
    <row r="705" spans="1:11" x14ac:dyDescent="0.25">
      <c r="A705" s="2">
        <v>46126.75</v>
      </c>
      <c r="B705" t="str">
        <f t="shared" si="20"/>
        <v>2026-04</v>
      </c>
      <c r="C705" s="3">
        <f t="shared" si="21"/>
        <v>18</v>
      </c>
      <c r="D705" s="4">
        <v>21.50923429259722</v>
      </c>
      <c r="E705" s="4">
        <v>23.059079794611112</v>
      </c>
      <c r="F705" s="4">
        <v>23.475899669086111</v>
      </c>
      <c r="G705" s="4">
        <v>7.5</v>
      </c>
      <c r="H705" s="5">
        <v>44.563210403980563</v>
      </c>
      <c r="I705" s="5">
        <v>41.688140283405559</v>
      </c>
      <c r="J705" s="5">
        <v>43.400354738105563</v>
      </c>
      <c r="K705" s="5">
        <v>73</v>
      </c>
    </row>
    <row r="706" spans="1:11" x14ac:dyDescent="0.25">
      <c r="A706" s="2">
        <v>46126.791666666657</v>
      </c>
      <c r="B706" t="str">
        <f t="shared" ref="B706:B769" si="22">TEXT(A706,"yyyy-mm")</f>
        <v>2026-04</v>
      </c>
      <c r="C706" s="3">
        <f t="shared" ref="C706:C769" si="23">HOUR(A706)</f>
        <v>19</v>
      </c>
      <c r="D706" s="4">
        <v>21.590347738991671</v>
      </c>
      <c r="E706" s="4">
        <v>23.362608181338889</v>
      </c>
      <c r="F706" s="4">
        <v>23.477449288097219</v>
      </c>
      <c r="G706" s="4">
        <v>6.6</v>
      </c>
      <c r="H706" s="5">
        <v>48.725527721313888</v>
      </c>
      <c r="I706" s="5">
        <v>46.778857351566657</v>
      </c>
      <c r="J706" s="5">
        <v>43.006571997219453</v>
      </c>
      <c r="K706" s="5">
        <v>79</v>
      </c>
    </row>
    <row r="707" spans="1:11" x14ac:dyDescent="0.25">
      <c r="A707" s="2">
        <v>46126.833333333343</v>
      </c>
      <c r="B707" t="str">
        <f t="shared" si="22"/>
        <v>2026-04</v>
      </c>
      <c r="C707" s="3">
        <f t="shared" si="23"/>
        <v>20</v>
      </c>
      <c r="D707" s="4">
        <v>21.398386918541661</v>
      </c>
      <c r="E707" s="4">
        <v>23.058852024316661</v>
      </c>
      <c r="F707" s="4">
        <v>23.515392375800001</v>
      </c>
      <c r="G707" s="4">
        <v>6.3</v>
      </c>
      <c r="H707" s="5">
        <v>50.20713063951667</v>
      </c>
      <c r="I707" s="5">
        <v>45.174635641188878</v>
      </c>
      <c r="J707" s="5">
        <v>43.063531646474992</v>
      </c>
      <c r="K707" s="5">
        <v>82</v>
      </c>
    </row>
    <row r="708" spans="1:11" x14ac:dyDescent="0.25">
      <c r="A708" s="2">
        <v>46126.875</v>
      </c>
      <c r="B708" t="str">
        <f t="shared" si="22"/>
        <v>2026-04</v>
      </c>
      <c r="C708" s="3">
        <f t="shared" si="23"/>
        <v>21</v>
      </c>
      <c r="D708" s="4">
        <v>21.254801840713888</v>
      </c>
      <c r="E708" s="4">
        <v>22.912914653966659</v>
      </c>
      <c r="F708" s="4">
        <v>23.512340494013891</v>
      </c>
      <c r="G708" s="4">
        <v>6.4</v>
      </c>
      <c r="H708" s="5">
        <v>48.062728523080558</v>
      </c>
      <c r="I708" s="5">
        <v>42.815163278438888</v>
      </c>
      <c r="J708" s="5">
        <v>42.669416806091668</v>
      </c>
      <c r="K708" s="5">
        <v>85</v>
      </c>
    </row>
    <row r="709" spans="1:11" x14ac:dyDescent="0.25">
      <c r="A709" s="2">
        <v>46126.916666666657</v>
      </c>
      <c r="B709" t="str">
        <f t="shared" si="22"/>
        <v>2026-04</v>
      </c>
      <c r="C709" s="3">
        <f t="shared" si="23"/>
        <v>22</v>
      </c>
      <c r="D709" s="4">
        <v>21.31398059490278</v>
      </c>
      <c r="E709" s="4">
        <v>23.051333597252778</v>
      </c>
      <c r="F709" s="4">
        <v>23.487613986894441</v>
      </c>
      <c r="G709" s="4">
        <v>6.1</v>
      </c>
      <c r="H709" s="5">
        <v>47.32495251731666</v>
      </c>
      <c r="I709" s="5">
        <v>44.02074904728611</v>
      </c>
      <c r="J709" s="5">
        <v>42.843794001527783</v>
      </c>
      <c r="K709" s="5">
        <v>86</v>
      </c>
    </row>
    <row r="710" spans="1:11" x14ac:dyDescent="0.25">
      <c r="A710" s="2">
        <v>46126.958333333343</v>
      </c>
      <c r="B710" t="str">
        <f t="shared" si="22"/>
        <v>2026-04</v>
      </c>
      <c r="C710" s="3">
        <f t="shared" si="23"/>
        <v>23</v>
      </c>
      <c r="D710" s="4">
        <v>21.439012653586111</v>
      </c>
      <c r="E710" s="4">
        <v>22.997222534966671</v>
      </c>
      <c r="F710" s="4">
        <v>23.464100962974999</v>
      </c>
      <c r="G710" s="4">
        <v>5.9</v>
      </c>
      <c r="H710" s="5">
        <v>47.437730787061113</v>
      </c>
      <c r="I710" s="5">
        <v>43.395553855508332</v>
      </c>
      <c r="J710" s="5">
        <v>43.053117360880563</v>
      </c>
      <c r="K710" s="5">
        <v>89</v>
      </c>
    </row>
    <row r="711" spans="1:11" x14ac:dyDescent="0.25">
      <c r="A711" s="2">
        <v>46127</v>
      </c>
      <c r="B711" t="str">
        <f t="shared" si="22"/>
        <v>2026-04</v>
      </c>
      <c r="C711" s="3">
        <f t="shared" si="23"/>
        <v>0</v>
      </c>
      <c r="D711" s="4">
        <v>21.626539055649999</v>
      </c>
      <c r="E711" s="4">
        <v>23.073973015944439</v>
      </c>
      <c r="F711" s="4">
        <v>23.43961747460834</v>
      </c>
      <c r="G711" s="4">
        <v>5.6</v>
      </c>
      <c r="H711" s="5">
        <v>46.878462833458343</v>
      </c>
      <c r="I711" s="5">
        <v>43.388190034127767</v>
      </c>
      <c r="J711" s="5">
        <v>42.91142442818056</v>
      </c>
      <c r="K711" s="5">
        <v>91</v>
      </c>
    </row>
    <row r="712" spans="1:11" x14ac:dyDescent="0.25">
      <c r="A712" s="2">
        <v>46127.041666666657</v>
      </c>
      <c r="B712" t="str">
        <f t="shared" si="22"/>
        <v>2026-04</v>
      </c>
      <c r="C712" s="3">
        <f t="shared" si="23"/>
        <v>1</v>
      </c>
      <c r="D712" s="4">
        <v>21.80946507406945</v>
      </c>
      <c r="E712" s="4">
        <v>23.301891326766661</v>
      </c>
      <c r="F712" s="4">
        <v>23.419784368022221</v>
      </c>
      <c r="G712" s="4">
        <v>5.5</v>
      </c>
      <c r="H712" s="5">
        <v>46.410558805080548</v>
      </c>
      <c r="I712" s="5">
        <v>42.615624390955553</v>
      </c>
      <c r="J712" s="5">
        <v>42.786665877972219</v>
      </c>
      <c r="K712" s="5">
        <v>91</v>
      </c>
    </row>
    <row r="713" spans="1:11" x14ac:dyDescent="0.25">
      <c r="A713" s="2">
        <v>46127.083333333343</v>
      </c>
      <c r="B713" t="str">
        <f t="shared" si="22"/>
        <v>2026-04</v>
      </c>
      <c r="C713" s="3">
        <f t="shared" si="23"/>
        <v>2</v>
      </c>
      <c r="D713" s="4">
        <v>21.778953256491661</v>
      </c>
      <c r="E713" s="4">
        <v>23.318048185730561</v>
      </c>
      <c r="F713" s="4">
        <v>23.402656097552779</v>
      </c>
      <c r="G713" s="4">
        <v>5.4</v>
      </c>
      <c r="H713" s="5">
        <v>46.34411222713333</v>
      </c>
      <c r="I713" s="5">
        <v>42.693560459469438</v>
      </c>
      <c r="J713" s="5">
        <v>42.663091615191668</v>
      </c>
      <c r="K713" s="5">
        <v>92</v>
      </c>
    </row>
    <row r="714" spans="1:11" x14ac:dyDescent="0.25">
      <c r="A714" s="2">
        <v>46127.125</v>
      </c>
      <c r="B714" t="str">
        <f t="shared" si="22"/>
        <v>2026-04</v>
      </c>
      <c r="C714" s="3">
        <f t="shared" si="23"/>
        <v>3</v>
      </c>
      <c r="D714" s="4">
        <v>21.27950624968333</v>
      </c>
      <c r="E714" s="4">
        <v>22.718245520544439</v>
      </c>
      <c r="F714" s="4">
        <v>23.372613013247221</v>
      </c>
      <c r="G714" s="4">
        <v>5.4</v>
      </c>
      <c r="H714" s="5">
        <v>47.984839977902773</v>
      </c>
      <c r="I714" s="5">
        <v>43.217219742272221</v>
      </c>
      <c r="J714" s="5">
        <v>42.603583255022222</v>
      </c>
      <c r="K714" s="5">
        <v>93</v>
      </c>
    </row>
    <row r="715" spans="1:11" x14ac:dyDescent="0.25">
      <c r="A715" s="2">
        <v>46127.166666666657</v>
      </c>
      <c r="B715" t="str">
        <f t="shared" si="22"/>
        <v>2026-04</v>
      </c>
      <c r="C715" s="3">
        <f t="shared" si="23"/>
        <v>4</v>
      </c>
      <c r="D715" s="4">
        <v>20.866649425719441</v>
      </c>
      <c r="E715" s="4">
        <v>22.46693483276389</v>
      </c>
      <c r="F715" s="4">
        <v>23.342018939525001</v>
      </c>
      <c r="G715" s="4">
        <v>5.5</v>
      </c>
      <c r="H715" s="5">
        <v>49.058302170733327</v>
      </c>
      <c r="I715" s="5">
        <v>43.450182569266673</v>
      </c>
      <c r="J715" s="5">
        <v>42.590957896297219</v>
      </c>
      <c r="K715" s="5">
        <v>93</v>
      </c>
    </row>
    <row r="716" spans="1:11" x14ac:dyDescent="0.25">
      <c r="A716" s="2">
        <v>46127.208333333343</v>
      </c>
      <c r="B716" t="str">
        <f t="shared" si="22"/>
        <v>2026-04</v>
      </c>
      <c r="C716" s="3">
        <f t="shared" si="23"/>
        <v>5</v>
      </c>
      <c r="D716" s="4">
        <v>20.628354840233332</v>
      </c>
      <c r="E716" s="4">
        <v>22.225565979852771</v>
      </c>
      <c r="F716" s="4">
        <v>23.30456423049166</v>
      </c>
      <c r="G716" s="4">
        <v>5.6</v>
      </c>
      <c r="H716" s="5">
        <v>48.988054885666664</v>
      </c>
      <c r="I716" s="5">
        <v>43.417155905813893</v>
      </c>
      <c r="J716" s="5">
        <v>42.591558363597223</v>
      </c>
      <c r="K716" s="5">
        <v>94</v>
      </c>
    </row>
    <row r="717" spans="1:11" x14ac:dyDescent="0.25">
      <c r="A717" s="2">
        <v>46127.25</v>
      </c>
      <c r="B717" t="str">
        <f t="shared" si="22"/>
        <v>2026-04</v>
      </c>
      <c r="C717" s="3">
        <f t="shared" si="23"/>
        <v>6</v>
      </c>
      <c r="D717" s="4">
        <v>20.484130261127781</v>
      </c>
      <c r="E717" s="4">
        <v>22.074767399402781</v>
      </c>
      <c r="F717" s="4">
        <v>23.25217810749167</v>
      </c>
      <c r="G717" s="4">
        <v>5.7</v>
      </c>
      <c r="H717" s="5">
        <v>48.968855378069442</v>
      </c>
      <c r="I717" s="5">
        <v>43.175342235138878</v>
      </c>
      <c r="J717" s="5">
        <v>42.610121826377778</v>
      </c>
      <c r="K717" s="5">
        <v>94</v>
      </c>
    </row>
    <row r="718" spans="1:11" x14ac:dyDescent="0.25">
      <c r="A718" s="2">
        <v>46127.291666666657</v>
      </c>
      <c r="B718" t="str">
        <f t="shared" si="22"/>
        <v>2026-04</v>
      </c>
      <c r="C718" s="3">
        <f t="shared" si="23"/>
        <v>7</v>
      </c>
      <c r="D718" s="4">
        <v>20.425762940066669</v>
      </c>
      <c r="E718" s="4">
        <v>21.997331175777781</v>
      </c>
      <c r="F718" s="4">
        <v>23.218117594091659</v>
      </c>
      <c r="G718" s="4">
        <v>5.9</v>
      </c>
      <c r="H718" s="5">
        <v>48.961070840363902</v>
      </c>
      <c r="I718" s="5">
        <v>43.036335872499997</v>
      </c>
      <c r="J718" s="5">
        <v>42.585062433705552</v>
      </c>
      <c r="K718" s="5">
        <v>94</v>
      </c>
    </row>
    <row r="719" spans="1:11" x14ac:dyDescent="0.25">
      <c r="A719" s="2">
        <v>46127.333333333343</v>
      </c>
      <c r="B719" t="str">
        <f t="shared" si="22"/>
        <v>2026-04</v>
      </c>
      <c r="C719" s="3">
        <f t="shared" si="23"/>
        <v>8</v>
      </c>
      <c r="D719" s="4">
        <v>20.424172866544449</v>
      </c>
      <c r="E719" s="4">
        <v>21.868594206633329</v>
      </c>
      <c r="F719" s="4">
        <v>23.21622246291389</v>
      </c>
      <c r="G719" s="4">
        <v>6.6</v>
      </c>
      <c r="H719" s="5">
        <v>48.726526487211117</v>
      </c>
      <c r="I719" s="5">
        <v>43.02939119528056</v>
      </c>
      <c r="J719" s="5">
        <v>42.652273331269448</v>
      </c>
      <c r="K719" s="5">
        <v>90</v>
      </c>
    </row>
    <row r="720" spans="1:11" x14ac:dyDescent="0.25">
      <c r="A720" s="2">
        <v>46127.375</v>
      </c>
      <c r="B720" t="str">
        <f t="shared" si="22"/>
        <v>2026-04</v>
      </c>
      <c r="C720" s="3">
        <f t="shared" si="23"/>
        <v>9</v>
      </c>
      <c r="D720" s="4">
        <v>20.532409278308329</v>
      </c>
      <c r="E720" s="4">
        <v>21.862679354258329</v>
      </c>
      <c r="F720" s="4">
        <v>23.20532244813333</v>
      </c>
      <c r="G720" s="4">
        <v>7</v>
      </c>
      <c r="H720" s="5">
        <v>48.311152765280553</v>
      </c>
      <c r="I720" s="5">
        <v>42.928065702644439</v>
      </c>
      <c r="J720" s="5">
        <v>42.770367856133333</v>
      </c>
      <c r="K720" s="5">
        <v>91</v>
      </c>
    </row>
    <row r="721" spans="1:11" x14ac:dyDescent="0.25">
      <c r="A721" s="2">
        <v>46127.416666666657</v>
      </c>
      <c r="B721" t="str">
        <f t="shared" si="22"/>
        <v>2026-04</v>
      </c>
      <c r="C721" s="3">
        <f t="shared" si="23"/>
        <v>10</v>
      </c>
      <c r="D721" s="4">
        <v>20.715875627749998</v>
      </c>
      <c r="E721" s="4">
        <v>21.82513553069445</v>
      </c>
      <c r="F721" s="4">
        <v>23.19839470216111</v>
      </c>
      <c r="G721" s="4">
        <v>8</v>
      </c>
      <c r="H721" s="5">
        <v>47.927254712325002</v>
      </c>
      <c r="I721" s="5">
        <v>43.035064874702783</v>
      </c>
      <c r="J721" s="5">
        <v>42.858753846769453</v>
      </c>
      <c r="K721" s="5">
        <v>84</v>
      </c>
    </row>
    <row r="722" spans="1:11" x14ac:dyDescent="0.25">
      <c r="A722" s="2">
        <v>46127.458333333343</v>
      </c>
      <c r="B722" t="str">
        <f t="shared" si="22"/>
        <v>2026-04</v>
      </c>
      <c r="C722" s="3">
        <f t="shared" si="23"/>
        <v>11</v>
      </c>
      <c r="D722" s="4">
        <v>21.111037767075</v>
      </c>
      <c r="E722" s="4">
        <v>22.126222135908339</v>
      </c>
      <c r="F722" s="4">
        <v>23.186148385161111</v>
      </c>
      <c r="G722" s="4">
        <v>9.3000000000000007</v>
      </c>
      <c r="H722" s="5">
        <v>47.06861715243334</v>
      </c>
      <c r="I722" s="5">
        <v>43.674991614066663</v>
      </c>
      <c r="J722" s="5">
        <v>42.893029356891667</v>
      </c>
      <c r="K722" s="5">
        <v>76</v>
      </c>
    </row>
    <row r="723" spans="1:11" x14ac:dyDescent="0.25">
      <c r="A723" s="2">
        <v>46127.5</v>
      </c>
      <c r="B723" t="str">
        <f t="shared" si="22"/>
        <v>2026-04</v>
      </c>
      <c r="C723" s="3">
        <f t="shared" si="23"/>
        <v>12</v>
      </c>
      <c r="D723" s="4">
        <v>21.153261075986109</v>
      </c>
      <c r="E723" s="4">
        <v>22.431533023344439</v>
      </c>
      <c r="F723" s="4">
        <v>23.18892726346667</v>
      </c>
      <c r="G723" s="4">
        <v>10.8</v>
      </c>
      <c r="H723" s="5">
        <v>49.026180944202771</v>
      </c>
      <c r="I723" s="5">
        <v>45.145912518866673</v>
      </c>
      <c r="J723" s="5">
        <v>42.870789456955549</v>
      </c>
      <c r="K723" s="5">
        <v>68</v>
      </c>
    </row>
    <row r="724" spans="1:11" x14ac:dyDescent="0.25">
      <c r="A724" s="2">
        <v>46127.541666666657</v>
      </c>
      <c r="B724" t="str">
        <f t="shared" si="22"/>
        <v>2026-04</v>
      </c>
      <c r="C724" s="3">
        <f t="shared" si="23"/>
        <v>13</v>
      </c>
      <c r="D724" s="4">
        <v>21.199212146080558</v>
      </c>
      <c r="E724" s="4">
        <v>22.403145969394441</v>
      </c>
      <c r="F724" s="4">
        <v>23.177967268677779</v>
      </c>
      <c r="G724" s="4">
        <v>11.3</v>
      </c>
      <c r="H724" s="5">
        <v>49.840856949519441</v>
      </c>
      <c r="I724" s="5">
        <v>45.225921224422223</v>
      </c>
      <c r="J724" s="5">
        <v>42.842634197211112</v>
      </c>
      <c r="K724" s="5">
        <v>65</v>
      </c>
    </row>
    <row r="725" spans="1:11" x14ac:dyDescent="0.25">
      <c r="A725" s="2">
        <v>46127.583333333343</v>
      </c>
      <c r="B725" t="str">
        <f t="shared" si="22"/>
        <v>2026-04</v>
      </c>
      <c r="C725" s="3">
        <f t="shared" si="23"/>
        <v>14</v>
      </c>
      <c r="D725" s="4">
        <v>21.236322671130559</v>
      </c>
      <c r="E725" s="4">
        <v>22.44738558458333</v>
      </c>
      <c r="F725" s="4">
        <v>23.172932896602781</v>
      </c>
      <c r="G725" s="4">
        <v>11.6</v>
      </c>
      <c r="H725" s="5">
        <v>49.991323342622223</v>
      </c>
      <c r="I725" s="5">
        <v>45.939458627427783</v>
      </c>
      <c r="J725" s="5">
        <v>42.813655939830561</v>
      </c>
      <c r="K725" s="5">
        <v>63</v>
      </c>
    </row>
    <row r="726" spans="1:11" x14ac:dyDescent="0.25">
      <c r="A726" s="2">
        <v>46127.625</v>
      </c>
      <c r="B726" t="str">
        <f t="shared" si="22"/>
        <v>2026-04</v>
      </c>
      <c r="C726" s="3">
        <f t="shared" si="23"/>
        <v>15</v>
      </c>
      <c r="D726" s="4">
        <v>21.29805331313333</v>
      </c>
      <c r="E726" s="4">
        <v>22.777223701008332</v>
      </c>
      <c r="F726" s="4">
        <v>23.143505960019439</v>
      </c>
      <c r="G726" s="4">
        <v>11.4</v>
      </c>
      <c r="H726" s="5">
        <v>51.59000325435278</v>
      </c>
      <c r="I726" s="5">
        <v>45.677360305325003</v>
      </c>
      <c r="J726" s="5">
        <v>42.739355985452782</v>
      </c>
      <c r="K726" s="5">
        <v>65</v>
      </c>
    </row>
    <row r="727" spans="1:11" x14ac:dyDescent="0.25">
      <c r="A727" s="2">
        <v>46127.666666666657</v>
      </c>
      <c r="B727" t="str">
        <f t="shared" si="22"/>
        <v>2026-04</v>
      </c>
      <c r="C727" s="3">
        <f t="shared" si="23"/>
        <v>16</v>
      </c>
      <c r="D727" s="4">
        <v>21.263541104952779</v>
      </c>
      <c r="E727" s="4">
        <v>23.177780122519451</v>
      </c>
      <c r="F727" s="4">
        <v>23.150827637358329</v>
      </c>
      <c r="G727" s="4">
        <v>11.6</v>
      </c>
      <c r="H727" s="5">
        <v>51.881197424027782</v>
      </c>
      <c r="I727" s="5">
        <v>45.072905715769437</v>
      </c>
      <c r="J727" s="5">
        <v>42.64214059870833</v>
      </c>
      <c r="K727" s="5">
        <v>64</v>
      </c>
    </row>
    <row r="728" spans="1:11" x14ac:dyDescent="0.25">
      <c r="A728" s="2">
        <v>46127.708333333343</v>
      </c>
      <c r="B728" t="str">
        <f t="shared" si="22"/>
        <v>2026-04</v>
      </c>
      <c r="C728" s="3">
        <f t="shared" si="23"/>
        <v>17</v>
      </c>
      <c r="D728" s="4">
        <v>21.207409135399999</v>
      </c>
      <c r="E728" s="4">
        <v>23.119008424161109</v>
      </c>
      <c r="F728" s="4">
        <v>23.158250507308331</v>
      </c>
      <c r="G728" s="4">
        <v>11.4</v>
      </c>
      <c r="H728" s="5">
        <v>51.36491940681389</v>
      </c>
      <c r="I728" s="5">
        <v>45.50699618885556</v>
      </c>
      <c r="J728" s="5">
        <v>42.47973976763889</v>
      </c>
      <c r="K728" s="5">
        <v>64</v>
      </c>
    </row>
    <row r="729" spans="1:11" x14ac:dyDescent="0.25">
      <c r="A729" s="2">
        <v>46127.75</v>
      </c>
      <c r="B729" t="str">
        <f t="shared" si="22"/>
        <v>2026-04</v>
      </c>
      <c r="C729" s="3">
        <f t="shared" si="23"/>
        <v>18</v>
      </c>
      <c r="D729" s="4">
        <v>20.954097871827781</v>
      </c>
      <c r="E729" s="4">
        <v>22.62553301299722</v>
      </c>
      <c r="F729" s="4">
        <v>23.162145409388891</v>
      </c>
      <c r="G729" s="4">
        <v>11.4</v>
      </c>
      <c r="H729" s="5">
        <v>48.899535003330563</v>
      </c>
      <c r="I729" s="5">
        <v>45.605011408311107</v>
      </c>
      <c r="J729" s="5">
        <v>42.756812586227767</v>
      </c>
      <c r="K729" s="5">
        <v>66</v>
      </c>
    </row>
    <row r="730" spans="1:11" x14ac:dyDescent="0.25">
      <c r="A730" s="2">
        <v>46127.791666666657</v>
      </c>
      <c r="B730" t="str">
        <f t="shared" si="22"/>
        <v>2026-04</v>
      </c>
      <c r="C730" s="3">
        <f t="shared" si="23"/>
        <v>19</v>
      </c>
      <c r="D730" s="4">
        <v>19.880362847099999</v>
      </c>
      <c r="E730" s="4">
        <v>22.09314270957778</v>
      </c>
      <c r="F730" s="4">
        <v>23.163778289191669</v>
      </c>
      <c r="G730" s="4">
        <v>10.7</v>
      </c>
      <c r="H730" s="5">
        <v>44.173931384069448</v>
      </c>
      <c r="I730" s="5">
        <v>40.850880571911112</v>
      </c>
      <c r="J730" s="5">
        <v>44.279142795730557</v>
      </c>
      <c r="K730" s="5">
        <v>74</v>
      </c>
    </row>
    <row r="731" spans="1:11" x14ac:dyDescent="0.25">
      <c r="A731" s="2">
        <v>46127.833333333343</v>
      </c>
      <c r="B731" t="str">
        <f t="shared" si="22"/>
        <v>2026-04</v>
      </c>
      <c r="C731" s="3">
        <f t="shared" si="23"/>
        <v>20</v>
      </c>
      <c r="D731" s="4">
        <v>20.538337819461109</v>
      </c>
      <c r="E731" s="4">
        <v>22.12396444269444</v>
      </c>
      <c r="F731" s="4">
        <v>23.130729734761111</v>
      </c>
      <c r="G731" s="4">
        <v>8.1999999999999993</v>
      </c>
      <c r="H731" s="5">
        <v>43.337680742088892</v>
      </c>
      <c r="I731" s="5">
        <v>40.569089662186109</v>
      </c>
      <c r="J731" s="5">
        <v>45.505647880038893</v>
      </c>
      <c r="K731" s="5">
        <v>81</v>
      </c>
    </row>
    <row r="732" spans="1:11" x14ac:dyDescent="0.25">
      <c r="A732" s="2">
        <v>46127.875</v>
      </c>
      <c r="B732" t="str">
        <f t="shared" si="22"/>
        <v>2026-04</v>
      </c>
      <c r="C732" s="3">
        <f t="shared" si="23"/>
        <v>21</v>
      </c>
      <c r="D732" s="4">
        <v>20.973320440369449</v>
      </c>
      <c r="E732" s="4">
        <v>22.660927414869441</v>
      </c>
      <c r="F732" s="4">
        <v>23.060286878013891</v>
      </c>
      <c r="G732" s="4">
        <v>7.9</v>
      </c>
      <c r="H732" s="5">
        <v>45.962660987972221</v>
      </c>
      <c r="I732" s="5">
        <v>42.767340479591667</v>
      </c>
      <c r="J732" s="5">
        <v>48.312173316319438</v>
      </c>
      <c r="K732" s="5">
        <v>83</v>
      </c>
    </row>
    <row r="733" spans="1:11" x14ac:dyDescent="0.25">
      <c r="A733" s="2">
        <v>46127.916666666657</v>
      </c>
      <c r="B733" t="str">
        <f t="shared" si="22"/>
        <v>2026-04</v>
      </c>
      <c r="C733" s="3">
        <f t="shared" si="23"/>
        <v>22</v>
      </c>
      <c r="D733" s="4">
        <v>21.103070333424998</v>
      </c>
      <c r="E733" s="4">
        <v>23.11656860346945</v>
      </c>
      <c r="F733" s="4">
        <v>23.057376093675</v>
      </c>
      <c r="G733" s="4">
        <v>7.4</v>
      </c>
      <c r="H733" s="5">
        <v>50.560168396675003</v>
      </c>
      <c r="I733" s="5">
        <v>46.327520299783338</v>
      </c>
      <c r="J733" s="5">
        <v>44.932579467727777</v>
      </c>
      <c r="K733" s="5">
        <v>84</v>
      </c>
    </row>
    <row r="734" spans="1:11" x14ac:dyDescent="0.25">
      <c r="A734" s="2">
        <v>46127.958333333343</v>
      </c>
      <c r="B734" t="str">
        <f t="shared" si="22"/>
        <v>2026-04</v>
      </c>
      <c r="C734" s="3">
        <f t="shared" si="23"/>
        <v>23</v>
      </c>
      <c r="D734" s="4">
        <v>21.39884876491389</v>
      </c>
      <c r="E734" s="4">
        <v>23.60097395471389</v>
      </c>
      <c r="F734" s="4">
        <v>23.071756519255551</v>
      </c>
      <c r="G734" s="4">
        <v>6.7</v>
      </c>
      <c r="H734" s="5">
        <v>54.78331093966667</v>
      </c>
      <c r="I734" s="5">
        <v>51.260854651905547</v>
      </c>
      <c r="J734" s="5">
        <v>43.886510313647221</v>
      </c>
      <c r="K734" s="5">
        <v>85</v>
      </c>
    </row>
    <row r="735" spans="1:11" x14ac:dyDescent="0.25">
      <c r="A735" s="2">
        <v>46128</v>
      </c>
      <c r="B735" t="str">
        <f t="shared" si="22"/>
        <v>2026-04</v>
      </c>
      <c r="C735" s="3">
        <f t="shared" si="23"/>
        <v>0</v>
      </c>
      <c r="D735" s="4">
        <v>21.512497279630551</v>
      </c>
      <c r="E735" s="4">
        <v>23.58799617849445</v>
      </c>
      <c r="F735" s="4">
        <v>23.08586121085278</v>
      </c>
      <c r="G735" s="4">
        <v>6.2</v>
      </c>
      <c r="H735" s="5">
        <v>53.071455792819442</v>
      </c>
      <c r="I735" s="5">
        <v>48.896673465077782</v>
      </c>
      <c r="J735" s="5">
        <v>43.610022766633342</v>
      </c>
      <c r="K735" s="5">
        <v>86</v>
      </c>
    </row>
    <row r="736" spans="1:11" x14ac:dyDescent="0.25">
      <c r="A736" s="2">
        <v>46128.041666666657</v>
      </c>
      <c r="B736" t="str">
        <f t="shared" si="22"/>
        <v>2026-04</v>
      </c>
      <c r="C736" s="3">
        <f t="shared" si="23"/>
        <v>1</v>
      </c>
      <c r="D736" s="4">
        <v>21.499451415297219</v>
      </c>
      <c r="E736" s="4">
        <v>23.30614431124167</v>
      </c>
      <c r="F736" s="4">
        <v>23.085499951686121</v>
      </c>
      <c r="G736" s="4">
        <v>5.6</v>
      </c>
      <c r="H736" s="5">
        <v>51.001768114013878</v>
      </c>
      <c r="I736" s="5">
        <v>47.314244506366663</v>
      </c>
      <c r="J736" s="5">
        <v>43.384717677783328</v>
      </c>
      <c r="K736" s="5">
        <v>88</v>
      </c>
    </row>
    <row r="737" spans="1:11" x14ac:dyDescent="0.25">
      <c r="A737" s="2">
        <v>46128.083333333343</v>
      </c>
      <c r="B737" t="str">
        <f t="shared" si="22"/>
        <v>2026-04</v>
      </c>
      <c r="C737" s="3">
        <f t="shared" si="23"/>
        <v>2</v>
      </c>
      <c r="D737" s="4">
        <v>20.858899773258329</v>
      </c>
      <c r="E737" s="4">
        <v>22.833219419683331</v>
      </c>
      <c r="F737" s="4">
        <v>23.06199337719444</v>
      </c>
      <c r="G737" s="4">
        <v>5</v>
      </c>
      <c r="H737" s="5">
        <v>51.715398266294443</v>
      </c>
      <c r="I737" s="5">
        <v>45.520051042086124</v>
      </c>
      <c r="J737" s="5">
        <v>43.233273674705551</v>
      </c>
      <c r="K737" s="5">
        <v>89</v>
      </c>
    </row>
    <row r="738" spans="1:11" x14ac:dyDescent="0.25">
      <c r="A738" s="2">
        <v>46128.125</v>
      </c>
      <c r="B738" t="str">
        <f t="shared" si="22"/>
        <v>2026-04</v>
      </c>
      <c r="C738" s="3">
        <f t="shared" si="23"/>
        <v>3</v>
      </c>
      <c r="D738" s="4">
        <v>20.450226476686112</v>
      </c>
      <c r="E738" s="4">
        <v>22.368680182241661</v>
      </c>
      <c r="F738" s="4">
        <v>23.019442842613891</v>
      </c>
      <c r="G738" s="4">
        <v>4.7</v>
      </c>
      <c r="H738" s="5">
        <v>51.659631278561108</v>
      </c>
      <c r="I738" s="5">
        <v>44.816558629172221</v>
      </c>
      <c r="J738" s="5">
        <v>43.109796350591672</v>
      </c>
      <c r="K738" s="5">
        <v>89</v>
      </c>
    </row>
    <row r="739" spans="1:11" x14ac:dyDescent="0.25">
      <c r="A739" s="2">
        <v>46128.166666666657</v>
      </c>
      <c r="B739" t="str">
        <f t="shared" si="22"/>
        <v>2026-04</v>
      </c>
      <c r="C739" s="3">
        <f t="shared" si="23"/>
        <v>4</v>
      </c>
      <c r="D739" s="4">
        <v>20.219471304075</v>
      </c>
      <c r="E739" s="4">
        <v>22.111445309274998</v>
      </c>
      <c r="F739" s="4">
        <v>22.980936181644442</v>
      </c>
      <c r="G739" s="4">
        <v>4.3</v>
      </c>
      <c r="H739" s="5">
        <v>51.429783924147223</v>
      </c>
      <c r="I739" s="5">
        <v>44.516309256513892</v>
      </c>
      <c r="J739" s="5">
        <v>43.02438195314167</v>
      </c>
      <c r="K739" s="5">
        <v>89</v>
      </c>
    </row>
    <row r="740" spans="1:11" x14ac:dyDescent="0.25">
      <c r="A740" s="2">
        <v>46128.208333333343</v>
      </c>
      <c r="B740" t="str">
        <f t="shared" si="22"/>
        <v>2026-04</v>
      </c>
      <c r="C740" s="3">
        <f t="shared" si="23"/>
        <v>5</v>
      </c>
      <c r="D740" s="4">
        <v>20.091442028716671</v>
      </c>
      <c r="E740" s="4">
        <v>21.962968926883331</v>
      </c>
      <c r="F740" s="4">
        <v>22.958794193774999</v>
      </c>
      <c r="G740" s="4">
        <v>3.6</v>
      </c>
      <c r="H740" s="5">
        <v>51.042221178286113</v>
      </c>
      <c r="I740" s="5">
        <v>44.322097953941672</v>
      </c>
      <c r="J740" s="5">
        <v>42.962275700063891</v>
      </c>
      <c r="K740" s="5">
        <v>90</v>
      </c>
    </row>
    <row r="741" spans="1:11" x14ac:dyDescent="0.25">
      <c r="A741" s="2">
        <v>46128.25</v>
      </c>
      <c r="B741" t="str">
        <f t="shared" si="22"/>
        <v>2026-04</v>
      </c>
      <c r="C741" s="3">
        <f t="shared" si="23"/>
        <v>6</v>
      </c>
      <c r="D741" s="4">
        <v>20.572996043152781</v>
      </c>
      <c r="E741" s="4">
        <v>22.04417903496666</v>
      </c>
      <c r="F741" s="4">
        <v>22.949756740922229</v>
      </c>
      <c r="G741" s="4">
        <v>3.2</v>
      </c>
      <c r="H741" s="5">
        <v>49.032485733994442</v>
      </c>
      <c r="I741" s="5">
        <v>44.449651439652783</v>
      </c>
      <c r="J741" s="5">
        <v>42.923138553108338</v>
      </c>
      <c r="K741" s="5">
        <v>90</v>
      </c>
    </row>
    <row r="742" spans="1:11" x14ac:dyDescent="0.25">
      <c r="A742" s="2">
        <v>46128.291666666657</v>
      </c>
      <c r="B742" t="str">
        <f t="shared" si="22"/>
        <v>2026-04</v>
      </c>
      <c r="C742" s="3">
        <f t="shared" si="23"/>
        <v>7</v>
      </c>
      <c r="D742" s="4">
        <v>21.330382432</v>
      </c>
      <c r="E742" s="4">
        <v>22.559094055638891</v>
      </c>
      <c r="F742" s="4">
        <v>22.926793420372221</v>
      </c>
      <c r="G742" s="4">
        <v>4.8</v>
      </c>
      <c r="H742" s="5">
        <v>46.363269885208332</v>
      </c>
      <c r="I742" s="5">
        <v>43.848862569297218</v>
      </c>
      <c r="J742" s="5">
        <v>42.883864941163893</v>
      </c>
      <c r="K742" s="5">
        <v>87</v>
      </c>
    </row>
    <row r="743" spans="1:11" x14ac:dyDescent="0.25">
      <c r="A743" s="2">
        <v>46128.333333333343</v>
      </c>
      <c r="B743" t="str">
        <f t="shared" si="22"/>
        <v>2026-04</v>
      </c>
      <c r="C743" s="3">
        <f t="shared" si="23"/>
        <v>8</v>
      </c>
      <c r="D743" s="4">
        <v>21.931693605</v>
      </c>
      <c r="E743" s="4">
        <v>23.00905243921666</v>
      </c>
      <c r="F743" s="4">
        <v>22.940522653361121</v>
      </c>
      <c r="G743" s="4">
        <v>7.2</v>
      </c>
      <c r="H743" s="5">
        <v>46.09264874099722</v>
      </c>
      <c r="I743" s="5">
        <v>43.79159645635</v>
      </c>
      <c r="J743" s="5">
        <v>42.860380486300002</v>
      </c>
      <c r="K743" s="5">
        <v>84</v>
      </c>
    </row>
    <row r="744" spans="1:11" x14ac:dyDescent="0.25">
      <c r="A744" s="2">
        <v>46128.375</v>
      </c>
      <c r="B744" t="str">
        <f t="shared" si="22"/>
        <v>2026-04</v>
      </c>
      <c r="C744" s="3">
        <f t="shared" si="23"/>
        <v>9</v>
      </c>
      <c r="D744" s="4">
        <v>22.403352172761121</v>
      </c>
      <c r="E744" s="4">
        <v>23.441512305233331</v>
      </c>
      <c r="F744" s="4">
        <v>22.958467325241671</v>
      </c>
      <c r="G744" s="4">
        <v>9.8000000000000007</v>
      </c>
      <c r="H744" s="5">
        <v>46.508452930024987</v>
      </c>
      <c r="I744" s="5">
        <v>44.093875622619443</v>
      </c>
      <c r="J744" s="5">
        <v>43.078642419044449</v>
      </c>
      <c r="K744" s="5">
        <v>76</v>
      </c>
    </row>
    <row r="745" spans="1:11" x14ac:dyDescent="0.25">
      <c r="A745" s="2">
        <v>46128.416666666657</v>
      </c>
      <c r="B745" t="str">
        <f t="shared" si="22"/>
        <v>2026-04</v>
      </c>
      <c r="C745" s="3">
        <f t="shared" si="23"/>
        <v>10</v>
      </c>
      <c r="D745" s="4">
        <v>22.592225123011119</v>
      </c>
      <c r="E745" s="4">
        <v>23.784568871869439</v>
      </c>
      <c r="F745" s="4">
        <v>22.983367490174999</v>
      </c>
      <c r="G745" s="4">
        <v>12.8</v>
      </c>
      <c r="H745" s="5">
        <v>47.489463034905562</v>
      </c>
      <c r="I745" s="5">
        <v>44.37779724746111</v>
      </c>
      <c r="J745" s="5">
        <v>43.617880401522221</v>
      </c>
      <c r="K745" s="5">
        <v>63</v>
      </c>
    </row>
    <row r="746" spans="1:11" x14ac:dyDescent="0.25">
      <c r="A746" s="2">
        <v>46128.458333333343</v>
      </c>
      <c r="B746" t="str">
        <f t="shared" si="22"/>
        <v>2026-04</v>
      </c>
      <c r="C746" s="3">
        <f t="shared" si="23"/>
        <v>11</v>
      </c>
      <c r="D746" s="4">
        <v>22.632205086224999</v>
      </c>
      <c r="E746" s="4">
        <v>23.95305227355</v>
      </c>
      <c r="F746" s="4">
        <v>23.007856234333332</v>
      </c>
      <c r="G746" s="4">
        <v>14.9</v>
      </c>
      <c r="H746" s="5">
        <v>48.827668320649998</v>
      </c>
      <c r="I746" s="5">
        <v>46.576528670041661</v>
      </c>
      <c r="J746" s="5">
        <v>44.3438635125</v>
      </c>
      <c r="K746" s="5">
        <v>51</v>
      </c>
    </row>
    <row r="747" spans="1:11" x14ac:dyDescent="0.25">
      <c r="A747" s="2">
        <v>46128.5</v>
      </c>
      <c r="B747" t="str">
        <f t="shared" si="22"/>
        <v>2026-04</v>
      </c>
      <c r="C747" s="3">
        <f t="shared" si="23"/>
        <v>12</v>
      </c>
      <c r="D747" s="4">
        <v>22.615816299877778</v>
      </c>
      <c r="E747" s="4">
        <v>24.088416253594449</v>
      </c>
      <c r="F747" s="4">
        <v>23.0368801989</v>
      </c>
      <c r="G747" s="4">
        <v>16.399999999999999</v>
      </c>
      <c r="H747" s="5">
        <v>50.737374095927777</v>
      </c>
      <c r="I747" s="5">
        <v>46.19826196487778</v>
      </c>
      <c r="J747" s="5">
        <v>44.939895560025001</v>
      </c>
      <c r="K747" s="5">
        <v>45</v>
      </c>
    </row>
    <row r="748" spans="1:11" x14ac:dyDescent="0.25">
      <c r="A748" s="2">
        <v>46128.541666666657</v>
      </c>
      <c r="B748" t="str">
        <f t="shared" si="22"/>
        <v>2026-04</v>
      </c>
      <c r="C748" s="3">
        <f t="shared" si="23"/>
        <v>13</v>
      </c>
      <c r="D748" s="4">
        <v>22.397282887333329</v>
      </c>
      <c r="E748" s="4">
        <v>24.16818354840278</v>
      </c>
      <c r="F748" s="4">
        <v>23.07002390771666</v>
      </c>
      <c r="G748" s="4">
        <v>17.399999999999999</v>
      </c>
      <c r="H748" s="5">
        <v>52.066467462172227</v>
      </c>
      <c r="I748" s="5">
        <v>46.231120166827793</v>
      </c>
      <c r="J748" s="5">
        <v>45.028001706283327</v>
      </c>
      <c r="K748" s="5">
        <v>37</v>
      </c>
    </row>
    <row r="749" spans="1:11" x14ac:dyDescent="0.25">
      <c r="A749" s="2">
        <v>46128.583333333343</v>
      </c>
      <c r="B749" t="str">
        <f t="shared" si="22"/>
        <v>2026-04</v>
      </c>
      <c r="C749" s="3">
        <f t="shared" si="23"/>
        <v>14</v>
      </c>
      <c r="D749" s="4">
        <v>22.31852635005</v>
      </c>
      <c r="E749" s="4">
        <v>23.696385202824999</v>
      </c>
      <c r="F749" s="4">
        <v>23.076766218633331</v>
      </c>
      <c r="G749" s="4">
        <v>18</v>
      </c>
      <c r="H749" s="5">
        <v>48.89637953839722</v>
      </c>
      <c r="I749" s="5">
        <v>44.645548529774999</v>
      </c>
      <c r="J749" s="5">
        <v>44.194539293647232</v>
      </c>
      <c r="K749" s="5">
        <v>33</v>
      </c>
    </row>
    <row r="750" spans="1:11" x14ac:dyDescent="0.25">
      <c r="A750" s="2">
        <v>46128.625</v>
      </c>
      <c r="B750" t="str">
        <f t="shared" si="22"/>
        <v>2026-04</v>
      </c>
      <c r="C750" s="3">
        <f t="shared" si="23"/>
        <v>15</v>
      </c>
      <c r="D750" s="4">
        <v>22.27229877843612</v>
      </c>
      <c r="E750" s="4">
        <v>23.503655766102771</v>
      </c>
      <c r="F750" s="4">
        <v>23.083218195375</v>
      </c>
      <c r="G750" s="4">
        <v>18.2</v>
      </c>
      <c r="H750" s="5">
        <v>48.737387911652768</v>
      </c>
      <c r="I750" s="5">
        <v>45.071651301838891</v>
      </c>
      <c r="J750" s="5">
        <v>44.467538712788887</v>
      </c>
      <c r="K750" s="5">
        <v>29</v>
      </c>
    </row>
    <row r="751" spans="1:11" x14ac:dyDescent="0.25">
      <c r="A751" s="2">
        <v>46128.666666666657</v>
      </c>
      <c r="B751" t="str">
        <f t="shared" si="22"/>
        <v>2026-04</v>
      </c>
      <c r="C751" s="3">
        <f t="shared" si="23"/>
        <v>16</v>
      </c>
      <c r="D751" s="4">
        <v>22.122758641800001</v>
      </c>
      <c r="E751" s="4">
        <v>23.454874565583332</v>
      </c>
      <c r="F751" s="4">
        <v>23.0878370611</v>
      </c>
      <c r="G751" s="4">
        <v>17.2</v>
      </c>
      <c r="H751" s="5">
        <v>49.291111830863883</v>
      </c>
      <c r="I751" s="5">
        <v>45.974657220388877</v>
      </c>
      <c r="J751" s="5">
        <v>44.519789315702774</v>
      </c>
      <c r="K751" s="5">
        <v>38</v>
      </c>
    </row>
    <row r="752" spans="1:11" x14ac:dyDescent="0.25">
      <c r="A752" s="2">
        <v>46128.708333333343</v>
      </c>
      <c r="B752" t="str">
        <f t="shared" si="22"/>
        <v>2026-04</v>
      </c>
      <c r="C752" s="3">
        <f t="shared" si="23"/>
        <v>17</v>
      </c>
      <c r="D752" s="4">
        <v>22.025511597733331</v>
      </c>
      <c r="E752" s="4">
        <v>23.434199994127781</v>
      </c>
      <c r="F752" s="4">
        <v>23.080027733583329</v>
      </c>
      <c r="G752" s="4">
        <v>16.8</v>
      </c>
      <c r="H752" s="5">
        <v>50.90273515975278</v>
      </c>
      <c r="I752" s="5">
        <v>48.08288611467222</v>
      </c>
      <c r="J752" s="5">
        <v>44.685929680580557</v>
      </c>
      <c r="K752" s="5">
        <v>42</v>
      </c>
    </row>
    <row r="753" spans="1:11" x14ac:dyDescent="0.25">
      <c r="A753" s="2">
        <v>46128.75</v>
      </c>
      <c r="B753" t="str">
        <f t="shared" si="22"/>
        <v>2026-04</v>
      </c>
      <c r="C753" s="3">
        <f t="shared" si="23"/>
        <v>18</v>
      </c>
      <c r="D753" s="4">
        <v>21.894782530583331</v>
      </c>
      <c r="E753" s="4">
        <v>23.271941542022219</v>
      </c>
      <c r="F753" s="4">
        <v>23.071138540883329</v>
      </c>
      <c r="G753" s="4">
        <v>15.8</v>
      </c>
      <c r="H753" s="5">
        <v>52.216538226852776</v>
      </c>
      <c r="I753" s="5">
        <v>48.693885517694447</v>
      </c>
      <c r="J753" s="5">
        <v>44.70541606369445</v>
      </c>
      <c r="K753" s="5">
        <v>53</v>
      </c>
    </row>
    <row r="754" spans="1:11" x14ac:dyDescent="0.25">
      <c r="A754" s="2">
        <v>46128.791666666657</v>
      </c>
      <c r="B754" t="str">
        <f t="shared" si="22"/>
        <v>2026-04</v>
      </c>
      <c r="C754" s="3">
        <f t="shared" si="23"/>
        <v>19</v>
      </c>
      <c r="D754" s="4">
        <v>21.53471824113333</v>
      </c>
      <c r="E754" s="4">
        <v>23.039794255158331</v>
      </c>
      <c r="F754" s="4">
        <v>23.066794193308329</v>
      </c>
      <c r="G754" s="4">
        <v>14.2</v>
      </c>
      <c r="H754" s="5">
        <v>44.229781528422222</v>
      </c>
      <c r="I754" s="5">
        <v>42.200444491666673</v>
      </c>
      <c r="J754" s="5">
        <v>44.692705726019447</v>
      </c>
      <c r="K754" s="5">
        <v>56</v>
      </c>
    </row>
    <row r="755" spans="1:11" x14ac:dyDescent="0.25">
      <c r="A755" s="2">
        <v>46128.833333333343</v>
      </c>
      <c r="B755" t="str">
        <f t="shared" si="22"/>
        <v>2026-04</v>
      </c>
      <c r="C755" s="3">
        <f t="shared" si="23"/>
        <v>20</v>
      </c>
      <c r="D755" s="4">
        <v>21.42982003681389</v>
      </c>
      <c r="E755" s="4">
        <v>23.278890390658329</v>
      </c>
      <c r="F755" s="4">
        <v>23.055238290730561</v>
      </c>
      <c r="G755" s="4">
        <v>13</v>
      </c>
      <c r="H755" s="5">
        <v>35.340365923527777</v>
      </c>
      <c r="I755" s="5">
        <v>36.146869148625001</v>
      </c>
      <c r="J755" s="5">
        <v>44.569080070233333</v>
      </c>
      <c r="K755" s="5">
        <v>57</v>
      </c>
    </row>
    <row r="756" spans="1:11" x14ac:dyDescent="0.25">
      <c r="A756" s="2">
        <v>46128.875</v>
      </c>
      <c r="B756" t="str">
        <f t="shared" si="22"/>
        <v>2026-04</v>
      </c>
      <c r="C756" s="3">
        <f t="shared" si="23"/>
        <v>21</v>
      </c>
      <c r="D756" s="4">
        <v>21.561328633022221</v>
      </c>
      <c r="E756" s="4">
        <v>23.282182064705559</v>
      </c>
      <c r="F756" s="4">
        <v>23.04448597513333</v>
      </c>
      <c r="G756" s="4">
        <v>12.8</v>
      </c>
      <c r="H756" s="5">
        <v>35.178351125463891</v>
      </c>
      <c r="I756" s="5">
        <v>37.865374236036111</v>
      </c>
      <c r="J756" s="5">
        <v>44.379339957447222</v>
      </c>
      <c r="K756" s="5">
        <v>56</v>
      </c>
    </row>
    <row r="757" spans="1:11" x14ac:dyDescent="0.25">
      <c r="A757" s="2">
        <v>46128.916666666657</v>
      </c>
      <c r="B757" t="str">
        <f t="shared" si="22"/>
        <v>2026-04</v>
      </c>
      <c r="C757" s="3">
        <f t="shared" si="23"/>
        <v>22</v>
      </c>
      <c r="D757" s="4">
        <v>21.806308895400001</v>
      </c>
      <c r="E757" s="4">
        <v>23.449480142322219</v>
      </c>
      <c r="F757" s="4">
        <v>23.045734702724999</v>
      </c>
      <c r="G757" s="4">
        <v>11.9</v>
      </c>
      <c r="H757" s="5">
        <v>39.71054176361389</v>
      </c>
      <c r="I757" s="5">
        <v>39.139154236708329</v>
      </c>
      <c r="J757" s="5">
        <v>44.224012837261121</v>
      </c>
      <c r="K757" s="5">
        <v>63</v>
      </c>
    </row>
    <row r="758" spans="1:11" x14ac:dyDescent="0.25">
      <c r="A758" s="2">
        <v>46128.958333333343</v>
      </c>
      <c r="B758" t="str">
        <f t="shared" si="22"/>
        <v>2026-04</v>
      </c>
      <c r="C758" s="3">
        <f t="shared" si="23"/>
        <v>23</v>
      </c>
      <c r="D758" s="4">
        <v>21.986233558538888</v>
      </c>
      <c r="E758" s="4">
        <v>23.292068487758328</v>
      </c>
      <c r="F758" s="4">
        <v>23.049404747575</v>
      </c>
      <c r="G758" s="4">
        <v>10.5</v>
      </c>
      <c r="H758" s="5">
        <v>43.485472382580561</v>
      </c>
      <c r="I758" s="5">
        <v>41.167063205722222</v>
      </c>
      <c r="J758" s="5">
        <v>43.909477921530559</v>
      </c>
      <c r="K758" s="5">
        <v>70</v>
      </c>
    </row>
    <row r="759" spans="1:11" x14ac:dyDescent="0.25">
      <c r="A759" s="2">
        <v>46129</v>
      </c>
      <c r="B759" t="str">
        <f t="shared" si="22"/>
        <v>2026-04</v>
      </c>
      <c r="C759" s="3">
        <f t="shared" si="23"/>
        <v>0</v>
      </c>
      <c r="D759" s="4">
        <v>21.998811919175001</v>
      </c>
      <c r="E759" s="4">
        <v>23.323568030372218</v>
      </c>
      <c r="F759" s="4">
        <v>23.043113643805551</v>
      </c>
      <c r="G759" s="4">
        <v>9.9</v>
      </c>
      <c r="H759" s="5">
        <v>44.750178926316657</v>
      </c>
      <c r="I759" s="5">
        <v>42.247682755466663</v>
      </c>
      <c r="J759" s="5">
        <v>43.662167193766663</v>
      </c>
      <c r="K759" s="5">
        <v>70</v>
      </c>
    </row>
    <row r="760" spans="1:11" x14ac:dyDescent="0.25">
      <c r="A760" s="2">
        <v>46129.041666666657</v>
      </c>
      <c r="B760" t="str">
        <f t="shared" si="22"/>
        <v>2026-04</v>
      </c>
      <c r="C760" s="3">
        <f t="shared" si="23"/>
        <v>1</v>
      </c>
      <c r="D760" s="4">
        <v>21.773543329841669</v>
      </c>
      <c r="E760" s="4">
        <v>23.145780812988889</v>
      </c>
      <c r="F760" s="4">
        <v>23.027931839605561</v>
      </c>
      <c r="G760" s="4">
        <v>9.1999999999999993</v>
      </c>
      <c r="H760" s="5">
        <v>46.247972303569441</v>
      </c>
      <c r="I760" s="5">
        <v>42.869900601647217</v>
      </c>
      <c r="J760" s="5">
        <v>43.486082229055562</v>
      </c>
      <c r="K760" s="5">
        <v>71</v>
      </c>
    </row>
    <row r="761" spans="1:11" x14ac:dyDescent="0.25">
      <c r="A761" s="2">
        <v>46129.083333333343</v>
      </c>
      <c r="B761" t="str">
        <f t="shared" si="22"/>
        <v>2026-04</v>
      </c>
      <c r="C761" s="3">
        <f t="shared" si="23"/>
        <v>2</v>
      </c>
      <c r="D761" s="4">
        <v>21.43725597078334</v>
      </c>
      <c r="E761" s="4">
        <v>22.958369508250001</v>
      </c>
      <c r="F761" s="4">
        <v>23.01705915877222</v>
      </c>
      <c r="G761" s="4">
        <v>9</v>
      </c>
      <c r="H761" s="5">
        <v>47.131948721363891</v>
      </c>
      <c r="I761" s="5">
        <v>42.797593802008343</v>
      </c>
      <c r="J761" s="5">
        <v>43.330562999569437</v>
      </c>
      <c r="K761" s="5">
        <v>71</v>
      </c>
    </row>
    <row r="762" spans="1:11" x14ac:dyDescent="0.25">
      <c r="A762" s="2">
        <v>46129.125</v>
      </c>
      <c r="B762" t="str">
        <f t="shared" si="22"/>
        <v>2026-04</v>
      </c>
      <c r="C762" s="3">
        <f t="shared" si="23"/>
        <v>3</v>
      </c>
      <c r="D762" s="4">
        <v>21.248800799983329</v>
      </c>
      <c r="E762" s="4">
        <v>22.81363946223334</v>
      </c>
      <c r="F762" s="4">
        <v>22.999486006183329</v>
      </c>
      <c r="G762" s="4">
        <v>10.4</v>
      </c>
      <c r="H762" s="5">
        <v>47.460268307994447</v>
      </c>
      <c r="I762" s="5">
        <v>42.76593852058889</v>
      </c>
      <c r="J762" s="5">
        <v>43.192995819088893</v>
      </c>
      <c r="K762" s="5">
        <v>68</v>
      </c>
    </row>
    <row r="763" spans="1:11" x14ac:dyDescent="0.25">
      <c r="A763" s="2">
        <v>46129.166666666657</v>
      </c>
      <c r="B763" t="str">
        <f t="shared" si="22"/>
        <v>2026-04</v>
      </c>
      <c r="C763" s="3">
        <f t="shared" si="23"/>
        <v>4</v>
      </c>
      <c r="D763" s="4">
        <v>21.117081847358332</v>
      </c>
      <c r="E763" s="4">
        <v>22.594169759338889</v>
      </c>
      <c r="F763" s="4">
        <v>22.97684068518333</v>
      </c>
      <c r="G763" s="4">
        <v>10.3</v>
      </c>
      <c r="H763" s="5">
        <v>47.726707900080562</v>
      </c>
      <c r="I763" s="5">
        <v>42.947265099530561</v>
      </c>
      <c r="J763" s="5">
        <v>43.064002401244451</v>
      </c>
      <c r="K763" s="5">
        <v>68</v>
      </c>
    </row>
    <row r="764" spans="1:11" x14ac:dyDescent="0.25">
      <c r="A764" s="2">
        <v>46129.208333333343</v>
      </c>
      <c r="B764" t="str">
        <f t="shared" si="22"/>
        <v>2026-04</v>
      </c>
      <c r="C764" s="3">
        <f t="shared" si="23"/>
        <v>5</v>
      </c>
      <c r="D764" s="4">
        <v>21.039550730516659</v>
      </c>
      <c r="E764" s="4">
        <v>22.518562647586108</v>
      </c>
      <c r="F764" s="4">
        <v>22.936549583763892</v>
      </c>
      <c r="G764" s="4">
        <v>10.4</v>
      </c>
      <c r="H764" s="5">
        <v>47.827138435169452</v>
      </c>
      <c r="I764" s="5">
        <v>42.999541123091667</v>
      </c>
      <c r="J764" s="5">
        <v>42.974968699216667</v>
      </c>
      <c r="K764" s="5">
        <v>67</v>
      </c>
    </row>
    <row r="765" spans="1:11" x14ac:dyDescent="0.25">
      <c r="A765" s="2">
        <v>46129.25</v>
      </c>
      <c r="B765" t="str">
        <f t="shared" si="22"/>
        <v>2026-04</v>
      </c>
      <c r="C765" s="3">
        <f t="shared" si="23"/>
        <v>6</v>
      </c>
      <c r="D765" s="4">
        <v>21.07869079472222</v>
      </c>
      <c r="E765" s="4">
        <v>22.498327623119451</v>
      </c>
      <c r="F765" s="4">
        <v>22.915277904694449</v>
      </c>
      <c r="G765" s="4">
        <v>9.9</v>
      </c>
      <c r="H765" s="5">
        <v>47.4333288622</v>
      </c>
      <c r="I765" s="5">
        <v>43.143107460094448</v>
      </c>
      <c r="J765" s="5">
        <v>42.889539282980557</v>
      </c>
      <c r="K765" s="5">
        <v>67</v>
      </c>
    </row>
    <row r="766" spans="1:11" x14ac:dyDescent="0.25">
      <c r="A766" s="2">
        <v>46129.291666666657</v>
      </c>
      <c r="B766" t="str">
        <f t="shared" si="22"/>
        <v>2026-04</v>
      </c>
      <c r="C766" s="3">
        <f t="shared" si="23"/>
        <v>7</v>
      </c>
      <c r="D766" s="4">
        <v>21.162714798622229</v>
      </c>
      <c r="E766" s="4">
        <v>22.429777236730551</v>
      </c>
      <c r="F766" s="4">
        <v>22.922609440791671</v>
      </c>
      <c r="G766" s="4">
        <v>9.6999999999999993</v>
      </c>
      <c r="H766" s="5">
        <v>46.956361280613883</v>
      </c>
      <c r="I766" s="5">
        <v>43.236675036761113</v>
      </c>
      <c r="J766" s="5">
        <v>42.80374687223334</v>
      </c>
      <c r="K766" s="5">
        <v>70</v>
      </c>
    </row>
    <row r="767" spans="1:11" x14ac:dyDescent="0.25">
      <c r="A767" s="2">
        <v>46129.333333333343</v>
      </c>
      <c r="B767" t="str">
        <f t="shared" si="22"/>
        <v>2026-04</v>
      </c>
      <c r="C767" s="3">
        <f t="shared" si="23"/>
        <v>8</v>
      </c>
      <c r="D767" s="4">
        <v>21.48351608685833</v>
      </c>
      <c r="E767" s="4">
        <v>22.589016794561111</v>
      </c>
      <c r="F767" s="4">
        <v>22.903712798661111</v>
      </c>
      <c r="G767" s="4">
        <v>11.1</v>
      </c>
      <c r="H767" s="5">
        <v>45.957095568438888</v>
      </c>
      <c r="I767" s="5">
        <v>43.400807504722223</v>
      </c>
      <c r="J767" s="5">
        <v>42.753865261841668</v>
      </c>
      <c r="K767" s="5">
        <v>68</v>
      </c>
    </row>
    <row r="768" spans="1:11" x14ac:dyDescent="0.25">
      <c r="A768" s="2">
        <v>46129.375</v>
      </c>
      <c r="B768" t="str">
        <f t="shared" si="22"/>
        <v>2026-04</v>
      </c>
      <c r="C768" s="3">
        <f t="shared" si="23"/>
        <v>9</v>
      </c>
      <c r="D768" s="4">
        <v>21.829760028999999</v>
      </c>
      <c r="E768" s="4">
        <v>22.682361678180559</v>
      </c>
      <c r="F768" s="4">
        <v>22.904564695677781</v>
      </c>
      <c r="G768" s="4">
        <v>12.2</v>
      </c>
      <c r="H768" s="5">
        <v>45.181583493561121</v>
      </c>
      <c r="I768" s="5">
        <v>43.777328485605558</v>
      </c>
      <c r="J768" s="5">
        <v>42.71728544401666</v>
      </c>
      <c r="K768" s="5">
        <v>65</v>
      </c>
    </row>
    <row r="769" spans="1:11" x14ac:dyDescent="0.25">
      <c r="A769" s="2">
        <v>46129.416666666657</v>
      </c>
      <c r="B769" t="str">
        <f t="shared" si="22"/>
        <v>2026-04</v>
      </c>
      <c r="C769" s="3">
        <f t="shared" si="23"/>
        <v>10</v>
      </c>
      <c r="D769" s="4">
        <v>22.34045396036667</v>
      </c>
      <c r="E769" s="4">
        <v>23.253458198091671</v>
      </c>
      <c r="F769" s="4">
        <v>22.9100010244</v>
      </c>
      <c r="G769" s="4">
        <v>14.1</v>
      </c>
      <c r="H769" s="5">
        <v>45.064514548738877</v>
      </c>
      <c r="I769" s="5">
        <v>44.343931400750002</v>
      </c>
      <c r="J769" s="5">
        <v>42.774615491863891</v>
      </c>
      <c r="K769" s="5">
        <v>61</v>
      </c>
    </row>
    <row r="770" spans="1:11" x14ac:dyDescent="0.25">
      <c r="A770" s="2">
        <v>46129.458333333343</v>
      </c>
      <c r="B770" t="str">
        <f t="shared" ref="B770:B833" si="24">TEXT(A770,"yyyy-mm")</f>
        <v>2026-04</v>
      </c>
      <c r="C770" s="3">
        <f t="shared" ref="C770:C833" si="25">HOUR(A770)</f>
        <v>11</v>
      </c>
      <c r="D770" s="4">
        <v>22.662003848133331</v>
      </c>
      <c r="E770" s="4">
        <v>23.713104886941672</v>
      </c>
      <c r="F770" s="4">
        <v>22.932702833572229</v>
      </c>
      <c r="G770" s="4">
        <v>16.5</v>
      </c>
      <c r="H770" s="5">
        <v>46.721119436336117</v>
      </c>
      <c r="I770" s="5">
        <v>46.199133585422217</v>
      </c>
      <c r="J770" s="5">
        <v>42.944375867600002</v>
      </c>
      <c r="K770" s="5">
        <v>54</v>
      </c>
    </row>
    <row r="771" spans="1:11" x14ac:dyDescent="0.25">
      <c r="A771" s="2">
        <v>46129.5</v>
      </c>
      <c r="B771" t="str">
        <f t="shared" si="24"/>
        <v>2026-04</v>
      </c>
      <c r="C771" s="3">
        <f t="shared" si="25"/>
        <v>12</v>
      </c>
      <c r="D771" s="4">
        <v>22.761610894619441</v>
      </c>
      <c r="E771" s="4">
        <v>24.012100782219441</v>
      </c>
      <c r="F771" s="4">
        <v>23.006805119683332</v>
      </c>
      <c r="G771" s="4">
        <v>17.7</v>
      </c>
      <c r="H771" s="5">
        <v>46.507494362316663</v>
      </c>
      <c r="I771" s="5">
        <v>45.976210628008339</v>
      </c>
      <c r="J771" s="5">
        <v>46.139603070874998</v>
      </c>
      <c r="K771" s="5">
        <v>39</v>
      </c>
    </row>
    <row r="772" spans="1:11" x14ac:dyDescent="0.25">
      <c r="A772" s="2">
        <v>46129.541666666657</v>
      </c>
      <c r="B772" t="str">
        <f t="shared" si="24"/>
        <v>2026-04</v>
      </c>
      <c r="C772" s="3">
        <f t="shared" si="25"/>
        <v>13</v>
      </c>
      <c r="D772" s="4">
        <v>22.638724618866661</v>
      </c>
      <c r="E772" s="4">
        <v>24.325589690925</v>
      </c>
      <c r="F772" s="4">
        <v>23.240210470122221</v>
      </c>
      <c r="G772" s="4">
        <v>18</v>
      </c>
      <c r="H772" s="5">
        <v>44.508169637780561</v>
      </c>
      <c r="I772" s="5">
        <v>43.216976626538887</v>
      </c>
      <c r="J772" s="5">
        <v>51.580394191908333</v>
      </c>
      <c r="K772" s="5">
        <v>37</v>
      </c>
    </row>
    <row r="773" spans="1:11" x14ac:dyDescent="0.25">
      <c r="A773" s="2">
        <v>46129.583333333343</v>
      </c>
      <c r="B773" t="str">
        <f t="shared" si="24"/>
        <v>2026-04</v>
      </c>
      <c r="C773" s="3">
        <f t="shared" si="25"/>
        <v>14</v>
      </c>
      <c r="D773" s="4">
        <v>22.490667540430561</v>
      </c>
      <c r="E773" s="4">
        <v>24.323565212302778</v>
      </c>
      <c r="F773" s="4">
        <v>23.28948213628334</v>
      </c>
      <c r="G773" s="4">
        <v>18.5</v>
      </c>
      <c r="H773" s="5">
        <v>44.333289456630553</v>
      </c>
      <c r="I773" s="5">
        <v>42.043969192661109</v>
      </c>
      <c r="J773" s="5">
        <v>51.121750150522217</v>
      </c>
      <c r="K773" s="5">
        <v>37</v>
      </c>
    </row>
    <row r="774" spans="1:11" x14ac:dyDescent="0.25">
      <c r="A774" s="2">
        <v>46129.625</v>
      </c>
      <c r="B774" t="str">
        <f t="shared" si="24"/>
        <v>2026-04</v>
      </c>
      <c r="C774" s="3">
        <f t="shared" si="25"/>
        <v>15</v>
      </c>
      <c r="D774" s="4">
        <v>22.331363018566659</v>
      </c>
      <c r="E774" s="4">
        <v>24.296359773999999</v>
      </c>
      <c r="F774" s="4">
        <v>23.28731835791945</v>
      </c>
      <c r="G774" s="4">
        <v>16.7</v>
      </c>
      <c r="H774" s="5">
        <v>43.028530905991673</v>
      </c>
      <c r="I774" s="5">
        <v>42.276776513144448</v>
      </c>
      <c r="J774" s="5">
        <v>51.198951777005547</v>
      </c>
      <c r="K774" s="5">
        <v>53</v>
      </c>
    </row>
    <row r="775" spans="1:11" x14ac:dyDescent="0.25">
      <c r="A775" s="2">
        <v>46129.666666666657</v>
      </c>
      <c r="B775" t="str">
        <f t="shared" si="24"/>
        <v>2026-04</v>
      </c>
      <c r="C775" s="3">
        <f t="shared" si="25"/>
        <v>16</v>
      </c>
      <c r="D775" s="4">
        <v>21.972734515969449</v>
      </c>
      <c r="E775" s="4">
        <v>24.151784275705548</v>
      </c>
      <c r="F775" s="4">
        <v>23.250735786105551</v>
      </c>
      <c r="G775" s="4">
        <v>15.5</v>
      </c>
      <c r="H775" s="5">
        <v>44.440581267486102</v>
      </c>
      <c r="I775" s="5">
        <v>44.04207948327501</v>
      </c>
      <c r="J775" s="5">
        <v>52.098298426641662</v>
      </c>
      <c r="K775" s="5">
        <v>62</v>
      </c>
    </row>
    <row r="776" spans="1:11" x14ac:dyDescent="0.25">
      <c r="A776" s="2">
        <v>46129.708333333343</v>
      </c>
      <c r="B776" t="str">
        <f t="shared" si="24"/>
        <v>2026-04</v>
      </c>
      <c r="C776" s="3">
        <f t="shared" si="25"/>
        <v>17</v>
      </c>
      <c r="D776" s="4">
        <v>21.624504269411108</v>
      </c>
      <c r="E776" s="4">
        <v>23.860702105902771</v>
      </c>
      <c r="F776" s="4">
        <v>23.149515287413891</v>
      </c>
      <c r="G776" s="4">
        <v>13.8</v>
      </c>
      <c r="H776" s="5">
        <v>47.41930667338611</v>
      </c>
      <c r="I776" s="5">
        <v>46.626934062033342</v>
      </c>
      <c r="J776" s="5">
        <v>51.198921684702782</v>
      </c>
      <c r="K776" s="5">
        <v>71</v>
      </c>
    </row>
    <row r="777" spans="1:11" x14ac:dyDescent="0.25">
      <c r="A777" s="2">
        <v>46129.75</v>
      </c>
      <c r="B777" t="str">
        <f t="shared" si="24"/>
        <v>2026-04</v>
      </c>
      <c r="C777" s="3">
        <f t="shared" si="25"/>
        <v>18</v>
      </c>
      <c r="D777" s="4">
        <v>21.083209361005551</v>
      </c>
      <c r="E777" s="4">
        <v>23.557480628688889</v>
      </c>
      <c r="F777" s="4">
        <v>23.14747391341389</v>
      </c>
      <c r="G777" s="4">
        <v>12.3</v>
      </c>
      <c r="H777" s="5">
        <v>50.190876450444442</v>
      </c>
      <c r="I777" s="5">
        <v>49.843423546261121</v>
      </c>
      <c r="J777" s="5">
        <v>50.581201163897219</v>
      </c>
      <c r="K777" s="5">
        <v>82</v>
      </c>
    </row>
    <row r="778" spans="1:11" x14ac:dyDescent="0.25">
      <c r="A778" s="2">
        <v>46129.791666666657</v>
      </c>
      <c r="B778" t="str">
        <f t="shared" si="24"/>
        <v>2026-04</v>
      </c>
      <c r="C778" s="3">
        <f t="shared" si="25"/>
        <v>19</v>
      </c>
      <c r="D778" s="4">
        <v>20.509242823594441</v>
      </c>
      <c r="E778" s="4">
        <v>23.260151930997221</v>
      </c>
      <c r="F778" s="4">
        <v>23.126363465897221</v>
      </c>
      <c r="G778" s="4">
        <v>11.6</v>
      </c>
      <c r="H778" s="5">
        <v>51.544124430108333</v>
      </c>
      <c r="I778" s="5">
        <v>50.970693354700003</v>
      </c>
      <c r="J778" s="5">
        <v>50.136778935397217</v>
      </c>
      <c r="K778" s="5">
        <v>89</v>
      </c>
    </row>
    <row r="779" spans="1:11" x14ac:dyDescent="0.25">
      <c r="A779" s="2">
        <v>46129.833333333343</v>
      </c>
      <c r="B779" t="str">
        <f t="shared" si="24"/>
        <v>2026-04</v>
      </c>
      <c r="C779" s="3">
        <f t="shared" si="25"/>
        <v>20</v>
      </c>
      <c r="D779" s="4">
        <v>20.151326328372221</v>
      </c>
      <c r="E779" s="4">
        <v>23.078582123486111</v>
      </c>
      <c r="F779" s="4">
        <v>23.11513905831389</v>
      </c>
      <c r="G779" s="4">
        <v>10.9</v>
      </c>
      <c r="H779" s="5">
        <v>52.162980402286109</v>
      </c>
      <c r="I779" s="5">
        <v>51.504007250905552</v>
      </c>
      <c r="J779" s="5">
        <v>50.024112702416673</v>
      </c>
      <c r="K779" s="5">
        <v>94</v>
      </c>
    </row>
    <row r="780" spans="1:11" x14ac:dyDescent="0.25">
      <c r="A780" s="2">
        <v>46129.875</v>
      </c>
      <c r="B780" t="str">
        <f t="shared" si="24"/>
        <v>2026-04</v>
      </c>
      <c r="C780" s="3">
        <f t="shared" si="25"/>
        <v>21</v>
      </c>
      <c r="D780" s="4">
        <v>20.118798445244451</v>
      </c>
      <c r="E780" s="4">
        <v>23.22418468955556</v>
      </c>
      <c r="F780" s="4">
        <v>23.100224612644439</v>
      </c>
      <c r="G780" s="4">
        <v>10.8</v>
      </c>
      <c r="H780" s="5">
        <v>54.331353888888891</v>
      </c>
      <c r="I780" s="5">
        <v>50.740783473519443</v>
      </c>
      <c r="J780" s="5">
        <v>49.510356582119442</v>
      </c>
      <c r="K780" s="5">
        <v>95</v>
      </c>
    </row>
    <row r="781" spans="1:11" x14ac:dyDescent="0.25">
      <c r="A781" s="2">
        <v>46129.916666666657</v>
      </c>
      <c r="B781" t="str">
        <f t="shared" si="24"/>
        <v>2026-04</v>
      </c>
      <c r="C781" s="3">
        <f t="shared" si="25"/>
        <v>22</v>
      </c>
      <c r="D781" s="4">
        <v>21.318685551744441</v>
      </c>
      <c r="E781" s="4">
        <v>23.343139209783331</v>
      </c>
      <c r="F781" s="4">
        <v>23.08008538704166</v>
      </c>
      <c r="G781" s="4">
        <v>10.4</v>
      </c>
      <c r="H781" s="5">
        <v>57.235069779641663</v>
      </c>
      <c r="I781" s="5">
        <v>51.670483282263888</v>
      </c>
      <c r="J781" s="5">
        <v>48.20477590182778</v>
      </c>
      <c r="K781" s="5">
        <v>96</v>
      </c>
    </row>
    <row r="782" spans="1:11" x14ac:dyDescent="0.25">
      <c r="A782" s="2">
        <v>46129.958333333343</v>
      </c>
      <c r="B782" t="str">
        <f t="shared" si="24"/>
        <v>2026-04</v>
      </c>
      <c r="C782" s="3">
        <f t="shared" si="25"/>
        <v>23</v>
      </c>
      <c r="D782" s="4">
        <v>21.579292388224999</v>
      </c>
      <c r="E782" s="4">
        <v>23.396447187425</v>
      </c>
      <c r="F782" s="4">
        <v>23.061151098633331</v>
      </c>
      <c r="G782" s="4">
        <v>10.3</v>
      </c>
      <c r="H782" s="5">
        <v>58.137360297427783</v>
      </c>
      <c r="I782" s="5">
        <v>52.992006067025002</v>
      </c>
      <c r="J782" s="5">
        <v>47.304694549361109</v>
      </c>
      <c r="K782" s="5">
        <v>95</v>
      </c>
    </row>
    <row r="783" spans="1:11" x14ac:dyDescent="0.25">
      <c r="A783" s="2">
        <v>46130</v>
      </c>
      <c r="B783" t="str">
        <f t="shared" si="24"/>
        <v>2026-04</v>
      </c>
      <c r="C783" s="3">
        <f t="shared" si="25"/>
        <v>0</v>
      </c>
      <c r="D783" s="4">
        <v>21.608359177466671</v>
      </c>
      <c r="E783" s="4">
        <v>23.714174446269439</v>
      </c>
      <c r="F783" s="4">
        <v>23.06058327488056</v>
      </c>
      <c r="G783" s="4">
        <v>10</v>
      </c>
      <c r="H783" s="5">
        <v>59.061964143369437</v>
      </c>
      <c r="I783" s="5">
        <v>53.228399259930548</v>
      </c>
      <c r="J783" s="5">
        <v>46.696538191591657</v>
      </c>
      <c r="K783" s="5">
        <v>96</v>
      </c>
    </row>
    <row r="784" spans="1:11" x14ac:dyDescent="0.25">
      <c r="A784" s="2">
        <v>46130.041666666657</v>
      </c>
      <c r="B784" t="str">
        <f t="shared" si="24"/>
        <v>2026-04</v>
      </c>
      <c r="C784" s="3">
        <f t="shared" si="25"/>
        <v>1</v>
      </c>
      <c r="D784" s="4">
        <v>21.940770882224999</v>
      </c>
      <c r="E784" s="4">
        <v>23.842044223388889</v>
      </c>
      <c r="F784" s="4">
        <v>23.053238646080551</v>
      </c>
      <c r="G784" s="4">
        <v>9.6999999999999993</v>
      </c>
      <c r="H784" s="5">
        <v>57.604079056113903</v>
      </c>
      <c r="I784" s="5">
        <v>50.751585868761111</v>
      </c>
      <c r="J784" s="5">
        <v>46.195225302633332</v>
      </c>
      <c r="K784" s="5">
        <v>95</v>
      </c>
    </row>
    <row r="785" spans="1:11" x14ac:dyDescent="0.25">
      <c r="A785" s="2">
        <v>46130.083333333343</v>
      </c>
      <c r="B785" t="str">
        <f t="shared" si="24"/>
        <v>2026-04</v>
      </c>
      <c r="C785" s="3">
        <f t="shared" si="25"/>
        <v>2</v>
      </c>
      <c r="D785" s="4">
        <v>22.023277349627779</v>
      </c>
      <c r="E785" s="4">
        <v>23.716893981508331</v>
      </c>
      <c r="F785" s="4">
        <v>23.217176783555551</v>
      </c>
      <c r="G785" s="4">
        <v>9.4</v>
      </c>
      <c r="H785" s="5">
        <v>54.924535452586113</v>
      </c>
      <c r="I785" s="5">
        <v>49.418402890836113</v>
      </c>
      <c r="J785" s="5">
        <v>48.507881095544441</v>
      </c>
      <c r="K785" s="5">
        <v>94</v>
      </c>
    </row>
    <row r="786" spans="1:11" x14ac:dyDescent="0.25">
      <c r="A786" s="2">
        <v>46130.125</v>
      </c>
      <c r="B786" t="str">
        <f t="shared" si="24"/>
        <v>2026-04</v>
      </c>
      <c r="C786" s="3">
        <f t="shared" si="25"/>
        <v>3</v>
      </c>
      <c r="D786" s="4">
        <v>21.637348802608329</v>
      </c>
      <c r="E786" s="4">
        <v>23.363431764327771</v>
      </c>
      <c r="F786" s="4">
        <v>23.287284721533339</v>
      </c>
      <c r="G786" s="4">
        <v>8.4</v>
      </c>
      <c r="H786" s="5">
        <v>56.435839740669437</v>
      </c>
      <c r="I786" s="5">
        <v>50.986447415702777</v>
      </c>
      <c r="J786" s="5">
        <v>50.303183775130563</v>
      </c>
      <c r="K786" s="5">
        <v>87</v>
      </c>
    </row>
    <row r="787" spans="1:11" x14ac:dyDescent="0.25">
      <c r="A787" s="2">
        <v>46130.166666666657</v>
      </c>
      <c r="B787" t="str">
        <f t="shared" si="24"/>
        <v>2026-04</v>
      </c>
      <c r="C787" s="3">
        <f t="shared" si="25"/>
        <v>4</v>
      </c>
      <c r="D787" s="4">
        <v>21.349848876836109</v>
      </c>
      <c r="E787" s="4">
        <v>23.01681313694445</v>
      </c>
      <c r="F787" s="4">
        <v>23.14077243248612</v>
      </c>
      <c r="G787" s="4">
        <v>8.3000000000000007</v>
      </c>
      <c r="H787" s="5">
        <v>58.036121696400002</v>
      </c>
      <c r="I787" s="5">
        <v>52.191051156577778</v>
      </c>
      <c r="J787" s="5">
        <v>47.778290291522218</v>
      </c>
      <c r="K787" s="5">
        <v>86</v>
      </c>
    </row>
    <row r="788" spans="1:11" x14ac:dyDescent="0.25">
      <c r="A788" s="2">
        <v>46130.208333333343</v>
      </c>
      <c r="B788" t="str">
        <f t="shared" si="24"/>
        <v>2026-04</v>
      </c>
      <c r="C788" s="3">
        <f t="shared" si="25"/>
        <v>5</v>
      </c>
      <c r="D788" s="4">
        <v>21.162578131122221</v>
      </c>
      <c r="E788" s="4">
        <v>22.789099486136109</v>
      </c>
      <c r="F788" s="4">
        <v>23.079030997675002</v>
      </c>
      <c r="G788" s="4">
        <v>8.1</v>
      </c>
      <c r="H788" s="5">
        <v>58.172823880708343</v>
      </c>
      <c r="I788" s="5">
        <v>52.027143411883337</v>
      </c>
      <c r="J788" s="5">
        <v>46.821186897230561</v>
      </c>
      <c r="K788" s="5">
        <v>88</v>
      </c>
    </row>
    <row r="789" spans="1:11" x14ac:dyDescent="0.25">
      <c r="A789" s="2">
        <v>46130.25</v>
      </c>
      <c r="B789" t="str">
        <f t="shared" si="24"/>
        <v>2026-04</v>
      </c>
      <c r="C789" s="3">
        <f t="shared" si="25"/>
        <v>6</v>
      </c>
      <c r="D789" s="4">
        <v>21.022258283705561</v>
      </c>
      <c r="E789" s="4">
        <v>22.62188242537778</v>
      </c>
      <c r="F789" s="4">
        <v>23.03944830091389</v>
      </c>
      <c r="G789" s="4">
        <v>7.7</v>
      </c>
      <c r="H789" s="5">
        <v>57.860300389797217</v>
      </c>
      <c r="I789" s="5">
        <v>51.441680846369437</v>
      </c>
      <c r="J789" s="5">
        <v>46.315571548222223</v>
      </c>
      <c r="K789" s="5">
        <v>93</v>
      </c>
    </row>
    <row r="790" spans="1:11" x14ac:dyDescent="0.25">
      <c r="A790" s="2">
        <v>46130.291666666657</v>
      </c>
      <c r="B790" t="str">
        <f t="shared" si="24"/>
        <v>2026-04</v>
      </c>
      <c r="C790" s="3">
        <f t="shared" si="25"/>
        <v>7</v>
      </c>
      <c r="D790" s="4">
        <v>20.96963351300834</v>
      </c>
      <c r="E790" s="4">
        <v>22.628553117994439</v>
      </c>
      <c r="F790" s="4">
        <v>23.018182065861112</v>
      </c>
      <c r="G790" s="4">
        <v>7.9</v>
      </c>
      <c r="H790" s="5">
        <v>57.548173604063891</v>
      </c>
      <c r="I790" s="5">
        <v>50.871713611683333</v>
      </c>
      <c r="J790" s="5">
        <v>45.938337492886113</v>
      </c>
      <c r="K790" s="5">
        <v>92</v>
      </c>
    </row>
    <row r="791" spans="1:11" x14ac:dyDescent="0.25">
      <c r="A791" s="2">
        <v>46130.333333333343</v>
      </c>
      <c r="B791" t="str">
        <f t="shared" si="24"/>
        <v>2026-04</v>
      </c>
      <c r="C791" s="3">
        <f t="shared" si="25"/>
        <v>8</v>
      </c>
      <c r="D791" s="4">
        <v>21.00625689850833</v>
      </c>
      <c r="E791" s="4">
        <v>22.433994478902768</v>
      </c>
      <c r="F791" s="4">
        <v>22.98841753383612</v>
      </c>
      <c r="G791" s="4">
        <v>8.1</v>
      </c>
      <c r="H791" s="5">
        <v>56.985911599872232</v>
      </c>
      <c r="I791" s="5">
        <v>50.907266208297223</v>
      </c>
      <c r="J791" s="5">
        <v>45.676461372797228</v>
      </c>
      <c r="K791" s="5">
        <v>91</v>
      </c>
    </row>
    <row r="792" spans="1:11" x14ac:dyDescent="0.25">
      <c r="A792" s="2">
        <v>46130.375</v>
      </c>
      <c r="B792" t="str">
        <f t="shared" si="24"/>
        <v>2026-04</v>
      </c>
      <c r="C792" s="3">
        <f t="shared" si="25"/>
        <v>9</v>
      </c>
      <c r="D792" s="4">
        <v>21.096863846647221</v>
      </c>
      <c r="E792" s="4">
        <v>22.413455640708332</v>
      </c>
      <c r="F792" s="4">
        <v>22.962556185383331</v>
      </c>
      <c r="G792" s="4">
        <v>8.3000000000000007</v>
      </c>
      <c r="H792" s="5">
        <v>55.887392836572218</v>
      </c>
      <c r="I792" s="5">
        <v>50.241900686230558</v>
      </c>
      <c r="J792" s="5">
        <v>45.425000517330552</v>
      </c>
      <c r="K792" s="5">
        <v>91</v>
      </c>
    </row>
    <row r="793" spans="1:11" x14ac:dyDescent="0.25">
      <c r="A793" s="2">
        <v>46130.416666666657</v>
      </c>
      <c r="B793" t="str">
        <f t="shared" si="24"/>
        <v>2026-04</v>
      </c>
      <c r="C793" s="3">
        <f t="shared" si="25"/>
        <v>10</v>
      </c>
      <c r="D793" s="4">
        <v>21.39428576755278</v>
      </c>
      <c r="E793" s="4">
        <v>22.482544034475001</v>
      </c>
      <c r="F793" s="4">
        <v>22.950097331077782</v>
      </c>
      <c r="G793" s="4">
        <v>9.1999999999999993</v>
      </c>
      <c r="H793" s="5">
        <v>54.185747757827777</v>
      </c>
      <c r="I793" s="5">
        <v>50.045168505686107</v>
      </c>
      <c r="J793" s="5">
        <v>45.22668872039722</v>
      </c>
      <c r="K793" s="5">
        <v>86</v>
      </c>
    </row>
    <row r="794" spans="1:11" x14ac:dyDescent="0.25">
      <c r="A794" s="2">
        <v>46130.458333333343</v>
      </c>
      <c r="B794" t="str">
        <f t="shared" si="24"/>
        <v>2026-04</v>
      </c>
      <c r="C794" s="3">
        <f t="shared" si="25"/>
        <v>11</v>
      </c>
      <c r="D794" s="4">
        <v>21.572147690605561</v>
      </c>
      <c r="E794" s="4">
        <v>22.536068066088891</v>
      </c>
      <c r="F794" s="4">
        <v>22.944166399063889</v>
      </c>
      <c r="G794" s="4">
        <v>10.199999999999999</v>
      </c>
      <c r="H794" s="5">
        <v>53.589890942438892</v>
      </c>
      <c r="I794" s="5">
        <v>49.777169087166669</v>
      </c>
      <c r="J794" s="5">
        <v>45.091813286138887</v>
      </c>
      <c r="K794" s="5">
        <v>75</v>
      </c>
    </row>
    <row r="795" spans="1:11" x14ac:dyDescent="0.25">
      <c r="A795" s="2">
        <v>46130.5</v>
      </c>
      <c r="B795" t="str">
        <f t="shared" si="24"/>
        <v>2026-04</v>
      </c>
      <c r="C795" s="3">
        <f t="shared" si="25"/>
        <v>12</v>
      </c>
      <c r="D795" s="4">
        <v>21.68267804026944</v>
      </c>
      <c r="E795" s="4">
        <v>23.017691255236109</v>
      </c>
      <c r="F795" s="4">
        <v>22.943846765719439</v>
      </c>
      <c r="G795" s="4">
        <v>10.7</v>
      </c>
      <c r="H795" s="5">
        <v>54.556908719736121</v>
      </c>
      <c r="I795" s="5">
        <v>53.16697418721111</v>
      </c>
      <c r="J795" s="5">
        <v>44.911281158152782</v>
      </c>
      <c r="K795" s="5">
        <v>73</v>
      </c>
    </row>
    <row r="796" spans="1:11" x14ac:dyDescent="0.25">
      <c r="A796" s="2">
        <v>46130.541666666657</v>
      </c>
      <c r="B796" t="str">
        <f t="shared" si="24"/>
        <v>2026-04</v>
      </c>
      <c r="C796" s="3">
        <f t="shared" si="25"/>
        <v>13</v>
      </c>
      <c r="D796" s="4">
        <v>21.601675815191669</v>
      </c>
      <c r="E796" s="4">
        <v>23.299364873616671</v>
      </c>
      <c r="F796" s="4">
        <v>22.950930630491669</v>
      </c>
      <c r="G796" s="4">
        <v>10.7</v>
      </c>
      <c r="H796" s="5">
        <v>55.906831304038889</v>
      </c>
      <c r="I796" s="5">
        <v>51.643062337555563</v>
      </c>
      <c r="J796" s="5">
        <v>44.841657768211121</v>
      </c>
      <c r="K796" s="5">
        <v>73</v>
      </c>
    </row>
    <row r="797" spans="1:11" x14ac:dyDescent="0.25">
      <c r="A797" s="2">
        <v>46130.583333333343</v>
      </c>
      <c r="B797" t="str">
        <f t="shared" si="24"/>
        <v>2026-04</v>
      </c>
      <c r="C797" s="3">
        <f t="shared" si="25"/>
        <v>14</v>
      </c>
      <c r="D797" s="4">
        <v>21.505529659025001</v>
      </c>
      <c r="E797" s="4">
        <v>23.210351278877781</v>
      </c>
      <c r="F797" s="4">
        <v>22.947347931330551</v>
      </c>
      <c r="G797" s="4">
        <v>10.6</v>
      </c>
      <c r="H797" s="5">
        <v>55.311942274022222</v>
      </c>
      <c r="I797" s="5">
        <v>49.851404672786117</v>
      </c>
      <c r="J797" s="5">
        <v>44.763057847097222</v>
      </c>
      <c r="K797" s="5">
        <v>76</v>
      </c>
    </row>
    <row r="798" spans="1:11" x14ac:dyDescent="0.25">
      <c r="A798" s="2">
        <v>46130.625</v>
      </c>
      <c r="B798" t="str">
        <f t="shared" si="24"/>
        <v>2026-04</v>
      </c>
      <c r="C798" s="3">
        <f t="shared" si="25"/>
        <v>15</v>
      </c>
      <c r="D798" s="4">
        <v>21.292203336716671</v>
      </c>
      <c r="E798" s="4">
        <v>22.935198584022221</v>
      </c>
      <c r="F798" s="4">
        <v>22.95155537199166</v>
      </c>
      <c r="G798" s="4">
        <v>10.4</v>
      </c>
      <c r="H798" s="5">
        <v>53.981678600077771</v>
      </c>
      <c r="I798" s="5">
        <v>48.21522542867222</v>
      </c>
      <c r="J798" s="5">
        <v>44.707765337586117</v>
      </c>
      <c r="K798" s="5">
        <v>80</v>
      </c>
    </row>
    <row r="799" spans="1:11" x14ac:dyDescent="0.25">
      <c r="A799" s="2">
        <v>46130.666666666657</v>
      </c>
      <c r="B799" t="str">
        <f t="shared" si="24"/>
        <v>2026-04</v>
      </c>
      <c r="C799" s="3">
        <f t="shared" si="25"/>
        <v>16</v>
      </c>
      <c r="D799" s="4">
        <v>21.082734049180559</v>
      </c>
      <c r="E799" s="4">
        <v>22.752975411508331</v>
      </c>
      <c r="F799" s="4">
        <v>22.948249730724999</v>
      </c>
      <c r="G799" s="4">
        <v>10.3</v>
      </c>
      <c r="H799" s="5">
        <v>52.030214140805562</v>
      </c>
      <c r="I799" s="5">
        <v>47.181381707594447</v>
      </c>
      <c r="J799" s="5">
        <v>44.652334506024999</v>
      </c>
      <c r="K799" s="5">
        <v>84</v>
      </c>
    </row>
    <row r="800" spans="1:11" x14ac:dyDescent="0.25">
      <c r="A800" s="2">
        <v>46130.708333333343</v>
      </c>
      <c r="B800" t="str">
        <f t="shared" si="24"/>
        <v>2026-04</v>
      </c>
      <c r="C800" s="3">
        <f t="shared" si="25"/>
        <v>17</v>
      </c>
      <c r="D800" s="4">
        <v>20.94426264866112</v>
      </c>
      <c r="E800" s="4">
        <v>22.82887872825556</v>
      </c>
      <c r="F800" s="4">
        <v>22.944403449863891</v>
      </c>
      <c r="G800" s="4">
        <v>10</v>
      </c>
      <c r="H800" s="5">
        <v>51.404198499544442</v>
      </c>
      <c r="I800" s="5">
        <v>46.744463705266668</v>
      </c>
      <c r="J800" s="5">
        <v>44.616681185686112</v>
      </c>
      <c r="K800" s="5">
        <v>85</v>
      </c>
    </row>
    <row r="801" spans="1:11" x14ac:dyDescent="0.25">
      <c r="A801" s="2">
        <v>46130.75</v>
      </c>
      <c r="B801" t="str">
        <f t="shared" si="24"/>
        <v>2026-04</v>
      </c>
      <c r="C801" s="3">
        <f t="shared" si="25"/>
        <v>18</v>
      </c>
      <c r="D801" s="4">
        <v>20.965848340830551</v>
      </c>
      <c r="E801" s="4">
        <v>23.056669070363888</v>
      </c>
      <c r="F801" s="4">
        <v>22.97185602485278</v>
      </c>
      <c r="G801" s="4">
        <v>9.4</v>
      </c>
      <c r="H801" s="5">
        <v>53.562221092402773</v>
      </c>
      <c r="I801" s="5">
        <v>47.637246702280557</v>
      </c>
      <c r="J801" s="5">
        <v>45.839355556938891</v>
      </c>
      <c r="K801" s="5">
        <v>95</v>
      </c>
    </row>
    <row r="802" spans="1:11" x14ac:dyDescent="0.25">
      <c r="A802" s="2">
        <v>46130.791666666657</v>
      </c>
      <c r="B802" t="str">
        <f t="shared" si="24"/>
        <v>2026-04</v>
      </c>
      <c r="C802" s="3">
        <f t="shared" si="25"/>
        <v>19</v>
      </c>
      <c r="D802" s="4">
        <v>21.052539400563891</v>
      </c>
      <c r="E802" s="4">
        <v>23.23538328820834</v>
      </c>
      <c r="F802" s="4">
        <v>23.071043864930559</v>
      </c>
      <c r="G802" s="4">
        <v>8.9</v>
      </c>
      <c r="H802" s="5">
        <v>53.243251351894443</v>
      </c>
      <c r="I802" s="5">
        <v>47.298585486402779</v>
      </c>
      <c r="J802" s="5">
        <v>53.456586083336113</v>
      </c>
      <c r="K802" s="5">
        <v>96</v>
      </c>
    </row>
    <row r="803" spans="1:11" x14ac:dyDescent="0.25">
      <c r="A803" s="2">
        <v>46130.833333333343</v>
      </c>
      <c r="B803" t="str">
        <f t="shared" si="24"/>
        <v>2026-04</v>
      </c>
      <c r="C803" s="3">
        <f t="shared" si="25"/>
        <v>20</v>
      </c>
      <c r="D803" s="4">
        <v>21.265120354002779</v>
      </c>
      <c r="E803" s="4">
        <v>23.397509622552771</v>
      </c>
      <c r="F803" s="4">
        <v>23.21455891415</v>
      </c>
      <c r="G803" s="4">
        <v>8.5</v>
      </c>
      <c r="H803" s="5">
        <v>54.350165180066682</v>
      </c>
      <c r="I803" s="5">
        <v>47.608941596086112</v>
      </c>
      <c r="J803" s="5">
        <v>54.271493700972222</v>
      </c>
      <c r="K803" s="5">
        <v>96</v>
      </c>
    </row>
    <row r="804" spans="1:11" x14ac:dyDescent="0.25">
      <c r="A804" s="2">
        <v>46130.875</v>
      </c>
      <c r="B804" t="str">
        <f t="shared" si="24"/>
        <v>2026-04</v>
      </c>
      <c r="C804" s="3">
        <f t="shared" si="25"/>
        <v>21</v>
      </c>
      <c r="D804" s="4">
        <v>21.334333656711109</v>
      </c>
      <c r="E804" s="4">
        <v>23.337284607972219</v>
      </c>
      <c r="F804" s="4">
        <v>23.483185031230558</v>
      </c>
      <c r="G804" s="4">
        <v>8.6</v>
      </c>
      <c r="H804" s="5">
        <v>53.620337881219449</v>
      </c>
      <c r="I804" s="5">
        <v>48.204672831308329</v>
      </c>
      <c r="J804" s="5">
        <v>54.300656182725</v>
      </c>
      <c r="K804" s="5">
        <v>97</v>
      </c>
    </row>
    <row r="805" spans="1:11" x14ac:dyDescent="0.25">
      <c r="A805" s="2">
        <v>46130.916666666657</v>
      </c>
      <c r="B805" t="str">
        <f t="shared" si="24"/>
        <v>2026-04</v>
      </c>
      <c r="C805" s="3">
        <f t="shared" si="25"/>
        <v>22</v>
      </c>
      <c r="D805" s="4">
        <v>21.457380303116661</v>
      </c>
      <c r="E805" s="4">
        <v>23.36338850469722</v>
      </c>
      <c r="F805" s="4">
        <v>23.282445537241671</v>
      </c>
      <c r="G805" s="4">
        <v>8.6</v>
      </c>
      <c r="H805" s="5">
        <v>54.08533418253888</v>
      </c>
      <c r="I805" s="5">
        <v>50.038536672141667</v>
      </c>
      <c r="J805" s="5">
        <v>49.534798939544451</v>
      </c>
      <c r="K805" s="5">
        <v>97</v>
      </c>
    </row>
    <row r="806" spans="1:11" x14ac:dyDescent="0.25">
      <c r="A806" s="2">
        <v>46130.958333333343</v>
      </c>
      <c r="B806" t="str">
        <f t="shared" si="24"/>
        <v>2026-04</v>
      </c>
      <c r="C806" s="3">
        <f t="shared" si="25"/>
        <v>23</v>
      </c>
      <c r="D806" s="4">
        <v>21.82233468973056</v>
      </c>
      <c r="E806" s="4">
        <v>23.26468463417778</v>
      </c>
      <c r="F806" s="4">
        <v>23.22597274332222</v>
      </c>
      <c r="G806" s="4">
        <v>8.3000000000000007</v>
      </c>
      <c r="H806" s="5">
        <v>53.246943887669438</v>
      </c>
      <c r="I806" s="5">
        <v>49.649473873786107</v>
      </c>
      <c r="J806" s="5">
        <v>47.974136191027767</v>
      </c>
      <c r="K806" s="5">
        <v>97</v>
      </c>
    </row>
    <row r="807" spans="1:11" x14ac:dyDescent="0.25">
      <c r="A807" s="2">
        <v>46131</v>
      </c>
      <c r="B807" t="str">
        <f t="shared" si="24"/>
        <v>2026-04</v>
      </c>
      <c r="C807" s="3">
        <f t="shared" si="25"/>
        <v>0</v>
      </c>
      <c r="D807" s="4">
        <v>21.938748834986111</v>
      </c>
      <c r="E807" s="4">
        <v>23.293882935572221</v>
      </c>
      <c r="F807" s="4">
        <v>23.193917114616671</v>
      </c>
      <c r="G807" s="4">
        <v>8.1</v>
      </c>
      <c r="H807" s="5">
        <v>52.49098146294444</v>
      </c>
      <c r="I807" s="5">
        <v>48.163535596944449</v>
      </c>
      <c r="J807" s="5">
        <v>47.159171652155557</v>
      </c>
      <c r="K807" s="5">
        <v>97</v>
      </c>
    </row>
    <row r="808" spans="1:11" x14ac:dyDescent="0.25">
      <c r="A808" s="2">
        <v>46131.041666666657</v>
      </c>
      <c r="B808" t="str">
        <f t="shared" si="24"/>
        <v>2026-04</v>
      </c>
      <c r="C808" s="3">
        <f t="shared" si="25"/>
        <v>1</v>
      </c>
      <c r="D808" s="4">
        <v>22.034938011416671</v>
      </c>
      <c r="E808" s="4">
        <v>23.294709075730559</v>
      </c>
      <c r="F808" s="4">
        <v>23.203194720036109</v>
      </c>
      <c r="G808" s="4">
        <v>7.9</v>
      </c>
      <c r="H808" s="5">
        <v>51.64599300216944</v>
      </c>
      <c r="I808" s="5">
        <v>47.395885827719447</v>
      </c>
      <c r="J808" s="5">
        <v>46.598806288919441</v>
      </c>
      <c r="K808" s="5">
        <v>97</v>
      </c>
    </row>
    <row r="809" spans="1:11" x14ac:dyDescent="0.25">
      <c r="A809" s="2">
        <v>46131.083333333343</v>
      </c>
      <c r="B809" t="str">
        <f t="shared" si="24"/>
        <v>2026-04</v>
      </c>
      <c r="C809" s="3">
        <f t="shared" si="25"/>
        <v>2</v>
      </c>
      <c r="D809" s="4">
        <v>21.951461406447219</v>
      </c>
      <c r="E809" s="4">
        <v>23.258446601155551</v>
      </c>
      <c r="F809" s="4">
        <v>23.21102958042778</v>
      </c>
      <c r="G809" s="4">
        <v>8</v>
      </c>
      <c r="H809" s="5">
        <v>51.503672347633326</v>
      </c>
      <c r="I809" s="5">
        <v>47.70663232375</v>
      </c>
      <c r="J809" s="5">
        <v>46.184424947772222</v>
      </c>
      <c r="K809" s="5">
        <v>94</v>
      </c>
    </row>
    <row r="810" spans="1:11" x14ac:dyDescent="0.25">
      <c r="A810" s="2">
        <v>46131.125</v>
      </c>
      <c r="B810" t="str">
        <f t="shared" si="24"/>
        <v>2026-04</v>
      </c>
      <c r="C810" s="3">
        <f t="shared" si="25"/>
        <v>3</v>
      </c>
      <c r="D810" s="4">
        <v>21.541563597825</v>
      </c>
      <c r="E810" s="4">
        <v>22.924913008669449</v>
      </c>
      <c r="F810" s="4">
        <v>23.188235899011119</v>
      </c>
      <c r="G810" s="4">
        <v>7.8</v>
      </c>
      <c r="H810" s="5">
        <v>51.836224314741663</v>
      </c>
      <c r="I810" s="5">
        <v>48.043715543241667</v>
      </c>
      <c r="J810" s="5">
        <v>45.920944791972232</v>
      </c>
      <c r="K810" s="5">
        <v>91</v>
      </c>
    </row>
    <row r="811" spans="1:11" x14ac:dyDescent="0.25">
      <c r="A811" s="2">
        <v>46131.166666666657</v>
      </c>
      <c r="B811" t="str">
        <f t="shared" si="24"/>
        <v>2026-04</v>
      </c>
      <c r="C811" s="3">
        <f t="shared" si="25"/>
        <v>4</v>
      </c>
      <c r="D811" s="4">
        <v>21.319114006608331</v>
      </c>
      <c r="E811" s="4">
        <v>22.83928828608056</v>
      </c>
      <c r="F811" s="4">
        <v>23.159069072636111</v>
      </c>
      <c r="G811" s="4">
        <v>7.8</v>
      </c>
      <c r="H811" s="5">
        <v>51.737956125441663</v>
      </c>
      <c r="I811" s="5">
        <v>47.591571701272223</v>
      </c>
      <c r="J811" s="5">
        <v>45.721235812072223</v>
      </c>
      <c r="K811" s="5">
        <v>94</v>
      </c>
    </row>
    <row r="812" spans="1:11" x14ac:dyDescent="0.25">
      <c r="A812" s="2">
        <v>46131.208333333343</v>
      </c>
      <c r="B812" t="str">
        <f t="shared" si="24"/>
        <v>2026-04</v>
      </c>
      <c r="C812" s="3">
        <f t="shared" si="25"/>
        <v>5</v>
      </c>
      <c r="D812" s="4">
        <v>21.201295347011111</v>
      </c>
      <c r="E812" s="4">
        <v>22.804532204697221</v>
      </c>
      <c r="F812" s="4">
        <v>23.152083449991661</v>
      </c>
      <c r="G812" s="4">
        <v>7.7</v>
      </c>
      <c r="H812" s="5">
        <v>51.733096025088891</v>
      </c>
      <c r="I812" s="5">
        <v>47.150604476036122</v>
      </c>
      <c r="J812" s="5">
        <v>45.538553774725003</v>
      </c>
      <c r="K812" s="5">
        <v>95</v>
      </c>
    </row>
    <row r="813" spans="1:11" x14ac:dyDescent="0.25">
      <c r="A813" s="2">
        <v>46131.25</v>
      </c>
      <c r="B813" t="str">
        <f t="shared" si="24"/>
        <v>2026-04</v>
      </c>
      <c r="C813" s="3">
        <f t="shared" si="25"/>
        <v>6</v>
      </c>
      <c r="D813" s="4">
        <v>21.114253798413891</v>
      </c>
      <c r="E813" s="4">
        <v>22.55506959885556</v>
      </c>
      <c r="F813" s="4">
        <v>23.133722341036108</v>
      </c>
      <c r="G813" s="4">
        <v>7.4</v>
      </c>
      <c r="H813" s="5">
        <v>51.6090568272</v>
      </c>
      <c r="I813" s="5">
        <v>47.436344937877777</v>
      </c>
      <c r="J813" s="5">
        <v>45.387817384741659</v>
      </c>
      <c r="K813" s="5">
        <v>97</v>
      </c>
    </row>
    <row r="814" spans="1:11" x14ac:dyDescent="0.25">
      <c r="A814" s="2">
        <v>46131.291666666657</v>
      </c>
      <c r="B814" t="str">
        <f t="shared" si="24"/>
        <v>2026-04</v>
      </c>
      <c r="C814" s="3">
        <f t="shared" si="25"/>
        <v>7</v>
      </c>
      <c r="D814" s="4">
        <v>21.100278246097229</v>
      </c>
      <c r="E814" s="4">
        <v>22.529447772380561</v>
      </c>
      <c r="F814" s="4">
        <v>23.117304467961109</v>
      </c>
      <c r="G814" s="4">
        <v>7.5</v>
      </c>
      <c r="H814" s="5">
        <v>51.213618413055563</v>
      </c>
      <c r="I814" s="5">
        <v>47.120484814222223</v>
      </c>
      <c r="J814" s="5">
        <v>45.246969818136108</v>
      </c>
      <c r="K814" s="5">
        <v>95</v>
      </c>
    </row>
    <row r="815" spans="1:11" x14ac:dyDescent="0.25">
      <c r="A815" s="2">
        <v>46131.333333333343</v>
      </c>
      <c r="B815" t="str">
        <f t="shared" si="24"/>
        <v>2026-04</v>
      </c>
      <c r="C815" s="3">
        <f t="shared" si="25"/>
        <v>8</v>
      </c>
      <c r="D815" s="4">
        <v>21.137680227425001</v>
      </c>
      <c r="E815" s="4">
        <v>22.44818878941944</v>
      </c>
      <c r="F815" s="4">
        <v>23.095374848077778</v>
      </c>
      <c r="G815" s="4">
        <v>8</v>
      </c>
      <c r="H815" s="5">
        <v>50.801657994669448</v>
      </c>
      <c r="I815" s="5">
        <v>46.886123618461113</v>
      </c>
      <c r="J815" s="5">
        <v>45.125386317791673</v>
      </c>
      <c r="K815" s="5">
        <v>94</v>
      </c>
    </row>
    <row r="816" spans="1:11" x14ac:dyDescent="0.25">
      <c r="A816" s="2">
        <v>46131.375</v>
      </c>
      <c r="B816" t="str">
        <f t="shared" si="24"/>
        <v>2026-04</v>
      </c>
      <c r="C816" s="3">
        <f t="shared" si="25"/>
        <v>9</v>
      </c>
      <c r="D816" s="4">
        <v>21.345811152480561</v>
      </c>
      <c r="E816" s="4">
        <v>22.50020525848889</v>
      </c>
      <c r="F816" s="4">
        <v>23.07045736776945</v>
      </c>
      <c r="G816" s="4">
        <v>8.8000000000000007</v>
      </c>
      <c r="H816" s="5">
        <v>49.812823001775001</v>
      </c>
      <c r="I816" s="5">
        <v>46.433623047813889</v>
      </c>
      <c r="J816" s="5">
        <v>45.028067483277773</v>
      </c>
      <c r="K816" s="5">
        <v>87</v>
      </c>
    </row>
    <row r="817" spans="1:11" x14ac:dyDescent="0.25">
      <c r="A817" s="2">
        <v>46131.416666666657</v>
      </c>
      <c r="B817" t="str">
        <f t="shared" si="24"/>
        <v>2026-04</v>
      </c>
      <c r="C817" s="3">
        <f t="shared" si="25"/>
        <v>10</v>
      </c>
      <c r="D817" s="4">
        <v>21.355251429386112</v>
      </c>
      <c r="E817" s="4">
        <v>22.546878126161111</v>
      </c>
      <c r="F817" s="4">
        <v>23.06827807746944</v>
      </c>
      <c r="G817" s="4">
        <v>10.1</v>
      </c>
      <c r="H817" s="5">
        <v>49.587718497880552</v>
      </c>
      <c r="I817" s="5">
        <v>46.06905776245555</v>
      </c>
      <c r="J817" s="5">
        <v>44.921789274200002</v>
      </c>
      <c r="K817" s="5">
        <v>76</v>
      </c>
    </row>
    <row r="818" spans="1:11" x14ac:dyDescent="0.25">
      <c r="A818" s="2">
        <v>46131.458333333343</v>
      </c>
      <c r="B818" t="str">
        <f t="shared" si="24"/>
        <v>2026-04</v>
      </c>
      <c r="C818" s="3">
        <f t="shared" si="25"/>
        <v>11</v>
      </c>
      <c r="D818" s="4">
        <v>21.27088877066112</v>
      </c>
      <c r="E818" s="4">
        <v>22.40788444730833</v>
      </c>
      <c r="F818" s="4">
        <v>23.045693325138888</v>
      </c>
      <c r="G818" s="4">
        <v>10.5</v>
      </c>
      <c r="H818" s="5">
        <v>49.854818116358331</v>
      </c>
      <c r="I818" s="5">
        <v>46.226760623799997</v>
      </c>
      <c r="J818" s="5">
        <v>44.870680191902778</v>
      </c>
      <c r="K818" s="5">
        <v>74</v>
      </c>
    </row>
    <row r="819" spans="1:11" x14ac:dyDescent="0.25">
      <c r="A819" s="2">
        <v>46131.5</v>
      </c>
      <c r="B819" t="str">
        <f t="shared" si="24"/>
        <v>2026-04</v>
      </c>
      <c r="C819" s="3">
        <f t="shared" si="25"/>
        <v>12</v>
      </c>
      <c r="D819" s="4">
        <v>21.252500120194441</v>
      </c>
      <c r="E819" s="4">
        <v>22.4955181853</v>
      </c>
      <c r="F819" s="4">
        <v>23.01594307746112</v>
      </c>
      <c r="G819" s="4">
        <v>10.8</v>
      </c>
      <c r="H819" s="5">
        <v>49.89992339133611</v>
      </c>
      <c r="I819" s="5">
        <v>46.977872627833342</v>
      </c>
      <c r="J819" s="5">
        <v>44.824093173708341</v>
      </c>
      <c r="K819" s="5">
        <v>72</v>
      </c>
    </row>
    <row r="820" spans="1:11" x14ac:dyDescent="0.25">
      <c r="A820" s="2">
        <v>46131.541666666657</v>
      </c>
      <c r="B820" t="str">
        <f t="shared" si="24"/>
        <v>2026-04</v>
      </c>
      <c r="C820" s="3">
        <f t="shared" si="25"/>
        <v>13</v>
      </c>
      <c r="D820" s="4">
        <v>21.243063377919441</v>
      </c>
      <c r="E820" s="4">
        <v>22.810416830547229</v>
      </c>
      <c r="F820" s="4">
        <v>23.019195834947219</v>
      </c>
      <c r="G820" s="4">
        <v>9.6999999999999993</v>
      </c>
      <c r="H820" s="5">
        <v>50.889806984083343</v>
      </c>
      <c r="I820" s="5">
        <v>48.644287979141673</v>
      </c>
      <c r="J820" s="5">
        <v>44.72099737372222</v>
      </c>
      <c r="K820" s="5">
        <v>74</v>
      </c>
    </row>
    <row r="821" spans="1:11" x14ac:dyDescent="0.25">
      <c r="A821" s="2">
        <v>46131.583333333343</v>
      </c>
      <c r="B821" t="str">
        <f t="shared" si="24"/>
        <v>2026-04</v>
      </c>
      <c r="C821" s="3">
        <f t="shared" si="25"/>
        <v>14</v>
      </c>
      <c r="D821" s="4">
        <v>21.252330609147229</v>
      </c>
      <c r="E821" s="4">
        <v>23.12422269704723</v>
      </c>
      <c r="F821" s="4">
        <v>23.034806716944441</v>
      </c>
      <c r="G821" s="4">
        <v>9.8000000000000007</v>
      </c>
      <c r="H821" s="5">
        <v>53.441598697049997</v>
      </c>
      <c r="I821" s="5">
        <v>48.051080185611113</v>
      </c>
      <c r="J821" s="5">
        <v>44.67823604863333</v>
      </c>
      <c r="K821" s="5">
        <v>73</v>
      </c>
    </row>
    <row r="822" spans="1:11" x14ac:dyDescent="0.25">
      <c r="A822" s="2">
        <v>46131.625</v>
      </c>
      <c r="B822" t="str">
        <f t="shared" si="24"/>
        <v>2026-04</v>
      </c>
      <c r="C822" s="3">
        <f t="shared" si="25"/>
        <v>15</v>
      </c>
      <c r="D822" s="4">
        <v>21.314628354438891</v>
      </c>
      <c r="E822" s="4">
        <v>22.94647548570833</v>
      </c>
      <c r="F822" s="4">
        <v>23.049750173033331</v>
      </c>
      <c r="G822" s="4">
        <v>9.1</v>
      </c>
      <c r="H822" s="5">
        <v>53.265960547311117</v>
      </c>
      <c r="I822" s="5">
        <v>48.527223883344448</v>
      </c>
      <c r="J822" s="5">
        <v>44.593661843938889</v>
      </c>
      <c r="K822" s="5">
        <v>71</v>
      </c>
    </row>
    <row r="823" spans="1:11" x14ac:dyDescent="0.25">
      <c r="A823" s="2">
        <v>46131.666666666657</v>
      </c>
      <c r="B823" t="str">
        <f t="shared" si="24"/>
        <v>2026-04</v>
      </c>
      <c r="C823" s="3">
        <f t="shared" si="25"/>
        <v>16</v>
      </c>
      <c r="D823" s="4">
        <v>21.062908781444449</v>
      </c>
      <c r="E823" s="4">
        <v>22.650836622541661</v>
      </c>
      <c r="F823" s="4">
        <v>23.053444566444441</v>
      </c>
      <c r="G823" s="4">
        <v>9.1</v>
      </c>
      <c r="H823" s="5">
        <v>51.207868201122217</v>
      </c>
      <c r="I823" s="5">
        <v>47.20664834454444</v>
      </c>
      <c r="J823" s="5">
        <v>44.527650537583327</v>
      </c>
      <c r="K823" s="5">
        <v>69</v>
      </c>
    </row>
    <row r="824" spans="1:11" x14ac:dyDescent="0.25">
      <c r="A824" s="2">
        <v>46131.708333333343</v>
      </c>
      <c r="B824" t="str">
        <f t="shared" si="24"/>
        <v>2026-04</v>
      </c>
      <c r="C824" s="3">
        <f t="shared" si="25"/>
        <v>17</v>
      </c>
      <c r="D824" s="4">
        <v>21.110130768772219</v>
      </c>
      <c r="E824" s="4">
        <v>21.935999993341671</v>
      </c>
      <c r="F824" s="4">
        <v>23.239260123849999</v>
      </c>
      <c r="G824" s="4">
        <v>8.8000000000000007</v>
      </c>
      <c r="H824" s="5">
        <v>50.571894990366673</v>
      </c>
      <c r="I824" s="5">
        <v>50.038811085913892</v>
      </c>
      <c r="J824" s="5">
        <v>51.020005514388892</v>
      </c>
      <c r="K824" s="5">
        <v>66</v>
      </c>
    </row>
    <row r="825" spans="1:11" x14ac:dyDescent="0.25">
      <c r="A825" s="2">
        <v>46131.75</v>
      </c>
      <c r="B825" t="str">
        <f t="shared" si="24"/>
        <v>2026-04</v>
      </c>
      <c r="C825" s="3">
        <f t="shared" si="25"/>
        <v>18</v>
      </c>
      <c r="D825" s="4">
        <v>21.292472990730559</v>
      </c>
      <c r="E825" s="4">
        <v>22.744043234508339</v>
      </c>
      <c r="F825" s="4">
        <v>23.24547054388611</v>
      </c>
      <c r="G825" s="4">
        <v>8.5</v>
      </c>
      <c r="H825" s="5">
        <v>52.340578808219448</v>
      </c>
      <c r="I825" s="5">
        <v>49.322106788452778</v>
      </c>
      <c r="J825" s="5">
        <v>51.023257729411121</v>
      </c>
      <c r="K825" s="5">
        <v>62</v>
      </c>
    </row>
    <row r="826" spans="1:11" x14ac:dyDescent="0.25">
      <c r="A826" s="2">
        <v>46131.791666666657</v>
      </c>
      <c r="B826" t="str">
        <f t="shared" si="24"/>
        <v>2026-04</v>
      </c>
      <c r="C826" s="3">
        <f t="shared" si="25"/>
        <v>19</v>
      </c>
      <c r="D826" s="4">
        <v>21.22901040533333</v>
      </c>
      <c r="E826" s="4">
        <v>22.98846301203611</v>
      </c>
      <c r="F826" s="4">
        <v>23.20245416468056</v>
      </c>
      <c r="G826" s="4">
        <v>8</v>
      </c>
      <c r="H826" s="5">
        <v>53.708940906144448</v>
      </c>
      <c r="I826" s="5">
        <v>50.243929358197221</v>
      </c>
      <c r="J826" s="5">
        <v>47.944928382611117</v>
      </c>
      <c r="K826" s="5">
        <v>63</v>
      </c>
    </row>
    <row r="827" spans="1:11" x14ac:dyDescent="0.25">
      <c r="A827" s="2">
        <v>46131.833333333343</v>
      </c>
      <c r="B827" t="str">
        <f t="shared" si="24"/>
        <v>2026-04</v>
      </c>
      <c r="C827" s="3">
        <f t="shared" si="25"/>
        <v>20</v>
      </c>
      <c r="D827" s="4">
        <v>21.24471185317222</v>
      </c>
      <c r="E827" s="4">
        <v>23.062899321647219</v>
      </c>
      <c r="F827" s="4">
        <v>23.243909734630549</v>
      </c>
      <c r="G827" s="4">
        <v>7.6</v>
      </c>
      <c r="H827" s="5">
        <v>54.073351543874999</v>
      </c>
      <c r="I827" s="5">
        <v>49.840085871322223</v>
      </c>
      <c r="J827" s="5">
        <v>48.113063850933337</v>
      </c>
      <c r="K827" s="5">
        <v>63</v>
      </c>
    </row>
    <row r="828" spans="1:11" x14ac:dyDescent="0.25">
      <c r="A828" s="2">
        <v>46131.875</v>
      </c>
      <c r="B828" t="str">
        <f t="shared" si="24"/>
        <v>2026-04</v>
      </c>
      <c r="C828" s="3">
        <f t="shared" si="25"/>
        <v>21</v>
      </c>
      <c r="D828" s="4">
        <v>21.298870114119438</v>
      </c>
      <c r="E828" s="4">
        <v>22.989743145449999</v>
      </c>
      <c r="F828" s="4">
        <v>23.307352815383339</v>
      </c>
      <c r="G828" s="4">
        <v>6.9</v>
      </c>
      <c r="H828" s="5">
        <v>53.157125595308337</v>
      </c>
      <c r="I828" s="5">
        <v>49.001897884969438</v>
      </c>
      <c r="J828" s="5">
        <v>46.806473585205559</v>
      </c>
      <c r="K828" s="5">
        <v>68</v>
      </c>
    </row>
    <row r="829" spans="1:11" x14ac:dyDescent="0.25">
      <c r="A829" s="2">
        <v>46131.916666666657</v>
      </c>
      <c r="B829" t="str">
        <f t="shared" si="24"/>
        <v>2026-04</v>
      </c>
      <c r="C829" s="3">
        <f t="shared" si="25"/>
        <v>22</v>
      </c>
      <c r="D829" s="4">
        <v>21.164143100541661</v>
      </c>
      <c r="E829" s="4">
        <v>22.701529801300001</v>
      </c>
      <c r="F829" s="4">
        <v>23.387545090747221</v>
      </c>
      <c r="G829" s="4">
        <v>5.3</v>
      </c>
      <c r="H829" s="5">
        <v>53.38309886778611</v>
      </c>
      <c r="I829" s="5">
        <v>49.197888340258338</v>
      </c>
      <c r="J829" s="5">
        <v>46.627398739197233</v>
      </c>
      <c r="K829" s="5">
        <v>72</v>
      </c>
    </row>
    <row r="830" spans="1:11" x14ac:dyDescent="0.25">
      <c r="A830" s="2">
        <v>46131.958333333343</v>
      </c>
      <c r="B830" t="str">
        <f t="shared" si="24"/>
        <v>2026-04</v>
      </c>
      <c r="C830" s="3">
        <f t="shared" si="25"/>
        <v>23</v>
      </c>
      <c r="D830" s="4">
        <v>21.192580049183331</v>
      </c>
      <c r="E830" s="4">
        <v>23.117366006274999</v>
      </c>
      <c r="F830" s="4">
        <v>23.428834247525</v>
      </c>
      <c r="G830" s="4">
        <v>4.3</v>
      </c>
      <c r="H830" s="5">
        <v>53.941609878377768</v>
      </c>
      <c r="I830" s="5">
        <v>49.070982520658333</v>
      </c>
      <c r="J830" s="5">
        <v>46.628792057086123</v>
      </c>
      <c r="K830" s="5">
        <v>76</v>
      </c>
    </row>
    <row r="831" spans="1:11" x14ac:dyDescent="0.25">
      <c r="A831" s="2">
        <v>46132</v>
      </c>
      <c r="B831" t="str">
        <f t="shared" si="24"/>
        <v>2026-04</v>
      </c>
      <c r="C831" s="3">
        <f t="shared" si="25"/>
        <v>0</v>
      </c>
      <c r="D831" s="4">
        <v>21.527889536788891</v>
      </c>
      <c r="E831" s="4">
        <v>23.096752760997219</v>
      </c>
      <c r="F831" s="4">
        <v>23.411915072683328</v>
      </c>
      <c r="G831" s="4">
        <v>3.6</v>
      </c>
      <c r="H831" s="5">
        <v>50.035468937277777</v>
      </c>
      <c r="I831" s="5">
        <v>45.953013143822233</v>
      </c>
      <c r="J831" s="5">
        <v>45.383354587649997</v>
      </c>
      <c r="K831" s="5">
        <v>80</v>
      </c>
    </row>
    <row r="832" spans="1:11" x14ac:dyDescent="0.25">
      <c r="A832" s="2">
        <v>46132.041666666657</v>
      </c>
      <c r="B832" t="str">
        <f t="shared" si="24"/>
        <v>2026-04</v>
      </c>
      <c r="C832" s="3">
        <f t="shared" si="25"/>
        <v>1</v>
      </c>
      <c r="D832" s="4">
        <v>21.55925781178334</v>
      </c>
      <c r="E832" s="4">
        <v>23.048295228233329</v>
      </c>
      <c r="F832" s="4">
        <v>23.423445795886121</v>
      </c>
      <c r="G832" s="4">
        <v>2.9</v>
      </c>
      <c r="H832" s="5">
        <v>47.880303682369451</v>
      </c>
      <c r="I832" s="5">
        <v>44.900425051880553</v>
      </c>
      <c r="J832" s="5">
        <v>45.106635476224987</v>
      </c>
      <c r="K832" s="5">
        <v>83</v>
      </c>
    </row>
    <row r="833" spans="1:11" x14ac:dyDescent="0.25">
      <c r="A833" s="2">
        <v>46132.083333333343</v>
      </c>
      <c r="B833" t="str">
        <f t="shared" si="24"/>
        <v>2026-04</v>
      </c>
      <c r="C833" s="3">
        <f t="shared" si="25"/>
        <v>2</v>
      </c>
      <c r="D833" s="4">
        <v>21.509759511799999</v>
      </c>
      <c r="E833" s="4">
        <v>23.031478634930551</v>
      </c>
      <c r="F833" s="4">
        <v>23.44231990704445</v>
      </c>
      <c r="G833" s="4">
        <v>2.2000000000000002</v>
      </c>
      <c r="H833" s="5">
        <v>48.10434959335555</v>
      </c>
      <c r="I833" s="5">
        <v>44.791221805124998</v>
      </c>
      <c r="J833" s="5">
        <v>44.594938256386122</v>
      </c>
      <c r="K833" s="5">
        <v>86</v>
      </c>
    </row>
    <row r="834" spans="1:11" x14ac:dyDescent="0.25">
      <c r="A834" s="2">
        <v>46132.125</v>
      </c>
      <c r="B834" t="str">
        <f t="shared" ref="B834:B897" si="26">TEXT(A834,"yyyy-mm")</f>
        <v>2026-04</v>
      </c>
      <c r="C834" s="3">
        <f t="shared" ref="C834:C897" si="27">HOUR(A834)</f>
        <v>3</v>
      </c>
      <c r="D834" s="4">
        <v>21.304029627430559</v>
      </c>
      <c r="E834" s="4">
        <v>22.800579955588891</v>
      </c>
      <c r="F834" s="4">
        <v>23.403520213149999</v>
      </c>
      <c r="G834" s="4">
        <v>2</v>
      </c>
      <c r="H834" s="5">
        <v>48.77328533334444</v>
      </c>
      <c r="I834" s="5">
        <v>45.214239305349992</v>
      </c>
      <c r="J834" s="5">
        <v>44.453868332847229</v>
      </c>
      <c r="K834" s="5">
        <v>84</v>
      </c>
    </row>
    <row r="835" spans="1:11" x14ac:dyDescent="0.25">
      <c r="A835" s="2">
        <v>46132.166666666657</v>
      </c>
      <c r="B835" t="str">
        <f t="shared" si="26"/>
        <v>2026-04</v>
      </c>
      <c r="C835" s="3">
        <f t="shared" si="27"/>
        <v>4</v>
      </c>
      <c r="D835" s="4">
        <v>20.795831473941671</v>
      </c>
      <c r="E835" s="4">
        <v>22.513286905030551</v>
      </c>
      <c r="F835" s="4">
        <v>23.31254650975</v>
      </c>
      <c r="G835" s="4">
        <v>1.4</v>
      </c>
      <c r="H835" s="5">
        <v>50.103701110022222</v>
      </c>
      <c r="I835" s="5">
        <v>44.973765568394441</v>
      </c>
      <c r="J835" s="5">
        <v>44.097386082111122</v>
      </c>
      <c r="K835" s="5">
        <v>86</v>
      </c>
    </row>
    <row r="836" spans="1:11" x14ac:dyDescent="0.25">
      <c r="A836" s="2">
        <v>46132.208333333343</v>
      </c>
      <c r="B836" t="str">
        <f t="shared" si="26"/>
        <v>2026-04</v>
      </c>
      <c r="C836" s="3">
        <f t="shared" si="27"/>
        <v>5</v>
      </c>
      <c r="D836" s="4">
        <v>20.533235704744449</v>
      </c>
      <c r="E836" s="4">
        <v>22.112171741569441</v>
      </c>
      <c r="F836" s="4">
        <v>23.237739968416669</v>
      </c>
      <c r="G836" s="4">
        <v>1</v>
      </c>
      <c r="H836" s="5">
        <v>50.146832719525001</v>
      </c>
      <c r="I836" s="5">
        <v>44.953498795666668</v>
      </c>
      <c r="J836" s="5">
        <v>43.828309175052773</v>
      </c>
      <c r="K836" s="5">
        <v>86</v>
      </c>
    </row>
    <row r="837" spans="1:11" x14ac:dyDescent="0.25">
      <c r="A837" s="2">
        <v>46132.25</v>
      </c>
      <c r="B837" t="str">
        <f t="shared" si="26"/>
        <v>2026-04</v>
      </c>
      <c r="C837" s="3">
        <f t="shared" si="27"/>
        <v>6</v>
      </c>
      <c r="D837" s="4">
        <v>21.141977287169439</v>
      </c>
      <c r="E837" s="4">
        <v>22.21928183627222</v>
      </c>
      <c r="F837" s="4">
        <v>23.165186576455561</v>
      </c>
      <c r="G837" s="4">
        <v>0.7</v>
      </c>
      <c r="H837" s="5">
        <v>47.183394333069451</v>
      </c>
      <c r="I837" s="5">
        <v>44.253510398125002</v>
      </c>
      <c r="J837" s="5">
        <v>43.592746293155557</v>
      </c>
      <c r="K837" s="5">
        <v>87</v>
      </c>
    </row>
    <row r="838" spans="1:11" x14ac:dyDescent="0.25">
      <c r="A838" s="2">
        <v>46132.291666666657</v>
      </c>
      <c r="B838" t="str">
        <f t="shared" si="26"/>
        <v>2026-04</v>
      </c>
      <c r="C838" s="3">
        <f t="shared" si="27"/>
        <v>7</v>
      </c>
      <c r="D838" s="4">
        <v>21.830984142999998</v>
      </c>
      <c r="E838" s="4">
        <v>22.697285957108331</v>
      </c>
      <c r="F838" s="4">
        <v>23.11519205662778</v>
      </c>
      <c r="G838" s="4">
        <v>1.5</v>
      </c>
      <c r="H838" s="5">
        <v>44.601864059747221</v>
      </c>
      <c r="I838" s="5">
        <v>43.630609704208332</v>
      </c>
      <c r="J838" s="5">
        <v>43.413828700397232</v>
      </c>
      <c r="K838" s="5">
        <v>86</v>
      </c>
    </row>
    <row r="839" spans="1:11" x14ac:dyDescent="0.25">
      <c r="A839" s="2">
        <v>46132.333333333343</v>
      </c>
      <c r="B839" t="str">
        <f t="shared" si="26"/>
        <v>2026-04</v>
      </c>
      <c r="C839" s="3">
        <f t="shared" si="27"/>
        <v>8</v>
      </c>
      <c r="D839" s="4">
        <v>21.878282304350002</v>
      </c>
      <c r="E839" s="4">
        <v>22.84923066591945</v>
      </c>
      <c r="F839" s="4">
        <v>23.106570124511109</v>
      </c>
      <c r="G839" s="4">
        <v>3.2</v>
      </c>
      <c r="H839" s="5">
        <v>45.135890620394441</v>
      </c>
      <c r="I839" s="5">
        <v>43.523953588938888</v>
      </c>
      <c r="J839" s="5">
        <v>43.25546797943889</v>
      </c>
      <c r="K839" s="5">
        <v>79</v>
      </c>
    </row>
    <row r="840" spans="1:11" x14ac:dyDescent="0.25">
      <c r="A840" s="2">
        <v>46132.375</v>
      </c>
      <c r="B840" t="str">
        <f t="shared" si="26"/>
        <v>2026-04</v>
      </c>
      <c r="C840" s="3">
        <f t="shared" si="27"/>
        <v>9</v>
      </c>
      <c r="D840" s="4">
        <v>21.50758368303612</v>
      </c>
      <c r="E840" s="4">
        <v>22.505547408630552</v>
      </c>
      <c r="F840" s="4">
        <v>23.077206888755551</v>
      </c>
      <c r="G840" s="4">
        <v>5</v>
      </c>
      <c r="H840" s="5">
        <v>46.656148421780557</v>
      </c>
      <c r="I840" s="5">
        <v>44.754197780288877</v>
      </c>
      <c r="J840" s="5">
        <v>43.17001017848056</v>
      </c>
      <c r="K840" s="5">
        <v>69</v>
      </c>
    </row>
    <row r="841" spans="1:11" x14ac:dyDescent="0.25">
      <c r="A841" s="2">
        <v>46132.416666666657</v>
      </c>
      <c r="B841" t="str">
        <f t="shared" si="26"/>
        <v>2026-04</v>
      </c>
      <c r="C841" s="3">
        <f t="shared" si="27"/>
        <v>10</v>
      </c>
      <c r="D841" s="4">
        <v>21.18451494273889</v>
      </c>
      <c r="E841" s="4">
        <v>22.336212194169441</v>
      </c>
      <c r="F841" s="4">
        <v>23.063399540627771</v>
      </c>
      <c r="G841" s="4">
        <v>6.2</v>
      </c>
      <c r="H841" s="5">
        <v>47.600499894252778</v>
      </c>
      <c r="I841" s="5">
        <v>44.43662226738612</v>
      </c>
      <c r="J841" s="5">
        <v>43.077973917474999</v>
      </c>
      <c r="K841" s="5">
        <v>56</v>
      </c>
    </row>
    <row r="842" spans="1:11" x14ac:dyDescent="0.25">
      <c r="A842" s="2">
        <v>46132.458333333343</v>
      </c>
      <c r="B842" t="str">
        <f t="shared" si="26"/>
        <v>2026-04</v>
      </c>
      <c r="C842" s="3">
        <f t="shared" si="27"/>
        <v>11</v>
      </c>
      <c r="D842" s="4">
        <v>21.460991661080559</v>
      </c>
      <c r="E842" s="4">
        <v>22.593636503238891</v>
      </c>
      <c r="F842" s="4">
        <v>23.052750221813891</v>
      </c>
      <c r="G842" s="4">
        <v>6.7</v>
      </c>
      <c r="H842" s="5">
        <v>46.684032225330562</v>
      </c>
      <c r="I842" s="5">
        <v>44.973030336866657</v>
      </c>
      <c r="J842" s="5">
        <v>43.03507560907223</v>
      </c>
      <c r="K842" s="5">
        <v>51</v>
      </c>
    </row>
    <row r="843" spans="1:11" x14ac:dyDescent="0.25">
      <c r="A843" s="2">
        <v>46132.5</v>
      </c>
      <c r="B843" t="str">
        <f t="shared" si="26"/>
        <v>2026-04</v>
      </c>
      <c r="C843" s="3">
        <f t="shared" si="27"/>
        <v>12</v>
      </c>
      <c r="D843" s="4">
        <v>21.710647508791659</v>
      </c>
      <c r="E843" s="4">
        <v>22.99390957455833</v>
      </c>
      <c r="F843" s="4">
        <v>23.046318187933331</v>
      </c>
      <c r="G843" s="4">
        <v>7.5</v>
      </c>
      <c r="H843" s="5">
        <v>47.384362169088888</v>
      </c>
      <c r="I843" s="5">
        <v>46.204611288319448</v>
      </c>
      <c r="J843" s="5">
        <v>43.03642380262778</v>
      </c>
      <c r="K843" s="5">
        <v>48</v>
      </c>
    </row>
    <row r="844" spans="1:11" x14ac:dyDescent="0.25">
      <c r="A844" s="2">
        <v>46132.541666666657</v>
      </c>
      <c r="B844" t="str">
        <f t="shared" si="26"/>
        <v>2026-04</v>
      </c>
      <c r="C844" s="3">
        <f t="shared" si="27"/>
        <v>13</v>
      </c>
      <c r="D844" s="4">
        <v>21.810489690863889</v>
      </c>
      <c r="E844" s="4">
        <v>23.099580083513889</v>
      </c>
      <c r="F844" s="4">
        <v>23.048903350083339</v>
      </c>
      <c r="G844" s="4">
        <v>7.6</v>
      </c>
      <c r="H844" s="5">
        <v>48.782350154583327</v>
      </c>
      <c r="I844" s="5">
        <v>46.709811866175002</v>
      </c>
      <c r="J844" s="5">
        <v>42.996306799386112</v>
      </c>
      <c r="K844" s="5">
        <v>49</v>
      </c>
    </row>
    <row r="845" spans="1:11" x14ac:dyDescent="0.25">
      <c r="A845" s="2">
        <v>46132.583333333343</v>
      </c>
      <c r="B845" t="str">
        <f t="shared" si="26"/>
        <v>2026-04</v>
      </c>
      <c r="C845" s="3">
        <f t="shared" si="27"/>
        <v>14</v>
      </c>
      <c r="D845" s="4">
        <v>22.022209861741668</v>
      </c>
      <c r="E845" s="4">
        <v>23.345844979605559</v>
      </c>
      <c r="F845" s="4">
        <v>23.049111016049999</v>
      </c>
      <c r="G845" s="4">
        <v>7.8</v>
      </c>
      <c r="H845" s="5">
        <v>49.443706877813888</v>
      </c>
      <c r="I845" s="5">
        <v>48.194693192022221</v>
      </c>
      <c r="J845" s="5">
        <v>43.021120510774999</v>
      </c>
      <c r="K845" s="5">
        <v>50</v>
      </c>
    </row>
    <row r="846" spans="1:11" x14ac:dyDescent="0.25">
      <c r="A846" s="2">
        <v>46132.625</v>
      </c>
      <c r="B846" t="str">
        <f t="shared" si="26"/>
        <v>2026-04</v>
      </c>
      <c r="C846" s="3">
        <f t="shared" si="27"/>
        <v>15</v>
      </c>
      <c r="D846" s="4">
        <v>21.970227520419449</v>
      </c>
      <c r="E846" s="4">
        <v>23.323609928277779</v>
      </c>
      <c r="F846" s="4">
        <v>23.05087649127778</v>
      </c>
      <c r="G846" s="4">
        <v>7.2</v>
      </c>
      <c r="H846" s="5">
        <v>49.538022155913893</v>
      </c>
      <c r="I846" s="5">
        <v>47.088718042894442</v>
      </c>
      <c r="J846" s="5">
        <v>42.988703894100013</v>
      </c>
      <c r="K846" s="5">
        <v>53</v>
      </c>
    </row>
    <row r="847" spans="1:11" x14ac:dyDescent="0.25">
      <c r="A847" s="2">
        <v>46132.666666666657</v>
      </c>
      <c r="B847" t="str">
        <f t="shared" si="26"/>
        <v>2026-04</v>
      </c>
      <c r="C847" s="3">
        <f t="shared" si="27"/>
        <v>16</v>
      </c>
      <c r="D847" s="4">
        <v>21.897899855161111</v>
      </c>
      <c r="E847" s="4">
        <v>23.35541612719722</v>
      </c>
      <c r="F847" s="4">
        <v>23.115156310708329</v>
      </c>
      <c r="G847" s="4">
        <v>7.1</v>
      </c>
      <c r="H847" s="5">
        <v>49.277076082819441</v>
      </c>
      <c r="I847" s="5">
        <v>46.018993303561111</v>
      </c>
      <c r="J847" s="5">
        <v>45.823785857355553</v>
      </c>
      <c r="K847" s="5">
        <v>54</v>
      </c>
    </row>
    <row r="848" spans="1:11" x14ac:dyDescent="0.25">
      <c r="A848" s="2">
        <v>46132.708333333343</v>
      </c>
      <c r="B848" t="str">
        <f t="shared" si="26"/>
        <v>2026-04</v>
      </c>
      <c r="C848" s="3">
        <f t="shared" si="27"/>
        <v>17</v>
      </c>
      <c r="D848" s="4">
        <v>21.8523744112</v>
      </c>
      <c r="E848" s="4">
        <v>23.32838053764722</v>
      </c>
      <c r="F848" s="4">
        <v>23.15310299900834</v>
      </c>
      <c r="G848" s="4">
        <v>6.8</v>
      </c>
      <c r="H848" s="5">
        <v>50.119881552769442</v>
      </c>
      <c r="I848" s="5">
        <v>46.491444255674999</v>
      </c>
      <c r="J848" s="5">
        <v>48.343006276808332</v>
      </c>
      <c r="K848" s="5">
        <v>54</v>
      </c>
    </row>
    <row r="849" spans="1:11" x14ac:dyDescent="0.25">
      <c r="A849" s="2">
        <v>46132.75</v>
      </c>
      <c r="B849" t="str">
        <f t="shared" si="26"/>
        <v>2026-04</v>
      </c>
      <c r="C849" s="3">
        <f t="shared" si="27"/>
        <v>18</v>
      </c>
      <c r="D849" s="4">
        <v>21.680074109930551</v>
      </c>
      <c r="E849" s="4">
        <v>23.092641427819441</v>
      </c>
      <c r="F849" s="4">
        <v>23.10368897718611</v>
      </c>
      <c r="G849" s="4">
        <v>6.6</v>
      </c>
      <c r="H849" s="5">
        <v>52.970367876958328</v>
      </c>
      <c r="I849" s="5">
        <v>50.811666700355552</v>
      </c>
      <c r="J849" s="5">
        <v>45.550065288205559</v>
      </c>
      <c r="K849" s="5">
        <v>57</v>
      </c>
    </row>
    <row r="850" spans="1:11" x14ac:dyDescent="0.25">
      <c r="A850" s="2">
        <v>46132.791666666657</v>
      </c>
      <c r="B850" t="str">
        <f t="shared" si="26"/>
        <v>2026-04</v>
      </c>
      <c r="C850" s="3">
        <f t="shared" si="27"/>
        <v>19</v>
      </c>
      <c r="D850" s="4">
        <v>21.343529400600001</v>
      </c>
      <c r="E850" s="4">
        <v>23.491320271080561</v>
      </c>
      <c r="F850" s="4">
        <v>23.073687710697211</v>
      </c>
      <c r="G850" s="4">
        <v>6.1</v>
      </c>
      <c r="H850" s="5">
        <v>52.957145194283328</v>
      </c>
      <c r="I850" s="5">
        <v>48.043009968080561</v>
      </c>
      <c r="J850" s="5">
        <v>44.96642812176389</v>
      </c>
      <c r="K850" s="5">
        <v>60</v>
      </c>
    </row>
    <row r="851" spans="1:11" x14ac:dyDescent="0.25">
      <c r="A851" s="2">
        <v>46132.833333333343</v>
      </c>
      <c r="B851" t="str">
        <f t="shared" si="26"/>
        <v>2026-04</v>
      </c>
      <c r="C851" s="3">
        <f t="shared" si="27"/>
        <v>20</v>
      </c>
      <c r="D851" s="4">
        <v>21.182628433266672</v>
      </c>
      <c r="E851" s="4">
        <v>23.28846039225278</v>
      </c>
      <c r="F851" s="4">
        <v>23.056517614474998</v>
      </c>
      <c r="G851" s="4">
        <v>5.6</v>
      </c>
      <c r="H851" s="5">
        <v>52.239062199830563</v>
      </c>
      <c r="I851" s="5">
        <v>47.184895807277783</v>
      </c>
      <c r="J851" s="5">
        <v>55.327626205180557</v>
      </c>
      <c r="K851" s="5">
        <v>65</v>
      </c>
    </row>
    <row r="852" spans="1:11" x14ac:dyDescent="0.25">
      <c r="A852" s="2">
        <v>46132.875</v>
      </c>
      <c r="B852" t="str">
        <f t="shared" si="26"/>
        <v>2026-04</v>
      </c>
      <c r="C852" s="3">
        <f t="shared" si="27"/>
        <v>21</v>
      </c>
      <c r="D852" s="4">
        <v>21.250813668063891</v>
      </c>
      <c r="E852" s="4">
        <v>23.833341334791669</v>
      </c>
      <c r="F852" s="4">
        <v>22.965745235075001</v>
      </c>
      <c r="G852" s="4">
        <v>5.3</v>
      </c>
      <c r="H852" s="5">
        <v>52.530280022861113</v>
      </c>
      <c r="I852" s="5">
        <v>45.271717798036107</v>
      </c>
      <c r="J852" s="5">
        <v>55.047001585063889</v>
      </c>
      <c r="K852" s="5">
        <v>68</v>
      </c>
    </row>
    <row r="853" spans="1:11" x14ac:dyDescent="0.25">
      <c r="A853" s="2">
        <v>46132.916666666657</v>
      </c>
      <c r="B853" t="str">
        <f t="shared" si="26"/>
        <v>2026-04</v>
      </c>
      <c r="C853" s="3">
        <f t="shared" si="27"/>
        <v>22</v>
      </c>
      <c r="D853" s="4">
        <v>21.338938561627771</v>
      </c>
      <c r="E853" s="4">
        <v>23.713125590016659</v>
      </c>
      <c r="F853" s="4">
        <v>22.88779948466944</v>
      </c>
      <c r="G853" s="4">
        <v>4.4000000000000004</v>
      </c>
      <c r="H853" s="5">
        <v>51.37527794481111</v>
      </c>
      <c r="I853" s="5">
        <v>44.264863508197223</v>
      </c>
      <c r="J853" s="5">
        <v>54.113832101744443</v>
      </c>
      <c r="K853" s="5">
        <v>74</v>
      </c>
    </row>
    <row r="854" spans="1:11" x14ac:dyDescent="0.25">
      <c r="A854" s="2">
        <v>46132.958333333343</v>
      </c>
      <c r="B854" t="str">
        <f t="shared" si="26"/>
        <v>2026-04</v>
      </c>
      <c r="C854" s="3">
        <f t="shared" si="27"/>
        <v>23</v>
      </c>
      <c r="D854" s="4">
        <v>21.32189348036389</v>
      </c>
      <c r="E854" s="4">
        <v>23.706540246561111</v>
      </c>
      <c r="F854" s="4">
        <v>22.967055579352781</v>
      </c>
      <c r="G854" s="4">
        <v>3.8</v>
      </c>
      <c r="H854" s="5">
        <v>50.122806209875002</v>
      </c>
      <c r="I854" s="5">
        <v>44.766633627386113</v>
      </c>
      <c r="J854" s="5">
        <v>48.498549541569453</v>
      </c>
      <c r="K854" s="5">
        <v>77</v>
      </c>
    </row>
    <row r="855" spans="1:11" x14ac:dyDescent="0.25">
      <c r="A855" s="2">
        <v>46133</v>
      </c>
      <c r="B855" t="str">
        <f t="shared" si="26"/>
        <v>2026-04</v>
      </c>
      <c r="C855" s="3">
        <f t="shared" si="27"/>
        <v>0</v>
      </c>
      <c r="D855" s="4">
        <v>21.249946048483331</v>
      </c>
      <c r="E855" s="4">
        <v>23.860511878502781</v>
      </c>
      <c r="F855" s="4">
        <v>23.10983326657222</v>
      </c>
      <c r="G855" s="4">
        <v>3.2</v>
      </c>
      <c r="H855" s="5">
        <v>51.168216463969443</v>
      </c>
      <c r="I855" s="5">
        <v>45.790694542952771</v>
      </c>
      <c r="J855" s="5">
        <v>47.608902574047221</v>
      </c>
      <c r="K855" s="5">
        <v>77</v>
      </c>
    </row>
    <row r="856" spans="1:11" x14ac:dyDescent="0.25">
      <c r="A856" s="2">
        <v>46133.041666666657</v>
      </c>
      <c r="B856" t="str">
        <f t="shared" si="26"/>
        <v>2026-04</v>
      </c>
      <c r="C856" s="3">
        <f t="shared" si="27"/>
        <v>1</v>
      </c>
      <c r="D856" s="4">
        <v>21.295987325502772</v>
      </c>
      <c r="E856" s="4">
        <v>23.672799570199999</v>
      </c>
      <c r="F856" s="4">
        <v>23.18828425845</v>
      </c>
      <c r="G856" s="4">
        <v>2.4</v>
      </c>
      <c r="H856" s="5">
        <v>51.338796317575003</v>
      </c>
      <c r="I856" s="5">
        <v>45.550233336408333</v>
      </c>
      <c r="J856" s="5">
        <v>46.156199278180559</v>
      </c>
      <c r="K856" s="5">
        <v>82</v>
      </c>
    </row>
    <row r="857" spans="1:11" x14ac:dyDescent="0.25">
      <c r="A857" s="2">
        <v>46133.083333333343</v>
      </c>
      <c r="B857" t="str">
        <f t="shared" si="26"/>
        <v>2026-04</v>
      </c>
      <c r="C857" s="3">
        <f t="shared" si="27"/>
        <v>2</v>
      </c>
      <c r="D857" s="4">
        <v>21.312929036174999</v>
      </c>
      <c r="E857" s="4">
        <v>23.254761842105559</v>
      </c>
      <c r="F857" s="4">
        <v>23.20148435666389</v>
      </c>
      <c r="G857" s="4">
        <v>1.7</v>
      </c>
      <c r="H857" s="5">
        <v>50.25251616615833</v>
      </c>
      <c r="I857" s="5">
        <v>45.915733783636107</v>
      </c>
      <c r="J857" s="5">
        <v>44.99341641311667</v>
      </c>
      <c r="K857" s="5">
        <v>85</v>
      </c>
    </row>
    <row r="858" spans="1:11" x14ac:dyDescent="0.25">
      <c r="A858" s="2">
        <v>46133.125</v>
      </c>
      <c r="B858" t="str">
        <f t="shared" si="26"/>
        <v>2026-04</v>
      </c>
      <c r="C858" s="3">
        <f t="shared" si="27"/>
        <v>3</v>
      </c>
      <c r="D858" s="4">
        <v>21.04161078336945</v>
      </c>
      <c r="E858" s="4">
        <v>22.791417662225001</v>
      </c>
      <c r="F858" s="4">
        <v>23.23688557137222</v>
      </c>
      <c r="G858" s="4">
        <v>1.3</v>
      </c>
      <c r="H858" s="5">
        <v>49.576049239644441</v>
      </c>
      <c r="I858" s="5">
        <v>44.898807218066672</v>
      </c>
      <c r="J858" s="5">
        <v>46.788593485275008</v>
      </c>
      <c r="K858" s="5">
        <v>85</v>
      </c>
    </row>
    <row r="859" spans="1:11" x14ac:dyDescent="0.25">
      <c r="A859" s="2">
        <v>46133.166666666657</v>
      </c>
      <c r="B859" t="str">
        <f t="shared" si="26"/>
        <v>2026-04</v>
      </c>
      <c r="C859" s="3">
        <f t="shared" si="27"/>
        <v>4</v>
      </c>
      <c r="D859" s="4">
        <v>20.540109613952779</v>
      </c>
      <c r="E859" s="4">
        <v>22.471837781036111</v>
      </c>
      <c r="F859" s="4">
        <v>23.138836842444441</v>
      </c>
      <c r="G859" s="4">
        <v>0.5</v>
      </c>
      <c r="H859" s="5">
        <v>49.626674618975002</v>
      </c>
      <c r="I859" s="5">
        <v>43.647292392650002</v>
      </c>
      <c r="J859" s="5">
        <v>44.653775932352779</v>
      </c>
      <c r="K859" s="5">
        <v>86</v>
      </c>
    </row>
    <row r="860" spans="1:11" x14ac:dyDescent="0.25">
      <c r="A860" s="2">
        <v>46133.208333333343</v>
      </c>
      <c r="B860" t="str">
        <f t="shared" si="26"/>
        <v>2026-04</v>
      </c>
      <c r="C860" s="3">
        <f t="shared" si="27"/>
        <v>5</v>
      </c>
      <c r="D860" s="4">
        <v>20.30207293405833</v>
      </c>
      <c r="E860" s="4">
        <v>22.184372526788891</v>
      </c>
      <c r="F860" s="4">
        <v>23.071893868430561</v>
      </c>
      <c r="G860" s="4">
        <v>-0.3</v>
      </c>
      <c r="H860" s="5">
        <v>49.100082471127777</v>
      </c>
      <c r="I860" s="5">
        <v>43.055729836205558</v>
      </c>
      <c r="J860" s="5">
        <v>43.875771508905558</v>
      </c>
      <c r="K860" s="5">
        <v>86</v>
      </c>
    </row>
    <row r="861" spans="1:11" x14ac:dyDescent="0.25">
      <c r="A861" s="2">
        <v>46133.25</v>
      </c>
      <c r="B861" t="str">
        <f t="shared" si="26"/>
        <v>2026-04</v>
      </c>
      <c r="C861" s="3">
        <f t="shared" si="27"/>
        <v>6</v>
      </c>
      <c r="D861" s="4">
        <v>20.90100403920912</v>
      </c>
      <c r="E861" s="4">
        <v>22.396531915971739</v>
      </c>
      <c r="F861" s="4">
        <v>23.018562146598949</v>
      </c>
      <c r="G861" s="4">
        <v>-0.4</v>
      </c>
      <c r="H861" s="5">
        <v>46.374308982922081</v>
      </c>
      <c r="I861" s="5">
        <v>42.492009101324783</v>
      </c>
      <c r="J861" s="5">
        <v>43.421900642576851</v>
      </c>
      <c r="K861" s="5">
        <v>87</v>
      </c>
    </row>
    <row r="862" spans="1:11" x14ac:dyDescent="0.25">
      <c r="A862" s="2">
        <v>46133.291666666657</v>
      </c>
      <c r="B862" t="str">
        <f t="shared" si="26"/>
        <v>2026-04</v>
      </c>
      <c r="C862" s="3">
        <f t="shared" si="27"/>
        <v>7</v>
      </c>
      <c r="D862" s="4">
        <v>21.61678416333611</v>
      </c>
      <c r="E862" s="4">
        <v>22.755536296405559</v>
      </c>
      <c r="F862" s="4">
        <v>22.942984937322219</v>
      </c>
      <c r="G862" s="4">
        <v>1</v>
      </c>
      <c r="H862" s="5">
        <v>43.309637878905562</v>
      </c>
      <c r="I862" s="5">
        <v>41.878125966627771</v>
      </c>
      <c r="J862" s="5">
        <v>43.089382704994442</v>
      </c>
      <c r="K862" s="5">
        <v>86</v>
      </c>
    </row>
    <row r="863" spans="1:11" x14ac:dyDescent="0.25">
      <c r="A863" s="2">
        <v>46133.333333333343</v>
      </c>
      <c r="B863" t="str">
        <f t="shared" si="26"/>
        <v>2026-04</v>
      </c>
      <c r="C863" s="3">
        <f t="shared" si="27"/>
        <v>8</v>
      </c>
      <c r="D863" s="4">
        <v>22.08899847354445</v>
      </c>
      <c r="E863" s="4">
        <v>23.204567542116671</v>
      </c>
      <c r="F863" s="4">
        <v>22.823680382047218</v>
      </c>
      <c r="G863" s="4">
        <v>3.2</v>
      </c>
      <c r="H863" s="5">
        <v>43.047733623788893</v>
      </c>
      <c r="I863" s="5">
        <v>41.445635293380562</v>
      </c>
      <c r="J863" s="5">
        <v>42.85955923100834</v>
      </c>
      <c r="K863" s="5">
        <v>80</v>
      </c>
    </row>
    <row r="864" spans="1:11" x14ac:dyDescent="0.25">
      <c r="A864" s="2">
        <v>46133.375</v>
      </c>
      <c r="B864" t="str">
        <f t="shared" si="26"/>
        <v>2026-04</v>
      </c>
      <c r="C864" s="3">
        <f t="shared" si="27"/>
        <v>9</v>
      </c>
      <c r="D864" s="4">
        <v>22.254524490441671</v>
      </c>
      <c r="E864" s="4">
        <v>23.404572383580561</v>
      </c>
      <c r="F864" s="4">
        <v>22.742639189661109</v>
      </c>
      <c r="G864" s="4">
        <v>5.0999999999999996</v>
      </c>
      <c r="H864" s="5">
        <v>43.530156853027783</v>
      </c>
      <c r="I864" s="5">
        <v>41.829636858469442</v>
      </c>
      <c r="J864" s="5">
        <v>42.705108415044442</v>
      </c>
      <c r="K864" s="5">
        <v>70</v>
      </c>
    </row>
    <row r="865" spans="1:11" x14ac:dyDescent="0.25">
      <c r="A865" s="2">
        <v>46133.416666666657</v>
      </c>
      <c r="B865" t="str">
        <f t="shared" si="26"/>
        <v>2026-04</v>
      </c>
      <c r="C865" s="3">
        <f t="shared" si="27"/>
        <v>10</v>
      </c>
      <c r="D865" s="4">
        <v>22.03549391474445</v>
      </c>
      <c r="E865" s="4">
        <v>23.320397573194441</v>
      </c>
      <c r="F865" s="4">
        <v>22.675749916605561</v>
      </c>
      <c r="G865" s="4">
        <v>6.6</v>
      </c>
      <c r="H865" s="5">
        <v>44.955464686002777</v>
      </c>
      <c r="I865" s="5">
        <v>42.977053665769439</v>
      </c>
      <c r="J865" s="5">
        <v>42.575432054847219</v>
      </c>
      <c r="K865" s="5">
        <v>58</v>
      </c>
    </row>
    <row r="866" spans="1:11" x14ac:dyDescent="0.25">
      <c r="A866" s="2">
        <v>46133.458333333343</v>
      </c>
      <c r="B866" t="str">
        <f t="shared" si="26"/>
        <v>2026-04</v>
      </c>
      <c r="C866" s="3">
        <f t="shared" si="27"/>
        <v>11</v>
      </c>
      <c r="D866" s="4">
        <v>22.060800766374999</v>
      </c>
      <c r="E866" s="4">
        <v>23.510583074438891</v>
      </c>
      <c r="F866" s="4">
        <v>22.654734273422221</v>
      </c>
      <c r="G866" s="4">
        <v>7.5</v>
      </c>
      <c r="H866" s="5">
        <v>45.659968903677793</v>
      </c>
      <c r="I866" s="5">
        <v>43.577607166394444</v>
      </c>
      <c r="J866" s="5">
        <v>42.947202293336112</v>
      </c>
      <c r="K866" s="5">
        <v>49</v>
      </c>
    </row>
    <row r="867" spans="1:11" x14ac:dyDescent="0.25">
      <c r="A867" s="2">
        <v>46133.5</v>
      </c>
      <c r="B867" t="str">
        <f t="shared" si="26"/>
        <v>2026-04</v>
      </c>
      <c r="C867" s="3">
        <f t="shared" si="27"/>
        <v>12</v>
      </c>
      <c r="D867" s="4">
        <v>22.152272063224999</v>
      </c>
      <c r="E867" s="4">
        <v>23.215732220238891</v>
      </c>
      <c r="F867" s="4">
        <v>22.71509267416112</v>
      </c>
      <c r="G867" s="4">
        <v>7.9</v>
      </c>
      <c r="H867" s="5">
        <v>45.564361738788897</v>
      </c>
      <c r="I867" s="5">
        <v>43.064137601986111</v>
      </c>
      <c r="J867" s="5">
        <v>42.614338860941672</v>
      </c>
      <c r="K867" s="5">
        <v>46</v>
      </c>
    </row>
    <row r="868" spans="1:11" x14ac:dyDescent="0.25">
      <c r="A868" s="2">
        <v>46133.541666666657</v>
      </c>
      <c r="B868" t="str">
        <f t="shared" si="26"/>
        <v>2026-04</v>
      </c>
      <c r="C868" s="3">
        <f t="shared" si="27"/>
        <v>13</v>
      </c>
      <c r="D868" s="4">
        <v>22.033952983955551</v>
      </c>
      <c r="E868" s="4">
        <v>23.10852572481112</v>
      </c>
      <c r="F868" s="4">
        <v>22.787663761716669</v>
      </c>
      <c r="G868" s="4">
        <v>8.1999999999999993</v>
      </c>
      <c r="H868" s="5">
        <v>45.922897201952772</v>
      </c>
      <c r="I868" s="5">
        <v>43.143868362372217</v>
      </c>
      <c r="J868" s="5">
        <v>42.333894416038888</v>
      </c>
      <c r="K868" s="5">
        <v>44</v>
      </c>
    </row>
    <row r="869" spans="1:11" x14ac:dyDescent="0.25">
      <c r="A869" s="2">
        <v>46133.583333333343</v>
      </c>
      <c r="B869" t="str">
        <f t="shared" si="26"/>
        <v>2026-04</v>
      </c>
      <c r="C869" s="3">
        <f t="shared" si="27"/>
        <v>14</v>
      </c>
      <c r="D869" s="4">
        <v>21.982790550625001</v>
      </c>
      <c r="E869" s="4">
        <v>23.09406302982778</v>
      </c>
      <c r="F869" s="4">
        <v>22.83606890606389</v>
      </c>
      <c r="G869" s="4">
        <v>8.4</v>
      </c>
      <c r="H869" s="5">
        <v>45.946518415283343</v>
      </c>
      <c r="I869" s="5">
        <v>43.416925963855547</v>
      </c>
      <c r="J869" s="5">
        <v>42.134360788566667</v>
      </c>
      <c r="K869" s="5">
        <v>43</v>
      </c>
    </row>
    <row r="870" spans="1:11" x14ac:dyDescent="0.25">
      <c r="A870" s="2">
        <v>46133.625</v>
      </c>
      <c r="B870" t="str">
        <f t="shared" si="26"/>
        <v>2026-04</v>
      </c>
      <c r="C870" s="3">
        <f t="shared" si="27"/>
        <v>15</v>
      </c>
      <c r="D870" s="4">
        <v>21.745954387952779</v>
      </c>
      <c r="E870" s="4">
        <v>23.110753728566671</v>
      </c>
      <c r="F870" s="4">
        <v>22.86945765104722</v>
      </c>
      <c r="G870" s="4">
        <v>8.3000000000000007</v>
      </c>
      <c r="H870" s="5">
        <v>46.39172690969167</v>
      </c>
      <c r="I870" s="5">
        <v>44.319273521044451</v>
      </c>
      <c r="J870" s="5">
        <v>42.338069393911113</v>
      </c>
      <c r="K870" s="5">
        <v>43</v>
      </c>
    </row>
    <row r="871" spans="1:11" x14ac:dyDescent="0.25">
      <c r="A871" s="2">
        <v>46133.666666666657</v>
      </c>
      <c r="B871" t="str">
        <f t="shared" si="26"/>
        <v>2026-04</v>
      </c>
      <c r="C871" s="3">
        <f t="shared" si="27"/>
        <v>16</v>
      </c>
      <c r="D871" s="4">
        <v>21.789958907233331</v>
      </c>
      <c r="E871" s="4">
        <v>23.33170785585277</v>
      </c>
      <c r="F871" s="4">
        <v>22.8826110087</v>
      </c>
      <c r="G871" s="4">
        <v>8.1999999999999993</v>
      </c>
      <c r="H871" s="5">
        <v>47.273430639308337</v>
      </c>
      <c r="I871" s="5">
        <v>44.552438901238887</v>
      </c>
      <c r="J871" s="5">
        <v>41.974716683416673</v>
      </c>
      <c r="K871" s="5">
        <v>43</v>
      </c>
    </row>
    <row r="872" spans="1:11" x14ac:dyDescent="0.25">
      <c r="A872" s="2">
        <v>46133.708333333343</v>
      </c>
      <c r="B872" t="str">
        <f t="shared" si="26"/>
        <v>2026-04</v>
      </c>
      <c r="C872" s="3">
        <f t="shared" si="27"/>
        <v>17</v>
      </c>
      <c r="D872" s="4">
        <v>21.804423444394441</v>
      </c>
      <c r="E872" s="4">
        <v>23.89688626358334</v>
      </c>
      <c r="F872" s="4">
        <v>22.895425982297219</v>
      </c>
      <c r="G872" s="4">
        <v>7.6</v>
      </c>
      <c r="H872" s="5">
        <v>48.457009303924998</v>
      </c>
      <c r="I872" s="5">
        <v>44.379723663122228</v>
      </c>
      <c r="J872" s="5">
        <v>41.624290087780558</v>
      </c>
      <c r="K872" s="5">
        <v>43</v>
      </c>
    </row>
    <row r="873" spans="1:11" x14ac:dyDescent="0.25">
      <c r="A873" s="2">
        <v>46133.75</v>
      </c>
      <c r="B873" t="str">
        <f t="shared" si="26"/>
        <v>2026-04</v>
      </c>
      <c r="C873" s="3">
        <f t="shared" si="27"/>
        <v>18</v>
      </c>
      <c r="D873" s="4">
        <v>21.998869316055561</v>
      </c>
      <c r="E873" s="4">
        <v>24.527850210716661</v>
      </c>
      <c r="F873" s="4">
        <v>22.91921121387222</v>
      </c>
      <c r="G873" s="4">
        <v>7.2</v>
      </c>
      <c r="H873" s="5">
        <v>52.053023367125</v>
      </c>
      <c r="I873" s="5">
        <v>47.70124376651389</v>
      </c>
      <c r="J873" s="5">
        <v>41.387028179244453</v>
      </c>
      <c r="K873" s="5">
        <v>49</v>
      </c>
    </row>
    <row r="874" spans="1:11" x14ac:dyDescent="0.25">
      <c r="A874" s="2">
        <v>46133.791666666657</v>
      </c>
      <c r="B874" t="str">
        <f t="shared" si="26"/>
        <v>2026-04</v>
      </c>
      <c r="C874" s="3">
        <f t="shared" si="27"/>
        <v>19</v>
      </c>
      <c r="D874" s="4">
        <v>21.96640469843889</v>
      </c>
      <c r="E874" s="4">
        <v>24.299346417863891</v>
      </c>
      <c r="F874" s="4">
        <v>22.928779490730559</v>
      </c>
      <c r="G874" s="4">
        <v>6.6</v>
      </c>
      <c r="H874" s="5">
        <v>52.186192165141662</v>
      </c>
      <c r="I874" s="5">
        <v>47.456816184525003</v>
      </c>
      <c r="J874" s="5">
        <v>41.213291852355553</v>
      </c>
      <c r="K874" s="5">
        <v>54</v>
      </c>
    </row>
    <row r="875" spans="1:11" x14ac:dyDescent="0.25">
      <c r="A875" s="2">
        <v>46133.833333333343</v>
      </c>
      <c r="B875" t="str">
        <f t="shared" si="26"/>
        <v>2026-04</v>
      </c>
      <c r="C875" s="3">
        <f t="shared" si="27"/>
        <v>20</v>
      </c>
      <c r="D875" s="4">
        <v>21.518877328605559</v>
      </c>
      <c r="E875" s="4">
        <v>23.697045485686111</v>
      </c>
      <c r="F875" s="4">
        <v>22.92569176098333</v>
      </c>
      <c r="G875" s="4">
        <v>5.6</v>
      </c>
      <c r="H875" s="5">
        <v>51.616813722255557</v>
      </c>
      <c r="I875" s="5">
        <v>43.239498474430548</v>
      </c>
      <c r="J875" s="5">
        <v>40.957990028997223</v>
      </c>
      <c r="K875" s="5">
        <v>60</v>
      </c>
    </row>
    <row r="876" spans="1:11" x14ac:dyDescent="0.25">
      <c r="A876" s="2">
        <v>46133.875</v>
      </c>
      <c r="B876" t="str">
        <f t="shared" si="26"/>
        <v>2026-04</v>
      </c>
      <c r="C876" s="3">
        <f t="shared" si="27"/>
        <v>21</v>
      </c>
      <c r="D876" s="4">
        <v>21.213346603008329</v>
      </c>
      <c r="E876" s="4">
        <v>23.32436717686112</v>
      </c>
      <c r="F876" s="4">
        <v>22.927412882672229</v>
      </c>
      <c r="G876" s="4">
        <v>5.6</v>
      </c>
      <c r="H876" s="5">
        <v>49.679768244308342</v>
      </c>
      <c r="I876" s="5">
        <v>41.569078285463888</v>
      </c>
      <c r="J876" s="5">
        <v>40.795211241802782</v>
      </c>
      <c r="K876" s="5">
        <v>61</v>
      </c>
    </row>
    <row r="877" spans="1:11" x14ac:dyDescent="0.25">
      <c r="A877" s="2">
        <v>46133.916666666657</v>
      </c>
      <c r="B877" t="str">
        <f t="shared" si="26"/>
        <v>2026-04</v>
      </c>
      <c r="C877" s="3">
        <f t="shared" si="27"/>
        <v>22</v>
      </c>
      <c r="D877" s="4">
        <v>21.22001164251111</v>
      </c>
      <c r="E877" s="4">
        <v>23.238841911413889</v>
      </c>
      <c r="F877" s="4">
        <v>22.98700933203612</v>
      </c>
      <c r="G877" s="4">
        <v>5</v>
      </c>
      <c r="H877" s="5">
        <v>52.419729665875003</v>
      </c>
      <c r="I877" s="5">
        <v>45.633027773838883</v>
      </c>
      <c r="J877" s="5">
        <v>42.441053197236123</v>
      </c>
      <c r="K877" s="5">
        <v>66</v>
      </c>
    </row>
    <row r="878" spans="1:11" x14ac:dyDescent="0.25">
      <c r="A878" s="2">
        <v>46133.958333333343</v>
      </c>
      <c r="B878" t="str">
        <f t="shared" si="26"/>
        <v>2026-04</v>
      </c>
      <c r="C878" s="3">
        <f t="shared" si="27"/>
        <v>23</v>
      </c>
      <c r="D878" s="4">
        <v>21.552238231711112</v>
      </c>
      <c r="E878" s="4">
        <v>23.204918002930551</v>
      </c>
      <c r="F878" s="4">
        <v>22.92245544722778</v>
      </c>
      <c r="G878" s="4">
        <v>4</v>
      </c>
      <c r="H878" s="5">
        <v>48.465808626677777</v>
      </c>
      <c r="I878" s="5">
        <v>44.517282012577773</v>
      </c>
      <c r="J878" s="5">
        <v>43.402499820797217</v>
      </c>
      <c r="K878" s="5">
        <v>70</v>
      </c>
    </row>
    <row r="879" spans="1:11" x14ac:dyDescent="0.25">
      <c r="A879" s="2">
        <v>46134</v>
      </c>
      <c r="B879" t="str">
        <f t="shared" si="26"/>
        <v>2026-04</v>
      </c>
      <c r="C879" s="3">
        <f t="shared" si="27"/>
        <v>0</v>
      </c>
      <c r="D879" s="4">
        <v>21.707471586930559</v>
      </c>
      <c r="E879" s="4">
        <v>23.36615391040278</v>
      </c>
      <c r="F879" s="4">
        <v>22.950401065758339</v>
      </c>
      <c r="G879" s="4">
        <v>3.9</v>
      </c>
      <c r="H879" s="5">
        <v>44.427217188177771</v>
      </c>
      <c r="I879" s="5">
        <v>41.466788026808331</v>
      </c>
      <c r="J879" s="5">
        <v>42.091608485827777</v>
      </c>
      <c r="K879" s="5">
        <v>72</v>
      </c>
    </row>
    <row r="880" spans="1:11" x14ac:dyDescent="0.25">
      <c r="A880" s="2">
        <v>46134.041666666657</v>
      </c>
      <c r="B880" t="str">
        <f t="shared" si="26"/>
        <v>2026-04</v>
      </c>
      <c r="C880" s="3">
        <f t="shared" si="27"/>
        <v>1</v>
      </c>
      <c r="D880" s="4">
        <v>21.367787162763889</v>
      </c>
      <c r="E880" s="4">
        <v>23.060919029227779</v>
      </c>
      <c r="F880" s="4">
        <v>23.06040997263333</v>
      </c>
      <c r="G880" s="4">
        <v>3.8</v>
      </c>
      <c r="H880" s="5">
        <v>45.225805398697219</v>
      </c>
      <c r="I880" s="5">
        <v>42.171377031655553</v>
      </c>
      <c r="J880" s="5">
        <v>43.409194604994447</v>
      </c>
      <c r="K880" s="5">
        <v>73</v>
      </c>
    </row>
    <row r="881" spans="1:11" x14ac:dyDescent="0.25">
      <c r="A881" s="2">
        <v>46134.083333333343</v>
      </c>
      <c r="B881" t="str">
        <f t="shared" si="26"/>
        <v>2026-04</v>
      </c>
      <c r="C881" s="3">
        <f t="shared" si="27"/>
        <v>2</v>
      </c>
      <c r="D881" s="4">
        <v>20.924384654400001</v>
      </c>
      <c r="E881" s="4">
        <v>22.542190610888891</v>
      </c>
      <c r="F881" s="4">
        <v>23.118624777775</v>
      </c>
      <c r="G881" s="4">
        <v>3.4</v>
      </c>
      <c r="H881" s="5">
        <v>46.958805108172221</v>
      </c>
      <c r="I881" s="5">
        <v>42.950740713922222</v>
      </c>
      <c r="J881" s="5">
        <v>42.729302437808343</v>
      </c>
      <c r="K881" s="5">
        <v>74</v>
      </c>
    </row>
    <row r="882" spans="1:11" x14ac:dyDescent="0.25">
      <c r="A882" s="2">
        <v>46134.125</v>
      </c>
      <c r="B882" t="str">
        <f t="shared" si="26"/>
        <v>2026-04</v>
      </c>
      <c r="C882" s="3">
        <f t="shared" si="27"/>
        <v>3</v>
      </c>
      <c r="D882" s="4">
        <v>20.680029631924999</v>
      </c>
      <c r="E882" s="4">
        <v>22.254235066969439</v>
      </c>
      <c r="F882" s="4">
        <v>23.161607027702772</v>
      </c>
      <c r="G882" s="4">
        <v>3.6</v>
      </c>
      <c r="H882" s="5">
        <v>47.372733850541657</v>
      </c>
      <c r="I882" s="5">
        <v>42.438054066297219</v>
      </c>
      <c r="J882" s="5">
        <v>42.132420108613893</v>
      </c>
      <c r="K882" s="5">
        <v>70</v>
      </c>
    </row>
    <row r="883" spans="1:11" x14ac:dyDescent="0.25">
      <c r="A883" s="2">
        <v>46134.166666666657</v>
      </c>
      <c r="B883" t="str">
        <f t="shared" si="26"/>
        <v>2026-04</v>
      </c>
      <c r="C883" s="3">
        <f t="shared" si="27"/>
        <v>4</v>
      </c>
      <c r="D883" s="4">
        <v>20.50376101328612</v>
      </c>
      <c r="E883" s="4">
        <v>22.102904527905551</v>
      </c>
      <c r="F883" s="4">
        <v>23.206068769624999</v>
      </c>
      <c r="G883" s="4">
        <v>3.2</v>
      </c>
      <c r="H883" s="5">
        <v>47.436258606144442</v>
      </c>
      <c r="I883" s="5">
        <v>42.440164018416667</v>
      </c>
      <c r="J883" s="5">
        <v>41.858079873525007</v>
      </c>
      <c r="K883" s="5">
        <v>74</v>
      </c>
    </row>
    <row r="884" spans="1:11" x14ac:dyDescent="0.25">
      <c r="A884" s="2">
        <v>46134.208333333343</v>
      </c>
      <c r="B884" t="str">
        <f t="shared" si="26"/>
        <v>2026-04</v>
      </c>
      <c r="C884" s="3">
        <f t="shared" si="27"/>
        <v>5</v>
      </c>
      <c r="D884" s="4">
        <v>20.386243763366672</v>
      </c>
      <c r="E884" s="4">
        <v>21.928820248894439</v>
      </c>
      <c r="F884" s="4">
        <v>23.240909778019439</v>
      </c>
      <c r="G884" s="4">
        <v>2.7</v>
      </c>
      <c r="H884" s="5">
        <v>47.28176917933888</v>
      </c>
      <c r="I884" s="5">
        <v>42.289469883972217</v>
      </c>
      <c r="J884" s="5">
        <v>41.704184182277778</v>
      </c>
      <c r="K884" s="5">
        <v>76</v>
      </c>
    </row>
    <row r="885" spans="1:11" x14ac:dyDescent="0.25">
      <c r="A885" s="2">
        <v>46134.25</v>
      </c>
      <c r="B885" t="str">
        <f t="shared" si="26"/>
        <v>2026-04</v>
      </c>
      <c r="C885" s="3">
        <f t="shared" si="27"/>
        <v>6</v>
      </c>
      <c r="D885" s="4">
        <v>20.30869365672778</v>
      </c>
      <c r="E885" s="4">
        <v>21.790865349630561</v>
      </c>
      <c r="F885" s="4">
        <v>23.261194526997219</v>
      </c>
      <c r="G885" s="4">
        <v>2.7</v>
      </c>
      <c r="H885" s="5">
        <v>47.449136228263889</v>
      </c>
      <c r="I885" s="5">
        <v>42.115287536688889</v>
      </c>
      <c r="J885" s="5">
        <v>41.582486029594442</v>
      </c>
      <c r="K885" s="5">
        <v>75</v>
      </c>
    </row>
    <row r="886" spans="1:11" x14ac:dyDescent="0.25">
      <c r="A886" s="2">
        <v>46134.291666666657</v>
      </c>
      <c r="B886" t="str">
        <f t="shared" si="26"/>
        <v>2026-04</v>
      </c>
      <c r="C886" s="3">
        <f t="shared" si="27"/>
        <v>7</v>
      </c>
      <c r="D886" s="4">
        <v>20.286566634252779</v>
      </c>
      <c r="E886" s="4">
        <v>21.703486487452778</v>
      </c>
      <c r="F886" s="4">
        <v>23.253181184713888</v>
      </c>
      <c r="G886" s="4">
        <v>3.2</v>
      </c>
      <c r="H886" s="5">
        <v>47.391926255338888</v>
      </c>
      <c r="I886" s="5">
        <v>42.089097457833333</v>
      </c>
      <c r="J886" s="5">
        <v>41.470588823530562</v>
      </c>
      <c r="K886" s="5">
        <v>73</v>
      </c>
    </row>
    <row r="887" spans="1:11" x14ac:dyDescent="0.25">
      <c r="A887" s="2">
        <v>46134.333333333343</v>
      </c>
      <c r="B887" t="str">
        <f t="shared" si="26"/>
        <v>2026-04</v>
      </c>
      <c r="C887" s="3">
        <f t="shared" si="27"/>
        <v>8</v>
      </c>
      <c r="D887" s="4">
        <v>20.352868296455551</v>
      </c>
      <c r="E887" s="4">
        <v>21.697223572624999</v>
      </c>
      <c r="F887" s="4">
        <v>23.177259107705559</v>
      </c>
      <c r="G887" s="4">
        <v>4</v>
      </c>
      <c r="H887" s="5">
        <v>47.135001382719437</v>
      </c>
      <c r="I887" s="5">
        <v>42.341380939841663</v>
      </c>
      <c r="J887" s="5">
        <v>41.294706654619439</v>
      </c>
      <c r="K887" s="5">
        <v>70</v>
      </c>
    </row>
    <row r="888" spans="1:11" x14ac:dyDescent="0.25">
      <c r="A888" s="2">
        <v>46134.375</v>
      </c>
      <c r="B888" t="str">
        <f t="shared" si="26"/>
        <v>2026-04</v>
      </c>
      <c r="C888" s="3">
        <f t="shared" si="27"/>
        <v>9</v>
      </c>
      <c r="D888" s="4">
        <v>20.65926729623056</v>
      </c>
      <c r="E888" s="4">
        <v>21.789319725483331</v>
      </c>
      <c r="F888" s="4">
        <v>23.084157434708331</v>
      </c>
      <c r="G888" s="4">
        <v>5.5</v>
      </c>
      <c r="H888" s="5">
        <v>46.367201932705562</v>
      </c>
      <c r="I888" s="5">
        <v>42.588798162102783</v>
      </c>
      <c r="J888" s="5">
        <v>41.155261195463893</v>
      </c>
      <c r="K888" s="5">
        <v>65</v>
      </c>
    </row>
    <row r="889" spans="1:11" x14ac:dyDescent="0.25">
      <c r="A889" s="2">
        <v>46134.416666666657</v>
      </c>
      <c r="B889" t="str">
        <f t="shared" si="26"/>
        <v>2026-04</v>
      </c>
      <c r="C889" s="3">
        <f t="shared" si="27"/>
        <v>10</v>
      </c>
      <c r="D889" s="4">
        <v>21.197870390561111</v>
      </c>
      <c r="E889" s="4">
        <v>22.30531422230278</v>
      </c>
      <c r="F889" s="4">
        <v>23.032797416522229</v>
      </c>
      <c r="G889" s="4">
        <v>6.6</v>
      </c>
      <c r="H889" s="5">
        <v>46.550667654469443</v>
      </c>
      <c r="I889" s="5">
        <v>45.998988639275012</v>
      </c>
      <c r="J889" s="5">
        <v>41.639035445875002</v>
      </c>
      <c r="K889" s="5">
        <v>52</v>
      </c>
    </row>
    <row r="890" spans="1:11" x14ac:dyDescent="0.25">
      <c r="A890" s="2">
        <v>46134.458333333343</v>
      </c>
      <c r="B890" t="str">
        <f t="shared" si="26"/>
        <v>2026-04</v>
      </c>
      <c r="C890" s="3">
        <f t="shared" si="27"/>
        <v>11</v>
      </c>
      <c r="D890" s="4">
        <v>21.283637944369449</v>
      </c>
      <c r="E890" s="4">
        <v>22.481545944383331</v>
      </c>
      <c r="F890" s="4">
        <v>23.104579017877779</v>
      </c>
      <c r="G890" s="4">
        <v>7.7</v>
      </c>
      <c r="H890" s="5">
        <v>48.41537936006111</v>
      </c>
      <c r="I890" s="5">
        <v>44.908297266605558</v>
      </c>
      <c r="J890" s="5">
        <v>44.133761912013888</v>
      </c>
      <c r="K890" s="5">
        <v>47</v>
      </c>
    </row>
    <row r="891" spans="1:11" x14ac:dyDescent="0.25">
      <c r="A891" s="2">
        <v>46134.5</v>
      </c>
      <c r="B891" t="str">
        <f t="shared" si="26"/>
        <v>2026-04</v>
      </c>
      <c r="C891" s="3">
        <f t="shared" si="27"/>
        <v>12</v>
      </c>
      <c r="D891" s="4">
        <v>21.225065916708331</v>
      </c>
      <c r="E891" s="4">
        <v>22.43625984688612</v>
      </c>
      <c r="F891" s="4">
        <v>23.191377037297219</v>
      </c>
      <c r="G891" s="4">
        <v>7.3</v>
      </c>
      <c r="H891" s="5">
        <v>48.637957760655553</v>
      </c>
      <c r="I891" s="5">
        <v>44.957649545211112</v>
      </c>
      <c r="J891" s="5">
        <v>43.070790845230562</v>
      </c>
      <c r="K891" s="5">
        <v>52</v>
      </c>
    </row>
    <row r="892" spans="1:11" x14ac:dyDescent="0.25">
      <c r="A892" s="2">
        <v>46134.541666666657</v>
      </c>
      <c r="B892" t="str">
        <f t="shared" si="26"/>
        <v>2026-04</v>
      </c>
      <c r="C892" s="3">
        <f t="shared" si="27"/>
        <v>13</v>
      </c>
      <c r="D892" s="4">
        <v>21.178094603866661</v>
      </c>
      <c r="E892" s="4">
        <v>22.60264440008611</v>
      </c>
      <c r="F892" s="4">
        <v>23.253186480441659</v>
      </c>
      <c r="G892" s="4">
        <v>6.8</v>
      </c>
      <c r="H892" s="5">
        <v>49.295504977408328</v>
      </c>
      <c r="I892" s="5">
        <v>44.906852945377778</v>
      </c>
      <c r="J892" s="5">
        <v>42.057081544002777</v>
      </c>
      <c r="K892" s="5">
        <v>56</v>
      </c>
    </row>
    <row r="893" spans="1:11" x14ac:dyDescent="0.25">
      <c r="A893" s="2">
        <v>46134.583333333343</v>
      </c>
      <c r="B893" t="str">
        <f t="shared" si="26"/>
        <v>2026-04</v>
      </c>
      <c r="C893" s="3">
        <f t="shared" si="27"/>
        <v>14</v>
      </c>
      <c r="D893" s="4">
        <v>21.22968213470833</v>
      </c>
      <c r="E893" s="4">
        <v>22.504244569069439</v>
      </c>
      <c r="F893" s="4">
        <v>23.25563145465</v>
      </c>
      <c r="G893" s="4">
        <v>6.1</v>
      </c>
      <c r="H893" s="5">
        <v>47.833684453327777</v>
      </c>
      <c r="I893" s="5">
        <v>44.41060367798611</v>
      </c>
      <c r="J893" s="5">
        <v>42.737267447599997</v>
      </c>
      <c r="K893" s="5">
        <v>66</v>
      </c>
    </row>
    <row r="894" spans="1:11" x14ac:dyDescent="0.25">
      <c r="A894" s="2">
        <v>46134.625</v>
      </c>
      <c r="B894" t="str">
        <f t="shared" si="26"/>
        <v>2026-04</v>
      </c>
      <c r="C894" s="3">
        <f t="shared" si="27"/>
        <v>15</v>
      </c>
      <c r="D894" s="4">
        <v>21.213867318422221</v>
      </c>
      <c r="E894" s="4">
        <v>22.34539166431945</v>
      </c>
      <c r="F894" s="4">
        <v>23.14342662269722</v>
      </c>
      <c r="G894" s="4">
        <v>6.5</v>
      </c>
      <c r="H894" s="5">
        <v>46.826957482583332</v>
      </c>
      <c r="I894" s="5">
        <v>42.922774907061118</v>
      </c>
      <c r="J894" s="5">
        <v>42.015960095069438</v>
      </c>
      <c r="K894" s="5">
        <v>63</v>
      </c>
    </row>
    <row r="895" spans="1:11" x14ac:dyDescent="0.25">
      <c r="A895" s="2">
        <v>46134.666666666657</v>
      </c>
      <c r="B895" t="str">
        <f t="shared" si="26"/>
        <v>2026-04</v>
      </c>
      <c r="C895" s="3">
        <f t="shared" si="27"/>
        <v>16</v>
      </c>
      <c r="D895" s="4">
        <v>21.203930341511111</v>
      </c>
      <c r="E895" s="4">
        <v>22.473125834638889</v>
      </c>
      <c r="F895" s="4">
        <v>23.10198995525278</v>
      </c>
      <c r="G895" s="4">
        <v>6.9</v>
      </c>
      <c r="H895" s="5">
        <v>45.963040799341663</v>
      </c>
      <c r="I895" s="5">
        <v>42.085290267497221</v>
      </c>
      <c r="J895" s="5">
        <v>42.692065926713887</v>
      </c>
      <c r="K895" s="5">
        <v>58</v>
      </c>
    </row>
    <row r="896" spans="1:11" x14ac:dyDescent="0.25">
      <c r="A896" s="2">
        <v>46134.708333333343</v>
      </c>
      <c r="B896" t="str">
        <f t="shared" si="26"/>
        <v>2026-04</v>
      </c>
      <c r="C896" s="3">
        <f t="shared" si="27"/>
        <v>17</v>
      </c>
      <c r="D896" s="4">
        <v>21.257235021572221</v>
      </c>
      <c r="E896" s="4">
        <v>22.694311668691661</v>
      </c>
      <c r="F896" s="4">
        <v>23.052573465750001</v>
      </c>
      <c r="G896" s="4">
        <v>7.1</v>
      </c>
      <c r="H896" s="5">
        <v>45.399863438724999</v>
      </c>
      <c r="I896" s="5">
        <v>42.456025277719441</v>
      </c>
      <c r="J896" s="5">
        <v>41.92296246014444</v>
      </c>
      <c r="K896" s="5">
        <v>53</v>
      </c>
    </row>
    <row r="897" spans="1:11" x14ac:dyDescent="0.25">
      <c r="A897" s="2">
        <v>46134.75</v>
      </c>
      <c r="B897" t="str">
        <f t="shared" si="26"/>
        <v>2026-04</v>
      </c>
      <c r="C897" s="3">
        <f t="shared" si="27"/>
        <v>18</v>
      </c>
      <c r="D897" s="4">
        <v>21.18034534385556</v>
      </c>
      <c r="E897" s="4">
        <v>22.69295844839445</v>
      </c>
      <c r="F897" s="4">
        <v>22.998596404886111</v>
      </c>
      <c r="G897" s="4">
        <v>7.2</v>
      </c>
      <c r="H897" s="5">
        <v>43.747885139922232</v>
      </c>
      <c r="I897" s="5">
        <v>40.797269341813887</v>
      </c>
      <c r="J897" s="5">
        <v>41.158726969988891</v>
      </c>
      <c r="K897" s="5">
        <v>56</v>
      </c>
    </row>
    <row r="898" spans="1:11" x14ac:dyDescent="0.25">
      <c r="A898" s="2">
        <v>46134.791666666657</v>
      </c>
      <c r="B898" t="str">
        <f t="shared" ref="B898:B961" si="28">TEXT(A898,"yyyy-mm")</f>
        <v>2026-04</v>
      </c>
      <c r="C898" s="3">
        <f t="shared" ref="C898:C961" si="29">HOUR(A898)</f>
        <v>19</v>
      </c>
      <c r="D898" s="4">
        <v>21.18149416678056</v>
      </c>
      <c r="E898" s="4">
        <v>22.490161487147219</v>
      </c>
      <c r="F898" s="4">
        <v>22.942980215519441</v>
      </c>
      <c r="G898" s="4">
        <v>6.8</v>
      </c>
      <c r="H898" s="5">
        <v>43.84320158288611</v>
      </c>
      <c r="I898" s="5">
        <v>40.937548658991673</v>
      </c>
      <c r="J898" s="5">
        <v>41.038949185777781</v>
      </c>
      <c r="K898" s="5">
        <v>66</v>
      </c>
    </row>
    <row r="899" spans="1:11" x14ac:dyDescent="0.25">
      <c r="A899" s="2">
        <v>46134.833333333343</v>
      </c>
      <c r="B899" t="str">
        <f t="shared" si="28"/>
        <v>2026-04</v>
      </c>
      <c r="C899" s="3">
        <f t="shared" si="29"/>
        <v>20</v>
      </c>
      <c r="D899" s="4">
        <v>21.568629236733329</v>
      </c>
      <c r="E899" s="4">
        <v>23.29056621069445</v>
      </c>
      <c r="F899" s="4">
        <v>22.93454643933612</v>
      </c>
      <c r="G899" s="4">
        <v>6.1</v>
      </c>
      <c r="H899" s="5">
        <v>44.262695154005563</v>
      </c>
      <c r="I899" s="5">
        <v>40.884779543947232</v>
      </c>
      <c r="J899" s="5">
        <v>40.918060666625003</v>
      </c>
      <c r="K899" s="5">
        <v>70</v>
      </c>
    </row>
    <row r="900" spans="1:11" x14ac:dyDescent="0.25">
      <c r="A900" s="2">
        <v>46134.875</v>
      </c>
      <c r="B900" t="str">
        <f t="shared" si="28"/>
        <v>2026-04</v>
      </c>
      <c r="C900" s="3">
        <f t="shared" si="29"/>
        <v>21</v>
      </c>
      <c r="D900" s="4">
        <v>21.748276812561109</v>
      </c>
      <c r="E900" s="4">
        <v>23.383055192488889</v>
      </c>
      <c r="F900" s="4">
        <v>22.914835376238891</v>
      </c>
      <c r="G900" s="4">
        <v>5.9</v>
      </c>
      <c r="H900" s="5">
        <v>43.957835388408341</v>
      </c>
      <c r="I900" s="5">
        <v>40.857706563358327</v>
      </c>
      <c r="J900" s="5">
        <v>40.792695677163891</v>
      </c>
      <c r="K900" s="5">
        <v>68</v>
      </c>
    </row>
    <row r="901" spans="1:11" x14ac:dyDescent="0.25">
      <c r="A901" s="2">
        <v>46134.916666666657</v>
      </c>
      <c r="B901" t="str">
        <f t="shared" si="28"/>
        <v>2026-04</v>
      </c>
      <c r="C901" s="3">
        <f t="shared" si="29"/>
        <v>22</v>
      </c>
      <c r="D901" s="4">
        <v>21.591705755169439</v>
      </c>
      <c r="E901" s="4">
        <v>23.083120643286112</v>
      </c>
      <c r="F901" s="4">
        <v>22.905046926863889</v>
      </c>
      <c r="G901" s="4">
        <v>4.5999999999999996</v>
      </c>
      <c r="H901" s="5">
        <v>44.126541867602768</v>
      </c>
      <c r="I901" s="5">
        <v>42.000630499466673</v>
      </c>
      <c r="J901" s="5">
        <v>40.694484718702782</v>
      </c>
      <c r="K901" s="5">
        <v>71</v>
      </c>
    </row>
    <row r="902" spans="1:11" x14ac:dyDescent="0.25">
      <c r="A902" s="2">
        <v>46134.958333333343</v>
      </c>
      <c r="B902" t="str">
        <f t="shared" si="28"/>
        <v>2026-04</v>
      </c>
      <c r="C902" s="3">
        <f t="shared" si="29"/>
        <v>23</v>
      </c>
      <c r="D902" s="4">
        <v>21.336468639974999</v>
      </c>
      <c r="E902" s="4">
        <v>22.756064652838891</v>
      </c>
      <c r="F902" s="4">
        <v>22.883373029516669</v>
      </c>
      <c r="G902" s="4">
        <v>3.8</v>
      </c>
      <c r="H902" s="5">
        <v>44.405423553513891</v>
      </c>
      <c r="I902" s="5">
        <v>42.523949183377781</v>
      </c>
      <c r="J902" s="5">
        <v>40.626296816766668</v>
      </c>
      <c r="K902" s="5">
        <v>71</v>
      </c>
    </row>
    <row r="903" spans="1:11" x14ac:dyDescent="0.25">
      <c r="A903" s="2">
        <v>46135</v>
      </c>
      <c r="B903" t="str">
        <f t="shared" si="28"/>
        <v>2026-04</v>
      </c>
      <c r="C903" s="3">
        <f t="shared" si="29"/>
        <v>0</v>
      </c>
      <c r="D903" s="4">
        <v>21.227653444611111</v>
      </c>
      <c r="E903" s="4">
        <v>22.906562667977781</v>
      </c>
      <c r="F903" s="4">
        <v>22.857129125524999</v>
      </c>
      <c r="G903" s="4">
        <v>3.3</v>
      </c>
      <c r="H903" s="5">
        <v>45.269631105822221</v>
      </c>
      <c r="I903" s="5">
        <v>43.225771179116663</v>
      </c>
      <c r="J903" s="5">
        <v>40.569161697469447</v>
      </c>
      <c r="K903" s="5">
        <v>71</v>
      </c>
    </row>
    <row r="904" spans="1:11" x14ac:dyDescent="0.25">
      <c r="A904" s="2">
        <v>46135.041666666657</v>
      </c>
      <c r="B904" t="str">
        <f t="shared" si="28"/>
        <v>2026-04</v>
      </c>
      <c r="C904" s="3">
        <f t="shared" si="29"/>
        <v>1</v>
      </c>
      <c r="D904" s="4">
        <v>21.404282893794441</v>
      </c>
      <c r="E904" s="4">
        <v>22.922119536869449</v>
      </c>
      <c r="F904" s="4">
        <v>22.834433953147219</v>
      </c>
      <c r="G904" s="4">
        <v>3</v>
      </c>
      <c r="H904" s="5">
        <v>44.576758448180563</v>
      </c>
      <c r="I904" s="5">
        <v>41.876852136344439</v>
      </c>
      <c r="J904" s="5">
        <v>40.519422170672222</v>
      </c>
      <c r="K904" s="5">
        <v>71</v>
      </c>
    </row>
    <row r="905" spans="1:11" x14ac:dyDescent="0.25">
      <c r="A905" s="2">
        <v>46135.083333333343</v>
      </c>
      <c r="B905" t="str">
        <f t="shared" si="28"/>
        <v>2026-04</v>
      </c>
      <c r="C905" s="3">
        <f t="shared" si="29"/>
        <v>2</v>
      </c>
      <c r="D905" s="4">
        <v>21.171720165438892</v>
      </c>
      <c r="E905" s="4">
        <v>22.679814282544449</v>
      </c>
      <c r="F905" s="4">
        <v>22.818849497908332</v>
      </c>
      <c r="G905" s="4">
        <v>2.6</v>
      </c>
      <c r="H905" s="5">
        <v>46.152350694180548</v>
      </c>
      <c r="I905" s="5">
        <v>42.990289001466671</v>
      </c>
      <c r="J905" s="5">
        <v>40.495168047316668</v>
      </c>
      <c r="K905" s="5">
        <v>74</v>
      </c>
    </row>
    <row r="906" spans="1:11" x14ac:dyDescent="0.25">
      <c r="A906" s="2">
        <v>46135.125</v>
      </c>
      <c r="B906" t="str">
        <f t="shared" si="28"/>
        <v>2026-04</v>
      </c>
      <c r="C906" s="3">
        <f t="shared" si="29"/>
        <v>3</v>
      </c>
      <c r="D906" s="4">
        <v>20.712425756958329</v>
      </c>
      <c r="E906" s="4">
        <v>22.247037142386109</v>
      </c>
      <c r="F906" s="4">
        <v>22.782165849502778</v>
      </c>
      <c r="G906" s="4">
        <v>2.6</v>
      </c>
      <c r="H906" s="5">
        <v>49.651587632133328</v>
      </c>
      <c r="I906" s="5">
        <v>45.837206086861109</v>
      </c>
      <c r="J906" s="5">
        <v>40.490239173816668</v>
      </c>
      <c r="K906" s="5">
        <v>72</v>
      </c>
    </row>
    <row r="907" spans="1:11" x14ac:dyDescent="0.25">
      <c r="A907" s="2">
        <v>46135.166666666657</v>
      </c>
      <c r="B907" t="str">
        <f t="shared" si="28"/>
        <v>2026-04</v>
      </c>
      <c r="C907" s="3">
        <f t="shared" si="29"/>
        <v>4</v>
      </c>
      <c r="D907" s="4">
        <v>20.433845758419441</v>
      </c>
      <c r="E907" s="4">
        <v>22.016113705363889</v>
      </c>
      <c r="F907" s="4">
        <v>22.755100472858331</v>
      </c>
      <c r="G907" s="4">
        <v>2.7</v>
      </c>
      <c r="H907" s="5">
        <v>49.255174295930551</v>
      </c>
      <c r="I907" s="5">
        <v>44.942866031313883</v>
      </c>
      <c r="J907" s="5">
        <v>40.464206828591657</v>
      </c>
      <c r="K907" s="5">
        <v>68</v>
      </c>
    </row>
    <row r="908" spans="1:11" x14ac:dyDescent="0.25">
      <c r="A908" s="2">
        <v>46135.208333333343</v>
      </c>
      <c r="B908" t="str">
        <f t="shared" si="28"/>
        <v>2026-04</v>
      </c>
      <c r="C908" s="3">
        <f t="shared" si="29"/>
        <v>5</v>
      </c>
      <c r="D908" s="4">
        <v>20.31700038155833</v>
      </c>
      <c r="E908" s="4">
        <v>21.799163375163889</v>
      </c>
      <c r="F908" s="4">
        <v>22.728705877783341</v>
      </c>
      <c r="G908" s="4">
        <v>2.8</v>
      </c>
      <c r="H908" s="5">
        <v>48.559062304450002</v>
      </c>
      <c r="I908" s="5">
        <v>44.190752004277783</v>
      </c>
      <c r="J908" s="5">
        <v>40.451321798622217</v>
      </c>
      <c r="K908" s="5">
        <v>66</v>
      </c>
    </row>
    <row r="909" spans="1:11" x14ac:dyDescent="0.25">
      <c r="A909" s="2">
        <v>46135.25</v>
      </c>
      <c r="B909" t="str">
        <f t="shared" si="28"/>
        <v>2026-04</v>
      </c>
      <c r="C909" s="3">
        <f t="shared" si="29"/>
        <v>6</v>
      </c>
      <c r="D909" s="4">
        <v>20.79939173227222</v>
      </c>
      <c r="E909" s="4">
        <v>21.962127819774999</v>
      </c>
      <c r="F909" s="4">
        <v>22.708877945719451</v>
      </c>
      <c r="G909" s="4">
        <v>2.6</v>
      </c>
      <c r="H909" s="5">
        <v>45.936602546991672</v>
      </c>
      <c r="I909" s="5">
        <v>43.101498456933342</v>
      </c>
      <c r="J909" s="5">
        <v>40.415619490580553</v>
      </c>
      <c r="K909" s="5">
        <v>68</v>
      </c>
    </row>
    <row r="910" spans="1:11" x14ac:dyDescent="0.25">
      <c r="A910" s="2">
        <v>46135.291666666657</v>
      </c>
      <c r="B910" t="str">
        <f t="shared" si="28"/>
        <v>2026-04</v>
      </c>
      <c r="C910" s="3">
        <f t="shared" si="29"/>
        <v>7</v>
      </c>
      <c r="D910" s="4">
        <v>21.353086017205559</v>
      </c>
      <c r="E910" s="4">
        <v>22.345128852897229</v>
      </c>
      <c r="F910" s="4">
        <v>22.69792235586111</v>
      </c>
      <c r="G910" s="4">
        <v>3.6</v>
      </c>
      <c r="H910" s="5">
        <v>43.639379784108343</v>
      </c>
      <c r="I910" s="5">
        <v>41.979351528452767</v>
      </c>
      <c r="J910" s="5">
        <v>40.383683719888893</v>
      </c>
      <c r="K910" s="5">
        <v>67</v>
      </c>
    </row>
    <row r="911" spans="1:11" x14ac:dyDescent="0.25">
      <c r="A911" s="2">
        <v>46135.333333333343</v>
      </c>
      <c r="B911" t="str">
        <f t="shared" si="28"/>
        <v>2026-04</v>
      </c>
      <c r="C911" s="3">
        <f t="shared" si="29"/>
        <v>8</v>
      </c>
      <c r="D911" s="4">
        <v>21.80303379031945</v>
      </c>
      <c r="E911" s="4">
        <v>22.824010234888888</v>
      </c>
      <c r="F911" s="4">
        <v>22.696583708477771</v>
      </c>
      <c r="G911" s="4">
        <v>4.9000000000000004</v>
      </c>
      <c r="H911" s="5">
        <v>43.79626873293055</v>
      </c>
      <c r="I911" s="5">
        <v>41.569205554663888</v>
      </c>
      <c r="J911" s="5">
        <v>40.356089350405547</v>
      </c>
      <c r="K911" s="5">
        <v>67</v>
      </c>
    </row>
    <row r="912" spans="1:11" x14ac:dyDescent="0.25">
      <c r="A912" s="2">
        <v>46135.375</v>
      </c>
      <c r="B912" t="str">
        <f t="shared" si="28"/>
        <v>2026-04</v>
      </c>
      <c r="C912" s="3">
        <f t="shared" si="29"/>
        <v>9</v>
      </c>
      <c r="D912" s="4">
        <v>21.755408567911111</v>
      </c>
      <c r="E912" s="4">
        <v>22.984596369188889</v>
      </c>
      <c r="F912" s="4">
        <v>22.703630224194441</v>
      </c>
      <c r="G912" s="4">
        <v>7.2</v>
      </c>
      <c r="H912" s="5">
        <v>44.357876359047218</v>
      </c>
      <c r="I912" s="5">
        <v>41.71369223874445</v>
      </c>
      <c r="J912" s="5">
        <v>40.318335386972223</v>
      </c>
      <c r="K912" s="5">
        <v>61</v>
      </c>
    </row>
    <row r="913" spans="1:11" x14ac:dyDescent="0.25">
      <c r="A913" s="2">
        <v>46135.416666666657</v>
      </c>
      <c r="B913" t="str">
        <f t="shared" si="28"/>
        <v>2026-04</v>
      </c>
      <c r="C913" s="3">
        <f t="shared" si="29"/>
        <v>10</v>
      </c>
      <c r="D913" s="4">
        <v>21.546509613216671</v>
      </c>
      <c r="E913" s="4">
        <v>22.836994742819439</v>
      </c>
      <c r="F913" s="4">
        <v>22.694117419236111</v>
      </c>
      <c r="G913" s="4">
        <v>8.6</v>
      </c>
      <c r="H913" s="5">
        <v>45.318608940455562</v>
      </c>
      <c r="I913" s="5">
        <v>43.03153886561666</v>
      </c>
      <c r="J913" s="5">
        <v>40.268305652119437</v>
      </c>
      <c r="K913" s="5">
        <v>55</v>
      </c>
    </row>
    <row r="914" spans="1:11" x14ac:dyDescent="0.25">
      <c r="A914" s="2">
        <v>46135.458333333343</v>
      </c>
      <c r="B914" t="str">
        <f t="shared" si="28"/>
        <v>2026-04</v>
      </c>
      <c r="C914" s="3">
        <f t="shared" si="29"/>
        <v>11</v>
      </c>
      <c r="D914" s="4">
        <v>21.644420262858329</v>
      </c>
      <c r="E914" s="4">
        <v>23.134950879794449</v>
      </c>
      <c r="F914" s="4">
        <v>22.681743709022221</v>
      </c>
      <c r="G914" s="4">
        <v>9</v>
      </c>
      <c r="H914" s="5">
        <v>51.318337379911107</v>
      </c>
      <c r="I914" s="5">
        <v>51.597382551816658</v>
      </c>
      <c r="J914" s="5">
        <v>40.232515269674998</v>
      </c>
      <c r="K914" s="5">
        <v>55</v>
      </c>
    </row>
    <row r="915" spans="1:11" x14ac:dyDescent="0.25">
      <c r="A915" s="2">
        <v>46135.5</v>
      </c>
      <c r="B915" t="str">
        <f t="shared" si="28"/>
        <v>2026-04</v>
      </c>
      <c r="C915" s="3">
        <f t="shared" si="29"/>
        <v>12</v>
      </c>
      <c r="D915" s="4">
        <v>21.563969368877778</v>
      </c>
      <c r="E915" s="4">
        <v>23.21724039675556</v>
      </c>
      <c r="F915" s="4">
        <v>22.686839431266659</v>
      </c>
      <c r="G915" s="4">
        <v>10</v>
      </c>
      <c r="H915" s="5">
        <v>53.628030903377777</v>
      </c>
      <c r="I915" s="5">
        <v>50.780261711097218</v>
      </c>
      <c r="J915" s="5">
        <v>40.234456950930557</v>
      </c>
      <c r="K915" s="5">
        <v>55</v>
      </c>
    </row>
    <row r="916" spans="1:11" x14ac:dyDescent="0.25">
      <c r="A916" s="2">
        <v>46135.541666666657</v>
      </c>
      <c r="B916" t="str">
        <f t="shared" si="28"/>
        <v>2026-04</v>
      </c>
      <c r="C916" s="3">
        <f t="shared" si="29"/>
        <v>13</v>
      </c>
      <c r="D916" s="4">
        <v>21.589034579822229</v>
      </c>
      <c r="E916" s="4">
        <v>23.653923920025001</v>
      </c>
      <c r="F916" s="4">
        <v>22.694415949888889</v>
      </c>
      <c r="G916" s="4">
        <v>11.2</v>
      </c>
      <c r="H916" s="5">
        <v>53.387959851152779</v>
      </c>
      <c r="I916" s="5">
        <v>49.233042496033327</v>
      </c>
      <c r="J916" s="5">
        <v>40.379331332913893</v>
      </c>
      <c r="K916" s="5">
        <v>51</v>
      </c>
    </row>
    <row r="917" spans="1:11" x14ac:dyDescent="0.25">
      <c r="A917" s="2">
        <v>46135.583333333343</v>
      </c>
      <c r="B917" t="str">
        <f t="shared" si="28"/>
        <v>2026-04</v>
      </c>
      <c r="C917" s="3">
        <f t="shared" si="29"/>
        <v>14</v>
      </c>
      <c r="D917" s="4">
        <v>21.560456558663891</v>
      </c>
      <c r="E917" s="4">
        <v>24.396537068213888</v>
      </c>
      <c r="F917" s="4">
        <v>22.687749649522221</v>
      </c>
      <c r="G917" s="4">
        <v>9.5</v>
      </c>
      <c r="H917" s="5">
        <v>51.848560168152773</v>
      </c>
      <c r="I917" s="5">
        <v>45.556477045030562</v>
      </c>
      <c r="J917" s="5">
        <v>40.17663145059722</v>
      </c>
      <c r="K917" s="5">
        <v>68</v>
      </c>
    </row>
    <row r="918" spans="1:11" x14ac:dyDescent="0.25">
      <c r="A918" s="2">
        <v>46135.625</v>
      </c>
      <c r="B918" t="str">
        <f t="shared" si="28"/>
        <v>2026-04</v>
      </c>
      <c r="C918" s="3">
        <f t="shared" si="29"/>
        <v>15</v>
      </c>
      <c r="D918" s="4">
        <v>21.517924835925001</v>
      </c>
      <c r="E918" s="4">
        <v>24.422779159533331</v>
      </c>
      <c r="F918" s="4">
        <v>22.695732241747219</v>
      </c>
      <c r="G918" s="4">
        <v>8.6</v>
      </c>
      <c r="H918" s="5">
        <v>52.219959593558343</v>
      </c>
      <c r="I918" s="5">
        <v>43.820414356483333</v>
      </c>
      <c r="J918" s="5">
        <v>40.11696524149167</v>
      </c>
      <c r="K918" s="5">
        <v>61</v>
      </c>
    </row>
    <row r="919" spans="1:11" x14ac:dyDescent="0.25">
      <c r="A919" s="2">
        <v>46135.666666666657</v>
      </c>
      <c r="B919" t="str">
        <f t="shared" si="28"/>
        <v>2026-04</v>
      </c>
      <c r="C919" s="3">
        <f t="shared" si="29"/>
        <v>16</v>
      </c>
      <c r="D919" s="4">
        <v>21.37197663878333</v>
      </c>
      <c r="E919" s="4">
        <v>23.172596740686121</v>
      </c>
      <c r="F919" s="4">
        <v>22.70545891888333</v>
      </c>
      <c r="G919" s="4">
        <v>6.4</v>
      </c>
      <c r="H919" s="5">
        <v>50.582594138877766</v>
      </c>
      <c r="I919" s="5">
        <v>45.894168857274998</v>
      </c>
      <c r="J919" s="5">
        <v>40.273508393972229</v>
      </c>
      <c r="K919" s="5">
        <v>82</v>
      </c>
    </row>
    <row r="920" spans="1:11" x14ac:dyDescent="0.25">
      <c r="A920" s="2">
        <v>46135.708333333343</v>
      </c>
      <c r="B920" t="str">
        <f t="shared" si="28"/>
        <v>2026-04</v>
      </c>
      <c r="C920" s="3">
        <f t="shared" si="29"/>
        <v>17</v>
      </c>
      <c r="D920" s="4">
        <v>21.27845335005</v>
      </c>
      <c r="E920" s="4">
        <v>22.966850370813891</v>
      </c>
      <c r="F920" s="4">
        <v>22.690966066666661</v>
      </c>
      <c r="G920" s="4">
        <v>6.2</v>
      </c>
      <c r="H920" s="5">
        <v>49.670547679236108</v>
      </c>
      <c r="I920" s="5">
        <v>45.44749651925833</v>
      </c>
      <c r="J920" s="5">
        <v>40.256976882447219</v>
      </c>
      <c r="K920" s="5">
        <v>82</v>
      </c>
    </row>
    <row r="921" spans="1:11" x14ac:dyDescent="0.25">
      <c r="A921" s="2">
        <v>46135.75</v>
      </c>
      <c r="B921" t="str">
        <f t="shared" si="28"/>
        <v>2026-04</v>
      </c>
      <c r="C921" s="3">
        <f t="shared" si="29"/>
        <v>18</v>
      </c>
      <c r="D921" s="4">
        <v>21.20799749130833</v>
      </c>
      <c r="E921" s="4">
        <v>23.144278429475001</v>
      </c>
      <c r="F921" s="4">
        <v>22.682365509827779</v>
      </c>
      <c r="G921" s="4">
        <v>6.1</v>
      </c>
      <c r="H921" s="5">
        <v>50.722275267091668</v>
      </c>
      <c r="I921" s="5">
        <v>45.799311740397222</v>
      </c>
      <c r="J921" s="5">
        <v>40.272631442916669</v>
      </c>
      <c r="K921" s="5">
        <v>82</v>
      </c>
    </row>
    <row r="922" spans="1:11" x14ac:dyDescent="0.25">
      <c r="A922" s="2">
        <v>46135.791666666657</v>
      </c>
      <c r="B922" t="str">
        <f t="shared" si="28"/>
        <v>2026-04</v>
      </c>
      <c r="C922" s="3">
        <f t="shared" si="29"/>
        <v>19</v>
      </c>
      <c r="D922" s="4">
        <v>21.180171997774998</v>
      </c>
      <c r="E922" s="4">
        <v>23.320344570883339</v>
      </c>
      <c r="F922" s="4">
        <v>22.763403215661111</v>
      </c>
      <c r="G922" s="4">
        <v>5.0999999999999996</v>
      </c>
      <c r="H922" s="5">
        <v>58.690195966894443</v>
      </c>
      <c r="I922" s="5">
        <v>52.63203995234722</v>
      </c>
      <c r="J922" s="5">
        <v>43.359865828452783</v>
      </c>
      <c r="K922" s="5">
        <v>85</v>
      </c>
    </row>
    <row r="923" spans="1:11" x14ac:dyDescent="0.25">
      <c r="A923" s="2">
        <v>46135.833333333343</v>
      </c>
      <c r="B923" t="str">
        <f t="shared" si="28"/>
        <v>2026-04</v>
      </c>
      <c r="C923" s="3">
        <f t="shared" si="29"/>
        <v>20</v>
      </c>
      <c r="D923" s="4">
        <v>21.53992680413889</v>
      </c>
      <c r="E923" s="4">
        <v>23.651429259566669</v>
      </c>
      <c r="F923" s="4">
        <v>22.731411277111111</v>
      </c>
      <c r="G923" s="4">
        <v>3.9</v>
      </c>
      <c r="H923" s="5">
        <v>54.357936289080563</v>
      </c>
      <c r="I923" s="5">
        <v>48.47218833000278</v>
      </c>
      <c r="J923" s="5">
        <v>42.366941900133327</v>
      </c>
      <c r="K923" s="5">
        <v>89</v>
      </c>
    </row>
    <row r="924" spans="1:11" x14ac:dyDescent="0.25">
      <c r="A924" s="2">
        <v>46135.875</v>
      </c>
      <c r="B924" t="str">
        <f t="shared" si="28"/>
        <v>2026-04</v>
      </c>
      <c r="C924" s="3">
        <f t="shared" si="29"/>
        <v>21</v>
      </c>
      <c r="D924" s="4">
        <v>21.458003302436111</v>
      </c>
      <c r="E924" s="4">
        <v>23.82162531320833</v>
      </c>
      <c r="F924" s="4">
        <v>22.70388369203333</v>
      </c>
      <c r="G924" s="4">
        <v>3.7</v>
      </c>
      <c r="H924" s="5">
        <v>53.567572339947219</v>
      </c>
      <c r="I924" s="5">
        <v>46.903274549805559</v>
      </c>
      <c r="J924" s="5">
        <v>41.641531757172217</v>
      </c>
      <c r="K924" s="5">
        <v>91</v>
      </c>
    </row>
    <row r="925" spans="1:11" x14ac:dyDescent="0.25">
      <c r="A925" s="2">
        <v>46135.916666666657</v>
      </c>
      <c r="B925" t="str">
        <f t="shared" si="28"/>
        <v>2026-04</v>
      </c>
      <c r="C925" s="3">
        <f t="shared" si="29"/>
        <v>22</v>
      </c>
      <c r="D925" s="4">
        <v>21.27619321555278</v>
      </c>
      <c r="E925" s="4">
        <v>23.433715985872219</v>
      </c>
      <c r="F925" s="4">
        <v>22.686265527211109</v>
      </c>
      <c r="G925" s="4">
        <v>2.9</v>
      </c>
      <c r="H925" s="5">
        <v>55.523501850794453</v>
      </c>
      <c r="I925" s="5">
        <v>48.944152627630558</v>
      </c>
      <c r="J925" s="5">
        <v>41.472629221108328</v>
      </c>
      <c r="K925" s="5">
        <v>91</v>
      </c>
    </row>
    <row r="926" spans="1:11" x14ac:dyDescent="0.25">
      <c r="A926" s="2">
        <v>46135.958333333343</v>
      </c>
      <c r="B926" t="str">
        <f t="shared" si="28"/>
        <v>2026-04</v>
      </c>
      <c r="C926" s="3">
        <f t="shared" si="29"/>
        <v>23</v>
      </c>
      <c r="D926" s="4">
        <v>21.244978707552779</v>
      </c>
      <c r="E926" s="4">
        <v>24.466365895330551</v>
      </c>
      <c r="F926" s="4">
        <v>22.67424371970278</v>
      </c>
      <c r="G926" s="4">
        <v>2.6</v>
      </c>
      <c r="H926" s="5">
        <v>55.512135357311109</v>
      </c>
      <c r="I926" s="5">
        <v>47.176077106244442</v>
      </c>
      <c r="J926" s="5">
        <v>41.494503092519437</v>
      </c>
      <c r="K926" s="5">
        <v>89</v>
      </c>
    </row>
    <row r="927" spans="1:11" x14ac:dyDescent="0.25">
      <c r="A927" s="2">
        <v>46136</v>
      </c>
      <c r="B927" t="str">
        <f t="shared" si="28"/>
        <v>2026-04</v>
      </c>
      <c r="C927" s="3">
        <f t="shared" si="29"/>
        <v>0</v>
      </c>
      <c r="D927" s="4">
        <v>21.162102649180561</v>
      </c>
      <c r="E927" s="4">
        <v>24.448973119972219</v>
      </c>
      <c r="F927" s="4">
        <v>22.667104946927779</v>
      </c>
      <c r="G927" s="4">
        <v>2</v>
      </c>
      <c r="H927" s="5">
        <v>54.448700326447231</v>
      </c>
      <c r="I927" s="5">
        <v>45.780352509436113</v>
      </c>
      <c r="J927" s="5">
        <v>41.52839486394722</v>
      </c>
      <c r="K927" s="5">
        <v>92</v>
      </c>
    </row>
    <row r="928" spans="1:11" x14ac:dyDescent="0.25">
      <c r="A928" s="2">
        <v>46136.041666666657</v>
      </c>
      <c r="B928" t="str">
        <f t="shared" si="28"/>
        <v>2026-04</v>
      </c>
      <c r="C928" s="3">
        <f t="shared" si="29"/>
        <v>1</v>
      </c>
      <c r="D928" s="4">
        <v>21.1872833151</v>
      </c>
      <c r="E928" s="4">
        <v>24.447202216377772</v>
      </c>
      <c r="F928" s="4">
        <v>22.659394891155561</v>
      </c>
      <c r="G928" s="4">
        <v>1.6</v>
      </c>
      <c r="H928" s="5">
        <v>52.269142595113891</v>
      </c>
      <c r="I928" s="5">
        <v>44.39627208986667</v>
      </c>
      <c r="J928" s="5">
        <v>41.291955327525002</v>
      </c>
      <c r="K928" s="5">
        <v>94</v>
      </c>
    </row>
    <row r="929" spans="1:11" x14ac:dyDescent="0.25">
      <c r="A929" s="2">
        <v>46136.083333333343</v>
      </c>
      <c r="B929" t="str">
        <f t="shared" si="28"/>
        <v>2026-04</v>
      </c>
      <c r="C929" s="3">
        <f t="shared" si="29"/>
        <v>2</v>
      </c>
      <c r="D929" s="4">
        <v>20.977071456788892</v>
      </c>
      <c r="E929" s="4">
        <v>24.084837417344449</v>
      </c>
      <c r="F929" s="4">
        <v>22.644227434763891</v>
      </c>
      <c r="G929" s="4">
        <v>1.3</v>
      </c>
      <c r="H929" s="5">
        <v>51.179145725347219</v>
      </c>
      <c r="I929" s="5">
        <v>43.361276512750003</v>
      </c>
      <c r="J929" s="5">
        <v>41.141471651613891</v>
      </c>
      <c r="K929" s="5">
        <v>96</v>
      </c>
    </row>
    <row r="930" spans="1:11" x14ac:dyDescent="0.25">
      <c r="A930" s="2">
        <v>46136.125</v>
      </c>
      <c r="B930" t="str">
        <f t="shared" si="28"/>
        <v>2026-04</v>
      </c>
      <c r="C930" s="3">
        <f t="shared" si="29"/>
        <v>3</v>
      </c>
      <c r="D930" s="4">
        <v>20.478704047866671</v>
      </c>
      <c r="E930" s="4">
        <v>23.809603129883332</v>
      </c>
      <c r="F930" s="4">
        <v>22.612511725991659</v>
      </c>
      <c r="G930" s="4">
        <v>0.9</v>
      </c>
      <c r="H930" s="5">
        <v>51.549575288619437</v>
      </c>
      <c r="I930" s="5">
        <v>42.315310036344442</v>
      </c>
      <c r="J930" s="5">
        <v>41.074396464869437</v>
      </c>
      <c r="K930" s="5">
        <v>91</v>
      </c>
    </row>
    <row r="931" spans="1:11" x14ac:dyDescent="0.25">
      <c r="A931" s="2">
        <v>46136.166666666657</v>
      </c>
      <c r="B931" t="str">
        <f t="shared" si="28"/>
        <v>2026-04</v>
      </c>
      <c r="C931" s="3">
        <f t="shared" si="29"/>
        <v>4</v>
      </c>
      <c r="D931" s="4">
        <v>20.211475577188889</v>
      </c>
      <c r="E931" s="4">
        <v>23.447320593022219</v>
      </c>
      <c r="F931" s="4">
        <v>22.584626332877779</v>
      </c>
      <c r="G931" s="4">
        <v>0.9</v>
      </c>
      <c r="H931" s="5">
        <v>51.657877124266662</v>
      </c>
      <c r="I931" s="5">
        <v>42.133549457424998</v>
      </c>
      <c r="J931" s="5">
        <v>41.085049360955558</v>
      </c>
      <c r="K931" s="5">
        <v>91</v>
      </c>
    </row>
    <row r="932" spans="1:11" x14ac:dyDescent="0.25">
      <c r="A932" s="2">
        <v>46136.208333333343</v>
      </c>
      <c r="B932" t="str">
        <f t="shared" si="28"/>
        <v>2026-04</v>
      </c>
      <c r="C932" s="3">
        <f t="shared" si="29"/>
        <v>5</v>
      </c>
      <c r="D932" s="4">
        <v>20.04985670041944</v>
      </c>
      <c r="E932" s="4">
        <v>23.187635920102771</v>
      </c>
      <c r="F932" s="4">
        <v>22.563904167438888</v>
      </c>
      <c r="G932" s="4">
        <v>0.9</v>
      </c>
      <c r="H932" s="5">
        <v>51.43790066975</v>
      </c>
      <c r="I932" s="5">
        <v>41.913733667016658</v>
      </c>
      <c r="J932" s="5">
        <v>41.084429396294453</v>
      </c>
      <c r="K932" s="5">
        <v>92</v>
      </c>
    </row>
    <row r="933" spans="1:11" x14ac:dyDescent="0.25">
      <c r="A933" s="2">
        <v>46136.25</v>
      </c>
      <c r="B933" t="str">
        <f t="shared" si="28"/>
        <v>2026-04</v>
      </c>
      <c r="C933" s="3">
        <f t="shared" si="29"/>
        <v>6</v>
      </c>
      <c r="D933" s="4">
        <v>19.9513315194</v>
      </c>
      <c r="E933" s="4">
        <v>23.009819373247229</v>
      </c>
      <c r="F933" s="4">
        <v>22.545070424619439</v>
      </c>
      <c r="G933" s="4">
        <v>1</v>
      </c>
      <c r="H933" s="5">
        <v>51.156940700019447</v>
      </c>
      <c r="I933" s="5">
        <v>41.832726613280563</v>
      </c>
      <c r="J933" s="5">
        <v>41.11065688330833</v>
      </c>
      <c r="K933" s="5">
        <v>92</v>
      </c>
    </row>
    <row r="934" spans="1:11" x14ac:dyDescent="0.25">
      <c r="A934" s="2">
        <v>46136.291666666657</v>
      </c>
      <c r="B934" t="str">
        <f t="shared" si="28"/>
        <v>2026-04</v>
      </c>
      <c r="C934" s="3">
        <f t="shared" si="29"/>
        <v>7</v>
      </c>
      <c r="D934" s="4">
        <v>19.89691870113333</v>
      </c>
      <c r="E934" s="4">
        <v>22.86529370023889</v>
      </c>
      <c r="F934" s="4">
        <v>22.530576814730551</v>
      </c>
      <c r="G934" s="4">
        <v>1</v>
      </c>
      <c r="H934" s="5">
        <v>51.035196725561121</v>
      </c>
      <c r="I934" s="5">
        <v>41.809026495269443</v>
      </c>
      <c r="J934" s="5">
        <v>41.246040488733342</v>
      </c>
      <c r="K934" s="5">
        <v>92</v>
      </c>
    </row>
    <row r="935" spans="1:11" x14ac:dyDescent="0.25">
      <c r="A935" s="2">
        <v>46136.333333333343</v>
      </c>
      <c r="B935" t="str">
        <f t="shared" si="28"/>
        <v>2026-04</v>
      </c>
      <c r="C935" s="3">
        <f t="shared" si="29"/>
        <v>8</v>
      </c>
      <c r="D935" s="4">
        <v>19.891665559252768</v>
      </c>
      <c r="E935" s="4">
        <v>22.777180300225002</v>
      </c>
      <c r="F935" s="4">
        <v>22.51426494</v>
      </c>
      <c r="G935" s="4">
        <v>1.5</v>
      </c>
      <c r="H935" s="5">
        <v>50.83067419146667</v>
      </c>
      <c r="I935" s="5">
        <v>41.800484590791662</v>
      </c>
      <c r="J935" s="5">
        <v>41.439904230736111</v>
      </c>
      <c r="K935" s="5">
        <v>90</v>
      </c>
    </row>
    <row r="936" spans="1:11" x14ac:dyDescent="0.25">
      <c r="A936" s="2">
        <v>46136.375</v>
      </c>
      <c r="B936" t="str">
        <f t="shared" si="28"/>
        <v>2026-04</v>
      </c>
      <c r="C936" s="3">
        <f t="shared" si="29"/>
        <v>9</v>
      </c>
      <c r="D936" s="4">
        <v>19.910998713727778</v>
      </c>
      <c r="E936" s="4">
        <v>22.680123183275001</v>
      </c>
      <c r="F936" s="4">
        <v>22.508515004241669</v>
      </c>
      <c r="G936" s="4">
        <v>2.1</v>
      </c>
      <c r="H936" s="5">
        <v>50.404219676283333</v>
      </c>
      <c r="I936" s="5">
        <v>41.643377138411111</v>
      </c>
      <c r="J936" s="5">
        <v>41.689036385327768</v>
      </c>
      <c r="K936" s="5">
        <v>89</v>
      </c>
    </row>
    <row r="937" spans="1:11" x14ac:dyDescent="0.25">
      <c r="A937" s="2">
        <v>46136.416666666657</v>
      </c>
      <c r="B937" t="str">
        <f t="shared" si="28"/>
        <v>2026-04</v>
      </c>
      <c r="C937" s="3">
        <f t="shared" si="29"/>
        <v>10</v>
      </c>
      <c r="D937" s="4">
        <v>19.887860616619449</v>
      </c>
      <c r="E937" s="4">
        <v>22.536273451386108</v>
      </c>
      <c r="F937" s="4">
        <v>22.49880684465278</v>
      </c>
      <c r="G937" s="4">
        <v>2.7</v>
      </c>
      <c r="H937" s="5">
        <v>50.164331541708329</v>
      </c>
      <c r="I937" s="5">
        <v>41.628470102400001</v>
      </c>
      <c r="J937" s="5">
        <v>42.039597371644447</v>
      </c>
      <c r="K937" s="5">
        <v>81</v>
      </c>
    </row>
    <row r="938" spans="1:11" x14ac:dyDescent="0.25">
      <c r="A938" s="2">
        <v>46136.458333333343</v>
      </c>
      <c r="B938" t="str">
        <f t="shared" si="28"/>
        <v>2026-04</v>
      </c>
      <c r="C938" s="3">
        <f t="shared" si="29"/>
        <v>11</v>
      </c>
      <c r="D938" s="4">
        <v>20.081916595966671</v>
      </c>
      <c r="E938" s="4">
        <v>22.737838719202781</v>
      </c>
      <c r="F938" s="4">
        <v>22.499818022144439</v>
      </c>
      <c r="G938" s="4">
        <v>4.4000000000000004</v>
      </c>
      <c r="H938" s="5">
        <v>53.251893520616669</v>
      </c>
      <c r="I938" s="5">
        <v>44.591512190425</v>
      </c>
      <c r="J938" s="5">
        <v>42.302797662263892</v>
      </c>
      <c r="K938" s="5">
        <v>68</v>
      </c>
    </row>
    <row r="939" spans="1:11" x14ac:dyDescent="0.25">
      <c r="A939" s="2">
        <v>46136.5</v>
      </c>
      <c r="B939" t="str">
        <f t="shared" si="28"/>
        <v>2026-04</v>
      </c>
      <c r="C939" s="3">
        <f t="shared" si="29"/>
        <v>12</v>
      </c>
      <c r="D939" s="4">
        <v>20.52612468481389</v>
      </c>
      <c r="E939" s="4">
        <v>23.079541665511108</v>
      </c>
      <c r="F939" s="4">
        <v>22.497639609688889</v>
      </c>
      <c r="G939" s="4">
        <v>5.6</v>
      </c>
      <c r="H939" s="5">
        <v>53.402052082849998</v>
      </c>
      <c r="I939" s="5">
        <v>45.149368381283331</v>
      </c>
      <c r="J939" s="5">
        <v>42.731189862597233</v>
      </c>
      <c r="K939" s="5">
        <v>57</v>
      </c>
    </row>
    <row r="940" spans="1:11" x14ac:dyDescent="0.25">
      <c r="A940" s="2">
        <v>46136.541666666657</v>
      </c>
      <c r="B940" t="str">
        <f t="shared" si="28"/>
        <v>2026-04</v>
      </c>
      <c r="C940" s="3">
        <f t="shared" si="29"/>
        <v>13</v>
      </c>
      <c r="D940" s="4">
        <v>20.597037112369449</v>
      </c>
      <c r="E940" s="4">
        <v>23.230980219191661</v>
      </c>
      <c r="F940" s="4">
        <v>22.51517237925</v>
      </c>
      <c r="G940" s="4">
        <v>6.3</v>
      </c>
      <c r="H940" s="5">
        <v>51.161352929133344</v>
      </c>
      <c r="I940" s="5">
        <v>43.85354932526667</v>
      </c>
      <c r="J940" s="5">
        <v>42.950688461127783</v>
      </c>
      <c r="K940" s="5">
        <v>52</v>
      </c>
    </row>
    <row r="941" spans="1:11" x14ac:dyDescent="0.25">
      <c r="A941" s="2">
        <v>46136.583333333343</v>
      </c>
      <c r="B941" t="str">
        <f t="shared" si="28"/>
        <v>2026-04</v>
      </c>
      <c r="C941" s="3">
        <f t="shared" si="29"/>
        <v>14</v>
      </c>
      <c r="D941" s="4">
        <v>20.687322089830559</v>
      </c>
      <c r="E941" s="4">
        <v>23.342638405513888</v>
      </c>
      <c r="F941" s="4">
        <v>22.522337070036109</v>
      </c>
      <c r="G941" s="4">
        <v>6.8</v>
      </c>
      <c r="H941" s="5">
        <v>51.170080132033341</v>
      </c>
      <c r="I941" s="5">
        <v>43.073506204983339</v>
      </c>
      <c r="J941" s="5">
        <v>43.31201616194722</v>
      </c>
      <c r="K941" s="5">
        <v>50</v>
      </c>
    </row>
    <row r="942" spans="1:11" x14ac:dyDescent="0.25">
      <c r="A942" s="2">
        <v>46136.625</v>
      </c>
      <c r="B942" t="str">
        <f t="shared" si="28"/>
        <v>2026-04</v>
      </c>
      <c r="C942" s="3">
        <f t="shared" si="29"/>
        <v>15</v>
      </c>
      <c r="D942" s="4">
        <v>20.986907046538889</v>
      </c>
      <c r="E942" s="4">
        <v>23.935435943283331</v>
      </c>
      <c r="F942" s="4">
        <v>22.620243841941669</v>
      </c>
      <c r="G942" s="4">
        <v>6</v>
      </c>
      <c r="H942" s="5">
        <v>50.719799666841659</v>
      </c>
      <c r="I942" s="5">
        <v>43.479435337788892</v>
      </c>
      <c r="J942" s="5">
        <v>46.150331211400001</v>
      </c>
      <c r="K942" s="5">
        <v>51</v>
      </c>
    </row>
    <row r="943" spans="1:11" x14ac:dyDescent="0.25">
      <c r="A943" s="2">
        <v>46136.666666666657</v>
      </c>
      <c r="B943" t="str">
        <f t="shared" si="28"/>
        <v>2026-04</v>
      </c>
      <c r="C943" s="3">
        <f t="shared" si="29"/>
        <v>16</v>
      </c>
      <c r="D943" s="4">
        <v>20.986575702677779</v>
      </c>
      <c r="E943" s="4">
        <v>23.881405430383332</v>
      </c>
      <c r="F943" s="4">
        <v>22.71659073844722</v>
      </c>
      <c r="G943" s="4">
        <v>6.6</v>
      </c>
      <c r="H943" s="5">
        <v>52.584117734116667</v>
      </c>
      <c r="I943" s="5">
        <v>46.305097915872231</v>
      </c>
      <c r="J943" s="5">
        <v>46.079777430805557</v>
      </c>
      <c r="K943" s="5">
        <v>49</v>
      </c>
    </row>
    <row r="944" spans="1:11" x14ac:dyDescent="0.25">
      <c r="A944" s="2">
        <v>46136.708333333343</v>
      </c>
      <c r="B944" t="str">
        <f t="shared" si="28"/>
        <v>2026-04</v>
      </c>
      <c r="C944" s="3">
        <f t="shared" si="29"/>
        <v>17</v>
      </c>
      <c r="D944" s="4">
        <v>20.851812465169441</v>
      </c>
      <c r="E944" s="4">
        <v>23.781448847786109</v>
      </c>
      <c r="F944" s="4">
        <v>22.742729300602772</v>
      </c>
      <c r="G944" s="4">
        <v>6.2</v>
      </c>
      <c r="H944" s="5">
        <v>52.091631909461121</v>
      </c>
      <c r="I944" s="5">
        <v>44.05879175390556</v>
      </c>
      <c r="J944" s="5">
        <v>44.782124314208339</v>
      </c>
      <c r="K944" s="5">
        <v>50</v>
      </c>
    </row>
    <row r="945" spans="1:11" x14ac:dyDescent="0.25">
      <c r="A945" s="2">
        <v>46136.75</v>
      </c>
      <c r="B945" t="str">
        <f t="shared" si="28"/>
        <v>2026-04</v>
      </c>
      <c r="C945" s="3">
        <f t="shared" si="29"/>
        <v>18</v>
      </c>
      <c r="D945" s="4">
        <v>20.71333449039167</v>
      </c>
      <c r="E945" s="4">
        <v>23.34819248820834</v>
      </c>
      <c r="F945" s="4">
        <v>22.715746179552781</v>
      </c>
      <c r="G945" s="4">
        <v>5.7</v>
      </c>
      <c r="H945" s="5">
        <v>51.629830520502772</v>
      </c>
      <c r="I945" s="5">
        <v>43.626707462963893</v>
      </c>
      <c r="J945" s="5">
        <v>44.188240722680561</v>
      </c>
      <c r="K945" s="5">
        <v>54</v>
      </c>
    </row>
    <row r="946" spans="1:11" x14ac:dyDescent="0.25">
      <c r="A946" s="2">
        <v>46136.791666666657</v>
      </c>
      <c r="B946" t="str">
        <f t="shared" si="28"/>
        <v>2026-04</v>
      </c>
      <c r="C946" s="3">
        <f t="shared" si="29"/>
        <v>19</v>
      </c>
      <c r="D946" s="4">
        <v>20.64181330300833</v>
      </c>
      <c r="E946" s="4">
        <v>22.84095519641944</v>
      </c>
      <c r="F946" s="4">
        <v>22.68445863540833</v>
      </c>
      <c r="G946" s="4">
        <v>4.9000000000000004</v>
      </c>
      <c r="H946" s="5">
        <v>51.537842758147228</v>
      </c>
      <c r="I946" s="5">
        <v>45.135734054644438</v>
      </c>
      <c r="J946" s="5">
        <v>43.316712244763892</v>
      </c>
      <c r="K946" s="5">
        <v>60</v>
      </c>
    </row>
    <row r="947" spans="1:11" x14ac:dyDescent="0.25">
      <c r="A947" s="2">
        <v>46136.833333333343</v>
      </c>
      <c r="B947" t="str">
        <f t="shared" si="28"/>
        <v>2026-04</v>
      </c>
      <c r="C947" s="3">
        <f t="shared" si="29"/>
        <v>20</v>
      </c>
      <c r="D947" s="4">
        <v>20.54824740282222</v>
      </c>
      <c r="E947" s="4">
        <v>22.712804347691669</v>
      </c>
      <c r="F947" s="4">
        <v>22.672459003647219</v>
      </c>
      <c r="G947" s="4">
        <v>4.0999999999999996</v>
      </c>
      <c r="H947" s="5">
        <v>52.180094817850012</v>
      </c>
      <c r="I947" s="5">
        <v>44.834167143841661</v>
      </c>
      <c r="J947" s="5">
        <v>44.791299383061109</v>
      </c>
      <c r="K947" s="5">
        <v>63</v>
      </c>
    </row>
    <row r="948" spans="1:11" x14ac:dyDescent="0.25">
      <c r="A948" s="2">
        <v>46136.875</v>
      </c>
      <c r="B948" t="str">
        <f t="shared" si="28"/>
        <v>2026-04</v>
      </c>
      <c r="C948" s="3">
        <f t="shared" si="29"/>
        <v>21</v>
      </c>
      <c r="D948" s="4">
        <v>20.425856108766659</v>
      </c>
      <c r="E948" s="4">
        <v>22.454927980250002</v>
      </c>
      <c r="F948" s="4">
        <v>22.601842386711109</v>
      </c>
      <c r="G948" s="4">
        <v>2.2000000000000002</v>
      </c>
      <c r="H948" s="5">
        <v>51.11342246572778</v>
      </c>
      <c r="I948" s="5">
        <v>44.460747839755562</v>
      </c>
      <c r="J948" s="5">
        <v>44.490209895269452</v>
      </c>
      <c r="K948" s="5">
        <v>75</v>
      </c>
    </row>
    <row r="949" spans="1:11" x14ac:dyDescent="0.25">
      <c r="A949" s="2">
        <v>46136.916666666657</v>
      </c>
      <c r="B949" t="str">
        <f t="shared" si="28"/>
        <v>2026-04</v>
      </c>
      <c r="C949" s="3">
        <f t="shared" si="29"/>
        <v>22</v>
      </c>
      <c r="D949" s="4">
        <v>20.396274620413891</v>
      </c>
      <c r="E949" s="4">
        <v>22.646443008686109</v>
      </c>
      <c r="F949" s="4">
        <v>22.56675807411667</v>
      </c>
      <c r="G949" s="4">
        <v>2.2000000000000002</v>
      </c>
      <c r="H949" s="5">
        <v>52.363631490288903</v>
      </c>
      <c r="I949" s="5">
        <v>47.128615144186107</v>
      </c>
      <c r="J949" s="5">
        <v>43.034689162483318</v>
      </c>
      <c r="K949" s="5">
        <v>76</v>
      </c>
    </row>
    <row r="950" spans="1:11" x14ac:dyDescent="0.25">
      <c r="A950" s="2">
        <v>46136.958333333343</v>
      </c>
      <c r="B950" t="str">
        <f t="shared" si="28"/>
        <v>2026-04</v>
      </c>
      <c r="C950" s="3">
        <f t="shared" si="29"/>
        <v>23</v>
      </c>
      <c r="D950" s="4">
        <v>20.411614226866661</v>
      </c>
      <c r="E950" s="4">
        <v>22.790298314186121</v>
      </c>
      <c r="F950" s="4">
        <v>22.541265204252781</v>
      </c>
      <c r="G950" s="4">
        <v>2.1</v>
      </c>
      <c r="H950" s="5">
        <v>53.488672811430561</v>
      </c>
      <c r="I950" s="5">
        <v>47.205480906822217</v>
      </c>
      <c r="J950" s="5">
        <v>42.342392354805547</v>
      </c>
      <c r="K950" s="5">
        <v>75</v>
      </c>
    </row>
    <row r="951" spans="1:11" x14ac:dyDescent="0.25">
      <c r="A951" s="2">
        <v>46137</v>
      </c>
      <c r="B951" t="str">
        <f t="shared" si="28"/>
        <v>2026-04</v>
      </c>
      <c r="C951" s="3">
        <f t="shared" si="29"/>
        <v>0</v>
      </c>
      <c r="D951" s="4">
        <v>20.407181053658331</v>
      </c>
      <c r="E951" s="4">
        <v>22.81463043393612</v>
      </c>
      <c r="F951" s="4">
        <v>22.528160151694451</v>
      </c>
      <c r="G951" s="4">
        <v>1.5</v>
      </c>
      <c r="H951" s="5">
        <v>52.265403809519448</v>
      </c>
      <c r="I951" s="5">
        <v>45.786706284480552</v>
      </c>
      <c r="J951" s="5">
        <v>41.946479463547227</v>
      </c>
      <c r="K951" s="5">
        <v>77</v>
      </c>
    </row>
    <row r="952" spans="1:11" x14ac:dyDescent="0.25">
      <c r="A952" s="2">
        <v>46137.041666666657</v>
      </c>
      <c r="B952" t="str">
        <f t="shared" si="28"/>
        <v>2026-04</v>
      </c>
      <c r="C952" s="3">
        <f t="shared" si="29"/>
        <v>1</v>
      </c>
      <c r="D952" s="4">
        <v>20.304350184891671</v>
      </c>
      <c r="E952" s="4">
        <v>22.819282195688888</v>
      </c>
      <c r="F952" s="4">
        <v>22.50540236928612</v>
      </c>
      <c r="G952" s="4">
        <v>0.9</v>
      </c>
      <c r="H952" s="5">
        <v>51.133035886608333</v>
      </c>
      <c r="I952" s="5">
        <v>46.247329604080562</v>
      </c>
      <c r="J952" s="5">
        <v>41.987989948516663</v>
      </c>
      <c r="K952" s="5">
        <v>77</v>
      </c>
    </row>
    <row r="953" spans="1:11" x14ac:dyDescent="0.25">
      <c r="A953" s="2">
        <v>46137.083333333343</v>
      </c>
      <c r="B953" t="str">
        <f t="shared" si="28"/>
        <v>2026-04</v>
      </c>
      <c r="C953" s="3">
        <f t="shared" si="29"/>
        <v>2</v>
      </c>
      <c r="D953" s="4">
        <v>19.958495034677771</v>
      </c>
      <c r="E953" s="4">
        <v>22.612994425305551</v>
      </c>
      <c r="F953" s="4">
        <v>22.543265032230561</v>
      </c>
      <c r="G953" s="4">
        <v>0.6</v>
      </c>
      <c r="H953" s="5">
        <v>51.418839699591672</v>
      </c>
      <c r="I953" s="5">
        <v>43.844468876388888</v>
      </c>
      <c r="J953" s="5">
        <v>43.401435236930553</v>
      </c>
      <c r="K953" s="5">
        <v>75</v>
      </c>
    </row>
    <row r="954" spans="1:11" x14ac:dyDescent="0.25">
      <c r="A954" s="2">
        <v>46137.125</v>
      </c>
      <c r="B954" t="str">
        <f t="shared" si="28"/>
        <v>2026-04</v>
      </c>
      <c r="C954" s="3">
        <f t="shared" si="29"/>
        <v>3</v>
      </c>
      <c r="D954" s="4">
        <v>19.635486140975001</v>
      </c>
      <c r="E954" s="4">
        <v>22.297582910888892</v>
      </c>
      <c r="F954" s="4">
        <v>22.589201458394449</v>
      </c>
      <c r="G954" s="4">
        <v>-0.3</v>
      </c>
      <c r="H954" s="5">
        <v>50.416553705908328</v>
      </c>
      <c r="I954" s="5">
        <v>42.904998472647229</v>
      </c>
      <c r="J954" s="5">
        <v>42.229313873205562</v>
      </c>
      <c r="K954" s="5">
        <v>72</v>
      </c>
    </row>
    <row r="955" spans="1:11" x14ac:dyDescent="0.25">
      <c r="A955" s="2">
        <v>46137.166666666657</v>
      </c>
      <c r="B955" t="str">
        <f t="shared" si="28"/>
        <v>2026-04</v>
      </c>
      <c r="C955" s="3">
        <f t="shared" si="29"/>
        <v>4</v>
      </c>
      <c r="D955" s="4">
        <v>19.439865004594441</v>
      </c>
      <c r="E955" s="4">
        <v>22.128189768916659</v>
      </c>
      <c r="F955" s="4">
        <v>22.58668721851112</v>
      </c>
      <c r="G955" s="4">
        <v>-0.7</v>
      </c>
      <c r="H955" s="5">
        <v>49.844425882675012</v>
      </c>
      <c r="I955" s="5">
        <v>42.087373903536111</v>
      </c>
      <c r="J955" s="5">
        <v>41.853224283427778</v>
      </c>
      <c r="K955" s="5">
        <v>72</v>
      </c>
    </row>
    <row r="956" spans="1:11" x14ac:dyDescent="0.25">
      <c r="A956" s="2">
        <v>46137.208333333343</v>
      </c>
      <c r="B956" t="str">
        <f t="shared" si="28"/>
        <v>2026-04</v>
      </c>
      <c r="C956" s="3">
        <f t="shared" si="29"/>
        <v>5</v>
      </c>
      <c r="D956" s="4">
        <v>19.417942033663891</v>
      </c>
      <c r="E956" s="4">
        <v>21.934932941566672</v>
      </c>
      <c r="F956" s="4">
        <v>22.541471756050001</v>
      </c>
      <c r="G956" s="4">
        <v>-0.9</v>
      </c>
      <c r="H956" s="5">
        <v>49.37716428630555</v>
      </c>
      <c r="I956" s="5">
        <v>41.458130577047221</v>
      </c>
      <c r="J956" s="5">
        <v>41.503363369500001</v>
      </c>
      <c r="K956" s="5">
        <v>72</v>
      </c>
    </row>
    <row r="957" spans="1:11" x14ac:dyDescent="0.25">
      <c r="A957" s="2">
        <v>46137.25</v>
      </c>
      <c r="B957" t="str">
        <f t="shared" si="28"/>
        <v>2026-04</v>
      </c>
      <c r="C957" s="3">
        <f t="shared" si="29"/>
        <v>6</v>
      </c>
      <c r="D957" s="4">
        <v>20.097530979788889</v>
      </c>
      <c r="E957" s="4">
        <v>22.041752990475</v>
      </c>
      <c r="F957" s="4">
        <v>22.49855482234722</v>
      </c>
      <c r="G957" s="4">
        <v>-0.7</v>
      </c>
      <c r="H957" s="5">
        <v>46.538118914377783</v>
      </c>
      <c r="I957" s="5">
        <v>41.661363970622219</v>
      </c>
      <c r="J957" s="5">
        <v>41.219663609480563</v>
      </c>
      <c r="K957" s="5">
        <v>73</v>
      </c>
    </row>
    <row r="958" spans="1:11" x14ac:dyDescent="0.25">
      <c r="A958" s="2">
        <v>46137.291666666657</v>
      </c>
      <c r="B958" t="str">
        <f t="shared" si="28"/>
        <v>2026-04</v>
      </c>
      <c r="C958" s="3">
        <f t="shared" si="29"/>
        <v>7</v>
      </c>
      <c r="D958" s="4">
        <v>20.796720953461111</v>
      </c>
      <c r="E958" s="4">
        <v>22.283647301319441</v>
      </c>
      <c r="F958" s="4">
        <v>22.476167552669441</v>
      </c>
      <c r="G958" s="4">
        <v>0.8</v>
      </c>
      <c r="H958" s="5">
        <v>44.54308763846111</v>
      </c>
      <c r="I958" s="5">
        <v>41.513401512647221</v>
      </c>
      <c r="J958" s="5">
        <v>41.004378929816667</v>
      </c>
      <c r="K958" s="5">
        <v>73</v>
      </c>
    </row>
    <row r="959" spans="1:11" x14ac:dyDescent="0.25">
      <c r="A959" s="2">
        <v>46137.333333333343</v>
      </c>
      <c r="B959" t="str">
        <f t="shared" si="28"/>
        <v>2026-04</v>
      </c>
      <c r="C959" s="3">
        <f t="shared" si="29"/>
        <v>8</v>
      </c>
      <c r="D959" s="4">
        <v>21.325858357780561</v>
      </c>
      <c r="E959" s="4">
        <v>22.682440924808329</v>
      </c>
      <c r="F959" s="4">
        <v>22.463172183527771</v>
      </c>
      <c r="G959" s="4">
        <v>3</v>
      </c>
      <c r="H959" s="5">
        <v>44.81005727997222</v>
      </c>
      <c r="I959" s="5">
        <v>41.896810903175002</v>
      </c>
      <c r="J959" s="5">
        <v>40.90701430822778</v>
      </c>
      <c r="K959" s="5">
        <v>68</v>
      </c>
    </row>
    <row r="960" spans="1:11" x14ac:dyDescent="0.25">
      <c r="A960" s="2">
        <v>46137.375</v>
      </c>
      <c r="B960" t="str">
        <f t="shared" si="28"/>
        <v>2026-04</v>
      </c>
      <c r="C960" s="3">
        <f t="shared" si="29"/>
        <v>9</v>
      </c>
      <c r="D960" s="4">
        <v>21.739066666586108</v>
      </c>
      <c r="E960" s="4">
        <v>22.95244278523333</v>
      </c>
      <c r="F960" s="4">
        <v>22.463901776683329</v>
      </c>
      <c r="G960" s="4">
        <v>5.4</v>
      </c>
      <c r="H960" s="5">
        <v>45.556516915888878</v>
      </c>
      <c r="I960" s="5">
        <v>42.566880656563889</v>
      </c>
      <c r="J960" s="5">
        <v>40.994021245255553</v>
      </c>
      <c r="K960" s="5">
        <v>59</v>
      </c>
    </row>
    <row r="961" spans="1:11" x14ac:dyDescent="0.25">
      <c r="A961" s="2">
        <v>46137.416666666657</v>
      </c>
      <c r="B961" t="str">
        <f t="shared" si="28"/>
        <v>2026-04</v>
      </c>
      <c r="C961" s="3">
        <f t="shared" si="29"/>
        <v>10</v>
      </c>
      <c r="D961" s="4">
        <v>21.948429628227771</v>
      </c>
      <c r="E961" s="4">
        <v>23.274455172391669</v>
      </c>
      <c r="F961" s="4">
        <v>22.525481090447219</v>
      </c>
      <c r="G961" s="4">
        <v>7.5</v>
      </c>
      <c r="H961" s="5">
        <v>45.867704950911111</v>
      </c>
      <c r="I961" s="5">
        <v>42.917473051366663</v>
      </c>
      <c r="J961" s="5">
        <v>42.952112057252783</v>
      </c>
      <c r="K961" s="5">
        <v>50</v>
      </c>
    </row>
    <row r="962" spans="1:11" x14ac:dyDescent="0.25">
      <c r="A962" s="2">
        <v>46137.458333333343</v>
      </c>
      <c r="B962" t="str">
        <f t="shared" ref="B962:B1025" si="30">TEXT(A962,"yyyy-mm")</f>
        <v>2026-04</v>
      </c>
      <c r="C962" s="3">
        <f t="shared" ref="C962:C1025" si="31">HOUR(A962)</f>
        <v>11</v>
      </c>
      <c r="D962" s="4">
        <v>22.292301416991659</v>
      </c>
      <c r="E962" s="4">
        <v>23.769690158980559</v>
      </c>
      <c r="F962" s="4">
        <v>22.692880209055559</v>
      </c>
      <c r="G962" s="4">
        <v>9.1</v>
      </c>
      <c r="H962" s="5">
        <v>47.004797400088883</v>
      </c>
      <c r="I962" s="5">
        <v>43.745078275761109</v>
      </c>
      <c r="J962" s="5">
        <v>46.343413568191657</v>
      </c>
      <c r="K962" s="5">
        <v>44</v>
      </c>
    </row>
    <row r="963" spans="1:11" x14ac:dyDescent="0.25">
      <c r="A963" s="2">
        <v>46137.5</v>
      </c>
      <c r="B963" t="str">
        <f t="shared" si="30"/>
        <v>2026-04</v>
      </c>
      <c r="C963" s="3">
        <f t="shared" si="31"/>
        <v>12</v>
      </c>
      <c r="D963" s="4">
        <v>22.021151499233341</v>
      </c>
      <c r="E963" s="4">
        <v>23.613572354488891</v>
      </c>
      <c r="F963" s="4">
        <v>22.831556037116659</v>
      </c>
      <c r="G963" s="4">
        <v>10.7</v>
      </c>
      <c r="H963" s="5">
        <v>46.736364265572227</v>
      </c>
      <c r="I963" s="5">
        <v>43.284581988655553</v>
      </c>
      <c r="J963" s="5">
        <v>45.798610414016672</v>
      </c>
      <c r="K963" s="5">
        <v>39</v>
      </c>
    </row>
    <row r="964" spans="1:11" x14ac:dyDescent="0.25">
      <c r="A964" s="2">
        <v>46137.541666666657</v>
      </c>
      <c r="B964" t="str">
        <f t="shared" si="30"/>
        <v>2026-04</v>
      </c>
      <c r="C964" s="3">
        <f t="shared" si="31"/>
        <v>13</v>
      </c>
      <c r="D964" s="4">
        <v>21.623393472911111</v>
      </c>
      <c r="E964" s="4">
        <v>23.414868913374999</v>
      </c>
      <c r="F964" s="4">
        <v>22.77918475148056</v>
      </c>
      <c r="G964" s="4">
        <v>11.3</v>
      </c>
      <c r="H964" s="5">
        <v>46.817910853480562</v>
      </c>
      <c r="I964" s="5">
        <v>42.293055148930563</v>
      </c>
      <c r="J964" s="5">
        <v>43.449196934313882</v>
      </c>
      <c r="K964" s="5">
        <v>38</v>
      </c>
    </row>
    <row r="965" spans="1:11" x14ac:dyDescent="0.25">
      <c r="A965" s="2">
        <v>46137.583333333343</v>
      </c>
      <c r="B965" t="str">
        <f t="shared" si="30"/>
        <v>2026-04</v>
      </c>
      <c r="C965" s="3">
        <f t="shared" si="31"/>
        <v>14</v>
      </c>
      <c r="D965" s="4">
        <v>21.246086119977772</v>
      </c>
      <c r="E965" s="4">
        <v>23.237485106038889</v>
      </c>
      <c r="F965" s="4">
        <v>22.729454745958328</v>
      </c>
      <c r="G965" s="4">
        <v>11.8</v>
      </c>
      <c r="H965" s="5">
        <v>43.888773810119439</v>
      </c>
      <c r="I965" s="5">
        <v>41.579259452705557</v>
      </c>
      <c r="J965" s="5">
        <v>42.994863240222223</v>
      </c>
      <c r="K965" s="5">
        <v>38</v>
      </c>
    </row>
    <row r="966" spans="1:11" x14ac:dyDescent="0.25">
      <c r="A966" s="2">
        <v>46137.625</v>
      </c>
      <c r="B966" t="str">
        <f t="shared" si="30"/>
        <v>2026-04</v>
      </c>
      <c r="C966" s="3">
        <f t="shared" si="31"/>
        <v>15</v>
      </c>
      <c r="D966" s="4">
        <v>20.522876235799998</v>
      </c>
      <c r="E966" s="4">
        <v>22.97947435356944</v>
      </c>
      <c r="F966" s="4">
        <v>22.665205322697229</v>
      </c>
      <c r="G966" s="4">
        <v>12.6</v>
      </c>
      <c r="H966" s="5">
        <v>35.420802668797222</v>
      </c>
      <c r="I966" s="5">
        <v>39.051418972469442</v>
      </c>
      <c r="J966" s="5">
        <v>42.750559259655553</v>
      </c>
      <c r="K966" s="5">
        <v>36</v>
      </c>
    </row>
    <row r="967" spans="1:11" x14ac:dyDescent="0.25">
      <c r="A967" s="2">
        <v>46137.666666666657</v>
      </c>
      <c r="B967" t="str">
        <f t="shared" si="30"/>
        <v>2026-04</v>
      </c>
      <c r="C967" s="3">
        <f t="shared" si="31"/>
        <v>16</v>
      </c>
      <c r="D967" s="4">
        <v>20.43218869536944</v>
      </c>
      <c r="E967" s="4">
        <v>22.748347265880561</v>
      </c>
      <c r="F967" s="4">
        <v>22.617488277002771</v>
      </c>
      <c r="G967" s="4">
        <v>12.2</v>
      </c>
      <c r="H967" s="5">
        <v>35.232209916758343</v>
      </c>
      <c r="I967" s="5">
        <v>36.842249621111122</v>
      </c>
      <c r="J967" s="5">
        <v>42.567668505758327</v>
      </c>
      <c r="K967" s="5">
        <v>44</v>
      </c>
    </row>
    <row r="968" spans="1:11" x14ac:dyDescent="0.25">
      <c r="A968" s="2">
        <v>46137.708333333343</v>
      </c>
      <c r="B968" t="str">
        <f t="shared" si="30"/>
        <v>2026-04</v>
      </c>
      <c r="C968" s="3">
        <f t="shared" si="31"/>
        <v>17</v>
      </c>
      <c r="D968" s="4">
        <v>20.81547271888056</v>
      </c>
      <c r="E968" s="4">
        <v>22.530169269208329</v>
      </c>
      <c r="F968" s="4">
        <v>22.57226512566945</v>
      </c>
      <c r="G968" s="4">
        <v>11</v>
      </c>
      <c r="H968" s="5">
        <v>39.955597860866668</v>
      </c>
      <c r="I968" s="5">
        <v>37.294653710358332</v>
      </c>
      <c r="J968" s="5">
        <v>42.530347131200003</v>
      </c>
      <c r="K968" s="5">
        <v>52</v>
      </c>
    </row>
    <row r="969" spans="1:11" x14ac:dyDescent="0.25">
      <c r="A969" s="2">
        <v>46137.75</v>
      </c>
      <c r="B969" t="str">
        <f t="shared" si="30"/>
        <v>2026-04</v>
      </c>
      <c r="C969" s="3">
        <f t="shared" si="31"/>
        <v>18</v>
      </c>
      <c r="D969" s="4">
        <v>20.754493865783331</v>
      </c>
      <c r="E969" s="4">
        <v>22.389795962825001</v>
      </c>
      <c r="F969" s="4">
        <v>22.545531674838891</v>
      </c>
      <c r="G969" s="4">
        <v>10.7</v>
      </c>
      <c r="H969" s="5">
        <v>41.793174783097221</v>
      </c>
      <c r="I969" s="5">
        <v>38.574140407730553</v>
      </c>
      <c r="J969" s="5">
        <v>42.45262658431389</v>
      </c>
      <c r="K969" s="5">
        <v>57</v>
      </c>
    </row>
    <row r="970" spans="1:11" x14ac:dyDescent="0.25">
      <c r="A970" s="2">
        <v>46137.791666666657</v>
      </c>
      <c r="B970" t="str">
        <f t="shared" si="30"/>
        <v>2026-04</v>
      </c>
      <c r="C970" s="3">
        <f t="shared" si="31"/>
        <v>19</v>
      </c>
      <c r="D970" s="4">
        <v>20.785885846225</v>
      </c>
      <c r="E970" s="4">
        <v>22.346379683919452</v>
      </c>
      <c r="F970" s="4">
        <v>22.546475281500001</v>
      </c>
      <c r="G970" s="4">
        <v>9.6</v>
      </c>
      <c r="H970" s="5">
        <v>42.952268972511114</v>
      </c>
      <c r="I970" s="5">
        <v>39.953469209266657</v>
      </c>
      <c r="J970" s="5">
        <v>42.498751559411112</v>
      </c>
      <c r="K970" s="5">
        <v>66</v>
      </c>
    </row>
    <row r="971" spans="1:11" x14ac:dyDescent="0.25">
      <c r="A971" s="2">
        <v>46137.833333333343</v>
      </c>
      <c r="B971" t="str">
        <f t="shared" si="30"/>
        <v>2026-04</v>
      </c>
      <c r="C971" s="3">
        <f t="shared" si="31"/>
        <v>20</v>
      </c>
      <c r="D971" s="4">
        <v>20.960931323058329</v>
      </c>
      <c r="E971" s="4">
        <v>22.422673047761108</v>
      </c>
      <c r="F971" s="4">
        <v>22.605762511075</v>
      </c>
      <c r="G971" s="4">
        <v>9.3000000000000007</v>
      </c>
      <c r="H971" s="5">
        <v>44.739712894255547</v>
      </c>
      <c r="I971" s="5">
        <v>41.38748792557778</v>
      </c>
      <c r="J971" s="5">
        <v>42.814514481049997</v>
      </c>
      <c r="K971" s="5">
        <v>67</v>
      </c>
    </row>
    <row r="972" spans="1:11" x14ac:dyDescent="0.25">
      <c r="A972" s="2">
        <v>46137.875</v>
      </c>
      <c r="B972" t="str">
        <f t="shared" si="30"/>
        <v>2026-04</v>
      </c>
      <c r="C972" s="3">
        <f t="shared" si="31"/>
        <v>21</v>
      </c>
      <c r="D972" s="4">
        <v>20.997291554963891</v>
      </c>
      <c r="E972" s="4">
        <v>22.652784205586109</v>
      </c>
      <c r="F972" s="4">
        <v>22.670505650550002</v>
      </c>
      <c r="G972" s="4">
        <v>9.9</v>
      </c>
      <c r="H972" s="5">
        <v>45.904029258169452</v>
      </c>
      <c r="I972" s="5">
        <v>42.008836989652771</v>
      </c>
      <c r="J972" s="5">
        <v>42.456334525730561</v>
      </c>
      <c r="K972" s="5">
        <v>61</v>
      </c>
    </row>
    <row r="973" spans="1:11" x14ac:dyDescent="0.25">
      <c r="A973" s="2">
        <v>46137.916666666657</v>
      </c>
      <c r="B973" t="str">
        <f t="shared" si="30"/>
        <v>2026-04</v>
      </c>
      <c r="C973" s="3">
        <f t="shared" si="31"/>
        <v>22</v>
      </c>
      <c r="D973" s="4">
        <v>21.083954508449999</v>
      </c>
      <c r="E973" s="4">
        <v>22.76245128745833</v>
      </c>
      <c r="F973" s="4">
        <v>22.75428887953889</v>
      </c>
      <c r="G973" s="4">
        <v>9.5</v>
      </c>
      <c r="H973" s="5">
        <v>47.353318444633338</v>
      </c>
      <c r="I973" s="5">
        <v>44.049391070380558</v>
      </c>
      <c r="J973" s="5">
        <v>42.774801978399999</v>
      </c>
      <c r="K973" s="5">
        <v>61</v>
      </c>
    </row>
    <row r="974" spans="1:11" x14ac:dyDescent="0.25">
      <c r="A974" s="2">
        <v>46137.958333333343</v>
      </c>
      <c r="B974" t="str">
        <f t="shared" si="30"/>
        <v>2026-04</v>
      </c>
      <c r="C974" s="3">
        <f t="shared" si="31"/>
        <v>23</v>
      </c>
      <c r="D974" s="4">
        <v>21.292384211886109</v>
      </c>
      <c r="E974" s="4">
        <v>22.872502573355561</v>
      </c>
      <c r="F974" s="4">
        <v>22.734145319627771</v>
      </c>
      <c r="G974" s="4">
        <v>9.6</v>
      </c>
      <c r="H974" s="5">
        <v>43.512843653538887</v>
      </c>
      <c r="I974" s="5">
        <v>41.410252395377782</v>
      </c>
      <c r="J974" s="5">
        <v>41.809826353250003</v>
      </c>
      <c r="K974" s="5">
        <v>61</v>
      </c>
    </row>
    <row r="975" spans="1:11" x14ac:dyDescent="0.25">
      <c r="A975" s="2">
        <v>46138</v>
      </c>
      <c r="B975" t="str">
        <f t="shared" si="30"/>
        <v>2026-04</v>
      </c>
      <c r="C975" s="3">
        <f t="shared" si="31"/>
        <v>0</v>
      </c>
      <c r="D975" s="4">
        <v>21.370938730708328</v>
      </c>
      <c r="E975" s="4">
        <v>22.945403650338889</v>
      </c>
      <c r="F975" s="4">
        <v>22.796224847480559</v>
      </c>
      <c r="G975" s="4">
        <v>9.6</v>
      </c>
      <c r="H975" s="5">
        <v>42.768815204880553</v>
      </c>
      <c r="I975" s="5">
        <v>39.748851494569443</v>
      </c>
      <c r="J975" s="5">
        <v>44.240950063974999</v>
      </c>
      <c r="K975" s="5">
        <v>60</v>
      </c>
    </row>
    <row r="976" spans="1:11" x14ac:dyDescent="0.25">
      <c r="A976" s="2">
        <v>46138.041666666657</v>
      </c>
      <c r="B976" t="str">
        <f t="shared" si="30"/>
        <v>2026-04</v>
      </c>
      <c r="C976" s="3">
        <f t="shared" si="31"/>
        <v>1</v>
      </c>
      <c r="D976" s="4">
        <v>21.482677451502781</v>
      </c>
      <c r="E976" s="4">
        <v>22.99781412600834</v>
      </c>
      <c r="F976" s="4">
        <v>22.796943401566661</v>
      </c>
      <c r="G976" s="4">
        <v>9.9</v>
      </c>
      <c r="H976" s="5">
        <v>43.311273313655562</v>
      </c>
      <c r="I976" s="5">
        <v>40.444313031033332</v>
      </c>
      <c r="J976" s="5">
        <v>43.002732015630563</v>
      </c>
      <c r="K976" s="5">
        <v>57</v>
      </c>
    </row>
    <row r="977" spans="1:11" x14ac:dyDescent="0.25">
      <c r="A977" s="2">
        <v>46138.083333333343</v>
      </c>
      <c r="B977" t="str">
        <f t="shared" si="30"/>
        <v>2026-04</v>
      </c>
      <c r="C977" s="3">
        <f t="shared" si="31"/>
        <v>2</v>
      </c>
      <c r="D977" s="4">
        <v>21.408888680899999</v>
      </c>
      <c r="E977" s="4">
        <v>23.142825170641672</v>
      </c>
      <c r="F977" s="4">
        <v>22.89855839794722</v>
      </c>
      <c r="G977" s="4">
        <v>9.9</v>
      </c>
      <c r="H977" s="5">
        <v>44.315287973036106</v>
      </c>
      <c r="I977" s="5">
        <v>40.877695455691672</v>
      </c>
      <c r="J977" s="5">
        <v>44.057013068366658</v>
      </c>
      <c r="K977" s="5">
        <v>56</v>
      </c>
    </row>
    <row r="978" spans="1:11" x14ac:dyDescent="0.25">
      <c r="A978" s="2">
        <v>46138.125</v>
      </c>
      <c r="B978" t="str">
        <f t="shared" si="30"/>
        <v>2026-04</v>
      </c>
      <c r="C978" s="3">
        <f t="shared" si="31"/>
        <v>3</v>
      </c>
      <c r="D978" s="4">
        <v>20.995141631869441</v>
      </c>
      <c r="E978" s="4">
        <v>22.987820933675</v>
      </c>
      <c r="F978" s="4">
        <v>22.94526214482778</v>
      </c>
      <c r="G978" s="4">
        <v>9.4</v>
      </c>
      <c r="H978" s="5">
        <v>45.572030835500001</v>
      </c>
      <c r="I978" s="5">
        <v>40.989691810930559</v>
      </c>
      <c r="J978" s="5">
        <v>43.962283656141672</v>
      </c>
      <c r="K978" s="5">
        <v>61</v>
      </c>
    </row>
    <row r="979" spans="1:11" x14ac:dyDescent="0.25">
      <c r="A979" s="2">
        <v>46138.166666666657</v>
      </c>
      <c r="B979" t="str">
        <f t="shared" si="30"/>
        <v>2026-04</v>
      </c>
      <c r="C979" s="3">
        <f t="shared" si="31"/>
        <v>4</v>
      </c>
      <c r="D979" s="4">
        <v>20.568168623822221</v>
      </c>
      <c r="E979" s="4">
        <v>22.70355874321945</v>
      </c>
      <c r="F979" s="4">
        <v>22.898694061008332</v>
      </c>
      <c r="G979" s="4">
        <v>9.1</v>
      </c>
      <c r="H979" s="5">
        <v>46.651045574972223</v>
      </c>
      <c r="I979" s="5">
        <v>41.023535001369453</v>
      </c>
      <c r="J979" s="5">
        <v>42.674636749819449</v>
      </c>
      <c r="K979" s="5">
        <v>62</v>
      </c>
    </row>
    <row r="980" spans="1:11" x14ac:dyDescent="0.25">
      <c r="A980" s="2">
        <v>46138.208333333343</v>
      </c>
      <c r="B980" t="str">
        <f t="shared" si="30"/>
        <v>2026-04</v>
      </c>
      <c r="C980" s="3">
        <f t="shared" si="31"/>
        <v>5</v>
      </c>
      <c r="D980" s="4">
        <v>20.32329152780833</v>
      </c>
      <c r="E980" s="4">
        <v>22.441755890511111</v>
      </c>
      <c r="F980" s="4">
        <v>22.824333743855551</v>
      </c>
      <c r="G980" s="4">
        <v>9.1999999999999993</v>
      </c>
      <c r="H980" s="5">
        <v>46.882728829800008</v>
      </c>
      <c r="I980" s="5">
        <v>40.972052474455559</v>
      </c>
      <c r="J980" s="5">
        <v>42.057719177869437</v>
      </c>
      <c r="K980" s="5">
        <v>62</v>
      </c>
    </row>
    <row r="981" spans="1:11" x14ac:dyDescent="0.25">
      <c r="A981" s="2">
        <v>46138.25</v>
      </c>
      <c r="B981" t="str">
        <f t="shared" si="30"/>
        <v>2026-04</v>
      </c>
      <c r="C981" s="3">
        <f t="shared" si="31"/>
        <v>6</v>
      </c>
      <c r="D981" s="4">
        <v>20.373281620450001</v>
      </c>
      <c r="E981" s="4">
        <v>22.303570439561121</v>
      </c>
      <c r="F981" s="4">
        <v>22.747936909936112</v>
      </c>
      <c r="G981" s="4">
        <v>8.6999999999999993</v>
      </c>
      <c r="H981" s="5">
        <v>46.686642152247217</v>
      </c>
      <c r="I981" s="5">
        <v>40.996703721055553</v>
      </c>
      <c r="J981" s="5">
        <v>41.686852316338893</v>
      </c>
      <c r="K981" s="5">
        <v>65</v>
      </c>
    </row>
    <row r="982" spans="1:11" x14ac:dyDescent="0.25">
      <c r="A982" s="2">
        <v>46138.291666666657</v>
      </c>
      <c r="B982" t="str">
        <f t="shared" si="30"/>
        <v>2026-04</v>
      </c>
      <c r="C982" s="3">
        <f t="shared" si="31"/>
        <v>7</v>
      </c>
      <c r="D982" s="4">
        <v>20.661186759324998</v>
      </c>
      <c r="E982" s="4">
        <v>22.427435071244449</v>
      </c>
      <c r="F982" s="4">
        <v>22.68318207564722</v>
      </c>
      <c r="G982" s="4">
        <v>9.6</v>
      </c>
      <c r="H982" s="5">
        <v>45.505443021788892</v>
      </c>
      <c r="I982" s="5">
        <v>40.873471618205564</v>
      </c>
      <c r="J982" s="5">
        <v>41.445997575863892</v>
      </c>
      <c r="K982" s="5">
        <v>65</v>
      </c>
    </row>
    <row r="983" spans="1:11" x14ac:dyDescent="0.25">
      <c r="A983" s="2">
        <v>46138.333333333343</v>
      </c>
      <c r="B983" t="str">
        <f t="shared" si="30"/>
        <v>2026-04</v>
      </c>
      <c r="C983" s="3">
        <f t="shared" si="31"/>
        <v>8</v>
      </c>
      <c r="D983" s="4">
        <v>21.314400700252779</v>
      </c>
      <c r="E983" s="4">
        <v>22.629124922494441</v>
      </c>
      <c r="F983" s="4">
        <v>22.647382405236112</v>
      </c>
      <c r="G983" s="4">
        <v>11</v>
      </c>
      <c r="H983" s="5">
        <v>43.286040087413888</v>
      </c>
      <c r="I983" s="5">
        <v>40.801895633988892</v>
      </c>
      <c r="J983" s="5">
        <v>41.270055802305563</v>
      </c>
      <c r="K983" s="5">
        <v>65</v>
      </c>
    </row>
    <row r="984" spans="1:11" x14ac:dyDescent="0.25">
      <c r="A984" s="2">
        <v>46138.375</v>
      </c>
      <c r="B984" t="str">
        <f t="shared" si="30"/>
        <v>2026-04</v>
      </c>
      <c r="C984" s="3">
        <f t="shared" si="31"/>
        <v>9</v>
      </c>
      <c r="D984" s="4">
        <v>21.816816188469438</v>
      </c>
      <c r="E984" s="4">
        <v>22.923063047986108</v>
      </c>
      <c r="F984" s="4">
        <v>22.635426652111111</v>
      </c>
      <c r="G984" s="4">
        <v>13</v>
      </c>
      <c r="H984" s="5">
        <v>42.336299682055561</v>
      </c>
      <c r="I984" s="5">
        <v>41.41587667764167</v>
      </c>
      <c r="J984" s="5">
        <v>41.120582108222223</v>
      </c>
      <c r="K984" s="5">
        <v>60</v>
      </c>
    </row>
    <row r="985" spans="1:11" x14ac:dyDescent="0.25">
      <c r="A985" s="2">
        <v>46138.416666666657</v>
      </c>
      <c r="B985" t="str">
        <f t="shared" si="30"/>
        <v>2026-04</v>
      </c>
      <c r="C985" s="3">
        <f t="shared" si="31"/>
        <v>10</v>
      </c>
      <c r="D985" s="4">
        <v>22.00041962930834</v>
      </c>
      <c r="E985" s="4">
        <v>23.260496184961109</v>
      </c>
      <c r="F985" s="4">
        <v>22.629025572050001</v>
      </c>
      <c r="G985" s="4">
        <v>14.8</v>
      </c>
      <c r="H985" s="5">
        <v>43.082580589005552</v>
      </c>
      <c r="I985" s="5">
        <v>41.966815231358332</v>
      </c>
      <c r="J985" s="5">
        <v>41.073695943733327</v>
      </c>
      <c r="K985" s="5">
        <v>55</v>
      </c>
    </row>
    <row r="986" spans="1:11" x14ac:dyDescent="0.25">
      <c r="A986" s="2">
        <v>46138.458333333343</v>
      </c>
      <c r="B986" t="str">
        <f t="shared" si="30"/>
        <v>2026-04</v>
      </c>
      <c r="C986" s="3">
        <f t="shared" si="31"/>
        <v>11</v>
      </c>
      <c r="D986" s="4">
        <v>21.860942900947219</v>
      </c>
      <c r="E986" s="4">
        <v>23.36112514126112</v>
      </c>
      <c r="F986" s="4">
        <v>22.623353383897221</v>
      </c>
      <c r="G986" s="4">
        <v>15.5</v>
      </c>
      <c r="H986" s="5">
        <v>44.90586538193611</v>
      </c>
      <c r="I986" s="5">
        <v>42.329984886569441</v>
      </c>
      <c r="J986" s="5">
        <v>41.009332015200002</v>
      </c>
      <c r="K986" s="5">
        <v>54</v>
      </c>
    </row>
    <row r="987" spans="1:11" x14ac:dyDescent="0.25">
      <c r="A987" s="2">
        <v>46138.5</v>
      </c>
      <c r="B987" t="str">
        <f t="shared" si="30"/>
        <v>2026-04</v>
      </c>
      <c r="C987" s="3">
        <f t="shared" si="31"/>
        <v>12</v>
      </c>
      <c r="D987" s="4">
        <v>21.695934846188891</v>
      </c>
      <c r="E987" s="4">
        <v>23.299436136388891</v>
      </c>
      <c r="F987" s="4">
        <v>22.613093747258329</v>
      </c>
      <c r="G987" s="4">
        <v>16.899999999999999</v>
      </c>
      <c r="H987" s="5">
        <v>45.262155217097217</v>
      </c>
      <c r="I987" s="5">
        <v>42.33316145914722</v>
      </c>
      <c r="J987" s="5">
        <v>40.972173429066657</v>
      </c>
      <c r="K987" s="5">
        <v>50</v>
      </c>
    </row>
    <row r="988" spans="1:11" x14ac:dyDescent="0.25">
      <c r="A988" s="2">
        <v>46138.541666666657</v>
      </c>
      <c r="B988" t="str">
        <f t="shared" si="30"/>
        <v>2026-04</v>
      </c>
      <c r="C988" s="3">
        <f t="shared" si="31"/>
        <v>13</v>
      </c>
      <c r="D988" s="4">
        <v>21.65985180300833</v>
      </c>
      <c r="E988" s="4">
        <v>23.387352211355559</v>
      </c>
      <c r="F988" s="4">
        <v>22.62827809415278</v>
      </c>
      <c r="G988" s="4">
        <v>18.100000000000001</v>
      </c>
      <c r="H988" s="5">
        <v>46.653158848511112</v>
      </c>
      <c r="I988" s="5">
        <v>44.334160644616667</v>
      </c>
      <c r="J988" s="5">
        <v>41.797107652047217</v>
      </c>
      <c r="K988" s="5">
        <v>47</v>
      </c>
    </row>
    <row r="989" spans="1:11" x14ac:dyDescent="0.25">
      <c r="A989" s="2">
        <v>46138.583333333343</v>
      </c>
      <c r="B989" t="str">
        <f t="shared" si="30"/>
        <v>2026-04</v>
      </c>
      <c r="C989" s="3">
        <f t="shared" si="31"/>
        <v>14</v>
      </c>
      <c r="D989" s="4">
        <v>21.78823796347222</v>
      </c>
      <c r="E989" s="4">
        <v>23.480062354255551</v>
      </c>
      <c r="F989" s="4">
        <v>22.846836735225001</v>
      </c>
      <c r="G989" s="4">
        <v>17.5</v>
      </c>
      <c r="H989" s="5">
        <v>46.931564307983336</v>
      </c>
      <c r="I989" s="5">
        <v>43.544502072874998</v>
      </c>
      <c r="J989" s="5">
        <v>44.810870519141673</v>
      </c>
      <c r="K989" s="5">
        <v>44</v>
      </c>
    </row>
    <row r="990" spans="1:11" x14ac:dyDescent="0.25">
      <c r="A990" s="2">
        <v>46138.625</v>
      </c>
      <c r="B990" t="str">
        <f t="shared" si="30"/>
        <v>2026-04</v>
      </c>
      <c r="C990" s="3">
        <f t="shared" si="31"/>
        <v>15</v>
      </c>
      <c r="D990" s="4">
        <v>21.929603026822221</v>
      </c>
      <c r="E990" s="4">
        <v>23.633787669288889</v>
      </c>
      <c r="F990" s="4">
        <v>22.91918291834445</v>
      </c>
      <c r="G990" s="4">
        <v>17.7</v>
      </c>
      <c r="H990" s="5">
        <v>46.129864381499999</v>
      </c>
      <c r="I990" s="5">
        <v>42.469308459136109</v>
      </c>
      <c r="J990" s="5">
        <v>45.011099364413887</v>
      </c>
      <c r="K990" s="5">
        <v>46</v>
      </c>
    </row>
    <row r="991" spans="1:11" x14ac:dyDescent="0.25">
      <c r="A991" s="2">
        <v>46138.666666666657</v>
      </c>
      <c r="B991" t="str">
        <f t="shared" si="30"/>
        <v>2026-04</v>
      </c>
      <c r="C991" s="3">
        <f t="shared" si="31"/>
        <v>16</v>
      </c>
      <c r="D991" s="4">
        <v>21.737550844491668</v>
      </c>
      <c r="E991" s="4">
        <v>23.369700258181059</v>
      </c>
      <c r="F991" s="4">
        <v>22.7782887888551</v>
      </c>
      <c r="G991" s="4">
        <v>14</v>
      </c>
      <c r="H991" s="5">
        <v>46.114617081798457</v>
      </c>
      <c r="I991" s="5">
        <v>42.633187497267038</v>
      </c>
      <c r="J991" s="5">
        <v>48.838837702140097</v>
      </c>
      <c r="K991" s="5">
        <v>69</v>
      </c>
    </row>
    <row r="992" spans="1:11" x14ac:dyDescent="0.25">
      <c r="A992" s="2">
        <v>46138.708333333343</v>
      </c>
      <c r="B992" t="str">
        <f t="shared" si="30"/>
        <v>2026-04</v>
      </c>
      <c r="C992" s="3">
        <f t="shared" si="31"/>
        <v>17</v>
      </c>
      <c r="D992" s="4">
        <v>21.908390429594441</v>
      </c>
      <c r="E992" s="4">
        <v>23.380899866116671</v>
      </c>
      <c r="F992" s="4">
        <v>22.886523019624999</v>
      </c>
      <c r="G992" s="4">
        <v>8.9</v>
      </c>
      <c r="H992" s="5">
        <v>45.900204270602778</v>
      </c>
      <c r="I992" s="5">
        <v>42.577143546549998</v>
      </c>
      <c r="J992" s="5">
        <v>46.480853462838887</v>
      </c>
      <c r="K992" s="5">
        <v>92</v>
      </c>
    </row>
    <row r="993" spans="1:11" x14ac:dyDescent="0.25">
      <c r="A993" s="2">
        <v>46138.75</v>
      </c>
      <c r="B993" t="str">
        <f t="shared" si="30"/>
        <v>2026-04</v>
      </c>
      <c r="C993" s="3">
        <f t="shared" si="31"/>
        <v>18</v>
      </c>
      <c r="D993" s="4">
        <v>21.667155065652778</v>
      </c>
      <c r="E993" s="4">
        <v>23.2691960342</v>
      </c>
      <c r="F993" s="4">
        <v>22.874426206294441</v>
      </c>
      <c r="G993" s="4">
        <v>6.4</v>
      </c>
      <c r="H993" s="5">
        <v>47.963223455066668</v>
      </c>
      <c r="I993" s="5">
        <v>43.52637808796667</v>
      </c>
      <c r="J993" s="5">
        <v>44.881961999086123</v>
      </c>
      <c r="K993" s="5">
        <v>93</v>
      </c>
    </row>
    <row r="994" spans="1:11" x14ac:dyDescent="0.25">
      <c r="A994" s="2">
        <v>46138.791666666657</v>
      </c>
      <c r="B994" t="str">
        <f t="shared" si="30"/>
        <v>2026-04</v>
      </c>
      <c r="C994" s="3">
        <f t="shared" si="31"/>
        <v>19</v>
      </c>
      <c r="D994" s="4">
        <v>21.222112139949999</v>
      </c>
      <c r="E994" s="4">
        <v>23.239935860625</v>
      </c>
      <c r="F994" s="4">
        <v>22.832422099627781</v>
      </c>
      <c r="G994" s="4">
        <v>5.6</v>
      </c>
      <c r="H994" s="5">
        <v>50.017283204447217</v>
      </c>
      <c r="I994" s="5">
        <v>46.907583243241668</v>
      </c>
      <c r="J994" s="5">
        <v>44.680694572813891</v>
      </c>
      <c r="K994" s="5">
        <v>91</v>
      </c>
    </row>
    <row r="995" spans="1:11" x14ac:dyDescent="0.25">
      <c r="A995" s="2">
        <v>46138.833333333343</v>
      </c>
      <c r="B995" t="str">
        <f t="shared" si="30"/>
        <v>2026-04</v>
      </c>
      <c r="C995" s="3">
        <f t="shared" si="31"/>
        <v>20</v>
      </c>
      <c r="D995" s="4">
        <v>21.222849553402771</v>
      </c>
      <c r="E995" s="4">
        <v>23.566681600527779</v>
      </c>
      <c r="F995" s="4">
        <v>22.792579410147219</v>
      </c>
      <c r="G995" s="4">
        <v>5.3</v>
      </c>
      <c r="H995" s="5">
        <v>54.810853180286109</v>
      </c>
      <c r="I995" s="5">
        <v>49.739162976488899</v>
      </c>
      <c r="J995" s="5">
        <v>44.431866808058338</v>
      </c>
      <c r="K995" s="5">
        <v>90</v>
      </c>
    </row>
    <row r="996" spans="1:11" x14ac:dyDescent="0.25">
      <c r="A996" s="2">
        <v>46138.875</v>
      </c>
      <c r="B996" t="str">
        <f t="shared" si="30"/>
        <v>2026-04</v>
      </c>
      <c r="C996" s="3">
        <f t="shared" si="31"/>
        <v>21</v>
      </c>
      <c r="D996" s="4">
        <v>21.49040097349166</v>
      </c>
      <c r="E996" s="4">
        <v>23.79430127820833</v>
      </c>
      <c r="F996" s="4">
        <v>22.78561836465833</v>
      </c>
      <c r="G996" s="4">
        <v>4.2</v>
      </c>
      <c r="H996" s="5">
        <v>59.805840711183329</v>
      </c>
      <c r="I996" s="5">
        <v>52.204310885441657</v>
      </c>
      <c r="J996" s="5">
        <v>44.853216537066658</v>
      </c>
      <c r="K996" s="5">
        <v>88</v>
      </c>
    </row>
    <row r="997" spans="1:11" x14ac:dyDescent="0.25">
      <c r="A997" s="2">
        <v>46138.916666666657</v>
      </c>
      <c r="B997" t="str">
        <f t="shared" si="30"/>
        <v>2026-04</v>
      </c>
      <c r="C997" s="3">
        <f t="shared" si="31"/>
        <v>22</v>
      </c>
      <c r="D997" s="4">
        <v>21.492745795041671</v>
      </c>
      <c r="E997" s="4">
        <v>23.621903269583331</v>
      </c>
      <c r="F997" s="4">
        <v>22.888809307272229</v>
      </c>
      <c r="G997" s="4">
        <v>3.2</v>
      </c>
      <c r="H997" s="5">
        <v>60.036194596738888</v>
      </c>
      <c r="I997" s="5">
        <v>52.156269450108333</v>
      </c>
      <c r="J997" s="5">
        <v>49.10738571465555</v>
      </c>
      <c r="K997" s="5">
        <v>85</v>
      </c>
    </row>
    <row r="998" spans="1:11" x14ac:dyDescent="0.25">
      <c r="A998" s="2">
        <v>46138.958333333343</v>
      </c>
      <c r="B998" t="str">
        <f t="shared" si="30"/>
        <v>2026-04</v>
      </c>
      <c r="C998" s="3">
        <f t="shared" si="31"/>
        <v>23</v>
      </c>
      <c r="D998" s="4">
        <v>21.46632331644722</v>
      </c>
      <c r="E998" s="4">
        <v>23.469683264775</v>
      </c>
      <c r="F998" s="4">
        <v>22.91873425761111</v>
      </c>
      <c r="G998" s="4">
        <v>2.6</v>
      </c>
      <c r="H998" s="5">
        <v>60.199286048705552</v>
      </c>
      <c r="I998" s="5">
        <v>52.345590699972213</v>
      </c>
      <c r="J998" s="5">
        <v>46.744459083713878</v>
      </c>
      <c r="K998" s="5">
        <v>85</v>
      </c>
    </row>
    <row r="999" spans="1:11" x14ac:dyDescent="0.25">
      <c r="A999" s="2">
        <v>46139</v>
      </c>
      <c r="B999" t="str">
        <f t="shared" si="30"/>
        <v>2026-04</v>
      </c>
      <c r="C999" s="3">
        <f t="shared" si="31"/>
        <v>0</v>
      </c>
      <c r="D999" s="4">
        <v>21.35052584259445</v>
      </c>
      <c r="E999" s="4">
        <v>23.386119055658341</v>
      </c>
      <c r="F999" s="4">
        <v>22.940285648833331</v>
      </c>
      <c r="G999" s="4">
        <v>2.4</v>
      </c>
      <c r="H999" s="5">
        <v>59.972139269300008</v>
      </c>
      <c r="I999" s="5">
        <v>52.145230214588892</v>
      </c>
      <c r="J999" s="5">
        <v>46.927782010300007</v>
      </c>
      <c r="K999" s="5">
        <v>83</v>
      </c>
    </row>
    <row r="1000" spans="1:11" x14ac:dyDescent="0.25">
      <c r="A1000" s="2">
        <v>46139.041666666657</v>
      </c>
      <c r="B1000" t="str">
        <f t="shared" si="30"/>
        <v>2026-04</v>
      </c>
      <c r="C1000" s="3">
        <f t="shared" si="31"/>
        <v>1</v>
      </c>
      <c r="D1000" s="4">
        <v>20.88984186341667</v>
      </c>
      <c r="E1000" s="4">
        <v>23.105352705536109</v>
      </c>
      <c r="F1000" s="4">
        <v>22.878821247905559</v>
      </c>
      <c r="G1000" s="4">
        <v>2.5</v>
      </c>
      <c r="H1000" s="5">
        <v>60.288231252436113</v>
      </c>
      <c r="I1000" s="5">
        <v>52.206856466536117</v>
      </c>
      <c r="J1000" s="5">
        <v>46.480098895188888</v>
      </c>
      <c r="K1000" s="5">
        <v>81</v>
      </c>
    </row>
    <row r="1001" spans="1:11" x14ac:dyDescent="0.25">
      <c r="A1001" s="2">
        <v>46139.083333333343</v>
      </c>
      <c r="B1001" t="str">
        <f t="shared" si="30"/>
        <v>2026-04</v>
      </c>
      <c r="C1001" s="3">
        <f t="shared" si="31"/>
        <v>2</v>
      </c>
      <c r="D1001" s="4">
        <v>20.55119305718333</v>
      </c>
      <c r="E1001" s="4">
        <v>22.826827833116671</v>
      </c>
      <c r="F1001" s="4">
        <v>22.786444652433332</v>
      </c>
      <c r="G1001" s="4">
        <v>2.2000000000000002</v>
      </c>
      <c r="H1001" s="5">
        <v>60.495135643944451</v>
      </c>
      <c r="I1001" s="5">
        <v>51.71202636432222</v>
      </c>
      <c r="J1001" s="5">
        <v>45.385734882411107</v>
      </c>
      <c r="K1001" s="5">
        <v>75</v>
      </c>
    </row>
    <row r="1002" spans="1:11" x14ac:dyDescent="0.25">
      <c r="A1002" s="2">
        <v>46139.125</v>
      </c>
      <c r="B1002" t="str">
        <f t="shared" si="30"/>
        <v>2026-04</v>
      </c>
      <c r="C1002" s="3">
        <f t="shared" si="31"/>
        <v>3</v>
      </c>
      <c r="D1002" s="4">
        <v>20.30808422453056</v>
      </c>
      <c r="E1002" s="4">
        <v>22.652706424941659</v>
      </c>
      <c r="F1002" s="4">
        <v>22.714630235497221</v>
      </c>
      <c r="G1002" s="4">
        <v>2</v>
      </c>
      <c r="H1002" s="5">
        <v>60.368315350138893</v>
      </c>
      <c r="I1002" s="5">
        <v>51.162664394136108</v>
      </c>
      <c r="J1002" s="5">
        <v>44.537560077013893</v>
      </c>
      <c r="K1002" s="5">
        <v>67</v>
      </c>
    </row>
    <row r="1003" spans="1:11" x14ac:dyDescent="0.25">
      <c r="A1003" s="2">
        <v>46139.166666666657</v>
      </c>
      <c r="B1003" t="str">
        <f t="shared" si="30"/>
        <v>2026-04</v>
      </c>
      <c r="C1003" s="3">
        <f t="shared" si="31"/>
        <v>4</v>
      </c>
      <c r="D1003" s="4">
        <v>20.134826771775</v>
      </c>
      <c r="E1003" s="4">
        <v>22.447211984905561</v>
      </c>
      <c r="F1003" s="4">
        <v>22.65499604555556</v>
      </c>
      <c r="G1003" s="4">
        <v>1.7</v>
      </c>
      <c r="H1003" s="5">
        <v>60.170810295352773</v>
      </c>
      <c r="I1003" s="5">
        <v>51.014479154666667</v>
      </c>
      <c r="J1003" s="5">
        <v>44.099412020397217</v>
      </c>
      <c r="K1003" s="5">
        <v>64</v>
      </c>
    </row>
    <row r="1004" spans="1:11" x14ac:dyDescent="0.25">
      <c r="A1004" s="2">
        <v>46139.208333333343</v>
      </c>
      <c r="B1004" t="str">
        <f t="shared" si="30"/>
        <v>2026-04</v>
      </c>
      <c r="C1004" s="3">
        <f t="shared" si="31"/>
        <v>5</v>
      </c>
      <c r="D1004" s="4">
        <v>20.083964165322222</v>
      </c>
      <c r="E1004" s="4">
        <v>22.310647610975</v>
      </c>
      <c r="F1004" s="4">
        <v>22.623754016444451</v>
      </c>
      <c r="G1004" s="4">
        <v>1.3</v>
      </c>
      <c r="H1004" s="5">
        <v>59.497992945700013</v>
      </c>
      <c r="I1004" s="5">
        <v>50.657139379147218</v>
      </c>
      <c r="J1004" s="5">
        <v>43.698002279469442</v>
      </c>
      <c r="K1004" s="5">
        <v>66</v>
      </c>
    </row>
    <row r="1005" spans="1:11" x14ac:dyDescent="0.25">
      <c r="A1005" s="2">
        <v>46139.25</v>
      </c>
      <c r="B1005" t="str">
        <f t="shared" si="30"/>
        <v>2026-04</v>
      </c>
      <c r="C1005" s="3">
        <f t="shared" si="31"/>
        <v>6</v>
      </c>
      <c r="D1005" s="4">
        <v>20.731790470588891</v>
      </c>
      <c r="E1005" s="4">
        <v>22.45702104431945</v>
      </c>
      <c r="F1005" s="4">
        <v>22.581503011191671</v>
      </c>
      <c r="G1005" s="4">
        <v>1.2</v>
      </c>
      <c r="H1005" s="5">
        <v>56.580254862700002</v>
      </c>
      <c r="I1005" s="5">
        <v>50.339231909574998</v>
      </c>
      <c r="J1005" s="5">
        <v>43.257868633874999</v>
      </c>
      <c r="K1005" s="5">
        <v>68</v>
      </c>
    </row>
    <row r="1006" spans="1:11" x14ac:dyDescent="0.25">
      <c r="A1006" s="2">
        <v>46139.291666666657</v>
      </c>
      <c r="B1006" t="str">
        <f t="shared" si="30"/>
        <v>2026-04</v>
      </c>
      <c r="C1006" s="3">
        <f t="shared" si="31"/>
        <v>7</v>
      </c>
      <c r="D1006" s="4">
        <v>21.309791181086108</v>
      </c>
      <c r="E1006" s="4">
        <v>22.66497037428611</v>
      </c>
      <c r="F1006" s="4">
        <v>22.572667041661109</v>
      </c>
      <c r="G1006" s="4">
        <v>1.9</v>
      </c>
      <c r="H1006" s="5">
        <v>54.790137321455553</v>
      </c>
      <c r="I1006" s="5">
        <v>51.882614784772223</v>
      </c>
      <c r="J1006" s="5">
        <v>43.117995772119443</v>
      </c>
      <c r="K1006" s="5">
        <v>67</v>
      </c>
    </row>
    <row r="1007" spans="1:11" x14ac:dyDescent="0.25">
      <c r="A1007" s="2">
        <v>46139.333333333343</v>
      </c>
      <c r="B1007" t="str">
        <f t="shared" si="30"/>
        <v>2026-04</v>
      </c>
      <c r="C1007" s="3">
        <f t="shared" si="31"/>
        <v>8</v>
      </c>
      <c r="D1007" s="4">
        <v>21.656065553866672</v>
      </c>
      <c r="E1007" s="4">
        <v>22.870078245794449</v>
      </c>
      <c r="F1007" s="4">
        <v>22.57363891108611</v>
      </c>
      <c r="G1007" s="4">
        <v>3.1</v>
      </c>
      <c r="H1007" s="5">
        <v>53.137543250647219</v>
      </c>
      <c r="I1007" s="5">
        <v>51.859512967741672</v>
      </c>
      <c r="J1007" s="5">
        <v>43.204617053791672</v>
      </c>
      <c r="K1007" s="5">
        <v>61</v>
      </c>
    </row>
    <row r="1008" spans="1:11" x14ac:dyDescent="0.25">
      <c r="A1008" s="2">
        <v>46139.375</v>
      </c>
      <c r="B1008" t="str">
        <f t="shared" si="30"/>
        <v>2026-04</v>
      </c>
      <c r="C1008" s="3">
        <f t="shared" si="31"/>
        <v>9</v>
      </c>
      <c r="D1008" s="4">
        <v>21.660135171661111</v>
      </c>
      <c r="E1008" s="4">
        <v>23.08226216378333</v>
      </c>
      <c r="F1008" s="4">
        <v>22.582222573530551</v>
      </c>
      <c r="G1008" s="4">
        <v>3.8</v>
      </c>
      <c r="H1008" s="5">
        <v>53.446037368902779</v>
      </c>
      <c r="I1008" s="5">
        <v>50.967822272941667</v>
      </c>
      <c r="J1008" s="5">
        <v>43.207627265875011</v>
      </c>
      <c r="K1008" s="5">
        <v>56</v>
      </c>
    </row>
    <row r="1009" spans="1:11" x14ac:dyDescent="0.25">
      <c r="A1009" s="2">
        <v>46139.416666666657</v>
      </c>
      <c r="B1009" t="str">
        <f t="shared" si="30"/>
        <v>2026-04</v>
      </c>
      <c r="C1009" s="3">
        <f t="shared" si="31"/>
        <v>10</v>
      </c>
      <c r="D1009" s="4">
        <v>21.533880570208339</v>
      </c>
      <c r="E1009" s="4">
        <v>23.047779566402781</v>
      </c>
      <c r="F1009" s="4">
        <v>22.582277619275001</v>
      </c>
      <c r="G1009" s="4">
        <v>4.8</v>
      </c>
      <c r="H1009" s="5">
        <v>53.049154773883338</v>
      </c>
      <c r="I1009" s="5">
        <v>49.872289169922233</v>
      </c>
      <c r="J1009" s="5">
        <v>43.30493341585278</v>
      </c>
      <c r="K1009" s="5">
        <v>52</v>
      </c>
    </row>
    <row r="1010" spans="1:11" x14ac:dyDescent="0.25">
      <c r="A1010" s="2">
        <v>46139.458333333343</v>
      </c>
      <c r="B1010" t="str">
        <f t="shared" si="30"/>
        <v>2026-04</v>
      </c>
      <c r="C1010" s="3">
        <f t="shared" si="31"/>
        <v>11</v>
      </c>
      <c r="D1010" s="4">
        <v>21.516584083513891</v>
      </c>
      <c r="E1010" s="4">
        <v>23.095745648836111</v>
      </c>
      <c r="F1010" s="4">
        <v>22.584083511638891</v>
      </c>
      <c r="G1010" s="4">
        <v>5.2</v>
      </c>
      <c r="H1010" s="5">
        <v>54.696534036797217</v>
      </c>
      <c r="I1010" s="5">
        <v>51.671730791244443</v>
      </c>
      <c r="J1010" s="5">
        <v>43.570369306922217</v>
      </c>
      <c r="K1010" s="5">
        <v>48</v>
      </c>
    </row>
    <row r="1011" spans="1:11" x14ac:dyDescent="0.25">
      <c r="A1011" s="2">
        <v>46139.5</v>
      </c>
      <c r="B1011" t="str">
        <f t="shared" si="30"/>
        <v>2026-04</v>
      </c>
      <c r="C1011" s="3">
        <f t="shared" si="31"/>
        <v>12</v>
      </c>
      <c r="D1011" s="4">
        <v>21.511185165175</v>
      </c>
      <c r="E1011" s="4">
        <v>23.284556203388892</v>
      </c>
      <c r="F1011" s="4">
        <v>22.579464560169441</v>
      </c>
      <c r="G1011" s="4">
        <v>5.2</v>
      </c>
      <c r="H1011" s="5">
        <v>55.777993008002767</v>
      </c>
      <c r="I1011" s="5">
        <v>51.997897529955559</v>
      </c>
      <c r="J1011" s="5">
        <v>43.451060718794452</v>
      </c>
      <c r="K1011" s="5">
        <v>45</v>
      </c>
    </row>
    <row r="1012" spans="1:11" x14ac:dyDescent="0.25">
      <c r="A1012" s="2">
        <v>46139.541666666657</v>
      </c>
      <c r="B1012" t="str">
        <f t="shared" si="30"/>
        <v>2026-04</v>
      </c>
      <c r="C1012" s="3">
        <f t="shared" si="31"/>
        <v>13</v>
      </c>
      <c r="D1012" s="4">
        <v>21.497405901630561</v>
      </c>
      <c r="E1012" s="4">
        <v>23.314340048055559</v>
      </c>
      <c r="F1012" s="4">
        <v>22.57308352311389</v>
      </c>
      <c r="G1012" s="4">
        <v>5.9</v>
      </c>
      <c r="H1012" s="5">
        <v>54.669105350299994</v>
      </c>
      <c r="I1012" s="5">
        <v>50.323937196175002</v>
      </c>
      <c r="J1012" s="5">
        <v>43.380448108708329</v>
      </c>
      <c r="K1012" s="5">
        <v>42</v>
      </c>
    </row>
    <row r="1013" spans="1:11" x14ac:dyDescent="0.25">
      <c r="A1013" s="2">
        <v>46139.583333333343</v>
      </c>
      <c r="B1013" t="str">
        <f t="shared" si="30"/>
        <v>2026-04</v>
      </c>
      <c r="C1013" s="3">
        <f t="shared" si="31"/>
        <v>14</v>
      </c>
      <c r="D1013" s="4">
        <v>21.487101959161109</v>
      </c>
      <c r="E1013" s="4">
        <v>23.479214767155561</v>
      </c>
      <c r="F1013" s="4">
        <v>22.569536057583331</v>
      </c>
      <c r="G1013" s="4">
        <v>7</v>
      </c>
      <c r="H1013" s="5">
        <v>54.539566748766667</v>
      </c>
      <c r="I1013" s="5">
        <v>48.76241616949445</v>
      </c>
      <c r="J1013" s="5">
        <v>43.231853930719438</v>
      </c>
      <c r="K1013" s="5">
        <v>36</v>
      </c>
    </row>
    <row r="1014" spans="1:11" x14ac:dyDescent="0.25">
      <c r="A1014" s="2">
        <v>46139.625</v>
      </c>
      <c r="B1014" t="str">
        <f t="shared" si="30"/>
        <v>2026-04</v>
      </c>
      <c r="C1014" s="3">
        <f t="shared" si="31"/>
        <v>15</v>
      </c>
      <c r="D1014" s="4">
        <v>21.462803241280561</v>
      </c>
      <c r="E1014" s="4">
        <v>23.409553574947221</v>
      </c>
      <c r="F1014" s="4">
        <v>22.571166797627779</v>
      </c>
      <c r="G1014" s="4">
        <v>7.4</v>
      </c>
      <c r="H1014" s="5">
        <v>52.351903786299999</v>
      </c>
      <c r="I1014" s="5">
        <v>47.653552055616657</v>
      </c>
      <c r="J1014" s="5">
        <v>43.50962497562778</v>
      </c>
      <c r="K1014" s="5">
        <v>34</v>
      </c>
    </row>
    <row r="1015" spans="1:11" x14ac:dyDescent="0.25">
      <c r="A1015" s="2">
        <v>46139.666666666657</v>
      </c>
      <c r="B1015" t="str">
        <f t="shared" si="30"/>
        <v>2026-04</v>
      </c>
      <c r="C1015" s="3">
        <f t="shared" si="31"/>
        <v>16</v>
      </c>
      <c r="D1015" s="4">
        <v>21.321971126916669</v>
      </c>
      <c r="E1015" s="4">
        <v>23.28620096485</v>
      </c>
      <c r="F1015" s="4">
        <v>22.56712187153056</v>
      </c>
      <c r="G1015" s="4">
        <v>7.8</v>
      </c>
      <c r="H1015" s="5">
        <v>52.054657313472227</v>
      </c>
      <c r="I1015" s="5">
        <v>46.104779615908328</v>
      </c>
      <c r="J1015" s="5">
        <v>43.467874673808332</v>
      </c>
      <c r="K1015" s="5">
        <v>32</v>
      </c>
    </row>
    <row r="1016" spans="1:11" x14ac:dyDescent="0.25">
      <c r="A1016" s="2">
        <v>46139.708333333343</v>
      </c>
      <c r="B1016" t="str">
        <f t="shared" si="30"/>
        <v>2026-04</v>
      </c>
      <c r="C1016" s="3">
        <f t="shared" si="31"/>
        <v>17</v>
      </c>
      <c r="D1016" s="4">
        <v>21.295006088558331</v>
      </c>
      <c r="E1016" s="4">
        <v>23.353763725402771</v>
      </c>
      <c r="F1016" s="4">
        <v>22.556749469683329</v>
      </c>
      <c r="G1016" s="4">
        <v>7.9</v>
      </c>
      <c r="H1016" s="5">
        <v>52.445835022450012</v>
      </c>
      <c r="I1016" s="5">
        <v>46.010644705711108</v>
      </c>
      <c r="J1016" s="5">
        <v>43.370235558677777</v>
      </c>
      <c r="K1016" s="5">
        <v>33</v>
      </c>
    </row>
    <row r="1017" spans="1:11" x14ac:dyDescent="0.25">
      <c r="A1017" s="2">
        <v>46139.75</v>
      </c>
      <c r="B1017" t="str">
        <f t="shared" si="30"/>
        <v>2026-04</v>
      </c>
      <c r="C1017" s="3">
        <f t="shared" si="31"/>
        <v>18</v>
      </c>
      <c r="D1017" s="4">
        <v>21.307122866255561</v>
      </c>
      <c r="E1017" s="4">
        <v>23.379388850350001</v>
      </c>
      <c r="F1017" s="4">
        <v>22.546391342808331</v>
      </c>
      <c r="G1017" s="4">
        <v>7.8</v>
      </c>
      <c r="H1017" s="5">
        <v>52.712827832774998</v>
      </c>
      <c r="I1017" s="5">
        <v>46.061540989141669</v>
      </c>
      <c r="J1017" s="5">
        <v>43.045498776472222</v>
      </c>
      <c r="K1017" s="5">
        <v>36</v>
      </c>
    </row>
    <row r="1018" spans="1:11" x14ac:dyDescent="0.25">
      <c r="A1018" s="2">
        <v>46139.791666666657</v>
      </c>
      <c r="B1018" t="str">
        <f t="shared" si="30"/>
        <v>2026-04</v>
      </c>
      <c r="C1018" s="3">
        <f t="shared" si="31"/>
        <v>19</v>
      </c>
      <c r="D1018" s="4">
        <v>21.12895871140833</v>
      </c>
      <c r="E1018" s="4">
        <v>23.109872283366659</v>
      </c>
      <c r="F1018" s="4">
        <v>22.52804684363889</v>
      </c>
      <c r="G1018" s="4">
        <v>6.7</v>
      </c>
      <c r="H1018" s="5">
        <v>53.067325408647228</v>
      </c>
      <c r="I1018" s="5">
        <v>47.908884433183339</v>
      </c>
      <c r="J1018" s="5">
        <v>42.590530913775012</v>
      </c>
      <c r="K1018" s="5">
        <v>44</v>
      </c>
    </row>
    <row r="1019" spans="1:11" x14ac:dyDescent="0.25">
      <c r="A1019" s="2">
        <v>46139.833333333343</v>
      </c>
      <c r="B1019" t="str">
        <f t="shared" si="30"/>
        <v>2026-04</v>
      </c>
      <c r="C1019" s="3">
        <f t="shared" si="31"/>
        <v>20</v>
      </c>
      <c r="D1019" s="4">
        <v>20.80430488641111</v>
      </c>
      <c r="E1019" s="4">
        <v>22.826545124397221</v>
      </c>
      <c r="F1019" s="4">
        <v>22.51237207591112</v>
      </c>
      <c r="G1019" s="4">
        <v>5.9</v>
      </c>
      <c r="H1019" s="5">
        <v>54.770531111341683</v>
      </c>
      <c r="I1019" s="5">
        <v>49.472095628644453</v>
      </c>
      <c r="J1019" s="5">
        <v>42.376067936316673</v>
      </c>
      <c r="K1019" s="5">
        <v>45</v>
      </c>
    </row>
    <row r="1020" spans="1:11" x14ac:dyDescent="0.25">
      <c r="A1020" s="2">
        <v>46139.875</v>
      </c>
      <c r="B1020" t="str">
        <f t="shared" si="30"/>
        <v>2026-04</v>
      </c>
      <c r="C1020" s="3">
        <f t="shared" si="31"/>
        <v>21</v>
      </c>
      <c r="D1020" s="4">
        <v>21.121914127183331</v>
      </c>
      <c r="E1020" s="4">
        <v>23.045716029188881</v>
      </c>
      <c r="F1020" s="4">
        <v>22.508620226291669</v>
      </c>
      <c r="G1020" s="4">
        <v>4.9000000000000004</v>
      </c>
      <c r="H1020" s="5">
        <v>52.654282388633327</v>
      </c>
      <c r="I1020" s="5">
        <v>47.436022919863888</v>
      </c>
      <c r="J1020" s="5">
        <v>42.346789699825003</v>
      </c>
      <c r="K1020" s="5">
        <v>54</v>
      </c>
    </row>
    <row r="1021" spans="1:11" x14ac:dyDescent="0.25">
      <c r="A1021" s="2">
        <v>46139.916666666657</v>
      </c>
      <c r="B1021" t="str">
        <f t="shared" si="30"/>
        <v>2026-04</v>
      </c>
      <c r="C1021" s="3">
        <f t="shared" si="31"/>
        <v>22</v>
      </c>
      <c r="D1021" s="4">
        <v>21.267032248549999</v>
      </c>
      <c r="E1021" s="4">
        <v>23.449497804444441</v>
      </c>
      <c r="F1021" s="4">
        <v>22.510453617694441</v>
      </c>
      <c r="G1021" s="4">
        <v>4.2</v>
      </c>
      <c r="H1021" s="5">
        <v>52.272300779297218</v>
      </c>
      <c r="I1021" s="5">
        <v>48.07873326944167</v>
      </c>
      <c r="J1021" s="5">
        <v>42.01607520118889</v>
      </c>
      <c r="K1021" s="5">
        <v>59</v>
      </c>
    </row>
    <row r="1022" spans="1:11" x14ac:dyDescent="0.25">
      <c r="A1022" s="2">
        <v>46139.958333333343</v>
      </c>
      <c r="B1022" t="str">
        <f t="shared" si="30"/>
        <v>2026-04</v>
      </c>
      <c r="C1022" s="3">
        <f t="shared" si="31"/>
        <v>23</v>
      </c>
      <c r="D1022" s="4">
        <v>21.240771435844451</v>
      </c>
      <c r="E1022" s="4">
        <v>23.46970746838889</v>
      </c>
      <c r="F1022" s="4">
        <v>22.519648369394449</v>
      </c>
      <c r="G1022" s="4">
        <v>3.5</v>
      </c>
      <c r="H1022" s="5">
        <v>55.127915203402779</v>
      </c>
      <c r="I1022" s="5">
        <v>50.064849999305558</v>
      </c>
      <c r="J1022" s="5">
        <v>41.795459461880561</v>
      </c>
      <c r="K1022" s="5">
        <v>62</v>
      </c>
    </row>
    <row r="1023" spans="1:11" x14ac:dyDescent="0.25">
      <c r="A1023" s="2">
        <v>46140</v>
      </c>
      <c r="B1023" t="str">
        <f t="shared" si="30"/>
        <v>2026-04</v>
      </c>
      <c r="C1023" s="3">
        <f t="shared" si="31"/>
        <v>0</v>
      </c>
      <c r="D1023" s="4">
        <v>21.342757477733329</v>
      </c>
      <c r="E1023" s="4">
        <v>23.494171007388889</v>
      </c>
      <c r="F1023" s="4">
        <v>22.578310144208331</v>
      </c>
      <c r="G1023" s="4">
        <v>3.3</v>
      </c>
      <c r="H1023" s="5">
        <v>52.892982860258343</v>
      </c>
      <c r="I1023" s="5">
        <v>48.506944983011117</v>
      </c>
      <c r="J1023" s="5">
        <v>41.73762747072778</v>
      </c>
      <c r="K1023" s="5">
        <v>66</v>
      </c>
    </row>
    <row r="1024" spans="1:11" x14ac:dyDescent="0.25">
      <c r="A1024" s="2">
        <v>46140.041666666657</v>
      </c>
      <c r="B1024" t="str">
        <f t="shared" si="30"/>
        <v>2026-04</v>
      </c>
      <c r="C1024" s="3">
        <f t="shared" si="31"/>
        <v>1</v>
      </c>
      <c r="D1024" s="4">
        <v>21.20507170225833</v>
      </c>
      <c r="E1024" s="4">
        <v>23.08643713814444</v>
      </c>
      <c r="F1024" s="4">
        <v>22.723825169194441</v>
      </c>
      <c r="G1024" s="4">
        <v>3</v>
      </c>
      <c r="H1024" s="5">
        <v>51.684625018316673</v>
      </c>
      <c r="I1024" s="5">
        <v>47.312937264986111</v>
      </c>
      <c r="J1024" s="5">
        <v>43.143955719525003</v>
      </c>
      <c r="K1024" s="5">
        <v>68</v>
      </c>
    </row>
    <row r="1025" spans="1:11" x14ac:dyDescent="0.25">
      <c r="A1025" s="2">
        <v>46140.083333333343</v>
      </c>
      <c r="B1025" t="str">
        <f t="shared" si="30"/>
        <v>2026-04</v>
      </c>
      <c r="C1025" s="3">
        <f t="shared" si="31"/>
        <v>2</v>
      </c>
      <c r="D1025" s="4">
        <v>20.639032533741659</v>
      </c>
      <c r="E1025" s="4">
        <v>22.614373202427771</v>
      </c>
      <c r="F1025" s="4">
        <v>22.803692649452781</v>
      </c>
      <c r="G1025" s="4">
        <v>2.6</v>
      </c>
      <c r="H1025" s="5">
        <v>55.138362780772219</v>
      </c>
      <c r="I1025" s="5">
        <v>48.29285573110834</v>
      </c>
      <c r="J1025" s="5">
        <v>43.589297101858342</v>
      </c>
      <c r="K1025" s="5">
        <v>70</v>
      </c>
    </row>
    <row r="1026" spans="1:11" x14ac:dyDescent="0.25">
      <c r="A1026" s="2">
        <v>46140.125</v>
      </c>
      <c r="B1026" t="str">
        <f t="shared" ref="B1026:B1089" si="32">TEXT(A1026,"yyyy-mm")</f>
        <v>2026-04</v>
      </c>
      <c r="C1026" s="3">
        <f t="shared" ref="C1026:C1089" si="33">HOUR(A1026)</f>
        <v>3</v>
      </c>
      <c r="D1026" s="4">
        <v>20.235184419827771</v>
      </c>
      <c r="E1026" s="4">
        <v>22.072307109427779</v>
      </c>
      <c r="F1026" s="4">
        <v>22.82171197023056</v>
      </c>
      <c r="G1026" s="4">
        <v>1.9</v>
      </c>
      <c r="H1026" s="5">
        <v>54.060040590044451</v>
      </c>
      <c r="I1026" s="5">
        <v>47.285299940677781</v>
      </c>
      <c r="J1026" s="5">
        <v>42.320186437952778</v>
      </c>
      <c r="K1026" s="5">
        <v>74</v>
      </c>
    </row>
    <row r="1027" spans="1:11" x14ac:dyDescent="0.25">
      <c r="A1027" s="2">
        <v>46140.166666666657</v>
      </c>
      <c r="B1027" t="str">
        <f t="shared" si="32"/>
        <v>2026-04</v>
      </c>
      <c r="C1027" s="3">
        <f t="shared" si="33"/>
        <v>4</v>
      </c>
      <c r="D1027" s="4">
        <v>19.98051543533612</v>
      </c>
      <c r="E1027" s="4">
        <v>21.949639129641671</v>
      </c>
      <c r="F1027" s="4">
        <v>22.814816811741661</v>
      </c>
      <c r="G1027" s="4">
        <v>1.5</v>
      </c>
      <c r="H1027" s="5">
        <v>52.961987576552779</v>
      </c>
      <c r="I1027" s="5">
        <v>45.781002139022227</v>
      </c>
      <c r="J1027" s="5">
        <v>41.781385558858332</v>
      </c>
      <c r="K1027" s="5">
        <v>75</v>
      </c>
    </row>
    <row r="1028" spans="1:11" x14ac:dyDescent="0.25">
      <c r="A1028" s="2">
        <v>46140.208333333343</v>
      </c>
      <c r="B1028" t="str">
        <f t="shared" si="32"/>
        <v>2026-04</v>
      </c>
      <c r="C1028" s="3">
        <f t="shared" si="33"/>
        <v>5</v>
      </c>
      <c r="D1028" s="4">
        <v>19.93744695220278</v>
      </c>
      <c r="E1028" s="4">
        <v>21.785811202541659</v>
      </c>
      <c r="F1028" s="4">
        <v>22.738586286202779</v>
      </c>
      <c r="G1028" s="4">
        <v>1.2</v>
      </c>
      <c r="H1028" s="5">
        <v>51.976473552158332</v>
      </c>
      <c r="I1028" s="5">
        <v>44.964664341233338</v>
      </c>
      <c r="J1028" s="5">
        <v>41.471659460963878</v>
      </c>
      <c r="K1028" s="5">
        <v>77</v>
      </c>
    </row>
    <row r="1029" spans="1:11" x14ac:dyDescent="0.25">
      <c r="A1029" s="2">
        <v>46140.25</v>
      </c>
      <c r="B1029" t="str">
        <f t="shared" si="32"/>
        <v>2026-04</v>
      </c>
      <c r="C1029" s="3">
        <f t="shared" si="33"/>
        <v>6</v>
      </c>
      <c r="D1029" s="4">
        <v>20.58776979025</v>
      </c>
      <c r="E1029" s="4">
        <v>22.002352228408331</v>
      </c>
      <c r="F1029" s="4">
        <v>22.659362614330561</v>
      </c>
      <c r="G1029" s="4">
        <v>1.1000000000000001</v>
      </c>
      <c r="H1029" s="5">
        <v>48.229645407494438</v>
      </c>
      <c r="I1029" s="5">
        <v>44.260235455647233</v>
      </c>
      <c r="J1029" s="5">
        <v>41.23836464575556</v>
      </c>
      <c r="K1029" s="5">
        <v>77</v>
      </c>
    </row>
    <row r="1030" spans="1:11" x14ac:dyDescent="0.25">
      <c r="A1030" s="2">
        <v>46140.291666666657</v>
      </c>
      <c r="B1030" t="str">
        <f t="shared" si="32"/>
        <v>2026-04</v>
      </c>
      <c r="C1030" s="3">
        <f t="shared" si="33"/>
        <v>7</v>
      </c>
      <c r="D1030" s="4">
        <v>21.239259369194439</v>
      </c>
      <c r="E1030" s="4">
        <v>22.55767333958612</v>
      </c>
      <c r="F1030" s="4">
        <v>22.618315758891669</v>
      </c>
      <c r="G1030" s="4">
        <v>2.4</v>
      </c>
      <c r="H1030" s="5">
        <v>46.047320882519443</v>
      </c>
      <c r="I1030" s="5">
        <v>43.454141433541672</v>
      </c>
      <c r="J1030" s="5">
        <v>41.059599102183327</v>
      </c>
      <c r="K1030" s="5">
        <v>76</v>
      </c>
    </row>
    <row r="1031" spans="1:11" x14ac:dyDescent="0.25">
      <c r="A1031" s="2">
        <v>46140.333333333343</v>
      </c>
      <c r="B1031" t="str">
        <f t="shared" si="32"/>
        <v>2026-04</v>
      </c>
      <c r="C1031" s="3">
        <f t="shared" si="33"/>
        <v>8</v>
      </c>
      <c r="D1031" s="4">
        <v>21.775674922438888</v>
      </c>
      <c r="E1031" s="4">
        <v>23.09317886935834</v>
      </c>
      <c r="F1031" s="4">
        <v>22.601185548955559</v>
      </c>
      <c r="G1031" s="4">
        <v>4.4000000000000004</v>
      </c>
      <c r="H1031" s="5">
        <v>44.911670833386118</v>
      </c>
      <c r="I1031" s="5">
        <v>43.299727094322229</v>
      </c>
      <c r="J1031" s="5">
        <v>40.985980651344448</v>
      </c>
      <c r="K1031" s="5">
        <v>69</v>
      </c>
    </row>
    <row r="1032" spans="1:11" x14ac:dyDescent="0.25">
      <c r="A1032" s="2">
        <v>46140.375</v>
      </c>
      <c r="B1032" t="str">
        <f t="shared" si="32"/>
        <v>2026-04</v>
      </c>
      <c r="C1032" s="3">
        <f t="shared" si="33"/>
        <v>9</v>
      </c>
      <c r="D1032" s="4">
        <v>22.07854416493889</v>
      </c>
      <c r="E1032" s="4">
        <v>23.32681025318611</v>
      </c>
      <c r="F1032" s="4">
        <v>22.59883378190834</v>
      </c>
      <c r="G1032" s="4">
        <v>6.8</v>
      </c>
      <c r="H1032" s="5">
        <v>45.978815472766662</v>
      </c>
      <c r="I1032" s="5">
        <v>44.058287034569453</v>
      </c>
      <c r="J1032" s="5">
        <v>41.219750837469441</v>
      </c>
      <c r="K1032" s="5">
        <v>60</v>
      </c>
    </row>
    <row r="1033" spans="1:11" x14ac:dyDescent="0.25">
      <c r="A1033" s="2">
        <v>46140.416666666657</v>
      </c>
      <c r="B1033" t="str">
        <f t="shared" si="32"/>
        <v>2026-04</v>
      </c>
      <c r="C1033" s="3">
        <f t="shared" si="33"/>
        <v>10</v>
      </c>
      <c r="D1033" s="4">
        <v>21.868294405311111</v>
      </c>
      <c r="E1033" s="4">
        <v>23.298077482558341</v>
      </c>
      <c r="F1033" s="4">
        <v>22.609916586922221</v>
      </c>
      <c r="G1033" s="4">
        <v>8.1999999999999993</v>
      </c>
      <c r="H1033" s="5">
        <v>47.873217940694452</v>
      </c>
      <c r="I1033" s="5">
        <v>44.792167663513887</v>
      </c>
      <c r="J1033" s="5">
        <v>41.661523530183338</v>
      </c>
      <c r="K1033" s="5">
        <v>49</v>
      </c>
    </row>
    <row r="1034" spans="1:11" x14ac:dyDescent="0.25">
      <c r="A1034" s="2">
        <v>46140.458333333343</v>
      </c>
      <c r="B1034" t="str">
        <f t="shared" si="32"/>
        <v>2026-04</v>
      </c>
      <c r="C1034" s="3">
        <f t="shared" si="33"/>
        <v>11</v>
      </c>
      <c r="D1034" s="4">
        <v>21.699312753766659</v>
      </c>
      <c r="E1034" s="4">
        <v>23.357276932563892</v>
      </c>
      <c r="F1034" s="4">
        <v>22.646333105916671</v>
      </c>
      <c r="G1034" s="4">
        <v>8.6999999999999993</v>
      </c>
      <c r="H1034" s="5">
        <v>49.181262096327778</v>
      </c>
      <c r="I1034" s="5">
        <v>46.883939135963892</v>
      </c>
      <c r="J1034" s="5">
        <v>43.035553927733332</v>
      </c>
      <c r="K1034" s="5">
        <v>41</v>
      </c>
    </row>
    <row r="1035" spans="1:11" x14ac:dyDescent="0.25">
      <c r="A1035" s="2">
        <v>46140.5</v>
      </c>
      <c r="B1035" t="str">
        <f t="shared" si="32"/>
        <v>2026-04</v>
      </c>
      <c r="C1035" s="3">
        <f t="shared" si="33"/>
        <v>12</v>
      </c>
      <c r="D1035" s="4">
        <v>21.742725863516672</v>
      </c>
      <c r="E1035" s="4">
        <v>23.480491939886111</v>
      </c>
      <c r="F1035" s="4">
        <v>22.634037022225002</v>
      </c>
      <c r="G1035" s="4">
        <v>8.8000000000000007</v>
      </c>
      <c r="H1035" s="5">
        <v>54.640384203797232</v>
      </c>
      <c r="I1035" s="5">
        <v>51.499388299294438</v>
      </c>
      <c r="J1035" s="5">
        <v>43.05718192006389</v>
      </c>
      <c r="K1035" s="5">
        <v>39</v>
      </c>
    </row>
    <row r="1036" spans="1:11" x14ac:dyDescent="0.25">
      <c r="A1036" s="2">
        <v>46140.541666666657</v>
      </c>
      <c r="B1036" t="str">
        <f t="shared" si="32"/>
        <v>2026-04</v>
      </c>
      <c r="C1036" s="3">
        <f t="shared" si="33"/>
        <v>13</v>
      </c>
      <c r="D1036" s="4">
        <v>21.715733597075001</v>
      </c>
      <c r="E1036" s="4">
        <v>23.407095734713891</v>
      </c>
      <c r="F1036" s="4">
        <v>22.606120933844451</v>
      </c>
      <c r="G1036" s="4">
        <v>9.3000000000000007</v>
      </c>
      <c r="H1036" s="5">
        <v>51.096977686200013</v>
      </c>
      <c r="I1036" s="5">
        <v>46.842475291402771</v>
      </c>
      <c r="J1036" s="5">
        <v>42.085654335033333</v>
      </c>
      <c r="K1036" s="5">
        <v>39</v>
      </c>
    </row>
    <row r="1037" spans="1:11" x14ac:dyDescent="0.25">
      <c r="A1037" s="2">
        <v>46140.583333333343</v>
      </c>
      <c r="B1037" t="str">
        <f t="shared" si="32"/>
        <v>2026-04</v>
      </c>
      <c r="C1037" s="3">
        <f t="shared" si="33"/>
        <v>14</v>
      </c>
      <c r="D1037" s="4">
        <v>21.667021045766671</v>
      </c>
      <c r="E1037" s="4">
        <v>23.36668221018612</v>
      </c>
      <c r="F1037" s="4">
        <v>22.59360178407778</v>
      </c>
      <c r="G1037" s="4">
        <v>9.8000000000000007</v>
      </c>
      <c r="H1037" s="5">
        <v>51.09523442161111</v>
      </c>
      <c r="I1037" s="5">
        <v>47.793756751611113</v>
      </c>
      <c r="J1037" s="5">
        <v>42.401343350397219</v>
      </c>
      <c r="K1037" s="5">
        <v>36</v>
      </c>
    </row>
    <row r="1038" spans="1:11" x14ac:dyDescent="0.25">
      <c r="A1038" s="2">
        <v>46140.625</v>
      </c>
      <c r="B1038" t="str">
        <f t="shared" si="32"/>
        <v>2026-04</v>
      </c>
      <c r="C1038" s="3">
        <f t="shared" si="33"/>
        <v>15</v>
      </c>
      <c r="D1038" s="4">
        <v>21.73346783039166</v>
      </c>
      <c r="E1038" s="4">
        <v>23.422162664411111</v>
      </c>
      <c r="F1038" s="4">
        <v>22.693750889719439</v>
      </c>
      <c r="G1038" s="4">
        <v>9.6</v>
      </c>
      <c r="H1038" s="5">
        <v>51.959265090541663</v>
      </c>
      <c r="I1038" s="5">
        <v>48.743232290436111</v>
      </c>
      <c r="J1038" s="5">
        <v>46.077701114397229</v>
      </c>
      <c r="K1038" s="5">
        <v>37</v>
      </c>
    </row>
    <row r="1039" spans="1:11" x14ac:dyDescent="0.25">
      <c r="A1039" s="2">
        <v>46140.666666666657</v>
      </c>
      <c r="B1039" t="str">
        <f t="shared" si="32"/>
        <v>2026-04</v>
      </c>
      <c r="C1039" s="3">
        <f t="shared" si="33"/>
        <v>16</v>
      </c>
      <c r="D1039" s="4">
        <v>21.580932039052779</v>
      </c>
      <c r="E1039" s="4">
        <v>23.165311380258331</v>
      </c>
      <c r="F1039" s="4">
        <v>22.764768813275001</v>
      </c>
      <c r="G1039" s="4">
        <v>9.1999999999999993</v>
      </c>
      <c r="H1039" s="5">
        <v>48.585552494794449</v>
      </c>
      <c r="I1039" s="5">
        <v>47.198338218700002</v>
      </c>
      <c r="J1039" s="5">
        <v>46.186847512283329</v>
      </c>
      <c r="K1039" s="5">
        <v>40</v>
      </c>
    </row>
    <row r="1040" spans="1:11" x14ac:dyDescent="0.25">
      <c r="A1040" s="2">
        <v>46140.708333333343</v>
      </c>
      <c r="B1040" t="str">
        <f t="shared" si="32"/>
        <v>2026-04</v>
      </c>
      <c r="C1040" s="3">
        <f t="shared" si="33"/>
        <v>17</v>
      </c>
      <c r="D1040" s="4">
        <v>21.352468619974999</v>
      </c>
      <c r="E1040" s="4">
        <v>22.824389855083339</v>
      </c>
      <c r="F1040" s="4">
        <v>22.816871086569449</v>
      </c>
      <c r="G1040" s="4">
        <v>8.6999999999999993</v>
      </c>
      <c r="H1040" s="5">
        <v>47.957831334441657</v>
      </c>
      <c r="I1040" s="5">
        <v>45.298680739238883</v>
      </c>
      <c r="J1040" s="5">
        <v>45.197356425147227</v>
      </c>
      <c r="K1040" s="5">
        <v>42</v>
      </c>
    </row>
    <row r="1041" spans="1:11" x14ac:dyDescent="0.25">
      <c r="A1041" s="2">
        <v>46140.75</v>
      </c>
      <c r="B1041" t="str">
        <f t="shared" si="32"/>
        <v>2026-04</v>
      </c>
      <c r="C1041" s="3">
        <f t="shared" si="33"/>
        <v>18</v>
      </c>
      <c r="D1041" s="4">
        <v>21.27210205651112</v>
      </c>
      <c r="E1041" s="4">
        <v>22.878682591630561</v>
      </c>
      <c r="F1041" s="4">
        <v>22.885555661649999</v>
      </c>
      <c r="G1041" s="4">
        <v>7.2</v>
      </c>
      <c r="H1041" s="5">
        <v>47.078407006630563</v>
      </c>
      <c r="I1041" s="5">
        <v>44.091491908655549</v>
      </c>
      <c r="J1041" s="5">
        <v>44.891511806763887</v>
      </c>
      <c r="K1041" s="5">
        <v>55</v>
      </c>
    </row>
    <row r="1042" spans="1:11" x14ac:dyDescent="0.25">
      <c r="A1042" s="2">
        <v>46140.791666666657</v>
      </c>
      <c r="B1042" t="str">
        <f t="shared" si="32"/>
        <v>2026-04</v>
      </c>
      <c r="C1042" s="3">
        <f t="shared" si="33"/>
        <v>19</v>
      </c>
      <c r="D1042" s="4">
        <v>21.104183544552779</v>
      </c>
      <c r="E1042" s="4">
        <v>22.832594681541661</v>
      </c>
      <c r="F1042" s="4">
        <v>22.926806304005559</v>
      </c>
      <c r="G1042" s="4">
        <v>6.3</v>
      </c>
      <c r="H1042" s="5">
        <v>48.518133982575002</v>
      </c>
      <c r="I1042" s="5">
        <v>44.773705021974997</v>
      </c>
      <c r="J1042" s="5">
        <v>44.543237984144447</v>
      </c>
      <c r="K1042" s="5">
        <v>61</v>
      </c>
    </row>
    <row r="1043" spans="1:11" x14ac:dyDescent="0.25">
      <c r="A1043" s="2">
        <v>46140.833333333343</v>
      </c>
      <c r="B1043" t="str">
        <f t="shared" si="32"/>
        <v>2026-04</v>
      </c>
      <c r="C1043" s="3">
        <f t="shared" si="33"/>
        <v>20</v>
      </c>
      <c r="D1043" s="4">
        <v>20.925364565313892</v>
      </c>
      <c r="E1043" s="4">
        <v>22.626125847236111</v>
      </c>
      <c r="F1043" s="4">
        <v>22.96475102710556</v>
      </c>
      <c r="G1043" s="4">
        <v>5</v>
      </c>
      <c r="H1043" s="5">
        <v>49.958074629183329</v>
      </c>
      <c r="I1043" s="5">
        <v>44.871818430369437</v>
      </c>
      <c r="J1043" s="5">
        <v>44.017261077161123</v>
      </c>
      <c r="K1043" s="5">
        <v>65</v>
      </c>
    </row>
    <row r="1044" spans="1:11" x14ac:dyDescent="0.25">
      <c r="A1044" s="2">
        <v>46140.875</v>
      </c>
      <c r="B1044" t="str">
        <f t="shared" si="32"/>
        <v>2026-04</v>
      </c>
      <c r="C1044" s="3">
        <f t="shared" si="33"/>
        <v>21</v>
      </c>
      <c r="D1044" s="4">
        <v>21.07346691153889</v>
      </c>
      <c r="E1044" s="4">
        <v>22.739247103463889</v>
      </c>
      <c r="F1044" s="4">
        <v>22.973240297058339</v>
      </c>
      <c r="G1044" s="4">
        <v>4.4000000000000004</v>
      </c>
      <c r="H1044" s="5">
        <v>50.511085735872221</v>
      </c>
      <c r="I1044" s="5">
        <v>47.764539258202781</v>
      </c>
      <c r="J1044" s="5">
        <v>44.564973980238882</v>
      </c>
      <c r="K1044" s="5">
        <v>72</v>
      </c>
    </row>
    <row r="1045" spans="1:11" x14ac:dyDescent="0.25">
      <c r="A1045" s="2">
        <v>46140.916666666657</v>
      </c>
      <c r="B1045" t="str">
        <f t="shared" si="32"/>
        <v>2026-04</v>
      </c>
      <c r="C1045" s="3">
        <f t="shared" si="33"/>
        <v>22</v>
      </c>
      <c r="D1045" s="4">
        <v>21.49615481038612</v>
      </c>
      <c r="E1045" s="4">
        <v>23.349123702152781</v>
      </c>
      <c r="F1045" s="4">
        <v>22.975648287788889</v>
      </c>
      <c r="G1045" s="4">
        <v>3.9</v>
      </c>
      <c r="H1045" s="5">
        <v>54.430826106241661</v>
      </c>
      <c r="I1045" s="5">
        <v>54.485681869561112</v>
      </c>
      <c r="J1045" s="5">
        <v>50.599309045241661</v>
      </c>
      <c r="K1045" s="5">
        <v>75</v>
      </c>
    </row>
    <row r="1046" spans="1:11" x14ac:dyDescent="0.25">
      <c r="A1046" s="2">
        <v>46140.958333333343</v>
      </c>
      <c r="B1046" t="str">
        <f t="shared" si="32"/>
        <v>2026-04</v>
      </c>
      <c r="C1046" s="3">
        <f t="shared" si="33"/>
        <v>23</v>
      </c>
      <c r="D1046" s="4">
        <v>21.614127927327772</v>
      </c>
      <c r="E1046" s="4">
        <v>23.317805529772219</v>
      </c>
      <c r="F1046" s="4">
        <v>22.90649648362778</v>
      </c>
      <c r="G1046" s="4">
        <v>3</v>
      </c>
      <c r="H1046" s="5">
        <v>53.572413069041673</v>
      </c>
      <c r="I1046" s="5">
        <v>53.009771452163903</v>
      </c>
      <c r="J1046" s="5">
        <v>47.206909232186113</v>
      </c>
      <c r="K1046" s="5">
        <v>77</v>
      </c>
    </row>
    <row r="1047" spans="1:11" x14ac:dyDescent="0.25">
      <c r="A1047" s="2">
        <v>46141</v>
      </c>
      <c r="B1047" t="str">
        <f t="shared" si="32"/>
        <v>2026-04</v>
      </c>
      <c r="C1047" s="3">
        <f t="shared" si="33"/>
        <v>0</v>
      </c>
      <c r="D1047" s="4">
        <v>21.65474546871944</v>
      </c>
      <c r="E1047" s="4">
        <v>23.28864430202778</v>
      </c>
      <c r="F1047" s="4">
        <v>22.821285730838891</v>
      </c>
      <c r="G1047" s="4">
        <v>2.2999999999999998</v>
      </c>
      <c r="H1047" s="5">
        <v>51.136686434308331</v>
      </c>
      <c r="I1047" s="5">
        <v>50.243700322047218</v>
      </c>
      <c r="J1047" s="5">
        <v>44.596951563369451</v>
      </c>
      <c r="K1047" s="5">
        <v>75</v>
      </c>
    </row>
    <row r="1048" spans="1:11" x14ac:dyDescent="0.25">
      <c r="A1048" s="2">
        <v>46141.041666666657</v>
      </c>
      <c r="B1048" t="str">
        <f t="shared" si="32"/>
        <v>2026-04</v>
      </c>
      <c r="C1048" s="3">
        <f t="shared" si="33"/>
        <v>1</v>
      </c>
      <c r="D1048" s="4">
        <v>21.606503408133332</v>
      </c>
      <c r="E1048" s="4">
        <v>23.309274138411109</v>
      </c>
      <c r="F1048" s="4">
        <v>22.77197045631112</v>
      </c>
      <c r="G1048" s="4">
        <v>1.6</v>
      </c>
      <c r="H1048" s="5">
        <v>50.353905312527779</v>
      </c>
      <c r="I1048" s="5">
        <v>48.411413891444447</v>
      </c>
      <c r="J1048" s="5">
        <v>43.545814575791667</v>
      </c>
      <c r="K1048" s="5">
        <v>75</v>
      </c>
    </row>
    <row r="1049" spans="1:11" x14ac:dyDescent="0.25">
      <c r="A1049" s="2">
        <v>46141.083333333343</v>
      </c>
      <c r="B1049" t="str">
        <f t="shared" si="32"/>
        <v>2026-04</v>
      </c>
      <c r="C1049" s="3">
        <f t="shared" si="33"/>
        <v>2</v>
      </c>
      <c r="D1049" s="4">
        <v>21.055484270800001</v>
      </c>
      <c r="E1049" s="4">
        <v>22.960849080483332</v>
      </c>
      <c r="F1049" s="4">
        <v>22.724073347202779</v>
      </c>
      <c r="G1049" s="4">
        <v>1.1000000000000001</v>
      </c>
      <c r="H1049" s="5">
        <v>50.915761761252782</v>
      </c>
      <c r="I1049" s="5">
        <v>46.166705443780558</v>
      </c>
      <c r="J1049" s="5">
        <v>42.864719066852778</v>
      </c>
      <c r="K1049" s="5">
        <v>75</v>
      </c>
    </row>
    <row r="1050" spans="1:11" x14ac:dyDescent="0.25">
      <c r="A1050" s="2">
        <v>46141.125</v>
      </c>
      <c r="B1050" t="str">
        <f t="shared" si="32"/>
        <v>2026-04</v>
      </c>
      <c r="C1050" s="3">
        <f t="shared" si="33"/>
        <v>3</v>
      </c>
      <c r="D1050" s="4">
        <v>20.489684778730549</v>
      </c>
      <c r="E1050" s="4">
        <v>22.372427294541659</v>
      </c>
      <c r="F1050" s="4">
        <v>22.66508252165</v>
      </c>
      <c r="G1050" s="4">
        <v>0.7</v>
      </c>
      <c r="H1050" s="5">
        <v>50.937541482497217</v>
      </c>
      <c r="I1050" s="5">
        <v>45.640853471947217</v>
      </c>
      <c r="J1050" s="5">
        <v>42.38290844586389</v>
      </c>
      <c r="K1050" s="5">
        <v>75</v>
      </c>
    </row>
    <row r="1051" spans="1:11" x14ac:dyDescent="0.25">
      <c r="A1051" s="2">
        <v>46141.166666666657</v>
      </c>
      <c r="B1051" t="str">
        <f t="shared" si="32"/>
        <v>2026-04</v>
      </c>
      <c r="C1051" s="3">
        <f t="shared" si="33"/>
        <v>4</v>
      </c>
      <c r="D1051" s="4">
        <v>20.176904707666669</v>
      </c>
      <c r="E1051" s="4">
        <v>22.071144205786108</v>
      </c>
      <c r="F1051" s="4">
        <v>22.609786758427781</v>
      </c>
      <c r="G1051" s="4">
        <v>0</v>
      </c>
      <c r="H1051" s="5">
        <v>50.98752992419444</v>
      </c>
      <c r="I1051" s="5">
        <v>45.039100374247219</v>
      </c>
      <c r="J1051" s="5">
        <v>42.093938996272222</v>
      </c>
      <c r="K1051" s="5">
        <v>78</v>
      </c>
    </row>
    <row r="1052" spans="1:11" x14ac:dyDescent="0.25">
      <c r="A1052" s="2">
        <v>46141.208333333343</v>
      </c>
      <c r="B1052" t="str">
        <f t="shared" si="32"/>
        <v>2026-04</v>
      </c>
      <c r="C1052" s="3">
        <f t="shared" si="33"/>
        <v>5</v>
      </c>
      <c r="D1052" s="4">
        <v>20.12373418030834</v>
      </c>
      <c r="E1052" s="4">
        <v>21.91674414157778</v>
      </c>
      <c r="F1052" s="4">
        <v>22.57618322833056</v>
      </c>
      <c r="G1052" s="4">
        <v>-0.5</v>
      </c>
      <c r="H1052" s="5">
        <v>50.287776136508327</v>
      </c>
      <c r="I1052" s="5">
        <v>44.420018433233338</v>
      </c>
      <c r="J1052" s="5">
        <v>41.763525825088891</v>
      </c>
      <c r="K1052" s="5">
        <v>79</v>
      </c>
    </row>
    <row r="1053" spans="1:11" x14ac:dyDescent="0.25">
      <c r="A1053" s="2">
        <v>46141.25</v>
      </c>
      <c r="B1053" t="str">
        <f t="shared" si="32"/>
        <v>2026-04</v>
      </c>
      <c r="C1053" s="3">
        <f t="shared" si="33"/>
        <v>6</v>
      </c>
      <c r="D1053" s="4">
        <v>20.83071479824444</v>
      </c>
      <c r="E1053" s="4">
        <v>22.111868752336111</v>
      </c>
      <c r="F1053" s="4">
        <v>22.543063557252779</v>
      </c>
      <c r="G1053" s="4">
        <v>-0.2</v>
      </c>
      <c r="H1053" s="5">
        <v>46.428771179761107</v>
      </c>
      <c r="I1053" s="5">
        <v>43.91163106870556</v>
      </c>
      <c r="J1053" s="5">
        <v>41.52899351295833</v>
      </c>
      <c r="K1053" s="5">
        <v>79</v>
      </c>
    </row>
    <row r="1054" spans="1:11" x14ac:dyDescent="0.25">
      <c r="A1054" s="2">
        <v>46141.291666666657</v>
      </c>
      <c r="B1054" t="str">
        <f t="shared" si="32"/>
        <v>2026-04</v>
      </c>
      <c r="C1054" s="3">
        <f t="shared" si="33"/>
        <v>7</v>
      </c>
      <c r="D1054" s="4">
        <v>21.479032921188889</v>
      </c>
      <c r="E1054" s="4">
        <v>22.479781409380561</v>
      </c>
      <c r="F1054" s="4">
        <v>22.53077695390833</v>
      </c>
      <c r="G1054" s="4">
        <v>1.3</v>
      </c>
      <c r="H1054" s="5">
        <v>44.850200799191668</v>
      </c>
      <c r="I1054" s="5">
        <v>43.440687707750001</v>
      </c>
      <c r="J1054" s="5">
        <v>41.391836158141672</v>
      </c>
      <c r="K1054" s="5">
        <v>79</v>
      </c>
    </row>
    <row r="1055" spans="1:11" x14ac:dyDescent="0.25">
      <c r="A1055" s="2">
        <v>46141.333333333343</v>
      </c>
      <c r="B1055" t="str">
        <f t="shared" si="32"/>
        <v>2026-04</v>
      </c>
      <c r="C1055" s="3">
        <f t="shared" si="33"/>
        <v>8</v>
      </c>
      <c r="D1055" s="4">
        <v>22.05001291941112</v>
      </c>
      <c r="E1055" s="4">
        <v>22.932138281566669</v>
      </c>
      <c r="F1055" s="4">
        <v>22.537676478488891</v>
      </c>
      <c r="G1055" s="4">
        <v>3.6</v>
      </c>
      <c r="H1055" s="5">
        <v>43.744194291352777</v>
      </c>
      <c r="I1055" s="5">
        <v>43.452220161594447</v>
      </c>
      <c r="J1055" s="5">
        <v>41.312188665480562</v>
      </c>
      <c r="K1055" s="5">
        <v>73</v>
      </c>
    </row>
    <row r="1056" spans="1:11" x14ac:dyDescent="0.25">
      <c r="A1056" s="2">
        <v>46141.375</v>
      </c>
      <c r="B1056" t="str">
        <f t="shared" si="32"/>
        <v>2026-04</v>
      </c>
      <c r="C1056" s="3">
        <f t="shared" si="33"/>
        <v>9</v>
      </c>
      <c r="D1056" s="4">
        <v>22.412453828322221</v>
      </c>
      <c r="E1056" s="4">
        <v>23.283895123822219</v>
      </c>
      <c r="F1056" s="4">
        <v>22.55583500584444</v>
      </c>
      <c r="G1056" s="4">
        <v>6.3</v>
      </c>
      <c r="H1056" s="5">
        <v>44.050136680652777</v>
      </c>
      <c r="I1056" s="5">
        <v>43.922443666797221</v>
      </c>
      <c r="J1056" s="5">
        <v>41.379535696952779</v>
      </c>
      <c r="K1056" s="5">
        <v>61</v>
      </c>
    </row>
    <row r="1057" spans="1:11" x14ac:dyDescent="0.25">
      <c r="A1057" s="2">
        <v>46141.416666666657</v>
      </c>
      <c r="B1057" t="str">
        <f t="shared" si="32"/>
        <v>2026-04</v>
      </c>
      <c r="C1057" s="3">
        <f t="shared" si="33"/>
        <v>10</v>
      </c>
      <c r="D1057" s="4">
        <v>22.47472324149167</v>
      </c>
      <c r="E1057" s="4">
        <v>23.483832904886121</v>
      </c>
      <c r="F1057" s="4">
        <v>22.583252009566671</v>
      </c>
      <c r="G1057" s="4">
        <v>7.7</v>
      </c>
      <c r="H1057" s="5">
        <v>45.174164192861113</v>
      </c>
      <c r="I1057" s="5">
        <v>44.243287731716663</v>
      </c>
      <c r="J1057" s="5">
        <v>41.785618275880559</v>
      </c>
      <c r="K1057" s="5">
        <v>46</v>
      </c>
    </row>
    <row r="1058" spans="1:11" x14ac:dyDescent="0.25">
      <c r="A1058" s="2">
        <v>46141.458333333343</v>
      </c>
      <c r="B1058" t="str">
        <f t="shared" si="32"/>
        <v>2026-04</v>
      </c>
      <c r="C1058" s="3">
        <f t="shared" si="33"/>
        <v>11</v>
      </c>
      <c r="D1058" s="4">
        <v>22.253345992300002</v>
      </c>
      <c r="E1058" s="4">
        <v>23.687267480625</v>
      </c>
      <c r="F1058" s="4">
        <v>22.59875038151111</v>
      </c>
      <c r="G1058" s="4">
        <v>8.4</v>
      </c>
      <c r="H1058" s="5">
        <v>48.25885965830556</v>
      </c>
      <c r="I1058" s="5">
        <v>44.396614274149997</v>
      </c>
      <c r="J1058" s="5">
        <v>41.94831353499444</v>
      </c>
      <c r="K1058" s="5">
        <v>40</v>
      </c>
    </row>
    <row r="1059" spans="1:11" x14ac:dyDescent="0.25">
      <c r="A1059" s="2">
        <v>46141.5</v>
      </c>
      <c r="B1059" t="str">
        <f t="shared" si="32"/>
        <v>2026-04</v>
      </c>
      <c r="C1059" s="3">
        <f t="shared" si="33"/>
        <v>12</v>
      </c>
      <c r="D1059" s="4">
        <v>22.25347194626389</v>
      </c>
      <c r="E1059" s="4">
        <v>23.672714989900001</v>
      </c>
      <c r="F1059" s="4">
        <v>22.597389170063892</v>
      </c>
      <c r="G1059" s="4">
        <v>8.8000000000000007</v>
      </c>
      <c r="H1059" s="5">
        <v>48.699625227416668</v>
      </c>
      <c r="I1059" s="5">
        <v>44.807256799847217</v>
      </c>
      <c r="J1059" s="5">
        <v>41.969047069677778</v>
      </c>
      <c r="K1059" s="5">
        <v>40</v>
      </c>
    </row>
    <row r="1060" spans="1:11" x14ac:dyDescent="0.25">
      <c r="A1060" s="2">
        <v>46141.541666666657</v>
      </c>
      <c r="B1060" t="str">
        <f t="shared" si="32"/>
        <v>2026-04</v>
      </c>
      <c r="C1060" s="3">
        <f t="shared" si="33"/>
        <v>13</v>
      </c>
      <c r="D1060" s="4">
        <v>22.175898039905562</v>
      </c>
      <c r="E1060" s="4">
        <v>23.500738454105559</v>
      </c>
      <c r="F1060" s="4">
        <v>22.606546971933341</v>
      </c>
      <c r="G1060" s="4">
        <v>9.3000000000000007</v>
      </c>
      <c r="H1060" s="5">
        <v>49.366433517916668</v>
      </c>
      <c r="I1060" s="5">
        <v>45.283297621016658</v>
      </c>
      <c r="J1060" s="5">
        <v>42.437684334683333</v>
      </c>
      <c r="K1060" s="5">
        <v>43</v>
      </c>
    </row>
    <row r="1061" spans="1:11" x14ac:dyDescent="0.25">
      <c r="A1061" s="2">
        <v>46141.583333333343</v>
      </c>
      <c r="B1061" t="str">
        <f t="shared" si="32"/>
        <v>2026-04</v>
      </c>
      <c r="C1061" s="3">
        <f t="shared" si="33"/>
        <v>14</v>
      </c>
      <c r="D1061" s="4">
        <v>21.955481869452779</v>
      </c>
      <c r="E1061" s="4">
        <v>23.367559610558331</v>
      </c>
      <c r="F1061" s="4">
        <v>22.60313868619167</v>
      </c>
      <c r="G1061" s="4">
        <v>9.6999999999999993</v>
      </c>
      <c r="H1061" s="5">
        <v>49.016053500872232</v>
      </c>
      <c r="I1061" s="5">
        <v>45.166906401272222</v>
      </c>
      <c r="J1061" s="5">
        <v>42.417959859050001</v>
      </c>
      <c r="K1061" s="5">
        <v>45</v>
      </c>
    </row>
    <row r="1062" spans="1:11" x14ac:dyDescent="0.25">
      <c r="A1062" s="2">
        <v>46141.625</v>
      </c>
      <c r="B1062" t="str">
        <f t="shared" si="32"/>
        <v>2026-04</v>
      </c>
      <c r="C1062" s="3">
        <f t="shared" si="33"/>
        <v>15</v>
      </c>
      <c r="D1062" s="4">
        <v>21.816390736527779</v>
      </c>
      <c r="E1062" s="4">
        <v>23.180434049863891</v>
      </c>
      <c r="F1062" s="4">
        <v>22.590979519036111</v>
      </c>
      <c r="G1062" s="4">
        <v>10.1</v>
      </c>
      <c r="H1062" s="5">
        <v>46.246492143811111</v>
      </c>
      <c r="I1062" s="5">
        <v>43.18612937563055</v>
      </c>
      <c r="J1062" s="5">
        <v>41.593647355047217</v>
      </c>
      <c r="K1062" s="5">
        <v>42</v>
      </c>
    </row>
    <row r="1063" spans="1:11" x14ac:dyDescent="0.25">
      <c r="A1063" s="2">
        <v>46141.666666666657</v>
      </c>
      <c r="B1063" t="str">
        <f t="shared" si="32"/>
        <v>2026-04</v>
      </c>
      <c r="C1063" s="3">
        <f t="shared" si="33"/>
        <v>16</v>
      </c>
      <c r="D1063" s="4">
        <v>21.639764322138891</v>
      </c>
      <c r="E1063" s="4">
        <v>23.191646789577771</v>
      </c>
      <c r="F1063" s="4">
        <v>22.57673456518889</v>
      </c>
      <c r="G1063" s="4">
        <v>10.1</v>
      </c>
      <c r="H1063" s="5">
        <v>46.581382731250002</v>
      </c>
      <c r="I1063" s="5">
        <v>43.372246596972218</v>
      </c>
      <c r="J1063" s="5">
        <v>41.79082689537222</v>
      </c>
      <c r="K1063" s="5">
        <v>42</v>
      </c>
    </row>
    <row r="1064" spans="1:11" x14ac:dyDescent="0.25">
      <c r="A1064" s="2">
        <v>46141.708333333343</v>
      </c>
      <c r="B1064" t="str">
        <f t="shared" si="32"/>
        <v>2026-04</v>
      </c>
      <c r="C1064" s="3">
        <f t="shared" si="33"/>
        <v>17</v>
      </c>
      <c r="D1064" s="4">
        <v>21.734392686149999</v>
      </c>
      <c r="E1064" s="4">
        <v>23.372682131513891</v>
      </c>
      <c r="F1064" s="4">
        <v>22.566785451783339</v>
      </c>
      <c r="G1064" s="4">
        <v>8.6</v>
      </c>
      <c r="H1064" s="5">
        <v>49.217770473288887</v>
      </c>
      <c r="I1064" s="5">
        <v>47.781030403944442</v>
      </c>
      <c r="J1064" s="5">
        <v>41.896176228911109</v>
      </c>
      <c r="K1064" s="5">
        <v>45</v>
      </c>
    </row>
    <row r="1065" spans="1:11" x14ac:dyDescent="0.25">
      <c r="A1065" s="2">
        <v>46141.75</v>
      </c>
      <c r="B1065" t="str">
        <f t="shared" si="32"/>
        <v>2026-04</v>
      </c>
      <c r="C1065" s="3">
        <f t="shared" si="33"/>
        <v>18</v>
      </c>
      <c r="D1065" s="4">
        <v>21.64034243465834</v>
      </c>
      <c r="E1065" s="4">
        <v>23.388096566030551</v>
      </c>
      <c r="F1065" s="4">
        <v>22.558360892836109</v>
      </c>
      <c r="G1065" s="4">
        <v>6.6</v>
      </c>
      <c r="H1065" s="5">
        <v>50.027794253213891</v>
      </c>
      <c r="I1065" s="5">
        <v>46.918471321611122</v>
      </c>
      <c r="J1065" s="5">
        <v>41.718812648947221</v>
      </c>
      <c r="K1065" s="5">
        <v>64</v>
      </c>
    </row>
    <row r="1066" spans="1:11" x14ac:dyDescent="0.25">
      <c r="A1066" s="2">
        <v>46141.791666666657</v>
      </c>
      <c r="B1066" t="str">
        <f t="shared" si="32"/>
        <v>2026-04</v>
      </c>
      <c r="C1066" s="3">
        <f t="shared" si="33"/>
        <v>19</v>
      </c>
      <c r="D1066" s="4">
        <v>21.414264348749999</v>
      </c>
      <c r="E1066" s="4">
        <v>23.416133255788889</v>
      </c>
      <c r="F1066" s="4">
        <v>22.617915776602771</v>
      </c>
      <c r="G1066" s="4">
        <v>6.8</v>
      </c>
      <c r="H1066" s="5">
        <v>50.76866614155</v>
      </c>
      <c r="I1066" s="5">
        <v>45.978394746444451</v>
      </c>
      <c r="J1066" s="5">
        <v>41.900974038597219</v>
      </c>
      <c r="K1066" s="5">
        <v>66</v>
      </c>
    </row>
    <row r="1067" spans="1:11" x14ac:dyDescent="0.25">
      <c r="A1067" s="2">
        <v>46141.833333333343</v>
      </c>
      <c r="B1067" t="str">
        <f t="shared" si="32"/>
        <v>2026-04</v>
      </c>
      <c r="C1067" s="3">
        <f t="shared" si="33"/>
        <v>20</v>
      </c>
      <c r="D1067" s="4">
        <v>21.107970463086112</v>
      </c>
      <c r="E1067" s="4">
        <v>23.615980727263889</v>
      </c>
      <c r="F1067" s="4">
        <v>22.630618325894439</v>
      </c>
      <c r="G1067" s="4">
        <v>5</v>
      </c>
      <c r="H1067" s="5">
        <v>51.120375244088883</v>
      </c>
      <c r="I1067" s="5">
        <v>43.972312603647232</v>
      </c>
      <c r="J1067" s="5">
        <v>41.588890533133331</v>
      </c>
      <c r="K1067" s="5">
        <v>76</v>
      </c>
    </row>
    <row r="1068" spans="1:11" x14ac:dyDescent="0.25">
      <c r="A1068" s="2">
        <v>46141.875</v>
      </c>
      <c r="B1068" t="str">
        <f t="shared" si="32"/>
        <v>2026-04</v>
      </c>
      <c r="C1068" s="3">
        <f t="shared" si="33"/>
        <v>21</v>
      </c>
      <c r="D1068" s="4">
        <v>20.886381620213889</v>
      </c>
      <c r="E1068" s="4">
        <v>23.912443973861109</v>
      </c>
      <c r="F1068" s="4">
        <v>22.60208049945556</v>
      </c>
      <c r="G1068" s="4">
        <v>4.5</v>
      </c>
      <c r="H1068" s="5">
        <v>50.57299720319444</v>
      </c>
      <c r="I1068" s="5">
        <v>43.427046981888893</v>
      </c>
      <c r="J1068" s="5">
        <v>41.140477460705547</v>
      </c>
      <c r="K1068" s="5">
        <v>77</v>
      </c>
    </row>
    <row r="1069" spans="1:11" x14ac:dyDescent="0.25">
      <c r="A1069" s="2">
        <v>46141.916666666657</v>
      </c>
      <c r="B1069" t="str">
        <f t="shared" si="32"/>
        <v>2026-04</v>
      </c>
      <c r="C1069" s="3">
        <f t="shared" si="33"/>
        <v>22</v>
      </c>
      <c r="D1069" s="4">
        <v>21.045739827944441</v>
      </c>
      <c r="E1069" s="4">
        <v>23.375409982602768</v>
      </c>
      <c r="F1069" s="4">
        <v>22.58612807386945</v>
      </c>
      <c r="G1069" s="4">
        <v>3.8</v>
      </c>
      <c r="H1069" s="5">
        <v>50.080355045997223</v>
      </c>
      <c r="I1069" s="5">
        <v>45.724490242366663</v>
      </c>
      <c r="J1069" s="5">
        <v>40.422387882841669</v>
      </c>
      <c r="K1069" s="5">
        <v>83</v>
      </c>
    </row>
    <row r="1070" spans="1:11" x14ac:dyDescent="0.25">
      <c r="A1070" s="2">
        <v>46141.958333333343</v>
      </c>
      <c r="B1070" t="str">
        <f t="shared" si="32"/>
        <v>2026-04</v>
      </c>
      <c r="C1070" s="3">
        <f t="shared" si="33"/>
        <v>23</v>
      </c>
      <c r="D1070" s="4">
        <v>21.17549284155</v>
      </c>
      <c r="E1070" s="4">
        <v>23.235519312127771</v>
      </c>
      <c r="F1070" s="4">
        <v>22.57175666505</v>
      </c>
      <c r="G1070" s="4">
        <v>3.1</v>
      </c>
      <c r="H1070" s="5">
        <v>54.293371751738881</v>
      </c>
      <c r="I1070" s="5">
        <v>49.711984487869437</v>
      </c>
      <c r="J1070" s="5">
        <v>40.526307754772219</v>
      </c>
      <c r="K1070" s="5">
        <v>84</v>
      </c>
    </row>
    <row r="1071" spans="1:11" x14ac:dyDescent="0.25">
      <c r="A1071" s="2">
        <v>46142</v>
      </c>
      <c r="B1071" t="str">
        <f t="shared" si="32"/>
        <v>2026-04</v>
      </c>
      <c r="C1071" s="3">
        <f t="shared" si="33"/>
        <v>0</v>
      </c>
      <c r="D1071" s="4">
        <v>21.231639023872219</v>
      </c>
      <c r="E1071" s="4">
        <v>23.191953082230551</v>
      </c>
      <c r="F1071" s="4">
        <v>22.556850597172211</v>
      </c>
      <c r="G1071" s="4">
        <v>2.9</v>
      </c>
      <c r="H1071" s="5">
        <v>56.193589004141657</v>
      </c>
      <c r="I1071" s="5">
        <v>51.180058783741657</v>
      </c>
      <c r="J1071" s="5">
        <v>40.46612258030278</v>
      </c>
      <c r="K1071" s="5">
        <v>81</v>
      </c>
    </row>
    <row r="1072" spans="1:11" x14ac:dyDescent="0.25">
      <c r="A1072" s="2">
        <v>46142.041666666657</v>
      </c>
      <c r="B1072" t="str">
        <f t="shared" si="32"/>
        <v>2026-04</v>
      </c>
      <c r="C1072" s="3">
        <f t="shared" si="33"/>
        <v>1</v>
      </c>
      <c r="D1072" s="4">
        <v>20.943704335025</v>
      </c>
      <c r="E1072" s="4">
        <v>23.059420493466661</v>
      </c>
      <c r="F1072" s="4">
        <v>22.542101053088889</v>
      </c>
      <c r="G1072" s="4">
        <v>1.9</v>
      </c>
      <c r="H1072" s="5">
        <v>57.331778323247228</v>
      </c>
      <c r="I1072" s="5">
        <v>52.414172269075003</v>
      </c>
      <c r="J1072" s="5">
        <v>40.405166121811106</v>
      </c>
      <c r="K1072" s="5">
        <v>83</v>
      </c>
    </row>
    <row r="1073" spans="1:11" x14ac:dyDescent="0.25">
      <c r="A1073" s="2">
        <v>46142.083333333343</v>
      </c>
      <c r="B1073" t="str">
        <f t="shared" si="32"/>
        <v>2026-04</v>
      </c>
      <c r="C1073" s="3">
        <f t="shared" si="33"/>
        <v>2</v>
      </c>
      <c r="D1073" s="4">
        <v>20.524033165836109</v>
      </c>
      <c r="E1073" s="4">
        <v>22.679529346597221</v>
      </c>
      <c r="F1073" s="4">
        <v>22.52217987745</v>
      </c>
      <c r="G1073" s="4">
        <v>1.2</v>
      </c>
      <c r="H1073" s="5">
        <v>59.650339584261111</v>
      </c>
      <c r="I1073" s="5">
        <v>53.688719088686113</v>
      </c>
      <c r="J1073" s="5">
        <v>40.324315114733331</v>
      </c>
      <c r="K1073" s="5">
        <v>85</v>
      </c>
    </row>
    <row r="1074" spans="1:11" x14ac:dyDescent="0.25">
      <c r="A1074" s="2">
        <v>46142.125</v>
      </c>
      <c r="B1074" t="str">
        <f t="shared" si="32"/>
        <v>2026-04</v>
      </c>
      <c r="C1074" s="3">
        <f t="shared" si="33"/>
        <v>3</v>
      </c>
      <c r="D1074" s="4">
        <v>20.2253722827</v>
      </c>
      <c r="E1074" s="4">
        <v>22.363219027425</v>
      </c>
      <c r="F1074" s="4">
        <v>22.494923098122211</v>
      </c>
      <c r="G1074" s="4">
        <v>0.9</v>
      </c>
      <c r="H1074" s="5">
        <v>59.655229781374999</v>
      </c>
      <c r="I1074" s="5">
        <v>53.133535326924999</v>
      </c>
      <c r="J1074" s="5">
        <v>40.249491500591667</v>
      </c>
      <c r="K1074" s="5">
        <v>85</v>
      </c>
    </row>
    <row r="1075" spans="1:11" x14ac:dyDescent="0.25">
      <c r="A1075" s="2">
        <v>46142.166666666657</v>
      </c>
      <c r="B1075" t="str">
        <f t="shared" si="32"/>
        <v>2026-04</v>
      </c>
      <c r="C1075" s="3">
        <f t="shared" si="33"/>
        <v>4</v>
      </c>
      <c r="D1075" s="4">
        <v>20.002990825874999</v>
      </c>
      <c r="E1075" s="4">
        <v>22.043744571725</v>
      </c>
      <c r="F1075" s="4">
        <v>22.471145832772219</v>
      </c>
      <c r="G1075" s="4">
        <v>0.6</v>
      </c>
      <c r="H1075" s="5">
        <v>59.482467644269441</v>
      </c>
      <c r="I1075" s="5">
        <v>52.495189763833338</v>
      </c>
      <c r="J1075" s="5">
        <v>40.182985747252779</v>
      </c>
      <c r="K1075" s="5">
        <v>87</v>
      </c>
    </row>
    <row r="1076" spans="1:11" x14ac:dyDescent="0.25">
      <c r="A1076" s="2">
        <v>46142.208333333343</v>
      </c>
      <c r="B1076" t="str">
        <f t="shared" si="32"/>
        <v>2026-04</v>
      </c>
      <c r="C1076" s="3">
        <f t="shared" si="33"/>
        <v>5</v>
      </c>
      <c r="D1076" s="4">
        <v>19.992645159847221</v>
      </c>
      <c r="E1076" s="4">
        <v>21.908030328069451</v>
      </c>
      <c r="F1076" s="4">
        <v>22.441190187230561</v>
      </c>
      <c r="G1076" s="4">
        <v>0.2</v>
      </c>
      <c r="H1076" s="5">
        <v>59.096217444322207</v>
      </c>
      <c r="I1076" s="5">
        <v>52.115111016649998</v>
      </c>
      <c r="J1076" s="5">
        <v>40.15606607313611</v>
      </c>
      <c r="K1076" s="5">
        <v>88</v>
      </c>
    </row>
    <row r="1077" spans="1:11" x14ac:dyDescent="0.25">
      <c r="A1077" s="2">
        <v>46142.25</v>
      </c>
      <c r="B1077" t="str">
        <f t="shared" si="32"/>
        <v>2026-04</v>
      </c>
      <c r="C1077" s="3">
        <f t="shared" si="33"/>
        <v>6</v>
      </c>
      <c r="D1077" s="4">
        <v>20.684278969841671</v>
      </c>
      <c r="E1077" s="4">
        <v>22.13817678805556</v>
      </c>
      <c r="F1077" s="4">
        <v>22.427601043338889</v>
      </c>
      <c r="G1077" s="4">
        <v>0.3</v>
      </c>
      <c r="H1077" s="5">
        <v>57.396535172316668</v>
      </c>
      <c r="I1077" s="5">
        <v>51.583770854166673</v>
      </c>
      <c r="J1077" s="5">
        <v>40.115713236552779</v>
      </c>
      <c r="K1077" s="5">
        <v>88</v>
      </c>
    </row>
    <row r="1078" spans="1:11" x14ac:dyDescent="0.25">
      <c r="A1078" s="2">
        <v>46142.291666666657</v>
      </c>
      <c r="B1078" t="str">
        <f t="shared" si="32"/>
        <v>2026-04</v>
      </c>
      <c r="C1078" s="3">
        <f t="shared" si="33"/>
        <v>7</v>
      </c>
      <c r="D1078" s="4">
        <v>21.281644013069439</v>
      </c>
      <c r="E1078" s="4">
        <v>22.473801158099999</v>
      </c>
      <c r="F1078" s="4">
        <v>22.43014984099166</v>
      </c>
      <c r="G1078" s="4">
        <v>1.6</v>
      </c>
      <c r="H1078" s="5">
        <v>56.28074962077222</v>
      </c>
      <c r="I1078" s="5">
        <v>52.923735707933332</v>
      </c>
      <c r="J1078" s="5">
        <v>40.083322316088889</v>
      </c>
      <c r="K1078" s="5">
        <v>88</v>
      </c>
    </row>
    <row r="1079" spans="1:11" x14ac:dyDescent="0.25">
      <c r="A1079" s="2">
        <v>46142.333333333343</v>
      </c>
      <c r="B1079" t="str">
        <f t="shared" si="32"/>
        <v>2026-04</v>
      </c>
      <c r="C1079" s="3">
        <f t="shared" si="33"/>
        <v>8</v>
      </c>
      <c r="D1079" s="4">
        <v>21.836160808391671</v>
      </c>
      <c r="E1079" s="4">
        <v>22.97251792610556</v>
      </c>
      <c r="F1079" s="4">
        <v>22.439215890886111</v>
      </c>
      <c r="G1079" s="4">
        <v>3.9</v>
      </c>
      <c r="H1079" s="5">
        <v>51.826980042411122</v>
      </c>
      <c r="I1079" s="5">
        <v>53.257953471800001</v>
      </c>
      <c r="J1079" s="5">
        <v>40.071242927813891</v>
      </c>
      <c r="K1079" s="5">
        <v>80</v>
      </c>
    </row>
    <row r="1080" spans="1:11" x14ac:dyDescent="0.25">
      <c r="A1080" s="2">
        <v>46142.375</v>
      </c>
      <c r="B1080" t="str">
        <f t="shared" si="32"/>
        <v>2026-04</v>
      </c>
      <c r="C1080" s="3">
        <f t="shared" si="33"/>
        <v>9</v>
      </c>
      <c r="D1080" s="4">
        <v>22.197423399388889</v>
      </c>
      <c r="E1080" s="4">
        <v>23.433322040330559</v>
      </c>
      <c r="F1080" s="4">
        <v>22.45957092942222</v>
      </c>
      <c r="G1080" s="4">
        <v>6.3</v>
      </c>
      <c r="H1080" s="5">
        <v>51.960509753219441</v>
      </c>
      <c r="I1080" s="5">
        <v>52.950404645713888</v>
      </c>
      <c r="J1080" s="5">
        <v>40.387477076480558</v>
      </c>
      <c r="K1080" s="5">
        <v>67</v>
      </c>
    </row>
    <row r="1081" spans="1:11" x14ac:dyDescent="0.25">
      <c r="A1081" s="2">
        <v>46142.416666666657</v>
      </c>
      <c r="B1081" t="str">
        <f t="shared" si="32"/>
        <v>2026-04</v>
      </c>
      <c r="C1081" s="3">
        <f t="shared" si="33"/>
        <v>10</v>
      </c>
      <c r="D1081" s="4">
        <v>22.01804985705833</v>
      </c>
      <c r="E1081" s="4">
        <v>23.42335511953334</v>
      </c>
      <c r="F1081" s="4">
        <v>22.49873300210556</v>
      </c>
      <c r="G1081" s="4">
        <v>7.5</v>
      </c>
      <c r="H1081" s="5">
        <v>54.222317328963889</v>
      </c>
      <c r="I1081" s="5">
        <v>52.499109724919442</v>
      </c>
      <c r="J1081" s="5">
        <v>40.79876010568055</v>
      </c>
      <c r="K1081" s="5">
        <v>57</v>
      </c>
    </row>
    <row r="1082" spans="1:11" x14ac:dyDescent="0.25">
      <c r="A1082" s="2">
        <v>46142.458333333343</v>
      </c>
      <c r="B1082" t="str">
        <f t="shared" si="32"/>
        <v>2026-04</v>
      </c>
      <c r="C1082" s="3">
        <f t="shared" si="33"/>
        <v>11</v>
      </c>
      <c r="D1082" s="4">
        <v>21.904058674491669</v>
      </c>
      <c r="E1082" s="4">
        <v>23.4130740847</v>
      </c>
      <c r="F1082" s="4">
        <v>22.511177709183329</v>
      </c>
      <c r="G1082" s="4">
        <v>8.4</v>
      </c>
      <c r="H1082" s="5">
        <v>55.534784661097227</v>
      </c>
      <c r="I1082" s="5">
        <v>52.150781801508337</v>
      </c>
      <c r="J1082" s="5">
        <v>41.100214754413891</v>
      </c>
      <c r="K1082" s="5">
        <v>52</v>
      </c>
    </row>
    <row r="1083" spans="1:11" x14ac:dyDescent="0.25">
      <c r="A1083" s="2">
        <v>46142.5</v>
      </c>
      <c r="B1083" t="str">
        <f t="shared" si="32"/>
        <v>2026-04</v>
      </c>
      <c r="C1083" s="3">
        <f t="shared" si="33"/>
        <v>12</v>
      </c>
      <c r="D1083" s="4">
        <v>22.133183065497221</v>
      </c>
      <c r="E1083" s="4">
        <v>23.731192892072219</v>
      </c>
      <c r="F1083" s="4">
        <v>22.536071506436109</v>
      </c>
      <c r="G1083" s="4">
        <v>8.8000000000000007</v>
      </c>
      <c r="H1083" s="5">
        <v>56.488727117369443</v>
      </c>
      <c r="I1083" s="5">
        <v>51.891857394002777</v>
      </c>
      <c r="J1083" s="5">
        <v>41.851738695380561</v>
      </c>
      <c r="K1083" s="5">
        <v>49</v>
      </c>
    </row>
    <row r="1084" spans="1:11" x14ac:dyDescent="0.25">
      <c r="A1084" s="2">
        <v>46142.541666666657</v>
      </c>
      <c r="B1084" t="str">
        <f t="shared" si="32"/>
        <v>2026-04</v>
      </c>
      <c r="C1084" s="3">
        <f t="shared" si="33"/>
        <v>13</v>
      </c>
      <c r="D1084" s="4">
        <v>21.94598244946112</v>
      </c>
      <c r="E1084" s="4">
        <v>23.719286801541671</v>
      </c>
      <c r="F1084" s="4">
        <v>22.564293593758329</v>
      </c>
      <c r="G1084" s="4">
        <v>9</v>
      </c>
      <c r="H1084" s="5">
        <v>57.353415135730557</v>
      </c>
      <c r="I1084" s="5">
        <v>51.255973045397219</v>
      </c>
      <c r="J1084" s="5">
        <v>42.488102672163883</v>
      </c>
      <c r="K1084" s="5">
        <v>47</v>
      </c>
    </row>
    <row r="1085" spans="1:11" x14ac:dyDescent="0.25">
      <c r="A1085" s="2">
        <v>46142.583333333343</v>
      </c>
      <c r="B1085" t="str">
        <f t="shared" si="32"/>
        <v>2026-04</v>
      </c>
      <c r="C1085" s="3">
        <f t="shared" si="33"/>
        <v>14</v>
      </c>
      <c r="D1085" s="4">
        <v>21.838962669008328</v>
      </c>
      <c r="E1085" s="4">
        <v>23.607610063494452</v>
      </c>
      <c r="F1085" s="4">
        <v>22.72053733017222</v>
      </c>
      <c r="G1085" s="4">
        <v>8.9</v>
      </c>
      <c r="H1085" s="5">
        <v>55.852653248344453</v>
      </c>
      <c r="I1085" s="5">
        <v>50.552681576169448</v>
      </c>
      <c r="J1085" s="5">
        <v>46.876133251797221</v>
      </c>
      <c r="K1085" s="5">
        <v>47</v>
      </c>
    </row>
    <row r="1086" spans="1:11" x14ac:dyDescent="0.25">
      <c r="A1086" s="2">
        <v>46142.625</v>
      </c>
      <c r="B1086" t="str">
        <f t="shared" si="32"/>
        <v>2026-04</v>
      </c>
      <c r="C1086" s="3">
        <f t="shared" si="33"/>
        <v>15</v>
      </c>
      <c r="D1086" s="4">
        <v>21.606767563255559</v>
      </c>
      <c r="E1086" s="4">
        <v>23.500724013377781</v>
      </c>
      <c r="F1086" s="4">
        <v>22.707033654008331</v>
      </c>
      <c r="G1086" s="4">
        <v>8</v>
      </c>
      <c r="H1086" s="5">
        <v>54.774624028772223</v>
      </c>
      <c r="I1086" s="5">
        <v>51.128044660347221</v>
      </c>
      <c r="J1086" s="5">
        <v>45.30047662162778</v>
      </c>
      <c r="K1086" s="5">
        <v>50</v>
      </c>
    </row>
    <row r="1087" spans="1:11" x14ac:dyDescent="0.25">
      <c r="A1087" s="2">
        <v>46142.666666666657</v>
      </c>
      <c r="B1087" t="str">
        <f t="shared" si="32"/>
        <v>2026-04</v>
      </c>
      <c r="C1087" s="3">
        <f t="shared" si="33"/>
        <v>16</v>
      </c>
      <c r="D1087" s="4">
        <v>21.548466710349999</v>
      </c>
      <c r="E1087" s="4">
        <v>23.283406852477778</v>
      </c>
      <c r="F1087" s="4">
        <v>22.734498947705561</v>
      </c>
      <c r="G1087" s="4">
        <v>8.3000000000000007</v>
      </c>
      <c r="H1087" s="5">
        <v>54.072012862911123</v>
      </c>
      <c r="I1087" s="5">
        <v>49.786294745230563</v>
      </c>
      <c r="J1087" s="5">
        <v>45.28082047097778</v>
      </c>
      <c r="K1087" s="5">
        <v>50</v>
      </c>
    </row>
    <row r="1088" spans="1:11" x14ac:dyDescent="0.25">
      <c r="A1088" s="2">
        <v>46142.708333333343</v>
      </c>
      <c r="B1088" t="str">
        <f t="shared" si="32"/>
        <v>2026-04</v>
      </c>
      <c r="C1088" s="3">
        <f t="shared" si="33"/>
        <v>17</v>
      </c>
      <c r="D1088" s="4">
        <v>21.516978214080559</v>
      </c>
      <c r="E1088" s="4">
        <v>23.165729637022221</v>
      </c>
      <c r="F1088" s="4">
        <v>22.715744485302778</v>
      </c>
      <c r="G1088" s="4">
        <v>8</v>
      </c>
      <c r="H1088" s="5">
        <v>53.884895238502772</v>
      </c>
      <c r="I1088" s="5">
        <v>49.017882290347217</v>
      </c>
      <c r="J1088" s="5">
        <v>44.559369836258327</v>
      </c>
      <c r="K1088" s="5">
        <v>50</v>
      </c>
    </row>
    <row r="1089" spans="1:11" x14ac:dyDescent="0.25">
      <c r="A1089" s="2">
        <v>46142.75</v>
      </c>
      <c r="B1089" t="str">
        <f t="shared" si="32"/>
        <v>2026-04</v>
      </c>
      <c r="C1089" s="3">
        <f t="shared" si="33"/>
        <v>18</v>
      </c>
      <c r="D1089" s="4">
        <v>21.602470775838881</v>
      </c>
      <c r="E1089" s="4">
        <v>23.304023070663892</v>
      </c>
      <c r="F1089" s="4">
        <v>22.679022416744441</v>
      </c>
      <c r="G1089" s="4">
        <v>7.5</v>
      </c>
      <c r="H1089" s="5">
        <v>53.649700127513889</v>
      </c>
      <c r="I1089" s="5">
        <v>49.860468875841661</v>
      </c>
      <c r="J1089" s="5">
        <v>43.777037522158338</v>
      </c>
      <c r="K1089" s="5">
        <v>52</v>
      </c>
    </row>
    <row r="1090" spans="1:11" x14ac:dyDescent="0.25">
      <c r="A1090" s="2">
        <v>46142.791666666657</v>
      </c>
      <c r="B1090" t="str">
        <f t="shared" ref="B1090:B1153" si="34">TEXT(A1090,"yyyy-mm")</f>
        <v>2026-04</v>
      </c>
      <c r="C1090" s="3">
        <f t="shared" ref="C1090:C1153" si="35">HOUR(A1090)</f>
        <v>19</v>
      </c>
      <c r="D1090" s="4">
        <v>21.54810504025</v>
      </c>
      <c r="E1090" s="4">
        <v>23.39237566620556</v>
      </c>
      <c r="F1090" s="4">
        <v>22.70553963704722</v>
      </c>
      <c r="G1090" s="4">
        <v>6.6</v>
      </c>
      <c r="H1090" s="5">
        <v>54.133093683186111</v>
      </c>
      <c r="I1090" s="5">
        <v>49.929672909319443</v>
      </c>
      <c r="J1090" s="5">
        <v>45.587167701094451</v>
      </c>
      <c r="K1090" s="5">
        <v>61</v>
      </c>
    </row>
    <row r="1091" spans="1:11" x14ac:dyDescent="0.25">
      <c r="A1091" s="2">
        <v>46142.833333333343</v>
      </c>
      <c r="B1091" t="str">
        <f t="shared" si="34"/>
        <v>2026-04</v>
      </c>
      <c r="C1091" s="3">
        <f t="shared" si="35"/>
        <v>20</v>
      </c>
      <c r="D1091" s="4">
        <v>21.462049736197219</v>
      </c>
      <c r="E1091" s="4">
        <v>23.454096813505551</v>
      </c>
      <c r="F1091" s="4">
        <v>22.786105260977781</v>
      </c>
      <c r="G1091" s="4">
        <v>5.0999999999999996</v>
      </c>
      <c r="H1091" s="5">
        <v>53.309531120922223</v>
      </c>
      <c r="I1091" s="5">
        <v>47.913178661483329</v>
      </c>
      <c r="J1091" s="5">
        <v>50.357504079847217</v>
      </c>
      <c r="K1091" s="5">
        <v>71</v>
      </c>
    </row>
    <row r="1092" spans="1:11" x14ac:dyDescent="0.25">
      <c r="A1092" s="2">
        <v>46142.875</v>
      </c>
      <c r="B1092" t="str">
        <f t="shared" si="34"/>
        <v>2026-04</v>
      </c>
      <c r="C1092" s="3">
        <f t="shared" si="35"/>
        <v>21</v>
      </c>
      <c r="D1092" s="4">
        <v>21.395756315077779</v>
      </c>
      <c r="E1092" s="4">
        <v>23.374539049725001</v>
      </c>
      <c r="F1092" s="4">
        <v>22.792700497416661</v>
      </c>
      <c r="G1092" s="4">
        <v>4.8</v>
      </c>
      <c r="H1092" s="5">
        <v>54.083494852347222</v>
      </c>
      <c r="I1092" s="5">
        <v>49.855492185552777</v>
      </c>
      <c r="J1092" s="5">
        <v>47.765591075261113</v>
      </c>
      <c r="K1092" s="5">
        <v>76</v>
      </c>
    </row>
    <row r="1093" spans="1:11" x14ac:dyDescent="0.25">
      <c r="A1093" s="2">
        <v>46142.916666666657</v>
      </c>
      <c r="B1093" t="str">
        <f t="shared" si="34"/>
        <v>2026-04</v>
      </c>
      <c r="C1093" s="3">
        <f t="shared" si="35"/>
        <v>22</v>
      </c>
      <c r="D1093" s="4">
        <v>21.473341867766671</v>
      </c>
      <c r="E1093" s="4">
        <v>23.310563798855551</v>
      </c>
      <c r="F1093" s="4">
        <v>22.747890677480559</v>
      </c>
      <c r="G1093" s="4">
        <v>4.4000000000000004</v>
      </c>
      <c r="H1093" s="5">
        <v>53.478136927219452</v>
      </c>
      <c r="I1093" s="5">
        <v>48.88991409430556</v>
      </c>
      <c r="J1093" s="5">
        <v>45.160847972241669</v>
      </c>
      <c r="K1093" s="5">
        <v>77</v>
      </c>
    </row>
    <row r="1094" spans="1:11" x14ac:dyDescent="0.25">
      <c r="A1094" s="2">
        <v>46142.958333333343</v>
      </c>
      <c r="B1094" t="str">
        <f t="shared" si="34"/>
        <v>2026-04</v>
      </c>
      <c r="C1094" s="3">
        <f t="shared" si="35"/>
        <v>23</v>
      </c>
      <c r="D1094" s="4">
        <v>21.51569171048056</v>
      </c>
      <c r="E1094" s="4">
        <v>23.29243208113056</v>
      </c>
      <c r="F1094" s="4">
        <v>22.694927188099999</v>
      </c>
      <c r="G1094" s="4">
        <v>3.6</v>
      </c>
      <c r="H1094" s="5">
        <v>52.660033040952783</v>
      </c>
      <c r="I1094" s="5">
        <v>47.590593445969439</v>
      </c>
      <c r="J1094" s="5">
        <v>43.961609542427773</v>
      </c>
      <c r="K1094" s="5">
        <v>81</v>
      </c>
    </row>
    <row r="1095" spans="1:11" x14ac:dyDescent="0.25">
      <c r="A1095" s="2">
        <v>46143</v>
      </c>
      <c r="B1095" t="str">
        <f t="shared" si="34"/>
        <v>2026-05</v>
      </c>
      <c r="C1095" s="3">
        <f t="shared" si="35"/>
        <v>0</v>
      </c>
      <c r="D1095" s="4">
        <v>21.565525960561111</v>
      </c>
      <c r="E1095" s="4">
        <v>23.37243953500278</v>
      </c>
      <c r="F1095" s="4">
        <v>22.647732885255561</v>
      </c>
      <c r="G1095" s="4">
        <v>3.2</v>
      </c>
      <c r="H1095" s="5">
        <v>51.794965554338887</v>
      </c>
      <c r="I1095" s="5">
        <v>46.626485164922222</v>
      </c>
      <c r="J1095" s="5">
        <v>43.173485512524998</v>
      </c>
      <c r="K1095" s="5">
        <v>83</v>
      </c>
    </row>
    <row r="1096" spans="1:11" x14ac:dyDescent="0.25">
      <c r="A1096" s="2">
        <v>46143.041666666657</v>
      </c>
      <c r="B1096" t="str">
        <f t="shared" si="34"/>
        <v>2026-05</v>
      </c>
      <c r="C1096" s="3">
        <f t="shared" si="35"/>
        <v>1</v>
      </c>
      <c r="D1096" s="4">
        <v>21.513576151058331</v>
      </c>
      <c r="E1096" s="4">
        <v>23.604716986930551</v>
      </c>
      <c r="F1096" s="4">
        <v>22.624006931894439</v>
      </c>
      <c r="G1096" s="4">
        <v>2.7</v>
      </c>
      <c r="H1096" s="5">
        <v>51.546146164974999</v>
      </c>
      <c r="I1096" s="5">
        <v>47.847342406283332</v>
      </c>
      <c r="J1096" s="5">
        <v>43.026430864983332</v>
      </c>
      <c r="K1096" s="5">
        <v>84</v>
      </c>
    </row>
    <row r="1097" spans="1:11" x14ac:dyDescent="0.25">
      <c r="A1097" s="2">
        <v>46143.083333333343</v>
      </c>
      <c r="B1097" t="str">
        <f t="shared" si="34"/>
        <v>2026-05</v>
      </c>
      <c r="C1097" s="3">
        <f t="shared" si="35"/>
        <v>2</v>
      </c>
      <c r="D1097" s="4">
        <v>21.108242327530562</v>
      </c>
      <c r="E1097" s="4">
        <v>23.10093690682778</v>
      </c>
      <c r="F1097" s="4">
        <v>22.593665487933329</v>
      </c>
      <c r="G1097" s="4">
        <v>2</v>
      </c>
      <c r="H1097" s="5">
        <v>53.917654119550001</v>
      </c>
      <c r="I1097" s="5">
        <v>49.167417283527783</v>
      </c>
      <c r="J1097" s="5">
        <v>42.579465533975011</v>
      </c>
      <c r="K1097" s="5">
        <v>87</v>
      </c>
    </row>
    <row r="1098" spans="1:11" x14ac:dyDescent="0.25">
      <c r="A1098" s="2">
        <v>46143.125</v>
      </c>
      <c r="B1098" t="str">
        <f t="shared" si="34"/>
        <v>2026-05</v>
      </c>
      <c r="C1098" s="3">
        <f t="shared" si="35"/>
        <v>3</v>
      </c>
      <c r="D1098" s="4">
        <v>20.726143366969449</v>
      </c>
      <c r="E1098" s="4">
        <v>22.648950616625001</v>
      </c>
      <c r="F1098" s="4">
        <v>22.54441031694445</v>
      </c>
      <c r="G1098" s="4">
        <v>1.9</v>
      </c>
      <c r="H1098" s="5">
        <v>56.228078954222219</v>
      </c>
      <c r="I1098" s="5">
        <v>49.896762263686107</v>
      </c>
      <c r="J1098" s="5">
        <v>42.099387674708332</v>
      </c>
      <c r="K1098" s="5">
        <v>88</v>
      </c>
    </row>
    <row r="1099" spans="1:11" x14ac:dyDescent="0.25">
      <c r="A1099" s="2">
        <v>46143.166666666657</v>
      </c>
      <c r="B1099" t="str">
        <f t="shared" si="34"/>
        <v>2026-05</v>
      </c>
      <c r="C1099" s="3">
        <f t="shared" si="35"/>
        <v>4</v>
      </c>
      <c r="D1099" s="4">
        <v>20.457039766244449</v>
      </c>
      <c r="E1099" s="4">
        <v>22.434836330155552</v>
      </c>
      <c r="F1099" s="4">
        <v>22.505702712913891</v>
      </c>
      <c r="G1099" s="4">
        <v>1.7</v>
      </c>
      <c r="H1099" s="5">
        <v>55.861900223124998</v>
      </c>
      <c r="I1099" s="5">
        <v>48.758606080311118</v>
      </c>
      <c r="J1099" s="5">
        <v>41.771731497938887</v>
      </c>
      <c r="K1099" s="5">
        <v>90</v>
      </c>
    </row>
    <row r="1100" spans="1:11" x14ac:dyDescent="0.25">
      <c r="A1100" s="2">
        <v>46143.208333333343</v>
      </c>
      <c r="B1100" t="str">
        <f t="shared" si="34"/>
        <v>2026-05</v>
      </c>
      <c r="C1100" s="3">
        <f t="shared" si="35"/>
        <v>5</v>
      </c>
      <c r="D1100" s="4">
        <v>20.27576932884444</v>
      </c>
      <c r="E1100" s="4">
        <v>22.165189342516669</v>
      </c>
      <c r="F1100" s="4">
        <v>22.47574324510833</v>
      </c>
      <c r="G1100" s="4">
        <v>1.3</v>
      </c>
      <c r="H1100" s="5">
        <v>55.291241399791673</v>
      </c>
      <c r="I1100" s="5">
        <v>48.410795927433327</v>
      </c>
      <c r="J1100" s="5">
        <v>41.524158259072223</v>
      </c>
      <c r="K1100" s="5">
        <v>91</v>
      </c>
    </row>
    <row r="1101" spans="1:11" x14ac:dyDescent="0.25">
      <c r="A1101" s="2">
        <v>46143.25</v>
      </c>
      <c r="B1101" t="str">
        <f t="shared" si="34"/>
        <v>2026-05</v>
      </c>
      <c r="C1101" s="3">
        <f t="shared" si="35"/>
        <v>6</v>
      </c>
      <c r="D1101" s="4">
        <v>20.24499559745</v>
      </c>
      <c r="E1101" s="4">
        <v>22.10941058246112</v>
      </c>
      <c r="F1101" s="4">
        <v>22.450187626283331</v>
      </c>
      <c r="G1101" s="4">
        <v>1.2</v>
      </c>
      <c r="H1101" s="5">
        <v>54.370273256183332</v>
      </c>
      <c r="I1101" s="5">
        <v>47.548614233091662</v>
      </c>
      <c r="J1101" s="5">
        <v>41.315295875416673</v>
      </c>
      <c r="K1101" s="5">
        <v>92</v>
      </c>
    </row>
    <row r="1102" spans="1:11" x14ac:dyDescent="0.25">
      <c r="A1102" s="2">
        <v>46143.291666666657</v>
      </c>
      <c r="B1102" t="str">
        <f t="shared" si="34"/>
        <v>2026-05</v>
      </c>
      <c r="C1102" s="3">
        <f t="shared" si="35"/>
        <v>7</v>
      </c>
      <c r="D1102" s="4">
        <v>20.23441689328612</v>
      </c>
      <c r="E1102" s="4">
        <v>21.94493403770278</v>
      </c>
      <c r="F1102" s="4">
        <v>22.42787774538056</v>
      </c>
      <c r="G1102" s="4">
        <v>2.4</v>
      </c>
      <c r="H1102" s="5">
        <v>53.688907054813889</v>
      </c>
      <c r="I1102" s="5">
        <v>47.220199133441668</v>
      </c>
      <c r="J1102" s="5">
        <v>41.163224602411113</v>
      </c>
      <c r="K1102" s="5">
        <v>90</v>
      </c>
    </row>
    <row r="1103" spans="1:11" x14ac:dyDescent="0.25">
      <c r="A1103" s="2">
        <v>46143.333333333343</v>
      </c>
      <c r="B1103" t="str">
        <f t="shared" si="34"/>
        <v>2026-05</v>
      </c>
      <c r="C1103" s="3">
        <f t="shared" si="35"/>
        <v>8</v>
      </c>
      <c r="D1103" s="4">
        <v>20.24499792930278</v>
      </c>
      <c r="E1103" s="4">
        <v>21.867225022391661</v>
      </c>
      <c r="F1103" s="4">
        <v>22.407727035752782</v>
      </c>
      <c r="G1103" s="4">
        <v>4.5</v>
      </c>
      <c r="H1103" s="5">
        <v>52.916719079680547</v>
      </c>
      <c r="I1103" s="5">
        <v>46.814644264400002</v>
      </c>
      <c r="J1103" s="5">
        <v>41.030787225936109</v>
      </c>
      <c r="K1103" s="5">
        <v>82</v>
      </c>
    </row>
    <row r="1104" spans="1:11" x14ac:dyDescent="0.25">
      <c r="A1104" s="2">
        <v>46143.375</v>
      </c>
      <c r="B1104" t="str">
        <f t="shared" si="34"/>
        <v>2026-05</v>
      </c>
      <c r="C1104" s="3">
        <f t="shared" si="35"/>
        <v>9</v>
      </c>
      <c r="D1104" s="4">
        <v>20.514838629483329</v>
      </c>
      <c r="E1104" s="4">
        <v>21.834593297061112</v>
      </c>
      <c r="F1104" s="4">
        <v>22.393266086377778</v>
      </c>
      <c r="G1104" s="4">
        <v>6.2</v>
      </c>
      <c r="H1104" s="5">
        <v>51.235845961052767</v>
      </c>
      <c r="I1104" s="5">
        <v>46.244203403358327</v>
      </c>
      <c r="J1104" s="5">
        <v>40.912331887433332</v>
      </c>
      <c r="K1104" s="5">
        <v>69</v>
      </c>
    </row>
    <row r="1105" spans="1:11" x14ac:dyDescent="0.25">
      <c r="A1105" s="2">
        <v>46143.416666666657</v>
      </c>
      <c r="B1105" t="str">
        <f t="shared" si="34"/>
        <v>2026-05</v>
      </c>
      <c r="C1105" s="3">
        <f t="shared" si="35"/>
        <v>10</v>
      </c>
      <c r="D1105" s="4">
        <v>20.759442955461111</v>
      </c>
      <c r="E1105" s="4">
        <v>21.883828434911109</v>
      </c>
      <c r="F1105" s="4">
        <v>22.381304995183331</v>
      </c>
      <c r="G1105" s="4">
        <v>7.5</v>
      </c>
      <c r="H1105" s="5">
        <v>49.782252702938877</v>
      </c>
      <c r="I1105" s="5">
        <v>46.135987574375001</v>
      </c>
      <c r="J1105" s="5">
        <v>40.811417130066673</v>
      </c>
      <c r="K1105" s="5">
        <v>63</v>
      </c>
    </row>
    <row r="1106" spans="1:11" x14ac:dyDescent="0.25">
      <c r="A1106" s="2">
        <v>46143.458333333343</v>
      </c>
      <c r="B1106" t="str">
        <f t="shared" si="34"/>
        <v>2026-05</v>
      </c>
      <c r="C1106" s="3">
        <f t="shared" si="35"/>
        <v>11</v>
      </c>
      <c r="D1106" s="4">
        <v>20.717411375894439</v>
      </c>
      <c r="E1106" s="4">
        <v>21.867009002158341</v>
      </c>
      <c r="F1106" s="4">
        <v>22.37082614116666</v>
      </c>
      <c r="G1106" s="4">
        <v>8.3000000000000007</v>
      </c>
      <c r="H1106" s="5">
        <v>49.988113450261118</v>
      </c>
      <c r="I1106" s="5">
        <v>45.90624712109723</v>
      </c>
      <c r="J1106" s="5">
        <v>40.738932239299999</v>
      </c>
      <c r="K1106" s="5">
        <v>57</v>
      </c>
    </row>
    <row r="1107" spans="1:11" x14ac:dyDescent="0.25">
      <c r="A1107" s="2">
        <v>46143.5</v>
      </c>
      <c r="B1107" t="str">
        <f t="shared" si="34"/>
        <v>2026-05</v>
      </c>
      <c r="C1107" s="3">
        <f t="shared" si="35"/>
        <v>12</v>
      </c>
      <c r="D1107" s="4">
        <v>21.090799722288889</v>
      </c>
      <c r="E1107" s="4">
        <v>22.352043391816661</v>
      </c>
      <c r="F1107" s="4">
        <v>22.358638750422219</v>
      </c>
      <c r="G1107" s="4">
        <v>8.6</v>
      </c>
      <c r="H1107" s="5">
        <v>48.660358582752792</v>
      </c>
      <c r="I1107" s="5">
        <v>46.666061198027784</v>
      </c>
      <c r="J1107" s="5">
        <v>40.657400594522223</v>
      </c>
      <c r="K1107" s="5">
        <v>52</v>
      </c>
    </row>
    <row r="1108" spans="1:11" x14ac:dyDescent="0.25">
      <c r="A1108" s="2">
        <v>46143.541666666657</v>
      </c>
      <c r="B1108" t="str">
        <f t="shared" si="34"/>
        <v>2026-05</v>
      </c>
      <c r="C1108" s="3">
        <f t="shared" si="35"/>
        <v>13</v>
      </c>
      <c r="D1108" s="4">
        <v>21.210262646613891</v>
      </c>
      <c r="E1108" s="4">
        <v>22.73437330188889</v>
      </c>
      <c r="F1108" s="4">
        <v>22.35877768649722</v>
      </c>
      <c r="G1108" s="4">
        <v>8.8000000000000007</v>
      </c>
      <c r="H1108" s="5">
        <v>50.772224110816673</v>
      </c>
      <c r="I1108" s="5">
        <v>48.236113341194446</v>
      </c>
      <c r="J1108" s="5">
        <v>40.520981080405562</v>
      </c>
      <c r="K1108" s="5">
        <v>49</v>
      </c>
    </row>
    <row r="1109" spans="1:11" x14ac:dyDescent="0.25">
      <c r="A1109" s="2">
        <v>46143.583333333343</v>
      </c>
      <c r="B1109" t="str">
        <f t="shared" si="34"/>
        <v>2026-05</v>
      </c>
      <c r="C1109" s="3">
        <f t="shared" si="35"/>
        <v>14</v>
      </c>
      <c r="D1109" s="4">
        <v>21.275305555866669</v>
      </c>
      <c r="E1109" s="4">
        <v>22.960443023952781</v>
      </c>
      <c r="F1109" s="4">
        <v>22.361428485538891</v>
      </c>
      <c r="G1109" s="4">
        <v>9.1</v>
      </c>
      <c r="H1109" s="5">
        <v>49.138630859127773</v>
      </c>
      <c r="I1109" s="5">
        <v>45.071865175947231</v>
      </c>
      <c r="J1109" s="5">
        <v>40.384554261541673</v>
      </c>
      <c r="K1109" s="5">
        <v>47</v>
      </c>
    </row>
    <row r="1110" spans="1:11" x14ac:dyDescent="0.25">
      <c r="A1110" s="2">
        <v>46143.625</v>
      </c>
      <c r="B1110" t="str">
        <f t="shared" si="34"/>
        <v>2026-05</v>
      </c>
      <c r="C1110" s="3">
        <f t="shared" si="35"/>
        <v>15</v>
      </c>
      <c r="D1110" s="4">
        <v>21.203229569877781</v>
      </c>
      <c r="E1110" s="4">
        <v>22.979130942552771</v>
      </c>
      <c r="F1110" s="4">
        <v>22.35970960732778</v>
      </c>
      <c r="G1110" s="4">
        <v>7.4</v>
      </c>
      <c r="H1110" s="5">
        <v>49.965643058588888</v>
      </c>
      <c r="I1110" s="5">
        <v>45.387407173977778</v>
      </c>
      <c r="J1110" s="5">
        <v>40.405904754488887</v>
      </c>
      <c r="K1110" s="5">
        <v>59</v>
      </c>
    </row>
    <row r="1111" spans="1:11" x14ac:dyDescent="0.25">
      <c r="A1111" s="2">
        <v>46143.666666666657</v>
      </c>
      <c r="B1111" t="str">
        <f t="shared" si="34"/>
        <v>2026-05</v>
      </c>
      <c r="C1111" s="3">
        <f t="shared" si="35"/>
        <v>16</v>
      </c>
      <c r="D1111" s="4">
        <v>21.219389051330559</v>
      </c>
      <c r="E1111" s="4">
        <v>23.02241061168889</v>
      </c>
      <c r="F1111" s="4">
        <v>22.36510798529444</v>
      </c>
      <c r="G1111" s="4">
        <v>8.6999999999999993</v>
      </c>
      <c r="H1111" s="5">
        <v>49.950418095377778</v>
      </c>
      <c r="I1111" s="5">
        <v>45.494216354930558</v>
      </c>
      <c r="J1111" s="5">
        <v>40.383305248402777</v>
      </c>
      <c r="K1111" s="5">
        <v>53</v>
      </c>
    </row>
    <row r="1112" spans="1:11" x14ac:dyDescent="0.25">
      <c r="A1112" s="2">
        <v>46143.708333333343</v>
      </c>
      <c r="B1112" t="str">
        <f t="shared" si="34"/>
        <v>2026-05</v>
      </c>
      <c r="C1112" s="3">
        <f t="shared" si="35"/>
        <v>17</v>
      </c>
      <c r="D1112" s="4">
        <v>21.17951163064722</v>
      </c>
      <c r="E1112" s="4">
        <v>23.074071159980559</v>
      </c>
      <c r="F1112" s="4">
        <v>22.383448291261111</v>
      </c>
      <c r="G1112" s="4">
        <v>8.6999999999999993</v>
      </c>
      <c r="H1112" s="5">
        <v>51.315832308105563</v>
      </c>
      <c r="I1112" s="5">
        <v>47.823037529600008</v>
      </c>
      <c r="J1112" s="5">
        <v>40.416316260675003</v>
      </c>
      <c r="K1112" s="5">
        <v>55</v>
      </c>
    </row>
    <row r="1113" spans="1:11" x14ac:dyDescent="0.25">
      <c r="A1113" s="2">
        <v>46143.75</v>
      </c>
      <c r="B1113" t="str">
        <f t="shared" si="34"/>
        <v>2026-05</v>
      </c>
      <c r="C1113" s="3">
        <f t="shared" si="35"/>
        <v>18</v>
      </c>
      <c r="D1113" s="4">
        <v>20.963286607977778</v>
      </c>
      <c r="E1113" s="4">
        <v>22.77371441754444</v>
      </c>
      <c r="F1113" s="4">
        <v>22.376555548222221</v>
      </c>
      <c r="G1113" s="4">
        <v>7.1</v>
      </c>
      <c r="H1113" s="5">
        <v>51.29532016673889</v>
      </c>
      <c r="I1113" s="5">
        <v>46.046280268947221</v>
      </c>
      <c r="J1113" s="5">
        <v>40.426852306722218</v>
      </c>
      <c r="K1113" s="5">
        <v>60</v>
      </c>
    </row>
    <row r="1114" spans="1:11" x14ac:dyDescent="0.25">
      <c r="A1114" s="2">
        <v>46143.791666666657</v>
      </c>
      <c r="B1114" t="str">
        <f t="shared" si="34"/>
        <v>2026-05</v>
      </c>
      <c r="C1114" s="3">
        <f t="shared" si="35"/>
        <v>19</v>
      </c>
      <c r="D1114" s="4">
        <v>20.70228023109722</v>
      </c>
      <c r="E1114" s="4">
        <v>22.456227454430561</v>
      </c>
      <c r="F1114" s="4">
        <v>22.362864764936109</v>
      </c>
      <c r="G1114" s="4">
        <v>6.9</v>
      </c>
      <c r="H1114" s="5">
        <v>51.721096075252781</v>
      </c>
      <c r="I1114" s="5">
        <v>46.699697208724992</v>
      </c>
      <c r="J1114" s="5">
        <v>40.219348004650001</v>
      </c>
      <c r="K1114" s="5">
        <v>63</v>
      </c>
    </row>
    <row r="1115" spans="1:11" x14ac:dyDescent="0.25">
      <c r="A1115" s="2">
        <v>46143.833333333343</v>
      </c>
      <c r="B1115" t="str">
        <f t="shared" si="34"/>
        <v>2026-05</v>
      </c>
      <c r="C1115" s="3">
        <f t="shared" si="35"/>
        <v>20</v>
      </c>
      <c r="D1115" s="4">
        <v>20.520646617336109</v>
      </c>
      <c r="E1115" s="4">
        <v>22.481520568983331</v>
      </c>
      <c r="F1115" s="4">
        <v>22.356317604008339</v>
      </c>
      <c r="G1115" s="4">
        <v>5.4</v>
      </c>
      <c r="H1115" s="5">
        <v>52.136705783347217</v>
      </c>
      <c r="I1115" s="5">
        <v>46.520769847166669</v>
      </c>
      <c r="J1115" s="5">
        <v>40.064261449383331</v>
      </c>
      <c r="K1115" s="5">
        <v>71</v>
      </c>
    </row>
    <row r="1116" spans="1:11" x14ac:dyDescent="0.25">
      <c r="A1116" s="2">
        <v>46143.875</v>
      </c>
      <c r="B1116" t="str">
        <f t="shared" si="34"/>
        <v>2026-05</v>
      </c>
      <c r="C1116" s="3">
        <f t="shared" si="35"/>
        <v>21</v>
      </c>
      <c r="D1116" s="4">
        <v>20.479077774622219</v>
      </c>
      <c r="E1116" s="4">
        <v>22.931579541074999</v>
      </c>
      <c r="F1116" s="4">
        <v>22.342019375294441</v>
      </c>
      <c r="G1116" s="4">
        <v>5.0999999999999996</v>
      </c>
      <c r="H1116" s="5">
        <v>57.313239836747222</v>
      </c>
      <c r="I1116" s="5">
        <v>49.858948799213891</v>
      </c>
      <c r="J1116" s="5">
        <v>39.865417617541667</v>
      </c>
      <c r="K1116" s="5">
        <v>70</v>
      </c>
    </row>
    <row r="1117" spans="1:11" x14ac:dyDescent="0.25">
      <c r="A1117" s="2">
        <v>46143.916666666657</v>
      </c>
      <c r="B1117" t="str">
        <f t="shared" si="34"/>
        <v>2026-05</v>
      </c>
      <c r="C1117" s="3">
        <f t="shared" si="35"/>
        <v>22</v>
      </c>
      <c r="D1117" s="4">
        <v>20.823457605766659</v>
      </c>
      <c r="E1117" s="4">
        <v>23.494407861494441</v>
      </c>
      <c r="F1117" s="4">
        <v>22.349427528705561</v>
      </c>
      <c r="G1117" s="4">
        <v>4.9000000000000004</v>
      </c>
      <c r="H1117" s="5">
        <v>57.866453887702768</v>
      </c>
      <c r="I1117" s="5">
        <v>50.566569388452777</v>
      </c>
      <c r="J1117" s="5">
        <v>39.777897323058333</v>
      </c>
      <c r="K1117" s="5">
        <v>71</v>
      </c>
    </row>
    <row r="1118" spans="1:11" x14ac:dyDescent="0.25">
      <c r="A1118" s="2">
        <v>46143.958333333343</v>
      </c>
      <c r="B1118" t="str">
        <f t="shared" si="34"/>
        <v>2026-05</v>
      </c>
      <c r="C1118" s="3">
        <f t="shared" si="35"/>
        <v>23</v>
      </c>
      <c r="D1118" s="4">
        <v>21.180917049044449</v>
      </c>
      <c r="E1118" s="4">
        <v>23.355532602050001</v>
      </c>
      <c r="F1118" s="4">
        <v>22.356345868508331</v>
      </c>
      <c r="G1118" s="4">
        <v>4.0999999999999996</v>
      </c>
      <c r="H1118" s="5">
        <v>54.914262078391673</v>
      </c>
      <c r="I1118" s="5">
        <v>48.824694193361097</v>
      </c>
      <c r="J1118" s="5">
        <v>39.729656092016668</v>
      </c>
      <c r="K1118" s="5">
        <v>75</v>
      </c>
    </row>
    <row r="1119" spans="1:11" x14ac:dyDescent="0.25">
      <c r="A1119" s="2">
        <v>46144</v>
      </c>
      <c r="B1119" t="str">
        <f t="shared" si="34"/>
        <v>2026-05</v>
      </c>
      <c r="C1119" s="3">
        <f t="shared" si="35"/>
        <v>0</v>
      </c>
      <c r="D1119" s="4">
        <v>21.265944246741672</v>
      </c>
      <c r="E1119" s="4">
        <v>23.215658047775001</v>
      </c>
      <c r="F1119" s="4">
        <v>22.355738695427771</v>
      </c>
      <c r="G1119" s="4">
        <v>3.7</v>
      </c>
      <c r="H1119" s="5">
        <v>52.373350309149998</v>
      </c>
      <c r="I1119" s="5">
        <v>47.126604337594443</v>
      </c>
      <c r="J1119" s="5">
        <v>39.655556775280552</v>
      </c>
      <c r="K1119" s="5">
        <v>78</v>
      </c>
    </row>
    <row r="1120" spans="1:11" x14ac:dyDescent="0.25">
      <c r="A1120" s="2">
        <v>46144.041666666657</v>
      </c>
      <c r="B1120" t="str">
        <f t="shared" si="34"/>
        <v>2026-05</v>
      </c>
      <c r="C1120" s="3">
        <f t="shared" si="35"/>
        <v>1</v>
      </c>
      <c r="D1120" s="4">
        <v>21.034843866069441</v>
      </c>
      <c r="E1120" s="4">
        <v>22.98950006842778</v>
      </c>
      <c r="F1120" s="4">
        <v>22.34459903644445</v>
      </c>
      <c r="G1120" s="4">
        <v>3.6</v>
      </c>
      <c r="H1120" s="5">
        <v>51.546242558513889</v>
      </c>
      <c r="I1120" s="5">
        <v>47.090814371719439</v>
      </c>
      <c r="J1120" s="5">
        <v>39.570565013775003</v>
      </c>
      <c r="K1120" s="5">
        <v>76</v>
      </c>
    </row>
    <row r="1121" spans="1:11" x14ac:dyDescent="0.25">
      <c r="A1121" s="2">
        <v>46144.083333333343</v>
      </c>
      <c r="B1121" t="str">
        <f t="shared" si="34"/>
        <v>2026-05</v>
      </c>
      <c r="C1121" s="3">
        <f t="shared" si="35"/>
        <v>2</v>
      </c>
      <c r="D1121" s="4">
        <v>20.83274720490833</v>
      </c>
      <c r="E1121" s="4">
        <v>22.737255209080551</v>
      </c>
      <c r="F1121" s="4">
        <v>22.32861439813334</v>
      </c>
      <c r="G1121" s="4">
        <v>3.4</v>
      </c>
      <c r="H1121" s="5">
        <v>50.110749562963889</v>
      </c>
      <c r="I1121" s="5">
        <v>45.542204716888882</v>
      </c>
      <c r="J1121" s="5">
        <v>39.491601086433327</v>
      </c>
      <c r="K1121" s="5">
        <v>73</v>
      </c>
    </row>
    <row r="1122" spans="1:11" x14ac:dyDescent="0.25">
      <c r="A1122" s="2">
        <v>46144.125</v>
      </c>
      <c r="B1122" t="str">
        <f t="shared" si="34"/>
        <v>2026-05</v>
      </c>
      <c r="C1122" s="3">
        <f t="shared" si="35"/>
        <v>3</v>
      </c>
      <c r="D1122" s="4">
        <v>20.54951380905834</v>
      </c>
      <c r="E1122" s="4">
        <v>22.44936589516945</v>
      </c>
      <c r="F1122" s="4">
        <v>22.364242998497222</v>
      </c>
      <c r="G1122" s="4">
        <v>1.7</v>
      </c>
      <c r="H1122" s="5">
        <v>49.273071611836109</v>
      </c>
      <c r="I1122" s="5">
        <v>44.597115891527778</v>
      </c>
      <c r="J1122" s="5">
        <v>41.619750825808332</v>
      </c>
      <c r="K1122" s="5">
        <v>77</v>
      </c>
    </row>
    <row r="1123" spans="1:11" x14ac:dyDescent="0.25">
      <c r="A1123" s="2">
        <v>46144.166666666657</v>
      </c>
      <c r="B1123" t="str">
        <f t="shared" si="34"/>
        <v>2026-05</v>
      </c>
      <c r="C1123" s="3">
        <f t="shared" si="35"/>
        <v>4</v>
      </c>
      <c r="D1123" s="4">
        <v>20.05779639934444</v>
      </c>
      <c r="E1123" s="4">
        <v>21.931145825891669</v>
      </c>
      <c r="F1123" s="4">
        <v>22.322398629283331</v>
      </c>
      <c r="G1123" s="4">
        <v>1.4</v>
      </c>
      <c r="H1123" s="5">
        <v>49.686901955683332</v>
      </c>
      <c r="I1123" s="5">
        <v>43.647287754466667</v>
      </c>
      <c r="J1123" s="5">
        <v>40.911497244827778</v>
      </c>
      <c r="K1123" s="5">
        <v>74</v>
      </c>
    </row>
    <row r="1124" spans="1:11" x14ac:dyDescent="0.25">
      <c r="A1124" s="2">
        <v>46144.208333333343</v>
      </c>
      <c r="B1124" t="str">
        <f t="shared" si="34"/>
        <v>2026-05</v>
      </c>
      <c r="C1124" s="3">
        <f t="shared" si="35"/>
        <v>5</v>
      </c>
      <c r="D1124" s="4">
        <v>19.951558313080561</v>
      </c>
      <c r="E1124" s="4">
        <v>21.73601402124444</v>
      </c>
      <c r="F1124" s="4">
        <v>22.27536750581389</v>
      </c>
      <c r="G1124" s="4">
        <v>1</v>
      </c>
      <c r="H1124" s="5">
        <v>49.339584955958337</v>
      </c>
      <c r="I1124" s="5">
        <v>42.994719909127781</v>
      </c>
      <c r="J1124" s="5">
        <v>40.147939328769453</v>
      </c>
      <c r="K1124" s="5">
        <v>74</v>
      </c>
    </row>
    <row r="1125" spans="1:11" x14ac:dyDescent="0.25">
      <c r="A1125" s="2">
        <v>46144.25</v>
      </c>
      <c r="B1125" t="str">
        <f t="shared" si="34"/>
        <v>2026-05</v>
      </c>
      <c r="C1125" s="3">
        <f t="shared" si="35"/>
        <v>6</v>
      </c>
      <c r="D1125" s="4">
        <v>20.595039995963891</v>
      </c>
      <c r="E1125" s="4">
        <v>22.008924958005551</v>
      </c>
      <c r="F1125" s="4">
        <v>22.254820472847221</v>
      </c>
      <c r="G1125" s="4">
        <v>1</v>
      </c>
      <c r="H1125" s="5">
        <v>45.990099677930552</v>
      </c>
      <c r="I1125" s="5">
        <v>42.995953532158332</v>
      </c>
      <c r="J1125" s="5">
        <v>39.836715047427781</v>
      </c>
      <c r="K1125" s="5">
        <v>75</v>
      </c>
    </row>
    <row r="1126" spans="1:11" x14ac:dyDescent="0.25">
      <c r="A1126" s="2">
        <v>46144.291666666657</v>
      </c>
      <c r="B1126" t="str">
        <f t="shared" si="34"/>
        <v>2026-05</v>
      </c>
      <c r="C1126" s="3">
        <f t="shared" si="35"/>
        <v>7</v>
      </c>
      <c r="D1126" s="4">
        <v>21.196343216447222</v>
      </c>
      <c r="E1126" s="4">
        <v>22.348024767622221</v>
      </c>
      <c r="F1126" s="4">
        <v>22.248598743827781</v>
      </c>
      <c r="G1126" s="4">
        <v>2.4</v>
      </c>
      <c r="H1126" s="5">
        <v>44.210496286016671</v>
      </c>
      <c r="I1126" s="5">
        <v>42.269986063925003</v>
      </c>
      <c r="J1126" s="5">
        <v>39.646462733061107</v>
      </c>
      <c r="K1126" s="5">
        <v>78</v>
      </c>
    </row>
    <row r="1127" spans="1:11" x14ac:dyDescent="0.25">
      <c r="A1127" s="2">
        <v>46144.333333333343</v>
      </c>
      <c r="B1127" t="str">
        <f t="shared" si="34"/>
        <v>2026-05</v>
      </c>
      <c r="C1127" s="3">
        <f t="shared" si="35"/>
        <v>8</v>
      </c>
      <c r="D1127" s="4">
        <v>21.69949520455555</v>
      </c>
      <c r="E1127" s="4">
        <v>22.798567077477781</v>
      </c>
      <c r="F1127" s="4">
        <v>22.247706385219441</v>
      </c>
      <c r="G1127" s="4">
        <v>4.7</v>
      </c>
      <c r="H1127" s="5">
        <v>42.68846134691389</v>
      </c>
      <c r="I1127" s="5">
        <v>42.09443366928889</v>
      </c>
      <c r="J1127" s="5">
        <v>39.514984848408332</v>
      </c>
      <c r="K1127" s="5">
        <v>73</v>
      </c>
    </row>
    <row r="1128" spans="1:11" x14ac:dyDescent="0.25">
      <c r="A1128" s="2">
        <v>46144.375</v>
      </c>
      <c r="B1128" t="str">
        <f t="shared" si="34"/>
        <v>2026-05</v>
      </c>
      <c r="C1128" s="3">
        <f t="shared" si="35"/>
        <v>9</v>
      </c>
      <c r="D1128" s="4">
        <v>22.049791035477771</v>
      </c>
      <c r="E1128" s="4">
        <v>23.168978611572221</v>
      </c>
      <c r="F1128" s="4">
        <v>22.257941030558332</v>
      </c>
      <c r="G1128" s="4">
        <v>7.8</v>
      </c>
      <c r="H1128" s="5">
        <v>42.762679287616663</v>
      </c>
      <c r="I1128" s="5">
        <v>41.806292515561111</v>
      </c>
      <c r="J1128" s="5">
        <v>39.409439561605559</v>
      </c>
      <c r="K1128" s="5">
        <v>43</v>
      </c>
    </row>
    <row r="1129" spans="1:11" x14ac:dyDescent="0.25">
      <c r="A1129" s="2">
        <v>46144.416666666657</v>
      </c>
      <c r="B1129" t="str">
        <f t="shared" si="34"/>
        <v>2026-05</v>
      </c>
      <c r="C1129" s="3">
        <f t="shared" si="35"/>
        <v>10</v>
      </c>
      <c r="D1129" s="4">
        <v>22.037405030102779</v>
      </c>
      <c r="E1129" s="4">
        <v>23.369804996597221</v>
      </c>
      <c r="F1129" s="4">
        <v>22.269178991127781</v>
      </c>
      <c r="G1129" s="4">
        <v>8.6999999999999993</v>
      </c>
      <c r="H1129" s="5">
        <v>43.860184962030552</v>
      </c>
      <c r="I1129" s="5">
        <v>41.823926072355562</v>
      </c>
      <c r="J1129" s="5">
        <v>39.366561074494442</v>
      </c>
      <c r="K1129" s="5">
        <v>41</v>
      </c>
    </row>
    <row r="1130" spans="1:11" x14ac:dyDescent="0.25">
      <c r="A1130" s="2">
        <v>46144.458333333343</v>
      </c>
      <c r="B1130" t="str">
        <f t="shared" si="34"/>
        <v>2026-05</v>
      </c>
      <c r="C1130" s="3">
        <f t="shared" si="35"/>
        <v>11</v>
      </c>
      <c r="D1130" s="4">
        <v>22.10734668188611</v>
      </c>
      <c r="E1130" s="4">
        <v>23.61771235091944</v>
      </c>
      <c r="F1130" s="4">
        <v>22.282596741791671</v>
      </c>
      <c r="G1130" s="4">
        <v>9.3000000000000007</v>
      </c>
      <c r="H1130" s="5">
        <v>45.228551419052771</v>
      </c>
      <c r="I1130" s="5">
        <v>42.782955784255563</v>
      </c>
      <c r="J1130" s="5">
        <v>39.402244729627768</v>
      </c>
      <c r="K1130" s="5">
        <v>41</v>
      </c>
    </row>
    <row r="1131" spans="1:11" x14ac:dyDescent="0.25">
      <c r="A1131" s="2">
        <v>46144.5</v>
      </c>
      <c r="B1131" t="str">
        <f t="shared" si="34"/>
        <v>2026-05</v>
      </c>
      <c r="C1131" s="3">
        <f t="shared" si="35"/>
        <v>12</v>
      </c>
      <c r="D1131" s="4">
        <v>22.039236312652768</v>
      </c>
      <c r="E1131" s="4">
        <v>23.611263740005551</v>
      </c>
      <c r="F1131" s="4">
        <v>22.303163443391671</v>
      </c>
      <c r="G1131" s="4">
        <v>9.8000000000000007</v>
      </c>
      <c r="H1131" s="5">
        <v>47.190974967611112</v>
      </c>
      <c r="I1131" s="5">
        <v>43.104378212738887</v>
      </c>
      <c r="J1131" s="5">
        <v>39.246638384433332</v>
      </c>
      <c r="K1131" s="5">
        <v>41</v>
      </c>
    </row>
    <row r="1132" spans="1:11" x14ac:dyDescent="0.25">
      <c r="A1132" s="2">
        <v>46144.541666666657</v>
      </c>
      <c r="B1132" t="str">
        <f t="shared" si="34"/>
        <v>2026-05</v>
      </c>
      <c r="C1132" s="3">
        <f t="shared" si="35"/>
        <v>13</v>
      </c>
      <c r="D1132" s="4">
        <v>21.705698655900001</v>
      </c>
      <c r="E1132" s="4">
        <v>23.266947414327781</v>
      </c>
      <c r="F1132" s="4">
        <v>22.307403850452779</v>
      </c>
      <c r="G1132" s="4">
        <v>10.1</v>
      </c>
      <c r="H1132" s="5">
        <v>46.748780849724987</v>
      </c>
      <c r="I1132" s="5">
        <v>43.143488582711122</v>
      </c>
      <c r="J1132" s="5">
        <v>39.266050321772219</v>
      </c>
      <c r="K1132" s="5">
        <v>41</v>
      </c>
    </row>
    <row r="1133" spans="1:11" x14ac:dyDescent="0.25">
      <c r="A1133" s="2">
        <v>46144.583333333343</v>
      </c>
      <c r="B1133" t="str">
        <f t="shared" si="34"/>
        <v>2026-05</v>
      </c>
      <c r="C1133" s="3">
        <f t="shared" si="35"/>
        <v>14</v>
      </c>
      <c r="D1133" s="4">
        <v>21.514968803933328</v>
      </c>
      <c r="E1133" s="4">
        <v>22.98865679911944</v>
      </c>
      <c r="F1133" s="4">
        <v>22.30463647586112</v>
      </c>
      <c r="G1133" s="4">
        <v>10.199999999999999</v>
      </c>
      <c r="H1133" s="5">
        <v>46.253158699191673</v>
      </c>
      <c r="I1133" s="5">
        <v>42.215169766852767</v>
      </c>
      <c r="J1133" s="5">
        <v>39.14019731102222</v>
      </c>
      <c r="K1133" s="5">
        <v>40</v>
      </c>
    </row>
    <row r="1134" spans="1:11" x14ac:dyDescent="0.25">
      <c r="A1134" s="2">
        <v>46144.625</v>
      </c>
      <c r="B1134" t="str">
        <f t="shared" si="34"/>
        <v>2026-05</v>
      </c>
      <c r="C1134" s="3">
        <f t="shared" si="35"/>
        <v>15</v>
      </c>
      <c r="D1134" s="4">
        <v>21.70014508861945</v>
      </c>
      <c r="E1134" s="4">
        <v>22.819594095883328</v>
      </c>
      <c r="F1134" s="4">
        <v>22.303016901997221</v>
      </c>
      <c r="G1134" s="4">
        <v>10.7</v>
      </c>
      <c r="H1134" s="5">
        <v>44.888121214183343</v>
      </c>
      <c r="I1134" s="5">
        <v>42.128556683038887</v>
      </c>
      <c r="J1134" s="5">
        <v>39.119990746349998</v>
      </c>
      <c r="K1134" s="5">
        <v>38</v>
      </c>
    </row>
    <row r="1135" spans="1:11" x14ac:dyDescent="0.25">
      <c r="A1135" s="2">
        <v>46144.666666666657</v>
      </c>
      <c r="B1135" t="str">
        <f t="shared" si="34"/>
        <v>2026-05</v>
      </c>
      <c r="C1135" s="3">
        <f t="shared" si="35"/>
        <v>16</v>
      </c>
      <c r="D1135" s="4">
        <v>21.718163825775001</v>
      </c>
      <c r="E1135" s="4">
        <v>22.79424717901945</v>
      </c>
      <c r="F1135" s="4">
        <v>22.295484127316669</v>
      </c>
      <c r="G1135" s="4">
        <v>10.7</v>
      </c>
      <c r="H1135" s="5">
        <v>44.023013543725</v>
      </c>
      <c r="I1135" s="5">
        <v>42.626863879866669</v>
      </c>
      <c r="J1135" s="5">
        <v>39.144098594833331</v>
      </c>
      <c r="K1135" s="5">
        <v>38</v>
      </c>
    </row>
    <row r="1136" spans="1:11" x14ac:dyDescent="0.25">
      <c r="A1136" s="2">
        <v>46144.708333333343</v>
      </c>
      <c r="B1136" t="str">
        <f t="shared" si="34"/>
        <v>2026-05</v>
      </c>
      <c r="C1136" s="3">
        <f t="shared" si="35"/>
        <v>17</v>
      </c>
      <c r="D1136" s="4">
        <v>21.464184971347219</v>
      </c>
      <c r="E1136" s="4">
        <v>22.744563335502779</v>
      </c>
      <c r="F1136" s="4">
        <v>22.257299040741671</v>
      </c>
      <c r="G1136" s="4">
        <v>10.6</v>
      </c>
      <c r="H1136" s="5">
        <v>40.720633247758343</v>
      </c>
      <c r="I1136" s="5">
        <v>39.524976621450001</v>
      </c>
      <c r="J1136" s="5">
        <v>38.462311100077777</v>
      </c>
      <c r="K1136" s="5">
        <v>37</v>
      </c>
    </row>
    <row r="1137" spans="1:11" x14ac:dyDescent="0.25">
      <c r="A1137" s="2">
        <v>46144.75</v>
      </c>
      <c r="B1137" t="str">
        <f t="shared" si="34"/>
        <v>2026-05</v>
      </c>
      <c r="C1137" s="3">
        <f t="shared" si="35"/>
        <v>18</v>
      </c>
      <c r="D1137" s="4">
        <v>21.19009720133889</v>
      </c>
      <c r="E1137" s="4">
        <v>22.60038942498889</v>
      </c>
      <c r="F1137" s="4">
        <v>22.210835295550002</v>
      </c>
      <c r="G1137" s="4">
        <v>10.3</v>
      </c>
      <c r="H1137" s="5">
        <v>37.110217507069443</v>
      </c>
      <c r="I1137" s="5">
        <v>37.289273626936108</v>
      </c>
      <c r="J1137" s="5">
        <v>37.974360283816672</v>
      </c>
      <c r="K1137" s="5">
        <v>42</v>
      </c>
    </row>
    <row r="1138" spans="1:11" x14ac:dyDescent="0.25">
      <c r="A1138" s="2">
        <v>46144.791666666657</v>
      </c>
      <c r="B1138" t="str">
        <f t="shared" si="34"/>
        <v>2026-05</v>
      </c>
      <c r="C1138" s="3">
        <f t="shared" si="35"/>
        <v>19</v>
      </c>
      <c r="D1138" s="4">
        <v>21.04146726264722</v>
      </c>
      <c r="E1138" s="4">
        <v>22.519556922758341</v>
      </c>
      <c r="F1138" s="4">
        <v>22.22117701908056</v>
      </c>
      <c r="G1138" s="4">
        <v>9.6999999999999993</v>
      </c>
      <c r="H1138" s="5">
        <v>40.455873075647233</v>
      </c>
      <c r="I1138" s="5">
        <v>40.172074194602779</v>
      </c>
      <c r="J1138" s="5">
        <v>38.36920721963611</v>
      </c>
      <c r="K1138" s="5">
        <v>62</v>
      </c>
    </row>
    <row r="1139" spans="1:11" x14ac:dyDescent="0.25">
      <c r="A1139" s="2">
        <v>46144.833333333343</v>
      </c>
      <c r="B1139" t="str">
        <f t="shared" si="34"/>
        <v>2026-05</v>
      </c>
      <c r="C1139" s="3">
        <f t="shared" si="35"/>
        <v>20</v>
      </c>
      <c r="D1139" s="4">
        <v>20.657446914272221</v>
      </c>
      <c r="E1139" s="4">
        <v>22.665473189147221</v>
      </c>
      <c r="F1139" s="4">
        <v>22.216403743658329</v>
      </c>
      <c r="G1139" s="4">
        <v>8.6</v>
      </c>
      <c r="H1139" s="5">
        <v>41.466333536338887</v>
      </c>
      <c r="I1139" s="5">
        <v>38.467057722230557</v>
      </c>
      <c r="J1139" s="5">
        <v>38.369956100194443</v>
      </c>
      <c r="K1139" s="5">
        <v>61</v>
      </c>
    </row>
    <row r="1140" spans="1:11" x14ac:dyDescent="0.25">
      <c r="A1140" s="2">
        <v>46144.875</v>
      </c>
      <c r="B1140" t="str">
        <f t="shared" si="34"/>
        <v>2026-05</v>
      </c>
      <c r="C1140" s="3">
        <f t="shared" si="35"/>
        <v>21</v>
      </c>
      <c r="D1140" s="4">
        <v>20.572658911666672</v>
      </c>
      <c r="E1140" s="4">
        <v>22.86422540912778</v>
      </c>
      <c r="F1140" s="4">
        <v>22.2120836512</v>
      </c>
      <c r="G1140" s="4">
        <v>7.6</v>
      </c>
      <c r="H1140" s="5">
        <v>41.424645361694438</v>
      </c>
      <c r="I1140" s="5">
        <v>37.493883360027773</v>
      </c>
      <c r="J1140" s="5">
        <v>38.367937192827782</v>
      </c>
      <c r="K1140" s="5">
        <v>57</v>
      </c>
    </row>
    <row r="1141" spans="1:11" x14ac:dyDescent="0.25">
      <c r="A1141" s="2">
        <v>46144.916666666657</v>
      </c>
      <c r="B1141" t="str">
        <f t="shared" si="34"/>
        <v>2026-05</v>
      </c>
      <c r="C1141" s="3">
        <f t="shared" si="35"/>
        <v>22</v>
      </c>
      <c r="D1141" s="4">
        <v>21.050565639858331</v>
      </c>
      <c r="E1141" s="4">
        <v>23.235312765586109</v>
      </c>
      <c r="F1141" s="4">
        <v>22.20825025675833</v>
      </c>
      <c r="G1141" s="4">
        <v>6.4</v>
      </c>
      <c r="H1141" s="5">
        <v>40.310541735258333</v>
      </c>
      <c r="I1141" s="5">
        <v>38.419244690786108</v>
      </c>
      <c r="J1141" s="5">
        <v>38.350905894847223</v>
      </c>
      <c r="K1141" s="5">
        <v>62</v>
      </c>
    </row>
    <row r="1142" spans="1:11" x14ac:dyDescent="0.25">
      <c r="A1142" s="2">
        <v>46144.958333333343</v>
      </c>
      <c r="B1142" t="str">
        <f t="shared" si="34"/>
        <v>2026-05</v>
      </c>
      <c r="C1142" s="3">
        <f t="shared" si="35"/>
        <v>23</v>
      </c>
      <c r="D1142" s="4">
        <v>21.305344384116669</v>
      </c>
      <c r="E1142" s="4">
        <v>23.300968758211109</v>
      </c>
      <c r="F1142" s="4">
        <v>22.215401548313888</v>
      </c>
      <c r="G1142" s="4">
        <v>5.9</v>
      </c>
      <c r="H1142" s="5">
        <v>40.274196246241672</v>
      </c>
      <c r="I1142" s="5">
        <v>37.034504169952783</v>
      </c>
      <c r="J1142" s="5">
        <v>38.429616953474998</v>
      </c>
      <c r="K1142" s="5">
        <v>63</v>
      </c>
    </row>
    <row r="1143" spans="1:11" x14ac:dyDescent="0.25">
      <c r="A1143" s="2">
        <v>46145</v>
      </c>
      <c r="B1143" t="str">
        <f t="shared" si="34"/>
        <v>2026-05</v>
      </c>
      <c r="C1143" s="3">
        <f t="shared" si="35"/>
        <v>0</v>
      </c>
      <c r="D1143" s="4">
        <v>21.441756696919441</v>
      </c>
      <c r="E1143" s="4">
        <v>23.383508713986121</v>
      </c>
      <c r="F1143" s="4">
        <v>22.234470815047221</v>
      </c>
      <c r="G1143" s="4">
        <v>5.7</v>
      </c>
      <c r="H1143" s="5">
        <v>41.087462293011122</v>
      </c>
      <c r="I1143" s="5">
        <v>37.64737171937778</v>
      </c>
      <c r="J1143" s="5">
        <v>38.486732018658337</v>
      </c>
      <c r="K1143" s="5">
        <v>65</v>
      </c>
    </row>
    <row r="1144" spans="1:11" x14ac:dyDescent="0.25">
      <c r="A1144" s="2">
        <v>46145.041666666657</v>
      </c>
      <c r="B1144" t="str">
        <f t="shared" si="34"/>
        <v>2026-05</v>
      </c>
      <c r="C1144" s="3">
        <f t="shared" si="35"/>
        <v>1</v>
      </c>
      <c r="D1144" s="4">
        <v>21.476567124216668</v>
      </c>
      <c r="E1144" s="4">
        <v>23.356207588388891</v>
      </c>
      <c r="F1144" s="4">
        <v>22.24483346832222</v>
      </c>
      <c r="G1144" s="4">
        <v>5.2</v>
      </c>
      <c r="H1144" s="5">
        <v>41.446521923388893</v>
      </c>
      <c r="I1144" s="5">
        <v>38.478214929688889</v>
      </c>
      <c r="J1144" s="5">
        <v>38.515026610508343</v>
      </c>
      <c r="K1144" s="5">
        <v>68</v>
      </c>
    </row>
    <row r="1145" spans="1:11" x14ac:dyDescent="0.25">
      <c r="A1145" s="2">
        <v>46145.083333333343</v>
      </c>
      <c r="B1145" t="str">
        <f t="shared" si="34"/>
        <v>2026-05</v>
      </c>
      <c r="C1145" s="3">
        <f t="shared" si="35"/>
        <v>2</v>
      </c>
      <c r="D1145" s="4">
        <v>21.207108322952781</v>
      </c>
      <c r="E1145" s="4">
        <v>22.886343561558331</v>
      </c>
      <c r="F1145" s="4">
        <v>22.231501262497229</v>
      </c>
      <c r="G1145" s="4">
        <v>4.7</v>
      </c>
      <c r="H1145" s="5">
        <v>41.160649002088888</v>
      </c>
      <c r="I1145" s="5">
        <v>38.618220576641669</v>
      </c>
      <c r="J1145" s="5">
        <v>38.511609154911113</v>
      </c>
      <c r="K1145" s="5">
        <v>71</v>
      </c>
    </row>
    <row r="1146" spans="1:11" x14ac:dyDescent="0.25">
      <c r="A1146" s="2">
        <v>46145.125</v>
      </c>
      <c r="B1146" t="str">
        <f t="shared" si="34"/>
        <v>2026-05</v>
      </c>
      <c r="C1146" s="3">
        <f t="shared" si="35"/>
        <v>3</v>
      </c>
      <c r="D1146" s="4">
        <v>20.59444658938056</v>
      </c>
      <c r="E1146" s="4">
        <v>22.410048987774999</v>
      </c>
      <c r="F1146" s="4">
        <v>22.207696021416659</v>
      </c>
      <c r="G1146" s="4">
        <v>3.8</v>
      </c>
      <c r="H1146" s="5">
        <v>42.534629922791673</v>
      </c>
      <c r="I1146" s="5">
        <v>39.149331689283343</v>
      </c>
      <c r="J1146" s="5">
        <v>38.568510474286107</v>
      </c>
      <c r="K1146" s="5">
        <v>70</v>
      </c>
    </row>
    <row r="1147" spans="1:11" x14ac:dyDescent="0.25">
      <c r="A1147" s="2">
        <v>46145.166666666657</v>
      </c>
      <c r="B1147" t="str">
        <f t="shared" si="34"/>
        <v>2026-05</v>
      </c>
      <c r="C1147" s="3">
        <f t="shared" si="35"/>
        <v>4</v>
      </c>
      <c r="D1147" s="4">
        <v>20.27571167292222</v>
      </c>
      <c r="E1147" s="4">
        <v>22.16498754991666</v>
      </c>
      <c r="F1147" s="4">
        <v>22.191334757919449</v>
      </c>
      <c r="G1147" s="4">
        <v>2.7</v>
      </c>
      <c r="H1147" s="5">
        <v>43.384766033900007</v>
      </c>
      <c r="I1147" s="5">
        <v>38.908501410574999</v>
      </c>
      <c r="J1147" s="5">
        <v>38.601817379627782</v>
      </c>
      <c r="K1147" s="5">
        <v>71</v>
      </c>
    </row>
    <row r="1148" spans="1:11" x14ac:dyDescent="0.25">
      <c r="A1148" s="2">
        <v>46145.208333333343</v>
      </c>
      <c r="B1148" t="str">
        <f t="shared" si="34"/>
        <v>2026-05</v>
      </c>
      <c r="C1148" s="3">
        <f t="shared" si="35"/>
        <v>5</v>
      </c>
      <c r="D1148" s="4">
        <v>20.26754670215556</v>
      </c>
      <c r="E1148" s="4">
        <v>22.028904360266669</v>
      </c>
      <c r="F1148" s="4">
        <v>22.171695767700001</v>
      </c>
      <c r="G1148" s="4">
        <v>1.9</v>
      </c>
      <c r="H1148" s="5">
        <v>43.315422939577779</v>
      </c>
      <c r="I1148" s="5">
        <v>38.925581021908343</v>
      </c>
      <c r="J1148" s="5">
        <v>38.61787569681389</v>
      </c>
      <c r="K1148" s="5">
        <v>73</v>
      </c>
    </row>
    <row r="1149" spans="1:11" x14ac:dyDescent="0.25">
      <c r="A1149" s="2">
        <v>46145.25</v>
      </c>
      <c r="B1149" t="str">
        <f t="shared" si="34"/>
        <v>2026-05</v>
      </c>
      <c r="C1149" s="3">
        <f t="shared" si="35"/>
        <v>6</v>
      </c>
      <c r="D1149" s="4">
        <v>20.94775574924445</v>
      </c>
      <c r="E1149" s="4">
        <v>22.200186522844451</v>
      </c>
      <c r="F1149" s="4">
        <v>22.157375611066669</v>
      </c>
      <c r="G1149" s="4">
        <v>2</v>
      </c>
      <c r="H1149" s="5">
        <v>40.506317899458331</v>
      </c>
      <c r="I1149" s="5">
        <v>38.543824587658328</v>
      </c>
      <c r="J1149" s="5">
        <v>38.644013216538887</v>
      </c>
      <c r="K1149" s="5">
        <v>76</v>
      </c>
    </row>
    <row r="1150" spans="1:11" x14ac:dyDescent="0.25">
      <c r="A1150" s="2">
        <v>46145.291666666657</v>
      </c>
      <c r="B1150" t="str">
        <f t="shared" si="34"/>
        <v>2026-05</v>
      </c>
      <c r="C1150" s="3">
        <f t="shared" si="35"/>
        <v>7</v>
      </c>
      <c r="D1150" s="4">
        <v>21.560065367622219</v>
      </c>
      <c r="E1150" s="4">
        <v>22.59223557076945</v>
      </c>
      <c r="F1150" s="4">
        <v>22.15518236511112</v>
      </c>
      <c r="G1150" s="4">
        <v>3.7</v>
      </c>
      <c r="H1150" s="5">
        <v>39.718764095505563</v>
      </c>
      <c r="I1150" s="5">
        <v>38.345437090719443</v>
      </c>
      <c r="J1150" s="5">
        <v>38.680998401324999</v>
      </c>
      <c r="K1150" s="5">
        <v>73</v>
      </c>
    </row>
    <row r="1151" spans="1:11" x14ac:dyDescent="0.25">
      <c r="A1151" s="2">
        <v>46145.333333333343</v>
      </c>
      <c r="B1151" t="str">
        <f t="shared" si="34"/>
        <v>2026-05</v>
      </c>
      <c r="C1151" s="3">
        <f t="shared" si="35"/>
        <v>8</v>
      </c>
      <c r="D1151" s="4">
        <v>22.124941276133331</v>
      </c>
      <c r="E1151" s="4">
        <v>23.118721961605559</v>
      </c>
      <c r="F1151" s="4">
        <v>22.174067850736112</v>
      </c>
      <c r="G1151" s="4">
        <v>6.5</v>
      </c>
      <c r="H1151" s="5">
        <v>39.875178854774987</v>
      </c>
      <c r="I1151" s="5">
        <v>38.64251128475555</v>
      </c>
      <c r="J1151" s="5">
        <v>38.757770106916666</v>
      </c>
      <c r="K1151" s="5">
        <v>70</v>
      </c>
    </row>
    <row r="1152" spans="1:11" x14ac:dyDescent="0.25">
      <c r="A1152" s="2">
        <v>46145.375</v>
      </c>
      <c r="B1152" t="str">
        <f t="shared" si="34"/>
        <v>2026-05</v>
      </c>
      <c r="C1152" s="3">
        <f t="shared" si="35"/>
        <v>9</v>
      </c>
      <c r="D1152" s="4">
        <v>22.493940793516671</v>
      </c>
      <c r="E1152" s="4">
        <v>23.359442561163888</v>
      </c>
      <c r="F1152" s="4">
        <v>22.203039582075</v>
      </c>
      <c r="G1152" s="4">
        <v>10.199999999999999</v>
      </c>
      <c r="H1152" s="5">
        <v>40.45494816776111</v>
      </c>
      <c r="I1152" s="5">
        <v>39.468228786611121</v>
      </c>
      <c r="J1152" s="5">
        <v>39.061526604886112</v>
      </c>
      <c r="K1152" s="5">
        <v>52</v>
      </c>
    </row>
    <row r="1153" spans="1:11" x14ac:dyDescent="0.25">
      <c r="A1153" s="2">
        <v>46145.416666666657</v>
      </c>
      <c r="B1153" t="str">
        <f t="shared" si="34"/>
        <v>2026-05</v>
      </c>
      <c r="C1153" s="3">
        <f t="shared" si="35"/>
        <v>10</v>
      </c>
      <c r="D1153" s="4">
        <v>22.586652783200002</v>
      </c>
      <c r="E1153" s="4">
        <v>23.546568481325</v>
      </c>
      <c r="F1153" s="4">
        <v>22.234735257633329</v>
      </c>
      <c r="G1153" s="4">
        <v>11.4</v>
      </c>
      <c r="H1153" s="5">
        <v>41.061096369930553</v>
      </c>
      <c r="I1153" s="5">
        <v>40.235966393022217</v>
      </c>
      <c r="J1153" s="5">
        <v>39.381038523394452</v>
      </c>
      <c r="K1153" s="5">
        <v>34</v>
      </c>
    </row>
    <row r="1154" spans="1:11" x14ac:dyDescent="0.25">
      <c r="A1154" s="2">
        <v>46145.458333333343</v>
      </c>
      <c r="B1154" t="str">
        <f t="shared" ref="B1154:B1217" si="36">TEXT(A1154,"yyyy-mm")</f>
        <v>2026-05</v>
      </c>
      <c r="C1154" s="3">
        <f t="shared" ref="C1154:C1217" si="37">HOUR(A1154)</f>
        <v>11</v>
      </c>
      <c r="D1154" s="4">
        <v>22.44997745034722</v>
      </c>
      <c r="E1154" s="4">
        <v>23.574269646569441</v>
      </c>
      <c r="F1154" s="4">
        <v>22.265985671627771</v>
      </c>
      <c r="G1154" s="4">
        <v>12</v>
      </c>
      <c r="H1154" s="5">
        <v>42.344354898394442</v>
      </c>
      <c r="I1154" s="5">
        <v>40.754346993216672</v>
      </c>
      <c r="J1154" s="5">
        <v>39.674662132547219</v>
      </c>
      <c r="K1154" s="5">
        <v>34</v>
      </c>
    </row>
    <row r="1155" spans="1:11" x14ac:dyDescent="0.25">
      <c r="A1155" s="2">
        <v>46145.5</v>
      </c>
      <c r="B1155" t="str">
        <f t="shared" si="36"/>
        <v>2026-05</v>
      </c>
      <c r="C1155" s="3">
        <f t="shared" si="37"/>
        <v>12</v>
      </c>
      <c r="D1155" s="4">
        <v>22.184632598822219</v>
      </c>
      <c r="E1155" s="4">
        <v>23.537735423336109</v>
      </c>
      <c r="F1155" s="4">
        <v>22.268985616547219</v>
      </c>
      <c r="G1155" s="4">
        <v>12.6</v>
      </c>
      <c r="H1155" s="5">
        <v>43.72172274764722</v>
      </c>
      <c r="I1155" s="5">
        <v>41.085476021416682</v>
      </c>
      <c r="J1155" s="5">
        <v>39.644164159111106</v>
      </c>
      <c r="K1155" s="5">
        <v>34</v>
      </c>
    </row>
    <row r="1156" spans="1:11" x14ac:dyDescent="0.25">
      <c r="A1156" s="2">
        <v>46145.541666666657</v>
      </c>
      <c r="B1156" t="str">
        <f t="shared" si="36"/>
        <v>2026-05</v>
      </c>
      <c r="C1156" s="3">
        <f t="shared" si="37"/>
        <v>13</v>
      </c>
      <c r="D1156" s="4">
        <v>22.195371613088891</v>
      </c>
      <c r="E1156" s="4">
        <v>23.599701213677779</v>
      </c>
      <c r="F1156" s="4">
        <v>22.28426024141389</v>
      </c>
      <c r="G1156" s="4">
        <v>13.3</v>
      </c>
      <c r="H1156" s="5">
        <v>46.199071862322228</v>
      </c>
      <c r="I1156" s="5">
        <v>44.212276207369449</v>
      </c>
      <c r="J1156" s="5">
        <v>40.096363653344447</v>
      </c>
      <c r="K1156" s="5">
        <v>35</v>
      </c>
    </row>
    <row r="1157" spans="1:11" x14ac:dyDescent="0.25">
      <c r="A1157" s="2">
        <v>46145.583333333343</v>
      </c>
      <c r="B1157" t="str">
        <f t="shared" si="36"/>
        <v>2026-05</v>
      </c>
      <c r="C1157" s="3">
        <f t="shared" si="37"/>
        <v>14</v>
      </c>
      <c r="D1157" s="4">
        <v>22.53100069870834</v>
      </c>
      <c r="E1157" s="4">
        <v>23.494081007775002</v>
      </c>
      <c r="F1157" s="4">
        <v>22.313694038677781</v>
      </c>
      <c r="G1157" s="4">
        <v>13.6</v>
      </c>
      <c r="H1157" s="5">
        <v>45.504263295383332</v>
      </c>
      <c r="I1157" s="5">
        <v>43.551514944175011</v>
      </c>
      <c r="J1157" s="5">
        <v>40.759570565052783</v>
      </c>
      <c r="K1157" s="5">
        <v>36</v>
      </c>
    </row>
    <row r="1158" spans="1:11" x14ac:dyDescent="0.25">
      <c r="A1158" s="2">
        <v>46145.625</v>
      </c>
      <c r="B1158" t="str">
        <f t="shared" si="36"/>
        <v>2026-05</v>
      </c>
      <c r="C1158" s="3">
        <f t="shared" si="37"/>
        <v>15</v>
      </c>
      <c r="D1158" s="4">
        <v>22.679500414855561</v>
      </c>
      <c r="E1158" s="4">
        <v>23.51177490308611</v>
      </c>
      <c r="F1158" s="4">
        <v>22.343999715491659</v>
      </c>
      <c r="G1158" s="4">
        <v>14.7</v>
      </c>
      <c r="H1158" s="5">
        <v>44.721616435691672</v>
      </c>
      <c r="I1158" s="5">
        <v>43.264343312683337</v>
      </c>
      <c r="J1158" s="5">
        <v>41.184868883461121</v>
      </c>
      <c r="K1158" s="5">
        <v>32</v>
      </c>
    </row>
    <row r="1159" spans="1:11" x14ac:dyDescent="0.25">
      <c r="A1159" s="2">
        <v>46145.666666666657</v>
      </c>
      <c r="B1159" t="str">
        <f t="shared" si="36"/>
        <v>2026-05</v>
      </c>
      <c r="C1159" s="3">
        <f t="shared" si="37"/>
        <v>16</v>
      </c>
      <c r="D1159" s="4">
        <v>22.739901283252781</v>
      </c>
      <c r="E1159" s="4">
        <v>23.519748846927779</v>
      </c>
      <c r="F1159" s="4">
        <v>22.362416053222219</v>
      </c>
      <c r="G1159" s="4">
        <v>14.8</v>
      </c>
      <c r="H1159" s="5">
        <v>44.588629858441671</v>
      </c>
      <c r="I1159" s="5">
        <v>43.449677012850003</v>
      </c>
      <c r="J1159" s="5">
        <v>41.499245112413902</v>
      </c>
      <c r="K1159" s="5">
        <v>33</v>
      </c>
    </row>
    <row r="1160" spans="1:11" x14ac:dyDescent="0.25">
      <c r="A1160" s="2">
        <v>46145.708333333343</v>
      </c>
      <c r="B1160" t="str">
        <f t="shared" si="36"/>
        <v>2026-05</v>
      </c>
      <c r="C1160" s="3">
        <f t="shared" si="37"/>
        <v>17</v>
      </c>
      <c r="D1160" s="4">
        <v>22.377556925638888</v>
      </c>
      <c r="E1160" s="4">
        <v>23.39816038988889</v>
      </c>
      <c r="F1160" s="4">
        <v>22.37119538635833</v>
      </c>
      <c r="G1160" s="4">
        <v>14.5</v>
      </c>
      <c r="H1160" s="5">
        <v>43.96806680638889</v>
      </c>
      <c r="I1160" s="5">
        <v>43.032357624205552</v>
      </c>
      <c r="J1160" s="5">
        <v>41.591083227872232</v>
      </c>
      <c r="K1160" s="5">
        <v>34</v>
      </c>
    </row>
    <row r="1161" spans="1:11" x14ac:dyDescent="0.25">
      <c r="A1161" s="2">
        <v>46145.75</v>
      </c>
      <c r="B1161" t="str">
        <f t="shared" si="36"/>
        <v>2026-05</v>
      </c>
      <c r="C1161" s="3">
        <f t="shared" si="37"/>
        <v>18</v>
      </c>
      <c r="D1161" s="4">
        <v>21.968279972566659</v>
      </c>
      <c r="E1161" s="4">
        <v>23.35345793001666</v>
      </c>
      <c r="F1161" s="4">
        <v>22.365653152450001</v>
      </c>
      <c r="G1161" s="4">
        <v>14</v>
      </c>
      <c r="H1161" s="5">
        <v>35.172335734780553</v>
      </c>
      <c r="I1161" s="5">
        <v>38.159897383494453</v>
      </c>
      <c r="J1161" s="5">
        <v>41.74697873638889</v>
      </c>
      <c r="K1161" s="5">
        <v>36</v>
      </c>
    </row>
    <row r="1162" spans="1:11" x14ac:dyDescent="0.25">
      <c r="A1162" s="2">
        <v>46145.791666666657</v>
      </c>
      <c r="B1162" t="str">
        <f t="shared" si="36"/>
        <v>2026-05</v>
      </c>
      <c r="C1162" s="3">
        <f t="shared" si="37"/>
        <v>19</v>
      </c>
      <c r="D1162" s="4">
        <v>21.763669211650001</v>
      </c>
      <c r="E1162" s="4">
        <v>23.01869520944722</v>
      </c>
      <c r="F1162" s="4">
        <v>22.34763852550833</v>
      </c>
      <c r="G1162" s="4">
        <v>12.7</v>
      </c>
      <c r="H1162" s="5">
        <v>33.371450542508327</v>
      </c>
      <c r="I1162" s="5">
        <v>34.902766308497227</v>
      </c>
      <c r="J1162" s="5">
        <v>41.618418395547216</v>
      </c>
      <c r="K1162" s="5">
        <v>57</v>
      </c>
    </row>
    <row r="1163" spans="1:11" x14ac:dyDescent="0.25">
      <c r="A1163" s="2">
        <v>46145.833333333343</v>
      </c>
      <c r="B1163" t="str">
        <f t="shared" si="36"/>
        <v>2026-05</v>
      </c>
      <c r="C1163" s="3">
        <f t="shared" si="37"/>
        <v>20</v>
      </c>
      <c r="D1163" s="4">
        <v>21.607195936991669</v>
      </c>
      <c r="E1163" s="4">
        <v>22.846568940136109</v>
      </c>
      <c r="F1163" s="4">
        <v>22.324208777999999</v>
      </c>
      <c r="G1163" s="4">
        <v>10.9</v>
      </c>
      <c r="H1163" s="5">
        <v>34.895345498908327</v>
      </c>
      <c r="I1163" s="5">
        <v>35.001960110272229</v>
      </c>
      <c r="J1163" s="5">
        <v>41.303044532188892</v>
      </c>
      <c r="K1163" s="5">
        <v>55</v>
      </c>
    </row>
    <row r="1164" spans="1:11" x14ac:dyDescent="0.25">
      <c r="A1164" s="2">
        <v>46145.875</v>
      </c>
      <c r="B1164" t="str">
        <f t="shared" si="36"/>
        <v>2026-05</v>
      </c>
      <c r="C1164" s="3">
        <f t="shared" si="37"/>
        <v>21</v>
      </c>
      <c r="D1164" s="4">
        <v>21.58440005372778</v>
      </c>
      <c r="E1164" s="4">
        <v>22.83350829489444</v>
      </c>
      <c r="F1164" s="4">
        <v>22.30579166565278</v>
      </c>
      <c r="G1164" s="4">
        <v>10.6</v>
      </c>
      <c r="H1164" s="5">
        <v>40.532262844474992</v>
      </c>
      <c r="I1164" s="5">
        <v>39.298598011324998</v>
      </c>
      <c r="J1164" s="5">
        <v>40.845501126013893</v>
      </c>
      <c r="K1164" s="5">
        <v>53</v>
      </c>
    </row>
    <row r="1165" spans="1:11" x14ac:dyDescent="0.25">
      <c r="A1165" s="2">
        <v>46145.916666666657</v>
      </c>
      <c r="B1165" t="str">
        <f t="shared" si="36"/>
        <v>2026-05</v>
      </c>
      <c r="C1165" s="3">
        <f t="shared" si="37"/>
        <v>22</v>
      </c>
      <c r="D1165" s="4">
        <v>21.566592003386109</v>
      </c>
      <c r="E1165" s="4">
        <v>22.930584415236108</v>
      </c>
      <c r="F1165" s="4">
        <v>22.290500310727779</v>
      </c>
      <c r="G1165" s="4">
        <v>9.5</v>
      </c>
      <c r="H1165" s="5">
        <v>42.748530360208342</v>
      </c>
      <c r="I1165" s="5">
        <v>40.229270912838892</v>
      </c>
      <c r="J1165" s="5">
        <v>40.5397913758</v>
      </c>
      <c r="K1165" s="5">
        <v>61</v>
      </c>
    </row>
    <row r="1166" spans="1:11" x14ac:dyDescent="0.25">
      <c r="A1166" s="2">
        <v>46145.958333333343</v>
      </c>
      <c r="B1166" t="str">
        <f t="shared" si="36"/>
        <v>2026-05</v>
      </c>
      <c r="C1166" s="3">
        <f t="shared" si="37"/>
        <v>23</v>
      </c>
      <c r="D1166" s="4">
        <v>21.85659623058611</v>
      </c>
      <c r="E1166" s="4">
        <v>23.325775042658339</v>
      </c>
      <c r="F1166" s="4">
        <v>22.281860620427778</v>
      </c>
      <c r="G1166" s="4">
        <v>7.9</v>
      </c>
      <c r="H1166" s="5">
        <v>42.830439828236109</v>
      </c>
      <c r="I1166" s="5">
        <v>39.826267808427779</v>
      </c>
      <c r="J1166" s="5">
        <v>40.303375783338893</v>
      </c>
      <c r="K1166" s="5">
        <v>67</v>
      </c>
    </row>
    <row r="1167" spans="1:11" x14ac:dyDescent="0.25">
      <c r="A1167" s="2">
        <v>46146</v>
      </c>
      <c r="B1167" t="str">
        <f t="shared" si="36"/>
        <v>2026-05</v>
      </c>
      <c r="C1167" s="3">
        <f t="shared" si="37"/>
        <v>0</v>
      </c>
      <c r="D1167" s="4">
        <v>22.040857209241661</v>
      </c>
      <c r="E1167" s="4">
        <v>23.653248278475001</v>
      </c>
      <c r="F1167" s="4">
        <v>22.290749695275</v>
      </c>
      <c r="G1167" s="4">
        <v>6.8</v>
      </c>
      <c r="H1167" s="5">
        <v>44.029749921475002</v>
      </c>
      <c r="I1167" s="5">
        <v>43.859929816786106</v>
      </c>
      <c r="J1167" s="5">
        <v>40.079804995416659</v>
      </c>
      <c r="K1167" s="5">
        <v>72</v>
      </c>
    </row>
    <row r="1168" spans="1:11" x14ac:dyDescent="0.25">
      <c r="A1168" s="2">
        <v>46146.041666666657</v>
      </c>
      <c r="B1168" t="str">
        <f t="shared" si="36"/>
        <v>2026-05</v>
      </c>
      <c r="C1168" s="3">
        <f t="shared" si="37"/>
        <v>1</v>
      </c>
      <c r="D1168" s="4">
        <v>21.746722014972221</v>
      </c>
      <c r="E1168" s="4">
        <v>23.460428198355562</v>
      </c>
      <c r="F1168" s="4">
        <v>22.298028164236111</v>
      </c>
      <c r="G1168" s="4">
        <v>6.3</v>
      </c>
      <c r="H1168" s="5">
        <v>46.077181901338889</v>
      </c>
      <c r="I1168" s="5">
        <v>44.130551575863898</v>
      </c>
      <c r="J1168" s="5">
        <v>39.912025083825</v>
      </c>
      <c r="K1168" s="5">
        <v>69</v>
      </c>
    </row>
    <row r="1169" spans="1:11" x14ac:dyDescent="0.25">
      <c r="A1169" s="2">
        <v>46146.083333333343</v>
      </c>
      <c r="B1169" t="str">
        <f t="shared" si="36"/>
        <v>2026-05</v>
      </c>
      <c r="C1169" s="3">
        <f t="shared" si="37"/>
        <v>2</v>
      </c>
      <c r="D1169" s="4">
        <v>21.444281360969441</v>
      </c>
      <c r="E1169" s="4">
        <v>23.135078189891669</v>
      </c>
      <c r="F1169" s="4">
        <v>22.2757351634</v>
      </c>
      <c r="G1169" s="4">
        <v>5.8</v>
      </c>
      <c r="H1169" s="5">
        <v>48.668458670833331</v>
      </c>
      <c r="I1169" s="5">
        <v>46.98379454982777</v>
      </c>
      <c r="J1169" s="5">
        <v>39.807971994261123</v>
      </c>
      <c r="K1169" s="5">
        <v>69</v>
      </c>
    </row>
    <row r="1170" spans="1:11" x14ac:dyDescent="0.25">
      <c r="A1170" s="2">
        <v>46146.125</v>
      </c>
      <c r="B1170" t="str">
        <f t="shared" si="36"/>
        <v>2026-05</v>
      </c>
      <c r="C1170" s="3">
        <f t="shared" si="37"/>
        <v>3</v>
      </c>
      <c r="D1170" s="4">
        <v>21.189553438225001</v>
      </c>
      <c r="E1170" s="4">
        <v>22.918933888102782</v>
      </c>
      <c r="F1170" s="4">
        <v>22.25908333927778</v>
      </c>
      <c r="G1170" s="4">
        <v>5.3</v>
      </c>
      <c r="H1170" s="5">
        <v>48.623428993241667</v>
      </c>
      <c r="I1170" s="5">
        <v>45.031313952169448</v>
      </c>
      <c r="J1170" s="5">
        <v>39.722802529211123</v>
      </c>
      <c r="K1170" s="5">
        <v>71</v>
      </c>
    </row>
    <row r="1171" spans="1:11" x14ac:dyDescent="0.25">
      <c r="A1171" s="2">
        <v>46146.166666666657</v>
      </c>
      <c r="B1171" t="str">
        <f t="shared" si="36"/>
        <v>2026-05</v>
      </c>
      <c r="C1171" s="3">
        <f t="shared" si="37"/>
        <v>4</v>
      </c>
      <c r="D1171" s="4">
        <v>21.038644306122219</v>
      </c>
      <c r="E1171" s="4">
        <v>22.673076554808329</v>
      </c>
      <c r="F1171" s="4">
        <v>22.248027772680551</v>
      </c>
      <c r="G1171" s="4">
        <v>5.2</v>
      </c>
      <c r="H1171" s="5">
        <v>48.026274887438888</v>
      </c>
      <c r="I1171" s="5">
        <v>44.444808420747222</v>
      </c>
      <c r="J1171" s="5">
        <v>39.651626031191668</v>
      </c>
      <c r="K1171" s="5">
        <v>69</v>
      </c>
    </row>
    <row r="1172" spans="1:11" x14ac:dyDescent="0.25">
      <c r="A1172" s="2">
        <v>46146.208333333343</v>
      </c>
      <c r="B1172" t="str">
        <f t="shared" si="36"/>
        <v>2026-05</v>
      </c>
      <c r="C1172" s="3">
        <f t="shared" si="37"/>
        <v>5</v>
      </c>
      <c r="D1172" s="4">
        <v>21.102609491211108</v>
      </c>
      <c r="E1172" s="4">
        <v>22.578676910241661</v>
      </c>
      <c r="F1172" s="4">
        <v>22.235514237447219</v>
      </c>
      <c r="G1172" s="4">
        <v>5.0999999999999996</v>
      </c>
      <c r="H1172" s="5">
        <v>47.041555613402778</v>
      </c>
      <c r="I1172" s="5">
        <v>43.880989808599999</v>
      </c>
      <c r="J1172" s="5">
        <v>39.592513140286108</v>
      </c>
      <c r="K1172" s="5">
        <v>68</v>
      </c>
    </row>
    <row r="1173" spans="1:11" x14ac:dyDescent="0.25">
      <c r="A1173" s="2">
        <v>46146.25</v>
      </c>
      <c r="B1173" t="str">
        <f t="shared" si="36"/>
        <v>2026-05</v>
      </c>
      <c r="C1173" s="3">
        <f t="shared" si="37"/>
        <v>6</v>
      </c>
      <c r="D1173" s="4">
        <v>21.684638518675001</v>
      </c>
      <c r="E1173" s="4">
        <v>22.781969517688889</v>
      </c>
      <c r="F1173" s="4">
        <v>22.230819659472221</v>
      </c>
      <c r="G1173" s="4">
        <v>5.6</v>
      </c>
      <c r="H1173" s="5">
        <v>45.416399940783329</v>
      </c>
      <c r="I1173" s="5">
        <v>43.112774081255559</v>
      </c>
      <c r="J1173" s="5">
        <v>39.554082729222223</v>
      </c>
      <c r="K1173" s="5">
        <v>70</v>
      </c>
    </row>
    <row r="1174" spans="1:11" x14ac:dyDescent="0.25">
      <c r="A1174" s="2">
        <v>46146.291666666657</v>
      </c>
      <c r="B1174" t="str">
        <f t="shared" si="36"/>
        <v>2026-05</v>
      </c>
      <c r="C1174" s="3">
        <f t="shared" si="37"/>
        <v>7</v>
      </c>
      <c r="D1174" s="4">
        <v>22.243867981366659</v>
      </c>
      <c r="E1174" s="4">
        <v>23.29378818034445</v>
      </c>
      <c r="F1174" s="4">
        <v>22.237916653555551</v>
      </c>
      <c r="G1174" s="4">
        <v>7.2</v>
      </c>
      <c r="H1174" s="5">
        <v>44.889558128527767</v>
      </c>
      <c r="I1174" s="5">
        <v>42.728112093719453</v>
      </c>
      <c r="J1174" s="5">
        <v>39.575583112872224</v>
      </c>
      <c r="K1174" s="5">
        <v>69</v>
      </c>
    </row>
    <row r="1175" spans="1:11" x14ac:dyDescent="0.25">
      <c r="A1175" s="2">
        <v>46146.333333333343</v>
      </c>
      <c r="B1175" t="str">
        <f t="shared" si="36"/>
        <v>2026-05</v>
      </c>
      <c r="C1175" s="3">
        <f t="shared" si="37"/>
        <v>8</v>
      </c>
      <c r="D1175" s="4">
        <v>22.73790024603333</v>
      </c>
      <c r="E1175" s="4">
        <v>23.632917911966668</v>
      </c>
      <c r="F1175" s="4">
        <v>22.276183337847229</v>
      </c>
      <c r="G1175" s="4">
        <v>9.8000000000000007</v>
      </c>
      <c r="H1175" s="5">
        <v>44.647302714661123</v>
      </c>
      <c r="I1175" s="5">
        <v>43.183439958138898</v>
      </c>
      <c r="J1175" s="5">
        <v>40.339006730644442</v>
      </c>
      <c r="K1175" s="5">
        <v>65</v>
      </c>
    </row>
    <row r="1176" spans="1:11" x14ac:dyDescent="0.25">
      <c r="A1176" s="2">
        <v>46146.375</v>
      </c>
      <c r="B1176" t="str">
        <f t="shared" si="36"/>
        <v>2026-05</v>
      </c>
      <c r="C1176" s="3">
        <f t="shared" si="37"/>
        <v>9</v>
      </c>
      <c r="D1176" s="4">
        <v>23.07980655644722</v>
      </c>
      <c r="E1176" s="4">
        <v>24.015786100713889</v>
      </c>
      <c r="F1176" s="4">
        <v>22.341585457111108</v>
      </c>
      <c r="G1176" s="4">
        <v>13.4</v>
      </c>
      <c r="H1176" s="5">
        <v>45.014555953605559</v>
      </c>
      <c r="I1176" s="5">
        <v>43.437774676216662</v>
      </c>
      <c r="J1176" s="5">
        <v>41.465487987505547</v>
      </c>
      <c r="K1176" s="5">
        <v>51</v>
      </c>
    </row>
    <row r="1177" spans="1:11" x14ac:dyDescent="0.25">
      <c r="A1177" s="2">
        <v>46146.416666666657</v>
      </c>
      <c r="B1177" t="str">
        <f t="shared" si="36"/>
        <v>2026-05</v>
      </c>
      <c r="C1177" s="3">
        <f t="shared" si="37"/>
        <v>10</v>
      </c>
      <c r="D1177" s="4">
        <v>23.20491411848889</v>
      </c>
      <c r="E1177" s="4">
        <v>24.178054030194449</v>
      </c>
      <c r="F1177" s="4">
        <v>22.40378072476944</v>
      </c>
      <c r="G1177" s="4">
        <v>15.6</v>
      </c>
      <c r="H1177" s="5">
        <v>45.659261978052783</v>
      </c>
      <c r="I1177" s="5">
        <v>44.905005343005548</v>
      </c>
      <c r="J1177" s="5">
        <v>42.506224969886112</v>
      </c>
      <c r="K1177" s="5">
        <v>41</v>
      </c>
    </row>
    <row r="1178" spans="1:11" x14ac:dyDescent="0.25">
      <c r="A1178" s="2">
        <v>46146.458333333343</v>
      </c>
      <c r="B1178" t="str">
        <f t="shared" si="36"/>
        <v>2026-05</v>
      </c>
      <c r="C1178" s="3">
        <f t="shared" si="37"/>
        <v>11</v>
      </c>
      <c r="D1178" s="4">
        <v>23.293121930550001</v>
      </c>
      <c r="E1178" s="4">
        <v>24.60338925781112</v>
      </c>
      <c r="F1178" s="4">
        <v>22.45636530601945</v>
      </c>
      <c r="G1178" s="4">
        <v>16.7</v>
      </c>
      <c r="H1178" s="5">
        <v>46.114021385683337</v>
      </c>
      <c r="I1178" s="5">
        <v>45.068905746411112</v>
      </c>
      <c r="J1178" s="5">
        <v>43.424923642597228</v>
      </c>
      <c r="K1178" s="5">
        <v>37</v>
      </c>
    </row>
    <row r="1179" spans="1:11" x14ac:dyDescent="0.25">
      <c r="A1179" s="2">
        <v>46146.5</v>
      </c>
      <c r="B1179" t="str">
        <f t="shared" si="36"/>
        <v>2026-05</v>
      </c>
      <c r="C1179" s="3">
        <f t="shared" si="37"/>
        <v>12</v>
      </c>
      <c r="D1179" s="4">
        <v>23.220550985438891</v>
      </c>
      <c r="E1179" s="4">
        <v>24.69239594930556</v>
      </c>
      <c r="F1179" s="4">
        <v>22.49844818074444</v>
      </c>
      <c r="G1179" s="4">
        <v>17.399999999999999</v>
      </c>
      <c r="H1179" s="5">
        <v>48.170740264538892</v>
      </c>
      <c r="I1179" s="5">
        <v>48.386942170772222</v>
      </c>
      <c r="J1179" s="5">
        <v>44.144485414655563</v>
      </c>
      <c r="K1179" s="5">
        <v>36</v>
      </c>
    </row>
    <row r="1180" spans="1:11" x14ac:dyDescent="0.25">
      <c r="A1180" s="2">
        <v>46146.541666666657</v>
      </c>
      <c r="B1180" t="str">
        <f t="shared" si="36"/>
        <v>2026-05</v>
      </c>
      <c r="C1180" s="3">
        <f t="shared" si="37"/>
        <v>13</v>
      </c>
      <c r="D1180" s="4">
        <v>23.094678450997229</v>
      </c>
      <c r="E1180" s="4">
        <v>24.831932089302779</v>
      </c>
      <c r="F1180" s="4">
        <v>22.5385284525</v>
      </c>
      <c r="G1180" s="4">
        <v>18</v>
      </c>
      <c r="H1180" s="5">
        <v>50.532289270322217</v>
      </c>
      <c r="I1180" s="5">
        <v>48.849407596530561</v>
      </c>
      <c r="J1180" s="5">
        <v>44.931394770422223</v>
      </c>
      <c r="K1180" s="5">
        <v>36</v>
      </c>
    </row>
    <row r="1181" spans="1:11" x14ac:dyDescent="0.25">
      <c r="A1181" s="2">
        <v>46146.583333333343</v>
      </c>
      <c r="B1181" t="str">
        <f t="shared" si="36"/>
        <v>2026-05</v>
      </c>
      <c r="C1181" s="3">
        <f t="shared" si="37"/>
        <v>14</v>
      </c>
      <c r="D1181" s="4">
        <v>23.040652590747229</v>
      </c>
      <c r="E1181" s="4">
        <v>24.898466473886121</v>
      </c>
      <c r="F1181" s="4">
        <v>22.553291337200001</v>
      </c>
      <c r="G1181" s="4">
        <v>18.399999999999999</v>
      </c>
      <c r="H1181" s="5">
        <v>50.748960256361109</v>
      </c>
      <c r="I1181" s="5">
        <v>47.618416442305552</v>
      </c>
      <c r="J1181" s="5">
        <v>45.529127914019448</v>
      </c>
      <c r="K1181" s="5">
        <v>36</v>
      </c>
    </row>
    <row r="1182" spans="1:11" x14ac:dyDescent="0.25">
      <c r="A1182" s="2">
        <v>46146.625</v>
      </c>
      <c r="B1182" t="str">
        <f t="shared" si="36"/>
        <v>2026-05</v>
      </c>
      <c r="C1182" s="3">
        <f t="shared" si="37"/>
        <v>15</v>
      </c>
      <c r="D1182" s="4">
        <v>22.97845660181666</v>
      </c>
      <c r="E1182" s="4">
        <v>24.83654290864445</v>
      </c>
      <c r="F1182" s="4">
        <v>22.564722672005551</v>
      </c>
      <c r="G1182" s="4">
        <v>19.100000000000001</v>
      </c>
      <c r="H1182" s="5">
        <v>50.446180776186111</v>
      </c>
      <c r="I1182" s="5">
        <v>46.947444648811121</v>
      </c>
      <c r="J1182" s="5">
        <v>45.850345745969442</v>
      </c>
      <c r="K1182" s="5">
        <v>34</v>
      </c>
    </row>
    <row r="1183" spans="1:11" x14ac:dyDescent="0.25">
      <c r="A1183" s="2">
        <v>46146.666666666657</v>
      </c>
      <c r="B1183" t="str">
        <f t="shared" si="36"/>
        <v>2026-05</v>
      </c>
      <c r="C1183" s="3">
        <f t="shared" si="37"/>
        <v>16</v>
      </c>
      <c r="D1183" s="4">
        <v>22.824792237397219</v>
      </c>
      <c r="E1183" s="4">
        <v>24.61937904257778</v>
      </c>
      <c r="F1183" s="4">
        <v>22.784985228222219</v>
      </c>
      <c r="G1183" s="4">
        <v>19.7</v>
      </c>
      <c r="H1183" s="5">
        <v>48.076579276297217</v>
      </c>
      <c r="I1183" s="5">
        <v>44.775163746977789</v>
      </c>
      <c r="J1183" s="5">
        <v>50.480625759299997</v>
      </c>
      <c r="K1183" s="5">
        <v>37</v>
      </c>
    </row>
    <row r="1184" spans="1:11" x14ac:dyDescent="0.25">
      <c r="A1184" s="2">
        <v>46146.708333333343</v>
      </c>
      <c r="B1184" t="str">
        <f t="shared" si="36"/>
        <v>2026-05</v>
      </c>
      <c r="C1184" s="3">
        <f t="shared" si="37"/>
        <v>17</v>
      </c>
      <c r="D1184" s="4">
        <v>22.65899002520834</v>
      </c>
      <c r="E1184" s="4">
        <v>24.40693146476389</v>
      </c>
      <c r="F1184" s="4">
        <v>22.742258937652771</v>
      </c>
      <c r="G1184" s="4">
        <v>19.5</v>
      </c>
      <c r="H1184" s="5">
        <v>40.234805991236122</v>
      </c>
      <c r="I1184" s="5">
        <v>39.810101181541668</v>
      </c>
      <c r="J1184" s="5">
        <v>48.305615101433339</v>
      </c>
      <c r="K1184" s="5">
        <v>38</v>
      </c>
    </row>
    <row r="1185" spans="1:11" x14ac:dyDescent="0.25">
      <c r="A1185" s="2">
        <v>46146.75</v>
      </c>
      <c r="B1185" t="str">
        <f t="shared" si="36"/>
        <v>2026-05</v>
      </c>
      <c r="C1185" s="3">
        <f t="shared" si="37"/>
        <v>18</v>
      </c>
      <c r="D1185" s="4">
        <v>22.689017935513888</v>
      </c>
      <c r="E1185" s="4">
        <v>24.33145033128611</v>
      </c>
      <c r="F1185" s="4">
        <v>22.868675925619449</v>
      </c>
      <c r="G1185" s="4">
        <v>19</v>
      </c>
      <c r="H1185" s="5">
        <v>42.239492526922227</v>
      </c>
      <c r="I1185" s="5">
        <v>40.787321436844451</v>
      </c>
      <c r="J1185" s="5">
        <v>50.36861858569722</v>
      </c>
      <c r="K1185" s="5">
        <v>41</v>
      </c>
    </row>
    <row r="1186" spans="1:11" x14ac:dyDescent="0.25">
      <c r="A1186" s="2">
        <v>46146.791666666657</v>
      </c>
      <c r="B1186" t="str">
        <f t="shared" si="36"/>
        <v>2026-05</v>
      </c>
      <c r="C1186" s="3">
        <f t="shared" si="37"/>
        <v>19</v>
      </c>
      <c r="D1186" s="4">
        <v>22.490865221555559</v>
      </c>
      <c r="E1186" s="4">
        <v>24.29334318475556</v>
      </c>
      <c r="F1186" s="4">
        <v>23.018705882736111</v>
      </c>
      <c r="G1186" s="4">
        <v>17.5</v>
      </c>
      <c r="H1186" s="5">
        <v>44.930403662819451</v>
      </c>
      <c r="I1186" s="5">
        <v>43.145552624386113</v>
      </c>
      <c r="J1186" s="5">
        <v>52.166164830041659</v>
      </c>
      <c r="K1186" s="5">
        <v>61</v>
      </c>
    </row>
    <row r="1187" spans="1:11" x14ac:dyDescent="0.25">
      <c r="A1187" s="2">
        <v>46146.833333333343</v>
      </c>
      <c r="B1187" t="str">
        <f t="shared" si="36"/>
        <v>2026-05</v>
      </c>
      <c r="C1187" s="3">
        <f t="shared" si="37"/>
        <v>20</v>
      </c>
      <c r="D1187" s="4">
        <v>22.279020872258329</v>
      </c>
      <c r="E1187" s="4">
        <v>24.017967679816671</v>
      </c>
      <c r="F1187" s="4">
        <v>22.874208951427779</v>
      </c>
      <c r="G1187" s="4">
        <v>14.8</v>
      </c>
      <c r="H1187" s="5">
        <v>45.745663079905547</v>
      </c>
      <c r="I1187" s="5">
        <v>43.550921062086111</v>
      </c>
      <c r="J1187" s="5">
        <v>49.988859876402778</v>
      </c>
      <c r="K1187" s="5">
        <v>66</v>
      </c>
    </row>
    <row r="1188" spans="1:11" x14ac:dyDescent="0.25">
      <c r="A1188" s="2">
        <v>46146.875</v>
      </c>
      <c r="B1188" t="str">
        <f t="shared" si="36"/>
        <v>2026-05</v>
      </c>
      <c r="C1188" s="3">
        <f t="shared" si="37"/>
        <v>21</v>
      </c>
      <c r="D1188" s="4">
        <v>22.135914072627781</v>
      </c>
      <c r="E1188" s="4">
        <v>23.934697556305551</v>
      </c>
      <c r="F1188" s="4">
        <v>22.795802048966671</v>
      </c>
      <c r="G1188" s="4">
        <v>14.3</v>
      </c>
      <c r="H1188" s="5">
        <v>46.894026935461113</v>
      </c>
      <c r="I1188" s="5">
        <v>43.654795106258327</v>
      </c>
      <c r="J1188" s="5">
        <v>48.28266670645278</v>
      </c>
      <c r="K1188" s="5">
        <v>62</v>
      </c>
    </row>
    <row r="1189" spans="1:11" x14ac:dyDescent="0.25">
      <c r="A1189" s="2">
        <v>46146.916666666657</v>
      </c>
      <c r="B1189" t="str">
        <f t="shared" si="36"/>
        <v>2026-05</v>
      </c>
      <c r="C1189" s="3">
        <f t="shared" si="37"/>
        <v>22</v>
      </c>
      <c r="D1189" s="4">
        <v>22.31278871064444</v>
      </c>
      <c r="E1189" s="4">
        <v>23.933188061277779</v>
      </c>
      <c r="F1189" s="4">
        <v>22.768042953661109</v>
      </c>
      <c r="G1189" s="4">
        <v>13.9</v>
      </c>
      <c r="H1189" s="5">
        <v>48.76271659053333</v>
      </c>
      <c r="I1189" s="5">
        <v>45.25917564800833</v>
      </c>
      <c r="J1189" s="5">
        <v>47.075114697605557</v>
      </c>
      <c r="K1189" s="5">
        <v>58</v>
      </c>
    </row>
    <row r="1190" spans="1:11" x14ac:dyDescent="0.25">
      <c r="A1190" s="2">
        <v>46146.958333333343</v>
      </c>
      <c r="B1190" t="str">
        <f t="shared" si="36"/>
        <v>2026-05</v>
      </c>
      <c r="C1190" s="3">
        <f t="shared" si="37"/>
        <v>23</v>
      </c>
      <c r="D1190" s="4">
        <v>22.376947765194441</v>
      </c>
      <c r="E1190" s="4">
        <v>23.95198573288333</v>
      </c>
      <c r="F1190" s="4">
        <v>22.741911314227771</v>
      </c>
      <c r="G1190" s="4">
        <v>12.9</v>
      </c>
      <c r="H1190" s="5">
        <v>48.757000065472234</v>
      </c>
      <c r="I1190" s="5">
        <v>45.086210519261108</v>
      </c>
      <c r="J1190" s="5">
        <v>46.094992050902782</v>
      </c>
      <c r="K1190" s="5">
        <v>59</v>
      </c>
    </row>
    <row r="1191" spans="1:11" x14ac:dyDescent="0.25">
      <c r="A1191" s="2">
        <v>46147</v>
      </c>
      <c r="B1191" t="str">
        <f t="shared" si="36"/>
        <v>2026-05</v>
      </c>
      <c r="C1191" s="3">
        <f t="shared" si="37"/>
        <v>0</v>
      </c>
      <c r="D1191" s="4">
        <v>22.347637586763891</v>
      </c>
      <c r="E1191" s="4">
        <v>24.152430382763889</v>
      </c>
      <c r="F1191" s="4">
        <v>22.667034911586111</v>
      </c>
      <c r="G1191" s="4">
        <v>11.6</v>
      </c>
      <c r="H1191" s="5">
        <v>48.901457106072222</v>
      </c>
      <c r="I1191" s="5">
        <v>44.980116744208338</v>
      </c>
      <c r="J1191" s="5">
        <v>45.318050387777781</v>
      </c>
      <c r="K1191" s="5">
        <v>62</v>
      </c>
    </row>
    <row r="1192" spans="1:11" x14ac:dyDescent="0.25">
      <c r="A1192" s="2">
        <v>46147.041666666657</v>
      </c>
      <c r="B1192" t="str">
        <f t="shared" si="36"/>
        <v>2026-05</v>
      </c>
      <c r="C1192" s="3">
        <f t="shared" si="37"/>
        <v>1</v>
      </c>
      <c r="D1192" s="4">
        <v>22.19563233735833</v>
      </c>
      <c r="E1192" s="4">
        <v>24.04945975288889</v>
      </c>
      <c r="F1192" s="4">
        <v>22.625329758774999</v>
      </c>
      <c r="G1192" s="4">
        <v>10.7</v>
      </c>
      <c r="H1192" s="5">
        <v>50.629070085694451</v>
      </c>
      <c r="I1192" s="5">
        <v>46.084430951005572</v>
      </c>
      <c r="J1192" s="5">
        <v>44.68440628430556</v>
      </c>
      <c r="K1192" s="5">
        <v>64</v>
      </c>
    </row>
    <row r="1193" spans="1:11" x14ac:dyDescent="0.25">
      <c r="A1193" s="2">
        <v>46147.083333333343</v>
      </c>
      <c r="B1193" t="str">
        <f t="shared" si="36"/>
        <v>2026-05</v>
      </c>
      <c r="C1193" s="3">
        <f t="shared" si="37"/>
        <v>2</v>
      </c>
      <c r="D1193" s="4">
        <v>21.942320790013891</v>
      </c>
      <c r="E1193" s="4">
        <v>23.75108494466112</v>
      </c>
      <c r="F1193" s="4">
        <v>22.598621716402779</v>
      </c>
      <c r="G1193" s="4">
        <v>9.8000000000000007</v>
      </c>
      <c r="H1193" s="5">
        <v>53.774975534091674</v>
      </c>
      <c r="I1193" s="5">
        <v>48.32777598784444</v>
      </c>
      <c r="J1193" s="5">
        <v>44.224055191763888</v>
      </c>
      <c r="K1193" s="5">
        <v>67</v>
      </c>
    </row>
    <row r="1194" spans="1:11" x14ac:dyDescent="0.25">
      <c r="A1194" s="2">
        <v>46147.125</v>
      </c>
      <c r="B1194" t="str">
        <f t="shared" si="36"/>
        <v>2026-05</v>
      </c>
      <c r="C1194" s="3">
        <f t="shared" si="37"/>
        <v>3</v>
      </c>
      <c r="D1194" s="4">
        <v>21.715900834038891</v>
      </c>
      <c r="E1194" s="4">
        <v>23.576295236747221</v>
      </c>
      <c r="F1194" s="4">
        <v>22.590166155477771</v>
      </c>
      <c r="G1194" s="4">
        <v>10</v>
      </c>
      <c r="H1194" s="5">
        <v>53.398045613824998</v>
      </c>
      <c r="I1194" s="5">
        <v>47.521682941527779</v>
      </c>
      <c r="J1194" s="5">
        <v>43.815090159475012</v>
      </c>
      <c r="K1194" s="5">
        <v>63</v>
      </c>
    </row>
    <row r="1195" spans="1:11" x14ac:dyDescent="0.25">
      <c r="A1195" s="2">
        <v>46147.166666666657</v>
      </c>
      <c r="B1195" t="str">
        <f t="shared" si="36"/>
        <v>2026-05</v>
      </c>
      <c r="C1195" s="3">
        <f t="shared" si="37"/>
        <v>4</v>
      </c>
      <c r="D1195" s="4">
        <v>21.547866805147219</v>
      </c>
      <c r="E1195" s="4">
        <v>23.374303936152781</v>
      </c>
      <c r="F1195" s="4">
        <v>22.565551592224999</v>
      </c>
      <c r="G1195" s="4">
        <v>9.4</v>
      </c>
      <c r="H1195" s="5">
        <v>52.503777532205547</v>
      </c>
      <c r="I1195" s="5">
        <v>46.523958240566657</v>
      </c>
      <c r="J1195" s="5">
        <v>43.51104840318056</v>
      </c>
      <c r="K1195" s="5">
        <v>65</v>
      </c>
    </row>
    <row r="1196" spans="1:11" x14ac:dyDescent="0.25">
      <c r="A1196" s="2">
        <v>46147.208333333343</v>
      </c>
      <c r="B1196" t="str">
        <f t="shared" si="36"/>
        <v>2026-05</v>
      </c>
      <c r="C1196" s="3">
        <f t="shared" si="37"/>
        <v>5</v>
      </c>
      <c r="D1196" s="4">
        <v>21.49491597965833</v>
      </c>
      <c r="E1196" s="4">
        <v>23.274162187016671</v>
      </c>
      <c r="F1196" s="4">
        <v>22.54409591552222</v>
      </c>
      <c r="G1196" s="4">
        <v>8.6999999999999993</v>
      </c>
      <c r="H1196" s="5">
        <v>51.820968965719437</v>
      </c>
      <c r="I1196" s="5">
        <v>46.382759985847223</v>
      </c>
      <c r="J1196" s="5">
        <v>43.216613603969442</v>
      </c>
      <c r="K1196" s="5">
        <v>67</v>
      </c>
    </row>
    <row r="1197" spans="1:11" x14ac:dyDescent="0.25">
      <c r="A1197" s="2">
        <v>46147.25</v>
      </c>
      <c r="B1197" t="str">
        <f t="shared" si="36"/>
        <v>2026-05</v>
      </c>
      <c r="C1197" s="3">
        <f t="shared" si="37"/>
        <v>6</v>
      </c>
      <c r="D1197" s="4">
        <v>21.856707581725001</v>
      </c>
      <c r="E1197" s="4">
        <v>23.280583718261109</v>
      </c>
      <c r="F1197" s="4">
        <v>22.533430683216661</v>
      </c>
      <c r="G1197" s="4">
        <v>8.9</v>
      </c>
      <c r="H1197" s="5">
        <v>49.642874302477793</v>
      </c>
      <c r="I1197" s="5">
        <v>46.136042228177779</v>
      </c>
      <c r="J1197" s="5">
        <v>42.943453827233327</v>
      </c>
      <c r="K1197" s="5">
        <v>68</v>
      </c>
    </row>
    <row r="1198" spans="1:11" x14ac:dyDescent="0.25">
      <c r="A1198" s="2">
        <v>46147.291666666657</v>
      </c>
      <c r="B1198" t="str">
        <f t="shared" si="36"/>
        <v>2026-05</v>
      </c>
      <c r="C1198" s="3">
        <f t="shared" si="37"/>
        <v>7</v>
      </c>
      <c r="D1198" s="4">
        <v>22.364576954252779</v>
      </c>
      <c r="E1198" s="4">
        <v>23.469617934683331</v>
      </c>
      <c r="F1198" s="4">
        <v>22.538042653041671</v>
      </c>
      <c r="G1198" s="4">
        <v>10.6</v>
      </c>
      <c r="H1198" s="5">
        <v>47.462643971247218</v>
      </c>
      <c r="I1198" s="5">
        <v>45.764722417788903</v>
      </c>
      <c r="J1198" s="5">
        <v>42.934203065011111</v>
      </c>
      <c r="K1198" s="5">
        <v>66</v>
      </c>
    </row>
    <row r="1199" spans="1:11" x14ac:dyDescent="0.25">
      <c r="A1199" s="2">
        <v>46147.333333333343</v>
      </c>
      <c r="B1199" t="str">
        <f t="shared" si="36"/>
        <v>2026-05</v>
      </c>
      <c r="C1199" s="3">
        <f t="shared" si="37"/>
        <v>8</v>
      </c>
      <c r="D1199" s="4">
        <v>22.75241475289722</v>
      </c>
      <c r="E1199" s="4">
        <v>23.80260621411389</v>
      </c>
      <c r="F1199" s="4">
        <v>22.575633684466659</v>
      </c>
      <c r="G1199" s="4">
        <v>13</v>
      </c>
      <c r="H1199" s="5">
        <v>47.622109631394437</v>
      </c>
      <c r="I1199" s="5">
        <v>45.930854390694442</v>
      </c>
      <c r="J1199" s="5">
        <v>43.908510787430551</v>
      </c>
      <c r="K1199" s="5">
        <v>64</v>
      </c>
    </row>
    <row r="1200" spans="1:11" x14ac:dyDescent="0.25">
      <c r="A1200" s="2">
        <v>46147.375</v>
      </c>
      <c r="B1200" t="str">
        <f t="shared" si="36"/>
        <v>2026-05</v>
      </c>
      <c r="C1200" s="3">
        <f t="shared" si="37"/>
        <v>9</v>
      </c>
      <c r="D1200" s="4">
        <v>23.12405657055556</v>
      </c>
      <c r="E1200" s="4">
        <v>24.149168151655559</v>
      </c>
      <c r="F1200" s="4">
        <v>22.649647045630559</v>
      </c>
      <c r="G1200" s="4">
        <v>16.8</v>
      </c>
      <c r="H1200" s="5">
        <v>47.938458548605553</v>
      </c>
      <c r="I1200" s="5">
        <v>45.952431666199999</v>
      </c>
      <c r="J1200" s="5">
        <v>45.334079921144443</v>
      </c>
      <c r="K1200" s="5">
        <v>53</v>
      </c>
    </row>
    <row r="1201" spans="1:11" x14ac:dyDescent="0.25">
      <c r="A1201" s="2">
        <v>46147.416666666657</v>
      </c>
      <c r="B1201" t="str">
        <f t="shared" si="36"/>
        <v>2026-05</v>
      </c>
      <c r="C1201" s="3">
        <f t="shared" si="37"/>
        <v>10</v>
      </c>
      <c r="D1201" s="4">
        <v>23.333030329077779</v>
      </c>
      <c r="E1201" s="4">
        <v>24.44139947090278</v>
      </c>
      <c r="F1201" s="4">
        <v>22.724231925280549</v>
      </c>
      <c r="G1201" s="4">
        <v>19.3</v>
      </c>
      <c r="H1201" s="5">
        <v>48.455348415119438</v>
      </c>
      <c r="I1201" s="5">
        <v>46.408016028963893</v>
      </c>
      <c r="J1201" s="5">
        <v>46.538181157952778</v>
      </c>
      <c r="K1201" s="5">
        <v>46</v>
      </c>
    </row>
    <row r="1202" spans="1:11" x14ac:dyDescent="0.25">
      <c r="A1202" s="2">
        <v>46147.458333333343</v>
      </c>
      <c r="B1202" t="str">
        <f t="shared" si="36"/>
        <v>2026-05</v>
      </c>
      <c r="C1202" s="3">
        <f t="shared" si="37"/>
        <v>11</v>
      </c>
      <c r="D1202" s="4">
        <v>23.503340104447229</v>
      </c>
      <c r="E1202" s="4">
        <v>24.701310626869439</v>
      </c>
      <c r="F1202" s="4">
        <v>22.782726758083331</v>
      </c>
      <c r="G1202" s="4">
        <v>21</v>
      </c>
      <c r="H1202" s="5">
        <v>49.399526416022233</v>
      </c>
      <c r="I1202" s="5">
        <v>47.256001897422223</v>
      </c>
      <c r="J1202" s="5">
        <v>47.554181604197233</v>
      </c>
      <c r="K1202" s="5">
        <v>39</v>
      </c>
    </row>
    <row r="1203" spans="1:11" x14ac:dyDescent="0.25">
      <c r="A1203" s="2">
        <v>46147.5</v>
      </c>
      <c r="B1203" t="str">
        <f t="shared" si="36"/>
        <v>2026-05</v>
      </c>
      <c r="C1203" s="3">
        <f t="shared" si="37"/>
        <v>12</v>
      </c>
      <c r="D1203" s="4">
        <v>23.613913560358331</v>
      </c>
      <c r="E1203" s="4">
        <v>24.761098016394438</v>
      </c>
      <c r="F1203" s="4">
        <v>22.821603513344439</v>
      </c>
      <c r="G1203" s="4">
        <v>21.9</v>
      </c>
      <c r="H1203" s="5">
        <v>49.450707029438888</v>
      </c>
      <c r="I1203" s="5">
        <v>47.188867706827772</v>
      </c>
      <c r="J1203" s="5">
        <v>48.495946787149997</v>
      </c>
      <c r="K1203" s="5">
        <v>37</v>
      </c>
    </row>
    <row r="1204" spans="1:11" x14ac:dyDescent="0.25">
      <c r="A1204" s="2">
        <v>46147.541666666657</v>
      </c>
      <c r="B1204" t="str">
        <f t="shared" si="36"/>
        <v>2026-05</v>
      </c>
      <c r="C1204" s="3">
        <f t="shared" si="37"/>
        <v>13</v>
      </c>
      <c r="D1204" s="4">
        <v>23.518302791316671</v>
      </c>
      <c r="E1204" s="4">
        <v>24.729223632983331</v>
      </c>
      <c r="F1204" s="4">
        <v>22.869672267988889</v>
      </c>
      <c r="G1204" s="4">
        <v>22.4</v>
      </c>
      <c r="H1204" s="5">
        <v>49.911796509866662</v>
      </c>
      <c r="I1204" s="5">
        <v>47.219961532755562</v>
      </c>
      <c r="J1204" s="5">
        <v>49.150022730783327</v>
      </c>
      <c r="K1204" s="5">
        <v>37</v>
      </c>
    </row>
    <row r="1205" spans="1:11" x14ac:dyDescent="0.25">
      <c r="A1205" s="2">
        <v>46147.583333333343</v>
      </c>
      <c r="B1205" t="str">
        <f t="shared" si="36"/>
        <v>2026-05</v>
      </c>
      <c r="C1205" s="3">
        <f t="shared" si="37"/>
        <v>14</v>
      </c>
      <c r="D1205" s="4">
        <v>23.447219267419442</v>
      </c>
      <c r="E1205" s="4">
        <v>24.721000614780561</v>
      </c>
      <c r="F1205" s="4">
        <v>22.910175213216661</v>
      </c>
      <c r="G1205" s="4">
        <v>22.8</v>
      </c>
      <c r="H1205" s="5">
        <v>50.704780678855549</v>
      </c>
      <c r="I1205" s="5">
        <v>47.437733991102782</v>
      </c>
      <c r="J1205" s="5">
        <v>49.633265205136112</v>
      </c>
      <c r="K1205" s="5">
        <v>37</v>
      </c>
    </row>
    <row r="1206" spans="1:11" x14ac:dyDescent="0.25">
      <c r="A1206" s="2">
        <v>46147.625</v>
      </c>
      <c r="B1206" t="str">
        <f t="shared" si="36"/>
        <v>2026-05</v>
      </c>
      <c r="C1206" s="3">
        <f t="shared" si="37"/>
        <v>15</v>
      </c>
      <c r="D1206" s="4">
        <v>23.454890549052781</v>
      </c>
      <c r="E1206" s="4">
        <v>24.724145786055551</v>
      </c>
      <c r="F1206" s="4">
        <v>22.952027194872219</v>
      </c>
      <c r="G1206" s="4">
        <v>23.7</v>
      </c>
      <c r="H1206" s="5">
        <v>50.226754710163881</v>
      </c>
      <c r="I1206" s="5">
        <v>47.258627348188888</v>
      </c>
      <c r="J1206" s="5">
        <v>50.009299126630559</v>
      </c>
      <c r="K1206" s="5">
        <v>31</v>
      </c>
    </row>
    <row r="1207" spans="1:11" x14ac:dyDescent="0.25">
      <c r="A1207" s="2">
        <v>46147.666666666657</v>
      </c>
      <c r="B1207" t="str">
        <f t="shared" si="36"/>
        <v>2026-05</v>
      </c>
      <c r="C1207" s="3">
        <f t="shared" si="37"/>
        <v>16</v>
      </c>
      <c r="D1207" s="4">
        <v>23.499945177461111</v>
      </c>
      <c r="E1207" s="4">
        <v>24.923262458883329</v>
      </c>
      <c r="F1207" s="4">
        <v>22.956878140200001</v>
      </c>
      <c r="G1207" s="4">
        <v>23.8</v>
      </c>
      <c r="H1207" s="5">
        <v>44.985430932258332</v>
      </c>
      <c r="I1207" s="5">
        <v>47.389602426827793</v>
      </c>
      <c r="J1207" s="5">
        <v>50.153845586277782</v>
      </c>
      <c r="K1207" s="5">
        <v>30</v>
      </c>
    </row>
    <row r="1208" spans="1:11" x14ac:dyDescent="0.25">
      <c r="A1208" s="2">
        <v>46147.708333333343</v>
      </c>
      <c r="B1208" t="str">
        <f t="shared" si="36"/>
        <v>2026-05</v>
      </c>
      <c r="C1208" s="3">
        <f t="shared" si="37"/>
        <v>17</v>
      </c>
      <c r="D1208" s="4">
        <v>23.454998169888889</v>
      </c>
      <c r="E1208" s="4">
        <v>25.10861080920278</v>
      </c>
      <c r="F1208" s="4">
        <v>22.956472648624999</v>
      </c>
      <c r="G1208" s="4">
        <v>23.5</v>
      </c>
      <c r="H1208" s="5">
        <v>48.811423770205558</v>
      </c>
      <c r="I1208" s="5">
        <v>46.744982417899998</v>
      </c>
      <c r="J1208" s="5">
        <v>50.339786484094439</v>
      </c>
      <c r="K1208" s="5">
        <v>31</v>
      </c>
    </row>
    <row r="1209" spans="1:11" x14ac:dyDescent="0.25">
      <c r="A1209" s="2">
        <v>46147.75</v>
      </c>
      <c r="B1209" t="str">
        <f t="shared" si="36"/>
        <v>2026-05</v>
      </c>
      <c r="C1209" s="3">
        <f t="shared" si="37"/>
        <v>18</v>
      </c>
      <c r="D1209" s="4">
        <v>23.429633764130561</v>
      </c>
      <c r="E1209" s="4">
        <v>24.973247420261121</v>
      </c>
      <c r="F1209" s="4">
        <v>22.972155332983331</v>
      </c>
      <c r="G1209" s="4">
        <v>22.9</v>
      </c>
      <c r="H1209" s="5">
        <v>49.967221255830559</v>
      </c>
      <c r="I1209" s="5">
        <v>46.83573181632778</v>
      </c>
      <c r="J1209" s="5">
        <v>50.605703401005549</v>
      </c>
      <c r="K1209" s="5">
        <v>33</v>
      </c>
    </row>
    <row r="1210" spans="1:11" x14ac:dyDescent="0.25">
      <c r="A1210" s="2">
        <v>46147.791666666657</v>
      </c>
      <c r="B1210" t="str">
        <f t="shared" si="36"/>
        <v>2026-05</v>
      </c>
      <c r="C1210" s="3">
        <f t="shared" si="37"/>
        <v>19</v>
      </c>
      <c r="D1210" s="4">
        <v>23.271041313125</v>
      </c>
      <c r="E1210" s="4">
        <v>24.721333259122218</v>
      </c>
      <c r="F1210" s="4">
        <v>22.98378008281945</v>
      </c>
      <c r="G1210" s="4">
        <v>21.1</v>
      </c>
      <c r="H1210" s="5">
        <v>49.02506329738889</v>
      </c>
      <c r="I1210" s="5">
        <v>47.107528869886117</v>
      </c>
      <c r="J1210" s="5">
        <v>50.579085459894443</v>
      </c>
      <c r="K1210" s="5">
        <v>48</v>
      </c>
    </row>
    <row r="1211" spans="1:11" x14ac:dyDescent="0.25">
      <c r="A1211" s="2">
        <v>46147.833333333343</v>
      </c>
      <c r="B1211" t="str">
        <f t="shared" si="36"/>
        <v>2026-05</v>
      </c>
      <c r="C1211" s="3">
        <f t="shared" si="37"/>
        <v>20</v>
      </c>
      <c r="D1211" s="4">
        <v>23.290447517474998</v>
      </c>
      <c r="E1211" s="4">
        <v>24.76558943891111</v>
      </c>
      <c r="F1211" s="4">
        <v>22.99329334782222</v>
      </c>
      <c r="G1211" s="4">
        <v>18.600000000000001</v>
      </c>
      <c r="H1211" s="5">
        <v>51.831262444069438</v>
      </c>
      <c r="I1211" s="5">
        <v>48.083336702433343</v>
      </c>
      <c r="J1211" s="5">
        <v>50.339148993144448</v>
      </c>
      <c r="K1211" s="5">
        <v>60</v>
      </c>
    </row>
    <row r="1212" spans="1:11" x14ac:dyDescent="0.25">
      <c r="A1212" s="2">
        <v>46147.875</v>
      </c>
      <c r="B1212" t="str">
        <f t="shared" si="36"/>
        <v>2026-05</v>
      </c>
      <c r="C1212" s="3">
        <f t="shared" si="37"/>
        <v>21</v>
      </c>
      <c r="D1212" s="4">
        <v>23.371827121391661</v>
      </c>
      <c r="E1212" s="4">
        <v>24.71408532096666</v>
      </c>
      <c r="F1212" s="4">
        <v>22.96661724229444</v>
      </c>
      <c r="G1212" s="4">
        <v>17.5</v>
      </c>
      <c r="H1212" s="5">
        <v>53.84207657520556</v>
      </c>
      <c r="I1212" s="5">
        <v>49.387620795894442</v>
      </c>
      <c r="J1212" s="5">
        <v>48.903454363024998</v>
      </c>
      <c r="K1212" s="5">
        <v>58</v>
      </c>
    </row>
    <row r="1213" spans="1:11" x14ac:dyDescent="0.25">
      <c r="A1213" s="2">
        <v>46147.916666666657</v>
      </c>
      <c r="B1213" t="str">
        <f t="shared" si="36"/>
        <v>2026-05</v>
      </c>
      <c r="C1213" s="3">
        <f t="shared" si="37"/>
        <v>22</v>
      </c>
      <c r="D1213" s="4">
        <v>23.48145071668333</v>
      </c>
      <c r="E1213" s="4">
        <v>24.90479540706944</v>
      </c>
      <c r="F1213" s="4">
        <v>22.931703585097221</v>
      </c>
      <c r="G1213" s="4">
        <v>17.3</v>
      </c>
      <c r="H1213" s="5">
        <v>53.203174613572223</v>
      </c>
      <c r="I1213" s="5">
        <v>48.36992012840556</v>
      </c>
      <c r="J1213" s="5">
        <v>47.038316497072223</v>
      </c>
      <c r="K1213" s="5">
        <v>55</v>
      </c>
    </row>
    <row r="1214" spans="1:11" x14ac:dyDescent="0.25">
      <c r="A1214" s="2">
        <v>46147.958333333343</v>
      </c>
      <c r="B1214" t="str">
        <f t="shared" si="36"/>
        <v>2026-05</v>
      </c>
      <c r="C1214" s="3">
        <f t="shared" si="37"/>
        <v>23</v>
      </c>
      <c r="D1214" s="4">
        <v>23.391853621441669</v>
      </c>
      <c r="E1214" s="4">
        <v>24.961989004755559</v>
      </c>
      <c r="F1214" s="4">
        <v>22.90428692442222</v>
      </c>
      <c r="G1214" s="4">
        <v>16.600000000000001</v>
      </c>
      <c r="H1214" s="5">
        <v>52.623511707191682</v>
      </c>
      <c r="I1214" s="5">
        <v>49.317449422813887</v>
      </c>
      <c r="J1214" s="5">
        <v>45.864122930500002</v>
      </c>
      <c r="K1214" s="5">
        <v>51</v>
      </c>
    </row>
    <row r="1215" spans="1:11" x14ac:dyDescent="0.25">
      <c r="A1215" s="2">
        <v>46148</v>
      </c>
      <c r="B1215" t="str">
        <f t="shared" si="36"/>
        <v>2026-05</v>
      </c>
      <c r="C1215" s="3">
        <f t="shared" si="37"/>
        <v>0</v>
      </c>
      <c r="D1215" s="4">
        <v>23.20724805931944</v>
      </c>
      <c r="E1215" s="4">
        <v>24.82290920735834</v>
      </c>
      <c r="F1215" s="4">
        <v>22.886540137605561</v>
      </c>
      <c r="G1215" s="4">
        <v>15.4</v>
      </c>
      <c r="H1215" s="5">
        <v>54.5939190737</v>
      </c>
      <c r="I1215" s="5">
        <v>50.816567713127768</v>
      </c>
      <c r="J1215" s="5">
        <v>45.437611014455548</v>
      </c>
      <c r="K1215" s="5">
        <v>53</v>
      </c>
    </row>
    <row r="1216" spans="1:11" x14ac:dyDescent="0.25">
      <c r="A1216" s="2">
        <v>46148.041666666657</v>
      </c>
      <c r="B1216" t="str">
        <f t="shared" si="36"/>
        <v>2026-05</v>
      </c>
      <c r="C1216" s="3">
        <f t="shared" si="37"/>
        <v>1</v>
      </c>
      <c r="D1216" s="4">
        <v>22.84602456664166</v>
      </c>
      <c r="E1216" s="4">
        <v>24.246364723058331</v>
      </c>
      <c r="F1216" s="4">
        <v>22.870120052983332</v>
      </c>
      <c r="G1216" s="4">
        <v>14.4</v>
      </c>
      <c r="H1216" s="5">
        <v>56.377496888608327</v>
      </c>
      <c r="I1216" s="5">
        <v>53.822629986658328</v>
      </c>
      <c r="J1216" s="5">
        <v>45.174657405222227</v>
      </c>
      <c r="K1216" s="5">
        <v>52</v>
      </c>
    </row>
    <row r="1217" spans="1:11" x14ac:dyDescent="0.25">
      <c r="A1217" s="2">
        <v>46148.083333333343</v>
      </c>
      <c r="B1217" t="str">
        <f t="shared" si="36"/>
        <v>2026-05</v>
      </c>
      <c r="C1217" s="3">
        <f t="shared" si="37"/>
        <v>2</v>
      </c>
      <c r="D1217" s="4">
        <v>22.568414272719441</v>
      </c>
      <c r="E1217" s="4">
        <v>23.94162870996945</v>
      </c>
      <c r="F1217" s="4">
        <v>22.851734571052781</v>
      </c>
      <c r="G1217" s="4">
        <v>13.7</v>
      </c>
      <c r="H1217" s="5">
        <v>57.336887724258332</v>
      </c>
      <c r="I1217" s="5">
        <v>55.139333320113899</v>
      </c>
      <c r="J1217" s="5">
        <v>44.774429370177778</v>
      </c>
      <c r="K1217" s="5">
        <v>50</v>
      </c>
    </row>
    <row r="1218" spans="1:11" x14ac:dyDescent="0.25">
      <c r="A1218" s="2">
        <v>46148.125</v>
      </c>
      <c r="B1218" t="str">
        <f t="shared" ref="B1218:B1281" si="38">TEXT(A1218,"yyyy-mm")</f>
        <v>2026-05</v>
      </c>
      <c r="C1218" s="3">
        <f t="shared" ref="C1218:C1281" si="39">HOUR(A1218)</f>
        <v>3</v>
      </c>
      <c r="D1218" s="4">
        <v>22.40019232220833</v>
      </c>
      <c r="E1218" s="4">
        <v>23.827486756502779</v>
      </c>
      <c r="F1218" s="4">
        <v>22.831539751849999</v>
      </c>
      <c r="G1218" s="4">
        <v>12.7</v>
      </c>
      <c r="H1218" s="5">
        <v>57.738066178105562</v>
      </c>
      <c r="I1218" s="5">
        <v>55.210718767141678</v>
      </c>
      <c r="J1218" s="5">
        <v>44.408057862827768</v>
      </c>
      <c r="K1218" s="5">
        <v>58</v>
      </c>
    </row>
    <row r="1219" spans="1:11" x14ac:dyDescent="0.25">
      <c r="A1219" s="2">
        <v>46148.166666666657</v>
      </c>
      <c r="B1219" t="str">
        <f t="shared" si="38"/>
        <v>2026-05</v>
      </c>
      <c r="C1219" s="3">
        <f t="shared" si="39"/>
        <v>4</v>
      </c>
      <c r="D1219" s="4">
        <v>22.25078304440278</v>
      </c>
      <c r="E1219" s="4">
        <v>23.602533703374998</v>
      </c>
      <c r="F1219" s="4">
        <v>22.82267915735833</v>
      </c>
      <c r="G1219" s="4">
        <v>12.2</v>
      </c>
      <c r="H1219" s="5">
        <v>57.904664580608333</v>
      </c>
      <c r="I1219" s="5">
        <v>55.342383542419441</v>
      </c>
      <c r="J1219" s="5">
        <v>44.066285807405563</v>
      </c>
      <c r="K1219" s="5">
        <v>58</v>
      </c>
    </row>
    <row r="1220" spans="1:11" x14ac:dyDescent="0.25">
      <c r="A1220" s="2">
        <v>46148.208333333343</v>
      </c>
      <c r="B1220" t="str">
        <f t="shared" si="38"/>
        <v>2026-05</v>
      </c>
      <c r="C1220" s="3">
        <f t="shared" si="39"/>
        <v>5</v>
      </c>
      <c r="D1220" s="4">
        <v>22.20853768140833</v>
      </c>
      <c r="E1220" s="4">
        <v>23.488012675850001</v>
      </c>
      <c r="F1220" s="4">
        <v>22.815984100113891</v>
      </c>
      <c r="G1220" s="4">
        <v>11.5</v>
      </c>
      <c r="H1220" s="5">
        <v>57.720457827869438</v>
      </c>
      <c r="I1220" s="5">
        <v>54.915854164702779</v>
      </c>
      <c r="J1220" s="5">
        <v>43.755172327694453</v>
      </c>
      <c r="K1220" s="5">
        <v>61</v>
      </c>
    </row>
    <row r="1221" spans="1:11" x14ac:dyDescent="0.25">
      <c r="A1221" s="2">
        <v>46148.25</v>
      </c>
      <c r="B1221" t="str">
        <f t="shared" si="38"/>
        <v>2026-05</v>
      </c>
      <c r="C1221" s="3">
        <f t="shared" si="39"/>
        <v>6</v>
      </c>
      <c r="D1221" s="4">
        <v>22.611225256583332</v>
      </c>
      <c r="E1221" s="4">
        <v>23.603812459566669</v>
      </c>
      <c r="F1221" s="4">
        <v>22.809487470858329</v>
      </c>
      <c r="G1221" s="4">
        <v>11.5</v>
      </c>
      <c r="H1221" s="5">
        <v>55.396228293050001</v>
      </c>
      <c r="I1221" s="5">
        <v>53.028913710700003</v>
      </c>
      <c r="J1221" s="5">
        <v>43.526202128102767</v>
      </c>
      <c r="K1221" s="5">
        <v>63</v>
      </c>
    </row>
    <row r="1222" spans="1:11" x14ac:dyDescent="0.25">
      <c r="A1222" s="2">
        <v>46148.291666666657</v>
      </c>
      <c r="B1222" t="str">
        <f t="shared" si="38"/>
        <v>2026-05</v>
      </c>
      <c r="C1222" s="3">
        <f t="shared" si="39"/>
        <v>7</v>
      </c>
      <c r="D1222" s="4">
        <v>23.043093604625</v>
      </c>
      <c r="E1222" s="4">
        <v>23.878555962844441</v>
      </c>
      <c r="F1222" s="4">
        <v>22.822642950780551</v>
      </c>
      <c r="G1222" s="4">
        <v>12.7</v>
      </c>
      <c r="H1222" s="5">
        <v>53.737326831252773</v>
      </c>
      <c r="I1222" s="5">
        <v>53.72573272110278</v>
      </c>
      <c r="J1222" s="5">
        <v>43.475260372752778</v>
      </c>
      <c r="K1222" s="5">
        <v>64</v>
      </c>
    </row>
    <row r="1223" spans="1:11" x14ac:dyDescent="0.25">
      <c r="A1223" s="2">
        <v>46148.333333333343</v>
      </c>
      <c r="B1223" t="str">
        <f t="shared" si="38"/>
        <v>2026-05</v>
      </c>
      <c r="C1223" s="3">
        <f t="shared" si="39"/>
        <v>8</v>
      </c>
      <c r="D1223" s="4">
        <v>23.430843777519438</v>
      </c>
      <c r="E1223" s="4">
        <v>24.217168292863889</v>
      </c>
      <c r="F1223" s="4">
        <v>22.862719175327779</v>
      </c>
      <c r="G1223" s="4">
        <v>14.7</v>
      </c>
      <c r="H1223" s="5">
        <v>53.401376172852792</v>
      </c>
      <c r="I1223" s="5">
        <v>53.481816048861113</v>
      </c>
      <c r="J1223" s="5">
        <v>44.098041180975002</v>
      </c>
      <c r="K1223" s="5">
        <v>58</v>
      </c>
    </row>
    <row r="1224" spans="1:11" x14ac:dyDescent="0.25">
      <c r="A1224" s="2">
        <v>46148.375</v>
      </c>
      <c r="B1224" t="str">
        <f t="shared" si="38"/>
        <v>2026-05</v>
      </c>
      <c r="C1224" s="3">
        <f t="shared" si="39"/>
        <v>9</v>
      </c>
      <c r="D1224" s="4">
        <v>23.81150406161111</v>
      </c>
      <c r="E1224" s="4">
        <v>24.748880395058329</v>
      </c>
      <c r="F1224" s="4">
        <v>22.938686212052779</v>
      </c>
      <c r="G1224" s="4">
        <v>18.100000000000001</v>
      </c>
      <c r="H1224" s="5">
        <v>52.944329664249999</v>
      </c>
      <c r="I1224" s="5">
        <v>53.208243962772222</v>
      </c>
      <c r="J1224" s="5">
        <v>45.475942714108328</v>
      </c>
      <c r="K1224" s="5">
        <v>47</v>
      </c>
    </row>
    <row r="1225" spans="1:11" x14ac:dyDescent="0.25">
      <c r="A1225" s="2">
        <v>46148.416666666657</v>
      </c>
      <c r="B1225" t="str">
        <f t="shared" si="38"/>
        <v>2026-05</v>
      </c>
      <c r="C1225" s="3">
        <f t="shared" si="39"/>
        <v>10</v>
      </c>
      <c r="D1225" s="4">
        <v>24.126537339627781</v>
      </c>
      <c r="E1225" s="4">
        <v>25.123936735436111</v>
      </c>
      <c r="F1225" s="4">
        <v>23.04492503734167</v>
      </c>
      <c r="G1225" s="4">
        <v>21.1</v>
      </c>
      <c r="H1225" s="5">
        <v>53.988684898700001</v>
      </c>
      <c r="I1225" s="5">
        <v>52.922322378311122</v>
      </c>
      <c r="J1225" s="5">
        <v>47.696477054386122</v>
      </c>
      <c r="K1225" s="5">
        <v>40</v>
      </c>
    </row>
    <row r="1226" spans="1:11" x14ac:dyDescent="0.25">
      <c r="A1226" s="2">
        <v>46148.458333333343</v>
      </c>
      <c r="B1226" t="str">
        <f t="shared" si="38"/>
        <v>2026-05</v>
      </c>
      <c r="C1226" s="3">
        <f t="shared" si="39"/>
        <v>11</v>
      </c>
      <c r="D1226" s="4">
        <v>24.203158697313889</v>
      </c>
      <c r="E1226" s="4">
        <v>25.1916327229</v>
      </c>
      <c r="F1226" s="4">
        <v>23.138056173691659</v>
      </c>
      <c r="G1226" s="4">
        <v>23.3</v>
      </c>
      <c r="H1226" s="5">
        <v>54.288643021013883</v>
      </c>
      <c r="I1226" s="5">
        <v>53.445566447516661</v>
      </c>
      <c r="J1226" s="5">
        <v>49.68990468382777</v>
      </c>
      <c r="K1226" s="5">
        <v>36</v>
      </c>
    </row>
    <row r="1227" spans="1:11" x14ac:dyDescent="0.25">
      <c r="A1227" s="2">
        <v>46148.5</v>
      </c>
      <c r="B1227" t="str">
        <f t="shared" si="38"/>
        <v>2026-05</v>
      </c>
      <c r="C1227" s="3">
        <f t="shared" si="39"/>
        <v>12</v>
      </c>
      <c r="D1227" s="4">
        <v>24.226722177197221</v>
      </c>
      <c r="E1227" s="4">
        <v>25.355978722419451</v>
      </c>
      <c r="F1227" s="4">
        <v>23.19587396396944</v>
      </c>
      <c r="G1227" s="4">
        <v>24.9</v>
      </c>
      <c r="H1227" s="5">
        <v>55.166841868286113</v>
      </c>
      <c r="I1227" s="5">
        <v>52.451640606519447</v>
      </c>
      <c r="J1227" s="5">
        <v>50.680483499902778</v>
      </c>
      <c r="K1227" s="5">
        <v>30</v>
      </c>
    </row>
    <row r="1228" spans="1:11" x14ac:dyDescent="0.25">
      <c r="A1228" s="2">
        <v>46148.541666666657</v>
      </c>
      <c r="B1228" t="str">
        <f t="shared" si="38"/>
        <v>2026-05</v>
      </c>
      <c r="C1228" s="3">
        <f t="shared" si="39"/>
        <v>13</v>
      </c>
      <c r="D1228" s="4">
        <v>24.04069071669722</v>
      </c>
      <c r="E1228" s="4">
        <v>25.287685678102768</v>
      </c>
      <c r="F1228" s="4">
        <v>23.220817104413889</v>
      </c>
      <c r="G1228" s="4">
        <v>25.4</v>
      </c>
      <c r="H1228" s="5">
        <v>51.08118147138611</v>
      </c>
      <c r="I1228" s="5">
        <v>45.613677645902783</v>
      </c>
      <c r="J1228" s="5">
        <v>50.423943758255547</v>
      </c>
      <c r="K1228" s="5">
        <v>26</v>
      </c>
    </row>
    <row r="1229" spans="1:11" x14ac:dyDescent="0.25">
      <c r="A1229" s="2">
        <v>46148.583333333343</v>
      </c>
      <c r="B1229" t="str">
        <f t="shared" si="38"/>
        <v>2026-05</v>
      </c>
      <c r="C1229" s="3">
        <f t="shared" si="39"/>
        <v>14</v>
      </c>
      <c r="D1229" s="4">
        <v>23.643422912277771</v>
      </c>
      <c r="E1229" s="4">
        <v>25.002426569269449</v>
      </c>
      <c r="F1229" s="4">
        <v>23.214745626913889</v>
      </c>
      <c r="G1229" s="4">
        <v>25.6</v>
      </c>
      <c r="H1229" s="5">
        <v>48.630637904486122</v>
      </c>
      <c r="I1229" s="5">
        <v>43.773304194588889</v>
      </c>
      <c r="J1229" s="5">
        <v>49.739039850344447</v>
      </c>
      <c r="K1229" s="5">
        <v>25</v>
      </c>
    </row>
    <row r="1230" spans="1:11" x14ac:dyDescent="0.25">
      <c r="A1230" s="2">
        <v>46148.625</v>
      </c>
      <c r="B1230" t="str">
        <f t="shared" si="38"/>
        <v>2026-05</v>
      </c>
      <c r="C1230" s="3">
        <f t="shared" si="39"/>
        <v>15</v>
      </c>
      <c r="D1230" s="4">
        <v>23.685598906483332</v>
      </c>
      <c r="E1230" s="4">
        <v>25.135215088502779</v>
      </c>
      <c r="F1230" s="4">
        <v>23.195527522688892</v>
      </c>
      <c r="G1230" s="4">
        <v>26.4</v>
      </c>
      <c r="H1230" s="5">
        <v>42.93050805271389</v>
      </c>
      <c r="I1230" s="5">
        <v>37.782886693027777</v>
      </c>
      <c r="J1230" s="5">
        <v>49.040503022225003</v>
      </c>
      <c r="K1230" s="5">
        <v>22</v>
      </c>
    </row>
    <row r="1231" spans="1:11" x14ac:dyDescent="0.25">
      <c r="A1231" s="2">
        <v>46148.666666666657</v>
      </c>
      <c r="B1231" t="str">
        <f t="shared" si="38"/>
        <v>2026-05</v>
      </c>
      <c r="C1231" s="3">
        <f t="shared" si="39"/>
        <v>16</v>
      </c>
      <c r="D1231" s="4">
        <v>23.844852263100002</v>
      </c>
      <c r="E1231" s="4">
        <v>25.341051657477781</v>
      </c>
      <c r="F1231" s="4">
        <v>23.192940459163889</v>
      </c>
      <c r="G1231" s="4">
        <v>26.5</v>
      </c>
      <c r="H1231" s="5">
        <v>38.384449890080553</v>
      </c>
      <c r="I1231" s="5">
        <v>35.673776519424997</v>
      </c>
      <c r="J1231" s="5">
        <v>48.229654024725001</v>
      </c>
      <c r="K1231" s="5">
        <v>22</v>
      </c>
    </row>
    <row r="1232" spans="1:11" x14ac:dyDescent="0.25">
      <c r="A1232" s="2">
        <v>46148.708333333343</v>
      </c>
      <c r="B1232" t="str">
        <f t="shared" si="38"/>
        <v>2026-05</v>
      </c>
      <c r="C1232" s="3">
        <f t="shared" si="39"/>
        <v>17</v>
      </c>
      <c r="D1232" s="4">
        <v>23.869590137519442</v>
      </c>
      <c r="E1232" s="4">
        <v>25.398061377855559</v>
      </c>
      <c r="F1232" s="4">
        <v>23.195993088852781</v>
      </c>
      <c r="G1232" s="4">
        <v>26.2</v>
      </c>
      <c r="H1232" s="5">
        <v>38.451165843022217</v>
      </c>
      <c r="I1232" s="5">
        <v>35.796992853330558</v>
      </c>
      <c r="J1232" s="5">
        <v>47.95801577318889</v>
      </c>
      <c r="K1232" s="5">
        <v>23</v>
      </c>
    </row>
    <row r="1233" spans="1:11" x14ac:dyDescent="0.25">
      <c r="A1233" s="2">
        <v>46148.75</v>
      </c>
      <c r="B1233" t="str">
        <f t="shared" si="38"/>
        <v>2026-05</v>
      </c>
      <c r="C1233" s="3">
        <f t="shared" si="39"/>
        <v>18</v>
      </c>
      <c r="D1233" s="4">
        <v>23.81385162322222</v>
      </c>
      <c r="E1233" s="4">
        <v>25.236100435036111</v>
      </c>
      <c r="F1233" s="4">
        <v>23.21196113992778</v>
      </c>
      <c r="G1233" s="4">
        <v>25.5</v>
      </c>
      <c r="H1233" s="5">
        <v>37.117296309791669</v>
      </c>
      <c r="I1233" s="5">
        <v>34.266129599433327</v>
      </c>
      <c r="J1233" s="5">
        <v>47.65688104440278</v>
      </c>
      <c r="K1233" s="5">
        <v>25</v>
      </c>
    </row>
    <row r="1234" spans="1:11" x14ac:dyDescent="0.25">
      <c r="A1234" s="2">
        <v>46148.791666666657</v>
      </c>
      <c r="B1234" t="str">
        <f t="shared" si="38"/>
        <v>2026-05</v>
      </c>
      <c r="C1234" s="3">
        <f t="shared" si="39"/>
        <v>19</v>
      </c>
      <c r="D1234" s="4">
        <v>23.591312358838891</v>
      </c>
      <c r="E1234" s="4">
        <v>24.92522124938889</v>
      </c>
      <c r="F1234" s="4">
        <v>23.201839649755559</v>
      </c>
      <c r="G1234" s="4">
        <v>23.7</v>
      </c>
      <c r="H1234" s="5">
        <v>37.289824577072217</v>
      </c>
      <c r="I1234" s="5">
        <v>33.101598229611113</v>
      </c>
      <c r="J1234" s="5">
        <v>47.336024915827778</v>
      </c>
      <c r="K1234" s="5">
        <v>35</v>
      </c>
    </row>
    <row r="1235" spans="1:11" x14ac:dyDescent="0.25">
      <c r="A1235" s="2">
        <v>46148.833333333343</v>
      </c>
      <c r="B1235" t="str">
        <f t="shared" si="38"/>
        <v>2026-05</v>
      </c>
      <c r="C1235" s="3">
        <f t="shared" si="39"/>
        <v>20</v>
      </c>
      <c r="D1235" s="4">
        <v>23.523392132872221</v>
      </c>
      <c r="E1235" s="4">
        <v>25.133467673211111</v>
      </c>
      <c r="F1235" s="4">
        <v>23.200549364461111</v>
      </c>
      <c r="G1235" s="4">
        <v>21.6</v>
      </c>
      <c r="H1235" s="5">
        <v>40.380115747666672</v>
      </c>
      <c r="I1235" s="5">
        <v>38.697338115130563</v>
      </c>
      <c r="J1235" s="5">
        <v>47.39660205578889</v>
      </c>
      <c r="K1235" s="5">
        <v>40</v>
      </c>
    </row>
    <row r="1236" spans="1:11" x14ac:dyDescent="0.25">
      <c r="A1236" s="2">
        <v>46148.875</v>
      </c>
      <c r="B1236" t="str">
        <f t="shared" si="38"/>
        <v>2026-05</v>
      </c>
      <c r="C1236" s="3">
        <f t="shared" si="39"/>
        <v>21</v>
      </c>
      <c r="D1236" s="4">
        <v>23.680259475675001</v>
      </c>
      <c r="E1236" s="4">
        <v>25.30271476284166</v>
      </c>
      <c r="F1236" s="4">
        <v>23.234727549319441</v>
      </c>
      <c r="G1236" s="4">
        <v>20.3</v>
      </c>
      <c r="H1236" s="5">
        <v>43.884484686772232</v>
      </c>
      <c r="I1236" s="5">
        <v>40.488439949413888</v>
      </c>
      <c r="J1236" s="5">
        <v>47.829869924319439</v>
      </c>
      <c r="K1236" s="5">
        <v>40</v>
      </c>
    </row>
    <row r="1237" spans="1:11" x14ac:dyDescent="0.25">
      <c r="A1237" s="2">
        <v>46148.916666666657</v>
      </c>
      <c r="B1237" t="str">
        <f t="shared" si="38"/>
        <v>2026-05</v>
      </c>
      <c r="C1237" s="3">
        <f t="shared" si="39"/>
        <v>22</v>
      </c>
      <c r="D1237" s="4">
        <v>23.784649767491668</v>
      </c>
      <c r="E1237" s="4">
        <v>25.548440887466661</v>
      </c>
      <c r="F1237" s="4">
        <v>23.255045968341669</v>
      </c>
      <c r="G1237" s="4">
        <v>19.600000000000001</v>
      </c>
      <c r="H1237" s="5">
        <v>44.274154927141673</v>
      </c>
      <c r="I1237" s="5">
        <v>41.573037852622221</v>
      </c>
      <c r="J1237" s="5">
        <v>47.747984329430551</v>
      </c>
      <c r="K1237" s="5">
        <v>41</v>
      </c>
    </row>
    <row r="1238" spans="1:11" x14ac:dyDescent="0.25">
      <c r="A1238" s="2">
        <v>46148.958333333343</v>
      </c>
      <c r="B1238" t="str">
        <f t="shared" si="38"/>
        <v>2026-05</v>
      </c>
      <c r="C1238" s="3">
        <f t="shared" si="39"/>
        <v>23</v>
      </c>
      <c r="D1238" s="4">
        <v>24.03682514760834</v>
      </c>
      <c r="E1238" s="4">
        <v>25.714644875836111</v>
      </c>
      <c r="F1238" s="4">
        <v>23.287398947433331</v>
      </c>
      <c r="G1238" s="4">
        <v>18.7</v>
      </c>
      <c r="H1238" s="5">
        <v>45.50437846373611</v>
      </c>
      <c r="I1238" s="5">
        <v>42.102896666180563</v>
      </c>
      <c r="J1238" s="5">
        <v>47.779616909675013</v>
      </c>
      <c r="K1238" s="5">
        <v>42</v>
      </c>
    </row>
    <row r="1239" spans="1:11" x14ac:dyDescent="0.25">
      <c r="A1239" s="2">
        <v>46149</v>
      </c>
      <c r="B1239" t="str">
        <f t="shared" si="38"/>
        <v>2026-05</v>
      </c>
      <c r="C1239" s="3">
        <f t="shared" si="39"/>
        <v>0</v>
      </c>
      <c r="D1239" s="4">
        <v>24.164007059705561</v>
      </c>
      <c r="E1239" s="4">
        <v>25.782445706966669</v>
      </c>
      <c r="F1239" s="4">
        <v>23.320310860627782</v>
      </c>
      <c r="G1239" s="4">
        <v>17.899999999999999</v>
      </c>
      <c r="H1239" s="5">
        <v>46.930003937622217</v>
      </c>
      <c r="I1239" s="5">
        <v>45.415632161369437</v>
      </c>
      <c r="J1239" s="5">
        <v>47.827521790311103</v>
      </c>
      <c r="K1239" s="5">
        <v>42</v>
      </c>
    </row>
    <row r="1240" spans="1:11" x14ac:dyDescent="0.25">
      <c r="A1240" s="2">
        <v>46149.041666666657</v>
      </c>
      <c r="B1240" t="str">
        <f t="shared" si="38"/>
        <v>2026-05</v>
      </c>
      <c r="C1240" s="3">
        <f t="shared" si="39"/>
        <v>1</v>
      </c>
      <c r="D1240" s="4">
        <v>24.143235289</v>
      </c>
      <c r="E1240" s="4">
        <v>25.537875068194442</v>
      </c>
      <c r="F1240" s="4">
        <v>23.337338570144439</v>
      </c>
      <c r="G1240" s="4">
        <v>16.8</v>
      </c>
      <c r="H1240" s="5">
        <v>51.101911178444453</v>
      </c>
      <c r="I1240" s="5">
        <v>49.666142114638888</v>
      </c>
      <c r="J1240" s="5">
        <v>47.862556799900013</v>
      </c>
      <c r="K1240" s="5">
        <v>47</v>
      </c>
    </row>
    <row r="1241" spans="1:11" x14ac:dyDescent="0.25">
      <c r="A1241" s="2">
        <v>46149.083333333343</v>
      </c>
      <c r="B1241" t="str">
        <f t="shared" si="38"/>
        <v>2026-05</v>
      </c>
      <c r="C1241" s="3">
        <f t="shared" si="39"/>
        <v>2</v>
      </c>
      <c r="D1241" s="4">
        <v>23.868400884780559</v>
      </c>
      <c r="E1241" s="4">
        <v>25.248969227991669</v>
      </c>
      <c r="F1241" s="4">
        <v>23.34905794895278</v>
      </c>
      <c r="G1241" s="4">
        <v>15.7</v>
      </c>
      <c r="H1241" s="5">
        <v>52.74687561635556</v>
      </c>
      <c r="I1241" s="5">
        <v>50.541633201169446</v>
      </c>
      <c r="J1241" s="5">
        <v>47.959178985155553</v>
      </c>
      <c r="K1241" s="5">
        <v>53</v>
      </c>
    </row>
    <row r="1242" spans="1:11" x14ac:dyDescent="0.25">
      <c r="A1242" s="2">
        <v>46149.125</v>
      </c>
      <c r="B1242" t="str">
        <f t="shared" si="38"/>
        <v>2026-05</v>
      </c>
      <c r="C1242" s="3">
        <f t="shared" si="39"/>
        <v>3</v>
      </c>
      <c r="D1242" s="4">
        <v>23.574123132438888</v>
      </c>
      <c r="E1242" s="4">
        <v>24.889255472411111</v>
      </c>
      <c r="F1242" s="4">
        <v>23.335288498730549</v>
      </c>
      <c r="G1242" s="4">
        <v>15.5</v>
      </c>
      <c r="H1242" s="5">
        <v>54.662083948283332</v>
      </c>
      <c r="I1242" s="5">
        <v>51.693310655302767</v>
      </c>
      <c r="J1242" s="5">
        <v>47.928128319127779</v>
      </c>
      <c r="K1242" s="5">
        <v>54</v>
      </c>
    </row>
    <row r="1243" spans="1:11" x14ac:dyDescent="0.25">
      <c r="A1243" s="2">
        <v>46149.166666666657</v>
      </c>
      <c r="B1243" t="str">
        <f t="shared" si="38"/>
        <v>2026-05</v>
      </c>
      <c r="C1243" s="3">
        <f t="shared" si="39"/>
        <v>4</v>
      </c>
      <c r="D1243" s="4">
        <v>23.362959349074998</v>
      </c>
      <c r="E1243" s="4">
        <v>24.678876092694441</v>
      </c>
      <c r="F1243" s="4">
        <v>23.33228902605833</v>
      </c>
      <c r="G1243" s="4">
        <v>15.2</v>
      </c>
      <c r="H1243" s="5">
        <v>55.215934419572228</v>
      </c>
      <c r="I1243" s="5">
        <v>50.979002840249997</v>
      </c>
      <c r="J1243" s="5">
        <v>47.940989878825</v>
      </c>
      <c r="K1243" s="5">
        <v>53</v>
      </c>
    </row>
    <row r="1244" spans="1:11" x14ac:dyDescent="0.25">
      <c r="A1244" s="2">
        <v>46149.208333333343</v>
      </c>
      <c r="B1244" t="str">
        <f t="shared" si="38"/>
        <v>2026-05</v>
      </c>
      <c r="C1244" s="3">
        <f t="shared" si="39"/>
        <v>5</v>
      </c>
      <c r="D1244" s="4">
        <v>23.309108498091661</v>
      </c>
      <c r="E1244" s="4">
        <v>24.530497046711108</v>
      </c>
      <c r="F1244" s="4">
        <v>23.314939567152781</v>
      </c>
      <c r="G1244" s="4">
        <v>14.7</v>
      </c>
      <c r="H1244" s="5">
        <v>55.12576841372222</v>
      </c>
      <c r="I1244" s="5">
        <v>51.437302722038893</v>
      </c>
      <c r="J1244" s="5">
        <v>47.557741519083329</v>
      </c>
      <c r="K1244" s="5">
        <v>52</v>
      </c>
    </row>
    <row r="1245" spans="1:11" x14ac:dyDescent="0.25">
      <c r="A1245" s="2">
        <v>46149.25</v>
      </c>
      <c r="B1245" t="str">
        <f t="shared" si="38"/>
        <v>2026-05</v>
      </c>
      <c r="C1245" s="3">
        <f t="shared" si="39"/>
        <v>6</v>
      </c>
      <c r="D1245" s="4">
        <v>23.558146340786109</v>
      </c>
      <c r="E1245" s="4">
        <v>24.636980767627779</v>
      </c>
      <c r="F1245" s="4">
        <v>23.301710001225</v>
      </c>
      <c r="G1245" s="4">
        <v>14.9</v>
      </c>
      <c r="H1245" s="5">
        <v>53.177114429458342</v>
      </c>
      <c r="I1245" s="5">
        <v>50.534867361688889</v>
      </c>
      <c r="J1245" s="5">
        <v>46.747945844494453</v>
      </c>
      <c r="K1245" s="5">
        <v>51</v>
      </c>
    </row>
    <row r="1246" spans="1:11" x14ac:dyDescent="0.25">
      <c r="A1246" s="2">
        <v>46149.291666666657</v>
      </c>
      <c r="B1246" t="str">
        <f t="shared" si="38"/>
        <v>2026-05</v>
      </c>
      <c r="C1246" s="3">
        <f t="shared" si="39"/>
        <v>7</v>
      </c>
      <c r="D1246" s="4">
        <v>23.93351744674445</v>
      </c>
      <c r="E1246" s="4">
        <v>24.962086842180561</v>
      </c>
      <c r="F1246" s="4">
        <v>23.317431816827771</v>
      </c>
      <c r="G1246" s="4">
        <v>16.3</v>
      </c>
      <c r="H1246" s="5">
        <v>52.15093678995833</v>
      </c>
      <c r="I1246" s="5">
        <v>50.067229336680562</v>
      </c>
      <c r="J1246" s="5">
        <v>46.682440823752778</v>
      </c>
      <c r="K1246" s="5">
        <v>49</v>
      </c>
    </row>
    <row r="1247" spans="1:11" x14ac:dyDescent="0.25">
      <c r="A1247" s="2">
        <v>46149.333333333343</v>
      </c>
      <c r="B1247" t="str">
        <f t="shared" si="38"/>
        <v>2026-05</v>
      </c>
      <c r="C1247" s="3">
        <f t="shared" si="39"/>
        <v>8</v>
      </c>
      <c r="D1247" s="4">
        <v>24.311288079591659</v>
      </c>
      <c r="E1247" s="4">
        <v>25.379878412455561</v>
      </c>
      <c r="F1247" s="4">
        <v>23.37886119778889</v>
      </c>
      <c r="G1247" s="4">
        <v>18.399999999999999</v>
      </c>
      <c r="H1247" s="5">
        <v>52.28505637779444</v>
      </c>
      <c r="I1247" s="5">
        <v>49.73332582176667</v>
      </c>
      <c r="J1247" s="5">
        <v>47.919674823522222</v>
      </c>
      <c r="K1247" s="5">
        <v>45</v>
      </c>
    </row>
    <row r="1248" spans="1:11" x14ac:dyDescent="0.25">
      <c r="A1248" s="2">
        <v>46149.375</v>
      </c>
      <c r="B1248" t="str">
        <f t="shared" si="38"/>
        <v>2026-05</v>
      </c>
      <c r="C1248" s="3">
        <f t="shared" si="39"/>
        <v>9</v>
      </c>
      <c r="D1248" s="4">
        <v>24.766088683130562</v>
      </c>
      <c r="E1248" s="4">
        <v>25.764019413355559</v>
      </c>
      <c r="F1248" s="4">
        <v>23.47099449205</v>
      </c>
      <c r="G1248" s="4">
        <v>21.7</v>
      </c>
      <c r="H1248" s="5">
        <v>51.592860928627779</v>
      </c>
      <c r="I1248" s="5">
        <v>49.76343327076944</v>
      </c>
      <c r="J1248" s="5">
        <v>49.82154205417222</v>
      </c>
      <c r="K1248" s="5">
        <v>36</v>
      </c>
    </row>
    <row r="1249" spans="1:11" x14ac:dyDescent="0.25">
      <c r="A1249" s="2">
        <v>46149.416666666657</v>
      </c>
      <c r="B1249" t="str">
        <f t="shared" si="38"/>
        <v>2026-05</v>
      </c>
      <c r="C1249" s="3">
        <f t="shared" si="39"/>
        <v>10</v>
      </c>
      <c r="D1249" s="4">
        <v>25.10617564543611</v>
      </c>
      <c r="E1249" s="4">
        <v>26.214878445052779</v>
      </c>
      <c r="F1249" s="4">
        <v>23.563378690858329</v>
      </c>
      <c r="G1249" s="4">
        <v>24.3</v>
      </c>
      <c r="H1249" s="5">
        <v>51.872385320708332</v>
      </c>
      <c r="I1249" s="5">
        <v>50.192033199111123</v>
      </c>
      <c r="J1249" s="5">
        <v>51.652832278188889</v>
      </c>
      <c r="K1249" s="5">
        <v>33</v>
      </c>
    </row>
    <row r="1250" spans="1:11" x14ac:dyDescent="0.25">
      <c r="A1250" s="2">
        <v>46149.458333333343</v>
      </c>
      <c r="B1250" t="str">
        <f t="shared" si="38"/>
        <v>2026-05</v>
      </c>
      <c r="C1250" s="3">
        <f t="shared" si="39"/>
        <v>11</v>
      </c>
      <c r="D1250" s="4">
        <v>25.221915399430561</v>
      </c>
      <c r="E1250" s="4">
        <v>26.828581794333331</v>
      </c>
      <c r="F1250" s="4">
        <v>23.633756465466661</v>
      </c>
      <c r="G1250" s="4">
        <v>26.2</v>
      </c>
      <c r="H1250" s="5">
        <v>47.525644688666667</v>
      </c>
      <c r="I1250" s="5">
        <v>39.248820062308333</v>
      </c>
      <c r="J1250" s="5">
        <v>51.975145526266672</v>
      </c>
      <c r="K1250" s="5">
        <v>29</v>
      </c>
    </row>
    <row r="1251" spans="1:11" x14ac:dyDescent="0.25">
      <c r="A1251" s="2">
        <v>46149.5</v>
      </c>
      <c r="B1251" t="str">
        <f t="shared" si="38"/>
        <v>2026-05</v>
      </c>
      <c r="C1251" s="3">
        <f t="shared" si="39"/>
        <v>12</v>
      </c>
      <c r="D1251" s="4">
        <v>25.080340381866659</v>
      </c>
      <c r="E1251" s="4">
        <v>26.819565179747219</v>
      </c>
      <c r="F1251" s="4">
        <v>23.631789019541671</v>
      </c>
      <c r="G1251" s="4">
        <v>27.2</v>
      </c>
      <c r="H1251" s="5">
        <v>34.256399028016673</v>
      </c>
      <c r="I1251" s="5">
        <v>28.80374869779445</v>
      </c>
      <c r="J1251" s="5">
        <v>49.829856285080552</v>
      </c>
      <c r="K1251" s="5">
        <v>22</v>
      </c>
    </row>
    <row r="1252" spans="1:11" x14ac:dyDescent="0.25">
      <c r="A1252" s="2">
        <v>46149.541666666657</v>
      </c>
      <c r="B1252" t="str">
        <f t="shared" si="38"/>
        <v>2026-05</v>
      </c>
      <c r="C1252" s="3">
        <f t="shared" si="39"/>
        <v>13</v>
      </c>
      <c r="D1252" s="4">
        <v>24.892854196816671</v>
      </c>
      <c r="E1252" s="4">
        <v>26.64847929503334</v>
      </c>
      <c r="F1252" s="4">
        <v>23.617438961188881</v>
      </c>
      <c r="G1252" s="4">
        <v>27.7</v>
      </c>
      <c r="H1252" s="5">
        <v>31.127300049527779</v>
      </c>
      <c r="I1252" s="5">
        <v>28.46103401792778</v>
      </c>
      <c r="J1252" s="5">
        <v>48.455951126305557</v>
      </c>
      <c r="K1252" s="5">
        <v>21</v>
      </c>
    </row>
    <row r="1253" spans="1:11" x14ac:dyDescent="0.25">
      <c r="A1253" s="2">
        <v>46149.583333333343</v>
      </c>
      <c r="B1253" t="str">
        <f t="shared" si="38"/>
        <v>2026-05</v>
      </c>
      <c r="C1253" s="3">
        <f t="shared" si="39"/>
        <v>14</v>
      </c>
      <c r="D1253" s="4">
        <v>24.721346126988891</v>
      </c>
      <c r="E1253" s="4">
        <v>26.53776197019722</v>
      </c>
      <c r="F1253" s="4">
        <v>23.609216870911109</v>
      </c>
      <c r="G1253" s="4">
        <v>27.8</v>
      </c>
      <c r="H1253" s="5">
        <v>31.384306550311109</v>
      </c>
      <c r="I1253" s="5">
        <v>28.019771597927772</v>
      </c>
      <c r="J1253" s="5">
        <v>47.680773229305551</v>
      </c>
      <c r="K1253" s="5">
        <v>21</v>
      </c>
    </row>
    <row r="1254" spans="1:11" x14ac:dyDescent="0.25">
      <c r="A1254" s="2">
        <v>46149.625</v>
      </c>
      <c r="B1254" t="str">
        <f t="shared" si="38"/>
        <v>2026-05</v>
      </c>
      <c r="C1254" s="3">
        <f t="shared" si="39"/>
        <v>15</v>
      </c>
      <c r="D1254" s="4">
        <v>24.748308150386109</v>
      </c>
      <c r="E1254" s="4">
        <v>26.514831978349999</v>
      </c>
      <c r="F1254" s="4">
        <v>23.602200647258329</v>
      </c>
      <c r="G1254" s="4">
        <v>28.1</v>
      </c>
      <c r="H1254" s="5">
        <v>30.271235632863888</v>
      </c>
      <c r="I1254" s="5">
        <v>30.263399657591659</v>
      </c>
      <c r="J1254" s="5">
        <v>47.122712789330564</v>
      </c>
      <c r="K1254" s="5">
        <v>20</v>
      </c>
    </row>
    <row r="1255" spans="1:11" x14ac:dyDescent="0.25">
      <c r="A1255" s="2">
        <v>46149.666666666657</v>
      </c>
      <c r="B1255" t="str">
        <f t="shared" si="38"/>
        <v>2026-05</v>
      </c>
      <c r="C1255" s="3">
        <f t="shared" si="39"/>
        <v>16</v>
      </c>
      <c r="D1255" s="4">
        <v>24.769922788241669</v>
      </c>
      <c r="E1255" s="4">
        <v>26.577753665880561</v>
      </c>
      <c r="F1255" s="4">
        <v>23.61687814595556</v>
      </c>
      <c r="G1255" s="4">
        <v>28</v>
      </c>
      <c r="H1255" s="5">
        <v>31.726527679644441</v>
      </c>
      <c r="I1255" s="5">
        <v>32.022679275533328</v>
      </c>
      <c r="J1255" s="5">
        <v>46.968580850263884</v>
      </c>
      <c r="K1255" s="5">
        <v>20</v>
      </c>
    </row>
    <row r="1256" spans="1:11" x14ac:dyDescent="0.25">
      <c r="A1256" s="2">
        <v>46149.708333333343</v>
      </c>
      <c r="B1256" t="str">
        <f t="shared" si="38"/>
        <v>2026-05</v>
      </c>
      <c r="C1256" s="3">
        <f t="shared" si="39"/>
        <v>17</v>
      </c>
      <c r="D1256" s="4">
        <v>24.84593357958056</v>
      </c>
      <c r="E1256" s="4">
        <v>26.569815279099998</v>
      </c>
      <c r="F1256" s="4">
        <v>23.638774104863892</v>
      </c>
      <c r="G1256" s="4">
        <v>27.5</v>
      </c>
      <c r="H1256" s="5">
        <v>30.171233283658331</v>
      </c>
      <c r="I1256" s="5">
        <v>28.18738363164444</v>
      </c>
      <c r="J1256" s="5">
        <v>46.632035904830559</v>
      </c>
      <c r="K1256" s="5">
        <v>22</v>
      </c>
    </row>
    <row r="1257" spans="1:11" x14ac:dyDescent="0.25">
      <c r="A1257" s="2">
        <v>46149.75</v>
      </c>
      <c r="B1257" t="str">
        <f t="shared" si="38"/>
        <v>2026-05</v>
      </c>
      <c r="C1257" s="3">
        <f t="shared" si="39"/>
        <v>18</v>
      </c>
      <c r="D1257" s="4">
        <v>24.758234975788891</v>
      </c>
      <c r="E1257" s="4">
        <v>26.428216130708329</v>
      </c>
      <c r="F1257" s="4">
        <v>23.66272825248889</v>
      </c>
      <c r="G1257" s="4">
        <v>26.6</v>
      </c>
      <c r="H1257" s="5">
        <v>30.15474662826389</v>
      </c>
      <c r="I1257" s="5">
        <v>27.21066868142222</v>
      </c>
      <c r="J1257" s="5">
        <v>46.248181085647218</v>
      </c>
      <c r="K1257" s="5">
        <v>25</v>
      </c>
    </row>
    <row r="1258" spans="1:11" x14ac:dyDescent="0.25">
      <c r="A1258" s="2">
        <v>46149.791666666657</v>
      </c>
      <c r="B1258" t="str">
        <f t="shared" si="38"/>
        <v>2026-05</v>
      </c>
      <c r="C1258" s="3">
        <f t="shared" si="39"/>
        <v>19</v>
      </c>
      <c r="D1258" s="4">
        <v>24.56823213583333</v>
      </c>
      <c r="E1258" s="4">
        <v>26.00904425451111</v>
      </c>
      <c r="F1258" s="4">
        <v>23.671628111625001</v>
      </c>
      <c r="G1258" s="4">
        <v>25.3</v>
      </c>
      <c r="H1258" s="5">
        <v>30.365565846883332</v>
      </c>
      <c r="I1258" s="5">
        <v>30.344744753558331</v>
      </c>
      <c r="J1258" s="5">
        <v>46.111789928566672</v>
      </c>
      <c r="K1258" s="5">
        <v>31</v>
      </c>
    </row>
    <row r="1259" spans="1:11" x14ac:dyDescent="0.25">
      <c r="A1259" s="2">
        <v>46149.833333333343</v>
      </c>
      <c r="B1259" t="str">
        <f t="shared" si="38"/>
        <v>2026-05</v>
      </c>
      <c r="C1259" s="3">
        <f t="shared" si="39"/>
        <v>20</v>
      </c>
      <c r="D1259" s="4">
        <v>24.30220176993889</v>
      </c>
      <c r="E1259" s="4">
        <v>25.869249497725001</v>
      </c>
      <c r="F1259" s="4">
        <v>23.686350195561111</v>
      </c>
      <c r="G1259" s="4">
        <v>23</v>
      </c>
      <c r="H1259" s="5">
        <v>29.693230901174999</v>
      </c>
      <c r="I1259" s="5">
        <v>33.655652789897218</v>
      </c>
      <c r="J1259" s="5">
        <v>46.195853313252783</v>
      </c>
      <c r="K1259" s="5">
        <v>42</v>
      </c>
    </row>
    <row r="1260" spans="1:11" x14ac:dyDescent="0.25">
      <c r="A1260" s="2">
        <v>46149.875</v>
      </c>
      <c r="B1260" t="str">
        <f t="shared" si="38"/>
        <v>2026-05</v>
      </c>
      <c r="C1260" s="3">
        <f t="shared" si="39"/>
        <v>21</v>
      </c>
      <c r="D1260" s="4">
        <v>23.788812950163891</v>
      </c>
      <c r="E1260" s="4">
        <v>25.602748120891661</v>
      </c>
      <c r="F1260" s="4">
        <v>23.699895401763889</v>
      </c>
      <c r="G1260" s="4">
        <v>21.7</v>
      </c>
      <c r="H1260" s="5">
        <v>31.935040662630559</v>
      </c>
      <c r="I1260" s="5">
        <v>33.207039410013877</v>
      </c>
      <c r="J1260" s="5">
        <v>46.19621152378334</v>
      </c>
      <c r="K1260" s="5">
        <v>41</v>
      </c>
    </row>
    <row r="1261" spans="1:11" x14ac:dyDescent="0.25">
      <c r="A1261" s="2">
        <v>46149.916666666657</v>
      </c>
      <c r="B1261" t="str">
        <f t="shared" si="38"/>
        <v>2026-05</v>
      </c>
      <c r="C1261" s="3">
        <f t="shared" si="39"/>
        <v>22</v>
      </c>
      <c r="D1261" s="4">
        <v>23.772392590908339</v>
      </c>
      <c r="E1261" s="4">
        <v>25.452648458380551</v>
      </c>
      <c r="F1261" s="4">
        <v>23.698177427586121</v>
      </c>
      <c r="G1261" s="4">
        <v>21.1</v>
      </c>
      <c r="H1261" s="5">
        <v>34.723361635027779</v>
      </c>
      <c r="I1261" s="5">
        <v>34.280162283255557</v>
      </c>
      <c r="J1261" s="5">
        <v>46.180697757916668</v>
      </c>
      <c r="K1261" s="5">
        <v>41</v>
      </c>
    </row>
    <row r="1262" spans="1:11" x14ac:dyDescent="0.25">
      <c r="A1262" s="2">
        <v>46149.958333333343</v>
      </c>
      <c r="B1262" t="str">
        <f t="shared" si="38"/>
        <v>2026-05</v>
      </c>
      <c r="C1262" s="3">
        <f t="shared" si="39"/>
        <v>23</v>
      </c>
      <c r="D1262" s="4">
        <v>24.287671172130551</v>
      </c>
      <c r="E1262" s="4">
        <v>25.494307595491659</v>
      </c>
      <c r="F1262" s="4">
        <v>23.71651340909445</v>
      </c>
      <c r="G1262" s="4">
        <v>20.399999999999999</v>
      </c>
      <c r="H1262" s="5">
        <v>38.067191129622223</v>
      </c>
      <c r="I1262" s="5">
        <v>36.34491475101111</v>
      </c>
      <c r="J1262" s="5">
        <v>46.350926516361113</v>
      </c>
      <c r="K1262" s="5">
        <v>40</v>
      </c>
    </row>
    <row r="1263" spans="1:11" x14ac:dyDescent="0.25">
      <c r="A1263" s="2">
        <v>46150</v>
      </c>
      <c r="B1263" t="str">
        <f t="shared" si="38"/>
        <v>2026-05</v>
      </c>
      <c r="C1263" s="3">
        <f t="shared" si="39"/>
        <v>0</v>
      </c>
      <c r="D1263" s="4">
        <v>24.716894243305561</v>
      </c>
      <c r="E1263" s="4">
        <v>25.754578595252781</v>
      </c>
      <c r="F1263" s="4">
        <v>23.77056793090556</v>
      </c>
      <c r="G1263" s="4">
        <v>19.600000000000001</v>
      </c>
      <c r="H1263" s="5">
        <v>39.159866269561121</v>
      </c>
      <c r="I1263" s="5">
        <v>37.500507418783343</v>
      </c>
      <c r="J1263" s="5">
        <v>46.703347111819447</v>
      </c>
      <c r="K1263" s="5">
        <v>42</v>
      </c>
    </row>
    <row r="1264" spans="1:11" x14ac:dyDescent="0.25">
      <c r="A1264" s="2">
        <v>46150.041666666657</v>
      </c>
      <c r="B1264" t="str">
        <f t="shared" si="38"/>
        <v>2026-05</v>
      </c>
      <c r="C1264" s="3">
        <f t="shared" si="39"/>
        <v>1</v>
      </c>
      <c r="D1264" s="4">
        <v>24.55589736044444</v>
      </c>
      <c r="E1264" s="4">
        <v>25.535497064000001</v>
      </c>
      <c r="F1264" s="4">
        <v>23.796655857127771</v>
      </c>
      <c r="G1264" s="4">
        <v>18.600000000000001</v>
      </c>
      <c r="H1264" s="5">
        <v>41.746017679019452</v>
      </c>
      <c r="I1264" s="5">
        <v>40.424343080205553</v>
      </c>
      <c r="J1264" s="5">
        <v>46.946615407400003</v>
      </c>
      <c r="K1264" s="5">
        <v>46</v>
      </c>
    </row>
    <row r="1265" spans="1:11" x14ac:dyDescent="0.25">
      <c r="A1265" s="2">
        <v>46150.083333333343</v>
      </c>
      <c r="B1265" t="str">
        <f t="shared" si="38"/>
        <v>2026-05</v>
      </c>
      <c r="C1265" s="3">
        <f t="shared" si="39"/>
        <v>2</v>
      </c>
      <c r="D1265" s="4">
        <v>24.329495287425001</v>
      </c>
      <c r="E1265" s="4">
        <v>25.329082088377781</v>
      </c>
      <c r="F1265" s="4">
        <v>23.797555487613892</v>
      </c>
      <c r="G1265" s="4">
        <v>17.8</v>
      </c>
      <c r="H1265" s="5">
        <v>43.200364266113887</v>
      </c>
      <c r="I1265" s="5">
        <v>41.188384515933329</v>
      </c>
      <c r="J1265" s="5">
        <v>47.01009836471389</v>
      </c>
      <c r="K1265" s="5">
        <v>49</v>
      </c>
    </row>
    <row r="1266" spans="1:11" x14ac:dyDescent="0.25">
      <c r="A1266" s="2">
        <v>46150.125</v>
      </c>
      <c r="B1266" t="str">
        <f t="shared" si="38"/>
        <v>2026-05</v>
      </c>
      <c r="C1266" s="3">
        <f t="shared" si="39"/>
        <v>3</v>
      </c>
      <c r="D1266" s="4">
        <v>24.155203999583328</v>
      </c>
      <c r="E1266" s="4">
        <v>25.194448494075001</v>
      </c>
      <c r="F1266" s="4">
        <v>23.792638921513891</v>
      </c>
      <c r="G1266" s="4">
        <v>17.100000000000001</v>
      </c>
      <c r="H1266" s="5">
        <v>43.917035333588892</v>
      </c>
      <c r="I1266" s="5">
        <v>42.070800581180563</v>
      </c>
      <c r="J1266" s="5">
        <v>46.925653075097223</v>
      </c>
      <c r="K1266" s="5">
        <v>49</v>
      </c>
    </row>
    <row r="1267" spans="1:11" x14ac:dyDescent="0.25">
      <c r="A1267" s="2">
        <v>46150.166666666657</v>
      </c>
      <c r="B1267" t="str">
        <f t="shared" si="38"/>
        <v>2026-05</v>
      </c>
      <c r="C1267" s="3">
        <f t="shared" si="39"/>
        <v>4</v>
      </c>
      <c r="D1267" s="4">
        <v>24.034702915191669</v>
      </c>
      <c r="E1267" s="4">
        <v>25.090701892672229</v>
      </c>
      <c r="F1267" s="4">
        <v>23.784854712952779</v>
      </c>
      <c r="G1267" s="4">
        <v>16.399999999999999</v>
      </c>
      <c r="H1267" s="5">
        <v>44.525752360141666</v>
      </c>
      <c r="I1267" s="5">
        <v>42.705665308005557</v>
      </c>
      <c r="J1267" s="5">
        <v>46.67346336356389</v>
      </c>
      <c r="K1267" s="5">
        <v>51</v>
      </c>
    </row>
    <row r="1268" spans="1:11" x14ac:dyDescent="0.25">
      <c r="A1268" s="2">
        <v>46150.208333333343</v>
      </c>
      <c r="B1268" t="str">
        <f t="shared" si="38"/>
        <v>2026-05</v>
      </c>
      <c r="C1268" s="3">
        <f t="shared" si="39"/>
        <v>5</v>
      </c>
      <c r="D1268" s="4">
        <v>24.03506512660833</v>
      </c>
      <c r="E1268" s="4">
        <v>25.016675083738889</v>
      </c>
      <c r="F1268" s="4">
        <v>23.77500028830833</v>
      </c>
      <c r="G1268" s="4">
        <v>15.7</v>
      </c>
      <c r="H1268" s="5">
        <v>44.587806486713887</v>
      </c>
      <c r="I1268" s="5">
        <v>42.769904616469439</v>
      </c>
      <c r="J1268" s="5">
        <v>46.347369893708333</v>
      </c>
      <c r="K1268" s="5">
        <v>52</v>
      </c>
    </row>
    <row r="1269" spans="1:11" x14ac:dyDescent="0.25">
      <c r="A1269" s="2">
        <v>46150.25</v>
      </c>
      <c r="B1269" t="str">
        <f t="shared" si="38"/>
        <v>2026-05</v>
      </c>
      <c r="C1269" s="3">
        <f t="shared" si="39"/>
        <v>6</v>
      </c>
      <c r="D1269" s="4">
        <v>24.377026086661111</v>
      </c>
      <c r="E1269" s="4">
        <v>25.241627832774999</v>
      </c>
      <c r="F1269" s="4">
        <v>23.779534369519439</v>
      </c>
      <c r="G1269" s="4">
        <v>15.7</v>
      </c>
      <c r="H1269" s="5">
        <v>43.283547626463893</v>
      </c>
      <c r="I1269" s="5">
        <v>42.33407744680278</v>
      </c>
      <c r="J1269" s="5">
        <v>46.317379578916672</v>
      </c>
      <c r="K1269" s="5">
        <v>52</v>
      </c>
    </row>
    <row r="1270" spans="1:11" x14ac:dyDescent="0.25">
      <c r="A1270" s="2">
        <v>46150.291666666657</v>
      </c>
      <c r="B1270" t="str">
        <f t="shared" si="38"/>
        <v>2026-05</v>
      </c>
      <c r="C1270" s="3">
        <f t="shared" si="39"/>
        <v>7</v>
      </c>
      <c r="D1270" s="4">
        <v>24.84153425978889</v>
      </c>
      <c r="E1270" s="4">
        <v>25.613023011269441</v>
      </c>
      <c r="F1270" s="4">
        <v>23.824187685794438</v>
      </c>
      <c r="G1270" s="4">
        <v>16.8</v>
      </c>
      <c r="H1270" s="5">
        <v>43.081826354655561</v>
      </c>
      <c r="I1270" s="5">
        <v>42.726604530347217</v>
      </c>
      <c r="J1270" s="5">
        <v>46.751632038380563</v>
      </c>
      <c r="K1270" s="5">
        <v>50</v>
      </c>
    </row>
    <row r="1271" spans="1:11" x14ac:dyDescent="0.25">
      <c r="A1271" s="2">
        <v>46150.333333333343</v>
      </c>
      <c r="B1271" t="str">
        <f t="shared" si="38"/>
        <v>2026-05</v>
      </c>
      <c r="C1271" s="3">
        <f t="shared" si="39"/>
        <v>8</v>
      </c>
      <c r="D1271" s="4">
        <v>25.31906898588333</v>
      </c>
      <c r="E1271" s="4">
        <v>26.106799688322219</v>
      </c>
      <c r="F1271" s="4">
        <v>23.894444907975</v>
      </c>
      <c r="G1271" s="4">
        <v>18.5</v>
      </c>
      <c r="H1271" s="5">
        <v>43.581541531047229</v>
      </c>
      <c r="I1271" s="5">
        <v>42.824508937574997</v>
      </c>
      <c r="J1271" s="5">
        <v>47.754534418725001</v>
      </c>
      <c r="K1271" s="5">
        <v>46</v>
      </c>
    </row>
    <row r="1272" spans="1:11" x14ac:dyDescent="0.25">
      <c r="A1272" s="2">
        <v>46150.375</v>
      </c>
      <c r="B1272" t="str">
        <f t="shared" si="38"/>
        <v>2026-05</v>
      </c>
      <c r="C1272" s="3">
        <f t="shared" si="39"/>
        <v>9</v>
      </c>
      <c r="D1272" s="4">
        <v>25.67087487014722</v>
      </c>
      <c r="E1272" s="4">
        <v>26.431129944580562</v>
      </c>
      <c r="F1272" s="4">
        <v>23.975028013177781</v>
      </c>
      <c r="G1272" s="4">
        <v>21.3</v>
      </c>
      <c r="H1272" s="5">
        <v>44.126959134263892</v>
      </c>
      <c r="I1272" s="5">
        <v>43.494644992427773</v>
      </c>
      <c r="J1272" s="5">
        <v>48.735350776241667</v>
      </c>
      <c r="K1272" s="5">
        <v>37</v>
      </c>
    </row>
    <row r="1273" spans="1:11" x14ac:dyDescent="0.25">
      <c r="A1273" s="2">
        <v>46150.416666666657</v>
      </c>
      <c r="B1273" t="str">
        <f t="shared" si="38"/>
        <v>2026-05</v>
      </c>
      <c r="C1273" s="3">
        <f t="shared" si="39"/>
        <v>10</v>
      </c>
      <c r="D1273" s="4">
        <v>25.8931283298</v>
      </c>
      <c r="E1273" s="4">
        <v>26.78028743864445</v>
      </c>
      <c r="F1273" s="4">
        <v>24.050324373252771</v>
      </c>
      <c r="G1273" s="4">
        <v>23.6</v>
      </c>
      <c r="H1273" s="5">
        <v>45.318070703447233</v>
      </c>
      <c r="I1273" s="5">
        <v>44.155255812199997</v>
      </c>
      <c r="J1273" s="5">
        <v>49.717909117372223</v>
      </c>
      <c r="K1273" s="5">
        <v>33</v>
      </c>
    </row>
    <row r="1274" spans="1:11" x14ac:dyDescent="0.25">
      <c r="A1274" s="2">
        <v>46150.458333333343</v>
      </c>
      <c r="B1274" t="str">
        <f t="shared" si="38"/>
        <v>2026-05</v>
      </c>
      <c r="C1274" s="3">
        <f t="shared" si="39"/>
        <v>11</v>
      </c>
      <c r="D1274" s="4">
        <v>26.03098622185556</v>
      </c>
      <c r="E1274" s="4">
        <v>27.156420573677771</v>
      </c>
      <c r="F1274" s="4">
        <v>24.099063335844441</v>
      </c>
      <c r="G1274" s="4">
        <v>25.4</v>
      </c>
      <c r="H1274" s="5">
        <v>46.615658628516663</v>
      </c>
      <c r="I1274" s="5">
        <v>46.83104469001389</v>
      </c>
      <c r="J1274" s="5">
        <v>49.740232116083327</v>
      </c>
      <c r="K1274" s="5">
        <v>30</v>
      </c>
    </row>
    <row r="1275" spans="1:11" x14ac:dyDescent="0.25">
      <c r="A1275" s="2">
        <v>46150.5</v>
      </c>
      <c r="B1275" t="str">
        <f t="shared" si="38"/>
        <v>2026-05</v>
      </c>
      <c r="C1275" s="3">
        <f t="shared" si="39"/>
        <v>12</v>
      </c>
      <c r="D1275" s="4">
        <v>25.875104306783332</v>
      </c>
      <c r="E1275" s="4">
        <v>27.087419110205559</v>
      </c>
      <c r="F1275" s="4">
        <v>24.15524482955</v>
      </c>
      <c r="G1275" s="4">
        <v>26.4</v>
      </c>
      <c r="H1275" s="5">
        <v>47.47799264432777</v>
      </c>
      <c r="I1275" s="5">
        <v>45.740516937797217</v>
      </c>
      <c r="J1275" s="5">
        <v>50.807845571149997</v>
      </c>
      <c r="K1275" s="5">
        <v>27</v>
      </c>
    </row>
    <row r="1276" spans="1:11" x14ac:dyDescent="0.25">
      <c r="A1276" s="2">
        <v>46150.541666666657</v>
      </c>
      <c r="B1276" t="str">
        <f t="shared" si="38"/>
        <v>2026-05</v>
      </c>
      <c r="C1276" s="3">
        <f t="shared" si="39"/>
        <v>13</v>
      </c>
      <c r="D1276" s="4">
        <v>25.735464338947221</v>
      </c>
      <c r="E1276" s="4">
        <v>26.966163632030561</v>
      </c>
      <c r="F1276" s="4">
        <v>24.20059877355278</v>
      </c>
      <c r="G1276" s="4">
        <v>26.6</v>
      </c>
      <c r="H1276" s="5">
        <v>48.314857328450003</v>
      </c>
      <c r="I1276" s="5">
        <v>45.909450756394449</v>
      </c>
      <c r="J1276" s="5">
        <v>51.446590158769453</v>
      </c>
      <c r="K1276" s="5">
        <v>27</v>
      </c>
    </row>
    <row r="1277" spans="1:11" x14ac:dyDescent="0.25">
      <c r="A1277" s="2">
        <v>46150.583333333343</v>
      </c>
      <c r="B1277" t="str">
        <f t="shared" si="38"/>
        <v>2026-05</v>
      </c>
      <c r="C1277" s="3">
        <f t="shared" si="39"/>
        <v>14</v>
      </c>
      <c r="D1277" s="4">
        <v>25.673194301697219</v>
      </c>
      <c r="E1277" s="4">
        <v>27.071738519050001</v>
      </c>
      <c r="F1277" s="4">
        <v>24.223313226702771</v>
      </c>
      <c r="G1277" s="4">
        <v>26.7</v>
      </c>
      <c r="H1277" s="5">
        <v>48.534034310797217</v>
      </c>
      <c r="I1277" s="5">
        <v>45.523814174963888</v>
      </c>
      <c r="J1277" s="5">
        <v>51.769012183688893</v>
      </c>
      <c r="K1277" s="5">
        <v>27</v>
      </c>
    </row>
    <row r="1278" spans="1:11" x14ac:dyDescent="0.25">
      <c r="A1278" s="2">
        <v>46150.625</v>
      </c>
      <c r="B1278" t="str">
        <f t="shared" si="38"/>
        <v>2026-05</v>
      </c>
      <c r="C1278" s="3">
        <f t="shared" si="39"/>
        <v>15</v>
      </c>
      <c r="D1278" s="4">
        <v>25.674403196941661</v>
      </c>
      <c r="E1278" s="4">
        <v>26.998038692011111</v>
      </c>
      <c r="F1278" s="4">
        <v>24.24772930913889</v>
      </c>
      <c r="G1278" s="4">
        <v>27.1</v>
      </c>
      <c r="H1278" s="5">
        <v>48.772168959811118</v>
      </c>
      <c r="I1278" s="5">
        <v>47.126641933736103</v>
      </c>
      <c r="J1278" s="5">
        <v>51.933663858247222</v>
      </c>
      <c r="K1278" s="5">
        <v>23</v>
      </c>
    </row>
    <row r="1279" spans="1:11" x14ac:dyDescent="0.25">
      <c r="A1279" s="2">
        <v>46150.666666666657</v>
      </c>
      <c r="B1279" t="str">
        <f t="shared" si="38"/>
        <v>2026-05</v>
      </c>
      <c r="C1279" s="3">
        <f t="shared" si="39"/>
        <v>16</v>
      </c>
      <c r="D1279" s="4">
        <v>25.648878155599999</v>
      </c>
      <c r="E1279" s="4">
        <v>27.017018521324999</v>
      </c>
      <c r="F1279" s="4">
        <v>24.27804271451112</v>
      </c>
      <c r="G1279" s="4">
        <v>26.8</v>
      </c>
      <c r="H1279" s="5">
        <v>49.805787130941667</v>
      </c>
      <c r="I1279" s="5">
        <v>48.054931814366661</v>
      </c>
      <c r="J1279" s="5">
        <v>52.143642470741668</v>
      </c>
      <c r="K1279" s="5">
        <v>23</v>
      </c>
    </row>
    <row r="1280" spans="1:11" x14ac:dyDescent="0.25">
      <c r="A1280" s="2">
        <v>46150.708333333343</v>
      </c>
      <c r="B1280" t="str">
        <f t="shared" si="38"/>
        <v>2026-05</v>
      </c>
      <c r="C1280" s="3">
        <f t="shared" si="39"/>
        <v>17</v>
      </c>
      <c r="D1280" s="4">
        <v>25.622630179383329</v>
      </c>
      <c r="E1280" s="4">
        <v>26.837838034058329</v>
      </c>
      <c r="F1280" s="4">
        <v>24.302481570969441</v>
      </c>
      <c r="G1280" s="4">
        <v>26.2</v>
      </c>
      <c r="H1280" s="5">
        <v>50.200735204233332</v>
      </c>
      <c r="I1280" s="5">
        <v>47.606980446247213</v>
      </c>
      <c r="J1280" s="5">
        <v>52.324611404750001</v>
      </c>
      <c r="K1280" s="5">
        <v>25</v>
      </c>
    </row>
    <row r="1281" spans="1:11" x14ac:dyDescent="0.25">
      <c r="A1281" s="2">
        <v>46150.75</v>
      </c>
      <c r="B1281" t="str">
        <f t="shared" si="38"/>
        <v>2026-05</v>
      </c>
      <c r="C1281" s="3">
        <f t="shared" si="39"/>
        <v>18</v>
      </c>
      <c r="D1281" s="4">
        <v>25.530423276286111</v>
      </c>
      <c r="E1281" s="4">
        <v>26.723968878425001</v>
      </c>
      <c r="F1281" s="4">
        <v>24.27087265340278</v>
      </c>
      <c r="G1281" s="4">
        <v>25.3</v>
      </c>
      <c r="H1281" s="5">
        <v>49.467540578188881</v>
      </c>
      <c r="I1281" s="5">
        <v>47.65893595331945</v>
      </c>
      <c r="J1281" s="5">
        <v>50.206259097344443</v>
      </c>
      <c r="K1281" s="5">
        <v>28</v>
      </c>
    </row>
    <row r="1282" spans="1:11" x14ac:dyDescent="0.25">
      <c r="A1282" s="2">
        <v>46150.791666666657</v>
      </c>
      <c r="B1282" t="str">
        <f t="shared" ref="B1282:B1345" si="40">TEXT(A1282,"yyyy-mm")</f>
        <v>2026-05</v>
      </c>
      <c r="C1282" s="3">
        <f t="shared" ref="C1282:C1345" si="41">HOUR(A1282)</f>
        <v>19</v>
      </c>
      <c r="D1282" s="4">
        <v>25.307059648225</v>
      </c>
      <c r="E1282" s="4">
        <v>26.441903225124999</v>
      </c>
      <c r="F1282" s="4">
        <v>24.22117902133612</v>
      </c>
      <c r="G1282" s="4">
        <v>23.6</v>
      </c>
      <c r="H1282" s="5">
        <v>46.308855100636123</v>
      </c>
      <c r="I1282" s="5">
        <v>45.029311565419441</v>
      </c>
      <c r="J1282" s="5">
        <v>48.453243282024999</v>
      </c>
      <c r="K1282" s="5">
        <v>35</v>
      </c>
    </row>
    <row r="1283" spans="1:11" x14ac:dyDescent="0.25">
      <c r="A1283" s="2">
        <v>46150.833333333343</v>
      </c>
      <c r="B1283" t="str">
        <f t="shared" si="40"/>
        <v>2026-05</v>
      </c>
      <c r="C1283" s="3">
        <f t="shared" si="41"/>
        <v>20</v>
      </c>
      <c r="D1283" s="4">
        <v>25.085882125680559</v>
      </c>
      <c r="E1283" s="4">
        <v>26.190955270377771</v>
      </c>
      <c r="F1283" s="4">
        <v>24.188724435197219</v>
      </c>
      <c r="G1283" s="4">
        <v>21.9</v>
      </c>
      <c r="H1283" s="5">
        <v>44.489166416141671</v>
      </c>
      <c r="I1283" s="5">
        <v>42.924107174472233</v>
      </c>
      <c r="J1283" s="5">
        <v>47.442666967533327</v>
      </c>
      <c r="K1283" s="5">
        <v>41</v>
      </c>
    </row>
    <row r="1284" spans="1:11" x14ac:dyDescent="0.25">
      <c r="A1284" s="2">
        <v>46150.875</v>
      </c>
      <c r="B1284" t="str">
        <f t="shared" si="40"/>
        <v>2026-05</v>
      </c>
      <c r="C1284" s="3">
        <f t="shared" si="41"/>
        <v>21</v>
      </c>
      <c r="D1284" s="4">
        <v>24.926614350477781</v>
      </c>
      <c r="E1284" s="4">
        <v>25.900837549322219</v>
      </c>
      <c r="F1284" s="4">
        <v>24.169677292005559</v>
      </c>
      <c r="G1284" s="4">
        <v>20.9</v>
      </c>
      <c r="H1284" s="5">
        <v>43.697394930041668</v>
      </c>
      <c r="I1284" s="5">
        <v>41.875781076402781</v>
      </c>
      <c r="J1284" s="5">
        <v>46.685260641716667</v>
      </c>
      <c r="K1284" s="5">
        <v>39</v>
      </c>
    </row>
    <row r="1285" spans="1:11" x14ac:dyDescent="0.25">
      <c r="A1285" s="2">
        <v>46150.916666666657</v>
      </c>
      <c r="B1285" t="str">
        <f t="shared" si="40"/>
        <v>2026-05</v>
      </c>
      <c r="C1285" s="3">
        <f t="shared" si="41"/>
        <v>22</v>
      </c>
      <c r="D1285" s="4">
        <v>24.794639970383329</v>
      </c>
      <c r="E1285" s="4">
        <v>25.706151751044441</v>
      </c>
      <c r="F1285" s="4">
        <v>24.15102024703333</v>
      </c>
      <c r="G1285" s="4">
        <v>19.899999999999999</v>
      </c>
      <c r="H1285" s="5">
        <v>42.386031752366669</v>
      </c>
      <c r="I1285" s="5">
        <v>41.041621865469438</v>
      </c>
      <c r="J1285" s="5">
        <v>46.112680543647222</v>
      </c>
      <c r="K1285" s="5">
        <v>39</v>
      </c>
    </row>
    <row r="1286" spans="1:11" x14ac:dyDescent="0.25">
      <c r="A1286" s="2">
        <v>46150.958333333343</v>
      </c>
      <c r="B1286" t="str">
        <f t="shared" si="40"/>
        <v>2026-05</v>
      </c>
      <c r="C1286" s="3">
        <f t="shared" si="41"/>
        <v>23</v>
      </c>
      <c r="D1286" s="4">
        <v>23.872638986697229</v>
      </c>
      <c r="E1286" s="4">
        <v>25.720008905322221</v>
      </c>
      <c r="F1286" s="4">
        <v>24.148861139991659</v>
      </c>
      <c r="G1286" s="4">
        <v>18.899999999999999</v>
      </c>
      <c r="H1286" s="5">
        <v>38.572190078230562</v>
      </c>
      <c r="I1286" s="5">
        <v>38.626131953444443</v>
      </c>
      <c r="J1286" s="5">
        <v>45.857093373858334</v>
      </c>
      <c r="K1286" s="5">
        <v>41</v>
      </c>
    </row>
    <row r="1287" spans="1:11" x14ac:dyDescent="0.25">
      <c r="A1287" s="2">
        <v>46151</v>
      </c>
      <c r="B1287" t="str">
        <f t="shared" si="40"/>
        <v>2026-05</v>
      </c>
      <c r="C1287" s="3">
        <f t="shared" si="41"/>
        <v>0</v>
      </c>
      <c r="D1287" s="4">
        <v>22.16796620885</v>
      </c>
      <c r="E1287" s="4">
        <v>25.740798371963891</v>
      </c>
      <c r="F1287" s="4">
        <v>24.22668093061111</v>
      </c>
      <c r="G1287" s="4">
        <v>18</v>
      </c>
      <c r="H1287" s="5">
        <v>37.33282378423889</v>
      </c>
      <c r="I1287" s="5">
        <v>35.123335032105558</v>
      </c>
      <c r="J1287" s="5">
        <v>46.506119509380561</v>
      </c>
      <c r="K1287" s="5">
        <v>44</v>
      </c>
    </row>
    <row r="1288" spans="1:11" x14ac:dyDescent="0.25">
      <c r="A1288" s="2">
        <v>46151.041666666657</v>
      </c>
      <c r="B1288" t="str">
        <f t="shared" si="40"/>
        <v>2026-05</v>
      </c>
      <c r="C1288" s="3">
        <f t="shared" si="41"/>
        <v>1</v>
      </c>
      <c r="D1288" s="4">
        <v>23.783595807438889</v>
      </c>
      <c r="E1288" s="4">
        <v>25.684994437663889</v>
      </c>
      <c r="F1288" s="4">
        <v>24.290317019930551</v>
      </c>
      <c r="G1288" s="4">
        <v>16.899999999999999</v>
      </c>
      <c r="H1288" s="5">
        <v>44.435660583552767</v>
      </c>
      <c r="I1288" s="5">
        <v>41.406640407677777</v>
      </c>
      <c r="J1288" s="5">
        <v>46.916245106561121</v>
      </c>
      <c r="K1288" s="5">
        <v>48</v>
      </c>
    </row>
    <row r="1289" spans="1:11" x14ac:dyDescent="0.25">
      <c r="A1289" s="2">
        <v>46151.083333333343</v>
      </c>
      <c r="B1289" t="str">
        <f t="shared" si="40"/>
        <v>2026-05</v>
      </c>
      <c r="C1289" s="3">
        <f t="shared" si="41"/>
        <v>2</v>
      </c>
      <c r="D1289" s="4">
        <v>24.135265630011109</v>
      </c>
      <c r="E1289" s="4">
        <v>25.468023675044449</v>
      </c>
      <c r="F1289" s="4">
        <v>24.39867964522222</v>
      </c>
      <c r="G1289" s="4">
        <v>15.8</v>
      </c>
      <c r="H1289" s="5">
        <v>47.922684357874999</v>
      </c>
      <c r="I1289" s="5">
        <v>45.419829706761107</v>
      </c>
      <c r="J1289" s="5">
        <v>46.400486298875002</v>
      </c>
      <c r="K1289" s="5">
        <v>53</v>
      </c>
    </row>
    <row r="1290" spans="1:11" x14ac:dyDescent="0.25">
      <c r="A1290" s="2">
        <v>46151.125</v>
      </c>
      <c r="B1290" t="str">
        <f t="shared" si="40"/>
        <v>2026-05</v>
      </c>
      <c r="C1290" s="3">
        <f t="shared" si="41"/>
        <v>3</v>
      </c>
      <c r="D1290" s="4">
        <v>24.180332895513889</v>
      </c>
      <c r="E1290" s="4">
        <v>25.41450405897778</v>
      </c>
      <c r="F1290" s="4">
        <v>24.427751327222222</v>
      </c>
      <c r="G1290" s="4">
        <v>14.8</v>
      </c>
      <c r="H1290" s="5">
        <v>48.434184909116667</v>
      </c>
      <c r="I1290" s="5">
        <v>45.570084652102771</v>
      </c>
      <c r="J1290" s="5">
        <v>45.901340912558339</v>
      </c>
      <c r="K1290" s="5">
        <v>57</v>
      </c>
    </row>
    <row r="1291" spans="1:11" x14ac:dyDescent="0.25">
      <c r="A1291" s="2">
        <v>46151.166666666657</v>
      </c>
      <c r="B1291" t="str">
        <f t="shared" si="40"/>
        <v>2026-05</v>
      </c>
      <c r="C1291" s="3">
        <f t="shared" si="41"/>
        <v>4</v>
      </c>
      <c r="D1291" s="4">
        <v>24.156614452513889</v>
      </c>
      <c r="E1291" s="4">
        <v>25.37221449684445</v>
      </c>
      <c r="F1291" s="4">
        <v>24.405603252711121</v>
      </c>
      <c r="G1291" s="4">
        <v>14</v>
      </c>
      <c r="H1291" s="5">
        <v>48.450284410394453</v>
      </c>
      <c r="I1291" s="5">
        <v>45.498579477055557</v>
      </c>
      <c r="J1291" s="5">
        <v>45.497971854425003</v>
      </c>
      <c r="K1291" s="5">
        <v>59</v>
      </c>
    </row>
    <row r="1292" spans="1:11" x14ac:dyDescent="0.25">
      <c r="A1292" s="2">
        <v>46151.208333333343</v>
      </c>
      <c r="B1292" t="str">
        <f t="shared" si="40"/>
        <v>2026-05</v>
      </c>
      <c r="C1292" s="3">
        <f t="shared" si="41"/>
        <v>5</v>
      </c>
      <c r="D1292" s="4">
        <v>24.276155179774999</v>
      </c>
      <c r="E1292" s="4">
        <v>25.343784413577779</v>
      </c>
      <c r="F1292" s="4">
        <v>24.384751455991669</v>
      </c>
      <c r="G1292" s="4">
        <v>13.4</v>
      </c>
      <c r="H1292" s="5">
        <v>47.838471609594443</v>
      </c>
      <c r="I1292" s="5">
        <v>45.455822536944453</v>
      </c>
      <c r="J1292" s="5">
        <v>45.126596281813882</v>
      </c>
      <c r="K1292" s="5">
        <v>60</v>
      </c>
    </row>
    <row r="1293" spans="1:11" x14ac:dyDescent="0.25">
      <c r="A1293" s="2">
        <v>46151.25</v>
      </c>
      <c r="B1293" t="str">
        <f t="shared" si="40"/>
        <v>2026-05</v>
      </c>
      <c r="C1293" s="3">
        <f t="shared" si="41"/>
        <v>6</v>
      </c>
      <c r="D1293" s="4">
        <v>24.595295720744449</v>
      </c>
      <c r="E1293" s="4">
        <v>25.40645797300833</v>
      </c>
      <c r="F1293" s="4">
        <v>24.360425932733332</v>
      </c>
      <c r="G1293" s="4">
        <v>13.4</v>
      </c>
      <c r="H1293" s="5">
        <v>45.859785899280553</v>
      </c>
      <c r="I1293" s="5">
        <v>45.213934441638877</v>
      </c>
      <c r="J1293" s="5">
        <v>44.857187591447222</v>
      </c>
      <c r="K1293" s="5">
        <v>57</v>
      </c>
    </row>
    <row r="1294" spans="1:11" x14ac:dyDescent="0.25">
      <c r="A1294" s="2">
        <v>46151.291666666657</v>
      </c>
      <c r="B1294" t="str">
        <f t="shared" si="40"/>
        <v>2026-05</v>
      </c>
      <c r="C1294" s="3">
        <f t="shared" si="41"/>
        <v>7</v>
      </c>
      <c r="D1294" s="4">
        <v>25.099814627027779</v>
      </c>
      <c r="E1294" s="4">
        <v>25.838504825369441</v>
      </c>
      <c r="F1294" s="4">
        <v>24.356574095972221</v>
      </c>
      <c r="G1294" s="4">
        <v>14.7</v>
      </c>
      <c r="H1294" s="5">
        <v>44.530576105672232</v>
      </c>
      <c r="I1294" s="5">
        <v>45.104534338650012</v>
      </c>
      <c r="J1294" s="5">
        <v>44.708614653827773</v>
      </c>
      <c r="K1294" s="5">
        <v>52</v>
      </c>
    </row>
    <row r="1295" spans="1:11" x14ac:dyDescent="0.25">
      <c r="A1295" s="2">
        <v>46151.333333333343</v>
      </c>
      <c r="B1295" t="str">
        <f t="shared" si="40"/>
        <v>2026-05</v>
      </c>
      <c r="C1295" s="3">
        <f t="shared" si="41"/>
        <v>8</v>
      </c>
      <c r="D1295" s="4">
        <v>25.389128106105559</v>
      </c>
      <c r="E1295" s="4">
        <v>26.314267155597221</v>
      </c>
      <c r="F1295" s="4">
        <v>24.373175055674999</v>
      </c>
      <c r="G1295" s="4">
        <v>16.5</v>
      </c>
      <c r="H1295" s="5">
        <v>44.873715207619448</v>
      </c>
      <c r="I1295" s="5">
        <v>44.877738859927767</v>
      </c>
      <c r="J1295" s="5">
        <v>44.795289847336107</v>
      </c>
      <c r="K1295" s="5">
        <v>46</v>
      </c>
    </row>
    <row r="1296" spans="1:11" x14ac:dyDescent="0.25">
      <c r="A1296" s="2">
        <v>46151.375</v>
      </c>
      <c r="B1296" t="str">
        <f t="shared" si="40"/>
        <v>2026-05</v>
      </c>
      <c r="C1296" s="3">
        <f t="shared" si="41"/>
        <v>9</v>
      </c>
      <c r="D1296" s="4">
        <v>25.812356482591671</v>
      </c>
      <c r="E1296" s="4">
        <v>26.82639464374445</v>
      </c>
      <c r="F1296" s="4">
        <v>24.414414583066659</v>
      </c>
      <c r="G1296" s="4">
        <v>18.8</v>
      </c>
      <c r="H1296" s="5">
        <v>45.106800486216663</v>
      </c>
      <c r="I1296" s="5">
        <v>44.784013190563883</v>
      </c>
      <c r="J1296" s="5">
        <v>45.292278970216671</v>
      </c>
      <c r="K1296" s="5">
        <v>38</v>
      </c>
    </row>
    <row r="1297" spans="1:11" x14ac:dyDescent="0.25">
      <c r="A1297" s="2">
        <v>46151.416666666657</v>
      </c>
      <c r="B1297" t="str">
        <f t="shared" si="40"/>
        <v>2026-05</v>
      </c>
      <c r="C1297" s="3">
        <f t="shared" si="41"/>
        <v>10</v>
      </c>
      <c r="D1297" s="4">
        <v>26.045514080977771</v>
      </c>
      <c r="E1297" s="4">
        <v>27.04902224212778</v>
      </c>
      <c r="F1297" s="4">
        <v>24.478589139772222</v>
      </c>
      <c r="G1297" s="4">
        <v>20.9</v>
      </c>
      <c r="H1297" s="5">
        <v>46.059695761130563</v>
      </c>
      <c r="I1297" s="5">
        <v>45.413606498405557</v>
      </c>
      <c r="J1297" s="5">
        <v>46.118822784061109</v>
      </c>
      <c r="K1297" s="5">
        <v>33</v>
      </c>
    </row>
    <row r="1298" spans="1:11" x14ac:dyDescent="0.25">
      <c r="A1298" s="2">
        <v>46151.458333333343</v>
      </c>
      <c r="B1298" t="str">
        <f t="shared" si="40"/>
        <v>2026-05</v>
      </c>
      <c r="C1298" s="3">
        <f t="shared" si="41"/>
        <v>11</v>
      </c>
      <c r="D1298" s="4">
        <v>26.10248340585278</v>
      </c>
      <c r="E1298" s="4">
        <v>27.386051441016669</v>
      </c>
      <c r="F1298" s="4">
        <v>24.607874717366659</v>
      </c>
      <c r="G1298" s="4">
        <v>22.2</v>
      </c>
      <c r="H1298" s="5">
        <v>42.739306932461112</v>
      </c>
      <c r="I1298" s="5">
        <v>45.607545621100002</v>
      </c>
      <c r="J1298" s="5">
        <v>49.210308517419442</v>
      </c>
      <c r="K1298" s="5">
        <v>30</v>
      </c>
    </row>
    <row r="1299" spans="1:11" x14ac:dyDescent="0.25">
      <c r="A1299" s="2">
        <v>46151.5</v>
      </c>
      <c r="B1299" t="str">
        <f t="shared" si="40"/>
        <v>2026-05</v>
      </c>
      <c r="C1299" s="3">
        <f t="shared" si="41"/>
        <v>12</v>
      </c>
      <c r="D1299" s="4">
        <v>25.77446826666112</v>
      </c>
      <c r="E1299" s="4">
        <v>27.428013444746671</v>
      </c>
      <c r="F1299" s="4">
        <v>24.690412563980559</v>
      </c>
      <c r="G1299" s="4">
        <v>23.2</v>
      </c>
      <c r="H1299" s="5">
        <v>38.082383220066667</v>
      </c>
      <c r="I1299" s="5">
        <v>43.543837625839998</v>
      </c>
      <c r="J1299" s="5">
        <v>49.613555273119438</v>
      </c>
      <c r="K1299" s="5">
        <v>29</v>
      </c>
    </row>
    <row r="1300" spans="1:11" x14ac:dyDescent="0.25">
      <c r="A1300" s="2">
        <v>46151.541666666657</v>
      </c>
      <c r="B1300" t="str">
        <f t="shared" si="40"/>
        <v>2026-05</v>
      </c>
      <c r="C1300" s="3">
        <f t="shared" si="41"/>
        <v>13</v>
      </c>
      <c r="D1300" s="4">
        <v>25.377177820033332</v>
      </c>
      <c r="E1300" s="4"/>
      <c r="F1300" s="4">
        <v>24.898376559436109</v>
      </c>
      <c r="G1300" s="4">
        <v>23.9</v>
      </c>
      <c r="H1300" s="5">
        <v>30.78237211998611</v>
      </c>
      <c r="I1300" s="5"/>
      <c r="J1300" s="5">
        <v>46.853920068625001</v>
      </c>
      <c r="K1300" s="5">
        <v>27</v>
      </c>
    </row>
    <row r="1301" spans="1:11" x14ac:dyDescent="0.25">
      <c r="A1301" s="2">
        <v>46151.583333333343</v>
      </c>
      <c r="B1301" t="str">
        <f t="shared" si="40"/>
        <v>2026-05</v>
      </c>
      <c r="C1301" s="3">
        <f t="shared" si="41"/>
        <v>14</v>
      </c>
      <c r="D1301" s="4">
        <v>25.361721898241669</v>
      </c>
      <c r="E1301" s="4"/>
      <c r="F1301" s="4">
        <v>24.983665104263888</v>
      </c>
      <c r="G1301" s="4">
        <v>24.4</v>
      </c>
      <c r="H1301" s="5">
        <v>32.107069241108327</v>
      </c>
      <c r="I1301" s="5"/>
      <c r="J1301" s="5">
        <v>46.689888591269437</v>
      </c>
      <c r="K1301" s="5">
        <v>27</v>
      </c>
    </row>
    <row r="1302" spans="1:11" x14ac:dyDescent="0.25">
      <c r="A1302" s="2">
        <v>46151.625</v>
      </c>
      <c r="B1302" t="str">
        <f t="shared" si="40"/>
        <v>2026-05</v>
      </c>
      <c r="C1302" s="3">
        <f t="shared" si="41"/>
        <v>15</v>
      </c>
      <c r="D1302" s="4">
        <v>25.61710493067778</v>
      </c>
      <c r="E1302" s="4"/>
      <c r="F1302" s="4">
        <v>24.957335654541659</v>
      </c>
      <c r="G1302" s="4">
        <v>24.8</v>
      </c>
      <c r="H1302" s="5">
        <v>34.225169928911107</v>
      </c>
      <c r="I1302" s="5"/>
      <c r="J1302" s="5">
        <v>47.187990172630563</v>
      </c>
      <c r="K1302" s="5">
        <v>24</v>
      </c>
    </row>
    <row r="1303" spans="1:11" x14ac:dyDescent="0.25">
      <c r="A1303" s="2">
        <v>46151.666666666657</v>
      </c>
      <c r="B1303" t="str">
        <f t="shared" si="40"/>
        <v>2026-05</v>
      </c>
      <c r="C1303" s="3">
        <f t="shared" si="41"/>
        <v>16</v>
      </c>
      <c r="D1303" s="4">
        <v>25.73923524656945</v>
      </c>
      <c r="E1303" s="4"/>
      <c r="F1303" s="4">
        <v>24.847260001974998</v>
      </c>
      <c r="G1303" s="4">
        <v>24.5</v>
      </c>
      <c r="H1303" s="5">
        <v>29.099351470477782</v>
      </c>
      <c r="I1303" s="5"/>
      <c r="J1303" s="5">
        <v>46.64670073658889</v>
      </c>
      <c r="K1303" s="5">
        <v>25</v>
      </c>
    </row>
    <row r="1304" spans="1:11" x14ac:dyDescent="0.25">
      <c r="A1304" s="2">
        <v>46151.708333333343</v>
      </c>
      <c r="B1304" t="str">
        <f t="shared" si="40"/>
        <v>2026-05</v>
      </c>
      <c r="C1304" s="3">
        <f t="shared" si="41"/>
        <v>17</v>
      </c>
      <c r="D1304" s="4">
        <v>25.799795480822219</v>
      </c>
      <c r="E1304" s="4"/>
      <c r="F1304" s="4">
        <v>24.81325994968056</v>
      </c>
      <c r="G1304" s="4">
        <v>24</v>
      </c>
      <c r="H1304" s="5">
        <v>28.34969216106111</v>
      </c>
      <c r="I1304" s="5"/>
      <c r="J1304" s="5">
        <v>46.655775868455557</v>
      </c>
      <c r="K1304" s="5">
        <v>27</v>
      </c>
    </row>
    <row r="1305" spans="1:11" x14ac:dyDescent="0.25">
      <c r="A1305" s="2">
        <v>46151.75</v>
      </c>
      <c r="B1305" t="str">
        <f t="shared" si="40"/>
        <v>2026-05</v>
      </c>
      <c r="C1305" s="3">
        <f t="shared" si="41"/>
        <v>18</v>
      </c>
      <c r="D1305" s="4">
        <v>25.542188140683329</v>
      </c>
      <c r="E1305" s="4"/>
      <c r="F1305" s="4">
        <v>24.804277707202768</v>
      </c>
      <c r="G1305" s="4">
        <v>23.6</v>
      </c>
      <c r="H1305" s="5">
        <v>31.104649872505551</v>
      </c>
      <c r="I1305" s="5"/>
      <c r="J1305" s="5">
        <v>46.53015155991389</v>
      </c>
      <c r="K1305" s="5">
        <v>28</v>
      </c>
    </row>
    <row r="1306" spans="1:11" x14ac:dyDescent="0.25">
      <c r="A1306" s="2">
        <v>46151.791666666657</v>
      </c>
      <c r="B1306" t="str">
        <f t="shared" si="40"/>
        <v>2026-05</v>
      </c>
      <c r="C1306" s="3">
        <f t="shared" si="41"/>
        <v>19</v>
      </c>
      <c r="D1306" s="4">
        <v>24.877737236419449</v>
      </c>
      <c r="E1306" s="4"/>
      <c r="F1306" s="4">
        <v>24.808147748811109</v>
      </c>
      <c r="G1306" s="4">
        <v>22.6</v>
      </c>
      <c r="H1306" s="5">
        <v>36.404492206630557</v>
      </c>
      <c r="I1306" s="5"/>
      <c r="J1306" s="5">
        <v>46.486096168452782</v>
      </c>
      <c r="K1306" s="5">
        <v>31</v>
      </c>
    </row>
    <row r="1307" spans="1:11" x14ac:dyDescent="0.25">
      <c r="A1307" s="2">
        <v>46151.833333333343</v>
      </c>
      <c r="B1307" t="str">
        <f t="shared" si="40"/>
        <v>2026-05</v>
      </c>
      <c r="C1307" s="3">
        <f t="shared" si="41"/>
        <v>20</v>
      </c>
      <c r="D1307" s="4">
        <v>23.848352730355561</v>
      </c>
      <c r="E1307" s="4"/>
      <c r="F1307" s="4">
        <v>24.90301799104445</v>
      </c>
      <c r="G1307" s="4">
        <v>20.2</v>
      </c>
      <c r="H1307" s="5">
        <v>39.868535641219452</v>
      </c>
      <c r="I1307" s="5"/>
      <c r="J1307" s="5">
        <v>46.837739655883333</v>
      </c>
      <c r="K1307" s="5">
        <v>48</v>
      </c>
    </row>
    <row r="1308" spans="1:11" x14ac:dyDescent="0.25">
      <c r="A1308" s="2">
        <v>46151.875</v>
      </c>
      <c r="B1308" t="str">
        <f t="shared" si="40"/>
        <v>2026-05</v>
      </c>
      <c r="C1308" s="3">
        <f t="shared" si="41"/>
        <v>21</v>
      </c>
      <c r="D1308" s="4">
        <v>23.605612610747219</v>
      </c>
      <c r="E1308" s="4"/>
      <c r="F1308" s="4">
        <v>25.006314739619441</v>
      </c>
      <c r="G1308" s="4">
        <v>18.7</v>
      </c>
      <c r="H1308" s="5">
        <v>40.850371089669437</v>
      </c>
      <c r="I1308" s="5"/>
      <c r="J1308" s="5">
        <v>46.825770703047233</v>
      </c>
      <c r="K1308" s="5">
        <v>61</v>
      </c>
    </row>
    <row r="1309" spans="1:11" x14ac:dyDescent="0.25">
      <c r="A1309" s="2">
        <v>46151.916666666657</v>
      </c>
      <c r="B1309" t="str">
        <f t="shared" si="40"/>
        <v>2026-05</v>
      </c>
      <c r="C1309" s="3">
        <f t="shared" si="41"/>
        <v>22</v>
      </c>
      <c r="D1309" s="4">
        <v>23.97211473626945</v>
      </c>
      <c r="E1309" s="4"/>
      <c r="F1309" s="4">
        <v>24.988509374713889</v>
      </c>
      <c r="G1309" s="4">
        <v>17.899999999999999</v>
      </c>
      <c r="H1309" s="5">
        <v>40.119840019000002</v>
      </c>
      <c r="I1309" s="5"/>
      <c r="J1309" s="5">
        <v>46.395582457327777</v>
      </c>
      <c r="K1309" s="5">
        <v>67</v>
      </c>
    </row>
    <row r="1310" spans="1:11" x14ac:dyDescent="0.25">
      <c r="A1310" s="2">
        <v>46151.958333333343</v>
      </c>
      <c r="B1310" t="str">
        <f t="shared" si="40"/>
        <v>2026-05</v>
      </c>
      <c r="C1310" s="3">
        <f t="shared" si="41"/>
        <v>23</v>
      </c>
      <c r="D1310" s="4">
        <v>23.96659795104167</v>
      </c>
      <c r="E1310" s="4"/>
      <c r="F1310" s="4">
        <v>24.94110246443611</v>
      </c>
      <c r="G1310" s="4">
        <v>17.3</v>
      </c>
      <c r="H1310" s="5">
        <v>41.447971494691657</v>
      </c>
      <c r="I1310" s="5"/>
      <c r="J1310" s="5">
        <v>46.171091558450001</v>
      </c>
      <c r="K1310" s="5">
        <v>68</v>
      </c>
    </row>
    <row r="1311" spans="1:11" x14ac:dyDescent="0.25">
      <c r="A1311" s="2">
        <v>46152</v>
      </c>
      <c r="B1311" t="str">
        <f t="shared" si="40"/>
        <v>2026-05</v>
      </c>
      <c r="C1311" s="3">
        <f t="shared" si="41"/>
        <v>0</v>
      </c>
      <c r="D1311" s="4">
        <v>24.1524371171</v>
      </c>
      <c r="E1311" s="4"/>
      <c r="F1311" s="4">
        <v>24.902952986391661</v>
      </c>
      <c r="G1311" s="4">
        <v>16.7</v>
      </c>
      <c r="H1311" s="5">
        <v>41.36276565507778</v>
      </c>
      <c r="I1311" s="5"/>
      <c r="J1311" s="5">
        <v>46.263634605491667</v>
      </c>
      <c r="K1311" s="5">
        <v>70</v>
      </c>
    </row>
    <row r="1312" spans="1:11" x14ac:dyDescent="0.25">
      <c r="A1312" s="2">
        <v>46152.041666666657</v>
      </c>
      <c r="B1312" t="str">
        <f t="shared" si="40"/>
        <v>2026-05</v>
      </c>
      <c r="C1312" s="3">
        <f t="shared" si="41"/>
        <v>1</v>
      </c>
      <c r="D1312" s="4">
        <v>23.00867271478889</v>
      </c>
      <c r="E1312" s="4"/>
      <c r="F1312" s="4">
        <v>24.90281455162777</v>
      </c>
      <c r="G1312" s="4">
        <v>16.3</v>
      </c>
      <c r="H1312" s="5">
        <v>43.760732048688887</v>
      </c>
      <c r="I1312" s="5"/>
      <c r="J1312" s="5">
        <v>46.969862558499997</v>
      </c>
      <c r="K1312" s="5">
        <v>72</v>
      </c>
    </row>
    <row r="1313" spans="1:11" x14ac:dyDescent="0.25">
      <c r="A1313" s="2">
        <v>46152.083333333343</v>
      </c>
      <c r="B1313" t="str">
        <f t="shared" si="40"/>
        <v>2026-05</v>
      </c>
      <c r="C1313" s="3">
        <f t="shared" si="41"/>
        <v>2</v>
      </c>
      <c r="D1313" s="4">
        <v>23.002932252861111</v>
      </c>
      <c r="E1313" s="4"/>
      <c r="F1313" s="4">
        <v>24.886759465050002</v>
      </c>
      <c r="G1313" s="4">
        <v>15.9</v>
      </c>
      <c r="H1313" s="5">
        <v>44.023776520544452</v>
      </c>
      <c r="I1313" s="5"/>
      <c r="J1313" s="5">
        <v>47.340840596083332</v>
      </c>
      <c r="K1313" s="5">
        <v>73</v>
      </c>
    </row>
    <row r="1314" spans="1:11" x14ac:dyDescent="0.25">
      <c r="A1314" s="2">
        <v>46152.125</v>
      </c>
      <c r="B1314" t="str">
        <f t="shared" si="40"/>
        <v>2026-05</v>
      </c>
      <c r="C1314" s="3">
        <f t="shared" si="41"/>
        <v>3</v>
      </c>
      <c r="D1314" s="4">
        <v>24.174956119869449</v>
      </c>
      <c r="E1314" s="4"/>
      <c r="F1314" s="4">
        <v>24.868906845766659</v>
      </c>
      <c r="G1314" s="4">
        <v>15.4</v>
      </c>
      <c r="H1314" s="5">
        <v>41.96013114706944</v>
      </c>
      <c r="I1314" s="5"/>
      <c r="J1314" s="5">
        <v>47.632391704622222</v>
      </c>
      <c r="K1314" s="5">
        <v>78</v>
      </c>
    </row>
    <row r="1315" spans="1:11" x14ac:dyDescent="0.25">
      <c r="A1315" s="2">
        <v>46152.166666666657</v>
      </c>
      <c r="B1315" t="str">
        <f t="shared" si="40"/>
        <v>2026-05</v>
      </c>
      <c r="C1315" s="3">
        <f t="shared" si="41"/>
        <v>4</v>
      </c>
      <c r="D1315" s="4">
        <v>24.045327925938889</v>
      </c>
      <c r="E1315" s="4"/>
      <c r="F1315" s="4">
        <v>24.844237847580551</v>
      </c>
      <c r="G1315" s="4">
        <v>14.8</v>
      </c>
      <c r="H1315" s="5">
        <v>41.626592819288888</v>
      </c>
      <c r="I1315" s="5"/>
      <c r="J1315" s="5">
        <v>47.737629181575002</v>
      </c>
      <c r="K1315" s="5">
        <v>79</v>
      </c>
    </row>
    <row r="1316" spans="1:11" x14ac:dyDescent="0.25">
      <c r="A1316" s="2">
        <v>46152.208333333343</v>
      </c>
      <c r="B1316" t="str">
        <f t="shared" si="40"/>
        <v>2026-05</v>
      </c>
      <c r="C1316" s="3">
        <f t="shared" si="41"/>
        <v>5</v>
      </c>
      <c r="D1316" s="4">
        <v>24.029530610636112</v>
      </c>
      <c r="E1316" s="4"/>
      <c r="F1316" s="4">
        <v>24.822795881541669</v>
      </c>
      <c r="G1316" s="4">
        <v>14.2</v>
      </c>
      <c r="H1316" s="5">
        <v>41.219242491324998</v>
      </c>
      <c r="I1316" s="5"/>
      <c r="J1316" s="5">
        <v>47.61778569511111</v>
      </c>
      <c r="K1316" s="5">
        <v>81</v>
      </c>
    </row>
    <row r="1317" spans="1:11" x14ac:dyDescent="0.25">
      <c r="A1317" s="2">
        <v>46152.25</v>
      </c>
      <c r="B1317" t="str">
        <f t="shared" si="40"/>
        <v>2026-05</v>
      </c>
      <c r="C1317" s="3">
        <f t="shared" si="41"/>
        <v>6</v>
      </c>
      <c r="D1317" s="4">
        <v>24.471075330547219</v>
      </c>
      <c r="E1317" s="4"/>
      <c r="F1317" s="4">
        <v>24.81423125308611</v>
      </c>
      <c r="G1317" s="4">
        <v>14.1</v>
      </c>
      <c r="H1317" s="5">
        <v>40.114268223641673</v>
      </c>
      <c r="I1317" s="5"/>
      <c r="J1317" s="5">
        <v>47.503687063169437</v>
      </c>
      <c r="K1317" s="5">
        <v>80</v>
      </c>
    </row>
    <row r="1318" spans="1:11" x14ac:dyDescent="0.25">
      <c r="A1318" s="2">
        <v>46152.291666666657</v>
      </c>
      <c r="B1318" t="str">
        <f t="shared" si="40"/>
        <v>2026-05</v>
      </c>
      <c r="C1318" s="3">
        <f t="shared" si="41"/>
        <v>7</v>
      </c>
      <c r="D1318" s="4">
        <v>25.065125388927779</v>
      </c>
      <c r="E1318" s="4"/>
      <c r="F1318" s="4">
        <v>24.83515861322222</v>
      </c>
      <c r="G1318" s="4">
        <v>15.1</v>
      </c>
      <c r="H1318" s="5">
        <v>39.662500379902781</v>
      </c>
      <c r="I1318" s="5"/>
      <c r="J1318" s="5">
        <v>47.765320288233333</v>
      </c>
      <c r="K1318" s="5">
        <v>74</v>
      </c>
    </row>
    <row r="1319" spans="1:11" x14ac:dyDescent="0.25">
      <c r="A1319" s="2">
        <v>46152.333333333343</v>
      </c>
      <c r="B1319" t="str">
        <f t="shared" si="40"/>
        <v>2026-05</v>
      </c>
      <c r="C1319" s="3">
        <f t="shared" si="41"/>
        <v>8</v>
      </c>
      <c r="D1319" s="4">
        <v>25.547177127674999</v>
      </c>
      <c r="E1319" s="4"/>
      <c r="F1319" s="4">
        <v>24.868297621383331</v>
      </c>
      <c r="G1319" s="4">
        <v>17.100000000000001</v>
      </c>
      <c r="H1319" s="5">
        <v>39.42091536157222</v>
      </c>
      <c r="I1319" s="5"/>
      <c r="J1319" s="5">
        <v>47.92789184363334</v>
      </c>
      <c r="K1319" s="5">
        <v>63</v>
      </c>
    </row>
    <row r="1320" spans="1:11" x14ac:dyDescent="0.25">
      <c r="A1320" s="2">
        <v>46152.375</v>
      </c>
      <c r="B1320" t="str">
        <f t="shared" si="40"/>
        <v>2026-05</v>
      </c>
      <c r="C1320" s="3">
        <f t="shared" si="41"/>
        <v>9</v>
      </c>
      <c r="D1320" s="4">
        <v>25.854622010572221</v>
      </c>
      <c r="E1320" s="4"/>
      <c r="F1320" s="4">
        <v>24.919743032930551</v>
      </c>
      <c r="G1320" s="4">
        <v>19.399999999999999</v>
      </c>
      <c r="H1320" s="5">
        <v>39.737420887908343</v>
      </c>
      <c r="I1320" s="5"/>
      <c r="J1320" s="5">
        <v>48.19208860893611</v>
      </c>
      <c r="K1320" s="5">
        <v>53</v>
      </c>
    </row>
    <row r="1321" spans="1:11" x14ac:dyDescent="0.25">
      <c r="A1321" s="2">
        <v>46152.416666666657</v>
      </c>
      <c r="B1321" t="str">
        <f t="shared" si="40"/>
        <v>2026-05</v>
      </c>
      <c r="C1321" s="3">
        <f t="shared" si="41"/>
        <v>10</v>
      </c>
      <c r="D1321" s="4">
        <v>26.030665870038892</v>
      </c>
      <c r="E1321" s="4"/>
      <c r="F1321" s="4">
        <v>24.97020514802222</v>
      </c>
      <c r="G1321" s="4">
        <v>21.8</v>
      </c>
      <c r="H1321" s="5">
        <v>39.862929726383342</v>
      </c>
      <c r="I1321" s="5"/>
      <c r="J1321" s="5">
        <v>48.368921342366662</v>
      </c>
      <c r="K1321" s="5">
        <v>44</v>
      </c>
    </row>
    <row r="1322" spans="1:11" x14ac:dyDescent="0.25">
      <c r="A1322" s="2">
        <v>46152.458333333343</v>
      </c>
      <c r="B1322" t="str">
        <f t="shared" si="40"/>
        <v>2026-05</v>
      </c>
      <c r="C1322" s="3">
        <f t="shared" si="41"/>
        <v>11</v>
      </c>
      <c r="D1322" s="4">
        <v>25.977476650300002</v>
      </c>
      <c r="E1322" s="4"/>
      <c r="F1322" s="4">
        <v>25.00504808398334</v>
      </c>
      <c r="G1322" s="4">
        <v>23.5</v>
      </c>
      <c r="H1322" s="5">
        <v>40.193853010802783</v>
      </c>
      <c r="I1322" s="5"/>
      <c r="J1322" s="5">
        <v>48.424043382222223</v>
      </c>
      <c r="K1322" s="5">
        <v>36</v>
      </c>
    </row>
    <row r="1323" spans="1:11" x14ac:dyDescent="0.25">
      <c r="A1323" s="2">
        <v>46152.5</v>
      </c>
      <c r="B1323" t="str">
        <f t="shared" si="40"/>
        <v>2026-05</v>
      </c>
      <c r="C1323" s="3">
        <f t="shared" si="41"/>
        <v>12</v>
      </c>
      <c r="D1323" s="4">
        <v>25.94629478158333</v>
      </c>
      <c r="E1323" s="4"/>
      <c r="F1323" s="4">
        <v>25.044556738441671</v>
      </c>
      <c r="G1323" s="4">
        <v>24.2</v>
      </c>
      <c r="H1323" s="5">
        <v>40.99250049074444</v>
      </c>
      <c r="I1323" s="5"/>
      <c r="J1323" s="5">
        <v>48.758876693513884</v>
      </c>
      <c r="K1323" s="5">
        <v>30</v>
      </c>
    </row>
    <row r="1324" spans="1:11" x14ac:dyDescent="0.25">
      <c r="A1324" s="2">
        <v>46152.541666666657</v>
      </c>
      <c r="B1324" t="str">
        <f t="shared" si="40"/>
        <v>2026-05</v>
      </c>
      <c r="C1324" s="3">
        <f t="shared" si="41"/>
        <v>13</v>
      </c>
      <c r="D1324" s="4">
        <v>26.073048971358329</v>
      </c>
      <c r="E1324" s="4"/>
      <c r="F1324" s="4">
        <v>25.066343253072219</v>
      </c>
      <c r="G1324" s="4">
        <v>24.8</v>
      </c>
      <c r="H1324" s="5">
        <v>37.922259296950003</v>
      </c>
      <c r="I1324" s="5"/>
      <c r="J1324" s="5">
        <v>48.62762114197222</v>
      </c>
      <c r="K1324" s="5">
        <v>27</v>
      </c>
    </row>
    <row r="1325" spans="1:11" x14ac:dyDescent="0.25">
      <c r="A1325" s="2">
        <v>46152.583333333343</v>
      </c>
      <c r="B1325" t="str">
        <f t="shared" si="40"/>
        <v>2026-05</v>
      </c>
      <c r="C1325" s="3">
        <f t="shared" si="41"/>
        <v>14</v>
      </c>
      <c r="D1325" s="4">
        <v>25.83814661916945</v>
      </c>
      <c r="E1325" s="4"/>
      <c r="F1325" s="4">
        <v>25.058952464286111</v>
      </c>
      <c r="G1325" s="4">
        <v>24.7</v>
      </c>
      <c r="H1325" s="5">
        <v>34.081038773102783</v>
      </c>
      <c r="I1325" s="5"/>
      <c r="J1325" s="5">
        <v>48.110475470852784</v>
      </c>
      <c r="K1325" s="5">
        <v>27</v>
      </c>
    </row>
    <row r="1326" spans="1:11" x14ac:dyDescent="0.25">
      <c r="A1326" s="2">
        <v>46152.625</v>
      </c>
      <c r="B1326" t="str">
        <f t="shared" si="40"/>
        <v>2026-05</v>
      </c>
      <c r="C1326" s="3">
        <f t="shared" si="41"/>
        <v>15</v>
      </c>
      <c r="D1326" s="4">
        <v>25.578910935716671</v>
      </c>
      <c r="E1326" s="4"/>
      <c r="F1326" s="4">
        <v>25.046842138694441</v>
      </c>
      <c r="G1326" s="4">
        <v>25.2</v>
      </c>
      <c r="H1326" s="5">
        <v>32.583095552316671</v>
      </c>
      <c r="I1326" s="5"/>
      <c r="J1326" s="5">
        <v>47.634382285402779</v>
      </c>
      <c r="K1326" s="5">
        <v>25</v>
      </c>
    </row>
    <row r="1327" spans="1:11" x14ac:dyDescent="0.25">
      <c r="A1327" s="2">
        <v>46152.666666666657</v>
      </c>
      <c r="B1327" t="str">
        <f t="shared" si="40"/>
        <v>2026-05</v>
      </c>
      <c r="C1327" s="3">
        <f t="shared" si="41"/>
        <v>16</v>
      </c>
      <c r="D1327" s="4">
        <v>25.161527154611111</v>
      </c>
      <c r="E1327" s="4"/>
      <c r="F1327" s="4">
        <v>25.04635057816667</v>
      </c>
      <c r="G1327" s="4">
        <v>25.2</v>
      </c>
      <c r="H1327" s="5">
        <v>31.759014798683332</v>
      </c>
      <c r="I1327" s="5"/>
      <c r="J1327" s="5">
        <v>47.401769825877778</v>
      </c>
      <c r="K1327" s="5">
        <v>24</v>
      </c>
    </row>
    <row r="1328" spans="1:11" x14ac:dyDescent="0.25">
      <c r="A1328" s="2">
        <v>46152.708333333343</v>
      </c>
      <c r="B1328" t="str">
        <f t="shared" si="40"/>
        <v>2026-05</v>
      </c>
      <c r="C1328" s="3">
        <f t="shared" si="41"/>
        <v>17</v>
      </c>
      <c r="D1328" s="4">
        <v>24.993250457024999</v>
      </c>
      <c r="E1328" s="4">
        <v>26.293519977744321</v>
      </c>
      <c r="F1328" s="4">
        <v>25.15616733198334</v>
      </c>
      <c r="G1328" s="4">
        <v>25</v>
      </c>
      <c r="H1328" s="5">
        <v>33.013067358150003</v>
      </c>
      <c r="I1328" s="5">
        <v>35.840751498379298</v>
      </c>
      <c r="J1328" s="5">
        <v>48.145549822100001</v>
      </c>
      <c r="K1328" s="5">
        <v>25</v>
      </c>
    </row>
    <row r="1329" spans="1:11" x14ac:dyDescent="0.25">
      <c r="A1329" s="2">
        <v>46152.75</v>
      </c>
      <c r="B1329" t="str">
        <f t="shared" si="40"/>
        <v>2026-05</v>
      </c>
      <c r="C1329" s="3">
        <f t="shared" si="41"/>
        <v>18</v>
      </c>
      <c r="D1329" s="4">
        <v>25.252846037575001</v>
      </c>
      <c r="E1329" s="4">
        <v>26.64088731564722</v>
      </c>
      <c r="F1329" s="4">
        <v>25.305507982744441</v>
      </c>
      <c r="G1329" s="4">
        <v>22</v>
      </c>
      <c r="H1329" s="5">
        <v>31.860718041466669</v>
      </c>
      <c r="I1329" s="5">
        <v>35.238401548419453</v>
      </c>
      <c r="J1329" s="5">
        <v>47.369327854977783</v>
      </c>
      <c r="K1329" s="5">
        <v>42</v>
      </c>
    </row>
    <row r="1330" spans="1:11" x14ac:dyDescent="0.25">
      <c r="A1330" s="2">
        <v>46152.791666666657</v>
      </c>
      <c r="B1330" t="str">
        <f t="shared" si="40"/>
        <v>2026-05</v>
      </c>
      <c r="C1330" s="3">
        <f t="shared" si="41"/>
        <v>19</v>
      </c>
      <c r="D1330" s="4">
        <v>24.479334626499998</v>
      </c>
      <c r="E1330" s="4">
        <v>26.93180937350278</v>
      </c>
      <c r="F1330" s="4">
        <v>25.38864031393889</v>
      </c>
      <c r="G1330" s="4">
        <v>21.1</v>
      </c>
      <c r="H1330" s="5">
        <v>32.551973480983342</v>
      </c>
      <c r="I1330" s="5">
        <v>34.785384452530558</v>
      </c>
      <c r="J1330" s="5">
        <v>46.814644920274993</v>
      </c>
      <c r="K1330" s="5">
        <v>50</v>
      </c>
    </row>
    <row r="1331" spans="1:11" x14ac:dyDescent="0.25">
      <c r="A1331" s="2">
        <v>46152.833333333343</v>
      </c>
      <c r="B1331" t="str">
        <f t="shared" si="40"/>
        <v>2026-05</v>
      </c>
      <c r="C1331" s="3">
        <f t="shared" si="41"/>
        <v>20</v>
      </c>
      <c r="D1331" s="4">
        <v>23.73360741844445</v>
      </c>
      <c r="E1331" s="4">
        <v>26.874879712261109</v>
      </c>
      <c r="F1331" s="4">
        <v>25.353169966799999</v>
      </c>
      <c r="G1331" s="4">
        <v>20.2</v>
      </c>
      <c r="H1331" s="5">
        <v>35.354636619205557</v>
      </c>
      <c r="I1331" s="5">
        <v>33.783304260158332</v>
      </c>
      <c r="J1331" s="5">
        <v>47.423779846000002</v>
      </c>
      <c r="K1331" s="5">
        <v>56</v>
      </c>
    </row>
    <row r="1332" spans="1:11" x14ac:dyDescent="0.25">
      <c r="A1332" s="2">
        <v>46152.875</v>
      </c>
      <c r="B1332" t="str">
        <f t="shared" si="40"/>
        <v>2026-05</v>
      </c>
      <c r="C1332" s="3">
        <f t="shared" si="41"/>
        <v>21</v>
      </c>
      <c r="D1332" s="4">
        <v>23.39605905463889</v>
      </c>
      <c r="E1332" s="4">
        <v>26.554176132113891</v>
      </c>
      <c r="F1332" s="4">
        <v>25.30882406255278</v>
      </c>
      <c r="G1332" s="4">
        <v>18.3</v>
      </c>
      <c r="H1332" s="5">
        <v>36.814097222800001</v>
      </c>
      <c r="I1332" s="5">
        <v>34.737371920758328</v>
      </c>
      <c r="J1332" s="5">
        <v>47.541148913736123</v>
      </c>
      <c r="K1332" s="5">
        <v>68</v>
      </c>
    </row>
    <row r="1333" spans="1:11" x14ac:dyDescent="0.25">
      <c r="A1333" s="2">
        <v>46152.916666666657</v>
      </c>
      <c r="B1333" t="str">
        <f t="shared" si="40"/>
        <v>2026-05</v>
      </c>
      <c r="C1333" s="3">
        <f t="shared" si="41"/>
        <v>22</v>
      </c>
      <c r="D1333" s="4">
        <v>22.82151403158889</v>
      </c>
      <c r="E1333" s="4">
        <v>26.529065122769438</v>
      </c>
      <c r="F1333" s="4">
        <v>25.28560571022777</v>
      </c>
      <c r="G1333" s="4">
        <v>17.8</v>
      </c>
      <c r="H1333" s="5">
        <v>39.180949258180561</v>
      </c>
      <c r="I1333" s="5">
        <v>35.002089952219443</v>
      </c>
      <c r="J1333" s="5">
        <v>47.701128742377783</v>
      </c>
      <c r="K1333" s="5">
        <v>71</v>
      </c>
    </row>
    <row r="1334" spans="1:11" x14ac:dyDescent="0.25">
      <c r="A1334" s="2">
        <v>46152.958333333343</v>
      </c>
      <c r="B1334" t="str">
        <f t="shared" si="40"/>
        <v>2026-05</v>
      </c>
      <c r="C1334" s="3">
        <f t="shared" si="41"/>
        <v>23</v>
      </c>
      <c r="D1334" s="4">
        <v>24.13296997571944</v>
      </c>
      <c r="E1334" s="4">
        <v>26.874999080075</v>
      </c>
      <c r="F1334" s="4">
        <v>25.24087865792222</v>
      </c>
      <c r="G1334" s="4">
        <v>17.399999999999999</v>
      </c>
      <c r="H1334" s="5">
        <v>38.581819488380553</v>
      </c>
      <c r="I1334" s="5">
        <v>35.937783689016662</v>
      </c>
      <c r="J1334" s="5">
        <v>47.724210543608343</v>
      </c>
      <c r="K1334" s="5">
        <v>73</v>
      </c>
    </row>
    <row r="1335" spans="1:11" x14ac:dyDescent="0.25">
      <c r="A1335" s="2">
        <v>46153</v>
      </c>
      <c r="B1335" t="str">
        <f t="shared" si="40"/>
        <v>2026-05</v>
      </c>
      <c r="C1335" s="3">
        <f t="shared" si="41"/>
        <v>0</v>
      </c>
      <c r="D1335" s="4">
        <v>24.300382856355551</v>
      </c>
      <c r="E1335" s="4">
        <v>27.373265428491671</v>
      </c>
      <c r="F1335" s="4">
        <v>25.253938281391669</v>
      </c>
      <c r="G1335" s="4">
        <v>17</v>
      </c>
      <c r="H1335" s="5">
        <v>40.005958455452777</v>
      </c>
      <c r="I1335" s="5">
        <v>36.815137436461121</v>
      </c>
      <c r="J1335" s="5">
        <v>47.598944154219453</v>
      </c>
      <c r="K1335" s="5">
        <v>76</v>
      </c>
    </row>
    <row r="1336" spans="1:11" x14ac:dyDescent="0.25">
      <c r="A1336" s="2">
        <v>46153.041666666657</v>
      </c>
      <c r="B1336" t="str">
        <f t="shared" si="40"/>
        <v>2026-05</v>
      </c>
      <c r="C1336" s="3">
        <f t="shared" si="41"/>
        <v>1</v>
      </c>
      <c r="D1336" s="4">
        <v>24.497753163027781</v>
      </c>
      <c r="E1336" s="4">
        <v>26.89489760010278</v>
      </c>
      <c r="F1336" s="4">
        <v>25.273250192027781</v>
      </c>
      <c r="G1336" s="4">
        <v>16.5</v>
      </c>
      <c r="H1336" s="5">
        <v>42.132656061052778</v>
      </c>
      <c r="I1336" s="5">
        <v>38.844419646086109</v>
      </c>
      <c r="J1336" s="5">
        <v>47.733036155408342</v>
      </c>
      <c r="K1336" s="5">
        <v>80</v>
      </c>
    </row>
    <row r="1337" spans="1:11" x14ac:dyDescent="0.25">
      <c r="A1337" s="2">
        <v>46153.083333333343</v>
      </c>
      <c r="B1337" t="str">
        <f t="shared" si="40"/>
        <v>2026-05</v>
      </c>
      <c r="C1337" s="3">
        <f t="shared" si="41"/>
        <v>2</v>
      </c>
      <c r="D1337" s="4">
        <v>24.830964839680561</v>
      </c>
      <c r="E1337" s="4">
        <v>26.328989313127771</v>
      </c>
      <c r="F1337" s="4">
        <v>25.260164752952779</v>
      </c>
      <c r="G1337" s="4">
        <v>16</v>
      </c>
      <c r="H1337" s="5">
        <v>42.868146997677783</v>
      </c>
      <c r="I1337" s="5">
        <v>40.311664878044454</v>
      </c>
      <c r="J1337" s="5">
        <v>47.706418808011108</v>
      </c>
      <c r="K1337" s="5">
        <v>81</v>
      </c>
    </row>
    <row r="1338" spans="1:11" x14ac:dyDescent="0.25">
      <c r="A1338" s="2">
        <v>46153.125</v>
      </c>
      <c r="B1338" t="str">
        <f t="shared" si="40"/>
        <v>2026-05</v>
      </c>
      <c r="C1338" s="3">
        <f t="shared" si="41"/>
        <v>3</v>
      </c>
      <c r="D1338" s="4">
        <v>24.748193604825001</v>
      </c>
      <c r="E1338" s="4">
        <v>26.026619180347222</v>
      </c>
      <c r="F1338" s="4">
        <v>25.23325810541667</v>
      </c>
      <c r="G1338" s="4">
        <v>15.9</v>
      </c>
      <c r="H1338" s="5">
        <v>42.828770433997221</v>
      </c>
      <c r="I1338" s="5">
        <v>40.691571978716667</v>
      </c>
      <c r="J1338" s="5">
        <v>47.681126248836108</v>
      </c>
      <c r="K1338" s="5">
        <v>85</v>
      </c>
    </row>
    <row r="1339" spans="1:11" x14ac:dyDescent="0.25">
      <c r="A1339" s="2">
        <v>46153.166666666657</v>
      </c>
      <c r="B1339" t="str">
        <f t="shared" si="40"/>
        <v>2026-05</v>
      </c>
      <c r="C1339" s="3">
        <f t="shared" si="41"/>
        <v>4</v>
      </c>
      <c r="D1339" s="4">
        <v>24.63013989612222</v>
      </c>
      <c r="E1339" s="4">
        <v>25.79715518111389</v>
      </c>
      <c r="F1339" s="4">
        <v>25.22021144230278</v>
      </c>
      <c r="G1339" s="4">
        <v>15.4</v>
      </c>
      <c r="H1339" s="5">
        <v>42.288756002105558</v>
      </c>
      <c r="I1339" s="5">
        <v>40.330794226291673</v>
      </c>
      <c r="J1339" s="5">
        <v>47.656988835616673</v>
      </c>
      <c r="K1339" s="5">
        <v>84</v>
      </c>
    </row>
    <row r="1340" spans="1:11" x14ac:dyDescent="0.25">
      <c r="A1340" s="2">
        <v>46153.208333333343</v>
      </c>
      <c r="B1340" t="str">
        <f t="shared" si="40"/>
        <v>2026-05</v>
      </c>
      <c r="C1340" s="3">
        <f t="shared" si="41"/>
        <v>5</v>
      </c>
      <c r="D1340" s="4">
        <v>24.533936800052771</v>
      </c>
      <c r="E1340" s="4">
        <v>25.615360554325001</v>
      </c>
      <c r="F1340" s="4">
        <v>25.20292534665278</v>
      </c>
      <c r="G1340" s="4">
        <v>14.9</v>
      </c>
      <c r="H1340" s="5">
        <v>41.590038051866657</v>
      </c>
      <c r="I1340" s="5">
        <v>39.611819048805557</v>
      </c>
      <c r="J1340" s="5">
        <v>47.608937050858337</v>
      </c>
      <c r="K1340" s="5">
        <v>85</v>
      </c>
    </row>
    <row r="1341" spans="1:11" x14ac:dyDescent="0.25">
      <c r="A1341" s="2">
        <v>46153.25</v>
      </c>
      <c r="B1341" t="str">
        <f t="shared" si="40"/>
        <v>2026-05</v>
      </c>
      <c r="C1341" s="3">
        <f t="shared" si="41"/>
        <v>6</v>
      </c>
      <c r="D1341" s="4">
        <v>24.510856957141659</v>
      </c>
      <c r="E1341" s="4">
        <v>25.410169711350001</v>
      </c>
      <c r="F1341" s="4">
        <v>25.19741646532222</v>
      </c>
      <c r="G1341" s="4">
        <v>14.9</v>
      </c>
      <c r="H1341" s="5">
        <v>41.503099520513892</v>
      </c>
      <c r="I1341" s="5">
        <v>40.338016299708343</v>
      </c>
      <c r="J1341" s="5">
        <v>47.560916265677783</v>
      </c>
      <c r="K1341" s="5">
        <v>84</v>
      </c>
    </row>
    <row r="1342" spans="1:11" x14ac:dyDescent="0.25">
      <c r="A1342" s="2">
        <v>46153.291666666657</v>
      </c>
      <c r="B1342" t="str">
        <f t="shared" si="40"/>
        <v>2026-05</v>
      </c>
      <c r="C1342" s="3">
        <f t="shared" si="41"/>
        <v>7</v>
      </c>
      <c r="D1342" s="4">
        <v>24.683578494727779</v>
      </c>
      <c r="E1342" s="4">
        <v>25.40537590550278</v>
      </c>
      <c r="F1342" s="4">
        <v>25.194897488300001</v>
      </c>
      <c r="G1342" s="4">
        <v>15.9</v>
      </c>
      <c r="H1342" s="5">
        <v>41.410509253969437</v>
      </c>
      <c r="I1342" s="5">
        <v>40.827170015611109</v>
      </c>
      <c r="J1342" s="5">
        <v>47.583433639394443</v>
      </c>
      <c r="K1342" s="5">
        <v>77</v>
      </c>
    </row>
    <row r="1343" spans="1:11" x14ac:dyDescent="0.25">
      <c r="A1343" s="2">
        <v>46153.333333333343</v>
      </c>
      <c r="B1343" t="str">
        <f t="shared" si="40"/>
        <v>2026-05</v>
      </c>
      <c r="C1343" s="3">
        <f t="shared" si="41"/>
        <v>8</v>
      </c>
      <c r="D1343" s="4">
        <v>24.84307857216389</v>
      </c>
      <c r="E1343" s="4">
        <v>25.414710332555561</v>
      </c>
      <c r="F1343" s="4">
        <v>25.20003822598056</v>
      </c>
      <c r="G1343" s="4">
        <v>16.600000000000001</v>
      </c>
      <c r="H1343" s="5">
        <v>41.848960225202767</v>
      </c>
      <c r="I1343" s="5">
        <v>41.331087277730553</v>
      </c>
      <c r="J1343" s="5">
        <v>47.605963706261122</v>
      </c>
      <c r="K1343" s="5">
        <v>72</v>
      </c>
    </row>
    <row r="1344" spans="1:11" x14ac:dyDescent="0.25">
      <c r="A1344" s="2">
        <v>46153.375</v>
      </c>
      <c r="B1344" t="str">
        <f t="shared" si="40"/>
        <v>2026-05</v>
      </c>
      <c r="C1344" s="3">
        <f t="shared" si="41"/>
        <v>9</v>
      </c>
      <c r="D1344" s="4">
        <v>25.04763399004722</v>
      </c>
      <c r="E1344" s="4">
        <v>25.61283515305556</v>
      </c>
      <c r="F1344" s="4">
        <v>25.21411100478889</v>
      </c>
      <c r="G1344" s="4">
        <v>17.600000000000001</v>
      </c>
      <c r="H1344" s="5">
        <v>42.564343068813891</v>
      </c>
      <c r="I1344" s="5">
        <v>41.439254322244437</v>
      </c>
      <c r="J1344" s="5">
        <v>47.70328873082223</v>
      </c>
      <c r="K1344" s="5">
        <v>68</v>
      </c>
    </row>
    <row r="1345" spans="1:11" x14ac:dyDescent="0.25">
      <c r="A1345" s="2">
        <v>46153.416666666657</v>
      </c>
      <c r="B1345" t="str">
        <f t="shared" si="40"/>
        <v>2026-05</v>
      </c>
      <c r="C1345" s="3">
        <f t="shared" si="41"/>
        <v>10</v>
      </c>
      <c r="D1345" s="4">
        <v>25.125353345005561</v>
      </c>
      <c r="E1345" s="4">
        <v>25.747244337908331</v>
      </c>
      <c r="F1345" s="4">
        <v>25.226141926158331</v>
      </c>
      <c r="G1345" s="4">
        <v>18.5</v>
      </c>
      <c r="H1345" s="5">
        <v>42.064901861363893</v>
      </c>
      <c r="I1345" s="5">
        <v>41.458021597891673</v>
      </c>
      <c r="J1345" s="5">
        <v>47.726174569147219</v>
      </c>
      <c r="K1345" s="5">
        <v>60</v>
      </c>
    </row>
    <row r="1346" spans="1:11" x14ac:dyDescent="0.25">
      <c r="A1346" s="2">
        <v>46153.458333333343</v>
      </c>
      <c r="B1346" t="str">
        <f t="shared" ref="B1346:B1409" si="42">TEXT(A1346,"yyyy-mm")</f>
        <v>2026-05</v>
      </c>
      <c r="C1346" s="3">
        <f t="shared" ref="C1346:C1409" si="43">HOUR(A1346)</f>
        <v>11</v>
      </c>
      <c r="D1346" s="4">
        <v>25.22548664996112</v>
      </c>
      <c r="E1346" s="4">
        <v>26.171184433941669</v>
      </c>
      <c r="F1346" s="4">
        <v>25.25031728873056</v>
      </c>
      <c r="G1346" s="4">
        <v>19.7</v>
      </c>
      <c r="H1346" s="5">
        <v>40.43425470448333</v>
      </c>
      <c r="I1346" s="5">
        <v>39.920914433791673</v>
      </c>
      <c r="J1346" s="5">
        <v>47.771988627911107</v>
      </c>
      <c r="K1346" s="5">
        <v>52</v>
      </c>
    </row>
    <row r="1347" spans="1:11" x14ac:dyDescent="0.25">
      <c r="A1347" s="2">
        <v>46153.5</v>
      </c>
      <c r="B1347" t="str">
        <f t="shared" si="42"/>
        <v>2026-05</v>
      </c>
      <c r="C1347" s="3">
        <f t="shared" si="43"/>
        <v>12</v>
      </c>
      <c r="D1347" s="4">
        <v>25.285286089166672</v>
      </c>
      <c r="E1347" s="4">
        <v>26.257793348880561</v>
      </c>
      <c r="F1347" s="4">
        <v>25.273492713708329</v>
      </c>
      <c r="G1347" s="4">
        <v>20.7</v>
      </c>
      <c r="H1347" s="5">
        <v>38.828033607102768</v>
      </c>
      <c r="I1347" s="5">
        <v>39.715013240561113</v>
      </c>
      <c r="J1347" s="5">
        <v>47.780024400566667</v>
      </c>
      <c r="K1347" s="5">
        <v>48</v>
      </c>
    </row>
    <row r="1348" spans="1:11" x14ac:dyDescent="0.25">
      <c r="A1348" s="2">
        <v>46153.541666666657</v>
      </c>
      <c r="B1348" t="str">
        <f t="shared" si="42"/>
        <v>2026-05</v>
      </c>
      <c r="C1348" s="3">
        <f t="shared" si="43"/>
        <v>13</v>
      </c>
      <c r="D1348" s="4">
        <v>25.29555892593611</v>
      </c>
      <c r="E1348" s="4">
        <v>26.246027660025</v>
      </c>
      <c r="F1348" s="4">
        <v>25.394495952447219</v>
      </c>
      <c r="G1348" s="4">
        <v>20.100000000000001</v>
      </c>
      <c r="H1348" s="5">
        <v>38.148967214922223</v>
      </c>
      <c r="I1348" s="5">
        <v>38.510980716636112</v>
      </c>
      <c r="J1348" s="5">
        <v>48.695130173244451</v>
      </c>
      <c r="K1348" s="5">
        <v>51</v>
      </c>
    </row>
    <row r="1349" spans="1:11" x14ac:dyDescent="0.25">
      <c r="A1349" s="2">
        <v>46153.583333333343</v>
      </c>
      <c r="B1349" t="str">
        <f t="shared" si="42"/>
        <v>2026-05</v>
      </c>
      <c r="C1349" s="3">
        <f t="shared" si="43"/>
        <v>14</v>
      </c>
      <c r="D1349" s="4">
        <v>25.135987934427771</v>
      </c>
      <c r="E1349" s="4">
        <v>26.173336613499998</v>
      </c>
      <c r="F1349" s="4">
        <v>25.377707824325</v>
      </c>
      <c r="G1349" s="4">
        <v>19.399999999999999</v>
      </c>
      <c r="H1349" s="5">
        <v>40.043640619874999</v>
      </c>
      <c r="I1349" s="5">
        <v>39.163874370780562</v>
      </c>
      <c r="J1349" s="5">
        <v>49.768009360686108</v>
      </c>
      <c r="K1349" s="5">
        <v>56</v>
      </c>
    </row>
    <row r="1350" spans="1:11" x14ac:dyDescent="0.25">
      <c r="A1350" s="2">
        <v>46153.625</v>
      </c>
      <c r="B1350" t="str">
        <f t="shared" si="42"/>
        <v>2026-05</v>
      </c>
      <c r="C1350" s="3">
        <f t="shared" si="43"/>
        <v>15</v>
      </c>
      <c r="D1350" s="4">
        <v>24.97675311909444</v>
      </c>
      <c r="E1350" s="4">
        <v>26.193425074358331</v>
      </c>
      <c r="F1350" s="4">
        <v>25.344258457841661</v>
      </c>
      <c r="G1350" s="4">
        <v>18.2</v>
      </c>
      <c r="H1350" s="5">
        <v>45.904214778819437</v>
      </c>
      <c r="I1350" s="5">
        <v>43.547216551347233</v>
      </c>
      <c r="J1350" s="5">
        <v>49.04290495741111</v>
      </c>
      <c r="K1350" s="5">
        <v>60</v>
      </c>
    </row>
    <row r="1351" spans="1:11" x14ac:dyDescent="0.25">
      <c r="A1351" s="2">
        <v>46153.666666666657</v>
      </c>
      <c r="B1351" t="str">
        <f t="shared" si="42"/>
        <v>2026-05</v>
      </c>
      <c r="C1351" s="3">
        <f t="shared" si="43"/>
        <v>16</v>
      </c>
      <c r="D1351" s="4">
        <v>24.909027544111112</v>
      </c>
      <c r="E1351" s="4">
        <v>26.360711422008329</v>
      </c>
      <c r="F1351" s="4">
        <v>25.341146807763892</v>
      </c>
      <c r="G1351" s="4">
        <v>18.2</v>
      </c>
      <c r="H1351" s="5">
        <v>49.314175624155553</v>
      </c>
      <c r="I1351" s="5">
        <v>46.141410665697229</v>
      </c>
      <c r="J1351" s="5">
        <v>48.608163955125001</v>
      </c>
      <c r="K1351" s="5">
        <v>61</v>
      </c>
    </row>
    <row r="1352" spans="1:11" x14ac:dyDescent="0.25">
      <c r="A1352" s="2">
        <v>46153.708333333343</v>
      </c>
      <c r="B1352" t="str">
        <f t="shared" si="42"/>
        <v>2026-05</v>
      </c>
      <c r="C1352" s="3">
        <f t="shared" si="43"/>
        <v>17</v>
      </c>
      <c r="D1352" s="4">
        <v>24.545600371858331</v>
      </c>
      <c r="E1352" s="4">
        <v>26.210860300197229</v>
      </c>
      <c r="F1352" s="4">
        <v>25.370386046552781</v>
      </c>
      <c r="G1352" s="4">
        <v>18.8</v>
      </c>
      <c r="H1352" s="5">
        <v>49.362505092911121</v>
      </c>
      <c r="I1352" s="5">
        <v>47.021119663819441</v>
      </c>
      <c r="J1352" s="5">
        <v>48.656353493747218</v>
      </c>
      <c r="K1352" s="5">
        <v>57</v>
      </c>
    </row>
    <row r="1353" spans="1:11" x14ac:dyDescent="0.25">
      <c r="A1353" s="2">
        <v>46153.75</v>
      </c>
      <c r="B1353" t="str">
        <f t="shared" si="42"/>
        <v>2026-05</v>
      </c>
      <c r="C1353" s="3">
        <f t="shared" si="43"/>
        <v>18</v>
      </c>
      <c r="D1353" s="4">
        <v>23.216465837541669</v>
      </c>
      <c r="E1353" s="4">
        <v>25.821929812633329</v>
      </c>
      <c r="F1353" s="4">
        <v>25.382610851891659</v>
      </c>
      <c r="G1353" s="4">
        <v>18.2</v>
      </c>
      <c r="H1353" s="5">
        <v>49.302057251652784</v>
      </c>
      <c r="I1353" s="5">
        <v>46.678400442572219</v>
      </c>
      <c r="J1353" s="5">
        <v>48.681597873111109</v>
      </c>
      <c r="K1353" s="5">
        <v>60</v>
      </c>
    </row>
    <row r="1354" spans="1:11" x14ac:dyDescent="0.25">
      <c r="A1354" s="2">
        <v>46153.791666666657</v>
      </c>
      <c r="B1354" t="str">
        <f t="shared" si="42"/>
        <v>2026-05</v>
      </c>
      <c r="C1354" s="3">
        <f t="shared" si="43"/>
        <v>19</v>
      </c>
      <c r="D1354" s="4">
        <v>22.54550540235833</v>
      </c>
      <c r="E1354" s="4">
        <v>25.48460280230556</v>
      </c>
      <c r="F1354" s="4">
        <v>25.383666062955559</v>
      </c>
      <c r="G1354" s="4">
        <v>17.100000000000001</v>
      </c>
      <c r="H1354" s="5">
        <v>51.328908272638891</v>
      </c>
      <c r="I1354" s="5">
        <v>46.234768881966673</v>
      </c>
      <c r="J1354" s="5">
        <v>48.733094243436113</v>
      </c>
      <c r="K1354" s="5">
        <v>68</v>
      </c>
    </row>
    <row r="1355" spans="1:11" x14ac:dyDescent="0.25">
      <c r="A1355" s="2">
        <v>46153.833333333343</v>
      </c>
      <c r="B1355" t="str">
        <f t="shared" si="42"/>
        <v>2026-05</v>
      </c>
      <c r="C1355" s="3">
        <f t="shared" si="43"/>
        <v>20</v>
      </c>
      <c r="D1355" s="4">
        <v>23.128593839361109</v>
      </c>
      <c r="E1355" s="4">
        <v>25.301853257977779</v>
      </c>
      <c r="F1355" s="4">
        <v>25.371813798738891</v>
      </c>
      <c r="G1355" s="4">
        <v>16.3</v>
      </c>
      <c r="H1355" s="5">
        <v>51.476643543136113</v>
      </c>
      <c r="I1355" s="5">
        <v>47.389744953591673</v>
      </c>
      <c r="J1355" s="5">
        <v>48.878792421386123</v>
      </c>
      <c r="K1355" s="5">
        <v>74</v>
      </c>
    </row>
    <row r="1356" spans="1:11" x14ac:dyDescent="0.25">
      <c r="A1356" s="2">
        <v>46153.875</v>
      </c>
      <c r="B1356" t="str">
        <f t="shared" si="42"/>
        <v>2026-05</v>
      </c>
      <c r="C1356" s="3">
        <f t="shared" si="43"/>
        <v>21</v>
      </c>
      <c r="D1356" s="4">
        <v>24.03956140579167</v>
      </c>
      <c r="E1356" s="4">
        <v>25.56502134758334</v>
      </c>
      <c r="F1356" s="4">
        <v>25.37454696007778</v>
      </c>
      <c r="G1356" s="4">
        <v>15.4</v>
      </c>
      <c r="H1356" s="5">
        <v>51.422090322327769</v>
      </c>
      <c r="I1356" s="5">
        <v>48.65046616442222</v>
      </c>
      <c r="J1356" s="5">
        <v>49.014405325961121</v>
      </c>
      <c r="K1356" s="5">
        <v>83</v>
      </c>
    </row>
    <row r="1357" spans="1:11" x14ac:dyDescent="0.25">
      <c r="A1357" s="2">
        <v>46153.916666666657</v>
      </c>
      <c r="B1357" t="str">
        <f t="shared" si="42"/>
        <v>2026-05</v>
      </c>
      <c r="C1357" s="3">
        <f t="shared" si="43"/>
        <v>22</v>
      </c>
      <c r="D1357" s="4">
        <v>24.434428892524998</v>
      </c>
      <c r="E1357" s="4">
        <v>26.235449793058329</v>
      </c>
      <c r="F1357" s="4">
        <v>25.385011487561108</v>
      </c>
      <c r="G1357" s="4">
        <v>14.9</v>
      </c>
      <c r="H1357" s="5">
        <v>51.963758476844447</v>
      </c>
      <c r="I1357" s="5">
        <v>48.440668793522228</v>
      </c>
      <c r="J1357" s="5">
        <v>48.965062663958328</v>
      </c>
      <c r="K1357" s="5">
        <v>86</v>
      </c>
    </row>
    <row r="1358" spans="1:11" x14ac:dyDescent="0.25">
      <c r="A1358" s="2">
        <v>46153.958333333343</v>
      </c>
      <c r="B1358" t="str">
        <f t="shared" si="42"/>
        <v>2026-05</v>
      </c>
      <c r="C1358" s="3">
        <f t="shared" si="43"/>
        <v>23</v>
      </c>
      <c r="D1358" s="4">
        <v>24.79952988737222</v>
      </c>
      <c r="E1358" s="4">
        <v>26.642983689411111</v>
      </c>
      <c r="F1358" s="4">
        <v>25.40823393777222</v>
      </c>
      <c r="G1358" s="4">
        <v>14.4</v>
      </c>
      <c r="H1358" s="5">
        <v>50.363436829247213</v>
      </c>
      <c r="I1358" s="5">
        <v>46.561063271249999</v>
      </c>
      <c r="J1358" s="5">
        <v>48.799515713658337</v>
      </c>
      <c r="K1358" s="5">
        <v>90</v>
      </c>
    </row>
    <row r="1359" spans="1:11" x14ac:dyDescent="0.25">
      <c r="A1359" s="2">
        <v>46154</v>
      </c>
      <c r="B1359" t="str">
        <f t="shared" si="42"/>
        <v>2026-05</v>
      </c>
      <c r="C1359" s="3">
        <f t="shared" si="43"/>
        <v>0</v>
      </c>
      <c r="D1359" s="4">
        <v>24.950788828169451</v>
      </c>
      <c r="E1359" s="4">
        <v>26.64732659655278</v>
      </c>
      <c r="F1359" s="4">
        <v>25.42398401454167</v>
      </c>
      <c r="G1359" s="4">
        <v>14.3</v>
      </c>
      <c r="H1359" s="5">
        <v>49.278164239086117</v>
      </c>
      <c r="I1359" s="5">
        <v>45.893848421444439</v>
      </c>
      <c r="J1359" s="5">
        <v>48.929020253177782</v>
      </c>
      <c r="K1359" s="5">
        <v>90</v>
      </c>
    </row>
    <row r="1360" spans="1:11" x14ac:dyDescent="0.25">
      <c r="A1360" s="2">
        <v>46154.041666666657</v>
      </c>
      <c r="B1360" t="str">
        <f t="shared" si="42"/>
        <v>2026-05</v>
      </c>
      <c r="C1360" s="3">
        <f t="shared" si="43"/>
        <v>1</v>
      </c>
      <c r="D1360" s="4">
        <v>25.028007892813889</v>
      </c>
      <c r="E1360" s="4">
        <v>26.709937427719439</v>
      </c>
      <c r="F1360" s="4">
        <v>25.445048002875001</v>
      </c>
      <c r="G1360" s="4">
        <v>14.2</v>
      </c>
      <c r="H1360" s="5">
        <v>48.901844441197227</v>
      </c>
      <c r="I1360" s="5">
        <v>45.600613525861121</v>
      </c>
      <c r="J1360" s="5">
        <v>48.964366521044447</v>
      </c>
      <c r="K1360" s="5">
        <v>90</v>
      </c>
    </row>
    <row r="1361" spans="1:11" x14ac:dyDescent="0.25">
      <c r="A1361" s="2">
        <v>46154.083333333343</v>
      </c>
      <c r="B1361" t="str">
        <f t="shared" si="42"/>
        <v>2026-05</v>
      </c>
      <c r="C1361" s="3">
        <f t="shared" si="43"/>
        <v>2</v>
      </c>
      <c r="D1361" s="4">
        <v>24.900062808380561</v>
      </c>
      <c r="E1361" s="4">
        <v>26.215378495711111</v>
      </c>
      <c r="F1361" s="4">
        <v>25.437154381180559</v>
      </c>
      <c r="G1361" s="4">
        <v>14</v>
      </c>
      <c r="H1361" s="5">
        <v>49.072526183249998</v>
      </c>
      <c r="I1361" s="5">
        <v>46.859924860024996</v>
      </c>
      <c r="J1361" s="5">
        <v>49.00394817937778</v>
      </c>
      <c r="K1361" s="5">
        <v>88</v>
      </c>
    </row>
    <row r="1362" spans="1:11" x14ac:dyDescent="0.25">
      <c r="A1362" s="2">
        <v>46154.125</v>
      </c>
      <c r="B1362" t="str">
        <f t="shared" si="42"/>
        <v>2026-05</v>
      </c>
      <c r="C1362" s="3">
        <f t="shared" si="43"/>
        <v>3</v>
      </c>
      <c r="D1362" s="4">
        <v>24.530819575636109</v>
      </c>
      <c r="E1362" s="4">
        <v>25.684048235024999</v>
      </c>
      <c r="F1362" s="4">
        <v>25.432110771550001</v>
      </c>
      <c r="G1362" s="4">
        <v>13.8</v>
      </c>
      <c r="H1362" s="5">
        <v>48.88153994092778</v>
      </c>
      <c r="I1362" s="5">
        <v>46.84019520563055</v>
      </c>
      <c r="J1362" s="5">
        <v>49.016216248752777</v>
      </c>
      <c r="K1362" s="5">
        <v>90</v>
      </c>
    </row>
    <row r="1363" spans="1:11" x14ac:dyDescent="0.25">
      <c r="A1363" s="2">
        <v>46154.166666666657</v>
      </c>
      <c r="B1363" t="str">
        <f t="shared" si="42"/>
        <v>2026-05</v>
      </c>
      <c r="C1363" s="3">
        <f t="shared" si="43"/>
        <v>4</v>
      </c>
      <c r="D1363" s="4">
        <v>24.284860477522219</v>
      </c>
      <c r="E1363" s="4">
        <v>25.394023553555559</v>
      </c>
      <c r="F1363" s="4">
        <v>25.417773653244438</v>
      </c>
      <c r="G1363" s="4">
        <v>13.7</v>
      </c>
      <c r="H1363" s="5">
        <v>48.357556865852779</v>
      </c>
      <c r="I1363" s="5">
        <v>46.402085700433332</v>
      </c>
      <c r="J1363" s="5">
        <v>49.070861080972207</v>
      </c>
      <c r="K1363" s="5">
        <v>89</v>
      </c>
    </row>
    <row r="1364" spans="1:11" x14ac:dyDescent="0.25">
      <c r="A1364" s="2">
        <v>46154.208333333343</v>
      </c>
      <c r="B1364" t="str">
        <f t="shared" si="42"/>
        <v>2026-05</v>
      </c>
      <c r="C1364" s="3">
        <f t="shared" si="43"/>
        <v>5</v>
      </c>
      <c r="D1364" s="4">
        <v>24.138844687155551</v>
      </c>
      <c r="E1364" s="4">
        <v>25.170668111830551</v>
      </c>
      <c r="F1364" s="4">
        <v>25.400881110866671</v>
      </c>
      <c r="G1364" s="4">
        <v>13</v>
      </c>
      <c r="H1364" s="5">
        <v>47.683152993711111</v>
      </c>
      <c r="I1364" s="5">
        <v>46.044364372650001</v>
      </c>
      <c r="J1364" s="5">
        <v>49.089480814399998</v>
      </c>
      <c r="K1364" s="5">
        <v>90</v>
      </c>
    </row>
    <row r="1365" spans="1:11" x14ac:dyDescent="0.25">
      <c r="A1365" s="2">
        <v>46154.25</v>
      </c>
      <c r="B1365" t="str">
        <f t="shared" si="42"/>
        <v>2026-05</v>
      </c>
      <c r="C1365" s="3">
        <f t="shared" si="43"/>
        <v>6</v>
      </c>
      <c r="D1365" s="4">
        <v>24.21125922803612</v>
      </c>
      <c r="E1365" s="4">
        <v>25.286417183766659</v>
      </c>
      <c r="F1365" s="4">
        <v>25.393071398319449</v>
      </c>
      <c r="G1365" s="4">
        <v>12.6</v>
      </c>
      <c r="H1365" s="5">
        <v>46.919527304955551</v>
      </c>
      <c r="I1365" s="5">
        <v>45.561907955227781</v>
      </c>
      <c r="J1365" s="5">
        <v>49.072734458433331</v>
      </c>
      <c r="K1365" s="5">
        <v>90</v>
      </c>
    </row>
    <row r="1366" spans="1:11" x14ac:dyDescent="0.25">
      <c r="A1366" s="2">
        <v>46154.291666666657</v>
      </c>
      <c r="B1366" t="str">
        <f t="shared" si="42"/>
        <v>2026-05</v>
      </c>
      <c r="C1366" s="3">
        <f t="shared" si="43"/>
        <v>7</v>
      </c>
      <c r="D1366" s="4">
        <v>24.61658519425556</v>
      </c>
      <c r="E1366" s="4">
        <v>25.648615914716672</v>
      </c>
      <c r="F1366" s="4">
        <v>25.391055272713889</v>
      </c>
      <c r="G1366" s="4">
        <v>13.7</v>
      </c>
      <c r="H1366" s="5">
        <v>44.799654994158338</v>
      </c>
      <c r="I1366" s="5">
        <v>44.065679404983342</v>
      </c>
      <c r="J1366" s="5">
        <v>48.896718158686113</v>
      </c>
      <c r="K1366" s="5">
        <v>83</v>
      </c>
    </row>
    <row r="1367" spans="1:11" x14ac:dyDescent="0.25">
      <c r="A1367" s="2">
        <v>46154.333333333343</v>
      </c>
      <c r="B1367" t="str">
        <f t="shared" si="42"/>
        <v>2026-05</v>
      </c>
      <c r="C1367" s="3">
        <f t="shared" si="43"/>
        <v>8</v>
      </c>
      <c r="D1367" s="4">
        <v>25.24731599379167</v>
      </c>
      <c r="E1367" s="4">
        <v>25.93323482812222</v>
      </c>
      <c r="F1367" s="4">
        <v>25.405496843375001</v>
      </c>
      <c r="G1367" s="4">
        <v>15.5</v>
      </c>
      <c r="H1367" s="5">
        <v>42.817763041900008</v>
      </c>
      <c r="I1367" s="5">
        <v>41.718465278352767</v>
      </c>
      <c r="J1367" s="5">
        <v>48.811335492830558</v>
      </c>
      <c r="K1367" s="5">
        <v>69</v>
      </c>
    </row>
    <row r="1368" spans="1:11" x14ac:dyDescent="0.25">
      <c r="A1368" s="2">
        <v>46154.375</v>
      </c>
      <c r="B1368" t="str">
        <f t="shared" si="42"/>
        <v>2026-05</v>
      </c>
      <c r="C1368" s="3">
        <f t="shared" si="43"/>
        <v>9</v>
      </c>
      <c r="D1368" s="4">
        <v>25.695121992686111</v>
      </c>
      <c r="E1368" s="4">
        <v>26.27184073399722</v>
      </c>
      <c r="F1368" s="4">
        <v>25.459545139447229</v>
      </c>
      <c r="G1368" s="4">
        <v>17.2</v>
      </c>
      <c r="H1368" s="5">
        <v>42.40503367031944</v>
      </c>
      <c r="I1368" s="5">
        <v>39.992854508372233</v>
      </c>
      <c r="J1368" s="5">
        <v>48.873070493730552</v>
      </c>
      <c r="K1368" s="5">
        <v>56</v>
      </c>
    </row>
    <row r="1369" spans="1:11" x14ac:dyDescent="0.25">
      <c r="A1369" s="2">
        <v>46154.416666666657</v>
      </c>
      <c r="B1369" t="str">
        <f t="shared" si="42"/>
        <v>2026-05</v>
      </c>
      <c r="C1369" s="3">
        <f t="shared" si="43"/>
        <v>10</v>
      </c>
      <c r="D1369" s="4">
        <v>25.828081106097219</v>
      </c>
      <c r="E1369" s="4">
        <v>26.656417405008341</v>
      </c>
      <c r="F1369" s="4">
        <v>25.504469239497219</v>
      </c>
      <c r="G1369" s="4">
        <v>18.100000000000001</v>
      </c>
      <c r="H1369" s="5">
        <v>42.076191764094439</v>
      </c>
      <c r="I1369" s="5">
        <v>40.624610839825003</v>
      </c>
      <c r="J1369" s="5">
        <v>48.886339369463883</v>
      </c>
      <c r="K1369" s="5">
        <v>50</v>
      </c>
    </row>
    <row r="1370" spans="1:11" x14ac:dyDescent="0.25">
      <c r="A1370" s="2">
        <v>46154.458333333343</v>
      </c>
      <c r="B1370" t="str">
        <f t="shared" si="42"/>
        <v>2026-05</v>
      </c>
      <c r="C1370" s="3">
        <f t="shared" si="43"/>
        <v>11</v>
      </c>
      <c r="D1370" s="4">
        <v>25.801923180755551</v>
      </c>
      <c r="E1370" s="4">
        <v>27.124984220919441</v>
      </c>
      <c r="F1370" s="4">
        <v>25.519270579699999</v>
      </c>
      <c r="G1370" s="4">
        <v>19.2</v>
      </c>
      <c r="H1370" s="5">
        <v>40.215192348836119</v>
      </c>
      <c r="I1370" s="5">
        <v>38.399348206858328</v>
      </c>
      <c r="J1370" s="5">
        <v>48.93537758946389</v>
      </c>
      <c r="K1370" s="5">
        <v>45</v>
      </c>
    </row>
    <row r="1371" spans="1:11" x14ac:dyDescent="0.25">
      <c r="A1371" s="2">
        <v>46154.5</v>
      </c>
      <c r="B1371" t="str">
        <f t="shared" si="42"/>
        <v>2026-05</v>
      </c>
      <c r="C1371" s="3">
        <f t="shared" si="43"/>
        <v>12</v>
      </c>
      <c r="D1371" s="4">
        <v>25.748962272549999</v>
      </c>
      <c r="E1371" s="4">
        <v>27.057273398105561</v>
      </c>
      <c r="F1371" s="4">
        <v>25.536909041522222</v>
      </c>
      <c r="G1371" s="4">
        <v>20.100000000000001</v>
      </c>
      <c r="H1371" s="5">
        <v>38.978796578791673</v>
      </c>
      <c r="I1371" s="5">
        <v>37.198207211705558</v>
      </c>
      <c r="J1371" s="5">
        <v>48.700630510077779</v>
      </c>
      <c r="K1371" s="5">
        <v>42</v>
      </c>
    </row>
    <row r="1372" spans="1:11" x14ac:dyDescent="0.25">
      <c r="A1372" s="2">
        <v>46154.541666666657</v>
      </c>
      <c r="B1372" t="str">
        <f t="shared" si="42"/>
        <v>2026-05</v>
      </c>
      <c r="C1372" s="3">
        <f t="shared" si="43"/>
        <v>13</v>
      </c>
      <c r="D1372" s="4">
        <v>25.553736956647221</v>
      </c>
      <c r="E1372" s="4">
        <v>26.750898484455561</v>
      </c>
      <c r="F1372" s="4">
        <v>25.541297974358329</v>
      </c>
      <c r="G1372" s="4">
        <v>20.8</v>
      </c>
      <c r="H1372" s="5">
        <v>35.774203333630552</v>
      </c>
      <c r="I1372" s="5">
        <v>36.760062097641672</v>
      </c>
      <c r="J1372" s="5">
        <v>48.467774485919449</v>
      </c>
      <c r="K1372" s="5">
        <v>40</v>
      </c>
    </row>
    <row r="1373" spans="1:11" x14ac:dyDescent="0.25">
      <c r="A1373" s="2">
        <v>46154.583333333343</v>
      </c>
      <c r="B1373" t="str">
        <f t="shared" si="42"/>
        <v>2026-05</v>
      </c>
      <c r="C1373" s="3">
        <f t="shared" si="43"/>
        <v>14</v>
      </c>
      <c r="D1373" s="4">
        <v>25.372417776330561</v>
      </c>
      <c r="E1373" s="4">
        <v>26.391687590947221</v>
      </c>
      <c r="F1373" s="4">
        <v>25.54061847777778</v>
      </c>
      <c r="G1373" s="4">
        <v>21.8</v>
      </c>
      <c r="H1373" s="5">
        <v>33.77328463935833</v>
      </c>
      <c r="I1373" s="5">
        <v>34.185101387650001</v>
      </c>
      <c r="J1373" s="5">
        <v>48.164090736550001</v>
      </c>
      <c r="K1373" s="5">
        <v>35</v>
      </c>
    </row>
    <row r="1374" spans="1:11" x14ac:dyDescent="0.25">
      <c r="A1374" s="2">
        <v>46154.625</v>
      </c>
      <c r="B1374" t="str">
        <f t="shared" si="42"/>
        <v>2026-05</v>
      </c>
      <c r="C1374" s="3">
        <f t="shared" si="43"/>
        <v>15</v>
      </c>
      <c r="D1374" s="4">
        <v>25.37718739340556</v>
      </c>
      <c r="E1374" s="4">
        <v>26.286276871980562</v>
      </c>
      <c r="F1374" s="4">
        <v>25.542825880933329</v>
      </c>
      <c r="G1374" s="4">
        <v>21.9</v>
      </c>
      <c r="H1374" s="5">
        <v>33.833185416305561</v>
      </c>
      <c r="I1374" s="5">
        <v>34.47873827823333</v>
      </c>
      <c r="J1374" s="5">
        <v>47.922818537425002</v>
      </c>
      <c r="K1374" s="5">
        <v>36</v>
      </c>
    </row>
    <row r="1375" spans="1:11" x14ac:dyDescent="0.25">
      <c r="A1375" s="2">
        <v>46154.666666666657</v>
      </c>
      <c r="B1375" t="str">
        <f t="shared" si="42"/>
        <v>2026-05</v>
      </c>
      <c r="C1375" s="3">
        <f t="shared" si="43"/>
        <v>16</v>
      </c>
      <c r="D1375" s="4">
        <v>25.37968829410833</v>
      </c>
      <c r="E1375" s="4">
        <v>26.327864215649999</v>
      </c>
      <c r="F1375" s="4">
        <v>25.54551982516945</v>
      </c>
      <c r="G1375" s="4">
        <v>21.9</v>
      </c>
      <c r="H1375" s="5">
        <v>33.254312206383332</v>
      </c>
      <c r="I1375" s="5">
        <v>33.877687788847219</v>
      </c>
      <c r="J1375" s="5">
        <v>47.739469422675</v>
      </c>
      <c r="K1375" s="5">
        <v>35</v>
      </c>
    </row>
    <row r="1376" spans="1:11" x14ac:dyDescent="0.25">
      <c r="A1376" s="2">
        <v>46154.708333333343</v>
      </c>
      <c r="B1376" t="str">
        <f t="shared" si="42"/>
        <v>2026-05</v>
      </c>
      <c r="C1376" s="3">
        <f t="shared" si="43"/>
        <v>17</v>
      </c>
      <c r="D1376" s="4">
        <v>25.39892055053889</v>
      </c>
      <c r="E1376" s="4">
        <v>26.258283567241669</v>
      </c>
      <c r="F1376" s="4">
        <v>25.561713733980561</v>
      </c>
      <c r="G1376" s="4">
        <v>21.6</v>
      </c>
      <c r="H1376" s="5">
        <v>32.520601506855563</v>
      </c>
      <c r="I1376" s="5">
        <v>32.789909451133333</v>
      </c>
      <c r="J1376" s="5">
        <v>47.551278787874999</v>
      </c>
      <c r="K1376" s="5">
        <v>37</v>
      </c>
    </row>
    <row r="1377" spans="1:11" x14ac:dyDescent="0.25">
      <c r="A1377" s="2">
        <v>46154.75</v>
      </c>
      <c r="B1377" t="str">
        <f t="shared" si="42"/>
        <v>2026-05</v>
      </c>
      <c r="C1377" s="3">
        <f t="shared" si="43"/>
        <v>18</v>
      </c>
      <c r="D1377" s="4">
        <v>25.276292525925001</v>
      </c>
      <c r="E1377" s="4">
        <v>26.43850940680278</v>
      </c>
      <c r="F1377" s="4">
        <v>25.560737636805559</v>
      </c>
      <c r="G1377" s="4">
        <v>21.3</v>
      </c>
      <c r="H1377" s="5">
        <v>32.397699753700003</v>
      </c>
      <c r="I1377" s="5">
        <v>32.860110295758339</v>
      </c>
      <c r="J1377" s="5">
        <v>46.651010270249998</v>
      </c>
      <c r="K1377" s="5">
        <v>39</v>
      </c>
    </row>
    <row r="1378" spans="1:11" x14ac:dyDescent="0.25">
      <c r="A1378" s="2">
        <v>46154.791666666657</v>
      </c>
      <c r="B1378" t="str">
        <f t="shared" si="42"/>
        <v>2026-05</v>
      </c>
      <c r="C1378" s="3">
        <f t="shared" si="43"/>
        <v>19</v>
      </c>
      <c r="D1378" s="4">
        <v>25.050871663847222</v>
      </c>
      <c r="E1378" s="4">
        <v>26.221828888033329</v>
      </c>
      <c r="F1378" s="4">
        <v>25.546138995713889</v>
      </c>
      <c r="G1378" s="4">
        <v>20.8</v>
      </c>
      <c r="H1378" s="5">
        <v>32.070117757600002</v>
      </c>
      <c r="I1378" s="5">
        <v>33.265459778091667</v>
      </c>
      <c r="J1378" s="5">
        <v>46.553928917094453</v>
      </c>
      <c r="K1378" s="5">
        <v>41</v>
      </c>
    </row>
    <row r="1379" spans="1:11" x14ac:dyDescent="0.25">
      <c r="A1379" s="2">
        <v>46154.833333333343</v>
      </c>
      <c r="B1379" t="str">
        <f t="shared" si="42"/>
        <v>2026-05</v>
      </c>
      <c r="C1379" s="3">
        <f t="shared" si="43"/>
        <v>20</v>
      </c>
      <c r="D1379" s="4">
        <v>24.716789773113891</v>
      </c>
      <c r="E1379" s="4">
        <v>26.129207626888888</v>
      </c>
      <c r="F1379" s="4">
        <v>25.56331168768056</v>
      </c>
      <c r="G1379" s="4">
        <v>19.3</v>
      </c>
      <c r="H1379" s="5">
        <v>32.643982959961107</v>
      </c>
      <c r="I1379" s="5">
        <v>33.025128059544443</v>
      </c>
      <c r="J1379" s="5">
        <v>46.660882049536113</v>
      </c>
      <c r="K1379" s="5">
        <v>52</v>
      </c>
    </row>
    <row r="1380" spans="1:11" x14ac:dyDescent="0.25">
      <c r="A1380" s="2">
        <v>46154.875</v>
      </c>
      <c r="B1380" t="str">
        <f t="shared" si="42"/>
        <v>2026-05</v>
      </c>
      <c r="C1380" s="3">
        <f t="shared" si="43"/>
        <v>21</v>
      </c>
      <c r="D1380" s="4">
        <v>24.84427724831944</v>
      </c>
      <c r="E1380" s="4">
        <v>26.080335416791659</v>
      </c>
      <c r="F1380" s="4">
        <v>25.562451750175001</v>
      </c>
      <c r="G1380" s="4">
        <v>18.100000000000001</v>
      </c>
      <c r="H1380" s="5">
        <v>34.275579486013889</v>
      </c>
      <c r="I1380" s="5">
        <v>33.948267183952773</v>
      </c>
      <c r="J1380" s="5">
        <v>46.66631337645277</v>
      </c>
      <c r="K1380" s="5">
        <v>59</v>
      </c>
    </row>
    <row r="1381" spans="1:11" x14ac:dyDescent="0.25">
      <c r="A1381" s="2">
        <v>46154.916666666657</v>
      </c>
      <c r="B1381" t="str">
        <f t="shared" si="42"/>
        <v>2026-05</v>
      </c>
      <c r="C1381" s="3">
        <f t="shared" si="43"/>
        <v>22</v>
      </c>
      <c r="D1381" s="4">
        <v>24.940491599219449</v>
      </c>
      <c r="E1381" s="4">
        <v>26.41059825984722</v>
      </c>
      <c r="F1381" s="4">
        <v>25.57727842148056</v>
      </c>
      <c r="G1381" s="4">
        <v>16.899999999999999</v>
      </c>
      <c r="H1381" s="5">
        <v>36.225332668408328</v>
      </c>
      <c r="I1381" s="5">
        <v>35.780742936133343</v>
      </c>
      <c r="J1381" s="5">
        <v>46.682003342219453</v>
      </c>
      <c r="K1381" s="5">
        <v>63</v>
      </c>
    </row>
    <row r="1382" spans="1:11" x14ac:dyDescent="0.25">
      <c r="A1382" s="2">
        <v>46154.958333333343</v>
      </c>
      <c r="B1382" t="str">
        <f t="shared" si="42"/>
        <v>2026-05</v>
      </c>
      <c r="C1382" s="3">
        <f t="shared" si="43"/>
        <v>23</v>
      </c>
      <c r="D1382" s="4">
        <v>24.96382662715834</v>
      </c>
      <c r="E1382" s="4">
        <v>26.566366867700001</v>
      </c>
      <c r="F1382" s="4">
        <v>25.59624853529445</v>
      </c>
      <c r="G1382" s="4">
        <v>15.9</v>
      </c>
      <c r="H1382" s="5">
        <v>35.811651735869447</v>
      </c>
      <c r="I1382" s="5">
        <v>34.396655298622221</v>
      </c>
      <c r="J1382" s="5">
        <v>46.690378234413878</v>
      </c>
      <c r="K1382" s="5">
        <v>66</v>
      </c>
    </row>
    <row r="1383" spans="1:11" x14ac:dyDescent="0.25">
      <c r="A1383" s="2">
        <v>46155</v>
      </c>
      <c r="B1383" t="str">
        <f t="shared" si="42"/>
        <v>2026-05</v>
      </c>
      <c r="C1383" s="3">
        <f t="shared" si="43"/>
        <v>0</v>
      </c>
      <c r="D1383" s="4">
        <v>25.089964867797221</v>
      </c>
      <c r="E1383" s="4">
        <v>26.32998779010833</v>
      </c>
      <c r="F1383" s="4">
        <v>25.62285349673056</v>
      </c>
      <c r="G1383" s="4">
        <v>15.4</v>
      </c>
      <c r="H1383" s="5">
        <v>34.601281202311107</v>
      </c>
      <c r="I1383" s="5">
        <v>34.166256353397223</v>
      </c>
      <c r="J1383" s="5">
        <v>46.635030257033328</v>
      </c>
      <c r="K1383" s="5">
        <v>64</v>
      </c>
    </row>
    <row r="1384" spans="1:11" x14ac:dyDescent="0.25">
      <c r="A1384" s="2">
        <v>46155.041666666657</v>
      </c>
      <c r="B1384" t="str">
        <f t="shared" si="42"/>
        <v>2026-05</v>
      </c>
      <c r="C1384" s="3">
        <f t="shared" si="43"/>
        <v>1</v>
      </c>
      <c r="D1384" s="4">
        <v>24.804488937661109</v>
      </c>
      <c r="E1384" s="4">
        <v>25.652530228852779</v>
      </c>
      <c r="F1384" s="4">
        <v>25.598792832463889</v>
      </c>
      <c r="G1384" s="4">
        <v>15</v>
      </c>
      <c r="H1384" s="5">
        <v>35.100926088633337</v>
      </c>
      <c r="I1384" s="5">
        <v>34.988690376000001</v>
      </c>
      <c r="J1384" s="5">
        <v>46.588717090938893</v>
      </c>
      <c r="K1384" s="5">
        <v>60</v>
      </c>
    </row>
    <row r="1385" spans="1:11" x14ac:dyDescent="0.25">
      <c r="A1385" s="2">
        <v>46155.083333333343</v>
      </c>
      <c r="B1385" t="str">
        <f t="shared" si="42"/>
        <v>2026-05</v>
      </c>
      <c r="C1385" s="3">
        <f t="shared" si="43"/>
        <v>2</v>
      </c>
      <c r="D1385" s="4">
        <v>24.51767985804166</v>
      </c>
      <c r="E1385" s="4">
        <v>25.172262579566659</v>
      </c>
      <c r="F1385" s="4">
        <v>25.582585021683329</v>
      </c>
      <c r="G1385" s="4">
        <v>14.3</v>
      </c>
      <c r="H1385" s="5">
        <v>36.030662350311111</v>
      </c>
      <c r="I1385" s="5">
        <v>36.053409157277777</v>
      </c>
      <c r="J1385" s="5">
        <v>46.535625979238887</v>
      </c>
      <c r="K1385" s="5">
        <v>61</v>
      </c>
    </row>
    <row r="1386" spans="1:11" x14ac:dyDescent="0.25">
      <c r="A1386" s="2">
        <v>46155.125</v>
      </c>
      <c r="B1386" t="str">
        <f t="shared" si="42"/>
        <v>2026-05</v>
      </c>
      <c r="C1386" s="3">
        <f t="shared" si="43"/>
        <v>3</v>
      </c>
      <c r="D1386" s="4">
        <v>24.304084860841659</v>
      </c>
      <c r="E1386" s="4">
        <v>24.938938138705559</v>
      </c>
      <c r="F1386" s="4">
        <v>25.561666810786111</v>
      </c>
      <c r="G1386" s="4">
        <v>13.5</v>
      </c>
      <c r="H1386" s="5">
        <v>36.767689889233331</v>
      </c>
      <c r="I1386" s="5">
        <v>36.675604395097217</v>
      </c>
      <c r="J1386" s="5">
        <v>46.510055117144447</v>
      </c>
      <c r="K1386" s="5">
        <v>69</v>
      </c>
    </row>
    <row r="1387" spans="1:11" x14ac:dyDescent="0.25">
      <c r="A1387" s="2">
        <v>46155.166666666657</v>
      </c>
      <c r="B1387" t="str">
        <f t="shared" si="42"/>
        <v>2026-05</v>
      </c>
      <c r="C1387" s="3">
        <f t="shared" si="43"/>
        <v>4</v>
      </c>
      <c r="D1387" s="4">
        <v>24.13037002522778</v>
      </c>
      <c r="E1387" s="4">
        <v>24.943422655236109</v>
      </c>
      <c r="F1387" s="4">
        <v>25.547959513647221</v>
      </c>
      <c r="G1387" s="4">
        <v>12.6</v>
      </c>
      <c r="H1387" s="5">
        <v>37.331153003486108</v>
      </c>
      <c r="I1387" s="5">
        <v>36.837224414988889</v>
      </c>
      <c r="J1387" s="5">
        <v>46.498971754741667</v>
      </c>
      <c r="K1387" s="5">
        <v>74</v>
      </c>
    </row>
    <row r="1388" spans="1:11" x14ac:dyDescent="0.25">
      <c r="A1388" s="2">
        <v>46155.208333333343</v>
      </c>
      <c r="B1388" t="str">
        <f t="shared" si="42"/>
        <v>2026-05</v>
      </c>
      <c r="C1388" s="3">
        <f t="shared" si="43"/>
        <v>5</v>
      </c>
      <c r="D1388" s="4">
        <v>24.097953843033331</v>
      </c>
      <c r="E1388" s="4">
        <v>24.741879553061111</v>
      </c>
      <c r="F1388" s="4">
        <v>25.535702187791671</v>
      </c>
      <c r="G1388" s="4">
        <v>11.8</v>
      </c>
      <c r="H1388" s="5">
        <v>37.605237455480562</v>
      </c>
      <c r="I1388" s="5">
        <v>37.689083176161112</v>
      </c>
      <c r="J1388" s="5">
        <v>46.505291355963891</v>
      </c>
      <c r="K1388" s="5">
        <v>79</v>
      </c>
    </row>
    <row r="1389" spans="1:11" x14ac:dyDescent="0.25">
      <c r="A1389" s="2">
        <v>46155.25</v>
      </c>
      <c r="B1389" t="str">
        <f t="shared" si="42"/>
        <v>2026-05</v>
      </c>
      <c r="C1389" s="3">
        <f t="shared" si="43"/>
        <v>6</v>
      </c>
      <c r="D1389" s="4">
        <v>24.518854840319449</v>
      </c>
      <c r="E1389" s="4">
        <v>25.129635567486108</v>
      </c>
      <c r="F1389" s="4">
        <v>25.542232821452782</v>
      </c>
      <c r="G1389" s="4">
        <v>12.3</v>
      </c>
      <c r="H1389" s="5">
        <v>37.396733103063887</v>
      </c>
      <c r="I1389" s="5">
        <v>37.715549579944451</v>
      </c>
      <c r="J1389" s="5">
        <v>46.528239622152768</v>
      </c>
      <c r="K1389" s="5">
        <v>77</v>
      </c>
    </row>
    <row r="1390" spans="1:11" x14ac:dyDescent="0.25">
      <c r="A1390" s="2">
        <v>46155.291666666657</v>
      </c>
      <c r="B1390" t="str">
        <f t="shared" si="42"/>
        <v>2026-05</v>
      </c>
      <c r="C1390" s="3">
        <f t="shared" si="43"/>
        <v>7</v>
      </c>
      <c r="D1390" s="4">
        <v>25.104415590055559</v>
      </c>
      <c r="E1390" s="4">
        <v>25.689017127338889</v>
      </c>
      <c r="F1390" s="4">
        <v>25.56205483360278</v>
      </c>
      <c r="G1390" s="4">
        <v>14.1</v>
      </c>
      <c r="H1390" s="5">
        <v>37.468835573613887</v>
      </c>
      <c r="I1390" s="5">
        <v>37.461216925925001</v>
      </c>
      <c r="J1390" s="5">
        <v>46.603739151575013</v>
      </c>
      <c r="K1390" s="5">
        <v>69</v>
      </c>
    </row>
    <row r="1391" spans="1:11" x14ac:dyDescent="0.25">
      <c r="A1391" s="2">
        <v>46155.333333333343</v>
      </c>
      <c r="B1391" t="str">
        <f t="shared" si="42"/>
        <v>2026-05</v>
      </c>
      <c r="C1391" s="3">
        <f t="shared" si="43"/>
        <v>8</v>
      </c>
      <c r="D1391" s="4">
        <v>25.661184756605561</v>
      </c>
      <c r="E1391" s="4">
        <v>26.078296468783339</v>
      </c>
      <c r="F1391" s="4">
        <v>25.62249205700833</v>
      </c>
      <c r="G1391" s="4">
        <v>16.5</v>
      </c>
      <c r="H1391" s="5">
        <v>37.974930247038877</v>
      </c>
      <c r="I1391" s="5">
        <v>37.423718980113883</v>
      </c>
      <c r="J1391" s="5">
        <v>46.764897628236113</v>
      </c>
      <c r="K1391" s="5">
        <v>61</v>
      </c>
    </row>
    <row r="1392" spans="1:11" x14ac:dyDescent="0.25">
      <c r="A1392" s="2">
        <v>46155.375</v>
      </c>
      <c r="B1392" t="str">
        <f t="shared" si="42"/>
        <v>2026-05</v>
      </c>
      <c r="C1392" s="3">
        <f t="shared" si="43"/>
        <v>9</v>
      </c>
      <c r="D1392" s="4">
        <v>26.03671973322222</v>
      </c>
      <c r="E1392" s="4">
        <v>26.424734884177781</v>
      </c>
      <c r="F1392" s="4">
        <v>25.665665963027781</v>
      </c>
      <c r="G1392" s="4">
        <v>18.899999999999999</v>
      </c>
      <c r="H1392" s="5">
        <v>38.061548285933327</v>
      </c>
      <c r="I1392" s="5">
        <v>37.067332739925</v>
      </c>
      <c r="J1392" s="5">
        <v>47.022463578011113</v>
      </c>
      <c r="K1392" s="5">
        <v>53</v>
      </c>
    </row>
    <row r="1393" spans="1:11" x14ac:dyDescent="0.25">
      <c r="A1393" s="2">
        <v>46155.416666666657</v>
      </c>
      <c r="B1393" t="str">
        <f t="shared" si="42"/>
        <v>2026-05</v>
      </c>
      <c r="C1393" s="3">
        <f t="shared" si="43"/>
        <v>10</v>
      </c>
      <c r="D1393" s="4">
        <v>26.166326692461109</v>
      </c>
      <c r="E1393" s="4">
        <v>26.642095814438889</v>
      </c>
      <c r="F1393" s="4">
        <v>25.705248806575</v>
      </c>
      <c r="G1393" s="4">
        <v>20.100000000000001</v>
      </c>
      <c r="H1393" s="5">
        <v>37.472913760652773</v>
      </c>
      <c r="I1393" s="5">
        <v>36.782530411477779</v>
      </c>
      <c r="J1393" s="5">
        <v>47.166093935386108</v>
      </c>
      <c r="K1393" s="5">
        <v>46</v>
      </c>
    </row>
    <row r="1394" spans="1:11" x14ac:dyDescent="0.25">
      <c r="A1394" s="2">
        <v>46155.458333333343</v>
      </c>
      <c r="B1394" t="str">
        <f t="shared" si="42"/>
        <v>2026-05</v>
      </c>
      <c r="C1394" s="3">
        <f t="shared" si="43"/>
        <v>11</v>
      </c>
      <c r="D1394" s="4">
        <v>26.181202901824999</v>
      </c>
      <c r="E1394" s="4">
        <v>27.012639998094439</v>
      </c>
      <c r="F1394" s="4">
        <v>25.742083167205561</v>
      </c>
      <c r="G1394" s="4">
        <v>20.7</v>
      </c>
      <c r="H1394" s="5">
        <v>36.609313678980563</v>
      </c>
      <c r="I1394" s="5">
        <v>35.565120281455563</v>
      </c>
      <c r="J1394" s="5">
        <v>47.220217053238883</v>
      </c>
      <c r="K1394" s="5">
        <v>43</v>
      </c>
    </row>
    <row r="1395" spans="1:11" x14ac:dyDescent="0.25">
      <c r="A1395" s="2">
        <v>46155.5</v>
      </c>
      <c r="B1395" t="str">
        <f t="shared" si="42"/>
        <v>2026-05</v>
      </c>
      <c r="C1395" s="3">
        <f t="shared" si="43"/>
        <v>12</v>
      </c>
      <c r="D1395" s="4">
        <v>26.19885673153334</v>
      </c>
      <c r="E1395" s="4">
        <v>27.011544061983329</v>
      </c>
      <c r="F1395" s="4">
        <v>25.764268628172221</v>
      </c>
      <c r="G1395" s="4">
        <v>21.5</v>
      </c>
      <c r="H1395" s="5">
        <v>32.989567993727782</v>
      </c>
      <c r="I1395" s="5">
        <v>33.296281664205551</v>
      </c>
      <c r="J1395" s="5">
        <v>47.035382303694441</v>
      </c>
      <c r="K1395" s="5">
        <v>38</v>
      </c>
    </row>
    <row r="1396" spans="1:11" x14ac:dyDescent="0.25">
      <c r="A1396" s="2">
        <v>46155.541666666657</v>
      </c>
      <c r="B1396" t="str">
        <f t="shared" si="42"/>
        <v>2026-05</v>
      </c>
      <c r="C1396" s="3">
        <f t="shared" si="43"/>
        <v>13</v>
      </c>
      <c r="D1396" s="4">
        <v>26.070954874455559</v>
      </c>
      <c r="E1396" s="4">
        <v>26.750793257605551</v>
      </c>
      <c r="F1396" s="4">
        <v>25.781152374486108</v>
      </c>
      <c r="G1396" s="4">
        <v>22.2</v>
      </c>
      <c r="H1396" s="5">
        <v>31.262525993730549</v>
      </c>
      <c r="I1396" s="5">
        <v>32.524388383066672</v>
      </c>
      <c r="J1396" s="5">
        <v>46.776850612158327</v>
      </c>
      <c r="K1396" s="5">
        <v>35</v>
      </c>
    </row>
    <row r="1397" spans="1:11" x14ac:dyDescent="0.25">
      <c r="A1397" s="2">
        <v>46155.583333333343</v>
      </c>
      <c r="B1397" t="str">
        <f t="shared" si="42"/>
        <v>2026-05</v>
      </c>
      <c r="C1397" s="3">
        <f t="shared" si="43"/>
        <v>14</v>
      </c>
      <c r="D1397" s="4">
        <v>25.779877370461111</v>
      </c>
      <c r="E1397" s="4">
        <v>26.277540764008329</v>
      </c>
      <c r="F1397" s="4">
        <v>25.780624826197229</v>
      </c>
      <c r="G1397" s="4">
        <v>22.8</v>
      </c>
      <c r="H1397" s="5">
        <v>29.105781156730561</v>
      </c>
      <c r="I1397" s="5">
        <v>30.53545137548333</v>
      </c>
      <c r="J1397" s="5">
        <v>46.508274505466659</v>
      </c>
      <c r="K1397" s="5">
        <v>33</v>
      </c>
    </row>
    <row r="1398" spans="1:11" x14ac:dyDescent="0.25">
      <c r="A1398" s="2">
        <v>46155.625</v>
      </c>
      <c r="B1398" t="str">
        <f t="shared" si="42"/>
        <v>2026-05</v>
      </c>
      <c r="C1398" s="3">
        <f t="shared" si="43"/>
        <v>15</v>
      </c>
      <c r="D1398" s="4">
        <v>25.627516999444438</v>
      </c>
      <c r="E1398" s="4">
        <v>26.16150311865</v>
      </c>
      <c r="F1398" s="4">
        <v>25.771249724541661</v>
      </c>
      <c r="G1398" s="4">
        <v>23.7</v>
      </c>
      <c r="H1398" s="5">
        <v>29.54693452819167</v>
      </c>
      <c r="I1398" s="5">
        <v>30.513219346877779</v>
      </c>
      <c r="J1398" s="5">
        <v>46.257995767799997</v>
      </c>
      <c r="K1398" s="5">
        <v>33</v>
      </c>
    </row>
    <row r="1399" spans="1:11" x14ac:dyDescent="0.25">
      <c r="A1399" s="2">
        <v>46155.666666666657</v>
      </c>
      <c r="B1399" t="str">
        <f t="shared" si="42"/>
        <v>2026-05</v>
      </c>
      <c r="C1399" s="3">
        <f t="shared" si="43"/>
        <v>16</v>
      </c>
      <c r="D1399" s="4">
        <v>25.696863663066669</v>
      </c>
      <c r="E1399" s="4">
        <v>26.032345922152771</v>
      </c>
      <c r="F1399" s="4">
        <v>25.766749970447229</v>
      </c>
      <c r="G1399" s="4">
        <v>23.2</v>
      </c>
      <c r="H1399" s="5">
        <v>30.352733432019441</v>
      </c>
      <c r="I1399" s="5">
        <v>31.266323172408331</v>
      </c>
      <c r="J1399" s="5">
        <v>46.137297523761113</v>
      </c>
      <c r="K1399" s="5">
        <v>35</v>
      </c>
    </row>
    <row r="1400" spans="1:11" x14ac:dyDescent="0.25">
      <c r="A1400" s="2">
        <v>46155.708333333343</v>
      </c>
      <c r="B1400" t="str">
        <f t="shared" si="42"/>
        <v>2026-05</v>
      </c>
      <c r="C1400" s="3">
        <f t="shared" si="43"/>
        <v>17</v>
      </c>
      <c r="D1400" s="4">
        <v>25.6646245624</v>
      </c>
      <c r="E1400" s="4">
        <v>25.81470440455</v>
      </c>
      <c r="F1400" s="4">
        <v>25.766174780094449</v>
      </c>
      <c r="G1400" s="4">
        <v>22.9</v>
      </c>
      <c r="H1400" s="5">
        <v>31.581876501336112</v>
      </c>
      <c r="I1400" s="5">
        <v>32.548582048522221</v>
      </c>
      <c r="J1400" s="5">
        <v>46.047267110186112</v>
      </c>
      <c r="K1400" s="5">
        <v>38</v>
      </c>
    </row>
    <row r="1401" spans="1:11" x14ac:dyDescent="0.25">
      <c r="A1401" s="2">
        <v>46155.75</v>
      </c>
      <c r="B1401" t="str">
        <f t="shared" si="42"/>
        <v>2026-05</v>
      </c>
      <c r="C1401" s="3">
        <f t="shared" si="43"/>
        <v>18</v>
      </c>
      <c r="D1401" s="4">
        <v>25.32227499985278</v>
      </c>
      <c r="E1401" s="4">
        <v>25.725714725622229</v>
      </c>
      <c r="F1401" s="4">
        <v>25.769006319833331</v>
      </c>
      <c r="G1401" s="4">
        <v>22.2</v>
      </c>
      <c r="H1401" s="5">
        <v>37.236979292941669</v>
      </c>
      <c r="I1401" s="5">
        <v>37.84366064270278</v>
      </c>
      <c r="J1401" s="5">
        <v>46.286960469430561</v>
      </c>
      <c r="K1401" s="5">
        <v>40</v>
      </c>
    </row>
    <row r="1402" spans="1:11" x14ac:dyDescent="0.25">
      <c r="A1402" s="2">
        <v>46155.791666666657</v>
      </c>
      <c r="B1402" t="str">
        <f t="shared" si="42"/>
        <v>2026-05</v>
      </c>
      <c r="C1402" s="3">
        <f t="shared" si="43"/>
        <v>19</v>
      </c>
      <c r="D1402" s="4">
        <v>25.187069523472221</v>
      </c>
      <c r="E1402" s="4">
        <v>25.831450015486109</v>
      </c>
      <c r="F1402" s="4">
        <v>25.83606916465278</v>
      </c>
      <c r="G1402" s="4">
        <v>21.4</v>
      </c>
      <c r="H1402" s="5">
        <v>39.064258719744451</v>
      </c>
      <c r="I1402" s="5">
        <v>38.722857904658333</v>
      </c>
      <c r="J1402" s="5">
        <v>47.395143454361111</v>
      </c>
      <c r="K1402" s="5">
        <v>44</v>
      </c>
    </row>
    <row r="1403" spans="1:11" x14ac:dyDescent="0.25">
      <c r="A1403" s="2">
        <v>46155.833333333343</v>
      </c>
      <c r="B1403" t="str">
        <f t="shared" si="42"/>
        <v>2026-05</v>
      </c>
      <c r="C1403" s="3">
        <f t="shared" si="43"/>
        <v>20</v>
      </c>
      <c r="D1403" s="4">
        <v>24.970531538183341</v>
      </c>
      <c r="E1403" s="4">
        <v>25.56120103720556</v>
      </c>
      <c r="F1403" s="4">
        <v>25.858105984908331</v>
      </c>
      <c r="G1403" s="4">
        <v>19.8</v>
      </c>
      <c r="H1403" s="5">
        <v>40.676272214891668</v>
      </c>
      <c r="I1403" s="5">
        <v>40.04927791119723</v>
      </c>
      <c r="J1403" s="5">
        <v>46.886109259408343</v>
      </c>
      <c r="K1403" s="5">
        <v>53</v>
      </c>
    </row>
    <row r="1404" spans="1:11" x14ac:dyDescent="0.25">
      <c r="A1404" s="2">
        <v>46155.875</v>
      </c>
      <c r="B1404" t="str">
        <f t="shared" si="42"/>
        <v>2026-05</v>
      </c>
      <c r="C1404" s="3">
        <f t="shared" si="43"/>
        <v>21</v>
      </c>
      <c r="D1404" s="4">
        <v>24.900041993375002</v>
      </c>
      <c r="E1404" s="4">
        <v>25.547233347799999</v>
      </c>
      <c r="F1404" s="4">
        <v>25.871423031677779</v>
      </c>
      <c r="G1404" s="4">
        <v>18.100000000000001</v>
      </c>
      <c r="H1404" s="5">
        <v>42.271747034000001</v>
      </c>
      <c r="I1404" s="5">
        <v>41.55006270543889</v>
      </c>
      <c r="J1404" s="5">
        <v>46.836227342577779</v>
      </c>
      <c r="K1404" s="5">
        <v>66</v>
      </c>
    </row>
    <row r="1405" spans="1:11" x14ac:dyDescent="0.25">
      <c r="A1405" s="2">
        <v>46155.916666666657</v>
      </c>
      <c r="B1405" t="str">
        <f t="shared" si="42"/>
        <v>2026-05</v>
      </c>
      <c r="C1405" s="3">
        <f t="shared" si="43"/>
        <v>22</v>
      </c>
      <c r="D1405" s="4">
        <v>25.057860555874999</v>
      </c>
      <c r="E1405" s="4">
        <v>25.744692129975</v>
      </c>
      <c r="F1405" s="4">
        <v>25.948680440486111</v>
      </c>
      <c r="G1405" s="4">
        <v>17.8</v>
      </c>
      <c r="H1405" s="5">
        <v>44.293827123258318</v>
      </c>
      <c r="I1405" s="5">
        <v>43.950190314463889</v>
      </c>
      <c r="J1405" s="5">
        <v>46.912621495952777</v>
      </c>
      <c r="K1405" s="5">
        <v>69</v>
      </c>
    </row>
    <row r="1406" spans="1:11" x14ac:dyDescent="0.25">
      <c r="A1406" s="2">
        <v>46155.958333333343</v>
      </c>
      <c r="B1406" t="str">
        <f t="shared" si="42"/>
        <v>2026-05</v>
      </c>
      <c r="C1406" s="3">
        <f t="shared" si="43"/>
        <v>23</v>
      </c>
      <c r="D1406" s="4">
        <v>24.543907424522221</v>
      </c>
      <c r="E1406" s="4">
        <v>25.738811688827781</v>
      </c>
      <c r="F1406" s="4">
        <v>25.922722390466671</v>
      </c>
      <c r="G1406" s="4">
        <v>16.7</v>
      </c>
      <c r="H1406" s="5">
        <v>44.166838943772227</v>
      </c>
      <c r="I1406" s="5">
        <v>43.637775575299997</v>
      </c>
      <c r="J1406" s="5">
        <v>47.141042000308339</v>
      </c>
      <c r="K1406" s="5">
        <v>78</v>
      </c>
    </row>
    <row r="1407" spans="1:11" x14ac:dyDescent="0.25">
      <c r="A1407" s="2">
        <v>46156</v>
      </c>
      <c r="B1407" t="str">
        <f t="shared" si="42"/>
        <v>2026-05</v>
      </c>
      <c r="C1407" s="3">
        <f t="shared" si="43"/>
        <v>0</v>
      </c>
      <c r="D1407" s="4">
        <v>24.16832339606389</v>
      </c>
      <c r="E1407" s="4">
        <v>25.740179986077781</v>
      </c>
      <c r="F1407" s="4">
        <v>25.913965674827779</v>
      </c>
      <c r="G1407" s="4">
        <v>15.7</v>
      </c>
      <c r="H1407" s="5">
        <v>44.544214399747233</v>
      </c>
      <c r="I1407" s="5">
        <v>43.473775342602778</v>
      </c>
      <c r="J1407" s="5">
        <v>47.308633358655563</v>
      </c>
      <c r="K1407" s="5">
        <v>84</v>
      </c>
    </row>
    <row r="1408" spans="1:11" x14ac:dyDescent="0.25">
      <c r="A1408" s="2">
        <v>46156.041666666657</v>
      </c>
      <c r="B1408" t="str">
        <f t="shared" si="42"/>
        <v>2026-05</v>
      </c>
      <c r="C1408" s="3">
        <f t="shared" si="43"/>
        <v>1</v>
      </c>
      <c r="D1408" s="4">
        <v>24.226992302930551</v>
      </c>
      <c r="E1408" s="4">
        <v>25.985989336841669</v>
      </c>
      <c r="F1408" s="4">
        <v>25.906485972183329</v>
      </c>
      <c r="G1408" s="4">
        <v>15.2</v>
      </c>
      <c r="H1408" s="5">
        <v>44.649714209391668</v>
      </c>
      <c r="I1408" s="5">
        <v>42.411482600152773</v>
      </c>
      <c r="J1408" s="5">
        <v>47.531287080555558</v>
      </c>
      <c r="K1408" s="5">
        <v>86</v>
      </c>
    </row>
    <row r="1409" spans="1:11" x14ac:dyDescent="0.25">
      <c r="A1409" s="2">
        <v>46156.083333333343</v>
      </c>
      <c r="B1409" t="str">
        <f t="shared" si="42"/>
        <v>2026-05</v>
      </c>
      <c r="C1409" s="3">
        <f t="shared" si="43"/>
        <v>2</v>
      </c>
      <c r="D1409" s="4">
        <v>24.975057027849999</v>
      </c>
      <c r="E1409" s="4">
        <v>26.067051317341669</v>
      </c>
      <c r="F1409" s="4">
        <v>25.911382041025</v>
      </c>
      <c r="G1409" s="4">
        <v>14.7</v>
      </c>
      <c r="H1409" s="5">
        <v>43.638709361519439</v>
      </c>
      <c r="I1409" s="5">
        <v>41.879682371675003</v>
      </c>
      <c r="J1409" s="5">
        <v>47.588313515402781</v>
      </c>
      <c r="K1409" s="5">
        <v>89</v>
      </c>
    </row>
    <row r="1410" spans="1:11" x14ac:dyDescent="0.25">
      <c r="A1410" s="2">
        <v>46156.125</v>
      </c>
      <c r="B1410" t="str">
        <f t="shared" ref="B1410:B1473" si="44">TEXT(A1410,"yyyy-mm")</f>
        <v>2026-05</v>
      </c>
      <c r="C1410" s="3">
        <f t="shared" ref="C1410:C1473" si="45">HOUR(A1410)</f>
        <v>3</v>
      </c>
      <c r="D1410" s="4">
        <v>24.839507790297219</v>
      </c>
      <c r="E1410" s="4">
        <v>26.029799300922221</v>
      </c>
      <c r="F1410" s="4">
        <v>25.908869216611109</v>
      </c>
      <c r="G1410" s="4">
        <v>14.6</v>
      </c>
      <c r="H1410" s="5">
        <v>43.706168604830559</v>
      </c>
      <c r="I1410" s="5">
        <v>41.732318861391668</v>
      </c>
      <c r="J1410" s="5">
        <v>47.669393180833332</v>
      </c>
      <c r="K1410" s="5">
        <v>92</v>
      </c>
    </row>
    <row r="1411" spans="1:11" x14ac:dyDescent="0.25">
      <c r="A1411" s="2">
        <v>46156.166666666657</v>
      </c>
      <c r="B1411" t="str">
        <f t="shared" si="44"/>
        <v>2026-05</v>
      </c>
      <c r="C1411" s="3">
        <f t="shared" si="45"/>
        <v>4</v>
      </c>
      <c r="D1411" s="4">
        <v>24.593594302041659</v>
      </c>
      <c r="E1411" s="4">
        <v>25.32357816464722</v>
      </c>
      <c r="F1411" s="4">
        <v>25.89645470446667</v>
      </c>
      <c r="G1411" s="4">
        <v>14.5</v>
      </c>
      <c r="H1411" s="5">
        <v>43.568149625183338</v>
      </c>
      <c r="I1411" s="5">
        <v>42.522818969130562</v>
      </c>
      <c r="J1411" s="5">
        <v>47.748964121369447</v>
      </c>
      <c r="K1411" s="5">
        <v>93</v>
      </c>
    </row>
    <row r="1412" spans="1:11" x14ac:dyDescent="0.25">
      <c r="A1412" s="2">
        <v>46156.208333333343</v>
      </c>
      <c r="B1412" t="str">
        <f t="shared" si="44"/>
        <v>2026-05</v>
      </c>
      <c r="C1412" s="3">
        <f t="shared" si="45"/>
        <v>5</v>
      </c>
      <c r="D1412" s="4">
        <v>24.45555942573889</v>
      </c>
      <c r="E1412" s="4">
        <v>25.341894028986111</v>
      </c>
      <c r="F1412" s="4">
        <v>25.890638497522222</v>
      </c>
      <c r="G1412" s="4">
        <v>13.9</v>
      </c>
      <c r="H1412" s="5">
        <v>44.907346861916658</v>
      </c>
      <c r="I1412" s="5">
        <v>43.366199044558343</v>
      </c>
      <c r="J1412" s="5">
        <v>47.792784852322221</v>
      </c>
      <c r="K1412" s="5">
        <v>97</v>
      </c>
    </row>
    <row r="1413" spans="1:11" x14ac:dyDescent="0.25">
      <c r="A1413" s="2">
        <v>46156.25</v>
      </c>
      <c r="B1413" t="str">
        <f t="shared" si="44"/>
        <v>2026-05</v>
      </c>
      <c r="C1413" s="3">
        <f t="shared" si="45"/>
        <v>6</v>
      </c>
      <c r="D1413" s="4">
        <v>24.391886800550001</v>
      </c>
      <c r="E1413" s="4">
        <v>25.099442201605559</v>
      </c>
      <c r="F1413" s="4">
        <v>25.885564415758331</v>
      </c>
      <c r="G1413" s="4">
        <v>14.1</v>
      </c>
      <c r="H1413" s="5">
        <v>45.383793760288889</v>
      </c>
      <c r="I1413" s="5">
        <v>44.185442137011108</v>
      </c>
      <c r="J1413" s="5">
        <v>47.895350711847222</v>
      </c>
      <c r="K1413" s="5">
        <v>95</v>
      </c>
    </row>
    <row r="1414" spans="1:11" x14ac:dyDescent="0.25">
      <c r="A1414" s="2">
        <v>46156.291666666657</v>
      </c>
      <c r="B1414" t="str">
        <f t="shared" si="44"/>
        <v>2026-05</v>
      </c>
      <c r="C1414" s="3">
        <f t="shared" si="45"/>
        <v>7</v>
      </c>
      <c r="D1414" s="4">
        <v>24.351562704644451</v>
      </c>
      <c r="E1414" s="4">
        <v>24.868845653558331</v>
      </c>
      <c r="F1414" s="4">
        <v>25.88066708981944</v>
      </c>
      <c r="G1414" s="4">
        <v>14.6</v>
      </c>
      <c r="H1414" s="5">
        <v>46.317337269588883</v>
      </c>
      <c r="I1414" s="5">
        <v>45.40775142848333</v>
      </c>
      <c r="J1414" s="5">
        <v>48.011669019241673</v>
      </c>
      <c r="K1414" s="5">
        <v>90</v>
      </c>
    </row>
    <row r="1415" spans="1:11" x14ac:dyDescent="0.25">
      <c r="A1415" s="2">
        <v>46156.333333333343</v>
      </c>
      <c r="B1415" t="str">
        <f t="shared" si="44"/>
        <v>2026-05</v>
      </c>
      <c r="C1415" s="3">
        <f t="shared" si="45"/>
        <v>8</v>
      </c>
      <c r="D1415" s="4">
        <v>24.3634753915</v>
      </c>
      <c r="E1415" s="4">
        <v>24.852017450375001</v>
      </c>
      <c r="F1415" s="4">
        <v>25.87983402685833</v>
      </c>
      <c r="G1415" s="4">
        <v>14.3</v>
      </c>
      <c r="H1415" s="5">
        <v>46.801942330697223</v>
      </c>
      <c r="I1415" s="5">
        <v>45.983590923877777</v>
      </c>
      <c r="J1415" s="5">
        <v>48.197164736244453</v>
      </c>
      <c r="K1415" s="5">
        <v>89</v>
      </c>
    </row>
    <row r="1416" spans="1:11" x14ac:dyDescent="0.25">
      <c r="A1416" s="2">
        <v>46156.375</v>
      </c>
      <c r="B1416" t="str">
        <f t="shared" si="44"/>
        <v>2026-05</v>
      </c>
      <c r="C1416" s="3">
        <f t="shared" si="45"/>
        <v>9</v>
      </c>
      <c r="D1416" s="4">
        <v>24.461105102541669</v>
      </c>
      <c r="E1416" s="4">
        <v>24.817164786533329</v>
      </c>
      <c r="F1416" s="4">
        <v>25.88397228246944</v>
      </c>
      <c r="G1416" s="4">
        <v>16</v>
      </c>
      <c r="H1416" s="5">
        <v>46.468573961288882</v>
      </c>
      <c r="I1416" s="5">
        <v>46.034825773172223</v>
      </c>
      <c r="J1416" s="5">
        <v>48.286192057669439</v>
      </c>
      <c r="K1416" s="5">
        <v>77</v>
      </c>
    </row>
    <row r="1417" spans="1:11" x14ac:dyDescent="0.25">
      <c r="A1417" s="2">
        <v>46156.416666666657</v>
      </c>
      <c r="B1417" t="str">
        <f t="shared" si="44"/>
        <v>2026-05</v>
      </c>
      <c r="C1417" s="3">
        <f t="shared" si="45"/>
        <v>10</v>
      </c>
      <c r="D1417" s="4">
        <v>24.970088330683328</v>
      </c>
      <c r="E1417" s="4">
        <v>25.192784095983331</v>
      </c>
      <c r="F1417" s="4">
        <v>25.894806285616671</v>
      </c>
      <c r="G1417" s="4">
        <v>16.8</v>
      </c>
      <c r="H1417" s="5">
        <v>44.512201560986107</v>
      </c>
      <c r="I1417" s="5">
        <v>44.862980488172219</v>
      </c>
      <c r="J1417" s="5">
        <v>48.204656093852783</v>
      </c>
      <c r="K1417" s="5">
        <v>72</v>
      </c>
    </row>
    <row r="1418" spans="1:11" x14ac:dyDescent="0.25">
      <c r="A1418" s="2">
        <v>46156.458333333343</v>
      </c>
      <c r="B1418" t="str">
        <f t="shared" si="44"/>
        <v>2026-05</v>
      </c>
      <c r="C1418" s="3">
        <f t="shared" si="45"/>
        <v>11</v>
      </c>
      <c r="D1418" s="4">
        <v>25.47059209798056</v>
      </c>
      <c r="E1418" s="4">
        <v>25.949292863041659</v>
      </c>
      <c r="F1418" s="4">
        <v>25.918966015294441</v>
      </c>
      <c r="G1418" s="4">
        <v>17.399999999999999</v>
      </c>
      <c r="H1418" s="5">
        <v>44.753199680711113</v>
      </c>
      <c r="I1418" s="5">
        <v>45.013374464658327</v>
      </c>
      <c r="J1418" s="5">
        <v>47.774498058247218</v>
      </c>
      <c r="K1418" s="5">
        <v>68</v>
      </c>
    </row>
    <row r="1419" spans="1:11" x14ac:dyDescent="0.25">
      <c r="A1419" s="2">
        <v>46156.5</v>
      </c>
      <c r="B1419" t="str">
        <f t="shared" si="44"/>
        <v>2026-05</v>
      </c>
      <c r="C1419" s="3">
        <f t="shared" si="45"/>
        <v>12</v>
      </c>
      <c r="D1419" s="4">
        <v>25.793753772091659</v>
      </c>
      <c r="E1419" s="4">
        <v>26.298087864536111</v>
      </c>
      <c r="F1419" s="4">
        <v>25.934397129375</v>
      </c>
      <c r="G1419" s="4">
        <v>18.600000000000001</v>
      </c>
      <c r="H1419" s="5">
        <v>45.143603591913887</v>
      </c>
      <c r="I1419" s="5">
        <v>44.730183550675001</v>
      </c>
      <c r="J1419" s="5">
        <v>47.15087727057778</v>
      </c>
      <c r="K1419" s="5">
        <v>63</v>
      </c>
    </row>
    <row r="1420" spans="1:11" x14ac:dyDescent="0.25">
      <c r="A1420" s="2">
        <v>46156.541666666657</v>
      </c>
      <c r="B1420" t="str">
        <f t="shared" si="44"/>
        <v>2026-05</v>
      </c>
      <c r="C1420" s="3">
        <f t="shared" si="45"/>
        <v>13</v>
      </c>
      <c r="D1420" s="4">
        <v>25.82856783765277</v>
      </c>
      <c r="E1420" s="4">
        <v>26.429386062236109</v>
      </c>
      <c r="F1420" s="4">
        <v>25.956647014247221</v>
      </c>
      <c r="G1420" s="4">
        <v>20.399999999999999</v>
      </c>
      <c r="H1420" s="5">
        <v>45.369784817247222</v>
      </c>
      <c r="I1420" s="5">
        <v>44.901991092319442</v>
      </c>
      <c r="J1420" s="5">
        <v>46.887857338622219</v>
      </c>
      <c r="K1420" s="5">
        <v>51</v>
      </c>
    </row>
    <row r="1421" spans="1:11" x14ac:dyDescent="0.25">
      <c r="A1421" s="2">
        <v>46156.583333333343</v>
      </c>
      <c r="B1421" t="str">
        <f t="shared" si="44"/>
        <v>2026-05</v>
      </c>
      <c r="C1421" s="3">
        <f t="shared" si="45"/>
        <v>14</v>
      </c>
      <c r="D1421" s="4">
        <v>25.837909387213891</v>
      </c>
      <c r="E1421" s="4">
        <v>26.659076490069442</v>
      </c>
      <c r="F1421" s="4">
        <v>25.99448681708612</v>
      </c>
      <c r="G1421" s="4">
        <v>16.8</v>
      </c>
      <c r="H1421" s="5">
        <v>44.919255829263882</v>
      </c>
      <c r="I1421" s="5">
        <v>44.974770436424997</v>
      </c>
      <c r="J1421" s="5">
        <v>47.216437274788888</v>
      </c>
      <c r="K1421" s="5">
        <v>66</v>
      </c>
    </row>
    <row r="1422" spans="1:11" x14ac:dyDescent="0.25">
      <c r="A1422" s="2">
        <v>46156.625</v>
      </c>
      <c r="B1422" t="str">
        <f t="shared" si="44"/>
        <v>2026-05</v>
      </c>
      <c r="C1422" s="3">
        <f t="shared" si="45"/>
        <v>15</v>
      </c>
      <c r="D1422" s="4">
        <v>25.181897456024998</v>
      </c>
      <c r="E1422" s="4">
        <v>26.167649463741672</v>
      </c>
      <c r="F1422" s="4">
        <v>26.003784530727781</v>
      </c>
      <c r="G1422" s="4">
        <v>19.100000000000001</v>
      </c>
      <c r="H1422" s="5">
        <v>41.691052177597221</v>
      </c>
      <c r="I1422" s="5">
        <v>41.434987533691661</v>
      </c>
      <c r="J1422" s="5">
        <v>47.369041538902771</v>
      </c>
      <c r="K1422" s="5">
        <v>51</v>
      </c>
    </row>
    <row r="1423" spans="1:11" x14ac:dyDescent="0.25">
      <c r="A1423" s="2">
        <v>46156.666666666657</v>
      </c>
      <c r="B1423" t="str">
        <f t="shared" si="44"/>
        <v>2026-05</v>
      </c>
      <c r="C1423" s="3">
        <f t="shared" si="45"/>
        <v>16</v>
      </c>
      <c r="D1423" s="4">
        <v>24.882080139955558</v>
      </c>
      <c r="E1423" s="4">
        <v>25.779373096122221</v>
      </c>
      <c r="F1423" s="4">
        <v>25.990534476288889</v>
      </c>
      <c r="G1423" s="4">
        <v>16.899999999999999</v>
      </c>
      <c r="H1423" s="5">
        <v>39.940581793594447</v>
      </c>
      <c r="I1423" s="5">
        <v>40.018374784205562</v>
      </c>
      <c r="J1423" s="5">
        <v>47.309373538363893</v>
      </c>
      <c r="K1423" s="5">
        <v>64</v>
      </c>
    </row>
    <row r="1424" spans="1:11" x14ac:dyDescent="0.25">
      <c r="A1424" s="2">
        <v>46156.708333333343</v>
      </c>
      <c r="B1424" t="str">
        <f t="shared" si="44"/>
        <v>2026-05</v>
      </c>
      <c r="C1424" s="3">
        <f t="shared" si="45"/>
        <v>17</v>
      </c>
      <c r="D1424" s="4">
        <v>24.602057613447219</v>
      </c>
      <c r="E1424" s="4">
        <v>25.20442595182778</v>
      </c>
      <c r="F1424" s="4">
        <v>25.969415102994439</v>
      </c>
      <c r="G1424" s="4">
        <v>18</v>
      </c>
      <c r="H1424" s="5">
        <v>37.497707209283327</v>
      </c>
      <c r="I1424" s="5">
        <v>37.565237766838891</v>
      </c>
      <c r="J1424" s="5">
        <v>47.161317555549999</v>
      </c>
      <c r="K1424" s="5">
        <v>56</v>
      </c>
    </row>
    <row r="1425" spans="1:11" x14ac:dyDescent="0.25">
      <c r="A1425" s="2">
        <v>46156.75</v>
      </c>
      <c r="B1425" t="str">
        <f t="shared" si="44"/>
        <v>2026-05</v>
      </c>
      <c r="C1425" s="3">
        <f t="shared" si="45"/>
        <v>18</v>
      </c>
      <c r="D1425" s="4">
        <v>24.30064431581112</v>
      </c>
      <c r="E1425" s="4">
        <v>24.698029244227779</v>
      </c>
      <c r="F1425" s="4">
        <v>25.93770774636112</v>
      </c>
      <c r="G1425" s="4">
        <v>17.8</v>
      </c>
      <c r="H1425" s="5">
        <v>36.761817228391671</v>
      </c>
      <c r="I1425" s="5">
        <v>37.022481831569444</v>
      </c>
      <c r="J1425" s="5">
        <v>46.906651737772222</v>
      </c>
      <c r="K1425" s="5">
        <v>52</v>
      </c>
    </row>
    <row r="1426" spans="1:11" x14ac:dyDescent="0.25">
      <c r="A1426" s="2">
        <v>46156.791666666657</v>
      </c>
      <c r="B1426" t="str">
        <f t="shared" si="44"/>
        <v>2026-05</v>
      </c>
      <c r="C1426" s="3">
        <f t="shared" si="45"/>
        <v>19</v>
      </c>
      <c r="D1426" s="4">
        <v>23.98913013269722</v>
      </c>
      <c r="E1426" s="4">
        <v>24.395181617555551</v>
      </c>
      <c r="F1426" s="4">
        <v>25.920680149241669</v>
      </c>
      <c r="G1426" s="4">
        <v>17.100000000000001</v>
      </c>
      <c r="H1426" s="5">
        <v>36.912946827444443</v>
      </c>
      <c r="I1426" s="5">
        <v>37.533390365330561</v>
      </c>
      <c r="J1426" s="5">
        <v>46.768844163816659</v>
      </c>
      <c r="K1426" s="5">
        <v>55</v>
      </c>
    </row>
    <row r="1427" spans="1:11" x14ac:dyDescent="0.25">
      <c r="A1427" s="2">
        <v>46156.833333333343</v>
      </c>
      <c r="B1427" t="str">
        <f t="shared" si="44"/>
        <v>2026-05</v>
      </c>
      <c r="C1427" s="3">
        <f t="shared" si="45"/>
        <v>20</v>
      </c>
      <c r="D1427" s="4">
        <v>23.549383116341669</v>
      </c>
      <c r="E1427" s="4">
        <v>24.171026476236111</v>
      </c>
      <c r="F1427" s="4">
        <v>25.896102806847221</v>
      </c>
      <c r="G1427" s="4">
        <v>15.9</v>
      </c>
      <c r="H1427" s="5">
        <v>37.058031867808332</v>
      </c>
      <c r="I1427" s="5">
        <v>37.28383914238055</v>
      </c>
      <c r="J1427" s="5">
        <v>46.576213933388892</v>
      </c>
      <c r="K1427" s="5">
        <v>64</v>
      </c>
    </row>
    <row r="1428" spans="1:11" x14ac:dyDescent="0.25">
      <c r="A1428" s="2">
        <v>46156.875</v>
      </c>
      <c r="B1428" t="str">
        <f t="shared" si="44"/>
        <v>2026-05</v>
      </c>
      <c r="C1428" s="3">
        <f t="shared" si="45"/>
        <v>21</v>
      </c>
      <c r="D1428" s="4">
        <v>23.0981263168017</v>
      </c>
      <c r="E1428" s="4">
        <v>24.057125851449999</v>
      </c>
      <c r="F1428" s="4">
        <v>25.87945720396111</v>
      </c>
      <c r="G1428" s="4">
        <v>15.1</v>
      </c>
      <c r="H1428" s="5">
        <v>38.414703234006247</v>
      </c>
      <c r="I1428" s="5">
        <v>38.124111317577778</v>
      </c>
      <c r="J1428" s="5">
        <v>46.462969539372217</v>
      </c>
      <c r="K1428" s="5">
        <v>67</v>
      </c>
    </row>
    <row r="1429" spans="1:11" x14ac:dyDescent="0.25">
      <c r="A1429" s="2">
        <v>46156.916666666657</v>
      </c>
      <c r="B1429" t="str">
        <f t="shared" si="44"/>
        <v>2026-05</v>
      </c>
      <c r="C1429" s="3">
        <f t="shared" si="45"/>
        <v>22</v>
      </c>
      <c r="D1429" s="4"/>
      <c r="E1429" s="4">
        <v>24.072022774802779</v>
      </c>
      <c r="F1429" s="4">
        <v>25.862852935700001</v>
      </c>
      <c r="G1429" s="4">
        <v>13.9</v>
      </c>
      <c r="H1429" s="5"/>
      <c r="I1429" s="5">
        <v>39.13125626331945</v>
      </c>
      <c r="J1429" s="5">
        <v>46.419969524319441</v>
      </c>
      <c r="K1429" s="5">
        <v>73</v>
      </c>
    </row>
    <row r="1430" spans="1:11" x14ac:dyDescent="0.25">
      <c r="A1430" s="2">
        <v>46156.958333333343</v>
      </c>
      <c r="B1430" t="str">
        <f t="shared" si="44"/>
        <v>2026-05</v>
      </c>
      <c r="C1430" s="3">
        <f t="shared" si="45"/>
        <v>23</v>
      </c>
      <c r="D1430" s="4"/>
      <c r="E1430" s="4">
        <v>24.182266672130559</v>
      </c>
      <c r="F1430" s="4">
        <v>25.863895618050002</v>
      </c>
      <c r="G1430" s="4">
        <v>12.7</v>
      </c>
      <c r="H1430" s="5"/>
      <c r="I1430" s="5">
        <v>40.437099751955557</v>
      </c>
      <c r="J1430" s="5">
        <v>46.491359568641663</v>
      </c>
      <c r="K1430" s="5">
        <v>82</v>
      </c>
    </row>
    <row r="1431" spans="1:11" x14ac:dyDescent="0.25">
      <c r="A1431" s="2">
        <v>46157</v>
      </c>
      <c r="B1431" t="str">
        <f t="shared" si="44"/>
        <v>2026-05</v>
      </c>
      <c r="C1431" s="3">
        <f t="shared" si="45"/>
        <v>0</v>
      </c>
      <c r="D1431" s="4"/>
      <c r="E1431" s="4">
        <v>24.19164617534167</v>
      </c>
      <c r="F1431" s="4">
        <v>25.861256359966671</v>
      </c>
      <c r="G1431" s="4">
        <v>11.9</v>
      </c>
      <c r="H1431" s="5"/>
      <c r="I1431" s="5">
        <v>40.119488807525002</v>
      </c>
      <c r="J1431" s="5">
        <v>46.515153974072227</v>
      </c>
      <c r="K1431" s="5">
        <v>89</v>
      </c>
    </row>
    <row r="1432" spans="1:11" x14ac:dyDescent="0.25">
      <c r="A1432" s="2">
        <v>46157.041666666657</v>
      </c>
      <c r="B1432" t="str">
        <f t="shared" si="44"/>
        <v>2026-05</v>
      </c>
      <c r="C1432" s="3">
        <f t="shared" si="45"/>
        <v>1</v>
      </c>
      <c r="D1432" s="4"/>
      <c r="E1432" s="4">
        <v>24.053478853102771</v>
      </c>
      <c r="F1432" s="4">
        <v>25.840818469950001</v>
      </c>
      <c r="G1432" s="4">
        <v>11.3</v>
      </c>
      <c r="H1432" s="5"/>
      <c r="I1432" s="5">
        <v>40.171179761600001</v>
      </c>
      <c r="J1432" s="5">
        <v>46.580989766808337</v>
      </c>
      <c r="K1432" s="5">
        <v>93</v>
      </c>
    </row>
    <row r="1433" spans="1:11" x14ac:dyDescent="0.25">
      <c r="A1433" s="2">
        <v>46157.083333333343</v>
      </c>
      <c r="B1433" t="str">
        <f t="shared" si="44"/>
        <v>2026-05</v>
      </c>
      <c r="C1433" s="3">
        <f t="shared" si="45"/>
        <v>2</v>
      </c>
      <c r="D1433" s="4"/>
      <c r="E1433" s="4">
        <v>23.983356010169441</v>
      </c>
      <c r="F1433" s="4">
        <v>25.835188477252771</v>
      </c>
      <c r="G1433" s="4">
        <v>10.7</v>
      </c>
      <c r="H1433" s="5"/>
      <c r="I1433" s="5">
        <v>40.589560647708332</v>
      </c>
      <c r="J1433" s="5">
        <v>46.488220172577783</v>
      </c>
      <c r="K1433" s="5">
        <v>94</v>
      </c>
    </row>
    <row r="1434" spans="1:11" x14ac:dyDescent="0.25">
      <c r="A1434" s="2">
        <v>46157.125</v>
      </c>
      <c r="B1434" t="str">
        <f t="shared" si="44"/>
        <v>2026-05</v>
      </c>
      <c r="C1434" s="3">
        <f t="shared" si="45"/>
        <v>3</v>
      </c>
      <c r="D1434" s="4"/>
      <c r="E1434" s="4">
        <v>24.187804036791661</v>
      </c>
      <c r="F1434" s="4">
        <v>25.847382814736111</v>
      </c>
      <c r="G1434" s="4">
        <v>10.6</v>
      </c>
      <c r="H1434" s="5"/>
      <c r="I1434" s="5">
        <v>41.25058046788056</v>
      </c>
      <c r="J1434" s="5">
        <v>46.21474330040278</v>
      </c>
      <c r="K1434" s="5">
        <v>94</v>
      </c>
    </row>
    <row r="1435" spans="1:11" x14ac:dyDescent="0.25">
      <c r="A1435" s="2">
        <v>46157.166666666657</v>
      </c>
      <c r="B1435" t="str">
        <f t="shared" si="44"/>
        <v>2026-05</v>
      </c>
      <c r="C1435" s="3">
        <f t="shared" si="45"/>
        <v>4</v>
      </c>
      <c r="D1435" s="4"/>
      <c r="E1435" s="4">
        <v>24.299360954200001</v>
      </c>
      <c r="F1435" s="4">
        <v>25.862327060716659</v>
      </c>
      <c r="G1435" s="4">
        <v>10.4</v>
      </c>
      <c r="H1435" s="5"/>
      <c r="I1435" s="5">
        <v>41.780057142186109</v>
      </c>
      <c r="J1435" s="5">
        <v>46.028494214677778</v>
      </c>
      <c r="K1435" s="5">
        <v>93</v>
      </c>
    </row>
    <row r="1436" spans="1:11" x14ac:dyDescent="0.25">
      <c r="A1436" s="2">
        <v>46157.208333333343</v>
      </c>
      <c r="B1436" t="str">
        <f t="shared" si="44"/>
        <v>2026-05</v>
      </c>
      <c r="C1436" s="3">
        <f t="shared" si="45"/>
        <v>5</v>
      </c>
      <c r="D1436" s="4"/>
      <c r="E1436" s="4">
        <v>24.38069614846389</v>
      </c>
      <c r="F1436" s="4">
        <v>25.87034107948611</v>
      </c>
      <c r="G1436" s="4">
        <v>10.3</v>
      </c>
      <c r="H1436" s="5"/>
      <c r="I1436" s="5">
        <v>42.312338787800002</v>
      </c>
      <c r="J1436" s="5">
        <v>45.892339362122222</v>
      </c>
      <c r="K1436" s="5">
        <v>92</v>
      </c>
    </row>
    <row r="1437" spans="1:11" x14ac:dyDescent="0.25">
      <c r="A1437" s="2">
        <v>46157.25</v>
      </c>
      <c r="B1437" t="str">
        <f t="shared" si="44"/>
        <v>2026-05</v>
      </c>
      <c r="C1437" s="3">
        <f t="shared" si="45"/>
        <v>6</v>
      </c>
      <c r="D1437" s="4"/>
      <c r="E1437" s="4">
        <v>24.443473875530561</v>
      </c>
      <c r="F1437" s="4">
        <v>25.884584861050001</v>
      </c>
      <c r="G1437" s="4">
        <v>10.7</v>
      </c>
      <c r="H1437" s="5"/>
      <c r="I1437" s="5">
        <v>42.851681742658343</v>
      </c>
      <c r="J1437" s="5">
        <v>45.774588146213887</v>
      </c>
      <c r="K1437" s="5">
        <v>88</v>
      </c>
    </row>
    <row r="1438" spans="1:11" x14ac:dyDescent="0.25">
      <c r="A1438" s="2">
        <v>46157.291666666657</v>
      </c>
      <c r="B1438" t="str">
        <f t="shared" si="44"/>
        <v>2026-05</v>
      </c>
      <c r="C1438" s="3">
        <f t="shared" si="45"/>
        <v>7</v>
      </c>
      <c r="D1438" s="4"/>
      <c r="E1438" s="4">
        <v>24.490194357452779</v>
      </c>
      <c r="F1438" s="4">
        <v>25.885534266347221</v>
      </c>
      <c r="G1438" s="4">
        <v>11.4</v>
      </c>
      <c r="H1438" s="5"/>
      <c r="I1438" s="5">
        <v>43.283252159358327</v>
      </c>
      <c r="J1438" s="5">
        <v>45.67198130488611</v>
      </c>
      <c r="K1438" s="5">
        <v>80</v>
      </c>
    </row>
    <row r="1439" spans="1:11" x14ac:dyDescent="0.25">
      <c r="A1439" s="2">
        <v>46157.333333333343</v>
      </c>
      <c r="B1439" t="str">
        <f t="shared" si="44"/>
        <v>2026-05</v>
      </c>
      <c r="C1439" s="3">
        <f t="shared" si="45"/>
        <v>8</v>
      </c>
      <c r="D1439" s="4"/>
      <c r="E1439" s="4">
        <v>24.546118209075001</v>
      </c>
      <c r="F1439" s="4">
        <v>25.882950689486108</v>
      </c>
      <c r="G1439" s="4">
        <v>12.1</v>
      </c>
      <c r="H1439" s="5"/>
      <c r="I1439" s="5">
        <v>43.479172614236113</v>
      </c>
      <c r="J1439" s="5">
        <v>45.586049364766673</v>
      </c>
      <c r="K1439" s="5">
        <v>75</v>
      </c>
    </row>
    <row r="1440" spans="1:11" x14ac:dyDescent="0.25">
      <c r="A1440" s="2">
        <v>46157.375</v>
      </c>
      <c r="B1440" t="str">
        <f t="shared" si="44"/>
        <v>2026-05</v>
      </c>
      <c r="C1440" s="3">
        <f t="shared" si="45"/>
        <v>9</v>
      </c>
      <c r="D1440" s="4">
        <v>24.32153865515378</v>
      </c>
      <c r="E1440" s="4">
        <v>24.68434571571111</v>
      </c>
      <c r="F1440" s="4">
        <v>25.892531063597222</v>
      </c>
      <c r="G1440" s="4">
        <v>12.9</v>
      </c>
      <c r="H1440" s="5">
        <v>44.371236002855333</v>
      </c>
      <c r="I1440" s="5">
        <v>43.576986254438893</v>
      </c>
      <c r="J1440" s="5">
        <v>45.486770225319447</v>
      </c>
      <c r="K1440" s="5">
        <v>71</v>
      </c>
    </row>
    <row r="1441" spans="1:11" x14ac:dyDescent="0.25">
      <c r="A1441" s="2">
        <v>46157.416666666657</v>
      </c>
      <c r="B1441" t="str">
        <f t="shared" si="44"/>
        <v>2026-05</v>
      </c>
      <c r="C1441" s="3">
        <f t="shared" si="45"/>
        <v>10</v>
      </c>
      <c r="D1441" s="4">
        <v>24.45071901307778</v>
      </c>
      <c r="E1441" s="4">
        <v>25.005699657797219</v>
      </c>
      <c r="F1441" s="4">
        <v>25.907909885824999</v>
      </c>
      <c r="G1441" s="4">
        <v>13.8</v>
      </c>
      <c r="H1441" s="5">
        <v>44.736358368211107</v>
      </c>
      <c r="I1441" s="5">
        <v>44.023253758572217</v>
      </c>
      <c r="J1441" s="5">
        <v>45.387633638561113</v>
      </c>
      <c r="K1441" s="5">
        <v>68</v>
      </c>
    </row>
    <row r="1442" spans="1:11" x14ac:dyDescent="0.25">
      <c r="A1442" s="2">
        <v>46157.458333333343</v>
      </c>
      <c r="B1442" t="str">
        <f t="shared" si="44"/>
        <v>2026-05</v>
      </c>
      <c r="C1442" s="3">
        <f t="shared" si="45"/>
        <v>11</v>
      </c>
      <c r="D1442" s="4">
        <v>24.555673088358329</v>
      </c>
      <c r="E1442" s="4">
        <v>25.57865352323612</v>
      </c>
      <c r="F1442" s="4">
        <v>25.923556327447219</v>
      </c>
      <c r="G1442" s="4">
        <v>14.7</v>
      </c>
      <c r="H1442" s="5">
        <v>45.35493729746667</v>
      </c>
      <c r="I1442" s="5">
        <v>43.903115325305563</v>
      </c>
      <c r="J1442" s="5">
        <v>45.290816644597221</v>
      </c>
      <c r="K1442" s="5">
        <v>66</v>
      </c>
    </row>
    <row r="1443" spans="1:11" x14ac:dyDescent="0.25">
      <c r="A1443" s="2">
        <v>46157.5</v>
      </c>
      <c r="B1443" t="str">
        <f t="shared" si="44"/>
        <v>2026-05</v>
      </c>
      <c r="C1443" s="3">
        <f t="shared" si="45"/>
        <v>12</v>
      </c>
      <c r="D1443" s="4">
        <v>24.63261220482222</v>
      </c>
      <c r="E1443" s="4">
        <v>25.436334896449999</v>
      </c>
      <c r="F1443" s="4">
        <v>25.89687459627222</v>
      </c>
      <c r="G1443" s="4">
        <v>15.4</v>
      </c>
      <c r="H1443" s="5">
        <v>44.087560810183327</v>
      </c>
      <c r="I1443" s="5">
        <v>43.127488300869437</v>
      </c>
      <c r="J1443" s="5">
        <v>46.428169869300007</v>
      </c>
      <c r="K1443" s="5">
        <v>63</v>
      </c>
    </row>
    <row r="1444" spans="1:11" x14ac:dyDescent="0.25">
      <c r="A1444" s="2">
        <v>46157.541666666657</v>
      </c>
      <c r="B1444" t="str">
        <f t="shared" si="44"/>
        <v>2026-05</v>
      </c>
      <c r="C1444" s="3">
        <f t="shared" si="45"/>
        <v>13</v>
      </c>
      <c r="D1444" s="4">
        <v>23.897202860583331</v>
      </c>
      <c r="E1444" s="4">
        <v>25.150980511680551</v>
      </c>
      <c r="F1444" s="4">
        <v>25.365976160002781</v>
      </c>
      <c r="G1444" s="4">
        <v>16.2</v>
      </c>
      <c r="H1444" s="5">
        <v>38.555473177886107</v>
      </c>
      <c r="I1444" s="5">
        <v>37.929018446113894</v>
      </c>
      <c r="J1444" s="5">
        <v>47.91941054857778</v>
      </c>
      <c r="K1444" s="5">
        <v>61</v>
      </c>
    </row>
    <row r="1445" spans="1:11" x14ac:dyDescent="0.25">
      <c r="A1445" s="2">
        <v>46157.583333333343</v>
      </c>
      <c r="B1445" t="str">
        <f t="shared" si="44"/>
        <v>2026-05</v>
      </c>
      <c r="C1445" s="3">
        <f t="shared" si="45"/>
        <v>14</v>
      </c>
      <c r="D1445" s="4">
        <v>23.600268052461111</v>
      </c>
      <c r="E1445" s="4">
        <v>24.88147786115</v>
      </c>
      <c r="F1445" s="4">
        <v>25.751062233869451</v>
      </c>
      <c r="G1445" s="4">
        <v>16.399999999999999</v>
      </c>
      <c r="H1445" s="5">
        <v>38.359356970358327</v>
      </c>
      <c r="I1445" s="5">
        <v>37.290872384330562</v>
      </c>
      <c r="J1445" s="5">
        <v>46.61920029245556</v>
      </c>
      <c r="K1445" s="5">
        <v>62</v>
      </c>
    </row>
    <row r="1446" spans="1:11" x14ac:dyDescent="0.25">
      <c r="A1446" s="2">
        <v>46157.625</v>
      </c>
      <c r="B1446" t="str">
        <f t="shared" si="44"/>
        <v>2026-05</v>
      </c>
      <c r="C1446" s="3">
        <f t="shared" si="45"/>
        <v>15</v>
      </c>
      <c r="D1446" s="4">
        <v>23.32705666266969</v>
      </c>
      <c r="E1446" s="4">
        <v>24.825480027074999</v>
      </c>
      <c r="F1446" s="4">
        <v>25.946772211719441</v>
      </c>
      <c r="G1446" s="4">
        <v>16.899999999999999</v>
      </c>
      <c r="H1446" s="5">
        <v>39.216269438536372</v>
      </c>
      <c r="I1446" s="5">
        <v>37.573757094180557</v>
      </c>
      <c r="J1446" s="5">
        <v>46.386157024463891</v>
      </c>
      <c r="K1446" s="5">
        <v>59</v>
      </c>
    </row>
    <row r="1447" spans="1:11" x14ac:dyDescent="0.25">
      <c r="A1447" s="2">
        <v>46157.666666666657</v>
      </c>
      <c r="B1447" t="str">
        <f t="shared" si="44"/>
        <v>2026-05</v>
      </c>
      <c r="C1447" s="3">
        <f t="shared" si="45"/>
        <v>16</v>
      </c>
      <c r="D1447" s="4"/>
      <c r="E1447" s="4">
        <v>24.515654982769441</v>
      </c>
      <c r="F1447" s="4">
        <v>26.03823365726112</v>
      </c>
      <c r="G1447" s="4">
        <v>16.5</v>
      </c>
      <c r="H1447" s="5"/>
      <c r="I1447" s="5">
        <v>37.17427197429722</v>
      </c>
      <c r="J1447" s="5">
        <v>46.243158915897233</v>
      </c>
      <c r="K1447" s="5">
        <v>61</v>
      </c>
    </row>
    <row r="1448" spans="1:11" x14ac:dyDescent="0.25">
      <c r="A1448" s="2">
        <v>46157.708333333343</v>
      </c>
      <c r="B1448" t="str">
        <f t="shared" si="44"/>
        <v>2026-05</v>
      </c>
      <c r="C1448" s="3">
        <f t="shared" si="45"/>
        <v>17</v>
      </c>
      <c r="D1448" s="4"/>
      <c r="E1448" s="4">
        <v>24.661476890394439</v>
      </c>
      <c r="F1448" s="4">
        <v>26.047821161991671</v>
      </c>
      <c r="G1448" s="4">
        <v>16.8</v>
      </c>
      <c r="H1448" s="5"/>
      <c r="I1448" s="5">
        <v>37.803592949266672</v>
      </c>
      <c r="J1448" s="5">
        <v>46.193751841844438</v>
      </c>
      <c r="K1448" s="5">
        <v>59</v>
      </c>
    </row>
    <row r="1449" spans="1:11" x14ac:dyDescent="0.25">
      <c r="A1449" s="2">
        <v>46157.75</v>
      </c>
      <c r="B1449" t="str">
        <f t="shared" si="44"/>
        <v>2026-05</v>
      </c>
      <c r="C1449" s="3">
        <f t="shared" si="45"/>
        <v>18</v>
      </c>
      <c r="D1449" s="4"/>
      <c r="E1449" s="4">
        <v>24.808544139102779</v>
      </c>
      <c r="F1449" s="4">
        <v>26.09248820363889</v>
      </c>
      <c r="G1449" s="4">
        <v>16.600000000000001</v>
      </c>
      <c r="H1449" s="5"/>
      <c r="I1449" s="5">
        <v>38.072335554719437</v>
      </c>
      <c r="J1449" s="5">
        <v>46.029416868272222</v>
      </c>
      <c r="K1449" s="5">
        <v>59</v>
      </c>
    </row>
    <row r="1450" spans="1:11" x14ac:dyDescent="0.25">
      <c r="A1450" s="2">
        <v>46157.791666666657</v>
      </c>
      <c r="B1450" t="str">
        <f t="shared" si="44"/>
        <v>2026-05</v>
      </c>
      <c r="C1450" s="3">
        <f t="shared" si="45"/>
        <v>19</v>
      </c>
      <c r="D1450" s="4"/>
      <c r="E1450" s="4">
        <v>24.69684678328333</v>
      </c>
      <c r="F1450" s="4">
        <v>25.429416045252779</v>
      </c>
      <c r="G1450" s="4">
        <v>16.2</v>
      </c>
      <c r="H1450" s="5"/>
      <c r="I1450" s="5">
        <v>38.661052604994453</v>
      </c>
      <c r="J1450" s="5">
        <v>46.613975641025</v>
      </c>
      <c r="K1450" s="5">
        <v>59</v>
      </c>
    </row>
    <row r="1451" spans="1:11" x14ac:dyDescent="0.25">
      <c r="A1451" s="2">
        <v>46157.833333333343</v>
      </c>
      <c r="B1451" t="str">
        <f t="shared" si="44"/>
        <v>2026-05</v>
      </c>
      <c r="C1451" s="3">
        <f t="shared" si="45"/>
        <v>20</v>
      </c>
      <c r="D1451" s="4"/>
      <c r="E1451" s="4">
        <v>24.777392336747219</v>
      </c>
      <c r="F1451" s="4">
        <v>24.95500735472778</v>
      </c>
      <c r="G1451" s="4">
        <v>15.8</v>
      </c>
      <c r="H1451" s="5"/>
      <c r="I1451" s="5">
        <v>38.543144992169438</v>
      </c>
      <c r="J1451" s="5">
        <v>47.334575120344446</v>
      </c>
      <c r="K1451" s="5">
        <v>64</v>
      </c>
    </row>
    <row r="1452" spans="1:11" x14ac:dyDescent="0.25">
      <c r="A1452" s="2">
        <v>46157.875</v>
      </c>
      <c r="B1452" t="str">
        <f t="shared" si="44"/>
        <v>2026-05</v>
      </c>
      <c r="C1452" s="3">
        <f t="shared" si="45"/>
        <v>21</v>
      </c>
      <c r="D1452" s="4">
        <v>23.703444911602439</v>
      </c>
      <c r="E1452" s="4">
        <v>24.624822502541669</v>
      </c>
      <c r="F1452" s="4">
        <v>24.962674052130559</v>
      </c>
      <c r="G1452" s="4">
        <v>15.5</v>
      </c>
      <c r="H1452" s="5">
        <v>42.02677725148434</v>
      </c>
      <c r="I1452" s="5">
        <v>39.977554351466672</v>
      </c>
      <c r="J1452" s="5">
        <v>48.500610795061107</v>
      </c>
      <c r="K1452" s="5">
        <v>66</v>
      </c>
    </row>
    <row r="1453" spans="1:11" x14ac:dyDescent="0.25">
      <c r="A1453" s="2">
        <v>46157.916666666657</v>
      </c>
      <c r="B1453" t="str">
        <f t="shared" si="44"/>
        <v>2026-05</v>
      </c>
      <c r="C1453" s="3">
        <f t="shared" si="45"/>
        <v>22</v>
      </c>
      <c r="D1453" s="4">
        <v>23.9253760671</v>
      </c>
      <c r="E1453" s="4">
        <v>24.918754234897222</v>
      </c>
      <c r="F1453" s="4">
        <v>25.19079280593612</v>
      </c>
      <c r="G1453" s="4">
        <v>13.9</v>
      </c>
      <c r="H1453" s="5">
        <v>44.032825569452783</v>
      </c>
      <c r="I1453" s="5">
        <v>41.707158372030563</v>
      </c>
      <c r="J1453" s="5">
        <v>50.355069806922216</v>
      </c>
      <c r="K1453" s="5">
        <v>74</v>
      </c>
    </row>
    <row r="1454" spans="1:11" x14ac:dyDescent="0.25">
      <c r="A1454" s="2">
        <v>46157.958333333343</v>
      </c>
      <c r="B1454" t="str">
        <f t="shared" si="44"/>
        <v>2026-05</v>
      </c>
      <c r="C1454" s="3">
        <f t="shared" si="45"/>
        <v>23</v>
      </c>
      <c r="D1454" s="4">
        <v>24.548390965097219</v>
      </c>
      <c r="E1454" s="4">
        <v>25.491530838180559</v>
      </c>
      <c r="F1454" s="4">
        <v>25.538735985386111</v>
      </c>
      <c r="G1454" s="4">
        <v>13</v>
      </c>
      <c r="H1454" s="5">
        <v>44.384914573175003</v>
      </c>
      <c r="I1454" s="5">
        <v>44.217664214419443</v>
      </c>
      <c r="J1454" s="5">
        <v>48.007268294052778</v>
      </c>
      <c r="K1454" s="5">
        <v>79</v>
      </c>
    </row>
    <row r="1455" spans="1:11" x14ac:dyDescent="0.25">
      <c r="A1455" s="2">
        <v>46158</v>
      </c>
      <c r="B1455" t="str">
        <f t="shared" si="44"/>
        <v>2026-05</v>
      </c>
      <c r="C1455" s="3">
        <f t="shared" si="45"/>
        <v>0</v>
      </c>
      <c r="D1455" s="4">
        <v>25.06657418098056</v>
      </c>
      <c r="E1455" s="4">
        <v>25.847985669258328</v>
      </c>
      <c r="F1455" s="4">
        <v>25.79840530578889</v>
      </c>
      <c r="G1455" s="4">
        <v>12.2</v>
      </c>
      <c r="H1455" s="5">
        <v>44.605657958475</v>
      </c>
      <c r="I1455" s="5">
        <v>43.44275879728611</v>
      </c>
      <c r="J1455" s="5">
        <v>47.013678670102777</v>
      </c>
      <c r="K1455" s="5">
        <v>83</v>
      </c>
    </row>
    <row r="1456" spans="1:11" x14ac:dyDescent="0.25">
      <c r="A1456" s="2">
        <v>46158.041666666657</v>
      </c>
      <c r="B1456" t="str">
        <f t="shared" si="44"/>
        <v>2026-05</v>
      </c>
      <c r="C1456" s="3">
        <f t="shared" si="45"/>
        <v>1</v>
      </c>
      <c r="D1456" s="4">
        <v>24.400870106336111</v>
      </c>
      <c r="E1456" s="4">
        <v>26.121663431636112</v>
      </c>
      <c r="F1456" s="4">
        <v>25.995200928463891</v>
      </c>
      <c r="G1456" s="4">
        <v>11.5</v>
      </c>
      <c r="H1456" s="5">
        <v>43.83529506873333</v>
      </c>
      <c r="I1456" s="5">
        <v>42.737002034597232</v>
      </c>
      <c r="J1456" s="5">
        <v>46.718684432972232</v>
      </c>
      <c r="K1456" s="5">
        <v>86</v>
      </c>
    </row>
    <row r="1457" spans="1:11" x14ac:dyDescent="0.25">
      <c r="A1457" s="2">
        <v>46158.083333333343</v>
      </c>
      <c r="B1457" t="str">
        <f t="shared" si="44"/>
        <v>2026-05</v>
      </c>
      <c r="C1457" s="3">
        <f t="shared" si="45"/>
        <v>2</v>
      </c>
      <c r="D1457" s="4">
        <v>23.345148732005551</v>
      </c>
      <c r="E1457" s="4">
        <v>26.08778140435</v>
      </c>
      <c r="F1457" s="4">
        <v>26.106462734502781</v>
      </c>
      <c r="G1457" s="4">
        <v>11.1</v>
      </c>
      <c r="H1457" s="5">
        <v>44.282789398994453</v>
      </c>
      <c r="I1457" s="5">
        <v>42.36547735874445</v>
      </c>
      <c r="J1457" s="5">
        <v>47.956848841336097</v>
      </c>
      <c r="K1457" s="5">
        <v>88</v>
      </c>
    </row>
    <row r="1458" spans="1:11" x14ac:dyDescent="0.25">
      <c r="A1458" s="2">
        <v>46158.125</v>
      </c>
      <c r="B1458" t="str">
        <f t="shared" si="44"/>
        <v>2026-05</v>
      </c>
      <c r="C1458" s="3">
        <f t="shared" si="45"/>
        <v>3</v>
      </c>
      <c r="D1458" s="4">
        <v>23.06088487068611</v>
      </c>
      <c r="E1458" s="4">
        <v>25.902619568675</v>
      </c>
      <c r="F1458" s="4">
        <v>26.113329651183331</v>
      </c>
      <c r="G1458" s="4">
        <v>10.7</v>
      </c>
      <c r="H1458" s="5">
        <v>44.9225636623</v>
      </c>
      <c r="I1458" s="5">
        <v>42.233822178341661</v>
      </c>
      <c r="J1458" s="5">
        <v>48.75155767407778</v>
      </c>
      <c r="K1458" s="5">
        <v>91</v>
      </c>
    </row>
    <row r="1459" spans="1:11" x14ac:dyDescent="0.25">
      <c r="A1459" s="2">
        <v>46158.166666666657</v>
      </c>
      <c r="B1459" t="str">
        <f t="shared" si="44"/>
        <v>2026-05</v>
      </c>
      <c r="C1459" s="3">
        <f t="shared" si="45"/>
        <v>4</v>
      </c>
      <c r="D1459" s="4">
        <v>22.50775199153334</v>
      </c>
      <c r="E1459" s="4">
        <v>25.51250958219444</v>
      </c>
      <c r="F1459" s="4">
        <v>26.253225389286111</v>
      </c>
      <c r="G1459" s="4">
        <v>10.1</v>
      </c>
      <c r="H1459" s="5">
        <v>45.26890283474166</v>
      </c>
      <c r="I1459" s="5">
        <v>41.639478186433337</v>
      </c>
      <c r="J1459" s="5">
        <v>48.039384606194439</v>
      </c>
      <c r="K1459" s="5">
        <v>93</v>
      </c>
    </row>
    <row r="1460" spans="1:11" x14ac:dyDescent="0.25">
      <c r="A1460" s="2">
        <v>46158.208333333343</v>
      </c>
      <c r="B1460" t="str">
        <f t="shared" si="44"/>
        <v>2026-05</v>
      </c>
      <c r="C1460" s="3">
        <f t="shared" si="45"/>
        <v>5</v>
      </c>
      <c r="D1460" s="4">
        <v>22.409006782530561</v>
      </c>
      <c r="E1460" s="4">
        <v>25.209245066080559</v>
      </c>
      <c r="F1460" s="4">
        <v>26.318918758300001</v>
      </c>
      <c r="G1460" s="4">
        <v>9.6999999999999993</v>
      </c>
      <c r="H1460" s="5">
        <v>45.090111325366671</v>
      </c>
      <c r="I1460" s="5">
        <v>41.117771612219443</v>
      </c>
      <c r="J1460" s="5">
        <v>47.753484460316663</v>
      </c>
      <c r="K1460" s="5">
        <v>94</v>
      </c>
    </row>
    <row r="1461" spans="1:11" x14ac:dyDescent="0.25">
      <c r="A1461" s="2">
        <v>46158.25</v>
      </c>
      <c r="B1461" t="str">
        <f t="shared" si="44"/>
        <v>2026-05</v>
      </c>
      <c r="C1461" s="3">
        <f t="shared" si="45"/>
        <v>6</v>
      </c>
      <c r="D1461" s="4">
        <v>23.89832291358611</v>
      </c>
      <c r="E1461" s="4">
        <v>25.30051785985556</v>
      </c>
      <c r="F1461" s="4">
        <v>26.37155504650833</v>
      </c>
      <c r="G1461" s="4">
        <v>10.5</v>
      </c>
      <c r="H1461" s="5">
        <v>42.351199886886107</v>
      </c>
      <c r="I1461" s="5">
        <v>41.026877870572221</v>
      </c>
      <c r="J1461" s="5">
        <v>47.601291723658328</v>
      </c>
      <c r="K1461" s="5">
        <v>92</v>
      </c>
    </row>
    <row r="1462" spans="1:11" x14ac:dyDescent="0.25">
      <c r="A1462" s="2">
        <v>46158.291666666657</v>
      </c>
      <c r="B1462" t="str">
        <f t="shared" si="44"/>
        <v>2026-05</v>
      </c>
      <c r="C1462" s="3">
        <f t="shared" si="45"/>
        <v>7</v>
      </c>
      <c r="D1462" s="4">
        <v>25.274631293525001</v>
      </c>
      <c r="E1462" s="4">
        <v>25.770727485616661</v>
      </c>
      <c r="F1462" s="4">
        <v>26.406127393222221</v>
      </c>
      <c r="G1462" s="4">
        <v>12.3</v>
      </c>
      <c r="H1462" s="5">
        <v>40.966285179463888</v>
      </c>
      <c r="I1462" s="5">
        <v>41.023984495947218</v>
      </c>
      <c r="J1462" s="5">
        <v>47.37071377614722</v>
      </c>
      <c r="K1462" s="5">
        <v>84</v>
      </c>
    </row>
    <row r="1463" spans="1:11" x14ac:dyDescent="0.25">
      <c r="A1463" s="2">
        <v>46158.333333333343</v>
      </c>
      <c r="B1463" t="str">
        <f t="shared" si="44"/>
        <v>2026-05</v>
      </c>
      <c r="C1463" s="3">
        <f t="shared" si="45"/>
        <v>8</v>
      </c>
      <c r="D1463" s="4">
        <v>25.864719985050002</v>
      </c>
      <c r="E1463" s="4">
        <v>26.640175730025</v>
      </c>
      <c r="F1463" s="4">
        <v>26.39451116530833</v>
      </c>
      <c r="G1463" s="4">
        <v>14.6</v>
      </c>
      <c r="H1463" s="5">
        <v>39.921285171594441</v>
      </c>
      <c r="I1463" s="5">
        <v>39.921097025155547</v>
      </c>
      <c r="J1463" s="5">
        <v>47.108919682372232</v>
      </c>
      <c r="K1463" s="5">
        <v>75</v>
      </c>
    </row>
    <row r="1464" spans="1:11" x14ac:dyDescent="0.25">
      <c r="A1464" s="2">
        <v>46158.375</v>
      </c>
      <c r="B1464" t="str">
        <f t="shared" si="44"/>
        <v>2026-05</v>
      </c>
      <c r="C1464" s="3">
        <f t="shared" si="45"/>
        <v>9</v>
      </c>
      <c r="D1464" s="4">
        <v>26.291174733675</v>
      </c>
      <c r="E1464" s="4">
        <v>26.66293545079445</v>
      </c>
      <c r="F1464" s="4">
        <v>26.370405515180561</v>
      </c>
      <c r="G1464" s="4">
        <v>16.5</v>
      </c>
      <c r="H1464" s="5">
        <v>39.367790812600013</v>
      </c>
      <c r="I1464" s="5">
        <v>40.21972679054722</v>
      </c>
      <c r="J1464" s="5">
        <v>46.889166086355551</v>
      </c>
      <c r="K1464" s="5">
        <v>64</v>
      </c>
    </row>
    <row r="1465" spans="1:11" x14ac:dyDescent="0.25">
      <c r="A1465" s="2">
        <v>46158.416666666657</v>
      </c>
      <c r="B1465" t="str">
        <f t="shared" si="44"/>
        <v>2026-05</v>
      </c>
      <c r="C1465" s="3">
        <f t="shared" si="45"/>
        <v>10</v>
      </c>
      <c r="D1465" s="4">
        <v>26.502423840224999</v>
      </c>
      <c r="E1465" s="4">
        <v>26.689741398769439</v>
      </c>
      <c r="F1465" s="4">
        <v>26.361972244783331</v>
      </c>
      <c r="G1465" s="4">
        <v>17.899999999999999</v>
      </c>
      <c r="H1465" s="5">
        <v>38.285513742411112</v>
      </c>
      <c r="I1465" s="5">
        <v>40.138369943144447</v>
      </c>
      <c r="J1465" s="5">
        <v>46.922988414369449</v>
      </c>
      <c r="K1465" s="5">
        <v>57</v>
      </c>
    </row>
    <row r="1466" spans="1:11" x14ac:dyDescent="0.25">
      <c r="A1466" s="2">
        <v>46158.458333333343</v>
      </c>
      <c r="B1466" t="str">
        <f t="shared" si="44"/>
        <v>2026-05</v>
      </c>
      <c r="C1466" s="3">
        <f t="shared" si="45"/>
        <v>11</v>
      </c>
      <c r="D1466" s="4">
        <v>26.509542776613891</v>
      </c>
      <c r="E1466" s="4">
        <v>26.70820073236667</v>
      </c>
      <c r="F1466" s="4">
        <v>26.358911092349999</v>
      </c>
      <c r="G1466" s="4">
        <v>18.5</v>
      </c>
      <c r="H1466" s="5">
        <v>38.385906244927767</v>
      </c>
      <c r="I1466" s="5">
        <v>40.471810309052778</v>
      </c>
      <c r="J1466" s="5">
        <v>46.937369688636117</v>
      </c>
      <c r="K1466" s="5">
        <v>53</v>
      </c>
    </row>
    <row r="1467" spans="1:11" x14ac:dyDescent="0.25">
      <c r="A1467" s="2">
        <v>46158.5</v>
      </c>
      <c r="B1467" t="str">
        <f t="shared" si="44"/>
        <v>2026-05</v>
      </c>
      <c r="C1467" s="3">
        <f t="shared" si="45"/>
        <v>12</v>
      </c>
      <c r="D1467" s="4">
        <v>26.35274565941112</v>
      </c>
      <c r="E1467" s="4">
        <v>26.884848383872221</v>
      </c>
      <c r="F1467" s="4">
        <v>26.46619950658889</v>
      </c>
      <c r="G1467" s="4">
        <v>18.7</v>
      </c>
      <c r="H1467" s="5">
        <v>36.538349800250003</v>
      </c>
      <c r="I1467" s="5">
        <v>40.483164377644442</v>
      </c>
      <c r="J1467" s="5">
        <v>49.555904269063888</v>
      </c>
      <c r="K1467" s="5">
        <v>53</v>
      </c>
    </row>
    <row r="1468" spans="1:11" x14ac:dyDescent="0.25">
      <c r="A1468" s="2">
        <v>46158.541666666657</v>
      </c>
      <c r="B1468" t="str">
        <f t="shared" si="44"/>
        <v>2026-05</v>
      </c>
      <c r="C1468" s="3">
        <f t="shared" si="45"/>
        <v>13</v>
      </c>
      <c r="D1468" s="4">
        <v>25.887798169238891</v>
      </c>
      <c r="E1468" s="4">
        <v>26.925468123008329</v>
      </c>
      <c r="F1468" s="4">
        <v>26.483344809888891</v>
      </c>
      <c r="G1468" s="4">
        <v>19.7</v>
      </c>
      <c r="H1468" s="5">
        <v>35.956574857024997</v>
      </c>
      <c r="I1468" s="5">
        <v>39.275993740297217</v>
      </c>
      <c r="J1468" s="5">
        <v>49.372796910152779</v>
      </c>
      <c r="K1468" s="5">
        <v>49</v>
      </c>
    </row>
    <row r="1469" spans="1:11" x14ac:dyDescent="0.25">
      <c r="A1469" s="2">
        <v>46158.583333333343</v>
      </c>
      <c r="B1469" t="str">
        <f t="shared" si="44"/>
        <v>2026-05</v>
      </c>
      <c r="C1469" s="3">
        <f t="shared" si="45"/>
        <v>14</v>
      </c>
      <c r="D1469" s="4">
        <v>26.07592314848333</v>
      </c>
      <c r="E1469" s="4">
        <v>26.84593505823333</v>
      </c>
      <c r="F1469" s="4">
        <v>26.424122785630558</v>
      </c>
      <c r="G1469" s="4">
        <v>19.899999999999999</v>
      </c>
      <c r="H1469" s="5">
        <v>36.02644286953889</v>
      </c>
      <c r="I1469" s="5">
        <v>37.54435063455</v>
      </c>
      <c r="J1469" s="5">
        <v>48.551242509488887</v>
      </c>
      <c r="K1469" s="5">
        <v>48</v>
      </c>
    </row>
    <row r="1470" spans="1:11" x14ac:dyDescent="0.25">
      <c r="A1470" s="2">
        <v>46158.625</v>
      </c>
      <c r="B1470" t="str">
        <f t="shared" si="44"/>
        <v>2026-05</v>
      </c>
      <c r="C1470" s="3">
        <f t="shared" si="45"/>
        <v>15</v>
      </c>
      <c r="D1470" s="4">
        <v>26.182613629544441</v>
      </c>
      <c r="E1470" s="4">
        <v>26.626875289397219</v>
      </c>
      <c r="F1470" s="4">
        <v>26.390338195375001</v>
      </c>
      <c r="G1470" s="4">
        <v>20.9</v>
      </c>
      <c r="H1470" s="5">
        <v>36.040860253483338</v>
      </c>
      <c r="I1470" s="5">
        <v>37.523069366194441</v>
      </c>
      <c r="J1470" s="5">
        <v>48.10580338949444</v>
      </c>
      <c r="K1470" s="5">
        <v>44</v>
      </c>
    </row>
    <row r="1471" spans="1:11" x14ac:dyDescent="0.25">
      <c r="A1471" s="2">
        <v>46158.666666666657</v>
      </c>
      <c r="B1471" t="str">
        <f t="shared" si="44"/>
        <v>2026-05</v>
      </c>
      <c r="C1471" s="3">
        <f t="shared" si="45"/>
        <v>16</v>
      </c>
      <c r="D1471" s="4">
        <v>25.519095212591669</v>
      </c>
      <c r="E1471" s="4">
        <v>26.680038411375001</v>
      </c>
      <c r="F1471" s="4">
        <v>26.351533745499999</v>
      </c>
      <c r="G1471" s="4">
        <v>21.3</v>
      </c>
      <c r="H1471" s="5">
        <v>35.543517237747217</v>
      </c>
      <c r="I1471" s="5">
        <v>36.578686439005558</v>
      </c>
      <c r="J1471" s="5">
        <v>47.706347267036108</v>
      </c>
      <c r="K1471" s="5">
        <v>43</v>
      </c>
    </row>
    <row r="1472" spans="1:11" x14ac:dyDescent="0.25">
      <c r="A1472" s="2">
        <v>46158.708333333343</v>
      </c>
      <c r="B1472" t="str">
        <f t="shared" si="44"/>
        <v>2026-05</v>
      </c>
      <c r="C1472" s="3">
        <f t="shared" si="45"/>
        <v>17</v>
      </c>
      <c r="D1472" s="4">
        <v>25.222988722086111</v>
      </c>
      <c r="E1472" s="4">
        <v>26.629038732127778</v>
      </c>
      <c r="F1472" s="4">
        <v>26.323943841488891</v>
      </c>
      <c r="G1472" s="4">
        <v>20.6</v>
      </c>
      <c r="H1472" s="5">
        <v>35.420375374875</v>
      </c>
      <c r="I1472" s="5">
        <v>34.847233338688888</v>
      </c>
      <c r="J1472" s="5">
        <v>47.312594599038881</v>
      </c>
      <c r="K1472" s="5">
        <v>45</v>
      </c>
    </row>
    <row r="1473" spans="1:11" x14ac:dyDescent="0.25">
      <c r="A1473" s="2">
        <v>46158.75</v>
      </c>
      <c r="B1473" t="str">
        <f t="shared" si="44"/>
        <v>2026-05</v>
      </c>
      <c r="C1473" s="3">
        <f t="shared" si="45"/>
        <v>18</v>
      </c>
      <c r="D1473" s="4">
        <v>25.01963188791666</v>
      </c>
      <c r="E1473" s="4">
        <v>26.244879369475001</v>
      </c>
      <c r="F1473" s="4">
        <v>26.11086947281667</v>
      </c>
      <c r="G1473" s="4">
        <v>20.2</v>
      </c>
      <c r="H1473" s="5">
        <v>35.744021015358342</v>
      </c>
      <c r="I1473" s="5">
        <v>35.165808338174998</v>
      </c>
      <c r="J1473" s="5">
        <v>46.704481535730558</v>
      </c>
      <c r="K1473" s="5">
        <v>47</v>
      </c>
    </row>
    <row r="1474" spans="1:11" x14ac:dyDescent="0.25">
      <c r="A1474" s="2">
        <v>46158.791666666657</v>
      </c>
      <c r="B1474" t="str">
        <f t="shared" ref="B1474:B1537" si="46">TEXT(A1474,"yyyy-mm")</f>
        <v>2026-05</v>
      </c>
      <c r="C1474" s="3">
        <f t="shared" ref="C1474:C1537" si="47">HOUR(A1474)</f>
        <v>19</v>
      </c>
      <c r="D1474" s="4">
        <v>24.987344285933329</v>
      </c>
      <c r="E1474" s="4">
        <v>26.38560592098333</v>
      </c>
      <c r="F1474" s="4">
        <v>25.932241813777779</v>
      </c>
      <c r="G1474" s="4">
        <v>19.8</v>
      </c>
      <c r="H1474" s="5">
        <v>36.885409427833331</v>
      </c>
      <c r="I1474" s="5">
        <v>36.489483418416668</v>
      </c>
      <c r="J1474" s="5">
        <v>47.398201615894443</v>
      </c>
      <c r="K1474" s="5">
        <v>49</v>
      </c>
    </row>
    <row r="1475" spans="1:11" x14ac:dyDescent="0.25">
      <c r="A1475" s="2">
        <v>46158.833333333343</v>
      </c>
      <c r="B1475" t="str">
        <f t="shared" si="46"/>
        <v>2026-05</v>
      </c>
      <c r="C1475" s="3">
        <f t="shared" si="47"/>
        <v>20</v>
      </c>
      <c r="D1475" s="4">
        <v>24.751399576388891</v>
      </c>
      <c r="E1475" s="4">
        <v>26.485434646177779</v>
      </c>
      <c r="F1475" s="4">
        <v>25.954694722794439</v>
      </c>
      <c r="G1475" s="4">
        <v>18.899999999999999</v>
      </c>
      <c r="H1475" s="5">
        <v>37.715367524199998</v>
      </c>
      <c r="I1475" s="5">
        <v>37.14021540249167</v>
      </c>
      <c r="J1475" s="5">
        <v>47.812496286697218</v>
      </c>
      <c r="K1475" s="5">
        <v>54</v>
      </c>
    </row>
    <row r="1476" spans="1:11" x14ac:dyDescent="0.25">
      <c r="A1476" s="2">
        <v>46158.875</v>
      </c>
      <c r="B1476" t="str">
        <f t="shared" si="46"/>
        <v>2026-05</v>
      </c>
      <c r="C1476" s="3">
        <f t="shared" si="47"/>
        <v>21</v>
      </c>
      <c r="D1476" s="4">
        <v>23.941985746438888</v>
      </c>
      <c r="E1476" s="4">
        <v>26.487606586008329</v>
      </c>
      <c r="F1476" s="4">
        <v>25.89905588946112</v>
      </c>
      <c r="G1476" s="4">
        <v>18.600000000000001</v>
      </c>
      <c r="H1476" s="5">
        <v>39.082088209905557</v>
      </c>
      <c r="I1476" s="5">
        <v>36.968703573480553</v>
      </c>
      <c r="J1476" s="5">
        <v>47.42376400817222</v>
      </c>
      <c r="K1476" s="5">
        <v>57</v>
      </c>
    </row>
    <row r="1477" spans="1:11" x14ac:dyDescent="0.25">
      <c r="A1477" s="2">
        <v>46158.916666666657</v>
      </c>
      <c r="B1477" t="str">
        <f t="shared" si="46"/>
        <v>2026-05</v>
      </c>
      <c r="C1477" s="3">
        <f t="shared" si="47"/>
        <v>22</v>
      </c>
      <c r="D1477" s="4">
        <v>22.247988442941661</v>
      </c>
      <c r="E1477" s="4">
        <v>26.45023176850556</v>
      </c>
      <c r="F1477" s="4">
        <v>26.06240864916111</v>
      </c>
      <c r="G1477" s="4">
        <v>18</v>
      </c>
      <c r="H1477" s="5">
        <v>43.165545549024998</v>
      </c>
      <c r="I1477" s="5">
        <v>36.127719581302777</v>
      </c>
      <c r="J1477" s="5">
        <v>47.054178269977783</v>
      </c>
      <c r="K1477" s="5">
        <v>59</v>
      </c>
    </row>
    <row r="1478" spans="1:11" x14ac:dyDescent="0.25">
      <c r="A1478" s="2">
        <v>46158.958333333343</v>
      </c>
      <c r="B1478" t="str">
        <f t="shared" si="46"/>
        <v>2026-05</v>
      </c>
      <c r="C1478" s="3">
        <f t="shared" si="47"/>
        <v>23</v>
      </c>
      <c r="D1478" s="4">
        <v>24.076619080524999</v>
      </c>
      <c r="E1478" s="4">
        <v>26.191717586694441</v>
      </c>
      <c r="F1478" s="4">
        <v>26.139823743936109</v>
      </c>
      <c r="G1478" s="4">
        <v>17</v>
      </c>
      <c r="H1478" s="5">
        <v>41.225668452758327</v>
      </c>
      <c r="I1478" s="5">
        <v>37.998967251908333</v>
      </c>
      <c r="J1478" s="5">
        <v>46.86578575179167</v>
      </c>
      <c r="K1478" s="5">
        <v>63</v>
      </c>
    </row>
    <row r="1479" spans="1:11" x14ac:dyDescent="0.25">
      <c r="A1479" s="2">
        <v>46159</v>
      </c>
      <c r="B1479" t="str">
        <f t="shared" si="46"/>
        <v>2026-05</v>
      </c>
      <c r="C1479" s="3">
        <f t="shared" si="47"/>
        <v>0</v>
      </c>
      <c r="D1479" s="4">
        <v>25.115469291952781</v>
      </c>
      <c r="E1479" s="4">
        <v>25.989600834400001</v>
      </c>
      <c r="F1479" s="4">
        <v>26.180022910922229</v>
      </c>
      <c r="G1479" s="4">
        <v>16.5</v>
      </c>
      <c r="H1479" s="5">
        <v>39.604145201374997</v>
      </c>
      <c r="I1479" s="5">
        <v>39.136139207350013</v>
      </c>
      <c r="J1479" s="5">
        <v>46.67894086476111</v>
      </c>
      <c r="K1479" s="5">
        <v>65</v>
      </c>
    </row>
    <row r="1480" spans="1:11" x14ac:dyDescent="0.25">
      <c r="A1480" s="2">
        <v>46159.041666666657</v>
      </c>
      <c r="B1480" t="str">
        <f t="shared" si="46"/>
        <v>2026-05</v>
      </c>
      <c r="C1480" s="3">
        <f t="shared" si="47"/>
        <v>1</v>
      </c>
      <c r="D1480" s="4">
        <v>25.210450929347221</v>
      </c>
      <c r="E1480" s="4">
        <v>25.921585363422221</v>
      </c>
      <c r="F1480" s="4">
        <v>26.200660780011109</v>
      </c>
      <c r="G1480" s="4">
        <v>15.7</v>
      </c>
      <c r="H1480" s="5">
        <v>39.494591097425001</v>
      </c>
      <c r="I1480" s="5">
        <v>39.245052983641664</v>
      </c>
      <c r="J1480" s="5">
        <v>46.556363247833332</v>
      </c>
      <c r="K1480" s="5">
        <v>68</v>
      </c>
    </row>
    <row r="1481" spans="1:11" x14ac:dyDescent="0.25">
      <c r="A1481" s="2">
        <v>46159.083333333343</v>
      </c>
      <c r="B1481" t="str">
        <f t="shared" si="46"/>
        <v>2026-05</v>
      </c>
      <c r="C1481" s="3">
        <f t="shared" si="47"/>
        <v>2</v>
      </c>
      <c r="D1481" s="4">
        <v>25.096545352349999</v>
      </c>
      <c r="E1481" s="4">
        <v>26.006944615586111</v>
      </c>
      <c r="F1481" s="4">
        <v>26.081403847302781</v>
      </c>
      <c r="G1481" s="4">
        <v>15.1</v>
      </c>
      <c r="H1481" s="5">
        <v>39.652728669811111</v>
      </c>
      <c r="I1481" s="5">
        <v>39.153697339116668</v>
      </c>
      <c r="J1481" s="5">
        <v>48.202714066252781</v>
      </c>
      <c r="K1481" s="5">
        <v>70</v>
      </c>
    </row>
    <row r="1482" spans="1:11" x14ac:dyDescent="0.25">
      <c r="A1482" s="2">
        <v>46159.125</v>
      </c>
      <c r="B1482" t="str">
        <f t="shared" si="46"/>
        <v>2026-05</v>
      </c>
      <c r="C1482" s="3">
        <f t="shared" si="47"/>
        <v>3</v>
      </c>
      <c r="D1482" s="4">
        <v>24.99536736881667</v>
      </c>
      <c r="E1482" s="4">
        <v>25.71956956678056</v>
      </c>
      <c r="F1482" s="4">
        <v>26.142580924808328</v>
      </c>
      <c r="G1482" s="4">
        <v>14.9</v>
      </c>
      <c r="H1482" s="5">
        <v>40.315188921050002</v>
      </c>
      <c r="I1482" s="5">
        <v>40.181913136788893</v>
      </c>
      <c r="J1482" s="5">
        <v>47.678529965269441</v>
      </c>
      <c r="K1482" s="5">
        <v>70</v>
      </c>
    </row>
    <row r="1483" spans="1:11" x14ac:dyDescent="0.25">
      <c r="A1483" s="2">
        <v>46159.166666666657</v>
      </c>
      <c r="B1483" t="str">
        <f t="shared" si="46"/>
        <v>2026-05</v>
      </c>
      <c r="C1483" s="3">
        <f t="shared" si="47"/>
        <v>4</v>
      </c>
      <c r="D1483" s="4">
        <v>24.847028886238888</v>
      </c>
      <c r="E1483" s="4">
        <v>25.496227749105561</v>
      </c>
      <c r="F1483" s="4">
        <v>26.180616429002779</v>
      </c>
      <c r="G1483" s="4">
        <v>14.3</v>
      </c>
      <c r="H1483" s="5">
        <v>40.028310826155547</v>
      </c>
      <c r="I1483" s="5">
        <v>39.591043785136122</v>
      </c>
      <c r="J1483" s="5">
        <v>47.063984133313888</v>
      </c>
      <c r="K1483" s="5">
        <v>72</v>
      </c>
    </row>
    <row r="1484" spans="1:11" x14ac:dyDescent="0.25">
      <c r="A1484" s="2">
        <v>46159.208333333343</v>
      </c>
      <c r="B1484" t="str">
        <f t="shared" si="46"/>
        <v>2026-05</v>
      </c>
      <c r="C1484" s="3">
        <f t="shared" si="47"/>
        <v>5</v>
      </c>
      <c r="D1484" s="4">
        <v>24.839580710402771</v>
      </c>
      <c r="E1484" s="4">
        <v>25.337822058263889</v>
      </c>
      <c r="F1484" s="4">
        <v>26.171889049430561</v>
      </c>
      <c r="G1484" s="4">
        <v>14.4</v>
      </c>
      <c r="H1484" s="5">
        <v>39.532575940347222</v>
      </c>
      <c r="I1484" s="5">
        <v>39.371166409722221</v>
      </c>
      <c r="J1484" s="5">
        <v>46.843037957349999</v>
      </c>
      <c r="K1484" s="5">
        <v>71</v>
      </c>
    </row>
    <row r="1485" spans="1:11" x14ac:dyDescent="0.25">
      <c r="A1485" s="2">
        <v>46159.25</v>
      </c>
      <c r="B1485" t="str">
        <f t="shared" si="46"/>
        <v>2026-05</v>
      </c>
      <c r="C1485" s="3">
        <f t="shared" si="47"/>
        <v>6</v>
      </c>
      <c r="D1485" s="4">
        <v>25.199274991072219</v>
      </c>
      <c r="E1485" s="4">
        <v>25.353880367138888</v>
      </c>
      <c r="F1485" s="4">
        <v>26.175973293036112</v>
      </c>
      <c r="G1485" s="4">
        <v>14.4</v>
      </c>
      <c r="H1485" s="5">
        <v>38.795217192447218</v>
      </c>
      <c r="I1485" s="5">
        <v>39.855677200630552</v>
      </c>
      <c r="J1485" s="5">
        <v>46.690854797963887</v>
      </c>
      <c r="K1485" s="5">
        <v>71</v>
      </c>
    </row>
    <row r="1486" spans="1:11" x14ac:dyDescent="0.25">
      <c r="A1486" s="2">
        <v>46159.291666666657</v>
      </c>
      <c r="B1486" t="str">
        <f t="shared" si="46"/>
        <v>2026-05</v>
      </c>
      <c r="C1486" s="3">
        <f t="shared" si="47"/>
        <v>7</v>
      </c>
      <c r="D1486" s="4">
        <v>25.112597997386111</v>
      </c>
      <c r="E1486" s="4">
        <v>25.223537929369439</v>
      </c>
      <c r="F1486" s="4">
        <v>26.18107331145556</v>
      </c>
      <c r="G1486" s="4">
        <v>15.6</v>
      </c>
      <c r="H1486" s="5">
        <v>39.267766124433329</v>
      </c>
      <c r="I1486" s="5">
        <v>40.016318837591662</v>
      </c>
      <c r="J1486" s="5">
        <v>46.583864979525003</v>
      </c>
      <c r="K1486" s="5">
        <v>66</v>
      </c>
    </row>
    <row r="1487" spans="1:11" x14ac:dyDescent="0.25">
      <c r="A1487" s="2">
        <v>46159.333333333343</v>
      </c>
      <c r="B1487" t="str">
        <f t="shared" si="46"/>
        <v>2026-05</v>
      </c>
      <c r="C1487" s="3">
        <f t="shared" si="47"/>
        <v>8</v>
      </c>
      <c r="D1487" s="4">
        <v>24.28081343625</v>
      </c>
      <c r="E1487" s="4">
        <v>24.884204976666659</v>
      </c>
      <c r="F1487" s="4">
        <v>26.176927387666669</v>
      </c>
      <c r="G1487" s="4">
        <v>17.3</v>
      </c>
      <c r="H1487" s="5">
        <v>41.584560073111113</v>
      </c>
      <c r="I1487" s="5">
        <v>40.937273916308342</v>
      </c>
      <c r="J1487" s="5">
        <v>46.841937414238878</v>
      </c>
      <c r="K1487" s="5">
        <v>59</v>
      </c>
    </row>
    <row r="1488" spans="1:11" x14ac:dyDescent="0.25">
      <c r="A1488" s="2">
        <v>46159.375</v>
      </c>
      <c r="B1488" t="str">
        <f t="shared" si="46"/>
        <v>2026-05</v>
      </c>
      <c r="C1488" s="3">
        <f t="shared" si="47"/>
        <v>9</v>
      </c>
      <c r="D1488" s="4">
        <v>24.029055469949999</v>
      </c>
      <c r="E1488" s="4">
        <v>24.853798491133329</v>
      </c>
      <c r="F1488" s="4">
        <v>26.16722200875278</v>
      </c>
      <c r="G1488" s="4">
        <v>18</v>
      </c>
      <c r="H1488" s="5">
        <v>44.079879566850003</v>
      </c>
      <c r="I1488" s="5">
        <v>42.459778360372219</v>
      </c>
      <c r="J1488" s="5">
        <v>47.011523187816657</v>
      </c>
      <c r="K1488" s="5">
        <v>58</v>
      </c>
    </row>
    <row r="1489" spans="1:11" x14ac:dyDescent="0.25">
      <c r="A1489" s="2">
        <v>46159.416666666657</v>
      </c>
      <c r="B1489" t="str">
        <f t="shared" si="46"/>
        <v>2026-05</v>
      </c>
      <c r="C1489" s="3">
        <f t="shared" si="47"/>
        <v>10</v>
      </c>
      <c r="D1489" s="4">
        <v>23.888737362674998</v>
      </c>
      <c r="E1489" s="4">
        <v>24.883922198488889</v>
      </c>
      <c r="F1489" s="4">
        <v>26.167527522433328</v>
      </c>
      <c r="G1489" s="4">
        <v>18</v>
      </c>
      <c r="H1489" s="5">
        <v>46.269231832719441</v>
      </c>
      <c r="I1489" s="5">
        <v>43.968521512052767</v>
      </c>
      <c r="J1489" s="5">
        <v>46.868963547438888</v>
      </c>
      <c r="K1489" s="5">
        <v>64</v>
      </c>
    </row>
    <row r="1490" spans="1:11" x14ac:dyDescent="0.25">
      <c r="A1490" s="2">
        <v>46159.458333333343</v>
      </c>
      <c r="B1490" t="str">
        <f t="shared" si="46"/>
        <v>2026-05</v>
      </c>
      <c r="C1490" s="3">
        <f t="shared" si="47"/>
        <v>11</v>
      </c>
      <c r="D1490" s="4">
        <v>24.116192636233329</v>
      </c>
      <c r="E1490" s="4">
        <v>24.782008967338889</v>
      </c>
      <c r="F1490" s="4">
        <v>26.166833515650001</v>
      </c>
      <c r="G1490" s="4">
        <v>17.100000000000001</v>
      </c>
      <c r="H1490" s="5">
        <v>46.683380961102777</v>
      </c>
      <c r="I1490" s="5">
        <v>44.831187006886097</v>
      </c>
      <c r="J1490" s="5">
        <v>46.692284698241671</v>
      </c>
      <c r="K1490" s="5">
        <v>77</v>
      </c>
    </row>
    <row r="1491" spans="1:11" x14ac:dyDescent="0.25">
      <c r="A1491" s="2">
        <v>46159.5</v>
      </c>
      <c r="B1491" t="str">
        <f t="shared" si="46"/>
        <v>2026-05</v>
      </c>
      <c r="C1491" s="3">
        <f t="shared" si="47"/>
        <v>12</v>
      </c>
      <c r="D1491" s="4">
        <v>24.662514376005561</v>
      </c>
      <c r="E1491" s="4">
        <v>24.933357885555559</v>
      </c>
      <c r="F1491" s="4">
        <v>26.166528130669441</v>
      </c>
      <c r="G1491" s="4">
        <v>19.399999999999999</v>
      </c>
      <c r="H1491" s="5">
        <v>46.911855052458328</v>
      </c>
      <c r="I1491" s="5">
        <v>45.836990276633337</v>
      </c>
      <c r="J1491" s="5">
        <v>46.565527043980559</v>
      </c>
      <c r="K1491" s="5">
        <v>68</v>
      </c>
    </row>
    <row r="1492" spans="1:11" x14ac:dyDescent="0.25">
      <c r="A1492" s="2">
        <v>46159.541666666657</v>
      </c>
      <c r="B1492" t="str">
        <f t="shared" si="46"/>
        <v>2026-05</v>
      </c>
      <c r="C1492" s="3">
        <f t="shared" si="47"/>
        <v>13</v>
      </c>
      <c r="D1492" s="4">
        <v>25.306381002583329</v>
      </c>
      <c r="E1492" s="4">
        <v>25.50727628432778</v>
      </c>
      <c r="F1492" s="4">
        <v>26.183211875383339</v>
      </c>
      <c r="G1492" s="4">
        <v>21.2</v>
      </c>
      <c r="H1492" s="5">
        <v>47.147102911505563</v>
      </c>
      <c r="I1492" s="5">
        <v>47.597950287180559</v>
      </c>
      <c r="J1492" s="5">
        <v>46.566113181219443</v>
      </c>
      <c r="K1492" s="5">
        <v>61</v>
      </c>
    </row>
    <row r="1493" spans="1:11" x14ac:dyDescent="0.25">
      <c r="A1493" s="2">
        <v>46159.583333333343</v>
      </c>
      <c r="B1493" t="str">
        <f t="shared" si="46"/>
        <v>2026-05</v>
      </c>
      <c r="C1493" s="3">
        <f t="shared" si="47"/>
        <v>14</v>
      </c>
      <c r="D1493" s="4">
        <v>25.54936943337778</v>
      </c>
      <c r="E1493" s="4">
        <v>25.869475838972221</v>
      </c>
      <c r="F1493" s="4">
        <v>26.229245512547219</v>
      </c>
      <c r="G1493" s="4">
        <v>22.8</v>
      </c>
      <c r="H1493" s="5">
        <v>46.905226431255556</v>
      </c>
      <c r="I1493" s="5">
        <v>46.572555924183327</v>
      </c>
      <c r="J1493" s="5">
        <v>47.657133871480561</v>
      </c>
      <c r="K1493" s="5">
        <v>57</v>
      </c>
    </row>
    <row r="1494" spans="1:11" x14ac:dyDescent="0.25">
      <c r="A1494" s="2">
        <v>46159.625</v>
      </c>
      <c r="B1494" t="str">
        <f t="shared" si="46"/>
        <v>2026-05</v>
      </c>
      <c r="C1494" s="3">
        <f t="shared" si="47"/>
        <v>15</v>
      </c>
      <c r="D1494" s="4">
        <v>25.370373012716659</v>
      </c>
      <c r="E1494" s="4">
        <v>26.019757406555559</v>
      </c>
      <c r="F1494" s="4">
        <v>26.266368655388892</v>
      </c>
      <c r="G1494" s="4">
        <v>24.2</v>
      </c>
      <c r="H1494" s="5">
        <v>48.374234217327768</v>
      </c>
      <c r="I1494" s="5">
        <v>46.869065240138887</v>
      </c>
      <c r="J1494" s="5">
        <v>49.134438337263887</v>
      </c>
      <c r="K1494" s="5">
        <v>52</v>
      </c>
    </row>
    <row r="1495" spans="1:11" x14ac:dyDescent="0.25">
      <c r="A1495" s="2">
        <v>46159.666666666657</v>
      </c>
      <c r="B1495" t="str">
        <f t="shared" si="46"/>
        <v>2026-05</v>
      </c>
      <c r="C1495" s="3">
        <f t="shared" si="47"/>
        <v>16</v>
      </c>
      <c r="D1495" s="4">
        <v>24.90106559734167</v>
      </c>
      <c r="E1495" s="4">
        <v>26.06514677331112</v>
      </c>
      <c r="F1495" s="4">
        <v>26.296129333269441</v>
      </c>
      <c r="G1495" s="4">
        <v>18.3</v>
      </c>
      <c r="H1495" s="5">
        <v>50.585375545550001</v>
      </c>
      <c r="I1495" s="5">
        <v>47.64813770318333</v>
      </c>
      <c r="J1495" s="5">
        <v>50.007384568930561</v>
      </c>
      <c r="K1495" s="5">
        <v>85</v>
      </c>
    </row>
    <row r="1496" spans="1:11" x14ac:dyDescent="0.25">
      <c r="A1496" s="2">
        <v>46159.708333333343</v>
      </c>
      <c r="B1496" t="str">
        <f t="shared" si="46"/>
        <v>2026-05</v>
      </c>
      <c r="C1496" s="3">
        <f t="shared" si="47"/>
        <v>17</v>
      </c>
      <c r="D1496" s="4">
        <v>24.682127210925</v>
      </c>
      <c r="E1496" s="4">
        <v>26.094717069983329</v>
      </c>
      <c r="F1496" s="4">
        <v>26.32256223701944</v>
      </c>
      <c r="G1496" s="4">
        <v>20.399999999999999</v>
      </c>
      <c r="H1496" s="5">
        <v>51.333545362797217</v>
      </c>
      <c r="I1496" s="5">
        <v>48.266458760838887</v>
      </c>
      <c r="J1496" s="5">
        <v>51.148845254894447</v>
      </c>
      <c r="K1496" s="5">
        <v>74</v>
      </c>
    </row>
    <row r="1497" spans="1:11" x14ac:dyDescent="0.25">
      <c r="A1497" s="2">
        <v>46159.75</v>
      </c>
      <c r="B1497" t="str">
        <f t="shared" si="46"/>
        <v>2026-05</v>
      </c>
      <c r="C1497" s="3">
        <f t="shared" si="47"/>
        <v>18</v>
      </c>
      <c r="D1497" s="4">
        <v>24.539004258916659</v>
      </c>
      <c r="E1497" s="4">
        <v>25.679189366925002</v>
      </c>
      <c r="F1497" s="4">
        <v>26.339787288050001</v>
      </c>
      <c r="G1497" s="4">
        <v>21.3</v>
      </c>
      <c r="H1497" s="5">
        <v>50.732892692963887</v>
      </c>
      <c r="I1497" s="5">
        <v>47.744484787772222</v>
      </c>
      <c r="J1497" s="5">
        <v>51.413567545602781</v>
      </c>
      <c r="K1497" s="5">
        <v>69</v>
      </c>
    </row>
    <row r="1498" spans="1:11" x14ac:dyDescent="0.25">
      <c r="A1498" s="2">
        <v>46159.791666666657</v>
      </c>
      <c r="B1498" t="str">
        <f t="shared" si="46"/>
        <v>2026-05</v>
      </c>
      <c r="C1498" s="3">
        <f t="shared" si="47"/>
        <v>19</v>
      </c>
      <c r="D1498" s="4">
        <v>23.176446447494449</v>
      </c>
      <c r="E1498" s="4">
        <v>25.12223653586944</v>
      </c>
      <c r="F1498" s="4">
        <v>26.302223916174999</v>
      </c>
      <c r="G1498" s="4">
        <v>16.899999999999999</v>
      </c>
      <c r="H1498" s="5">
        <v>52.124726675155557</v>
      </c>
      <c r="I1498" s="5">
        <v>47.427972492986108</v>
      </c>
      <c r="J1498" s="5">
        <v>51.857012300908337</v>
      </c>
      <c r="K1498" s="5">
        <v>93</v>
      </c>
    </row>
    <row r="1499" spans="1:11" x14ac:dyDescent="0.25">
      <c r="A1499" s="2">
        <v>46159.833333333343</v>
      </c>
      <c r="B1499" t="str">
        <f t="shared" si="46"/>
        <v>2026-05</v>
      </c>
      <c r="C1499" s="3">
        <f t="shared" si="47"/>
        <v>20</v>
      </c>
      <c r="D1499" s="4">
        <v>23.156259680963888</v>
      </c>
      <c r="E1499" s="4">
        <v>24.644818767347221</v>
      </c>
      <c r="F1499" s="4">
        <v>26.242413422266669</v>
      </c>
      <c r="G1499" s="4">
        <v>16.5</v>
      </c>
      <c r="H1499" s="5">
        <v>50.347169497069437</v>
      </c>
      <c r="I1499" s="5">
        <v>46.500406963580559</v>
      </c>
      <c r="J1499" s="5">
        <v>51.286942717533329</v>
      </c>
      <c r="K1499" s="5">
        <v>95</v>
      </c>
    </row>
    <row r="1500" spans="1:11" x14ac:dyDescent="0.25">
      <c r="A1500" s="2">
        <v>46159.875</v>
      </c>
      <c r="B1500" t="str">
        <f t="shared" si="46"/>
        <v>2026-05</v>
      </c>
      <c r="C1500" s="3">
        <f t="shared" si="47"/>
        <v>21</v>
      </c>
      <c r="D1500" s="4">
        <v>22.715314014697221</v>
      </c>
      <c r="E1500" s="4">
        <v>24.704754137130561</v>
      </c>
      <c r="F1500" s="4">
        <v>26.227157406772221</v>
      </c>
      <c r="G1500" s="4">
        <v>16.7</v>
      </c>
      <c r="H1500" s="5">
        <v>51.86732517627221</v>
      </c>
      <c r="I1500" s="5">
        <v>47.017256610775</v>
      </c>
      <c r="J1500" s="5">
        <v>50.892016470188892</v>
      </c>
      <c r="K1500" s="5">
        <v>92</v>
      </c>
    </row>
    <row r="1501" spans="1:11" x14ac:dyDescent="0.25">
      <c r="A1501" s="2">
        <v>46159.916666666657</v>
      </c>
      <c r="B1501" t="str">
        <f t="shared" si="46"/>
        <v>2026-05</v>
      </c>
      <c r="C1501" s="3">
        <f t="shared" si="47"/>
        <v>22</v>
      </c>
      <c r="D1501" s="4">
        <v>22.939475436922219</v>
      </c>
      <c r="E1501" s="4">
        <v>25.142203675274999</v>
      </c>
      <c r="F1501" s="4">
        <v>26.237967136752779</v>
      </c>
      <c r="G1501" s="4">
        <v>16.3</v>
      </c>
      <c r="H1501" s="5">
        <v>53.515696274683343</v>
      </c>
      <c r="I1501" s="5">
        <v>48.760191585163888</v>
      </c>
      <c r="J1501" s="5">
        <v>50.81566346213333</v>
      </c>
      <c r="K1501" s="5">
        <v>93</v>
      </c>
    </row>
    <row r="1502" spans="1:11" x14ac:dyDescent="0.25">
      <c r="A1502" s="2">
        <v>46159.958333333343</v>
      </c>
      <c r="B1502" t="str">
        <f t="shared" si="46"/>
        <v>2026-05</v>
      </c>
      <c r="C1502" s="3">
        <f t="shared" si="47"/>
        <v>23</v>
      </c>
      <c r="D1502" s="4">
        <v>23.324482830274999</v>
      </c>
      <c r="E1502" s="4">
        <v>25.528130685886111</v>
      </c>
      <c r="F1502" s="4">
        <v>26.257717019391659</v>
      </c>
      <c r="G1502" s="4">
        <v>16</v>
      </c>
      <c r="H1502" s="5">
        <v>53.359779765802777</v>
      </c>
      <c r="I1502" s="5">
        <v>48.659830074322223</v>
      </c>
      <c r="J1502" s="5">
        <v>50.873304499127777</v>
      </c>
      <c r="K1502" s="5">
        <v>93</v>
      </c>
    </row>
    <row r="1503" spans="1:11" x14ac:dyDescent="0.25">
      <c r="A1503" s="2">
        <v>46160</v>
      </c>
      <c r="B1503" t="str">
        <f t="shared" si="46"/>
        <v>2026-05</v>
      </c>
      <c r="C1503" s="3">
        <f t="shared" si="47"/>
        <v>0</v>
      </c>
      <c r="D1503" s="4">
        <v>23.232095480272221</v>
      </c>
      <c r="E1503" s="4">
        <v>25.49827506430556</v>
      </c>
      <c r="F1503" s="4">
        <v>26.261919311</v>
      </c>
      <c r="G1503" s="4">
        <v>15.9</v>
      </c>
      <c r="H1503" s="5">
        <v>52.87495850705556</v>
      </c>
      <c r="I1503" s="5">
        <v>48.422093588625003</v>
      </c>
      <c r="J1503" s="5">
        <v>50.682687750177777</v>
      </c>
      <c r="K1503" s="5">
        <v>93</v>
      </c>
    </row>
    <row r="1504" spans="1:11" x14ac:dyDescent="0.25">
      <c r="A1504" s="2">
        <v>46160.041666666657</v>
      </c>
      <c r="B1504" t="str">
        <f t="shared" si="46"/>
        <v>2026-05</v>
      </c>
      <c r="C1504" s="3">
        <f t="shared" si="47"/>
        <v>1</v>
      </c>
      <c r="D1504" s="4">
        <v>23.099142873613889</v>
      </c>
      <c r="E1504" s="4">
        <v>25.329231903083329</v>
      </c>
      <c r="F1504" s="4">
        <v>26.254421236894441</v>
      </c>
      <c r="G1504" s="4">
        <v>15.5</v>
      </c>
      <c r="H1504" s="5">
        <v>51.516899198336112</v>
      </c>
      <c r="I1504" s="5">
        <v>47.441579866347219</v>
      </c>
      <c r="J1504" s="5">
        <v>50.531585639791672</v>
      </c>
      <c r="K1504" s="5">
        <v>93</v>
      </c>
    </row>
    <row r="1505" spans="1:11" x14ac:dyDescent="0.25">
      <c r="A1505" s="2">
        <v>46160.083333333343</v>
      </c>
      <c r="B1505" t="str">
        <f t="shared" si="46"/>
        <v>2026-05</v>
      </c>
      <c r="C1505" s="3">
        <f t="shared" si="47"/>
        <v>2</v>
      </c>
      <c r="D1505" s="4">
        <v>23.02036132266667</v>
      </c>
      <c r="E1505" s="4">
        <v>25.27062009423889</v>
      </c>
      <c r="F1505" s="4">
        <v>26.247944039736112</v>
      </c>
      <c r="G1505" s="4">
        <v>15.4</v>
      </c>
      <c r="H1505" s="5">
        <v>51.585572713872217</v>
      </c>
      <c r="I1505" s="5">
        <v>47.192441480611109</v>
      </c>
      <c r="J1505" s="5">
        <v>50.352534827213887</v>
      </c>
      <c r="K1505" s="5">
        <v>93</v>
      </c>
    </row>
    <row r="1506" spans="1:11" x14ac:dyDescent="0.25">
      <c r="A1506" s="2">
        <v>46160.125</v>
      </c>
      <c r="B1506" t="str">
        <f t="shared" si="46"/>
        <v>2026-05</v>
      </c>
      <c r="C1506" s="3">
        <f t="shared" si="47"/>
        <v>3</v>
      </c>
      <c r="D1506" s="4">
        <v>22.79178663889445</v>
      </c>
      <c r="E1506" s="4">
        <v>25.02907022240278</v>
      </c>
      <c r="F1506" s="4">
        <v>26.228876653275002</v>
      </c>
      <c r="G1506" s="4">
        <v>15.5</v>
      </c>
      <c r="H1506" s="5">
        <v>52.295117907600002</v>
      </c>
      <c r="I1506" s="5">
        <v>47.310129666163903</v>
      </c>
      <c r="J1506" s="5">
        <v>50.321501526302782</v>
      </c>
      <c r="K1506" s="5">
        <v>95</v>
      </c>
    </row>
    <row r="1507" spans="1:11" x14ac:dyDescent="0.25">
      <c r="A1507" s="2">
        <v>46160.166666666657</v>
      </c>
      <c r="B1507" t="str">
        <f t="shared" si="46"/>
        <v>2026-05</v>
      </c>
      <c r="C1507" s="3">
        <f t="shared" si="47"/>
        <v>4</v>
      </c>
      <c r="D1507" s="4">
        <v>22.615143302422229</v>
      </c>
      <c r="E1507" s="4">
        <v>24.733494215233328</v>
      </c>
      <c r="F1507" s="4">
        <v>26.208925848174999</v>
      </c>
      <c r="G1507" s="4">
        <v>14.7</v>
      </c>
      <c r="H1507" s="5">
        <v>52.503317124869447</v>
      </c>
      <c r="I1507" s="5">
        <v>47.173392079724998</v>
      </c>
      <c r="J1507" s="5">
        <v>50.297056638022219</v>
      </c>
      <c r="K1507" s="5">
        <v>96</v>
      </c>
    </row>
    <row r="1508" spans="1:11" x14ac:dyDescent="0.25">
      <c r="A1508" s="2">
        <v>46160.208333333343</v>
      </c>
      <c r="B1508" t="str">
        <f t="shared" si="46"/>
        <v>2026-05</v>
      </c>
      <c r="C1508" s="3">
        <f t="shared" si="47"/>
        <v>5</v>
      </c>
      <c r="D1508" s="4">
        <v>22.48015633126111</v>
      </c>
      <c r="E1508" s="4">
        <v>24.597143937819439</v>
      </c>
      <c r="F1508" s="4">
        <v>26.189565245466671</v>
      </c>
      <c r="G1508" s="4">
        <v>14.2</v>
      </c>
      <c r="H1508" s="5">
        <v>52.90146285750555</v>
      </c>
      <c r="I1508" s="5">
        <v>47.366695450211097</v>
      </c>
      <c r="J1508" s="5">
        <v>50.27588907223889</v>
      </c>
      <c r="K1508" s="5">
        <v>96</v>
      </c>
    </row>
    <row r="1509" spans="1:11" x14ac:dyDescent="0.25">
      <c r="A1509" s="2">
        <v>46160.25</v>
      </c>
      <c r="B1509" t="str">
        <f t="shared" si="46"/>
        <v>2026-05</v>
      </c>
      <c r="C1509" s="3">
        <f t="shared" si="47"/>
        <v>6</v>
      </c>
      <c r="D1509" s="4">
        <v>22.68642345513333</v>
      </c>
      <c r="E1509" s="4">
        <v>24.61565262501945</v>
      </c>
      <c r="F1509" s="4">
        <v>26.176639089988889</v>
      </c>
      <c r="G1509" s="4">
        <v>14.6</v>
      </c>
      <c r="H1509" s="5">
        <v>52.728014995613897</v>
      </c>
      <c r="I1509" s="5">
        <v>47.698328058138877</v>
      </c>
      <c r="J1509" s="5">
        <v>50.255238290369448</v>
      </c>
      <c r="K1509" s="5">
        <v>96</v>
      </c>
    </row>
    <row r="1510" spans="1:11" x14ac:dyDescent="0.25">
      <c r="A1510" s="2">
        <v>46160.291666666657</v>
      </c>
      <c r="B1510" t="str">
        <f t="shared" si="46"/>
        <v>2026-05</v>
      </c>
      <c r="C1510" s="3">
        <f t="shared" si="47"/>
        <v>7</v>
      </c>
      <c r="D1510" s="4">
        <v>23.212394032066669</v>
      </c>
      <c r="E1510" s="4">
        <v>24.769488451400001</v>
      </c>
      <c r="F1510" s="4">
        <v>26.179304977469439</v>
      </c>
      <c r="G1510" s="4">
        <v>15.9</v>
      </c>
      <c r="H1510" s="5">
        <v>50.73292963121667</v>
      </c>
      <c r="I1510" s="5">
        <v>47.005235773469437</v>
      </c>
      <c r="J1510" s="5">
        <v>50.170530524855558</v>
      </c>
      <c r="K1510" s="5">
        <v>92</v>
      </c>
    </row>
    <row r="1511" spans="1:11" x14ac:dyDescent="0.25">
      <c r="A1511" s="2">
        <v>46160.333333333343</v>
      </c>
      <c r="B1511" t="str">
        <f t="shared" si="46"/>
        <v>2026-05</v>
      </c>
      <c r="C1511" s="3">
        <f t="shared" si="47"/>
        <v>8</v>
      </c>
      <c r="D1511" s="4">
        <v>24.319626576855551</v>
      </c>
      <c r="E1511" s="4">
        <v>24.95632918508889</v>
      </c>
      <c r="F1511" s="4">
        <v>26.181828523530559</v>
      </c>
      <c r="G1511" s="4">
        <v>17.600000000000001</v>
      </c>
      <c r="H1511" s="5">
        <v>47.830076313349998</v>
      </c>
      <c r="I1511" s="5">
        <v>46.898443734788877</v>
      </c>
      <c r="J1511" s="5">
        <v>50.037662107158333</v>
      </c>
      <c r="K1511" s="5">
        <v>81</v>
      </c>
    </row>
    <row r="1512" spans="1:11" x14ac:dyDescent="0.25">
      <c r="A1512" s="2">
        <v>46160.375</v>
      </c>
      <c r="B1512" t="str">
        <f t="shared" si="46"/>
        <v>2026-05</v>
      </c>
      <c r="C1512" s="3">
        <f t="shared" si="47"/>
        <v>9</v>
      </c>
      <c r="D1512" s="4">
        <v>25.01512626126944</v>
      </c>
      <c r="E1512" s="4">
        <v>25.201963016613892</v>
      </c>
      <c r="F1512" s="4">
        <v>26.200242052494449</v>
      </c>
      <c r="G1512" s="4">
        <v>19.399999999999999</v>
      </c>
      <c r="H1512" s="5">
        <v>46.466079238511107</v>
      </c>
      <c r="I1512" s="5">
        <v>46.720396059547227</v>
      </c>
      <c r="J1512" s="5">
        <v>49.921700682508337</v>
      </c>
      <c r="K1512" s="5">
        <v>71</v>
      </c>
    </row>
    <row r="1513" spans="1:11" x14ac:dyDescent="0.25">
      <c r="A1513" s="2">
        <v>46160.416666666657</v>
      </c>
      <c r="B1513" t="str">
        <f t="shared" si="46"/>
        <v>2026-05</v>
      </c>
      <c r="C1513" s="3">
        <f t="shared" si="47"/>
        <v>10</v>
      </c>
      <c r="D1513" s="4">
        <v>25.138773558433329</v>
      </c>
      <c r="E1513" s="4">
        <v>25.272840669766669</v>
      </c>
      <c r="F1513" s="4">
        <v>26.210772703311111</v>
      </c>
      <c r="G1513" s="4">
        <v>20.6</v>
      </c>
      <c r="H1513" s="5">
        <v>46.595012602799997</v>
      </c>
      <c r="I1513" s="5">
        <v>47.160337703283339</v>
      </c>
      <c r="J1513" s="5">
        <v>49.876630163977779</v>
      </c>
      <c r="K1513" s="5">
        <v>66</v>
      </c>
    </row>
    <row r="1514" spans="1:11" x14ac:dyDescent="0.25">
      <c r="A1514" s="2">
        <v>46160.458333333343</v>
      </c>
      <c r="B1514" t="str">
        <f t="shared" si="46"/>
        <v>2026-05</v>
      </c>
      <c r="C1514" s="3">
        <f t="shared" si="47"/>
        <v>11</v>
      </c>
      <c r="D1514" s="4">
        <v>25.322420451052778</v>
      </c>
      <c r="E1514" s="4">
        <v>25.52807368079722</v>
      </c>
      <c r="F1514" s="4">
        <v>26.226103602636108</v>
      </c>
      <c r="G1514" s="4">
        <v>21.6</v>
      </c>
      <c r="H1514" s="5">
        <v>47.763445803983331</v>
      </c>
      <c r="I1514" s="5">
        <v>47.774271090583333</v>
      </c>
      <c r="J1514" s="5">
        <v>49.695917401783333</v>
      </c>
      <c r="K1514" s="5">
        <v>63</v>
      </c>
    </row>
    <row r="1515" spans="1:11" x14ac:dyDescent="0.25">
      <c r="A1515" s="2">
        <v>46160.5</v>
      </c>
      <c r="B1515" t="str">
        <f t="shared" si="46"/>
        <v>2026-05</v>
      </c>
      <c r="C1515" s="3">
        <f t="shared" si="47"/>
        <v>12</v>
      </c>
      <c r="D1515" s="4">
        <v>25.576390552119449</v>
      </c>
      <c r="E1515" s="4">
        <v>26.138229110194441</v>
      </c>
      <c r="F1515" s="4">
        <v>26.25443093537778</v>
      </c>
      <c r="G1515" s="4">
        <v>22.6</v>
      </c>
      <c r="H1515" s="5">
        <v>48.914350388233338</v>
      </c>
      <c r="I1515" s="5">
        <v>48.287775335905557</v>
      </c>
      <c r="J1515" s="5">
        <v>49.727389976744441</v>
      </c>
      <c r="K1515" s="5">
        <v>63</v>
      </c>
    </row>
    <row r="1516" spans="1:11" x14ac:dyDescent="0.25">
      <c r="A1516" s="2">
        <v>46160.541666666657</v>
      </c>
      <c r="B1516" t="str">
        <f t="shared" si="46"/>
        <v>2026-05</v>
      </c>
      <c r="C1516" s="3">
        <f t="shared" si="47"/>
        <v>13</v>
      </c>
      <c r="D1516" s="4">
        <v>25.802359828619441</v>
      </c>
      <c r="E1516" s="4">
        <v>26.17570142633889</v>
      </c>
      <c r="F1516" s="4">
        <v>26.28151789710833</v>
      </c>
      <c r="G1516" s="4">
        <v>23.5</v>
      </c>
      <c r="H1516" s="5">
        <v>49.222695285511122</v>
      </c>
      <c r="I1516" s="5">
        <v>48.369542679858327</v>
      </c>
      <c r="J1516" s="5">
        <v>49.819860815174998</v>
      </c>
      <c r="K1516" s="5">
        <v>62</v>
      </c>
    </row>
    <row r="1517" spans="1:11" x14ac:dyDescent="0.25">
      <c r="A1517" s="2">
        <v>46160.583333333343</v>
      </c>
      <c r="B1517" t="str">
        <f t="shared" si="46"/>
        <v>2026-05</v>
      </c>
      <c r="C1517" s="3">
        <f t="shared" si="47"/>
        <v>14</v>
      </c>
      <c r="D1517" s="4">
        <v>25.98224875230833</v>
      </c>
      <c r="E1517" s="4">
        <v>26.166071617219441</v>
      </c>
      <c r="F1517" s="4">
        <v>26.312846719083339</v>
      </c>
      <c r="G1517" s="4">
        <v>24.5</v>
      </c>
      <c r="H1517" s="5">
        <v>48.184354424172227</v>
      </c>
      <c r="I1517" s="5">
        <v>48.345568847425</v>
      </c>
      <c r="J1517" s="5">
        <v>49.861968732308327</v>
      </c>
      <c r="K1517" s="5">
        <v>60</v>
      </c>
    </row>
    <row r="1518" spans="1:11" x14ac:dyDescent="0.25">
      <c r="A1518" s="2">
        <v>46160.625</v>
      </c>
      <c r="B1518" t="str">
        <f t="shared" si="46"/>
        <v>2026-05</v>
      </c>
      <c r="C1518" s="3">
        <f t="shared" si="47"/>
        <v>15</v>
      </c>
      <c r="D1518" s="4">
        <v>26.065668935372219</v>
      </c>
      <c r="E1518" s="4">
        <v>26.22717157581112</v>
      </c>
      <c r="F1518" s="4">
        <v>26.33327512008611</v>
      </c>
      <c r="G1518" s="4">
        <v>25.9</v>
      </c>
      <c r="H1518" s="5">
        <v>45.340354432572219</v>
      </c>
      <c r="I1518" s="5">
        <v>45.871126019897233</v>
      </c>
      <c r="J1518" s="5">
        <v>49.714446127569452</v>
      </c>
      <c r="K1518" s="5">
        <v>46</v>
      </c>
    </row>
    <row r="1519" spans="1:11" x14ac:dyDescent="0.25">
      <c r="A1519" s="2">
        <v>46160.666666666657</v>
      </c>
      <c r="B1519" t="str">
        <f t="shared" si="46"/>
        <v>2026-05</v>
      </c>
      <c r="C1519" s="3">
        <f t="shared" si="47"/>
        <v>16</v>
      </c>
      <c r="D1519" s="4">
        <v>26.03908029299722</v>
      </c>
      <c r="E1519" s="4">
        <v>26.156177492766659</v>
      </c>
      <c r="F1519" s="4">
        <v>26.346573911630561</v>
      </c>
      <c r="G1519" s="4">
        <v>25.6</v>
      </c>
      <c r="H1519" s="5">
        <v>45.141879415027773</v>
      </c>
      <c r="I1519" s="5">
        <v>46.554388745713887</v>
      </c>
      <c r="J1519" s="5">
        <v>49.629613354794436</v>
      </c>
      <c r="K1519" s="5">
        <v>50</v>
      </c>
    </row>
    <row r="1520" spans="1:11" x14ac:dyDescent="0.25">
      <c r="A1520" s="2">
        <v>46160.708333333343</v>
      </c>
      <c r="B1520" t="str">
        <f t="shared" si="46"/>
        <v>2026-05</v>
      </c>
      <c r="C1520" s="3">
        <f t="shared" si="47"/>
        <v>17</v>
      </c>
      <c r="D1520" s="4">
        <v>26.04848903734722</v>
      </c>
      <c r="E1520" s="4">
        <v>26.19202566581389</v>
      </c>
      <c r="F1520" s="4">
        <v>26.360858714113888</v>
      </c>
      <c r="G1520" s="4">
        <v>23.8</v>
      </c>
      <c r="H1520" s="5">
        <v>47.779225422616669</v>
      </c>
      <c r="I1520" s="5">
        <v>47.842744839236111</v>
      </c>
      <c r="J1520" s="5">
        <v>49.608067119397226</v>
      </c>
      <c r="K1520" s="5">
        <v>65</v>
      </c>
    </row>
    <row r="1521" spans="1:11" x14ac:dyDescent="0.25">
      <c r="A1521" s="2">
        <v>46160.75</v>
      </c>
      <c r="B1521" t="str">
        <f t="shared" si="46"/>
        <v>2026-05</v>
      </c>
      <c r="C1521" s="3">
        <f t="shared" si="47"/>
        <v>18</v>
      </c>
      <c r="D1521" s="4">
        <v>26.033826325486121</v>
      </c>
      <c r="E1521" s="4">
        <v>26.36050098400278</v>
      </c>
      <c r="F1521" s="4">
        <v>26.376217824358331</v>
      </c>
      <c r="G1521" s="4">
        <v>22.6</v>
      </c>
      <c r="H1521" s="5">
        <v>48.18967272639722</v>
      </c>
      <c r="I1521" s="5">
        <v>48.650783133247216</v>
      </c>
      <c r="J1521" s="5">
        <v>49.769893129086107</v>
      </c>
      <c r="K1521" s="5">
        <v>68</v>
      </c>
    </row>
    <row r="1522" spans="1:11" x14ac:dyDescent="0.25">
      <c r="A1522" s="2">
        <v>46160.791666666657</v>
      </c>
      <c r="B1522" t="str">
        <f t="shared" si="46"/>
        <v>2026-05</v>
      </c>
      <c r="C1522" s="3">
        <f t="shared" si="47"/>
        <v>19</v>
      </c>
      <c r="D1522" s="4">
        <v>25.942249711597221</v>
      </c>
      <c r="E1522" s="4">
        <v>26.608187158083339</v>
      </c>
      <c r="F1522" s="4">
        <v>26.39788095691112</v>
      </c>
      <c r="G1522" s="4">
        <v>21.8</v>
      </c>
      <c r="H1522" s="5">
        <v>49.31032325266667</v>
      </c>
      <c r="I1522" s="5">
        <v>48.735531743800003</v>
      </c>
      <c r="J1522" s="5">
        <v>49.959347933072223</v>
      </c>
      <c r="K1522" s="5">
        <v>73</v>
      </c>
    </row>
    <row r="1523" spans="1:11" x14ac:dyDescent="0.25">
      <c r="A1523" s="2">
        <v>46160.833333333343</v>
      </c>
      <c r="B1523" t="str">
        <f t="shared" si="46"/>
        <v>2026-05</v>
      </c>
      <c r="C1523" s="3">
        <f t="shared" si="47"/>
        <v>20</v>
      </c>
      <c r="D1523" s="4">
        <v>25.763999055361111</v>
      </c>
      <c r="E1523" s="4">
        <v>26.483354418213889</v>
      </c>
      <c r="F1523" s="4">
        <v>26.434756008547222</v>
      </c>
      <c r="G1523" s="4">
        <v>20.3</v>
      </c>
      <c r="H1523" s="5">
        <v>49.571438206091663</v>
      </c>
      <c r="I1523" s="5">
        <v>50.733566660125</v>
      </c>
      <c r="J1523" s="5">
        <v>50.151079145099999</v>
      </c>
      <c r="K1523" s="5">
        <v>80</v>
      </c>
    </row>
    <row r="1524" spans="1:11" x14ac:dyDescent="0.25">
      <c r="A1524" s="2">
        <v>46160.875</v>
      </c>
      <c r="B1524" t="str">
        <f t="shared" si="46"/>
        <v>2026-05</v>
      </c>
      <c r="C1524" s="3">
        <f t="shared" si="47"/>
        <v>21</v>
      </c>
      <c r="D1524" s="4">
        <v>25.44724965526666</v>
      </c>
      <c r="E1524" s="4">
        <v>26.162508381005551</v>
      </c>
      <c r="F1524" s="4">
        <v>26.448392640313891</v>
      </c>
      <c r="G1524" s="4">
        <v>19.100000000000001</v>
      </c>
      <c r="H1524" s="5">
        <v>51.175326273444448</v>
      </c>
      <c r="I1524" s="5">
        <v>52.097991205988883</v>
      </c>
      <c r="J1524" s="5">
        <v>50.577018069277777</v>
      </c>
      <c r="K1524" s="5">
        <v>78</v>
      </c>
    </row>
    <row r="1525" spans="1:11" x14ac:dyDescent="0.25">
      <c r="A1525" s="2">
        <v>46160.916666666657</v>
      </c>
      <c r="B1525" t="str">
        <f t="shared" si="46"/>
        <v>2026-05</v>
      </c>
      <c r="C1525" s="3">
        <f t="shared" si="47"/>
        <v>22</v>
      </c>
      <c r="D1525" s="4">
        <v>24.820820564636112</v>
      </c>
      <c r="E1525" s="4">
        <v>25.93034546908056</v>
      </c>
      <c r="F1525" s="4">
        <v>26.431103084391669</v>
      </c>
      <c r="G1525" s="4">
        <v>18.399999999999999</v>
      </c>
      <c r="H1525" s="5">
        <v>54.015287303672217</v>
      </c>
      <c r="I1525" s="5">
        <v>53.495315915566657</v>
      </c>
      <c r="J1525" s="5">
        <v>52.178838021422223</v>
      </c>
      <c r="K1525" s="5">
        <v>79</v>
      </c>
    </row>
    <row r="1526" spans="1:11" x14ac:dyDescent="0.25">
      <c r="A1526" s="2">
        <v>46160.958333333343</v>
      </c>
      <c r="B1526" t="str">
        <f t="shared" si="46"/>
        <v>2026-05</v>
      </c>
      <c r="C1526" s="3">
        <f t="shared" si="47"/>
        <v>23</v>
      </c>
      <c r="D1526" s="4">
        <v>24.537527352447221</v>
      </c>
      <c r="E1526" s="4">
        <v>26.160880157722222</v>
      </c>
      <c r="F1526" s="4">
        <v>26.146219318791669</v>
      </c>
      <c r="G1526" s="4">
        <v>18</v>
      </c>
      <c r="H1526" s="5">
        <v>55.646677672780562</v>
      </c>
      <c r="I1526" s="5">
        <v>53.81824812221388</v>
      </c>
      <c r="J1526" s="5">
        <v>61.493515057774999</v>
      </c>
      <c r="K1526" s="5">
        <v>80</v>
      </c>
    </row>
    <row r="1527" spans="1:11" x14ac:dyDescent="0.25">
      <c r="A1527" s="2">
        <v>46161</v>
      </c>
      <c r="B1527" t="str">
        <f t="shared" si="46"/>
        <v>2026-05</v>
      </c>
      <c r="C1527" s="3">
        <f t="shared" si="47"/>
        <v>0</v>
      </c>
      <c r="D1527" s="4">
        <v>24.523113452063889</v>
      </c>
      <c r="E1527" s="4">
        <v>26.234554645997221</v>
      </c>
      <c r="F1527" s="4">
        <v>26.121957771341659</v>
      </c>
      <c r="G1527" s="4">
        <v>17.2</v>
      </c>
      <c r="H1527" s="5">
        <v>55.619376255055563</v>
      </c>
      <c r="I1527" s="5">
        <v>53.605722532958339</v>
      </c>
      <c r="J1527" s="5">
        <v>60.640389936786107</v>
      </c>
      <c r="K1527" s="5">
        <v>84</v>
      </c>
    </row>
    <row r="1528" spans="1:11" x14ac:dyDescent="0.25">
      <c r="A1528" s="2">
        <v>46161.041666666657</v>
      </c>
      <c r="B1528" t="str">
        <f t="shared" si="46"/>
        <v>2026-05</v>
      </c>
      <c r="C1528" s="3">
        <f t="shared" si="47"/>
        <v>1</v>
      </c>
      <c r="D1528" s="4">
        <v>24.411085729625</v>
      </c>
      <c r="E1528" s="4">
        <v>26.038689066455561</v>
      </c>
      <c r="F1528" s="4">
        <v>26.290482767238888</v>
      </c>
      <c r="G1528" s="4">
        <v>16.5</v>
      </c>
      <c r="H1528" s="5">
        <v>54.292262835336111</v>
      </c>
      <c r="I1528" s="5">
        <v>52.623268405019452</v>
      </c>
      <c r="J1528" s="5">
        <v>56.84781118803334</v>
      </c>
      <c r="K1528" s="5">
        <v>87</v>
      </c>
    </row>
    <row r="1529" spans="1:11" x14ac:dyDescent="0.25">
      <c r="A1529" s="2">
        <v>46161.083333333343</v>
      </c>
      <c r="B1529" t="str">
        <f t="shared" si="46"/>
        <v>2026-05</v>
      </c>
      <c r="C1529" s="3">
        <f t="shared" si="47"/>
        <v>2</v>
      </c>
      <c r="D1529" s="4">
        <v>24.453451044430551</v>
      </c>
      <c r="E1529" s="4">
        <v>26.013394986358328</v>
      </c>
      <c r="F1529" s="4">
        <v>25.99833085383333</v>
      </c>
      <c r="G1529" s="4">
        <v>16</v>
      </c>
      <c r="H1529" s="5">
        <v>51.788763036913878</v>
      </c>
      <c r="I1529" s="5">
        <v>50.58388797330278</v>
      </c>
      <c r="J1529" s="5">
        <v>60.13262422239444</v>
      </c>
      <c r="K1529" s="5">
        <v>88</v>
      </c>
    </row>
    <row r="1530" spans="1:11" x14ac:dyDescent="0.25">
      <c r="A1530" s="2">
        <v>46161.125</v>
      </c>
      <c r="B1530" t="str">
        <f t="shared" si="46"/>
        <v>2026-05</v>
      </c>
      <c r="C1530" s="3">
        <f t="shared" si="47"/>
        <v>3</v>
      </c>
      <c r="D1530" s="4">
        <v>24.454324461258331</v>
      </c>
      <c r="E1530" s="4">
        <v>25.965718410069449</v>
      </c>
      <c r="F1530" s="4">
        <v>25.836187767330561</v>
      </c>
      <c r="G1530" s="4">
        <v>16.600000000000001</v>
      </c>
      <c r="H1530" s="5">
        <v>49.716100823411097</v>
      </c>
      <c r="I1530" s="5">
        <v>48.626726434205551</v>
      </c>
      <c r="J1530" s="5">
        <v>58.920185003005571</v>
      </c>
      <c r="K1530" s="5">
        <v>84</v>
      </c>
    </row>
    <row r="1531" spans="1:11" x14ac:dyDescent="0.25">
      <c r="A1531" s="2">
        <v>46161.166666666657</v>
      </c>
      <c r="B1531" t="str">
        <f t="shared" si="46"/>
        <v>2026-05</v>
      </c>
      <c r="C1531" s="3">
        <f t="shared" si="47"/>
        <v>4</v>
      </c>
      <c r="D1531" s="4">
        <v>24.20683599454167</v>
      </c>
      <c r="E1531" s="4">
        <v>25.59222710346944</v>
      </c>
      <c r="F1531" s="4">
        <v>25.966570505841659</v>
      </c>
      <c r="G1531" s="4">
        <v>16.3</v>
      </c>
      <c r="H1531" s="5">
        <v>48.505432460100003</v>
      </c>
      <c r="I1531" s="5">
        <v>47.945618558861113</v>
      </c>
      <c r="J1531" s="5">
        <v>56.424678190836111</v>
      </c>
      <c r="K1531" s="5">
        <v>79</v>
      </c>
    </row>
    <row r="1532" spans="1:11" x14ac:dyDescent="0.25">
      <c r="A1532" s="2">
        <v>46161.208333333343</v>
      </c>
      <c r="B1532" t="str">
        <f t="shared" si="46"/>
        <v>2026-05</v>
      </c>
      <c r="C1532" s="3">
        <f t="shared" si="47"/>
        <v>5</v>
      </c>
      <c r="D1532" s="4">
        <v>24.506922947288889</v>
      </c>
      <c r="E1532" s="4">
        <v>25.02752240248056</v>
      </c>
      <c r="F1532" s="4">
        <v>26.112149367352771</v>
      </c>
      <c r="G1532" s="4">
        <v>16.2</v>
      </c>
      <c r="H1532" s="5">
        <v>42.554362758194443</v>
      </c>
      <c r="I1532" s="5">
        <v>42.996107523047222</v>
      </c>
      <c r="J1532" s="5">
        <v>54.097798857925</v>
      </c>
      <c r="K1532" s="5">
        <v>76</v>
      </c>
    </row>
    <row r="1533" spans="1:11" x14ac:dyDescent="0.25">
      <c r="A1533" s="2">
        <v>46161.25</v>
      </c>
      <c r="B1533" t="str">
        <f t="shared" si="46"/>
        <v>2026-05</v>
      </c>
      <c r="C1533" s="3">
        <f t="shared" si="47"/>
        <v>6</v>
      </c>
      <c r="D1533" s="4">
        <v>25.184792540286111</v>
      </c>
      <c r="E1533" s="4">
        <v>25.033726729913891</v>
      </c>
      <c r="F1533" s="4">
        <v>26.129865380547219</v>
      </c>
      <c r="G1533" s="4">
        <v>17.100000000000001</v>
      </c>
      <c r="H1533" s="5">
        <v>37.992849225511122</v>
      </c>
      <c r="I1533" s="5">
        <v>38.984637793855562</v>
      </c>
      <c r="J1533" s="5">
        <v>52.827598083449999</v>
      </c>
      <c r="K1533" s="5">
        <v>71</v>
      </c>
    </row>
    <row r="1534" spans="1:11" x14ac:dyDescent="0.25">
      <c r="A1534" s="2">
        <v>46161.291666666657</v>
      </c>
      <c r="B1534" t="str">
        <f t="shared" si="46"/>
        <v>2026-05</v>
      </c>
      <c r="C1534" s="3">
        <f t="shared" si="47"/>
        <v>7</v>
      </c>
      <c r="D1534" s="4">
        <v>25.770219770127781</v>
      </c>
      <c r="E1534" s="4">
        <v>25.442150876533329</v>
      </c>
      <c r="F1534" s="4">
        <v>26.14065401506944</v>
      </c>
      <c r="G1534" s="4">
        <v>18.899999999999999</v>
      </c>
      <c r="H1534" s="5">
        <v>36.371566637505559</v>
      </c>
      <c r="I1534" s="5">
        <v>36.947151013711121</v>
      </c>
      <c r="J1534" s="5">
        <v>51.669836776855547</v>
      </c>
      <c r="K1534" s="5">
        <v>63</v>
      </c>
    </row>
    <row r="1535" spans="1:11" x14ac:dyDescent="0.25">
      <c r="A1535" s="2">
        <v>46161.333333333343</v>
      </c>
      <c r="B1535" t="str">
        <f t="shared" si="46"/>
        <v>2026-05</v>
      </c>
      <c r="C1535" s="3">
        <f t="shared" si="47"/>
        <v>8</v>
      </c>
      <c r="D1535" s="4">
        <v>26.222681839736111</v>
      </c>
      <c r="E1535" s="4">
        <v>25.941556008319441</v>
      </c>
      <c r="F1535" s="4">
        <v>26.173090311313889</v>
      </c>
      <c r="G1535" s="4">
        <v>21.2</v>
      </c>
      <c r="H1535" s="5">
        <v>35.552831839713889</v>
      </c>
      <c r="I1535" s="5">
        <v>35.861688369441673</v>
      </c>
      <c r="J1535" s="5">
        <v>50.839000453336112</v>
      </c>
      <c r="K1535" s="5">
        <v>54</v>
      </c>
    </row>
    <row r="1536" spans="1:11" x14ac:dyDescent="0.25">
      <c r="A1536" s="2">
        <v>46161.375</v>
      </c>
      <c r="B1536" t="str">
        <f t="shared" si="46"/>
        <v>2026-05</v>
      </c>
      <c r="C1536" s="3">
        <f t="shared" si="47"/>
        <v>9</v>
      </c>
      <c r="D1536" s="4">
        <v>26.603110976300002</v>
      </c>
      <c r="E1536" s="4">
        <v>26.468504915324999</v>
      </c>
      <c r="F1536" s="4">
        <v>26.225175527580561</v>
      </c>
      <c r="G1536" s="4">
        <v>24.6</v>
      </c>
      <c r="H1536" s="5">
        <v>35.983957143588889</v>
      </c>
      <c r="I1536" s="5">
        <v>36.483235818116661</v>
      </c>
      <c r="J1536" s="5">
        <v>50.409442770116669</v>
      </c>
      <c r="K1536" s="5">
        <v>42</v>
      </c>
    </row>
    <row r="1537" spans="1:11" x14ac:dyDescent="0.25">
      <c r="A1537" s="2">
        <v>46161.416666666657</v>
      </c>
      <c r="B1537" t="str">
        <f t="shared" si="46"/>
        <v>2026-05</v>
      </c>
      <c r="C1537" s="3">
        <f t="shared" si="47"/>
        <v>10</v>
      </c>
      <c r="D1537" s="4">
        <v>26.83692704855833</v>
      </c>
      <c r="E1537" s="4">
        <v>26.837107363297221</v>
      </c>
      <c r="F1537" s="4">
        <v>26.282280825011121</v>
      </c>
      <c r="G1537" s="4">
        <v>26.4</v>
      </c>
      <c r="H1537" s="5">
        <v>35.601437286161108</v>
      </c>
      <c r="I1537" s="5">
        <v>36.651830305663893</v>
      </c>
      <c r="J1537" s="5">
        <v>50.051831832430558</v>
      </c>
      <c r="K1537" s="5">
        <v>37</v>
      </c>
    </row>
    <row r="1538" spans="1:11" x14ac:dyDescent="0.25">
      <c r="A1538" s="2">
        <v>46161.458333333343</v>
      </c>
      <c r="B1538" t="str">
        <f t="shared" ref="B1538:B1601" si="48">TEXT(A1538,"yyyy-mm")</f>
        <v>2026-05</v>
      </c>
      <c r="C1538" s="3">
        <f t="shared" ref="C1538:C1601" si="49">HOUR(A1538)</f>
        <v>11</v>
      </c>
      <c r="D1538" s="4">
        <v>27.06728935790278</v>
      </c>
      <c r="E1538" s="4">
        <v>27.267809883986111</v>
      </c>
      <c r="F1538" s="4">
        <v>26.338062286544439</v>
      </c>
      <c r="G1538" s="4">
        <v>27.9</v>
      </c>
      <c r="H1538" s="5">
        <v>33.874593934227782</v>
      </c>
      <c r="I1538" s="5">
        <v>35.037094229758331</v>
      </c>
      <c r="J1538" s="5">
        <v>49.69274874079445</v>
      </c>
      <c r="K1538" s="5">
        <v>34</v>
      </c>
    </row>
    <row r="1539" spans="1:11" x14ac:dyDescent="0.25">
      <c r="A1539" s="2">
        <v>46161.5</v>
      </c>
      <c r="B1539" t="str">
        <f t="shared" si="48"/>
        <v>2026-05</v>
      </c>
      <c r="C1539" s="3">
        <f t="shared" si="49"/>
        <v>12</v>
      </c>
      <c r="D1539" s="4">
        <v>27.213603767683331</v>
      </c>
      <c r="E1539" s="4">
        <v>27.23676714594167</v>
      </c>
      <c r="F1539" s="4">
        <v>26.381205710072219</v>
      </c>
      <c r="G1539" s="4">
        <v>29</v>
      </c>
      <c r="H1539" s="5">
        <v>30.47465466217222</v>
      </c>
      <c r="I1539" s="5">
        <v>32.928930201186112</v>
      </c>
      <c r="J1539" s="5">
        <v>48.507734851055552</v>
      </c>
      <c r="K1539" s="5">
        <v>32</v>
      </c>
    </row>
    <row r="1540" spans="1:11" x14ac:dyDescent="0.25">
      <c r="A1540" s="2">
        <v>46161.541666666657</v>
      </c>
      <c r="B1540" t="str">
        <f t="shared" si="48"/>
        <v>2026-05</v>
      </c>
      <c r="C1540" s="3">
        <f t="shared" si="49"/>
        <v>13</v>
      </c>
      <c r="D1540" s="4">
        <v>27.242027292852779</v>
      </c>
      <c r="E1540" s="4">
        <v>27.255958614063889</v>
      </c>
      <c r="F1540" s="4">
        <v>26.407850120986112</v>
      </c>
      <c r="G1540" s="4">
        <v>28.9</v>
      </c>
      <c r="H1540" s="5">
        <v>29.459453152441661</v>
      </c>
      <c r="I1540" s="5">
        <v>31.771311705905561</v>
      </c>
      <c r="J1540" s="5">
        <v>47.661022961091668</v>
      </c>
      <c r="K1540" s="5">
        <v>32</v>
      </c>
    </row>
    <row r="1541" spans="1:11" x14ac:dyDescent="0.25">
      <c r="A1541" s="2">
        <v>46161.583333333343</v>
      </c>
      <c r="B1541" t="str">
        <f t="shared" si="48"/>
        <v>2026-05</v>
      </c>
      <c r="C1541" s="3">
        <f t="shared" si="49"/>
        <v>14</v>
      </c>
      <c r="D1541" s="4">
        <v>27.325273112400001</v>
      </c>
      <c r="E1541" s="4">
        <v>27.458401749708329</v>
      </c>
      <c r="F1541" s="4">
        <v>26.486288102369439</v>
      </c>
      <c r="G1541" s="4">
        <v>26.8</v>
      </c>
      <c r="H1541" s="5">
        <v>29.794923186666669</v>
      </c>
      <c r="I1541" s="5">
        <v>31.450344017466669</v>
      </c>
      <c r="J1541" s="5">
        <v>47.263774508619441</v>
      </c>
      <c r="K1541" s="5">
        <v>39</v>
      </c>
    </row>
    <row r="1542" spans="1:11" x14ac:dyDescent="0.25">
      <c r="A1542" s="2">
        <v>46161.625</v>
      </c>
      <c r="B1542" t="str">
        <f t="shared" si="48"/>
        <v>2026-05</v>
      </c>
      <c r="C1542" s="3">
        <f t="shared" si="49"/>
        <v>15</v>
      </c>
      <c r="D1542" s="4">
        <v>27.005267057238889</v>
      </c>
      <c r="E1542" s="4">
        <v>27.423146727358329</v>
      </c>
      <c r="F1542" s="4">
        <v>26.61441573957778</v>
      </c>
      <c r="G1542" s="4">
        <v>29.5</v>
      </c>
      <c r="H1542" s="5">
        <v>29.71040080068612</v>
      </c>
      <c r="I1542" s="5">
        <v>31.141180472969442</v>
      </c>
      <c r="J1542" s="5">
        <v>46.382096621677782</v>
      </c>
      <c r="K1542" s="5">
        <v>21</v>
      </c>
    </row>
    <row r="1543" spans="1:11" x14ac:dyDescent="0.25">
      <c r="A1543" s="2">
        <v>46161.666666666657</v>
      </c>
      <c r="B1543" t="str">
        <f t="shared" si="48"/>
        <v>2026-05</v>
      </c>
      <c r="C1543" s="3">
        <f t="shared" si="49"/>
        <v>16</v>
      </c>
      <c r="D1543" s="4">
        <v>24.746077204066669</v>
      </c>
      <c r="E1543" s="4">
        <v>27.042740355063891</v>
      </c>
      <c r="F1543" s="4">
        <v>26.688613322975002</v>
      </c>
      <c r="G1543" s="4">
        <v>28.4</v>
      </c>
      <c r="H1543" s="5">
        <v>31.443956408930561</v>
      </c>
      <c r="I1543" s="5">
        <v>31.257388339661109</v>
      </c>
      <c r="J1543" s="5">
        <v>45.84272725786667</v>
      </c>
      <c r="K1543" s="5">
        <v>25</v>
      </c>
    </row>
    <row r="1544" spans="1:11" x14ac:dyDescent="0.25">
      <c r="A1544" s="2">
        <v>46161.708333333343</v>
      </c>
      <c r="B1544" t="str">
        <f t="shared" si="48"/>
        <v>2026-05</v>
      </c>
      <c r="C1544" s="3">
        <f t="shared" si="49"/>
        <v>17</v>
      </c>
      <c r="D1544" s="4">
        <v>25.394218049233331</v>
      </c>
      <c r="E1544" s="4">
        <v>26.88546548567777</v>
      </c>
      <c r="F1544" s="4">
        <v>26.66820259176945</v>
      </c>
      <c r="G1544" s="4">
        <v>26.2</v>
      </c>
      <c r="H1544" s="5">
        <v>35.660783957136111</v>
      </c>
      <c r="I1544" s="5">
        <v>33.212201437777779</v>
      </c>
      <c r="J1544" s="5">
        <v>45.884861157522217</v>
      </c>
      <c r="K1544" s="5">
        <v>33</v>
      </c>
    </row>
    <row r="1545" spans="1:11" x14ac:dyDescent="0.25">
      <c r="A1545" s="2">
        <v>46161.75</v>
      </c>
      <c r="B1545" t="str">
        <f t="shared" si="48"/>
        <v>2026-05</v>
      </c>
      <c r="C1545" s="3">
        <f t="shared" si="49"/>
        <v>18</v>
      </c>
      <c r="D1545" s="4">
        <v>25.810723442625001</v>
      </c>
      <c r="E1545" s="4">
        <v>27.008964862627771</v>
      </c>
      <c r="F1545" s="4">
        <v>26.640002517691659</v>
      </c>
      <c r="G1545" s="4">
        <v>25.8</v>
      </c>
      <c r="H1545" s="5">
        <v>35.003809154308342</v>
      </c>
      <c r="I1545" s="5">
        <v>31.789090411722221</v>
      </c>
      <c r="J1545" s="5">
        <v>45.875772931100002</v>
      </c>
      <c r="K1545" s="5">
        <v>37</v>
      </c>
    </row>
    <row r="1546" spans="1:11" x14ac:dyDescent="0.25">
      <c r="A1546" s="2">
        <v>46161.791666666657</v>
      </c>
      <c r="B1546" t="str">
        <f t="shared" si="48"/>
        <v>2026-05</v>
      </c>
      <c r="C1546" s="3">
        <f t="shared" si="49"/>
        <v>19</v>
      </c>
      <c r="D1546" s="4">
        <v>25.05933119451112</v>
      </c>
      <c r="E1546" s="4">
        <v>26.70976094618889</v>
      </c>
      <c r="F1546" s="4">
        <v>26.626921022388888</v>
      </c>
      <c r="G1546" s="4">
        <v>25.2</v>
      </c>
      <c r="H1546" s="5">
        <v>35.756679112077776</v>
      </c>
      <c r="I1546" s="5">
        <v>33.781553221261113</v>
      </c>
      <c r="J1546" s="5">
        <v>45.99501994784444</v>
      </c>
      <c r="K1546" s="5">
        <v>39</v>
      </c>
    </row>
    <row r="1547" spans="1:11" x14ac:dyDescent="0.25">
      <c r="A1547" s="2">
        <v>46161.833333333343</v>
      </c>
      <c r="B1547" t="str">
        <f t="shared" si="48"/>
        <v>2026-05</v>
      </c>
      <c r="C1547" s="3">
        <f t="shared" si="49"/>
        <v>20</v>
      </c>
      <c r="D1547" s="4">
        <v>26.47078333709722</v>
      </c>
      <c r="E1547" s="4">
        <v>27.026995719455559</v>
      </c>
      <c r="F1547" s="4">
        <v>26.648914567930561</v>
      </c>
      <c r="G1547" s="4">
        <v>23.9</v>
      </c>
      <c r="H1547" s="5">
        <v>36.450869454933333</v>
      </c>
      <c r="I1547" s="5">
        <v>37.729827910069453</v>
      </c>
      <c r="J1547" s="5">
        <v>46.386011921452777</v>
      </c>
      <c r="K1547" s="5">
        <v>46</v>
      </c>
    </row>
    <row r="1548" spans="1:11" x14ac:dyDescent="0.25">
      <c r="A1548" s="2">
        <v>46161.875</v>
      </c>
      <c r="B1548" t="str">
        <f t="shared" si="48"/>
        <v>2026-05</v>
      </c>
      <c r="C1548" s="3">
        <f t="shared" si="49"/>
        <v>21</v>
      </c>
      <c r="D1548" s="4">
        <v>25.705706220825</v>
      </c>
      <c r="E1548" s="4">
        <v>26.494281206641659</v>
      </c>
      <c r="F1548" s="4">
        <v>26.647583468594441</v>
      </c>
      <c r="G1548" s="4">
        <v>23.5</v>
      </c>
      <c r="H1548" s="5">
        <v>39.181150193127777</v>
      </c>
      <c r="I1548" s="5">
        <v>38.132818347313894</v>
      </c>
      <c r="J1548" s="5">
        <v>46.988690266702783</v>
      </c>
      <c r="K1548" s="5">
        <v>45</v>
      </c>
    </row>
    <row r="1549" spans="1:11" x14ac:dyDescent="0.25">
      <c r="A1549" s="2">
        <v>46161.916666666657</v>
      </c>
      <c r="B1549" t="str">
        <f t="shared" si="48"/>
        <v>2026-05</v>
      </c>
      <c r="C1549" s="3">
        <f t="shared" si="49"/>
        <v>22</v>
      </c>
      <c r="D1549" s="4">
        <v>25.56157985836667</v>
      </c>
      <c r="E1549" s="4">
        <v>26.358488327955559</v>
      </c>
      <c r="F1549" s="4">
        <v>26.63761074816389</v>
      </c>
      <c r="G1549" s="4">
        <v>22.6</v>
      </c>
      <c r="H1549" s="5">
        <v>43.576547757261118</v>
      </c>
      <c r="I1549" s="5">
        <v>39.951356401552779</v>
      </c>
      <c r="J1549" s="5">
        <v>47.142793689683323</v>
      </c>
      <c r="K1549" s="5">
        <v>47</v>
      </c>
    </row>
    <row r="1550" spans="1:11" x14ac:dyDescent="0.25">
      <c r="A1550" s="2">
        <v>46161.958333333343</v>
      </c>
      <c r="B1550" t="str">
        <f t="shared" si="48"/>
        <v>2026-05</v>
      </c>
      <c r="C1550" s="3">
        <f t="shared" si="49"/>
        <v>23</v>
      </c>
      <c r="D1550" s="4">
        <v>25.641102003777771</v>
      </c>
      <c r="E1550" s="4">
        <v>26.422397653861111</v>
      </c>
      <c r="F1550" s="4">
        <v>26.646714458855559</v>
      </c>
      <c r="G1550" s="4">
        <v>21.8</v>
      </c>
      <c r="H1550" s="5">
        <v>40.192185418208332</v>
      </c>
      <c r="I1550" s="5">
        <v>39.170664666100002</v>
      </c>
      <c r="J1550" s="5">
        <v>47.425271536688889</v>
      </c>
      <c r="K1550" s="5">
        <v>51</v>
      </c>
    </row>
    <row r="1551" spans="1:11" x14ac:dyDescent="0.25">
      <c r="A1551" s="2">
        <v>46162</v>
      </c>
      <c r="B1551" t="str">
        <f t="shared" si="48"/>
        <v>2026-05</v>
      </c>
      <c r="C1551" s="3">
        <f t="shared" si="49"/>
        <v>0</v>
      </c>
      <c r="D1551" s="4">
        <v>26.473925944911109</v>
      </c>
      <c r="E1551" s="4">
        <v>26.662037567116659</v>
      </c>
      <c r="F1551" s="4">
        <v>26.660940534183339</v>
      </c>
      <c r="G1551" s="4">
        <v>21.1</v>
      </c>
      <c r="H1551" s="5">
        <v>37.542384933850002</v>
      </c>
      <c r="I1551" s="5">
        <v>39.903040750658327</v>
      </c>
      <c r="J1551" s="5">
        <v>47.550671732336113</v>
      </c>
      <c r="K1551" s="5">
        <v>53</v>
      </c>
    </row>
    <row r="1552" spans="1:11" x14ac:dyDescent="0.25">
      <c r="A1552" s="2">
        <v>46162.041666666657</v>
      </c>
      <c r="B1552" t="str">
        <f t="shared" si="48"/>
        <v>2026-05</v>
      </c>
      <c r="C1552" s="3">
        <f t="shared" si="49"/>
        <v>1</v>
      </c>
      <c r="D1552" s="4">
        <v>26.56092961572222</v>
      </c>
      <c r="E1552" s="4">
        <v>26.79370943713333</v>
      </c>
      <c r="F1552" s="4">
        <v>26.676278001850001</v>
      </c>
      <c r="G1552" s="4">
        <v>20.3</v>
      </c>
      <c r="H1552" s="5">
        <v>37.094941614494452</v>
      </c>
      <c r="I1552" s="5">
        <v>38.678688742544438</v>
      </c>
      <c r="J1552" s="5">
        <v>47.646610961649998</v>
      </c>
      <c r="K1552" s="5">
        <v>56</v>
      </c>
    </row>
    <row r="1553" spans="1:11" x14ac:dyDescent="0.25">
      <c r="A1553" s="2">
        <v>46162.083333333343</v>
      </c>
      <c r="B1553" t="str">
        <f t="shared" si="48"/>
        <v>2026-05</v>
      </c>
      <c r="C1553" s="3">
        <f t="shared" si="49"/>
        <v>2</v>
      </c>
      <c r="D1553" s="4">
        <v>25.86011526745834</v>
      </c>
      <c r="E1553" s="4">
        <v>25.99889560473056</v>
      </c>
      <c r="F1553" s="4">
        <v>26.660257910847221</v>
      </c>
      <c r="G1553" s="4">
        <v>19.899999999999999</v>
      </c>
      <c r="H1553" s="5">
        <v>37.609877922216661</v>
      </c>
      <c r="I1553" s="5">
        <v>38.689759811819442</v>
      </c>
      <c r="J1553" s="5">
        <v>47.619527917861113</v>
      </c>
      <c r="K1553" s="5">
        <v>58</v>
      </c>
    </row>
    <row r="1554" spans="1:11" x14ac:dyDescent="0.25">
      <c r="A1554" s="2">
        <v>46162.125</v>
      </c>
      <c r="B1554" t="str">
        <f t="shared" si="48"/>
        <v>2026-05</v>
      </c>
      <c r="C1554" s="3">
        <f t="shared" si="49"/>
        <v>3</v>
      </c>
      <c r="D1554" s="4">
        <v>25.436016871008331</v>
      </c>
      <c r="E1554" s="4">
        <v>25.588515581536111</v>
      </c>
      <c r="F1554" s="4">
        <v>26.639483583991659</v>
      </c>
      <c r="G1554" s="4">
        <v>19.8</v>
      </c>
      <c r="H1554" s="5">
        <v>38.416199788730559</v>
      </c>
      <c r="I1554" s="5">
        <v>39.078549337222221</v>
      </c>
      <c r="J1554" s="5">
        <v>47.608591507388887</v>
      </c>
      <c r="K1554" s="5">
        <v>60</v>
      </c>
    </row>
    <row r="1555" spans="1:11" x14ac:dyDescent="0.25">
      <c r="A1555" s="2">
        <v>46162.166666666657</v>
      </c>
      <c r="B1555" t="str">
        <f t="shared" si="48"/>
        <v>2026-05</v>
      </c>
      <c r="C1555" s="3">
        <f t="shared" si="49"/>
        <v>4</v>
      </c>
      <c r="D1555" s="4">
        <v>25.098669613508331</v>
      </c>
      <c r="E1555" s="4">
        <v>25.16091100165</v>
      </c>
      <c r="F1555" s="4">
        <v>26.612013737836111</v>
      </c>
      <c r="G1555" s="4">
        <v>18.899999999999999</v>
      </c>
      <c r="H1555" s="5">
        <v>38.92344920871944</v>
      </c>
      <c r="I1555" s="5">
        <v>39.692324873052783</v>
      </c>
      <c r="J1555" s="5">
        <v>47.559630584666671</v>
      </c>
      <c r="K1555" s="5">
        <v>61</v>
      </c>
    </row>
    <row r="1556" spans="1:11" x14ac:dyDescent="0.25">
      <c r="A1556" s="2">
        <v>46162.208333333343</v>
      </c>
      <c r="B1556" t="str">
        <f t="shared" si="48"/>
        <v>2026-05</v>
      </c>
      <c r="C1556" s="3">
        <f t="shared" si="49"/>
        <v>5</v>
      </c>
      <c r="D1556" s="4">
        <v>24.966092738155549</v>
      </c>
      <c r="E1556" s="4">
        <v>25.006480202883331</v>
      </c>
      <c r="F1556" s="4">
        <v>26.586532050916659</v>
      </c>
      <c r="G1556" s="4">
        <v>18.600000000000001</v>
      </c>
      <c r="H1556" s="5">
        <v>39.421317172886113</v>
      </c>
      <c r="I1556" s="5">
        <v>40.189303985452767</v>
      </c>
      <c r="J1556" s="5">
        <v>47.554246627458333</v>
      </c>
      <c r="K1556" s="5">
        <v>60</v>
      </c>
    </row>
    <row r="1557" spans="1:11" x14ac:dyDescent="0.25">
      <c r="A1557" s="2">
        <v>46162.25</v>
      </c>
      <c r="B1557" t="str">
        <f t="shared" si="48"/>
        <v>2026-05</v>
      </c>
      <c r="C1557" s="3">
        <f t="shared" si="49"/>
        <v>6</v>
      </c>
      <c r="D1557" s="4">
        <v>25.19812594381111</v>
      </c>
      <c r="E1557" s="4">
        <v>24.994728585019441</v>
      </c>
      <c r="F1557" s="4">
        <v>26.585828098391669</v>
      </c>
      <c r="G1557" s="4">
        <v>19</v>
      </c>
      <c r="H1557" s="5">
        <v>39.508631642627783</v>
      </c>
      <c r="I1557" s="5">
        <v>40.719812428619441</v>
      </c>
      <c r="J1557" s="5">
        <v>47.560639153627783</v>
      </c>
      <c r="K1557" s="5">
        <v>59</v>
      </c>
    </row>
    <row r="1558" spans="1:11" x14ac:dyDescent="0.25">
      <c r="A1558" s="2">
        <v>46162.291666666657</v>
      </c>
      <c r="B1558" t="str">
        <f t="shared" si="48"/>
        <v>2026-05</v>
      </c>
      <c r="C1558" s="3">
        <f t="shared" si="49"/>
        <v>7</v>
      </c>
      <c r="D1558" s="4">
        <v>25.693754939922218</v>
      </c>
      <c r="E1558" s="4">
        <v>25.344842468263892</v>
      </c>
      <c r="F1558" s="4">
        <v>26.59999379790278</v>
      </c>
      <c r="G1558" s="4">
        <v>20.6</v>
      </c>
      <c r="H1558" s="5">
        <v>39.738584370055563</v>
      </c>
      <c r="I1558" s="5">
        <v>41.064380589750002</v>
      </c>
      <c r="J1558" s="5">
        <v>47.55020566564167</v>
      </c>
      <c r="K1558" s="5">
        <v>53</v>
      </c>
    </row>
    <row r="1559" spans="1:11" x14ac:dyDescent="0.25">
      <c r="A1559" s="2">
        <v>46162.333333333343</v>
      </c>
      <c r="B1559" t="str">
        <f t="shared" si="48"/>
        <v>2026-05</v>
      </c>
      <c r="C1559" s="3">
        <f t="shared" si="49"/>
        <v>8</v>
      </c>
      <c r="D1559" s="4">
        <v>26.27625487695833</v>
      </c>
      <c r="E1559" s="4">
        <v>25.746916411041671</v>
      </c>
      <c r="F1559" s="4">
        <v>26.625294041988891</v>
      </c>
      <c r="G1559" s="4">
        <v>22.3</v>
      </c>
      <c r="H1559" s="5">
        <v>39.571755675788893</v>
      </c>
      <c r="I1559" s="5">
        <v>40.881643292958337</v>
      </c>
      <c r="J1559" s="5">
        <v>47.521552556538893</v>
      </c>
      <c r="K1559" s="5">
        <v>49</v>
      </c>
    </row>
    <row r="1560" spans="1:11" x14ac:dyDescent="0.25">
      <c r="A1560" s="2">
        <v>46162.375</v>
      </c>
      <c r="B1560" t="str">
        <f t="shared" si="48"/>
        <v>2026-05</v>
      </c>
      <c r="C1560" s="3">
        <f t="shared" si="49"/>
        <v>9</v>
      </c>
      <c r="D1560" s="4">
        <v>26.745490614805561</v>
      </c>
      <c r="E1560" s="4">
        <v>26.227526849197229</v>
      </c>
      <c r="F1560" s="4">
        <v>26.653767929733331</v>
      </c>
      <c r="G1560" s="4">
        <v>25</v>
      </c>
      <c r="H1560" s="5">
        <v>37.932832755747221</v>
      </c>
      <c r="I1560" s="5">
        <v>39.04622466461111</v>
      </c>
      <c r="J1560" s="5">
        <v>47.702960598797233</v>
      </c>
      <c r="K1560" s="5">
        <v>40</v>
      </c>
    </row>
    <row r="1561" spans="1:11" x14ac:dyDescent="0.25">
      <c r="A1561" s="2">
        <v>46162.416666666657</v>
      </c>
      <c r="B1561" t="str">
        <f t="shared" si="48"/>
        <v>2026-05</v>
      </c>
      <c r="C1561" s="3">
        <f t="shared" si="49"/>
        <v>10</v>
      </c>
      <c r="D1561" s="4">
        <v>27.078322156161111</v>
      </c>
      <c r="E1561" s="4">
        <v>26.734308646744442</v>
      </c>
      <c r="F1561" s="4">
        <v>26.69329101553889</v>
      </c>
      <c r="G1561" s="4">
        <v>26.2</v>
      </c>
      <c r="H1561" s="5">
        <v>36.315369472861107</v>
      </c>
      <c r="I1561" s="5">
        <v>37.708290109402782</v>
      </c>
      <c r="J1561" s="5">
        <v>47.827583698811111</v>
      </c>
      <c r="K1561" s="5">
        <v>37</v>
      </c>
    </row>
    <row r="1562" spans="1:11" x14ac:dyDescent="0.25">
      <c r="A1562" s="2">
        <v>46162.458333333343</v>
      </c>
      <c r="B1562" t="str">
        <f t="shared" si="48"/>
        <v>2026-05</v>
      </c>
      <c r="C1562" s="3">
        <f t="shared" si="49"/>
        <v>11</v>
      </c>
      <c r="D1562" s="4">
        <v>27.363554774016659</v>
      </c>
      <c r="E1562" s="4">
        <v>27.166682005697229</v>
      </c>
      <c r="F1562" s="4">
        <v>26.723238907205559</v>
      </c>
      <c r="G1562" s="4">
        <v>27.4</v>
      </c>
      <c r="H1562" s="5">
        <v>33.488118726544442</v>
      </c>
      <c r="I1562" s="5">
        <v>35.295659668119448</v>
      </c>
      <c r="J1562" s="5">
        <v>47.543428271227782</v>
      </c>
      <c r="K1562" s="5">
        <v>35</v>
      </c>
    </row>
    <row r="1563" spans="1:11" x14ac:dyDescent="0.25">
      <c r="A1563" s="2">
        <v>46162.5</v>
      </c>
      <c r="B1563" t="str">
        <f t="shared" si="48"/>
        <v>2026-05</v>
      </c>
      <c r="C1563" s="3">
        <f t="shared" si="49"/>
        <v>12</v>
      </c>
      <c r="D1563" s="4">
        <v>27.441971700511111</v>
      </c>
      <c r="E1563" s="4">
        <v>27.21028360133889</v>
      </c>
      <c r="F1563" s="4">
        <v>26.759157691925001</v>
      </c>
      <c r="G1563" s="4">
        <v>27.9</v>
      </c>
      <c r="H1563" s="5">
        <v>33.558480833141672</v>
      </c>
      <c r="I1563" s="5">
        <v>35.304604382019448</v>
      </c>
      <c r="J1563" s="5">
        <v>47.384437454077784</v>
      </c>
      <c r="K1563" s="5">
        <v>33</v>
      </c>
    </row>
    <row r="1564" spans="1:11" x14ac:dyDescent="0.25">
      <c r="A1564" s="2">
        <v>46162.541666666657</v>
      </c>
      <c r="B1564" t="str">
        <f t="shared" si="48"/>
        <v>2026-05</v>
      </c>
      <c r="C1564" s="3">
        <f t="shared" si="49"/>
        <v>13</v>
      </c>
      <c r="D1564" s="4">
        <v>27.417333699030561</v>
      </c>
      <c r="E1564" s="4">
        <v>27.244849815275</v>
      </c>
      <c r="F1564" s="4">
        <v>26.78318008602222</v>
      </c>
      <c r="G1564" s="4">
        <v>28.5</v>
      </c>
      <c r="H1564" s="5">
        <v>32.066964245355557</v>
      </c>
      <c r="I1564" s="5">
        <v>34.473840614350003</v>
      </c>
      <c r="J1564" s="5">
        <v>46.980665511950001</v>
      </c>
      <c r="K1564" s="5">
        <v>33</v>
      </c>
    </row>
    <row r="1565" spans="1:11" x14ac:dyDescent="0.25">
      <c r="A1565" s="2">
        <v>46162.583333333343</v>
      </c>
      <c r="B1565" t="str">
        <f t="shared" si="48"/>
        <v>2026-05</v>
      </c>
      <c r="C1565" s="3">
        <f t="shared" si="49"/>
        <v>14</v>
      </c>
      <c r="D1565" s="4">
        <v>27.433140590572229</v>
      </c>
      <c r="E1565" s="4">
        <v>27.29948121881111</v>
      </c>
      <c r="F1565" s="4">
        <v>26.803857519991659</v>
      </c>
      <c r="G1565" s="4">
        <v>28.8</v>
      </c>
      <c r="H1565" s="5">
        <v>32.252827396450002</v>
      </c>
      <c r="I1565" s="5">
        <v>34.547719736177783</v>
      </c>
      <c r="J1565" s="5">
        <v>46.752512709402772</v>
      </c>
      <c r="K1565" s="5">
        <v>32</v>
      </c>
    </row>
    <row r="1566" spans="1:11" x14ac:dyDescent="0.25">
      <c r="A1566" s="2">
        <v>46162.625</v>
      </c>
      <c r="B1566" t="str">
        <f t="shared" si="48"/>
        <v>2026-05</v>
      </c>
      <c r="C1566" s="3">
        <f t="shared" si="49"/>
        <v>15</v>
      </c>
      <c r="D1566" s="4">
        <v>27.442483172058331</v>
      </c>
      <c r="E1566" s="4">
        <v>27.282050976830561</v>
      </c>
      <c r="F1566" s="4">
        <v>26.825631855994441</v>
      </c>
      <c r="G1566" s="4">
        <v>27.3</v>
      </c>
      <c r="H1566" s="5">
        <v>31.815657256588889</v>
      </c>
      <c r="I1566" s="5">
        <v>34.231163755363887</v>
      </c>
      <c r="J1566" s="5">
        <v>46.577061230600002</v>
      </c>
      <c r="K1566" s="5">
        <v>32</v>
      </c>
    </row>
    <row r="1567" spans="1:11" x14ac:dyDescent="0.25">
      <c r="A1567" s="2">
        <v>46162.666666666657</v>
      </c>
      <c r="B1567" t="str">
        <f t="shared" si="48"/>
        <v>2026-05</v>
      </c>
      <c r="C1567" s="3">
        <f t="shared" si="49"/>
        <v>16</v>
      </c>
      <c r="D1567" s="4">
        <v>27.565427678305561</v>
      </c>
      <c r="E1567" s="4">
        <v>27.307714771094439</v>
      </c>
      <c r="F1567" s="4">
        <v>26.846680477113889</v>
      </c>
      <c r="G1567" s="4">
        <v>27.1</v>
      </c>
      <c r="H1567" s="5">
        <v>31.307841821025001</v>
      </c>
      <c r="I1567" s="5">
        <v>34.066792197086109</v>
      </c>
      <c r="J1567" s="5">
        <v>46.344370240072223</v>
      </c>
      <c r="K1567" s="5">
        <v>31</v>
      </c>
    </row>
    <row r="1568" spans="1:11" x14ac:dyDescent="0.25">
      <c r="A1568" s="2">
        <v>46162.708333333343</v>
      </c>
      <c r="B1568" t="str">
        <f t="shared" si="48"/>
        <v>2026-05</v>
      </c>
      <c r="C1568" s="3">
        <f t="shared" si="49"/>
        <v>17</v>
      </c>
      <c r="D1568" s="4">
        <v>27.627096654894441</v>
      </c>
      <c r="E1568" s="4">
        <v>27.869489343647221</v>
      </c>
      <c r="F1568" s="4">
        <v>26.880691412522221</v>
      </c>
      <c r="G1568" s="4">
        <v>26.6</v>
      </c>
      <c r="H1568" s="5">
        <v>30.97048281578612</v>
      </c>
      <c r="I1568" s="5">
        <v>34.163020884466668</v>
      </c>
      <c r="J1568" s="5">
        <v>46.397755146469443</v>
      </c>
      <c r="K1568" s="5">
        <v>33</v>
      </c>
    </row>
    <row r="1569" spans="1:11" x14ac:dyDescent="0.25">
      <c r="A1569" s="2">
        <v>46162.75</v>
      </c>
      <c r="B1569" t="str">
        <f t="shared" si="48"/>
        <v>2026-05</v>
      </c>
      <c r="C1569" s="3">
        <f t="shared" si="49"/>
        <v>18</v>
      </c>
      <c r="D1569" s="4">
        <v>27.253433842858328</v>
      </c>
      <c r="E1569" s="4">
        <v>27.56329770095833</v>
      </c>
      <c r="F1569" s="4">
        <v>26.905353830936111</v>
      </c>
      <c r="G1569" s="4">
        <v>26.7</v>
      </c>
      <c r="H1569" s="5">
        <v>32.845008577966667</v>
      </c>
      <c r="I1569" s="5">
        <v>34.056680633266673</v>
      </c>
      <c r="J1569" s="5">
        <v>46.252212039563886</v>
      </c>
      <c r="K1569" s="5">
        <v>36</v>
      </c>
    </row>
    <row r="1570" spans="1:11" x14ac:dyDescent="0.25">
      <c r="A1570" s="2">
        <v>46162.791666666657</v>
      </c>
      <c r="B1570" t="str">
        <f t="shared" si="48"/>
        <v>2026-05</v>
      </c>
      <c r="C1570" s="3">
        <f t="shared" si="49"/>
        <v>19</v>
      </c>
      <c r="D1570" s="4">
        <v>26.619547589433331</v>
      </c>
      <c r="E1570" s="4">
        <v>27.32986302428333</v>
      </c>
      <c r="F1570" s="4">
        <v>26.935310282844441</v>
      </c>
      <c r="G1570" s="4">
        <v>26.1</v>
      </c>
      <c r="H1570" s="5">
        <v>37.291696871777781</v>
      </c>
      <c r="I1570" s="5">
        <v>37.801847561455553</v>
      </c>
      <c r="J1570" s="5">
        <v>46.853672709480563</v>
      </c>
      <c r="K1570" s="5">
        <v>39</v>
      </c>
    </row>
    <row r="1571" spans="1:11" x14ac:dyDescent="0.25">
      <c r="A1571" s="2">
        <v>46162.833333333343</v>
      </c>
      <c r="B1571" t="str">
        <f t="shared" si="48"/>
        <v>2026-05</v>
      </c>
      <c r="C1571" s="3">
        <f t="shared" si="49"/>
        <v>20</v>
      </c>
      <c r="D1571" s="4">
        <v>26.784337306194441</v>
      </c>
      <c r="E1571" s="4">
        <v>27.359794122419441</v>
      </c>
      <c r="F1571" s="4">
        <v>26.966719122758331</v>
      </c>
      <c r="G1571" s="4">
        <v>25.1</v>
      </c>
      <c r="H1571" s="5">
        <v>37.489910038266657</v>
      </c>
      <c r="I1571" s="5">
        <v>37.724973372836111</v>
      </c>
      <c r="J1571" s="5">
        <v>47.337297565233342</v>
      </c>
      <c r="K1571" s="5">
        <v>45</v>
      </c>
    </row>
    <row r="1572" spans="1:11" x14ac:dyDescent="0.25">
      <c r="A1572" s="2">
        <v>46162.875</v>
      </c>
      <c r="B1572" t="str">
        <f t="shared" si="48"/>
        <v>2026-05</v>
      </c>
      <c r="C1572" s="3">
        <f t="shared" si="49"/>
        <v>21</v>
      </c>
      <c r="D1572" s="4">
        <v>26.25969487435556</v>
      </c>
      <c r="E1572" s="4">
        <v>27.536361775083328</v>
      </c>
      <c r="F1572" s="4">
        <v>26.985289727647221</v>
      </c>
      <c r="G1572" s="4">
        <v>24.4</v>
      </c>
      <c r="H1572" s="5">
        <v>38.061973550977783</v>
      </c>
      <c r="I1572" s="5">
        <v>38.267895775508329</v>
      </c>
      <c r="J1572" s="5">
        <v>47.662309836277778</v>
      </c>
      <c r="K1572" s="5">
        <v>47</v>
      </c>
    </row>
    <row r="1573" spans="1:11" x14ac:dyDescent="0.25">
      <c r="A1573" s="2">
        <v>46162.916666666657</v>
      </c>
      <c r="B1573" t="str">
        <f t="shared" si="48"/>
        <v>2026-05</v>
      </c>
      <c r="C1573" s="3">
        <f t="shared" si="49"/>
        <v>22</v>
      </c>
      <c r="D1573" s="4">
        <v>26.70878290786111</v>
      </c>
      <c r="E1573" s="4">
        <v>27.873591668025</v>
      </c>
      <c r="F1573" s="4">
        <v>27.017934263324999</v>
      </c>
      <c r="G1573" s="4">
        <v>23.2</v>
      </c>
      <c r="H1573" s="5">
        <v>40.972668674763888</v>
      </c>
      <c r="I1573" s="5">
        <v>41.853231904916662</v>
      </c>
      <c r="J1573" s="5">
        <v>48.243700242766657</v>
      </c>
      <c r="K1573" s="5">
        <v>52</v>
      </c>
    </row>
    <row r="1574" spans="1:11" x14ac:dyDescent="0.25">
      <c r="A1574" s="2">
        <v>46162.958333333343</v>
      </c>
      <c r="B1574" t="str">
        <f t="shared" si="48"/>
        <v>2026-05</v>
      </c>
      <c r="C1574" s="3">
        <f t="shared" si="49"/>
        <v>23</v>
      </c>
      <c r="D1574" s="4">
        <v>26.50399334424722</v>
      </c>
      <c r="E1574" s="4">
        <v>27.583781078433329</v>
      </c>
      <c r="F1574" s="4">
        <v>27.048024411850001</v>
      </c>
      <c r="G1574" s="4">
        <v>22.1</v>
      </c>
      <c r="H1574" s="5">
        <v>39.659721912880563</v>
      </c>
      <c r="I1574" s="5">
        <v>39.153108656966673</v>
      </c>
      <c r="J1574" s="5">
        <v>48.529233760219448</v>
      </c>
      <c r="K1574" s="5">
        <v>56</v>
      </c>
    </row>
    <row r="1575" spans="1:11" x14ac:dyDescent="0.25">
      <c r="A1575" s="2">
        <v>46163</v>
      </c>
      <c r="B1575" t="str">
        <f t="shared" si="48"/>
        <v>2026-05</v>
      </c>
      <c r="C1575" s="3">
        <f t="shared" si="49"/>
        <v>0</v>
      </c>
      <c r="D1575" s="4">
        <v>26.853355514686111</v>
      </c>
      <c r="E1575" s="4">
        <v>27.602000443769441</v>
      </c>
      <c r="F1575" s="4">
        <v>27.043889230966659</v>
      </c>
      <c r="G1575" s="4">
        <v>21.5</v>
      </c>
      <c r="H1575" s="5">
        <v>37.215639573666671</v>
      </c>
      <c r="I1575" s="5">
        <v>37.594143904416669</v>
      </c>
      <c r="J1575" s="5">
        <v>48.233052283247218</v>
      </c>
      <c r="K1575" s="5">
        <v>57</v>
      </c>
    </row>
    <row r="1576" spans="1:11" x14ac:dyDescent="0.25">
      <c r="A1576" s="2">
        <v>46163.041666666657</v>
      </c>
      <c r="B1576" t="str">
        <f t="shared" si="48"/>
        <v>2026-05</v>
      </c>
      <c r="C1576" s="3">
        <f t="shared" si="49"/>
        <v>1</v>
      </c>
      <c r="D1576" s="4">
        <v>24.456614190511111</v>
      </c>
      <c r="E1576" s="4">
        <v>26.37124237742778</v>
      </c>
      <c r="F1576" s="4">
        <v>27.006443080299999</v>
      </c>
      <c r="G1576" s="4">
        <v>20.9</v>
      </c>
      <c r="H1576" s="5">
        <v>37.009385315680561</v>
      </c>
      <c r="I1576" s="5">
        <v>34.915030668375003</v>
      </c>
      <c r="J1576" s="5">
        <v>47.717400606388892</v>
      </c>
      <c r="K1576" s="5">
        <v>59</v>
      </c>
    </row>
    <row r="1577" spans="1:11" x14ac:dyDescent="0.25">
      <c r="A1577" s="2">
        <v>46163.083333333343</v>
      </c>
      <c r="B1577" t="str">
        <f t="shared" si="48"/>
        <v>2026-05</v>
      </c>
      <c r="C1577" s="3">
        <f t="shared" si="49"/>
        <v>2</v>
      </c>
      <c r="D1577" s="4">
        <v>25.584090100636111</v>
      </c>
      <c r="E1577" s="4">
        <v>26.096213505800009</v>
      </c>
      <c r="F1577" s="4">
        <v>26.960065812247219</v>
      </c>
      <c r="G1577" s="4">
        <v>20.2</v>
      </c>
      <c r="H1577" s="5">
        <v>37.811557552880558</v>
      </c>
      <c r="I1577" s="5">
        <v>37.278932867727782</v>
      </c>
      <c r="J1577" s="5">
        <v>47.397267607522217</v>
      </c>
      <c r="K1577" s="5">
        <v>62</v>
      </c>
    </row>
    <row r="1578" spans="1:11" x14ac:dyDescent="0.25">
      <c r="A1578" s="2">
        <v>46163.125</v>
      </c>
      <c r="B1578" t="str">
        <f t="shared" si="48"/>
        <v>2026-05</v>
      </c>
      <c r="C1578" s="3">
        <f t="shared" si="49"/>
        <v>3</v>
      </c>
      <c r="D1578" s="4">
        <v>25.69366108093611</v>
      </c>
      <c r="E1578" s="4">
        <v>25.699104715086111</v>
      </c>
      <c r="F1578" s="4">
        <v>26.929558529200001</v>
      </c>
      <c r="G1578" s="4">
        <v>19.3</v>
      </c>
      <c r="H1578" s="5">
        <v>36.328445007902779</v>
      </c>
      <c r="I1578" s="5">
        <v>37.03912485774444</v>
      </c>
      <c r="J1578" s="5">
        <v>47.22103835522222</v>
      </c>
      <c r="K1578" s="5">
        <v>64</v>
      </c>
    </row>
    <row r="1579" spans="1:11" x14ac:dyDescent="0.25">
      <c r="A1579" s="2">
        <v>46163.166666666657</v>
      </c>
      <c r="B1579" t="str">
        <f t="shared" si="48"/>
        <v>2026-05</v>
      </c>
      <c r="C1579" s="3">
        <f t="shared" si="49"/>
        <v>4</v>
      </c>
      <c r="D1579" s="4">
        <v>25.447517167175</v>
      </c>
      <c r="E1579" s="4">
        <v>25.503093451488891</v>
      </c>
      <c r="F1579" s="4">
        <v>26.927486426538891</v>
      </c>
      <c r="G1579" s="4">
        <v>18.600000000000001</v>
      </c>
      <c r="H1579" s="5">
        <v>36.95661094865833</v>
      </c>
      <c r="I1579" s="5">
        <v>37.498975671477773</v>
      </c>
      <c r="J1579" s="5">
        <v>47.139737292216672</v>
      </c>
      <c r="K1579" s="5">
        <v>66</v>
      </c>
    </row>
    <row r="1580" spans="1:11" x14ac:dyDescent="0.25">
      <c r="A1580" s="2">
        <v>46163.208333333343</v>
      </c>
      <c r="B1580" t="str">
        <f t="shared" si="48"/>
        <v>2026-05</v>
      </c>
      <c r="C1580" s="3">
        <f t="shared" si="49"/>
        <v>5</v>
      </c>
      <c r="D1580" s="4">
        <v>25.591198388663891</v>
      </c>
      <c r="E1580" s="4">
        <v>25.25502199612222</v>
      </c>
      <c r="F1580" s="4">
        <v>26.90700606253333</v>
      </c>
      <c r="G1580" s="4">
        <v>17.8</v>
      </c>
      <c r="H1580" s="5">
        <v>35.404496529444437</v>
      </c>
      <c r="I1580" s="5">
        <v>37.015515691927781</v>
      </c>
      <c r="J1580" s="5">
        <v>47.039237122311107</v>
      </c>
      <c r="K1580" s="5">
        <v>68</v>
      </c>
    </row>
    <row r="1581" spans="1:11" x14ac:dyDescent="0.25">
      <c r="A1581" s="2">
        <v>46163.25</v>
      </c>
      <c r="B1581" t="str">
        <f t="shared" si="48"/>
        <v>2026-05</v>
      </c>
      <c r="C1581" s="3">
        <f t="shared" si="49"/>
        <v>6</v>
      </c>
      <c r="D1581" s="4">
        <v>26.32543121833611</v>
      </c>
      <c r="E1581" s="4">
        <v>25.700121501550001</v>
      </c>
      <c r="F1581" s="4">
        <v>26.899440864174998</v>
      </c>
      <c r="G1581" s="4">
        <v>18</v>
      </c>
      <c r="H1581" s="5">
        <v>34.1104518418</v>
      </c>
      <c r="I1581" s="5">
        <v>36.440565475547217</v>
      </c>
      <c r="J1581" s="5">
        <v>46.857567132069441</v>
      </c>
      <c r="K1581" s="5">
        <v>62</v>
      </c>
    </row>
    <row r="1582" spans="1:11" x14ac:dyDescent="0.25">
      <c r="A1582" s="2">
        <v>46163.291666666657</v>
      </c>
      <c r="B1582" t="str">
        <f t="shared" si="48"/>
        <v>2026-05</v>
      </c>
      <c r="C1582" s="3">
        <f t="shared" si="49"/>
        <v>7</v>
      </c>
      <c r="D1582" s="4">
        <v>26.951056291622219</v>
      </c>
      <c r="E1582" s="4">
        <v>25.993638341191659</v>
      </c>
      <c r="F1582" s="4">
        <v>26.91268405192778</v>
      </c>
      <c r="G1582" s="4">
        <v>19.2</v>
      </c>
      <c r="H1582" s="5">
        <v>33.553147985444447</v>
      </c>
      <c r="I1582" s="5">
        <v>36.311412814169437</v>
      </c>
      <c r="J1582" s="5">
        <v>46.753152488830551</v>
      </c>
      <c r="K1582" s="5">
        <v>54</v>
      </c>
    </row>
    <row r="1583" spans="1:11" x14ac:dyDescent="0.25">
      <c r="A1583" s="2">
        <v>46163.333333333343</v>
      </c>
      <c r="B1583" t="str">
        <f t="shared" si="48"/>
        <v>2026-05</v>
      </c>
      <c r="C1583" s="3">
        <f t="shared" si="49"/>
        <v>8</v>
      </c>
      <c r="D1583" s="4">
        <v>27.122171667172221</v>
      </c>
      <c r="E1583" s="4">
        <v>26.40565735154167</v>
      </c>
      <c r="F1583" s="4">
        <v>26.940101990900001</v>
      </c>
      <c r="G1583" s="4">
        <v>21.6</v>
      </c>
      <c r="H1583" s="5">
        <v>35.174256203538903</v>
      </c>
      <c r="I1583" s="5">
        <v>37.049022548975003</v>
      </c>
      <c r="J1583" s="5">
        <v>46.764816066588892</v>
      </c>
      <c r="K1583" s="5">
        <v>47</v>
      </c>
    </row>
    <row r="1584" spans="1:11" x14ac:dyDescent="0.25">
      <c r="A1584" s="2">
        <v>46163.375</v>
      </c>
      <c r="B1584" t="str">
        <f t="shared" si="48"/>
        <v>2026-05</v>
      </c>
      <c r="C1584" s="3">
        <f t="shared" si="49"/>
        <v>9</v>
      </c>
      <c r="D1584" s="4">
        <v>27.567530391563889</v>
      </c>
      <c r="E1584" s="4">
        <v>27.084409991141669</v>
      </c>
      <c r="F1584" s="4">
        <v>26.973153773488889</v>
      </c>
      <c r="G1584" s="4">
        <v>25</v>
      </c>
      <c r="H1584" s="5">
        <v>35.891415695555551</v>
      </c>
      <c r="I1584" s="5">
        <v>37.281939721361113</v>
      </c>
      <c r="J1584" s="5">
        <v>46.830370673700003</v>
      </c>
      <c r="K1584" s="5">
        <v>39</v>
      </c>
    </row>
    <row r="1585" spans="1:11" x14ac:dyDescent="0.25">
      <c r="A1585" s="2">
        <v>46163.416666666657</v>
      </c>
      <c r="B1585" t="str">
        <f t="shared" si="48"/>
        <v>2026-05</v>
      </c>
      <c r="C1585" s="3">
        <f t="shared" si="49"/>
        <v>10</v>
      </c>
      <c r="D1585" s="4">
        <v>27.860752603419449</v>
      </c>
      <c r="E1585" s="4">
        <v>27.697651853777781</v>
      </c>
      <c r="F1585" s="4">
        <v>27.015545285616671</v>
      </c>
      <c r="G1585" s="4">
        <v>26.9</v>
      </c>
      <c r="H1585" s="5">
        <v>36.422162513986109</v>
      </c>
      <c r="I1585" s="5">
        <v>37.789012474927773</v>
      </c>
      <c r="J1585" s="5">
        <v>46.93673648528334</v>
      </c>
      <c r="K1585" s="5">
        <v>34</v>
      </c>
    </row>
    <row r="1586" spans="1:11" x14ac:dyDescent="0.25">
      <c r="A1586" s="2">
        <v>46163.458333333343</v>
      </c>
      <c r="B1586" t="str">
        <f t="shared" si="48"/>
        <v>2026-05</v>
      </c>
      <c r="C1586" s="3">
        <f t="shared" si="49"/>
        <v>11</v>
      </c>
      <c r="D1586" s="4">
        <v>27.99845070356945</v>
      </c>
      <c r="E1586" s="4">
        <v>28.22072111114722</v>
      </c>
      <c r="F1586" s="4">
        <v>27.064982478758331</v>
      </c>
      <c r="G1586" s="4">
        <v>28</v>
      </c>
      <c r="H1586" s="5">
        <v>38.832203846266673</v>
      </c>
      <c r="I1586" s="5">
        <v>39.686886285605553</v>
      </c>
      <c r="J1586" s="5">
        <v>46.826144331608333</v>
      </c>
      <c r="K1586" s="5">
        <v>30</v>
      </c>
    </row>
    <row r="1587" spans="1:11" x14ac:dyDescent="0.25">
      <c r="A1587" s="2">
        <v>46163.5</v>
      </c>
      <c r="B1587" t="str">
        <f t="shared" si="48"/>
        <v>2026-05</v>
      </c>
      <c r="C1587" s="3">
        <f t="shared" si="49"/>
        <v>12</v>
      </c>
      <c r="D1587" s="4">
        <v>28.015380881925001</v>
      </c>
      <c r="E1587" s="4">
        <v>28.421792882363889</v>
      </c>
      <c r="F1587" s="4">
        <v>27.10068455273333</v>
      </c>
      <c r="G1587" s="4">
        <v>29.3</v>
      </c>
      <c r="H1587" s="5">
        <v>41.283712659266662</v>
      </c>
      <c r="I1587" s="5">
        <v>40.740395557399999</v>
      </c>
      <c r="J1587" s="5">
        <v>46.77238334580278</v>
      </c>
      <c r="K1587" s="5">
        <v>25</v>
      </c>
    </row>
    <row r="1588" spans="1:11" x14ac:dyDescent="0.25">
      <c r="A1588" s="2">
        <v>46163.541666666657</v>
      </c>
      <c r="B1588" t="str">
        <f t="shared" si="48"/>
        <v>2026-05</v>
      </c>
      <c r="C1588" s="3">
        <f t="shared" si="49"/>
        <v>13</v>
      </c>
      <c r="D1588" s="4">
        <v>27.699377346519441</v>
      </c>
      <c r="E1588" s="4">
        <v>28.255527220713891</v>
      </c>
      <c r="F1588" s="4">
        <v>27.133936183877779</v>
      </c>
      <c r="G1588" s="4">
        <v>29.7</v>
      </c>
      <c r="H1588" s="5">
        <v>40.351704140802781</v>
      </c>
      <c r="I1588" s="5">
        <v>40.611855702369454</v>
      </c>
      <c r="J1588" s="5">
        <v>46.715820600477777</v>
      </c>
      <c r="K1588" s="5">
        <v>22</v>
      </c>
    </row>
    <row r="1589" spans="1:11" x14ac:dyDescent="0.25">
      <c r="A1589" s="2">
        <v>46163.583333333343</v>
      </c>
      <c r="B1589" t="str">
        <f t="shared" si="48"/>
        <v>2026-05</v>
      </c>
      <c r="C1589" s="3">
        <f t="shared" si="49"/>
        <v>14</v>
      </c>
      <c r="D1589" s="4">
        <v>26.08955741809444</v>
      </c>
      <c r="E1589" s="4">
        <v>27.678858697452771</v>
      </c>
      <c r="F1589" s="4">
        <v>27.133151763572229</v>
      </c>
      <c r="G1589" s="4">
        <v>29.7</v>
      </c>
      <c r="H1589" s="5">
        <v>34.323777320866668</v>
      </c>
      <c r="I1589" s="5">
        <v>33.546736249086123</v>
      </c>
      <c r="J1589" s="5">
        <v>46.582813842152767</v>
      </c>
      <c r="K1589" s="5">
        <v>20</v>
      </c>
    </row>
    <row r="1590" spans="1:11" x14ac:dyDescent="0.25">
      <c r="A1590" s="2">
        <v>46163.625</v>
      </c>
      <c r="B1590" t="str">
        <f t="shared" si="48"/>
        <v>2026-05</v>
      </c>
      <c r="C1590" s="3">
        <f t="shared" si="49"/>
        <v>15</v>
      </c>
      <c r="D1590" s="4">
        <v>26.400034821883331</v>
      </c>
      <c r="E1590" s="4">
        <v>27.703890204894449</v>
      </c>
      <c r="F1590" s="4">
        <v>27.120024635425001</v>
      </c>
      <c r="G1590" s="4">
        <v>30.7</v>
      </c>
      <c r="H1590" s="5">
        <v>35.608588617472222</v>
      </c>
      <c r="I1590" s="5">
        <v>35.006074517827777</v>
      </c>
      <c r="J1590" s="5">
        <v>46.380467874224998</v>
      </c>
      <c r="K1590" s="5">
        <v>16</v>
      </c>
    </row>
    <row r="1591" spans="1:11" x14ac:dyDescent="0.25">
      <c r="A1591" s="2">
        <v>46163.666666666657</v>
      </c>
      <c r="B1591" t="str">
        <f t="shared" si="48"/>
        <v>2026-05</v>
      </c>
      <c r="C1591" s="3">
        <f t="shared" si="49"/>
        <v>16</v>
      </c>
      <c r="D1591" s="4">
        <v>27.36176991361944</v>
      </c>
      <c r="E1591" s="4">
        <v>28.18853485644722</v>
      </c>
      <c r="F1591" s="4">
        <v>27.149598049175001</v>
      </c>
      <c r="G1591" s="4">
        <v>30.9</v>
      </c>
      <c r="H1591" s="5">
        <v>39.827960904219452</v>
      </c>
      <c r="I1591" s="5">
        <v>39.610303011344442</v>
      </c>
      <c r="J1591" s="5">
        <v>46.51872223670555</v>
      </c>
      <c r="K1591" s="5">
        <v>15</v>
      </c>
    </row>
    <row r="1592" spans="1:11" x14ac:dyDescent="0.25">
      <c r="A1592" s="2">
        <v>46163.708333333343</v>
      </c>
      <c r="B1592" t="str">
        <f t="shared" si="48"/>
        <v>2026-05</v>
      </c>
      <c r="C1592" s="3">
        <f t="shared" si="49"/>
        <v>17</v>
      </c>
      <c r="D1592" s="4">
        <v>26.343127975011111</v>
      </c>
      <c r="E1592" s="4">
        <v>27.867161758455559</v>
      </c>
      <c r="F1592" s="4">
        <v>27.168327771516669</v>
      </c>
      <c r="G1592" s="4">
        <v>30.7</v>
      </c>
      <c r="H1592" s="5">
        <v>38.191599282002777</v>
      </c>
      <c r="I1592" s="5">
        <v>37.132493364627777</v>
      </c>
      <c r="J1592" s="5">
        <v>46.280182258783327</v>
      </c>
      <c r="K1592" s="5">
        <v>15</v>
      </c>
    </row>
    <row r="1593" spans="1:11" x14ac:dyDescent="0.25">
      <c r="A1593" s="2">
        <v>46163.75</v>
      </c>
      <c r="B1593" t="str">
        <f t="shared" si="48"/>
        <v>2026-05</v>
      </c>
      <c r="C1593" s="3">
        <f t="shared" si="49"/>
        <v>18</v>
      </c>
      <c r="D1593" s="4">
        <v>25.110159962286112</v>
      </c>
      <c r="E1593" s="4">
        <v>27.337494834380561</v>
      </c>
      <c r="F1593" s="4">
        <v>27.141286681044441</v>
      </c>
      <c r="G1593" s="4">
        <v>30.2</v>
      </c>
      <c r="H1593" s="5">
        <v>34.457230979691673</v>
      </c>
      <c r="I1593" s="5">
        <v>32.273279078344437</v>
      </c>
      <c r="J1593" s="5">
        <v>45.979963323716667</v>
      </c>
      <c r="K1593" s="5">
        <v>16</v>
      </c>
    </row>
    <row r="1594" spans="1:11" x14ac:dyDescent="0.25">
      <c r="A1594" s="2">
        <v>46163.791666666657</v>
      </c>
      <c r="B1594" t="str">
        <f t="shared" si="48"/>
        <v>2026-05</v>
      </c>
      <c r="C1594" s="3">
        <f t="shared" si="49"/>
        <v>19</v>
      </c>
      <c r="D1594" s="4">
        <v>26.591318243052779</v>
      </c>
      <c r="E1594" s="4">
        <v>27.534917954633329</v>
      </c>
      <c r="F1594" s="4">
        <v>27.1496599705</v>
      </c>
      <c r="G1594" s="4">
        <v>29.1</v>
      </c>
      <c r="H1594" s="5">
        <v>37.065494845252779</v>
      </c>
      <c r="I1594" s="5">
        <v>36.093843421666669</v>
      </c>
      <c r="J1594" s="5">
        <v>46.008571001966658</v>
      </c>
      <c r="K1594" s="5">
        <v>20</v>
      </c>
    </row>
    <row r="1595" spans="1:11" x14ac:dyDescent="0.25">
      <c r="A1595" s="2">
        <v>46163.833333333343</v>
      </c>
      <c r="B1595" t="str">
        <f t="shared" si="48"/>
        <v>2026-05</v>
      </c>
      <c r="C1595" s="3">
        <f t="shared" si="49"/>
        <v>20</v>
      </c>
      <c r="D1595" s="4">
        <v>26.85480387118611</v>
      </c>
      <c r="E1595" s="4">
        <v>27.60524118478056</v>
      </c>
      <c r="F1595" s="4">
        <v>27.18110812371944</v>
      </c>
      <c r="G1595" s="4">
        <v>27.3</v>
      </c>
      <c r="H1595" s="5">
        <v>40.633708889730563</v>
      </c>
      <c r="I1595" s="5">
        <v>39.718534750977767</v>
      </c>
      <c r="J1595" s="5">
        <v>46.464929502274998</v>
      </c>
      <c r="K1595" s="5">
        <v>27</v>
      </c>
    </row>
    <row r="1596" spans="1:11" x14ac:dyDescent="0.25">
      <c r="A1596" s="2">
        <v>46163.875</v>
      </c>
      <c r="B1596" t="str">
        <f t="shared" si="48"/>
        <v>2026-05</v>
      </c>
      <c r="C1596" s="3">
        <f t="shared" si="49"/>
        <v>21</v>
      </c>
      <c r="D1596" s="4">
        <v>27.152780528344451</v>
      </c>
      <c r="E1596" s="4">
        <v>27.786839666774998</v>
      </c>
      <c r="F1596" s="4">
        <v>27.251247399008331</v>
      </c>
      <c r="G1596" s="4">
        <v>26.5</v>
      </c>
      <c r="H1596" s="5">
        <v>44.242188990619447</v>
      </c>
      <c r="I1596" s="5">
        <v>43.368594354899997</v>
      </c>
      <c r="J1596" s="5">
        <v>47.382521466094438</v>
      </c>
      <c r="K1596" s="5">
        <v>27</v>
      </c>
    </row>
    <row r="1597" spans="1:11" x14ac:dyDescent="0.25">
      <c r="A1597" s="2">
        <v>46163.916666666657</v>
      </c>
      <c r="B1597" t="str">
        <f t="shared" si="48"/>
        <v>2026-05</v>
      </c>
      <c r="C1597" s="3">
        <f t="shared" si="49"/>
        <v>22</v>
      </c>
      <c r="D1597" s="4">
        <v>27.672794783844449</v>
      </c>
      <c r="E1597" s="4">
        <v>27.952850426988888</v>
      </c>
      <c r="F1597" s="4">
        <v>27.266608376766669</v>
      </c>
      <c r="G1597" s="4">
        <v>25.3</v>
      </c>
      <c r="H1597" s="5">
        <v>43.564030033897218</v>
      </c>
      <c r="I1597" s="5">
        <v>43.043116972377781</v>
      </c>
      <c r="J1597" s="5">
        <v>46.636739363700002</v>
      </c>
      <c r="K1597" s="5">
        <v>26</v>
      </c>
    </row>
    <row r="1598" spans="1:11" x14ac:dyDescent="0.25">
      <c r="A1598" s="2">
        <v>46163.958333333343</v>
      </c>
      <c r="B1598" t="str">
        <f t="shared" si="48"/>
        <v>2026-05</v>
      </c>
      <c r="C1598" s="3">
        <f t="shared" si="49"/>
        <v>23</v>
      </c>
      <c r="D1598" s="4">
        <v>27.841706511013889</v>
      </c>
      <c r="E1598" s="4">
        <v>28.36440142745834</v>
      </c>
      <c r="F1598" s="4">
        <v>27.292742162444441</v>
      </c>
      <c r="G1598" s="4">
        <v>24.1</v>
      </c>
      <c r="H1598" s="5">
        <v>43.872037908555548</v>
      </c>
      <c r="I1598" s="5">
        <v>45.150020945319433</v>
      </c>
      <c r="J1598" s="5">
        <v>46.225239013847222</v>
      </c>
      <c r="K1598" s="5">
        <v>27</v>
      </c>
    </row>
    <row r="1599" spans="1:11" x14ac:dyDescent="0.25">
      <c r="A1599" s="2">
        <v>46164</v>
      </c>
      <c r="B1599" t="str">
        <f t="shared" si="48"/>
        <v>2026-05</v>
      </c>
      <c r="C1599" s="3">
        <f t="shared" si="49"/>
        <v>0</v>
      </c>
      <c r="D1599" s="4">
        <v>27.751919136855559</v>
      </c>
      <c r="E1599" s="4">
        <v>28.450850812388889</v>
      </c>
      <c r="F1599" s="4">
        <v>27.30229954276945</v>
      </c>
      <c r="G1599" s="4">
        <v>22.9</v>
      </c>
      <c r="H1599" s="5">
        <v>43.733955615605559</v>
      </c>
      <c r="I1599" s="5">
        <v>42.929168507597218</v>
      </c>
      <c r="J1599" s="5">
        <v>45.91979199118888</v>
      </c>
      <c r="K1599" s="5">
        <v>29</v>
      </c>
    </row>
    <row r="1600" spans="1:11" x14ac:dyDescent="0.25">
      <c r="A1600" s="2">
        <v>46164.041666666657</v>
      </c>
      <c r="B1600" t="str">
        <f t="shared" si="48"/>
        <v>2026-05</v>
      </c>
      <c r="C1600" s="3">
        <f t="shared" si="49"/>
        <v>1</v>
      </c>
      <c r="D1600" s="4">
        <v>26.802067266141659</v>
      </c>
      <c r="E1600" s="4">
        <v>28.028940634224998</v>
      </c>
      <c r="F1600" s="4">
        <v>27.38960821339445</v>
      </c>
      <c r="G1600" s="4">
        <v>22</v>
      </c>
      <c r="H1600" s="5">
        <v>41.048335988147223</v>
      </c>
      <c r="I1600" s="5">
        <v>40.726658739661111</v>
      </c>
      <c r="J1600" s="5">
        <v>48.61784288316111</v>
      </c>
      <c r="K1600" s="5">
        <v>31</v>
      </c>
    </row>
    <row r="1601" spans="1:11" x14ac:dyDescent="0.25">
      <c r="A1601" s="2">
        <v>46164.083333333343</v>
      </c>
      <c r="B1601" t="str">
        <f t="shared" si="48"/>
        <v>2026-05</v>
      </c>
      <c r="C1601" s="3">
        <f t="shared" si="49"/>
        <v>2</v>
      </c>
      <c r="D1601" s="4">
        <v>25.009521698758331</v>
      </c>
      <c r="E1601" s="4">
        <v>26.931585209569441</v>
      </c>
      <c r="F1601" s="4">
        <v>27.299848453955558</v>
      </c>
      <c r="G1601" s="4">
        <v>21.3</v>
      </c>
      <c r="H1601" s="5">
        <v>36.042583283986112</v>
      </c>
      <c r="I1601" s="5">
        <v>33.771443685949997</v>
      </c>
      <c r="J1601" s="5">
        <v>46.935134874944453</v>
      </c>
      <c r="K1601" s="5">
        <v>33</v>
      </c>
    </row>
    <row r="1602" spans="1:11" x14ac:dyDescent="0.25">
      <c r="A1602" s="2">
        <v>46164.125</v>
      </c>
      <c r="B1602" t="str">
        <f t="shared" ref="B1602:B1665" si="50">TEXT(A1602,"yyyy-mm")</f>
        <v>2026-05</v>
      </c>
      <c r="C1602" s="3">
        <f t="shared" ref="C1602:C1665" si="51">HOUR(A1602)</f>
        <v>3</v>
      </c>
      <c r="D1602" s="4">
        <v>26.353366874319441</v>
      </c>
      <c r="E1602" s="4">
        <v>27.351302546225</v>
      </c>
      <c r="F1602" s="4">
        <v>27.278141684308331</v>
      </c>
      <c r="G1602" s="4">
        <v>20.3</v>
      </c>
      <c r="H1602" s="5">
        <v>39.262943570086108</v>
      </c>
      <c r="I1602" s="5">
        <v>37.395625140536112</v>
      </c>
      <c r="J1602" s="5">
        <v>46.34136787181388</v>
      </c>
      <c r="K1602" s="5">
        <v>37</v>
      </c>
    </row>
    <row r="1603" spans="1:11" x14ac:dyDescent="0.25">
      <c r="A1603" s="2">
        <v>46164.166666666657</v>
      </c>
      <c r="B1603" t="str">
        <f t="shared" si="50"/>
        <v>2026-05</v>
      </c>
      <c r="C1603" s="3">
        <f t="shared" si="51"/>
        <v>4</v>
      </c>
      <c r="D1603" s="4">
        <v>26.71350353568333</v>
      </c>
      <c r="E1603" s="4">
        <v>27.230285201597219</v>
      </c>
      <c r="F1603" s="4">
        <v>27.275665926858331</v>
      </c>
      <c r="G1603" s="4">
        <v>19.3</v>
      </c>
      <c r="H1603" s="5">
        <v>40.830795907655563</v>
      </c>
      <c r="I1603" s="5">
        <v>39.83644697493056</v>
      </c>
      <c r="J1603" s="5">
        <v>45.950993799102783</v>
      </c>
      <c r="K1603" s="5">
        <v>40</v>
      </c>
    </row>
    <row r="1604" spans="1:11" x14ac:dyDescent="0.25">
      <c r="A1604" s="2">
        <v>46164.208333333343</v>
      </c>
      <c r="B1604" t="str">
        <f t="shared" si="50"/>
        <v>2026-05</v>
      </c>
      <c r="C1604" s="3">
        <f t="shared" si="51"/>
        <v>5</v>
      </c>
      <c r="D1604" s="4">
        <v>26.97566987893056</v>
      </c>
      <c r="E1604" s="4">
        <v>27.254050810027781</v>
      </c>
      <c r="F1604" s="4">
        <v>27.26497464554167</v>
      </c>
      <c r="G1604" s="4">
        <v>18.8</v>
      </c>
      <c r="H1604" s="5">
        <v>41.48704046616389</v>
      </c>
      <c r="I1604" s="5">
        <v>40.638488741661121</v>
      </c>
      <c r="J1604" s="5">
        <v>45.742546469041663</v>
      </c>
      <c r="K1604" s="5">
        <v>42</v>
      </c>
    </row>
    <row r="1605" spans="1:11" x14ac:dyDescent="0.25">
      <c r="A1605" s="2">
        <v>46164.25</v>
      </c>
      <c r="B1605" t="str">
        <f t="shared" si="50"/>
        <v>2026-05</v>
      </c>
      <c r="C1605" s="3">
        <f t="shared" si="51"/>
        <v>6</v>
      </c>
      <c r="D1605" s="4">
        <v>27.477735154525</v>
      </c>
      <c r="E1605" s="4">
        <v>27.564416358522219</v>
      </c>
      <c r="F1605" s="4">
        <v>27.27471626948056</v>
      </c>
      <c r="G1605" s="4">
        <v>19.5</v>
      </c>
      <c r="H1605" s="5">
        <v>40.430693786683328</v>
      </c>
      <c r="I1605" s="5">
        <v>41.305661346922228</v>
      </c>
      <c r="J1605" s="5">
        <v>45.551612096719452</v>
      </c>
      <c r="K1605" s="5">
        <v>42</v>
      </c>
    </row>
    <row r="1606" spans="1:11" x14ac:dyDescent="0.25">
      <c r="A1606" s="2">
        <v>46164.291666666657</v>
      </c>
      <c r="B1606" t="str">
        <f t="shared" si="50"/>
        <v>2026-05</v>
      </c>
      <c r="C1606" s="3">
        <f t="shared" si="51"/>
        <v>7</v>
      </c>
      <c r="D1606" s="4">
        <v>27.989383222402779</v>
      </c>
      <c r="E1606" s="4">
        <v>28.11117515340278</v>
      </c>
      <c r="F1606" s="4">
        <v>27.298072676588891</v>
      </c>
      <c r="G1606" s="4">
        <v>21</v>
      </c>
      <c r="H1606" s="5">
        <v>40.897202424222222</v>
      </c>
      <c r="I1606" s="5">
        <v>41.659492921130557</v>
      </c>
      <c r="J1606" s="5">
        <v>45.426363838083333</v>
      </c>
      <c r="K1606" s="5">
        <v>41</v>
      </c>
    </row>
    <row r="1607" spans="1:11" x14ac:dyDescent="0.25">
      <c r="A1607" s="2">
        <v>46164.333333333343</v>
      </c>
      <c r="B1607" t="str">
        <f t="shared" si="50"/>
        <v>2026-05</v>
      </c>
      <c r="C1607" s="3">
        <f t="shared" si="51"/>
        <v>8</v>
      </c>
      <c r="D1607" s="4">
        <v>28.435803550372221</v>
      </c>
      <c r="E1607" s="4">
        <v>28.593552161947219</v>
      </c>
      <c r="F1607" s="4">
        <v>27.34486859464722</v>
      </c>
      <c r="G1607" s="4">
        <v>23</v>
      </c>
      <c r="H1607" s="5">
        <v>41.33513370363611</v>
      </c>
      <c r="I1607" s="5">
        <v>42.255537075091667</v>
      </c>
      <c r="J1607" s="5">
        <v>45.563277344475011</v>
      </c>
      <c r="K1607" s="5">
        <v>40</v>
      </c>
    </row>
    <row r="1608" spans="1:11" x14ac:dyDescent="0.25">
      <c r="A1608" s="2">
        <v>46164.375</v>
      </c>
      <c r="B1608" t="str">
        <f t="shared" si="50"/>
        <v>2026-05</v>
      </c>
      <c r="C1608" s="3">
        <f t="shared" si="51"/>
        <v>9</v>
      </c>
      <c r="D1608" s="4">
        <v>28.78744685341389</v>
      </c>
      <c r="E1608" s="4">
        <v>28.851103218902779</v>
      </c>
      <c r="F1608" s="4">
        <v>27.404482943205551</v>
      </c>
      <c r="G1608" s="4">
        <v>26</v>
      </c>
      <c r="H1608" s="5">
        <v>41.730374025880558</v>
      </c>
      <c r="I1608" s="5">
        <v>43.084113899844453</v>
      </c>
      <c r="J1608" s="5">
        <v>45.980561642652781</v>
      </c>
      <c r="K1608" s="5">
        <v>37</v>
      </c>
    </row>
    <row r="1609" spans="1:11" x14ac:dyDescent="0.25">
      <c r="A1609" s="2">
        <v>46164.416666666657</v>
      </c>
      <c r="B1609" t="str">
        <f t="shared" si="50"/>
        <v>2026-05</v>
      </c>
      <c r="C1609" s="3">
        <f t="shared" si="51"/>
        <v>10</v>
      </c>
      <c r="D1609" s="4">
        <v>28.970826299402781</v>
      </c>
      <c r="E1609" s="4">
        <v>29.171040436475</v>
      </c>
      <c r="F1609" s="4">
        <v>27.473034870591661</v>
      </c>
      <c r="G1609" s="4">
        <v>27.9</v>
      </c>
      <c r="H1609" s="5">
        <v>42.662930700094442</v>
      </c>
      <c r="I1609" s="5">
        <v>43.911942404005551</v>
      </c>
      <c r="J1609" s="5">
        <v>46.750402437244453</v>
      </c>
      <c r="K1609" s="5">
        <v>35</v>
      </c>
    </row>
    <row r="1610" spans="1:11" x14ac:dyDescent="0.25">
      <c r="A1610" s="2">
        <v>46164.458333333343</v>
      </c>
      <c r="B1610" t="str">
        <f t="shared" si="50"/>
        <v>2026-05</v>
      </c>
      <c r="C1610" s="3">
        <f t="shared" si="51"/>
        <v>11</v>
      </c>
      <c r="D1610" s="4">
        <v>27.560920506388889</v>
      </c>
      <c r="E1610" s="4">
        <v>29.283936450991661</v>
      </c>
      <c r="F1610" s="4">
        <v>27.506726217330559</v>
      </c>
      <c r="G1610" s="4">
        <v>29.5</v>
      </c>
      <c r="H1610" s="5">
        <v>38.946024717291657</v>
      </c>
      <c r="I1610" s="5">
        <v>38.072188586508332</v>
      </c>
      <c r="J1610" s="5">
        <v>46.878558152533337</v>
      </c>
      <c r="K1610" s="5">
        <v>31</v>
      </c>
    </row>
    <row r="1611" spans="1:11" x14ac:dyDescent="0.25">
      <c r="A1611" s="2">
        <v>46164.5</v>
      </c>
      <c r="B1611" t="str">
        <f t="shared" si="50"/>
        <v>2026-05</v>
      </c>
      <c r="C1611" s="3">
        <f t="shared" si="51"/>
        <v>12</v>
      </c>
      <c r="D1611" s="4">
        <v>28.43999304201667</v>
      </c>
      <c r="E1611" s="4">
        <v>29.17201586703333</v>
      </c>
      <c r="F1611" s="4">
        <v>27.519989956461121</v>
      </c>
      <c r="G1611" s="4">
        <v>30.5</v>
      </c>
      <c r="H1611" s="5">
        <v>41.643714667347218</v>
      </c>
      <c r="I1611" s="5">
        <v>40.11295006598889</v>
      </c>
      <c r="J1611" s="5">
        <v>47.008836103022233</v>
      </c>
      <c r="K1611" s="5">
        <v>28</v>
      </c>
    </row>
    <row r="1612" spans="1:11" x14ac:dyDescent="0.25">
      <c r="A1612" s="2">
        <v>46164.541666666657</v>
      </c>
      <c r="B1612" t="str">
        <f t="shared" si="50"/>
        <v>2026-05</v>
      </c>
      <c r="C1612" s="3">
        <f t="shared" si="51"/>
        <v>13</v>
      </c>
      <c r="D1612" s="4">
        <v>27.84226931930278</v>
      </c>
      <c r="E1612" s="4">
        <v>28.878943685483328</v>
      </c>
      <c r="F1612" s="4">
        <v>27.558220216622221</v>
      </c>
      <c r="G1612" s="4">
        <v>31.2</v>
      </c>
      <c r="H1612" s="5">
        <v>40.545689619477777</v>
      </c>
      <c r="I1612" s="5">
        <v>39.667479643013891</v>
      </c>
      <c r="J1612" s="5">
        <v>47.163363153483338</v>
      </c>
      <c r="K1612" s="5">
        <v>23</v>
      </c>
    </row>
    <row r="1613" spans="1:11" x14ac:dyDescent="0.25">
      <c r="A1613" s="2">
        <v>46164.583333333343</v>
      </c>
      <c r="B1613" t="str">
        <f t="shared" si="50"/>
        <v>2026-05</v>
      </c>
      <c r="C1613" s="3">
        <f t="shared" si="51"/>
        <v>14</v>
      </c>
      <c r="D1613" s="4">
        <v>27.742079552177781</v>
      </c>
      <c r="E1613" s="4">
        <v>28.819045730911121</v>
      </c>
      <c r="F1613" s="4">
        <v>27.553275639569449</v>
      </c>
      <c r="G1613" s="4">
        <v>30.9</v>
      </c>
      <c r="H1613" s="5">
        <v>39.776863265772221</v>
      </c>
      <c r="I1613" s="5">
        <v>38.688996823983331</v>
      </c>
      <c r="J1613" s="5">
        <v>46.844227785897218</v>
      </c>
      <c r="K1613" s="5">
        <v>22</v>
      </c>
    </row>
    <row r="1614" spans="1:11" x14ac:dyDescent="0.25">
      <c r="A1614" s="2">
        <v>46164.625</v>
      </c>
      <c r="B1614" t="str">
        <f t="shared" si="50"/>
        <v>2026-05</v>
      </c>
      <c r="C1614" s="3">
        <f t="shared" si="51"/>
        <v>15</v>
      </c>
      <c r="D1614" s="4">
        <v>26.36949402833611</v>
      </c>
      <c r="E1614" s="4">
        <v>28.171785754538892</v>
      </c>
      <c r="F1614" s="4">
        <v>27.52793939563611</v>
      </c>
      <c r="G1614" s="4">
        <v>31.2</v>
      </c>
      <c r="H1614" s="5">
        <v>36.156160618838889</v>
      </c>
      <c r="I1614" s="5">
        <v>35.664908627413887</v>
      </c>
      <c r="J1614" s="5">
        <v>46.231555048427794</v>
      </c>
      <c r="K1614" s="5">
        <v>20</v>
      </c>
    </row>
    <row r="1615" spans="1:11" x14ac:dyDescent="0.25">
      <c r="A1615" s="2">
        <v>46164.666666666657</v>
      </c>
      <c r="B1615" t="str">
        <f t="shared" si="50"/>
        <v>2026-05</v>
      </c>
      <c r="C1615" s="3">
        <f t="shared" si="51"/>
        <v>16</v>
      </c>
      <c r="D1615" s="4">
        <v>26.443736747647229</v>
      </c>
      <c r="E1615" s="4">
        <v>28.18987528992777</v>
      </c>
      <c r="F1615" s="4">
        <v>27.48935852241944</v>
      </c>
      <c r="G1615" s="4">
        <v>29.4</v>
      </c>
      <c r="H1615" s="5">
        <v>38.3456933585</v>
      </c>
      <c r="I1615" s="5">
        <v>37.048197837027779</v>
      </c>
      <c r="J1615" s="5">
        <v>45.654373889388893</v>
      </c>
      <c r="K1615" s="5">
        <v>27</v>
      </c>
    </row>
    <row r="1616" spans="1:11" x14ac:dyDescent="0.25">
      <c r="A1616" s="2">
        <v>46164.708333333343</v>
      </c>
      <c r="B1616" t="str">
        <f t="shared" si="50"/>
        <v>2026-05</v>
      </c>
      <c r="C1616" s="3">
        <f t="shared" si="51"/>
        <v>17</v>
      </c>
      <c r="D1616" s="4">
        <v>27.054781299369441</v>
      </c>
      <c r="E1616" s="4">
        <v>28.267154268366671</v>
      </c>
      <c r="F1616" s="4">
        <v>27.495160413897221</v>
      </c>
      <c r="G1616" s="4">
        <v>29.3</v>
      </c>
      <c r="H1616" s="5">
        <v>39.886867070649998</v>
      </c>
      <c r="I1616" s="5">
        <v>37.617472281522218</v>
      </c>
      <c r="J1616" s="5">
        <v>45.671022383244441</v>
      </c>
      <c r="K1616" s="5">
        <v>28</v>
      </c>
    </row>
    <row r="1617" spans="1:11" x14ac:dyDescent="0.25">
      <c r="A1617" s="2">
        <v>46164.75</v>
      </c>
      <c r="B1617" t="str">
        <f t="shared" si="50"/>
        <v>2026-05</v>
      </c>
      <c r="C1617" s="3">
        <f t="shared" si="51"/>
        <v>18</v>
      </c>
      <c r="D1617" s="4">
        <v>26.766936002158332</v>
      </c>
      <c r="E1617" s="4">
        <v>28.06780233698333</v>
      </c>
      <c r="F1617" s="4">
        <v>27.50122195042222</v>
      </c>
      <c r="G1617" s="4">
        <v>28.9</v>
      </c>
      <c r="H1617" s="5">
        <v>37.46446113733333</v>
      </c>
      <c r="I1617" s="5">
        <v>36.395624131458327</v>
      </c>
      <c r="J1617" s="5">
        <v>45.694558288855553</v>
      </c>
      <c r="K1617" s="5">
        <v>29</v>
      </c>
    </row>
    <row r="1618" spans="1:11" x14ac:dyDescent="0.25">
      <c r="A1618" s="2">
        <v>46164.791666666657</v>
      </c>
      <c r="B1618" t="str">
        <f t="shared" si="50"/>
        <v>2026-05</v>
      </c>
      <c r="C1618" s="3">
        <f t="shared" si="51"/>
        <v>19</v>
      </c>
      <c r="D1618" s="4">
        <v>26.493722892413889</v>
      </c>
      <c r="E1618" s="4">
        <v>27.413122153050001</v>
      </c>
      <c r="F1618" s="4">
        <v>27.516331279749998</v>
      </c>
      <c r="G1618" s="4">
        <v>28.1</v>
      </c>
      <c r="H1618" s="5">
        <v>38.143709415136108</v>
      </c>
      <c r="I1618" s="5">
        <v>38.354539881474999</v>
      </c>
      <c r="J1618" s="5">
        <v>45.719150771913888</v>
      </c>
      <c r="K1618" s="5">
        <v>31</v>
      </c>
    </row>
    <row r="1619" spans="1:11" x14ac:dyDescent="0.25">
      <c r="A1619" s="2">
        <v>46164.833333333343</v>
      </c>
      <c r="B1619" t="str">
        <f t="shared" si="50"/>
        <v>2026-05</v>
      </c>
      <c r="C1619" s="3">
        <f t="shared" si="51"/>
        <v>20</v>
      </c>
      <c r="D1619" s="4">
        <v>26.660506565936121</v>
      </c>
      <c r="E1619" s="4">
        <v>26.744801625800001</v>
      </c>
      <c r="F1619" s="4">
        <v>27.518832966419438</v>
      </c>
      <c r="G1619" s="4">
        <v>26.9</v>
      </c>
      <c r="H1619" s="5">
        <v>41.58208100492778</v>
      </c>
      <c r="I1619" s="5">
        <v>42.063766979308333</v>
      </c>
      <c r="J1619" s="5">
        <v>46.048763048188903</v>
      </c>
      <c r="K1619" s="5">
        <v>35</v>
      </c>
    </row>
    <row r="1620" spans="1:11" x14ac:dyDescent="0.25">
      <c r="A1620" s="2">
        <v>46164.875</v>
      </c>
      <c r="B1620" t="str">
        <f t="shared" si="50"/>
        <v>2026-05</v>
      </c>
      <c r="C1620" s="3">
        <f t="shared" si="51"/>
        <v>21</v>
      </c>
      <c r="D1620" s="4">
        <v>26.839300351077771</v>
      </c>
      <c r="E1620" s="4">
        <v>26.64667623765834</v>
      </c>
      <c r="F1620" s="4">
        <v>27.525608904527768</v>
      </c>
      <c r="G1620" s="4">
        <v>26.1</v>
      </c>
      <c r="H1620" s="5">
        <v>40.806780714819453</v>
      </c>
      <c r="I1620" s="5">
        <v>41.901160232036112</v>
      </c>
      <c r="J1620" s="5">
        <v>46.658127038986123</v>
      </c>
      <c r="K1620" s="5">
        <v>39</v>
      </c>
    </row>
    <row r="1621" spans="1:11" x14ac:dyDescent="0.25">
      <c r="A1621" s="2">
        <v>46164.916666666657</v>
      </c>
      <c r="B1621" t="str">
        <f t="shared" si="50"/>
        <v>2026-05</v>
      </c>
      <c r="C1621" s="3">
        <f t="shared" si="51"/>
        <v>22</v>
      </c>
      <c r="D1621" s="4">
        <v>26.867730500558331</v>
      </c>
      <c r="E1621" s="4">
        <v>26.67425903237778</v>
      </c>
      <c r="F1621" s="4">
        <v>27.53630320719445</v>
      </c>
      <c r="G1621" s="4">
        <v>24.8</v>
      </c>
      <c r="H1621" s="5">
        <v>39.898495185844453</v>
      </c>
      <c r="I1621" s="5">
        <v>41.805307576475002</v>
      </c>
      <c r="J1621" s="5">
        <v>46.896805877694447</v>
      </c>
      <c r="K1621" s="5">
        <v>45</v>
      </c>
    </row>
    <row r="1622" spans="1:11" x14ac:dyDescent="0.25">
      <c r="A1622" s="2">
        <v>46164.958333333343</v>
      </c>
      <c r="B1622" t="str">
        <f t="shared" si="50"/>
        <v>2026-05</v>
      </c>
      <c r="C1622" s="3">
        <f t="shared" si="51"/>
        <v>23</v>
      </c>
      <c r="D1622" s="4">
        <v>26.433590184833331</v>
      </c>
      <c r="E1622" s="4">
        <v>26.64057982178889</v>
      </c>
      <c r="F1622" s="4">
        <v>27.530919781152779</v>
      </c>
      <c r="G1622" s="4">
        <v>23.7</v>
      </c>
      <c r="H1622" s="5">
        <v>41.297927133794452</v>
      </c>
      <c r="I1622" s="5">
        <v>42.240122051491682</v>
      </c>
      <c r="J1622" s="5">
        <v>47.068254301705558</v>
      </c>
      <c r="K1622" s="5">
        <v>48</v>
      </c>
    </row>
    <row r="1623" spans="1:11" x14ac:dyDescent="0.25">
      <c r="A1623" s="2">
        <v>46165</v>
      </c>
      <c r="B1623" t="str">
        <f t="shared" si="50"/>
        <v>2026-05</v>
      </c>
      <c r="C1623" s="3">
        <f t="shared" si="51"/>
        <v>0</v>
      </c>
      <c r="D1623" s="4">
        <v>24.061649635575002</v>
      </c>
      <c r="E1623" s="4">
        <v>26.721116158911109</v>
      </c>
      <c r="F1623" s="4">
        <v>27.543743618825001</v>
      </c>
      <c r="G1623" s="4">
        <v>22.9</v>
      </c>
      <c r="H1623" s="5">
        <v>47.394185079916667</v>
      </c>
      <c r="I1623" s="5">
        <v>45.554753842680562</v>
      </c>
      <c r="J1623" s="5">
        <v>47.450476069313893</v>
      </c>
      <c r="K1623" s="5">
        <v>50</v>
      </c>
    </row>
    <row r="1624" spans="1:11" x14ac:dyDescent="0.25">
      <c r="A1624" s="2">
        <v>46165.041666666657</v>
      </c>
      <c r="B1624" t="str">
        <f t="shared" si="50"/>
        <v>2026-05</v>
      </c>
      <c r="C1624" s="3">
        <f t="shared" si="51"/>
        <v>1</v>
      </c>
      <c r="D1624" s="4">
        <v>25.08466234639722</v>
      </c>
      <c r="E1624" s="4">
        <v>26.643629775372229</v>
      </c>
      <c r="F1624" s="4">
        <v>27.56521661869445</v>
      </c>
      <c r="G1624" s="4">
        <v>22.1</v>
      </c>
      <c r="H1624" s="5">
        <v>45.830108386002777</v>
      </c>
      <c r="I1624" s="5">
        <v>45.821096682697217</v>
      </c>
      <c r="J1624" s="5">
        <v>47.686913194916663</v>
      </c>
      <c r="K1624" s="5">
        <v>52</v>
      </c>
    </row>
    <row r="1625" spans="1:11" x14ac:dyDescent="0.25">
      <c r="A1625" s="2">
        <v>46165.083333333343</v>
      </c>
      <c r="B1625" t="str">
        <f t="shared" si="50"/>
        <v>2026-05</v>
      </c>
      <c r="C1625" s="3">
        <f t="shared" si="51"/>
        <v>2</v>
      </c>
      <c r="D1625" s="4">
        <v>25.357575042280558</v>
      </c>
      <c r="E1625" s="4">
        <v>26.649214358427781</v>
      </c>
      <c r="F1625" s="4">
        <v>27.56205839725278</v>
      </c>
      <c r="G1625" s="4">
        <v>21.1</v>
      </c>
      <c r="H1625" s="5">
        <v>43.897418208405547</v>
      </c>
      <c r="I1625" s="5">
        <v>44.456684429077782</v>
      </c>
      <c r="J1625" s="5">
        <v>47.85917188175555</v>
      </c>
      <c r="K1625" s="5">
        <v>56</v>
      </c>
    </row>
    <row r="1626" spans="1:11" x14ac:dyDescent="0.25">
      <c r="A1626" s="2">
        <v>46165.125</v>
      </c>
      <c r="B1626" t="str">
        <f t="shared" si="50"/>
        <v>2026-05</v>
      </c>
      <c r="C1626" s="3">
        <f t="shared" si="51"/>
        <v>3</v>
      </c>
      <c r="D1626" s="4">
        <v>25.575727868194441</v>
      </c>
      <c r="E1626" s="4">
        <v>26.6892971368</v>
      </c>
      <c r="F1626" s="4">
        <v>27.567943410655559</v>
      </c>
      <c r="G1626" s="4">
        <v>19.600000000000001</v>
      </c>
      <c r="H1626" s="5">
        <v>43.857033490008327</v>
      </c>
      <c r="I1626" s="5">
        <v>44.635762730772221</v>
      </c>
      <c r="J1626" s="5">
        <v>47.832919678458332</v>
      </c>
      <c r="K1626" s="5">
        <v>71</v>
      </c>
    </row>
    <row r="1627" spans="1:11" x14ac:dyDescent="0.25">
      <c r="A1627" s="2">
        <v>46165.166666666657</v>
      </c>
      <c r="B1627" t="str">
        <f t="shared" si="50"/>
        <v>2026-05</v>
      </c>
      <c r="C1627" s="3">
        <f t="shared" si="51"/>
        <v>4</v>
      </c>
      <c r="D1627" s="4">
        <v>25.231605774750001</v>
      </c>
      <c r="E1627" s="4">
        <v>26.63169764198889</v>
      </c>
      <c r="F1627" s="4">
        <v>27.581583663183331</v>
      </c>
      <c r="G1627" s="4">
        <v>19</v>
      </c>
      <c r="H1627" s="5">
        <v>45.760832694902781</v>
      </c>
      <c r="I1627" s="5">
        <v>44.938447232883327</v>
      </c>
      <c r="J1627" s="5">
        <v>47.785978340463878</v>
      </c>
      <c r="K1627" s="5">
        <v>73</v>
      </c>
    </row>
    <row r="1628" spans="1:11" x14ac:dyDescent="0.25">
      <c r="A1628" s="2">
        <v>46165.208333333343</v>
      </c>
      <c r="B1628" t="str">
        <f t="shared" si="50"/>
        <v>2026-05</v>
      </c>
      <c r="C1628" s="3">
        <f t="shared" si="51"/>
        <v>5</v>
      </c>
      <c r="D1628" s="4">
        <v>25.291626292988891</v>
      </c>
      <c r="E1628" s="4">
        <v>26.42644988790278</v>
      </c>
      <c r="F1628" s="4">
        <v>27.573275263302779</v>
      </c>
      <c r="G1628" s="4">
        <v>18.600000000000001</v>
      </c>
      <c r="H1628" s="5">
        <v>45.080282929497223</v>
      </c>
      <c r="I1628" s="5">
        <v>44.356068590633328</v>
      </c>
      <c r="J1628" s="5">
        <v>47.671640916163888</v>
      </c>
      <c r="K1628" s="5">
        <v>74</v>
      </c>
    </row>
    <row r="1629" spans="1:11" x14ac:dyDescent="0.25">
      <c r="A1629" s="2">
        <v>46165.25</v>
      </c>
      <c r="B1629" t="str">
        <f t="shared" si="50"/>
        <v>2026-05</v>
      </c>
      <c r="C1629" s="3">
        <f t="shared" si="51"/>
        <v>6</v>
      </c>
      <c r="D1629" s="4">
        <v>26.188088408361111</v>
      </c>
      <c r="E1629" s="4">
        <v>26.540446300452789</v>
      </c>
      <c r="F1629" s="4">
        <v>27.570558910672229</v>
      </c>
      <c r="G1629" s="4">
        <v>19.2</v>
      </c>
      <c r="H1629" s="5">
        <v>42.685355850202782</v>
      </c>
      <c r="I1629" s="5">
        <v>43.260678816138892</v>
      </c>
      <c r="J1629" s="5">
        <v>47.531191833894447</v>
      </c>
      <c r="K1629" s="5">
        <v>71</v>
      </c>
    </row>
    <row r="1630" spans="1:11" x14ac:dyDescent="0.25">
      <c r="A1630" s="2">
        <v>46165.291666666657</v>
      </c>
      <c r="B1630" t="str">
        <f t="shared" si="50"/>
        <v>2026-05</v>
      </c>
      <c r="C1630" s="3">
        <f t="shared" si="51"/>
        <v>7</v>
      </c>
      <c r="D1630" s="4">
        <v>27.278096496855561</v>
      </c>
      <c r="E1630" s="4">
        <v>27.019018675830559</v>
      </c>
      <c r="F1630" s="4">
        <v>27.583522101508329</v>
      </c>
      <c r="G1630" s="4">
        <v>20.8</v>
      </c>
      <c r="H1630" s="5">
        <v>40.953368059508342</v>
      </c>
      <c r="I1630" s="5">
        <v>41.84888226134445</v>
      </c>
      <c r="J1630" s="5">
        <v>47.371841699672217</v>
      </c>
      <c r="K1630" s="5">
        <v>63</v>
      </c>
    </row>
    <row r="1631" spans="1:11" x14ac:dyDescent="0.25">
      <c r="A1631" s="2">
        <v>46165.333333333343</v>
      </c>
      <c r="B1631" t="str">
        <f t="shared" si="50"/>
        <v>2026-05</v>
      </c>
      <c r="C1631" s="3">
        <f t="shared" si="51"/>
        <v>8</v>
      </c>
      <c r="D1631" s="4">
        <v>27.65734179551389</v>
      </c>
      <c r="E1631" s="4">
        <v>27.31484331904722</v>
      </c>
      <c r="F1631" s="4">
        <v>27.606489836708331</v>
      </c>
      <c r="G1631" s="4">
        <v>23.1</v>
      </c>
      <c r="H1631" s="5">
        <v>41.285052744047221</v>
      </c>
      <c r="I1631" s="5">
        <v>42.194158510569437</v>
      </c>
      <c r="J1631" s="5">
        <v>47.392775363986111</v>
      </c>
      <c r="K1631" s="5">
        <v>54</v>
      </c>
    </row>
    <row r="1632" spans="1:11" x14ac:dyDescent="0.25">
      <c r="A1632" s="2">
        <v>46165.375</v>
      </c>
      <c r="B1632" t="str">
        <f t="shared" si="50"/>
        <v>2026-05</v>
      </c>
      <c r="C1632" s="3">
        <f t="shared" si="51"/>
        <v>9</v>
      </c>
      <c r="D1632" s="4">
        <v>28.304911709877771</v>
      </c>
      <c r="E1632" s="4">
        <v>27.919764148399999</v>
      </c>
      <c r="F1632" s="4">
        <v>27.65920956923889</v>
      </c>
      <c r="G1632" s="4">
        <v>25.2</v>
      </c>
      <c r="H1632" s="5">
        <v>39.687808432936123</v>
      </c>
      <c r="I1632" s="5">
        <v>40.230868107580562</v>
      </c>
      <c r="J1632" s="5">
        <v>47.848380742377778</v>
      </c>
      <c r="K1632" s="5">
        <v>44</v>
      </c>
    </row>
    <row r="1633" spans="1:11" x14ac:dyDescent="0.25">
      <c r="A1633" s="2">
        <v>46165.416666666657</v>
      </c>
      <c r="B1633" t="str">
        <f t="shared" si="50"/>
        <v>2026-05</v>
      </c>
      <c r="C1633" s="3">
        <f t="shared" si="51"/>
        <v>10</v>
      </c>
      <c r="D1633" s="4">
        <v>28.615114010658331</v>
      </c>
      <c r="E1633" s="4">
        <v>28.352816326149998</v>
      </c>
      <c r="F1633" s="4">
        <v>27.711242182294441</v>
      </c>
      <c r="G1633" s="4">
        <v>26.8</v>
      </c>
      <c r="H1633" s="5">
        <v>37.678347300219443</v>
      </c>
      <c r="I1633" s="5">
        <v>37.649900283547233</v>
      </c>
      <c r="J1633" s="5">
        <v>48.054252022616673</v>
      </c>
      <c r="K1633" s="5">
        <v>38</v>
      </c>
    </row>
    <row r="1634" spans="1:11" x14ac:dyDescent="0.25">
      <c r="A1634" s="2">
        <v>46165.458333333343</v>
      </c>
      <c r="B1634" t="str">
        <f t="shared" si="50"/>
        <v>2026-05</v>
      </c>
      <c r="C1634" s="3">
        <f t="shared" si="51"/>
        <v>11</v>
      </c>
      <c r="D1634" s="4">
        <v>28.649211355730561</v>
      </c>
      <c r="E1634" s="4">
        <v>28.51465655190556</v>
      </c>
      <c r="F1634" s="4">
        <v>27.742297900622219</v>
      </c>
      <c r="G1634" s="4">
        <v>27.8</v>
      </c>
      <c r="H1634" s="5">
        <v>38.263197967430557</v>
      </c>
      <c r="I1634" s="5">
        <v>38.516484972911108</v>
      </c>
      <c r="J1634" s="5">
        <v>47.802733593941667</v>
      </c>
      <c r="K1634" s="5">
        <v>35</v>
      </c>
    </row>
    <row r="1635" spans="1:11" x14ac:dyDescent="0.25">
      <c r="A1635" s="2">
        <v>46165.5</v>
      </c>
      <c r="B1635" t="str">
        <f t="shared" si="50"/>
        <v>2026-05</v>
      </c>
      <c r="C1635" s="3">
        <f t="shared" si="51"/>
        <v>12</v>
      </c>
      <c r="D1635" s="4">
        <v>28.660462738144449</v>
      </c>
      <c r="E1635" s="4">
        <v>28.877728496538889</v>
      </c>
      <c r="F1635" s="4">
        <v>27.820026462563892</v>
      </c>
      <c r="G1635" s="4">
        <v>28.6</v>
      </c>
      <c r="H1635" s="5">
        <v>38.231284326044452</v>
      </c>
      <c r="I1635" s="5">
        <v>38.277400170427782</v>
      </c>
      <c r="J1635" s="5">
        <v>48.34784826792778</v>
      </c>
      <c r="K1635" s="5">
        <v>33</v>
      </c>
    </row>
    <row r="1636" spans="1:11" x14ac:dyDescent="0.25">
      <c r="A1636" s="2">
        <v>46165.541666666657</v>
      </c>
      <c r="B1636" t="str">
        <f t="shared" si="50"/>
        <v>2026-05</v>
      </c>
      <c r="C1636" s="3">
        <f t="shared" si="51"/>
        <v>13</v>
      </c>
      <c r="D1636" s="4">
        <v>27.38165794870833</v>
      </c>
      <c r="E1636" s="4">
        <v>28.314129407652771</v>
      </c>
      <c r="F1636" s="4">
        <v>27.89623880372778</v>
      </c>
      <c r="G1636" s="4">
        <v>27</v>
      </c>
      <c r="H1636" s="5">
        <v>33.015087823077778</v>
      </c>
      <c r="I1636" s="5">
        <v>34.502375807450001</v>
      </c>
      <c r="J1636" s="5">
        <v>48.500906162299998</v>
      </c>
      <c r="K1636" s="5">
        <v>37</v>
      </c>
    </row>
    <row r="1637" spans="1:11" x14ac:dyDescent="0.25">
      <c r="A1637" s="2">
        <v>46165.583333333343</v>
      </c>
      <c r="B1637" t="str">
        <f t="shared" si="50"/>
        <v>2026-05</v>
      </c>
      <c r="C1637" s="3">
        <f t="shared" si="51"/>
        <v>14</v>
      </c>
      <c r="D1637" s="4">
        <v>27.072123710572221</v>
      </c>
      <c r="E1637" s="4">
        <v>27.95886617354445</v>
      </c>
      <c r="F1637" s="4">
        <v>27.957232698158329</v>
      </c>
      <c r="G1637" s="4">
        <v>19.600000000000001</v>
      </c>
      <c r="H1637" s="5">
        <v>35.189939951097223</v>
      </c>
      <c r="I1637" s="5">
        <v>35.54083167856944</v>
      </c>
      <c r="J1637" s="5">
        <v>47.853481198247223</v>
      </c>
      <c r="K1637" s="5">
        <v>85</v>
      </c>
    </row>
    <row r="1638" spans="1:11" x14ac:dyDescent="0.25">
      <c r="A1638" s="2">
        <v>46165.625</v>
      </c>
      <c r="B1638" t="str">
        <f t="shared" si="50"/>
        <v>2026-05</v>
      </c>
      <c r="C1638" s="3">
        <f t="shared" si="51"/>
        <v>15</v>
      </c>
      <c r="D1638" s="4">
        <v>27.504308776497229</v>
      </c>
      <c r="E1638" s="4">
        <v>27.978249880997222</v>
      </c>
      <c r="F1638" s="4">
        <v>28.034231407488889</v>
      </c>
      <c r="G1638" s="4">
        <v>25.1</v>
      </c>
      <c r="H1638" s="5">
        <v>41.424818098716663</v>
      </c>
      <c r="I1638" s="5">
        <v>40.590005576180552</v>
      </c>
      <c r="J1638" s="5">
        <v>49.822927107352783</v>
      </c>
      <c r="K1638" s="5">
        <v>46</v>
      </c>
    </row>
    <row r="1639" spans="1:11" x14ac:dyDescent="0.25">
      <c r="A1639" s="2">
        <v>46165.666666666657</v>
      </c>
      <c r="B1639" t="str">
        <f t="shared" si="50"/>
        <v>2026-05</v>
      </c>
      <c r="C1639" s="3">
        <f t="shared" si="51"/>
        <v>16</v>
      </c>
      <c r="D1639" s="4">
        <v>26.635964944394441</v>
      </c>
      <c r="E1639" s="4">
        <v>27.752963366833331</v>
      </c>
      <c r="F1639" s="4">
        <v>27.851776409038891</v>
      </c>
      <c r="G1639" s="4">
        <v>26.5</v>
      </c>
      <c r="H1639" s="5">
        <v>47.018331729622219</v>
      </c>
      <c r="I1639" s="5">
        <v>44.694253200302782</v>
      </c>
      <c r="J1639" s="5">
        <v>52.538724268425</v>
      </c>
      <c r="K1639" s="5">
        <v>36</v>
      </c>
    </row>
    <row r="1640" spans="1:11" x14ac:dyDescent="0.25">
      <c r="A1640" s="2">
        <v>46165.708333333343</v>
      </c>
      <c r="B1640" t="str">
        <f t="shared" si="50"/>
        <v>2026-05</v>
      </c>
      <c r="C1640" s="3">
        <f t="shared" si="51"/>
        <v>17</v>
      </c>
      <c r="D1640" s="4">
        <v>26.549962202774999</v>
      </c>
      <c r="E1640" s="4">
        <v>27.951647575036109</v>
      </c>
      <c r="F1640" s="4">
        <v>28.075803764044451</v>
      </c>
      <c r="G1640" s="4">
        <v>24.3</v>
      </c>
      <c r="H1640" s="5">
        <v>48.990203741438883</v>
      </c>
      <c r="I1640" s="5">
        <v>46.495092705247217</v>
      </c>
      <c r="J1640" s="5">
        <v>50.969293150883338</v>
      </c>
      <c r="K1640" s="5">
        <v>43</v>
      </c>
    </row>
    <row r="1641" spans="1:11" x14ac:dyDescent="0.25">
      <c r="A1641" s="2">
        <v>46165.75</v>
      </c>
      <c r="B1641" t="str">
        <f t="shared" si="50"/>
        <v>2026-05</v>
      </c>
      <c r="C1641" s="3">
        <f t="shared" si="51"/>
        <v>18</v>
      </c>
      <c r="D1641" s="4">
        <v>26.692380026861109</v>
      </c>
      <c r="E1641" s="4">
        <v>27.516062672511111</v>
      </c>
      <c r="F1641" s="4">
        <v>28.216684875780551</v>
      </c>
      <c r="G1641" s="4">
        <v>23.9</v>
      </c>
      <c r="H1641" s="5">
        <v>48.055678853083329</v>
      </c>
      <c r="I1641" s="5">
        <v>47.222645910516668</v>
      </c>
      <c r="J1641" s="5">
        <v>53.24058188416388</v>
      </c>
      <c r="K1641" s="5">
        <v>48</v>
      </c>
    </row>
    <row r="1642" spans="1:11" x14ac:dyDescent="0.25">
      <c r="A1642" s="2">
        <v>46165.791666666657</v>
      </c>
      <c r="B1642" t="str">
        <f t="shared" si="50"/>
        <v>2026-05</v>
      </c>
      <c r="C1642" s="3">
        <f t="shared" si="51"/>
        <v>19</v>
      </c>
      <c r="D1642" s="4">
        <v>25.716582248588889</v>
      </c>
      <c r="E1642" s="4">
        <v>27.128488389963891</v>
      </c>
      <c r="F1642" s="4">
        <v>28.181161602169439</v>
      </c>
      <c r="G1642" s="4">
        <v>23.6</v>
      </c>
      <c r="H1642" s="5">
        <v>48.105542104450002</v>
      </c>
      <c r="I1642" s="5">
        <v>46.398289651747227</v>
      </c>
      <c r="J1642" s="5">
        <v>51.845683963680557</v>
      </c>
      <c r="K1642" s="5">
        <v>49</v>
      </c>
    </row>
    <row r="1643" spans="1:11" x14ac:dyDescent="0.25">
      <c r="A1643" s="2">
        <v>46165.833333333343</v>
      </c>
      <c r="B1643" t="str">
        <f t="shared" si="50"/>
        <v>2026-05</v>
      </c>
      <c r="C1643" s="3">
        <f t="shared" si="51"/>
        <v>20</v>
      </c>
      <c r="D1643" s="4">
        <v>25.77156270902778</v>
      </c>
      <c r="E1643" s="4">
        <v>27.137981942138889</v>
      </c>
      <c r="F1643" s="4">
        <v>28.244379060841659</v>
      </c>
      <c r="G1643" s="4">
        <v>22.6</v>
      </c>
      <c r="H1643" s="5">
        <v>50.662147382874998</v>
      </c>
      <c r="I1643" s="5">
        <v>48.745877847324998</v>
      </c>
      <c r="J1643" s="5">
        <v>51.52880835930555</v>
      </c>
      <c r="K1643" s="5">
        <v>54</v>
      </c>
    </row>
    <row r="1644" spans="1:11" x14ac:dyDescent="0.25">
      <c r="A1644" s="2">
        <v>46165.875</v>
      </c>
      <c r="B1644" t="str">
        <f t="shared" si="50"/>
        <v>2026-05</v>
      </c>
      <c r="C1644" s="3">
        <f t="shared" si="51"/>
        <v>21</v>
      </c>
      <c r="D1644" s="4">
        <v>25.418029243744449</v>
      </c>
      <c r="E1644" s="4">
        <v>27.140504164825</v>
      </c>
      <c r="F1644" s="4">
        <v>28.286932731911111</v>
      </c>
      <c r="G1644" s="4">
        <v>20.8</v>
      </c>
      <c r="H1644" s="5">
        <v>51.561545224874997</v>
      </c>
      <c r="I1644" s="5">
        <v>49.649158089672227</v>
      </c>
      <c r="J1644" s="5">
        <v>51.615392409297222</v>
      </c>
      <c r="K1644" s="5">
        <v>60</v>
      </c>
    </row>
    <row r="1645" spans="1:11" x14ac:dyDescent="0.25">
      <c r="A1645" s="2">
        <v>46165.916666666657</v>
      </c>
      <c r="B1645" t="str">
        <f t="shared" si="50"/>
        <v>2026-05</v>
      </c>
      <c r="C1645" s="3">
        <f t="shared" si="51"/>
        <v>22</v>
      </c>
      <c r="D1645" s="4">
        <v>25.028320027525002</v>
      </c>
      <c r="E1645" s="4">
        <v>27.29873195641111</v>
      </c>
      <c r="F1645" s="4">
        <v>28.389731494799999</v>
      </c>
      <c r="G1645" s="4">
        <v>20.399999999999999</v>
      </c>
      <c r="H1645" s="5">
        <v>51.846836168833327</v>
      </c>
      <c r="I1645" s="5">
        <v>48.915762767694453</v>
      </c>
      <c r="J1645" s="5">
        <v>51.041485236474998</v>
      </c>
      <c r="K1645" s="5">
        <v>64</v>
      </c>
    </row>
    <row r="1646" spans="1:11" x14ac:dyDescent="0.25">
      <c r="A1646" s="2">
        <v>46165.958333333343</v>
      </c>
      <c r="B1646" t="str">
        <f t="shared" si="50"/>
        <v>2026-05</v>
      </c>
      <c r="C1646" s="3">
        <f t="shared" si="51"/>
        <v>23</v>
      </c>
      <c r="D1646" s="4">
        <v>25.226390835213891</v>
      </c>
      <c r="E1646" s="4">
        <v>27.31702760533889</v>
      </c>
      <c r="F1646" s="4">
        <v>28.29863507620556</v>
      </c>
      <c r="G1646" s="4">
        <v>20.2</v>
      </c>
      <c r="H1646" s="5">
        <v>51.80034767105834</v>
      </c>
      <c r="I1646" s="5">
        <v>48.126276920952783</v>
      </c>
      <c r="J1646" s="5">
        <v>52.59805401077778</v>
      </c>
      <c r="K1646" s="5">
        <v>66</v>
      </c>
    </row>
    <row r="1647" spans="1:11" x14ac:dyDescent="0.25">
      <c r="A1647" s="2">
        <v>46166</v>
      </c>
      <c r="B1647" t="str">
        <f t="shared" si="50"/>
        <v>2026-05</v>
      </c>
      <c r="C1647" s="3">
        <f t="shared" si="51"/>
        <v>0</v>
      </c>
      <c r="D1647" s="4">
        <v>24.226745889713889</v>
      </c>
      <c r="E1647" s="4">
        <v>27.36106223913611</v>
      </c>
      <c r="F1647" s="4">
        <v>28.2664388</v>
      </c>
      <c r="G1647" s="4">
        <v>19.8</v>
      </c>
      <c r="H1647" s="5">
        <v>53.454282346294441</v>
      </c>
      <c r="I1647" s="5">
        <v>47.177099134477778</v>
      </c>
      <c r="J1647" s="5">
        <v>51.257083264499997</v>
      </c>
      <c r="K1647" s="5">
        <v>68</v>
      </c>
    </row>
    <row r="1648" spans="1:11" x14ac:dyDescent="0.25">
      <c r="A1648" s="2">
        <v>46166.041666666657</v>
      </c>
      <c r="B1648" t="str">
        <f t="shared" si="50"/>
        <v>2026-05</v>
      </c>
      <c r="C1648" s="3">
        <f t="shared" si="51"/>
        <v>1</v>
      </c>
      <c r="D1648" s="4">
        <v>22.16916279565833</v>
      </c>
      <c r="E1648" s="4">
        <v>27.27472629634444</v>
      </c>
      <c r="F1648" s="4">
        <v>28.195787710133331</v>
      </c>
      <c r="G1648" s="4">
        <v>19.3</v>
      </c>
      <c r="H1648" s="5">
        <v>59.442797559233327</v>
      </c>
      <c r="I1648" s="5">
        <v>45.833667760241667</v>
      </c>
      <c r="J1648" s="5">
        <v>51.772241735988892</v>
      </c>
      <c r="K1648" s="5">
        <v>71</v>
      </c>
    </row>
    <row r="1649" spans="1:11" x14ac:dyDescent="0.25">
      <c r="A1649" s="2">
        <v>46166.083333333343</v>
      </c>
      <c r="B1649" t="str">
        <f t="shared" si="50"/>
        <v>2026-05</v>
      </c>
      <c r="C1649" s="3">
        <f t="shared" si="51"/>
        <v>2</v>
      </c>
      <c r="D1649" s="4">
        <v>21.87157225153889</v>
      </c>
      <c r="E1649" s="4">
        <v>27.31240352573889</v>
      </c>
      <c r="F1649" s="4">
        <v>28.21889635285833</v>
      </c>
      <c r="G1649" s="4">
        <v>18.8</v>
      </c>
      <c r="H1649" s="5">
        <v>60.327412283980557</v>
      </c>
      <c r="I1649" s="5">
        <v>45.572362359886107</v>
      </c>
      <c r="J1649" s="5">
        <v>51.322491131483339</v>
      </c>
      <c r="K1649" s="5">
        <v>74</v>
      </c>
    </row>
    <row r="1650" spans="1:11" x14ac:dyDescent="0.25">
      <c r="A1650" s="2">
        <v>46166.125</v>
      </c>
      <c r="B1650" t="str">
        <f t="shared" si="50"/>
        <v>2026-05</v>
      </c>
      <c r="C1650" s="3">
        <f t="shared" si="51"/>
        <v>3</v>
      </c>
      <c r="D1650" s="4">
        <v>22.15175936658056</v>
      </c>
      <c r="E1650" s="4">
        <v>27.027688400216661</v>
      </c>
      <c r="F1650" s="4">
        <v>28.14283001542778</v>
      </c>
      <c r="G1650" s="4">
        <v>16.100000000000001</v>
      </c>
      <c r="H1650" s="5">
        <v>58.558414213858327</v>
      </c>
      <c r="I1650" s="5">
        <v>45.669970146408332</v>
      </c>
      <c r="J1650" s="5">
        <v>52.173461453825013</v>
      </c>
      <c r="K1650" s="5">
        <v>89</v>
      </c>
    </row>
    <row r="1651" spans="1:11" x14ac:dyDescent="0.25">
      <c r="A1651" s="2">
        <v>46166.166666666657</v>
      </c>
      <c r="B1651" t="str">
        <f t="shared" si="50"/>
        <v>2026-05</v>
      </c>
      <c r="C1651" s="3">
        <f t="shared" si="51"/>
        <v>4</v>
      </c>
      <c r="D1651" s="4">
        <v>22.321650038527778</v>
      </c>
      <c r="E1651" s="4">
        <v>26.366984650811109</v>
      </c>
      <c r="F1651" s="4">
        <v>28.07204664605834</v>
      </c>
      <c r="G1651" s="4">
        <v>15.7</v>
      </c>
      <c r="H1651" s="5">
        <v>56.878570843266672</v>
      </c>
      <c r="I1651" s="5">
        <v>45.730876257544452</v>
      </c>
      <c r="J1651" s="5">
        <v>51.055631459911112</v>
      </c>
      <c r="K1651" s="5">
        <v>93</v>
      </c>
    </row>
    <row r="1652" spans="1:11" x14ac:dyDescent="0.25">
      <c r="A1652" s="2">
        <v>46166.208333333343</v>
      </c>
      <c r="B1652" t="str">
        <f t="shared" si="50"/>
        <v>2026-05</v>
      </c>
      <c r="C1652" s="3">
        <f t="shared" si="51"/>
        <v>5</v>
      </c>
      <c r="D1652" s="4">
        <v>22.407503347313892</v>
      </c>
      <c r="E1652" s="4">
        <v>26.15178840911944</v>
      </c>
      <c r="F1652" s="4">
        <v>28.019351937519449</v>
      </c>
      <c r="G1652" s="4">
        <v>15.4</v>
      </c>
      <c r="H1652" s="5">
        <v>55.379895951497218</v>
      </c>
      <c r="I1652" s="5">
        <v>45.196197497900002</v>
      </c>
      <c r="J1652" s="5">
        <v>50.451649174383327</v>
      </c>
      <c r="K1652" s="5">
        <v>94</v>
      </c>
    </row>
    <row r="1653" spans="1:11" x14ac:dyDescent="0.25">
      <c r="A1653" s="2">
        <v>46166.25</v>
      </c>
      <c r="B1653" t="str">
        <f t="shared" si="50"/>
        <v>2026-05</v>
      </c>
      <c r="C1653" s="3">
        <f t="shared" si="51"/>
        <v>6</v>
      </c>
      <c r="D1653" s="4">
        <v>24.131057579408331</v>
      </c>
      <c r="E1653" s="4">
        <v>26.193162622725001</v>
      </c>
      <c r="F1653" s="4">
        <v>27.993074069266669</v>
      </c>
      <c r="G1653" s="4">
        <v>16</v>
      </c>
      <c r="H1653" s="5">
        <v>49.649499862702783</v>
      </c>
      <c r="I1653" s="5">
        <v>44.600818553247223</v>
      </c>
      <c r="J1653" s="5">
        <v>49.967249897599999</v>
      </c>
      <c r="K1653" s="5">
        <v>89</v>
      </c>
    </row>
    <row r="1654" spans="1:11" x14ac:dyDescent="0.25">
      <c r="A1654" s="2">
        <v>46166.291666666657</v>
      </c>
      <c r="B1654" t="str">
        <f t="shared" si="50"/>
        <v>2026-05</v>
      </c>
      <c r="C1654" s="3">
        <f t="shared" si="51"/>
        <v>7</v>
      </c>
      <c r="D1654" s="4">
        <v>25.540772167219441</v>
      </c>
      <c r="E1654" s="4">
        <v>26.275691864563889</v>
      </c>
      <c r="F1654" s="4">
        <v>27.98829633702778</v>
      </c>
      <c r="G1654" s="4">
        <v>17.5</v>
      </c>
      <c r="H1654" s="5">
        <v>44.978671130397217</v>
      </c>
      <c r="I1654" s="5">
        <v>43.603513305661117</v>
      </c>
      <c r="J1654" s="5">
        <v>49.551043286358329</v>
      </c>
      <c r="K1654" s="5">
        <v>78</v>
      </c>
    </row>
    <row r="1655" spans="1:11" x14ac:dyDescent="0.25">
      <c r="A1655" s="2">
        <v>46166.333333333343</v>
      </c>
      <c r="B1655" t="str">
        <f t="shared" si="50"/>
        <v>2026-05</v>
      </c>
      <c r="C1655" s="3">
        <f t="shared" si="51"/>
        <v>8</v>
      </c>
      <c r="D1655" s="4">
        <v>26.415850243511109</v>
      </c>
      <c r="E1655" s="4">
        <v>26.39675528793056</v>
      </c>
      <c r="F1655" s="4">
        <v>27.97645561474722</v>
      </c>
      <c r="G1655" s="4">
        <v>19.3</v>
      </c>
      <c r="H1655" s="5">
        <v>41.597839480344447</v>
      </c>
      <c r="I1655" s="5">
        <v>42.22350338495</v>
      </c>
      <c r="J1655" s="5">
        <v>49.206820112847218</v>
      </c>
      <c r="K1655" s="5">
        <v>67</v>
      </c>
    </row>
    <row r="1656" spans="1:11" x14ac:dyDescent="0.25">
      <c r="A1656" s="2">
        <v>46166.375</v>
      </c>
      <c r="B1656" t="str">
        <f t="shared" si="50"/>
        <v>2026-05</v>
      </c>
      <c r="C1656" s="3">
        <f t="shared" si="51"/>
        <v>9</v>
      </c>
      <c r="D1656" s="4">
        <v>27.077366631263889</v>
      </c>
      <c r="E1656" s="4">
        <v>26.854008985230561</v>
      </c>
      <c r="F1656" s="4">
        <v>27.987701966930551</v>
      </c>
      <c r="G1656" s="4">
        <v>20.399999999999999</v>
      </c>
      <c r="H1656" s="5">
        <v>40.261183906802778</v>
      </c>
      <c r="I1656" s="5">
        <v>40.804997094258333</v>
      </c>
      <c r="J1656" s="5">
        <v>48.968681946466667</v>
      </c>
      <c r="K1656" s="5">
        <v>64</v>
      </c>
    </row>
    <row r="1657" spans="1:11" x14ac:dyDescent="0.25">
      <c r="A1657" s="2">
        <v>46166.416666666657</v>
      </c>
      <c r="B1657" t="str">
        <f t="shared" si="50"/>
        <v>2026-05</v>
      </c>
      <c r="C1657" s="3">
        <f t="shared" si="51"/>
        <v>10</v>
      </c>
      <c r="D1657" s="4">
        <v>27.320683991986112</v>
      </c>
      <c r="E1657" s="4">
        <v>27.074717293733329</v>
      </c>
      <c r="F1657" s="4">
        <v>28.00294605245</v>
      </c>
      <c r="G1657" s="4">
        <v>21.7</v>
      </c>
      <c r="H1657" s="5">
        <v>38.295384652047218</v>
      </c>
      <c r="I1657" s="5">
        <v>38.974721031844453</v>
      </c>
      <c r="J1657" s="5">
        <v>48.713324683000003</v>
      </c>
      <c r="K1657" s="5">
        <v>57</v>
      </c>
    </row>
    <row r="1658" spans="1:11" x14ac:dyDescent="0.25">
      <c r="A1658" s="2">
        <v>46166.458333333343</v>
      </c>
      <c r="B1658" t="str">
        <f t="shared" si="50"/>
        <v>2026-05</v>
      </c>
      <c r="C1658" s="3">
        <f t="shared" si="51"/>
        <v>11</v>
      </c>
      <c r="D1658" s="4">
        <v>27.303734394366671</v>
      </c>
      <c r="E1658" s="4">
        <v>27.321017102894441</v>
      </c>
      <c r="F1658" s="4">
        <v>28.01530533611389</v>
      </c>
      <c r="G1658" s="4">
        <v>22.7</v>
      </c>
      <c r="H1658" s="5">
        <v>37.125154057355552</v>
      </c>
      <c r="I1658" s="5">
        <v>39.014473609044451</v>
      </c>
      <c r="J1658" s="5">
        <v>48.454333019486107</v>
      </c>
      <c r="K1658" s="5">
        <v>51</v>
      </c>
    </row>
    <row r="1659" spans="1:11" x14ac:dyDescent="0.25">
      <c r="A1659" s="2">
        <v>46166.5</v>
      </c>
      <c r="B1659" t="str">
        <f t="shared" si="50"/>
        <v>2026-05</v>
      </c>
      <c r="C1659" s="3">
        <f t="shared" si="51"/>
        <v>12</v>
      </c>
      <c r="D1659" s="4">
        <v>27.049733943547221</v>
      </c>
      <c r="E1659" s="4">
        <v>27.51896836878333</v>
      </c>
      <c r="F1659" s="4">
        <v>28.008592396400001</v>
      </c>
      <c r="G1659" s="4">
        <v>23.5</v>
      </c>
      <c r="H1659" s="5">
        <v>35.26719018170278</v>
      </c>
      <c r="I1659" s="5">
        <v>36.790545302413889</v>
      </c>
      <c r="J1659" s="5">
        <v>48.241765003705552</v>
      </c>
      <c r="K1659" s="5">
        <v>48</v>
      </c>
    </row>
    <row r="1660" spans="1:11" x14ac:dyDescent="0.25">
      <c r="A1660" s="2">
        <v>46166.541666666657</v>
      </c>
      <c r="B1660" t="str">
        <f t="shared" si="50"/>
        <v>2026-05</v>
      </c>
      <c r="C1660" s="3">
        <f t="shared" si="51"/>
        <v>13</v>
      </c>
      <c r="D1660" s="4">
        <v>26.895697551670828</v>
      </c>
      <c r="E1660" s="4">
        <v>27.468436768033339</v>
      </c>
      <c r="F1660" s="4">
        <v>28.088150655072219</v>
      </c>
      <c r="G1660" s="4">
        <v>24</v>
      </c>
      <c r="H1660" s="5">
        <v>35.685875302279157</v>
      </c>
      <c r="I1660" s="5">
        <v>36.424576901127779</v>
      </c>
      <c r="J1660" s="5">
        <v>48.002119859980553</v>
      </c>
      <c r="K1660" s="5">
        <v>44</v>
      </c>
    </row>
    <row r="1661" spans="1:11" x14ac:dyDescent="0.25">
      <c r="A1661" s="2">
        <v>46166.583333333343</v>
      </c>
      <c r="B1661" t="str">
        <f t="shared" si="50"/>
        <v>2026-05</v>
      </c>
      <c r="C1661" s="3">
        <f t="shared" si="51"/>
        <v>14</v>
      </c>
      <c r="D1661" s="4"/>
      <c r="E1661" s="4">
        <v>27.473861616025001</v>
      </c>
      <c r="F1661" s="4">
        <v>28.273318010044449</v>
      </c>
      <c r="G1661" s="4">
        <v>24</v>
      </c>
      <c r="H1661" s="5"/>
      <c r="I1661" s="5">
        <v>35.444185869213889</v>
      </c>
      <c r="J1661" s="5">
        <v>47.866087793391671</v>
      </c>
      <c r="K1661" s="5">
        <v>43</v>
      </c>
    </row>
    <row r="1662" spans="1:11" x14ac:dyDescent="0.25">
      <c r="A1662" s="2">
        <v>46166.625</v>
      </c>
      <c r="B1662" t="str">
        <f t="shared" si="50"/>
        <v>2026-05</v>
      </c>
      <c r="C1662" s="3">
        <f t="shared" si="51"/>
        <v>15</v>
      </c>
      <c r="D1662" s="4">
        <v>26.48695483852979</v>
      </c>
      <c r="E1662" s="4">
        <v>27.647649278955559</v>
      </c>
      <c r="F1662" s="4">
        <v>28.28829402761389</v>
      </c>
      <c r="G1662" s="4">
        <v>25.4</v>
      </c>
      <c r="H1662" s="5">
        <v>32.435869710737791</v>
      </c>
      <c r="I1662" s="5">
        <v>33.764815229</v>
      </c>
      <c r="J1662" s="5">
        <v>46.54937383818055</v>
      </c>
      <c r="K1662" s="5">
        <v>34</v>
      </c>
    </row>
    <row r="1663" spans="1:11" x14ac:dyDescent="0.25">
      <c r="A1663" s="2">
        <v>46166.666666666657</v>
      </c>
      <c r="B1663" t="str">
        <f t="shared" si="50"/>
        <v>2026-05</v>
      </c>
      <c r="C1663" s="3">
        <f t="shared" si="51"/>
        <v>16</v>
      </c>
      <c r="D1663" s="4">
        <v>26.815691689869439</v>
      </c>
      <c r="E1663" s="4">
        <v>27.529934431086112</v>
      </c>
      <c r="F1663" s="4">
        <v>28.186316350919441</v>
      </c>
      <c r="G1663" s="4">
        <v>25.1</v>
      </c>
      <c r="H1663" s="5">
        <v>32.202546543519453</v>
      </c>
      <c r="I1663" s="5">
        <v>35.000411219880547</v>
      </c>
      <c r="J1663" s="5">
        <v>46.072554491763889</v>
      </c>
      <c r="K1663" s="5">
        <v>32</v>
      </c>
    </row>
    <row r="1664" spans="1:11" x14ac:dyDescent="0.25">
      <c r="A1664" s="2">
        <v>46166.708333333343</v>
      </c>
      <c r="B1664" t="str">
        <f t="shared" si="50"/>
        <v>2026-05</v>
      </c>
      <c r="C1664" s="3">
        <f t="shared" si="51"/>
        <v>17</v>
      </c>
      <c r="D1664" s="4">
        <v>26.880377901669441</v>
      </c>
      <c r="E1664" s="4">
        <v>27.400171469069441</v>
      </c>
      <c r="F1664" s="4">
        <v>28.238305620752779</v>
      </c>
      <c r="G1664" s="4">
        <v>25.2</v>
      </c>
      <c r="H1664" s="5">
        <v>31.57020798183056</v>
      </c>
      <c r="I1664" s="5">
        <v>34.111624970122222</v>
      </c>
      <c r="J1664" s="5">
        <v>46.542916888447223</v>
      </c>
      <c r="K1664" s="5">
        <v>30</v>
      </c>
    </row>
    <row r="1665" spans="1:11" x14ac:dyDescent="0.25">
      <c r="A1665" s="2">
        <v>46166.75</v>
      </c>
      <c r="B1665" t="str">
        <f t="shared" si="50"/>
        <v>2026-05</v>
      </c>
      <c r="C1665" s="3">
        <f t="shared" si="51"/>
        <v>18</v>
      </c>
      <c r="D1665" s="4">
        <v>26.806754061677779</v>
      </c>
      <c r="E1665" s="4">
        <v>27.406421142458331</v>
      </c>
      <c r="F1665" s="4">
        <v>28.224962609738888</v>
      </c>
      <c r="G1665" s="4">
        <v>24.8</v>
      </c>
      <c r="H1665" s="5">
        <v>32.023898755608343</v>
      </c>
      <c r="I1665" s="5">
        <v>34.258140273475</v>
      </c>
      <c r="J1665" s="5">
        <v>46.498115267141657</v>
      </c>
      <c r="K1665" s="5">
        <v>29</v>
      </c>
    </row>
    <row r="1666" spans="1:11" x14ac:dyDescent="0.25">
      <c r="A1666" s="2">
        <v>46166.791666666657</v>
      </c>
      <c r="B1666" t="str">
        <f t="shared" ref="B1666:B1729" si="52">TEXT(A1666,"yyyy-mm")</f>
        <v>2026-05</v>
      </c>
      <c r="C1666" s="3">
        <f t="shared" ref="C1666:C1729" si="53">HOUR(A1666)</f>
        <v>19</v>
      </c>
      <c r="D1666" s="4">
        <v>26.783240015033329</v>
      </c>
      <c r="E1666" s="4">
        <v>27.403232427238891</v>
      </c>
      <c r="F1666" s="4">
        <v>28.207687447600001</v>
      </c>
      <c r="G1666" s="4">
        <v>24</v>
      </c>
      <c r="H1666" s="5">
        <v>32.430668329330558</v>
      </c>
      <c r="I1666" s="5">
        <v>35.268053849638903</v>
      </c>
      <c r="J1666" s="5">
        <v>46.527823955133329</v>
      </c>
      <c r="K1666" s="5">
        <v>31</v>
      </c>
    </row>
    <row r="1667" spans="1:11" x14ac:dyDescent="0.25">
      <c r="A1667" s="2">
        <v>46166.833333333343</v>
      </c>
      <c r="B1667" t="str">
        <f t="shared" si="52"/>
        <v>2026-05</v>
      </c>
      <c r="C1667" s="3">
        <f t="shared" si="53"/>
        <v>20</v>
      </c>
      <c r="D1667" s="4">
        <v>26.30335999344166</v>
      </c>
      <c r="E1667" s="4">
        <v>27.207872126897211</v>
      </c>
      <c r="F1667" s="4">
        <v>28.19631266687778</v>
      </c>
      <c r="G1667" s="4">
        <v>23</v>
      </c>
      <c r="H1667" s="5">
        <v>33.711095919119437</v>
      </c>
      <c r="I1667" s="5">
        <v>35.696228651924997</v>
      </c>
      <c r="J1667" s="5">
        <v>46.434572408094454</v>
      </c>
      <c r="K1667" s="5">
        <v>32</v>
      </c>
    </row>
    <row r="1668" spans="1:11" x14ac:dyDescent="0.25">
      <c r="A1668" s="2">
        <v>46166.875</v>
      </c>
      <c r="B1668" t="str">
        <f t="shared" si="52"/>
        <v>2026-05</v>
      </c>
      <c r="C1668" s="3">
        <f t="shared" si="53"/>
        <v>21</v>
      </c>
      <c r="D1668" s="4">
        <v>24.990502992244441</v>
      </c>
      <c r="E1668" s="4">
        <v>27.47062994263333</v>
      </c>
      <c r="F1668" s="4">
        <v>27.748169853438881</v>
      </c>
      <c r="G1668" s="4">
        <v>21.7</v>
      </c>
      <c r="H1668" s="5">
        <v>37.410731347313892</v>
      </c>
      <c r="I1668" s="5">
        <v>36.682017701833338</v>
      </c>
      <c r="J1668" s="5">
        <v>45.799372257155561</v>
      </c>
      <c r="K1668" s="5">
        <v>39</v>
      </c>
    </row>
    <row r="1669" spans="1:11" x14ac:dyDescent="0.25">
      <c r="A1669" s="2">
        <v>46166.916666666657</v>
      </c>
      <c r="B1669" t="str">
        <f t="shared" si="52"/>
        <v>2026-05</v>
      </c>
      <c r="C1669" s="3">
        <f t="shared" si="53"/>
        <v>22</v>
      </c>
      <c r="D1669" s="4">
        <v>22.25419860326112</v>
      </c>
      <c r="E1669" s="4">
        <v>27.367907351711111</v>
      </c>
      <c r="F1669" s="4">
        <v>27.135905909652781</v>
      </c>
      <c r="G1669" s="4">
        <v>20.5</v>
      </c>
      <c r="H1669" s="5">
        <v>41.309386989425001</v>
      </c>
      <c r="I1669" s="5">
        <v>34.252411974441657</v>
      </c>
      <c r="J1669" s="5">
        <v>44.332345579036122</v>
      </c>
      <c r="K1669" s="5">
        <v>42</v>
      </c>
    </row>
    <row r="1670" spans="1:11" x14ac:dyDescent="0.25">
      <c r="A1670" s="2">
        <v>46166.958333333343</v>
      </c>
      <c r="B1670" t="str">
        <f t="shared" si="52"/>
        <v>2026-05</v>
      </c>
      <c r="C1670" s="3">
        <f t="shared" si="53"/>
        <v>23</v>
      </c>
      <c r="D1670" s="4">
        <v>21.872715893961111</v>
      </c>
      <c r="E1670" s="4">
        <v>27.33505257781389</v>
      </c>
      <c r="F1670" s="4">
        <v>26.963175364755561</v>
      </c>
      <c r="G1670" s="4">
        <v>19.7</v>
      </c>
      <c r="H1670" s="5">
        <v>41.829197110800003</v>
      </c>
      <c r="I1670" s="5">
        <v>33.699181878241667</v>
      </c>
      <c r="J1670" s="5">
        <v>44.118075172238889</v>
      </c>
      <c r="K1670" s="5">
        <v>45</v>
      </c>
    </row>
    <row r="1671" spans="1:11" x14ac:dyDescent="0.25">
      <c r="A1671" s="2">
        <v>46167</v>
      </c>
      <c r="B1671" t="str">
        <f t="shared" si="52"/>
        <v>2026-05</v>
      </c>
      <c r="C1671" s="3">
        <f t="shared" si="53"/>
        <v>0</v>
      </c>
      <c r="D1671" s="4">
        <v>21.705371380305561</v>
      </c>
      <c r="E1671" s="4">
        <v>27.053827367930559</v>
      </c>
      <c r="F1671" s="4">
        <v>26.918585952000001</v>
      </c>
      <c r="G1671" s="4">
        <v>18.8</v>
      </c>
      <c r="H1671" s="5">
        <v>42.104084780374997</v>
      </c>
      <c r="I1671" s="5">
        <v>34.432028502149997</v>
      </c>
      <c r="J1671" s="5">
        <v>44.103688356200003</v>
      </c>
      <c r="K1671" s="5">
        <v>49</v>
      </c>
    </row>
    <row r="1672" spans="1:11" x14ac:dyDescent="0.25">
      <c r="A1672" s="2">
        <v>46167.041666666657</v>
      </c>
      <c r="B1672" t="str">
        <f t="shared" si="52"/>
        <v>2026-05</v>
      </c>
      <c r="C1672" s="3">
        <f t="shared" si="53"/>
        <v>1</v>
      </c>
      <c r="D1672" s="4">
        <v>21.12653579734722</v>
      </c>
      <c r="E1672" s="4">
        <v>26.60971599201666</v>
      </c>
      <c r="F1672" s="4">
        <v>27.375400915124999</v>
      </c>
      <c r="G1672" s="4">
        <v>17.7</v>
      </c>
      <c r="H1672" s="5">
        <v>44.080014356094438</v>
      </c>
      <c r="I1672" s="5">
        <v>34.444379235247219</v>
      </c>
      <c r="J1672" s="5">
        <v>44.535984698305562</v>
      </c>
      <c r="K1672" s="5">
        <v>55</v>
      </c>
    </row>
    <row r="1673" spans="1:11" x14ac:dyDescent="0.25">
      <c r="A1673" s="2">
        <v>46167.083333333343</v>
      </c>
      <c r="B1673" t="str">
        <f t="shared" si="52"/>
        <v>2026-05</v>
      </c>
      <c r="C1673" s="3">
        <f t="shared" si="53"/>
        <v>2</v>
      </c>
      <c r="D1673" s="4">
        <v>20.653100461747229</v>
      </c>
      <c r="E1673" s="4">
        <v>26.04877611645556</v>
      </c>
      <c r="F1673" s="4">
        <v>27.615400734352772</v>
      </c>
      <c r="G1673" s="4">
        <v>17.100000000000001</v>
      </c>
      <c r="H1673" s="5">
        <v>44.410884951991669</v>
      </c>
      <c r="I1673" s="5">
        <v>34.289402696166668</v>
      </c>
      <c r="J1673" s="5">
        <v>44.616481424769439</v>
      </c>
      <c r="K1673" s="5">
        <v>58</v>
      </c>
    </row>
    <row r="1674" spans="1:11" x14ac:dyDescent="0.25">
      <c r="A1674" s="2">
        <v>46167.125</v>
      </c>
      <c r="B1674" t="str">
        <f t="shared" si="52"/>
        <v>2026-05</v>
      </c>
      <c r="C1674" s="3">
        <f t="shared" si="53"/>
        <v>3</v>
      </c>
      <c r="D1674" s="4">
        <v>20.245050386930561</v>
      </c>
      <c r="E1674" s="4">
        <v>25.83457914798889</v>
      </c>
      <c r="F1674" s="4">
        <v>27.690779451333331</v>
      </c>
      <c r="G1674" s="4">
        <v>16.2</v>
      </c>
      <c r="H1674" s="5">
        <v>45.300647036502788</v>
      </c>
      <c r="I1674" s="5">
        <v>34.413260610133342</v>
      </c>
      <c r="J1674" s="5">
        <v>44.583035983905553</v>
      </c>
      <c r="K1674" s="5">
        <v>63</v>
      </c>
    </row>
    <row r="1675" spans="1:11" x14ac:dyDescent="0.25">
      <c r="A1675" s="2">
        <v>46167.166666666657</v>
      </c>
      <c r="B1675" t="str">
        <f t="shared" si="52"/>
        <v>2026-05</v>
      </c>
      <c r="C1675" s="3">
        <f t="shared" si="53"/>
        <v>4</v>
      </c>
      <c r="D1675" s="4">
        <v>19.572982413794449</v>
      </c>
      <c r="E1675" s="4">
        <v>25.597910767152779</v>
      </c>
      <c r="F1675" s="4">
        <v>27.726028617794441</v>
      </c>
      <c r="G1675" s="4">
        <v>15.5</v>
      </c>
      <c r="H1675" s="5">
        <v>47.577195210119449</v>
      </c>
      <c r="I1675" s="5">
        <v>35.115240965244453</v>
      </c>
      <c r="J1675" s="5">
        <v>44.570646592075001</v>
      </c>
      <c r="K1675" s="5">
        <v>65</v>
      </c>
    </row>
    <row r="1676" spans="1:11" x14ac:dyDescent="0.25">
      <c r="A1676" s="2">
        <v>46167.208333333343</v>
      </c>
      <c r="B1676" t="str">
        <f t="shared" si="52"/>
        <v>2026-05</v>
      </c>
      <c r="C1676" s="3">
        <f t="shared" si="53"/>
        <v>5</v>
      </c>
      <c r="D1676" s="4">
        <v>20.172071862180559</v>
      </c>
      <c r="E1676" s="4">
        <v>25.754925914738891</v>
      </c>
      <c r="F1676" s="4">
        <v>27.759547661280561</v>
      </c>
      <c r="G1676" s="4">
        <v>14.9</v>
      </c>
      <c r="H1676" s="5">
        <v>49.126577047133338</v>
      </c>
      <c r="I1676" s="5">
        <v>36.239562533219441</v>
      </c>
      <c r="J1676" s="5">
        <v>44.591599573688889</v>
      </c>
      <c r="K1676" s="5">
        <v>68</v>
      </c>
    </row>
    <row r="1677" spans="1:11" x14ac:dyDescent="0.25">
      <c r="A1677" s="2">
        <v>46167.25</v>
      </c>
      <c r="B1677" t="str">
        <f t="shared" si="52"/>
        <v>2026-05</v>
      </c>
      <c r="C1677" s="3">
        <f t="shared" si="53"/>
        <v>6</v>
      </c>
      <c r="D1677" s="4">
        <v>22.744852912936111</v>
      </c>
      <c r="E1677" s="4">
        <v>26.306729851602778</v>
      </c>
      <c r="F1677" s="4">
        <v>27.794491235463891</v>
      </c>
      <c r="G1677" s="4">
        <v>15.8</v>
      </c>
      <c r="H1677" s="5">
        <v>43.922131201363896</v>
      </c>
      <c r="I1677" s="5">
        <v>37.987866488327782</v>
      </c>
      <c r="J1677" s="5">
        <v>44.929739292155553</v>
      </c>
      <c r="K1677" s="5">
        <v>65</v>
      </c>
    </row>
    <row r="1678" spans="1:11" x14ac:dyDescent="0.25">
      <c r="A1678" s="2">
        <v>46167.291666666657</v>
      </c>
      <c r="B1678" t="str">
        <f t="shared" si="52"/>
        <v>2026-05</v>
      </c>
      <c r="C1678" s="3">
        <f t="shared" si="53"/>
        <v>7</v>
      </c>
      <c r="D1678" s="4">
        <v>24.386672093066661</v>
      </c>
      <c r="E1678" s="4">
        <v>26.698875428105559</v>
      </c>
      <c r="F1678" s="4">
        <v>27.836742431147218</v>
      </c>
      <c r="G1678" s="4">
        <v>17.7</v>
      </c>
      <c r="H1678" s="5">
        <v>38.956917285655557</v>
      </c>
      <c r="I1678" s="5">
        <v>37.266301330122218</v>
      </c>
      <c r="J1678" s="5">
        <v>45.023131879894443</v>
      </c>
      <c r="K1678" s="5">
        <v>58</v>
      </c>
    </row>
    <row r="1679" spans="1:11" x14ac:dyDescent="0.25">
      <c r="A1679" s="2">
        <v>46167.333333333343</v>
      </c>
      <c r="B1679" t="str">
        <f t="shared" si="52"/>
        <v>2026-05</v>
      </c>
      <c r="C1679" s="3">
        <f t="shared" si="53"/>
        <v>8</v>
      </c>
      <c r="D1679" s="4">
        <v>25.496054280211109</v>
      </c>
      <c r="E1679" s="4">
        <v>27.13022955769722</v>
      </c>
      <c r="F1679" s="4">
        <v>27.915337438272221</v>
      </c>
      <c r="G1679" s="4">
        <v>20.100000000000001</v>
      </c>
      <c r="H1679" s="5">
        <v>37.159869274261112</v>
      </c>
      <c r="I1679" s="5">
        <v>36.743705984338888</v>
      </c>
      <c r="J1679" s="5">
        <v>45.123508807158338</v>
      </c>
      <c r="K1679" s="5">
        <v>50</v>
      </c>
    </row>
    <row r="1680" spans="1:11" x14ac:dyDescent="0.25">
      <c r="A1680" s="2">
        <v>46167.375</v>
      </c>
      <c r="B1680" t="str">
        <f t="shared" si="52"/>
        <v>2026-05</v>
      </c>
      <c r="C1680" s="3">
        <f t="shared" si="53"/>
        <v>9</v>
      </c>
      <c r="D1680" s="4">
        <v>24.945618119716659</v>
      </c>
      <c r="E1680" s="4">
        <v>27.05912299384444</v>
      </c>
      <c r="F1680" s="4">
        <v>27.978117439502778</v>
      </c>
      <c r="G1680" s="4">
        <v>21.9</v>
      </c>
      <c r="H1680" s="5">
        <v>40.202904404788889</v>
      </c>
      <c r="I1680" s="5">
        <v>37.919706024080561</v>
      </c>
      <c r="J1680" s="5">
        <v>45.193030689872216</v>
      </c>
      <c r="K1680" s="5">
        <v>44</v>
      </c>
    </row>
    <row r="1681" spans="1:11" x14ac:dyDescent="0.25">
      <c r="A1681" s="2">
        <v>46167.416666666657</v>
      </c>
      <c r="B1681" t="str">
        <f t="shared" si="52"/>
        <v>2026-05</v>
      </c>
      <c r="C1681" s="3">
        <f t="shared" si="53"/>
        <v>10</v>
      </c>
      <c r="D1681" s="4">
        <v>25.632431844525001</v>
      </c>
      <c r="E1681" s="4">
        <v>27.185197141549999</v>
      </c>
      <c r="F1681" s="4">
        <v>27.977853606627772</v>
      </c>
      <c r="G1681" s="4">
        <v>18.7</v>
      </c>
      <c r="H1681" s="5">
        <v>38.990388020713887</v>
      </c>
      <c r="I1681" s="5">
        <v>37.359173260749998</v>
      </c>
      <c r="J1681" s="5">
        <v>45.350243911013898</v>
      </c>
      <c r="K1681" s="5">
        <v>65</v>
      </c>
    </row>
    <row r="1682" spans="1:11" x14ac:dyDescent="0.25">
      <c r="A1682" s="2">
        <v>46167.458333333343</v>
      </c>
      <c r="B1682" t="str">
        <f t="shared" si="52"/>
        <v>2026-05</v>
      </c>
      <c r="C1682" s="3">
        <f t="shared" si="53"/>
        <v>11</v>
      </c>
      <c r="D1682" s="4">
        <v>22.405122958780559</v>
      </c>
      <c r="E1682" s="4">
        <v>27.106018638991671</v>
      </c>
      <c r="F1682" s="4">
        <v>28.010094828955559</v>
      </c>
      <c r="G1682" s="4">
        <v>21.4</v>
      </c>
      <c r="H1682" s="5">
        <v>51.832942633547233</v>
      </c>
      <c r="I1682" s="5">
        <v>40.862091873680562</v>
      </c>
      <c r="J1682" s="5">
        <v>45.588998436341662</v>
      </c>
      <c r="K1682" s="5">
        <v>51</v>
      </c>
    </row>
    <row r="1683" spans="1:11" x14ac:dyDescent="0.25">
      <c r="A1683" s="2">
        <v>46167.5</v>
      </c>
      <c r="B1683" t="str">
        <f t="shared" si="52"/>
        <v>2026-05</v>
      </c>
      <c r="C1683" s="3">
        <f t="shared" si="53"/>
        <v>12</v>
      </c>
      <c r="D1683" s="4">
        <v>24.400102964861109</v>
      </c>
      <c r="E1683" s="4">
        <v>27.14121362348056</v>
      </c>
      <c r="F1683" s="4">
        <v>28.000037690477779</v>
      </c>
      <c r="G1683" s="4">
        <v>22.7</v>
      </c>
      <c r="H1683" s="5">
        <v>47.659263347611109</v>
      </c>
      <c r="I1683" s="5">
        <v>41.623104788472233</v>
      </c>
      <c r="J1683" s="5">
        <v>46.013532673019448</v>
      </c>
      <c r="K1683" s="5">
        <v>48</v>
      </c>
    </row>
    <row r="1684" spans="1:11" x14ac:dyDescent="0.25">
      <c r="A1684" s="2">
        <v>46167.541666666657</v>
      </c>
      <c r="B1684" t="str">
        <f t="shared" si="52"/>
        <v>2026-05</v>
      </c>
      <c r="C1684" s="3">
        <f t="shared" si="53"/>
        <v>13</v>
      </c>
      <c r="D1684" s="4">
        <v>25.159165379408339</v>
      </c>
      <c r="E1684" s="4">
        <v>27.138617985113889</v>
      </c>
      <c r="F1684" s="4">
        <v>27.995583150072221</v>
      </c>
      <c r="G1684" s="4">
        <v>23.6</v>
      </c>
      <c r="H1684" s="5">
        <v>43.170485117894437</v>
      </c>
      <c r="I1684" s="5">
        <v>39.419282644452778</v>
      </c>
      <c r="J1684" s="5">
        <v>46.121508513055552</v>
      </c>
      <c r="K1684" s="5">
        <v>47</v>
      </c>
    </row>
    <row r="1685" spans="1:11" x14ac:dyDescent="0.25">
      <c r="A1685" s="2">
        <v>46167.583333333343</v>
      </c>
      <c r="B1685" t="str">
        <f t="shared" si="52"/>
        <v>2026-05</v>
      </c>
      <c r="C1685" s="3">
        <f t="shared" si="53"/>
        <v>14</v>
      </c>
      <c r="D1685" s="4">
        <v>25.707201539147221</v>
      </c>
      <c r="E1685" s="4">
        <v>27.272866679130551</v>
      </c>
      <c r="F1685" s="4">
        <v>27.998638824586109</v>
      </c>
      <c r="G1685" s="4">
        <v>24</v>
      </c>
      <c r="H1685" s="5">
        <v>41.38757288170833</v>
      </c>
      <c r="I1685" s="5">
        <v>38.891394449572232</v>
      </c>
      <c r="J1685" s="5">
        <v>46.13908553200833</v>
      </c>
      <c r="K1685" s="5">
        <v>42</v>
      </c>
    </row>
    <row r="1686" spans="1:11" x14ac:dyDescent="0.25">
      <c r="A1686" s="2">
        <v>46167.625</v>
      </c>
      <c r="B1686" t="str">
        <f t="shared" si="52"/>
        <v>2026-05</v>
      </c>
      <c r="C1686" s="3">
        <f t="shared" si="53"/>
        <v>15</v>
      </c>
      <c r="D1686" s="4">
        <v>25.729202889216669</v>
      </c>
      <c r="E1686" s="4">
        <v>27.41116256242222</v>
      </c>
      <c r="F1686" s="4">
        <v>28.00364866269722</v>
      </c>
      <c r="G1686" s="4">
        <v>23.6</v>
      </c>
      <c r="H1686" s="5">
        <v>37.204633480180561</v>
      </c>
      <c r="I1686" s="5">
        <v>36.407866436394443</v>
      </c>
      <c r="J1686" s="5">
        <v>46.107638023652783</v>
      </c>
      <c r="K1686" s="5">
        <v>45</v>
      </c>
    </row>
    <row r="1687" spans="1:11" x14ac:dyDescent="0.25">
      <c r="A1687" s="2">
        <v>46167.666666666657</v>
      </c>
      <c r="B1687" t="str">
        <f t="shared" si="52"/>
        <v>2026-05</v>
      </c>
      <c r="C1687" s="3">
        <f t="shared" si="53"/>
        <v>16</v>
      </c>
      <c r="D1687" s="4">
        <v>25.82952846678889</v>
      </c>
      <c r="E1687" s="4">
        <v>27.47840369713612</v>
      </c>
      <c r="F1687" s="4">
        <v>28.003211959972219</v>
      </c>
      <c r="G1687" s="4">
        <v>23.9</v>
      </c>
      <c r="H1687" s="5">
        <v>32.091070485558333</v>
      </c>
      <c r="I1687" s="5">
        <v>31.92760947027222</v>
      </c>
      <c r="J1687" s="5">
        <v>45.760858753863893</v>
      </c>
      <c r="K1687" s="5">
        <v>36</v>
      </c>
    </row>
    <row r="1688" spans="1:11" x14ac:dyDescent="0.25">
      <c r="A1688" s="2">
        <v>46167.708333333343</v>
      </c>
      <c r="B1688" t="str">
        <f t="shared" si="52"/>
        <v>2026-05</v>
      </c>
      <c r="C1688" s="3">
        <f t="shared" si="53"/>
        <v>17</v>
      </c>
      <c r="D1688" s="4">
        <v>25.80684773466389</v>
      </c>
      <c r="E1688" s="4">
        <v>27.413034119916659</v>
      </c>
      <c r="F1688" s="4">
        <v>27.681037005288889</v>
      </c>
      <c r="G1688" s="4">
        <v>23.6</v>
      </c>
      <c r="H1688" s="5">
        <v>30.941507730347219</v>
      </c>
      <c r="I1688" s="5">
        <v>32.192284640341668</v>
      </c>
      <c r="J1688" s="5">
        <v>42.503101961727779</v>
      </c>
      <c r="K1688" s="5">
        <v>32</v>
      </c>
    </row>
    <row r="1689" spans="1:11" x14ac:dyDescent="0.25">
      <c r="A1689" s="2">
        <v>46167.75</v>
      </c>
      <c r="B1689" t="str">
        <f t="shared" si="52"/>
        <v>2026-05</v>
      </c>
      <c r="C1689" s="3">
        <f t="shared" si="53"/>
        <v>18</v>
      </c>
      <c r="D1689" s="4">
        <v>25.556082938944449</v>
      </c>
      <c r="E1689" s="4"/>
      <c r="F1689" s="4">
        <v>27.322347444066661</v>
      </c>
      <c r="G1689" s="4">
        <v>22.7</v>
      </c>
      <c r="H1689" s="5">
        <v>30.615346280583331</v>
      </c>
      <c r="I1689" s="5"/>
      <c r="J1689" s="5">
        <v>43.032411162794453</v>
      </c>
      <c r="K1689" s="5">
        <v>35</v>
      </c>
    </row>
    <row r="1690" spans="1:11" x14ac:dyDescent="0.25">
      <c r="A1690" s="2">
        <v>46167.791666666657</v>
      </c>
      <c r="B1690" t="str">
        <f t="shared" si="52"/>
        <v>2026-05</v>
      </c>
      <c r="C1690" s="3">
        <f t="shared" si="53"/>
        <v>19</v>
      </c>
      <c r="D1690" s="4">
        <v>24.86018994214167</v>
      </c>
      <c r="E1690" s="4">
        <v>27.06026327644879</v>
      </c>
      <c r="F1690" s="4">
        <v>27.23136320255556</v>
      </c>
      <c r="G1690" s="4">
        <v>21.6</v>
      </c>
      <c r="H1690" s="5">
        <v>32.781817122411113</v>
      </c>
      <c r="I1690" s="5">
        <v>35.804712484160383</v>
      </c>
      <c r="J1690" s="5">
        <v>42.761659739727783</v>
      </c>
      <c r="K1690" s="5">
        <v>39</v>
      </c>
    </row>
    <row r="1691" spans="1:11" x14ac:dyDescent="0.25">
      <c r="A1691" s="2">
        <v>46167.833333333343</v>
      </c>
      <c r="B1691" t="str">
        <f t="shared" si="52"/>
        <v>2026-05</v>
      </c>
      <c r="C1691" s="3">
        <f t="shared" si="53"/>
        <v>20</v>
      </c>
      <c r="D1691" s="4">
        <v>23.653179880366672</v>
      </c>
      <c r="E1691" s="4">
        <v>27.30850433165277</v>
      </c>
      <c r="F1691" s="4">
        <v>27.01477402308333</v>
      </c>
      <c r="G1691" s="4">
        <v>20.399999999999999</v>
      </c>
      <c r="H1691" s="5">
        <v>36.041723080808332</v>
      </c>
      <c r="I1691" s="5">
        <v>33.027092024000012</v>
      </c>
      <c r="J1691" s="5">
        <v>42.794655590475003</v>
      </c>
      <c r="K1691" s="5">
        <v>45</v>
      </c>
    </row>
    <row r="1692" spans="1:11" x14ac:dyDescent="0.25">
      <c r="A1692" s="2">
        <v>46167.875</v>
      </c>
      <c r="B1692" t="str">
        <f t="shared" si="52"/>
        <v>2026-05</v>
      </c>
      <c r="C1692" s="3">
        <f t="shared" si="53"/>
        <v>21</v>
      </c>
      <c r="D1692" s="4">
        <v>22.86309465415</v>
      </c>
      <c r="E1692" s="4">
        <v>27.202446880588891</v>
      </c>
      <c r="F1692" s="4">
        <v>26.72370853400556</v>
      </c>
      <c r="G1692" s="4">
        <v>19.399999999999999</v>
      </c>
      <c r="H1692" s="5">
        <v>37.487529716105549</v>
      </c>
      <c r="I1692" s="5">
        <v>33.363980977622219</v>
      </c>
      <c r="J1692" s="5">
        <v>42.913789631336108</v>
      </c>
      <c r="K1692" s="5">
        <v>49</v>
      </c>
    </row>
    <row r="1693" spans="1:11" x14ac:dyDescent="0.25">
      <c r="A1693" s="2">
        <v>46167.916666666657</v>
      </c>
      <c r="B1693" t="str">
        <f t="shared" si="52"/>
        <v>2026-05</v>
      </c>
      <c r="C1693" s="3">
        <f t="shared" si="53"/>
        <v>22</v>
      </c>
      <c r="D1693" s="4">
        <v>22.884748427544451</v>
      </c>
      <c r="E1693" s="4">
        <v>26.940273554952778</v>
      </c>
      <c r="F1693" s="4">
        <v>26.74265852509722</v>
      </c>
      <c r="G1693" s="4">
        <v>18.5</v>
      </c>
      <c r="H1693" s="5">
        <v>37.111682950261113</v>
      </c>
      <c r="I1693" s="5">
        <v>33.152723452141657</v>
      </c>
      <c r="J1693" s="5">
        <v>42.485520864913887</v>
      </c>
      <c r="K1693" s="5">
        <v>52</v>
      </c>
    </row>
    <row r="1694" spans="1:11" x14ac:dyDescent="0.25">
      <c r="A1694" s="2">
        <v>46167.958333333343</v>
      </c>
      <c r="B1694" t="str">
        <f t="shared" si="52"/>
        <v>2026-05</v>
      </c>
      <c r="C1694" s="3">
        <f t="shared" si="53"/>
        <v>23</v>
      </c>
      <c r="D1694" s="4">
        <v>22.81781890323612</v>
      </c>
      <c r="E1694" s="4">
        <v>26.848972104641661</v>
      </c>
      <c r="F1694" s="4">
        <v>26.794829447211111</v>
      </c>
      <c r="G1694" s="4">
        <v>17.7</v>
      </c>
      <c r="H1694" s="5">
        <v>37.740949366927779</v>
      </c>
      <c r="I1694" s="5">
        <v>34.793074181324997</v>
      </c>
      <c r="J1694" s="5">
        <v>42.801180841680562</v>
      </c>
      <c r="K1694" s="5">
        <v>54</v>
      </c>
    </row>
    <row r="1695" spans="1:11" x14ac:dyDescent="0.25">
      <c r="A1695" s="2">
        <v>46168</v>
      </c>
      <c r="B1695" t="str">
        <f t="shared" si="52"/>
        <v>2026-05</v>
      </c>
      <c r="C1695" s="3">
        <f t="shared" si="53"/>
        <v>0</v>
      </c>
      <c r="D1695" s="4">
        <v>22.913014763650001</v>
      </c>
      <c r="E1695" s="4">
        <v>26.82013487985278</v>
      </c>
      <c r="F1695" s="4">
        <v>26.842408199913891</v>
      </c>
      <c r="G1695" s="4">
        <v>17.100000000000001</v>
      </c>
      <c r="H1695" s="5">
        <v>36.138578603891673</v>
      </c>
      <c r="I1695" s="5">
        <v>34.378158479605553</v>
      </c>
      <c r="J1695" s="5">
        <v>42.192893926244437</v>
      </c>
      <c r="K1695" s="5">
        <v>55</v>
      </c>
    </row>
    <row r="1696" spans="1:11" x14ac:dyDescent="0.25">
      <c r="A1696" s="2">
        <v>46168.041666666657</v>
      </c>
      <c r="B1696" t="str">
        <f t="shared" si="52"/>
        <v>2026-05</v>
      </c>
      <c r="C1696" s="3">
        <f t="shared" si="53"/>
        <v>1</v>
      </c>
      <c r="D1696" s="4">
        <v>22.234813972030551</v>
      </c>
      <c r="E1696" s="4">
        <v>26.638578611850001</v>
      </c>
      <c r="F1696" s="4">
        <v>26.962378332175</v>
      </c>
      <c r="G1696" s="4">
        <v>16.600000000000001</v>
      </c>
      <c r="H1696" s="5">
        <v>36.552384297258328</v>
      </c>
      <c r="I1696" s="5">
        <v>31.72142267378333</v>
      </c>
      <c r="J1696" s="5">
        <v>41.501381026319443</v>
      </c>
      <c r="K1696" s="5">
        <v>55</v>
      </c>
    </row>
    <row r="1697" spans="1:11" x14ac:dyDescent="0.25">
      <c r="A1697" s="2">
        <v>46168.083333333343</v>
      </c>
      <c r="B1697" t="str">
        <f t="shared" si="52"/>
        <v>2026-05</v>
      </c>
      <c r="C1697" s="3">
        <f t="shared" si="53"/>
        <v>2</v>
      </c>
      <c r="D1697" s="4">
        <v>21.289422975255562</v>
      </c>
      <c r="E1697" s="4">
        <v>26.22594566331945</v>
      </c>
      <c r="F1697" s="4">
        <v>27.494223696133329</v>
      </c>
      <c r="G1697" s="4">
        <v>16.2</v>
      </c>
      <c r="H1697" s="5">
        <v>39.060000954466673</v>
      </c>
      <c r="I1697" s="5">
        <v>32.09199547776111</v>
      </c>
      <c r="J1697" s="5">
        <v>42.06089737452222</v>
      </c>
      <c r="K1697" s="5">
        <v>55</v>
      </c>
    </row>
    <row r="1698" spans="1:11" x14ac:dyDescent="0.25">
      <c r="A1698" s="2">
        <v>46168.125</v>
      </c>
      <c r="B1698" t="str">
        <f t="shared" si="52"/>
        <v>2026-05</v>
      </c>
      <c r="C1698" s="3">
        <f t="shared" si="53"/>
        <v>3</v>
      </c>
      <c r="D1698" s="4">
        <v>20.551688374305559</v>
      </c>
      <c r="E1698" s="4">
        <v>25.685707435411121</v>
      </c>
      <c r="F1698" s="4">
        <v>27.768285243441671</v>
      </c>
      <c r="G1698" s="4">
        <v>15.4</v>
      </c>
      <c r="H1698" s="5">
        <v>40.917208428172223</v>
      </c>
      <c r="I1698" s="5">
        <v>32.408318178108338</v>
      </c>
      <c r="J1698" s="5">
        <v>41.989046391591657</v>
      </c>
      <c r="K1698" s="5">
        <v>57</v>
      </c>
    </row>
    <row r="1699" spans="1:11" x14ac:dyDescent="0.25">
      <c r="A1699" s="2">
        <v>46168.166666666657</v>
      </c>
      <c r="B1699" t="str">
        <f t="shared" si="52"/>
        <v>2026-05</v>
      </c>
      <c r="C1699" s="3">
        <f t="shared" si="53"/>
        <v>4</v>
      </c>
      <c r="D1699" s="4">
        <v>20.904929957986109</v>
      </c>
      <c r="E1699" s="4">
        <v>25.378356499052781</v>
      </c>
      <c r="F1699" s="4">
        <v>27.56328359986945</v>
      </c>
      <c r="G1699" s="4">
        <v>14.6</v>
      </c>
      <c r="H1699" s="5">
        <v>41.206734802772232</v>
      </c>
      <c r="I1699" s="5">
        <v>33.571748914663893</v>
      </c>
      <c r="J1699" s="5">
        <v>42.453039311619442</v>
      </c>
      <c r="K1699" s="5">
        <v>61</v>
      </c>
    </row>
    <row r="1700" spans="1:11" x14ac:dyDescent="0.25">
      <c r="A1700" s="2">
        <v>46168.208333333343</v>
      </c>
      <c r="B1700" t="str">
        <f t="shared" si="52"/>
        <v>2026-05</v>
      </c>
      <c r="C1700" s="3">
        <f t="shared" si="53"/>
        <v>5</v>
      </c>
      <c r="D1700" s="4">
        <v>20.784382104555561</v>
      </c>
      <c r="E1700" s="4">
        <v>25.142131974775001</v>
      </c>
      <c r="F1700" s="4">
        <v>27.52191192251389</v>
      </c>
      <c r="G1700" s="4">
        <v>14.3</v>
      </c>
      <c r="H1700" s="5">
        <v>42.113203937397223</v>
      </c>
      <c r="I1700" s="5">
        <v>34.329809390469443</v>
      </c>
      <c r="J1700" s="5">
        <v>42.684192393525002</v>
      </c>
      <c r="K1700" s="5">
        <v>63</v>
      </c>
    </row>
    <row r="1701" spans="1:11" x14ac:dyDescent="0.25">
      <c r="A1701" s="2">
        <v>46168.25</v>
      </c>
      <c r="B1701" t="str">
        <f t="shared" si="52"/>
        <v>2026-05</v>
      </c>
      <c r="C1701" s="3">
        <f t="shared" si="53"/>
        <v>6</v>
      </c>
      <c r="D1701" s="4">
        <v>21.098078561938891</v>
      </c>
      <c r="E1701" s="4">
        <v>25.09777456988056</v>
      </c>
      <c r="F1701" s="4">
        <v>27.537982092341672</v>
      </c>
      <c r="G1701" s="4">
        <v>14.8</v>
      </c>
      <c r="H1701" s="5">
        <v>42.221632977627777</v>
      </c>
      <c r="I1701" s="5">
        <v>35.043148387022228</v>
      </c>
      <c r="J1701" s="5">
        <v>42.821186986000008</v>
      </c>
      <c r="K1701" s="5">
        <v>61</v>
      </c>
    </row>
    <row r="1702" spans="1:11" x14ac:dyDescent="0.25">
      <c r="A1702" s="2">
        <v>46168.291666666657</v>
      </c>
      <c r="B1702" t="str">
        <f t="shared" si="52"/>
        <v>2026-05</v>
      </c>
      <c r="C1702" s="3">
        <f t="shared" si="53"/>
        <v>7</v>
      </c>
      <c r="D1702" s="4">
        <v>22.621739307297229</v>
      </c>
      <c r="E1702" s="4">
        <v>25.523681918244449</v>
      </c>
      <c r="F1702" s="4">
        <v>27.61526592445556</v>
      </c>
      <c r="G1702" s="4">
        <v>16</v>
      </c>
      <c r="H1702" s="5">
        <v>39.383767159980557</v>
      </c>
      <c r="I1702" s="5">
        <v>34.919512454269437</v>
      </c>
      <c r="J1702" s="5">
        <v>42.884735368591663</v>
      </c>
      <c r="K1702" s="5">
        <v>59</v>
      </c>
    </row>
    <row r="1703" spans="1:11" x14ac:dyDescent="0.25">
      <c r="A1703" s="2">
        <v>46168.333333333343</v>
      </c>
      <c r="B1703" t="str">
        <f t="shared" si="52"/>
        <v>2026-05</v>
      </c>
      <c r="C1703" s="3">
        <f t="shared" si="53"/>
        <v>8</v>
      </c>
      <c r="D1703" s="4">
        <v>23.11415150017778</v>
      </c>
      <c r="E1703" s="4">
        <v>25.85091921235556</v>
      </c>
      <c r="F1703" s="4">
        <v>27.820278205783332</v>
      </c>
      <c r="G1703" s="4">
        <v>17.2</v>
      </c>
      <c r="H1703" s="5">
        <v>38.733986067025</v>
      </c>
      <c r="I1703" s="5">
        <v>34.84083251018334</v>
      </c>
      <c r="J1703" s="5">
        <v>42.777010315202773</v>
      </c>
      <c r="K1703" s="5">
        <v>56</v>
      </c>
    </row>
    <row r="1704" spans="1:11" x14ac:dyDescent="0.25">
      <c r="A1704" s="2">
        <v>46168.375</v>
      </c>
      <c r="B1704" t="str">
        <f t="shared" si="52"/>
        <v>2026-05</v>
      </c>
      <c r="C1704" s="3">
        <f t="shared" si="53"/>
        <v>9</v>
      </c>
      <c r="D1704" s="4">
        <v>23.119175738038891</v>
      </c>
      <c r="E1704" s="4">
        <v>25.66943211993889</v>
      </c>
      <c r="F1704" s="4">
        <v>27.6694293485</v>
      </c>
      <c r="G1704" s="4">
        <v>18.600000000000001</v>
      </c>
      <c r="H1704" s="5">
        <v>39.212168962805563</v>
      </c>
      <c r="I1704" s="5">
        <v>35.387593398902773</v>
      </c>
      <c r="J1704" s="5">
        <v>43.145681691119449</v>
      </c>
      <c r="K1704" s="5">
        <v>51</v>
      </c>
    </row>
    <row r="1705" spans="1:11" x14ac:dyDescent="0.25">
      <c r="A1705" s="2">
        <v>46168.416666666657</v>
      </c>
      <c r="B1705" t="str">
        <f t="shared" si="52"/>
        <v>2026-05</v>
      </c>
      <c r="C1705" s="3">
        <f t="shared" si="53"/>
        <v>10</v>
      </c>
      <c r="D1705" s="4">
        <v>22.921437854027779</v>
      </c>
      <c r="E1705" s="4">
        <v>25.587001760680561</v>
      </c>
      <c r="F1705" s="4">
        <v>27.622935260683331</v>
      </c>
      <c r="G1705" s="4">
        <v>19.100000000000001</v>
      </c>
      <c r="H1705" s="5">
        <v>40.059099507636112</v>
      </c>
      <c r="I1705" s="5">
        <v>36.086462222575001</v>
      </c>
      <c r="J1705" s="5">
        <v>43.359948260783327</v>
      </c>
      <c r="K1705" s="5">
        <v>49</v>
      </c>
    </row>
    <row r="1706" spans="1:11" x14ac:dyDescent="0.25">
      <c r="A1706" s="2">
        <v>46168.458333333343</v>
      </c>
      <c r="B1706" t="str">
        <f t="shared" si="52"/>
        <v>2026-05</v>
      </c>
      <c r="C1706" s="3">
        <f t="shared" si="53"/>
        <v>11</v>
      </c>
      <c r="D1706" s="4">
        <v>22.846775225805558</v>
      </c>
      <c r="E1706" s="4">
        <v>26.01889740803334</v>
      </c>
      <c r="F1706" s="4">
        <v>27.630583286144439</v>
      </c>
      <c r="G1706" s="4">
        <v>18.3</v>
      </c>
      <c r="H1706" s="5">
        <v>40.180805724227781</v>
      </c>
      <c r="I1706" s="5">
        <v>36.817057308016658</v>
      </c>
      <c r="J1706" s="5">
        <v>43.518535824169447</v>
      </c>
      <c r="K1706" s="5">
        <v>53</v>
      </c>
    </row>
    <row r="1707" spans="1:11" x14ac:dyDescent="0.25">
      <c r="A1707" s="2">
        <v>46168.5</v>
      </c>
      <c r="B1707" t="str">
        <f t="shared" si="52"/>
        <v>2026-05</v>
      </c>
      <c r="C1707" s="3">
        <f t="shared" si="53"/>
        <v>12</v>
      </c>
      <c r="D1707" s="4">
        <v>23.311821505108341</v>
      </c>
      <c r="E1707" s="4">
        <v>26.190163392700001</v>
      </c>
      <c r="F1707" s="4">
        <v>27.661580965350002</v>
      </c>
      <c r="G1707" s="4">
        <v>17.3</v>
      </c>
      <c r="H1707" s="5">
        <v>35.445466862327777</v>
      </c>
      <c r="I1707" s="5">
        <v>33.773428736511107</v>
      </c>
      <c r="J1707" s="5">
        <v>43.381338115758332</v>
      </c>
      <c r="K1707" s="5">
        <v>55</v>
      </c>
    </row>
    <row r="1708" spans="1:11" x14ac:dyDescent="0.25">
      <c r="A1708" s="2">
        <v>46168.541666666657</v>
      </c>
      <c r="B1708" t="str">
        <f t="shared" si="52"/>
        <v>2026-05</v>
      </c>
      <c r="C1708" s="3">
        <f t="shared" si="53"/>
        <v>13</v>
      </c>
      <c r="D1708" s="4">
        <v>22.788451984072221</v>
      </c>
      <c r="E1708" s="4">
        <v>26.021989301775001</v>
      </c>
      <c r="F1708" s="4">
        <v>27.636066613497221</v>
      </c>
      <c r="G1708" s="4">
        <v>17.2</v>
      </c>
      <c r="H1708" s="5">
        <v>36.480770359488893</v>
      </c>
      <c r="I1708" s="5">
        <v>33.490357341519449</v>
      </c>
      <c r="J1708" s="5">
        <v>43.126537936908328</v>
      </c>
      <c r="K1708" s="5">
        <v>53</v>
      </c>
    </row>
    <row r="1709" spans="1:11" x14ac:dyDescent="0.25">
      <c r="A1709" s="2">
        <v>46168.583333333343</v>
      </c>
      <c r="B1709" t="str">
        <f t="shared" si="52"/>
        <v>2026-05</v>
      </c>
      <c r="C1709" s="3">
        <f t="shared" si="53"/>
        <v>14</v>
      </c>
      <c r="D1709" s="4">
        <v>23.118545620405559</v>
      </c>
      <c r="E1709" s="4">
        <v>25.470815737158329</v>
      </c>
      <c r="F1709" s="4">
        <v>27.63478730890278</v>
      </c>
      <c r="G1709" s="4">
        <v>18</v>
      </c>
      <c r="H1709" s="5">
        <v>33.964069359177778</v>
      </c>
      <c r="I1709" s="5">
        <v>32.404160122644441</v>
      </c>
      <c r="J1709" s="5">
        <v>42.927175802024998</v>
      </c>
      <c r="K1709" s="5">
        <v>47</v>
      </c>
    </row>
    <row r="1710" spans="1:11" x14ac:dyDescent="0.25">
      <c r="A1710" s="2">
        <v>46168.625</v>
      </c>
      <c r="B1710" t="str">
        <f t="shared" si="52"/>
        <v>2026-05</v>
      </c>
      <c r="C1710" s="3">
        <f t="shared" si="53"/>
        <v>15</v>
      </c>
      <c r="D1710" s="4">
        <v>23.161162162008331</v>
      </c>
      <c r="E1710" s="4">
        <v>25.38338099816389</v>
      </c>
      <c r="F1710" s="4">
        <v>27.633832775244439</v>
      </c>
      <c r="G1710" s="4">
        <v>18</v>
      </c>
      <c r="H1710" s="5">
        <v>33.527277916713892</v>
      </c>
      <c r="I1710" s="5">
        <v>32.567490278511109</v>
      </c>
      <c r="J1710" s="5">
        <v>42.803144316163888</v>
      </c>
      <c r="K1710" s="5">
        <v>45</v>
      </c>
    </row>
    <row r="1711" spans="1:11" x14ac:dyDescent="0.25">
      <c r="A1711" s="2">
        <v>46168.666666666657</v>
      </c>
      <c r="B1711" t="str">
        <f t="shared" si="52"/>
        <v>2026-05</v>
      </c>
      <c r="C1711" s="3">
        <f t="shared" si="53"/>
        <v>16</v>
      </c>
      <c r="D1711" s="4">
        <v>23.025383005416671</v>
      </c>
      <c r="E1711" s="4">
        <v>25.411633233994451</v>
      </c>
      <c r="F1711" s="4">
        <v>27.64005933010278</v>
      </c>
      <c r="G1711" s="4">
        <v>18</v>
      </c>
      <c r="H1711" s="5">
        <v>32.999366258202777</v>
      </c>
      <c r="I1711" s="5">
        <v>31.644221515624999</v>
      </c>
      <c r="J1711" s="5">
        <v>42.597401284900002</v>
      </c>
      <c r="K1711" s="5">
        <v>42</v>
      </c>
    </row>
    <row r="1712" spans="1:11" x14ac:dyDescent="0.25">
      <c r="A1712" s="2">
        <v>46168.708333333343</v>
      </c>
      <c r="B1712" t="str">
        <f t="shared" si="52"/>
        <v>2026-05</v>
      </c>
      <c r="C1712" s="3">
        <f t="shared" si="53"/>
        <v>17</v>
      </c>
      <c r="D1712" s="4">
        <v>22.7683261231</v>
      </c>
      <c r="E1712" s="4">
        <v>25.35325425803612</v>
      </c>
      <c r="F1712" s="4">
        <v>27.63072927511945</v>
      </c>
      <c r="G1712" s="4">
        <v>18.100000000000001</v>
      </c>
      <c r="H1712" s="5">
        <v>31.945638093986108</v>
      </c>
      <c r="I1712" s="5">
        <v>30.348847400972229</v>
      </c>
      <c r="J1712" s="5">
        <v>42.356472386780553</v>
      </c>
      <c r="K1712" s="5">
        <v>41</v>
      </c>
    </row>
    <row r="1713" spans="1:11" x14ac:dyDescent="0.25">
      <c r="A1713" s="2">
        <v>46168.75</v>
      </c>
      <c r="B1713" t="str">
        <f t="shared" si="52"/>
        <v>2026-05</v>
      </c>
      <c r="C1713" s="3">
        <f t="shared" si="53"/>
        <v>18</v>
      </c>
      <c r="D1713" s="4">
        <v>22.62832495083056</v>
      </c>
      <c r="E1713" s="4">
        <v>25.476022103736121</v>
      </c>
      <c r="F1713" s="4">
        <v>27.518937690969452</v>
      </c>
      <c r="G1713" s="4">
        <v>18.399999999999999</v>
      </c>
      <c r="H1713" s="5">
        <v>28.381549343263892</v>
      </c>
      <c r="I1713" s="5">
        <v>27.930447004911109</v>
      </c>
      <c r="J1713" s="5">
        <v>40.81842464416389</v>
      </c>
      <c r="K1713" s="5">
        <v>38</v>
      </c>
    </row>
    <row r="1714" spans="1:11" x14ac:dyDescent="0.25">
      <c r="A1714" s="2">
        <v>46168.791666666657</v>
      </c>
      <c r="B1714" t="str">
        <f t="shared" si="52"/>
        <v>2026-05</v>
      </c>
      <c r="C1714" s="3">
        <f t="shared" si="53"/>
        <v>19</v>
      </c>
      <c r="D1714" s="4">
        <v>22.099359510652778</v>
      </c>
      <c r="E1714" s="4">
        <v>25.7963138639</v>
      </c>
      <c r="F1714" s="4">
        <v>27.06762325341111</v>
      </c>
      <c r="G1714" s="4">
        <v>18</v>
      </c>
      <c r="H1714" s="5">
        <v>26.654611700991669</v>
      </c>
      <c r="I1714" s="5">
        <v>25.751634395372221</v>
      </c>
      <c r="J1714" s="5">
        <v>37.71333119361389</v>
      </c>
      <c r="K1714" s="5">
        <v>35</v>
      </c>
    </row>
    <row r="1715" spans="1:11" x14ac:dyDescent="0.25">
      <c r="A1715" s="2">
        <v>46168.833333333343</v>
      </c>
      <c r="B1715" t="str">
        <f t="shared" si="52"/>
        <v>2026-05</v>
      </c>
      <c r="C1715" s="3">
        <f t="shared" si="53"/>
        <v>20</v>
      </c>
      <c r="D1715" s="4">
        <v>20.965688125425</v>
      </c>
      <c r="E1715" s="4">
        <v>25.913618318644438</v>
      </c>
      <c r="F1715" s="4">
        <v>27.318017985269449</v>
      </c>
      <c r="G1715" s="4">
        <v>17.100000000000001</v>
      </c>
      <c r="H1715" s="5">
        <v>28.625852233244441</v>
      </c>
      <c r="I1715" s="5">
        <v>25.75073396826944</v>
      </c>
      <c r="J1715" s="5">
        <v>39.379923383327771</v>
      </c>
      <c r="K1715" s="5">
        <v>35</v>
      </c>
    </row>
    <row r="1716" spans="1:11" x14ac:dyDescent="0.25">
      <c r="A1716" s="2">
        <v>46168.875</v>
      </c>
      <c r="B1716" t="str">
        <f t="shared" si="52"/>
        <v>2026-05</v>
      </c>
      <c r="C1716" s="3">
        <f t="shared" si="53"/>
        <v>21</v>
      </c>
      <c r="D1716" s="4">
        <v>19.945027649688889</v>
      </c>
      <c r="E1716" s="4">
        <v>25.686685533355561</v>
      </c>
      <c r="F1716" s="4">
        <v>27.443246719311109</v>
      </c>
      <c r="G1716" s="4">
        <v>15.9</v>
      </c>
      <c r="H1716" s="5">
        <v>30.125675960974998</v>
      </c>
      <c r="I1716" s="5">
        <v>25.952253362994441</v>
      </c>
      <c r="J1716" s="5">
        <v>39.687617761386122</v>
      </c>
      <c r="K1716" s="5">
        <v>41</v>
      </c>
    </row>
    <row r="1717" spans="1:11" x14ac:dyDescent="0.25">
      <c r="A1717" s="2">
        <v>46168.916666666657</v>
      </c>
      <c r="B1717" t="str">
        <f t="shared" si="52"/>
        <v>2026-05</v>
      </c>
      <c r="C1717" s="3">
        <f t="shared" si="53"/>
        <v>22</v>
      </c>
      <c r="D1717" s="4">
        <v>19.164767300313891</v>
      </c>
      <c r="E1717" s="4">
        <v>25.58852635215278</v>
      </c>
      <c r="F1717" s="4">
        <v>27.473800500974999</v>
      </c>
      <c r="G1717" s="4">
        <v>15.7</v>
      </c>
      <c r="H1717" s="5">
        <v>31.974027622113891</v>
      </c>
      <c r="I1717" s="5">
        <v>25.45929475957222</v>
      </c>
      <c r="J1717" s="5">
        <v>39.670784842291667</v>
      </c>
      <c r="K1717" s="5">
        <v>42</v>
      </c>
    </row>
    <row r="1718" spans="1:11" x14ac:dyDescent="0.25">
      <c r="A1718" s="2">
        <v>46168.958333333343</v>
      </c>
      <c r="B1718" t="str">
        <f t="shared" si="52"/>
        <v>2026-05</v>
      </c>
      <c r="C1718" s="3">
        <f t="shared" si="53"/>
        <v>23</v>
      </c>
      <c r="D1718" s="4">
        <v>21.511575095297221</v>
      </c>
      <c r="E1718" s="4">
        <v>25.684223221913889</v>
      </c>
      <c r="F1718" s="4">
        <v>27.390447238641659</v>
      </c>
      <c r="G1718" s="4">
        <v>15.3</v>
      </c>
      <c r="H1718" s="5">
        <v>31.204571114419441</v>
      </c>
      <c r="I1718" s="5">
        <v>27.59896071453889</v>
      </c>
      <c r="J1718" s="5">
        <v>39.191441735441657</v>
      </c>
      <c r="K1718" s="5">
        <v>42</v>
      </c>
    </row>
    <row r="1719" spans="1:11" x14ac:dyDescent="0.25">
      <c r="A1719" s="2">
        <v>46169</v>
      </c>
      <c r="B1719" t="str">
        <f t="shared" si="52"/>
        <v>2026-05</v>
      </c>
      <c r="C1719" s="3">
        <f t="shared" si="53"/>
        <v>0</v>
      </c>
      <c r="D1719" s="4">
        <v>22.83670383824445</v>
      </c>
      <c r="E1719" s="4">
        <v>25.881704548413889</v>
      </c>
      <c r="F1719" s="4">
        <v>26.36212581363889</v>
      </c>
      <c r="G1719" s="4">
        <v>13.7</v>
      </c>
      <c r="H1719" s="5">
        <v>29.340624410977771</v>
      </c>
      <c r="I1719" s="5">
        <v>28.169031082061121</v>
      </c>
      <c r="J1719" s="5">
        <v>37.571720653116657</v>
      </c>
      <c r="K1719" s="5">
        <v>50</v>
      </c>
    </row>
    <row r="1720" spans="1:11" x14ac:dyDescent="0.25">
      <c r="A1720" s="2">
        <v>46169.041666666657</v>
      </c>
      <c r="B1720" t="str">
        <f t="shared" si="52"/>
        <v>2026-05</v>
      </c>
      <c r="C1720" s="3">
        <f t="shared" si="53"/>
        <v>1</v>
      </c>
      <c r="D1720" s="4">
        <v>23.226162076286109</v>
      </c>
      <c r="E1720" s="4">
        <v>25.826693204424998</v>
      </c>
      <c r="F1720" s="4">
        <v>26.449961889097221</v>
      </c>
      <c r="G1720" s="4">
        <v>12.4</v>
      </c>
      <c r="H1720" s="5">
        <v>29.484312126094451</v>
      </c>
      <c r="I1720" s="5">
        <v>28.571962559297219</v>
      </c>
      <c r="J1720" s="5">
        <v>38.367563589597218</v>
      </c>
      <c r="K1720" s="5">
        <v>58</v>
      </c>
    </row>
    <row r="1721" spans="1:11" x14ac:dyDescent="0.25">
      <c r="A1721" s="2">
        <v>46169.083333333343</v>
      </c>
      <c r="B1721" t="str">
        <f t="shared" si="52"/>
        <v>2026-05</v>
      </c>
      <c r="C1721" s="3">
        <f t="shared" si="53"/>
        <v>2</v>
      </c>
      <c r="D1721" s="4">
        <v>22.756173628677779</v>
      </c>
      <c r="E1721" s="4">
        <v>25.25459052793612</v>
      </c>
      <c r="F1721" s="4">
        <v>27.040124641530561</v>
      </c>
      <c r="G1721" s="4">
        <v>11.5</v>
      </c>
      <c r="H1721" s="5">
        <v>31.532416206699999</v>
      </c>
      <c r="I1721" s="5">
        <v>29.437323210722219</v>
      </c>
      <c r="J1721" s="5">
        <v>39.214521700675</v>
      </c>
      <c r="K1721" s="5">
        <v>63</v>
      </c>
    </row>
    <row r="1722" spans="1:11" x14ac:dyDescent="0.25">
      <c r="A1722" s="2">
        <v>46169.125</v>
      </c>
      <c r="B1722" t="str">
        <f t="shared" si="52"/>
        <v>2026-05</v>
      </c>
      <c r="C1722" s="3">
        <f t="shared" si="53"/>
        <v>3</v>
      </c>
      <c r="D1722" s="4">
        <v>22.142050823041671</v>
      </c>
      <c r="E1722" s="4">
        <v>24.87186361661389</v>
      </c>
      <c r="F1722" s="4">
        <v>27.20300344149166</v>
      </c>
      <c r="G1722" s="4">
        <v>11.1</v>
      </c>
      <c r="H1722" s="5">
        <v>33.55315356771667</v>
      </c>
      <c r="I1722" s="5">
        <v>30.795590835133329</v>
      </c>
      <c r="J1722" s="5">
        <v>39.664842955369437</v>
      </c>
      <c r="K1722" s="5">
        <v>61</v>
      </c>
    </row>
    <row r="1723" spans="1:11" x14ac:dyDescent="0.25">
      <c r="A1723" s="2">
        <v>46169.166666666657</v>
      </c>
      <c r="B1723" t="str">
        <f t="shared" si="52"/>
        <v>2026-05</v>
      </c>
      <c r="C1723" s="3">
        <f t="shared" si="53"/>
        <v>4</v>
      </c>
      <c r="D1723" s="4">
        <v>21.80902950946944</v>
      </c>
      <c r="E1723" s="4">
        <v>24.63751085548612</v>
      </c>
      <c r="F1723" s="4">
        <v>27.265294638858339</v>
      </c>
      <c r="G1723" s="4">
        <v>10.7</v>
      </c>
      <c r="H1723" s="5">
        <v>34.667313873333327</v>
      </c>
      <c r="I1723" s="5">
        <v>31.561570866763891</v>
      </c>
      <c r="J1723" s="5">
        <v>39.961931195297218</v>
      </c>
      <c r="K1723" s="5">
        <v>65</v>
      </c>
    </row>
    <row r="1724" spans="1:11" x14ac:dyDescent="0.25">
      <c r="A1724" s="2">
        <v>46169.208333333343</v>
      </c>
      <c r="B1724" t="str">
        <f t="shared" si="52"/>
        <v>2026-05</v>
      </c>
      <c r="C1724" s="3">
        <f t="shared" si="53"/>
        <v>5</v>
      </c>
      <c r="D1724" s="4">
        <v>21.583106649147229</v>
      </c>
      <c r="E1724" s="4">
        <v>24.447564829630551</v>
      </c>
      <c r="F1724" s="4">
        <v>27.293289287655561</v>
      </c>
      <c r="G1724" s="4">
        <v>11.7</v>
      </c>
      <c r="H1724" s="5">
        <v>36.458821799127783</v>
      </c>
      <c r="I1724" s="5">
        <v>32.770400502994441</v>
      </c>
      <c r="J1724" s="5">
        <v>40.232820381833328</v>
      </c>
      <c r="K1724" s="5">
        <v>64</v>
      </c>
    </row>
    <row r="1725" spans="1:11" x14ac:dyDescent="0.25">
      <c r="A1725" s="2">
        <v>46169.25</v>
      </c>
      <c r="B1725" t="str">
        <f t="shared" si="52"/>
        <v>2026-05</v>
      </c>
      <c r="C1725" s="3">
        <f t="shared" si="53"/>
        <v>6</v>
      </c>
      <c r="D1725" s="4">
        <v>21.54659259183612</v>
      </c>
      <c r="E1725" s="4">
        <v>24.397067488316669</v>
      </c>
      <c r="F1725" s="4">
        <v>27.316741237386111</v>
      </c>
      <c r="G1725" s="4">
        <v>12.1</v>
      </c>
      <c r="H1725" s="5">
        <v>37.176192969066669</v>
      </c>
      <c r="I1725" s="5">
        <v>33.328979596772221</v>
      </c>
      <c r="J1725" s="5">
        <v>40.511470853405562</v>
      </c>
      <c r="K1725" s="5">
        <v>66</v>
      </c>
    </row>
    <row r="1726" spans="1:11" x14ac:dyDescent="0.25">
      <c r="A1726" s="2">
        <v>46169.291666666657</v>
      </c>
      <c r="B1726" t="str">
        <f t="shared" si="52"/>
        <v>2026-05</v>
      </c>
      <c r="C1726" s="3">
        <f t="shared" si="53"/>
        <v>7</v>
      </c>
      <c r="D1726" s="4">
        <v>21.88574500535</v>
      </c>
      <c r="E1726" s="4">
        <v>24.200091736097221</v>
      </c>
      <c r="F1726" s="4">
        <v>27.320606005847221</v>
      </c>
      <c r="G1726" s="4">
        <v>11.9</v>
      </c>
      <c r="H1726" s="5">
        <v>38.858306525800003</v>
      </c>
      <c r="I1726" s="5">
        <v>35.11995272461111</v>
      </c>
      <c r="J1726" s="5">
        <v>40.797535853091667</v>
      </c>
      <c r="K1726" s="5">
        <v>74</v>
      </c>
    </row>
    <row r="1727" spans="1:11" x14ac:dyDescent="0.25">
      <c r="A1727" s="2">
        <v>46169.333333333343</v>
      </c>
      <c r="B1727" t="str">
        <f t="shared" si="52"/>
        <v>2026-05</v>
      </c>
      <c r="C1727" s="3">
        <f t="shared" si="53"/>
        <v>8</v>
      </c>
      <c r="D1727" s="4">
        <v>22.279011610966659</v>
      </c>
      <c r="E1727" s="4">
        <v>24.444805498608329</v>
      </c>
      <c r="F1727" s="4">
        <v>27.35339289832222</v>
      </c>
      <c r="G1727" s="4">
        <v>11.6</v>
      </c>
      <c r="H1727" s="5">
        <v>41.937908779638889</v>
      </c>
      <c r="I1727" s="5">
        <v>37.583796550666669</v>
      </c>
      <c r="J1727" s="5">
        <v>41.214217108747221</v>
      </c>
      <c r="K1727" s="5">
        <v>91</v>
      </c>
    </row>
    <row r="1728" spans="1:11" x14ac:dyDescent="0.25">
      <c r="A1728" s="2">
        <v>46169.375</v>
      </c>
      <c r="B1728" t="str">
        <f t="shared" si="52"/>
        <v>2026-05</v>
      </c>
      <c r="C1728" s="3">
        <f t="shared" si="53"/>
        <v>9</v>
      </c>
      <c r="D1728" s="4">
        <v>22.798832075644441</v>
      </c>
      <c r="E1728" s="4">
        <v>24.562751023505559</v>
      </c>
      <c r="F1728" s="4">
        <v>27.388375278877781</v>
      </c>
      <c r="G1728" s="4">
        <v>13.3</v>
      </c>
      <c r="H1728" s="5">
        <v>43.474108827336103</v>
      </c>
      <c r="I1728" s="5">
        <v>39.541937451005552</v>
      </c>
      <c r="J1728" s="5">
        <v>41.674356863677779</v>
      </c>
      <c r="K1728" s="5">
        <v>86</v>
      </c>
    </row>
    <row r="1729" spans="1:11" x14ac:dyDescent="0.25">
      <c r="A1729" s="2">
        <v>46169.416666666657</v>
      </c>
      <c r="B1729" t="str">
        <f t="shared" si="52"/>
        <v>2026-05</v>
      </c>
      <c r="C1729" s="3">
        <f t="shared" si="53"/>
        <v>10</v>
      </c>
      <c r="D1729" s="4">
        <v>23.514355600527779</v>
      </c>
      <c r="E1729" s="4">
        <v>24.95892822869444</v>
      </c>
      <c r="F1729" s="4">
        <v>27.420751002283328</v>
      </c>
      <c r="G1729" s="4">
        <v>15.1</v>
      </c>
      <c r="H1729" s="5">
        <v>43.194117264627778</v>
      </c>
      <c r="I1729" s="5">
        <v>41.445360931038891</v>
      </c>
      <c r="J1729" s="5">
        <v>42.065678781519438</v>
      </c>
      <c r="K1729" s="5">
        <v>80</v>
      </c>
    </row>
    <row r="1730" spans="1:11" x14ac:dyDescent="0.25">
      <c r="A1730" s="2">
        <v>46169.458333333343</v>
      </c>
      <c r="B1730" t="str">
        <f t="shared" ref="B1730:B1793" si="54">TEXT(A1730,"yyyy-mm")</f>
        <v>2026-05</v>
      </c>
      <c r="C1730" s="3">
        <f t="shared" ref="C1730:C1793" si="55">HOUR(A1730)</f>
        <v>11</v>
      </c>
      <c r="D1730" s="4">
        <v>24.047383237508331</v>
      </c>
      <c r="E1730" s="4">
        <v>25.561657758866669</v>
      </c>
      <c r="F1730" s="4">
        <v>27.45743380571389</v>
      </c>
      <c r="G1730" s="4">
        <v>16.3</v>
      </c>
      <c r="H1730" s="5">
        <v>41.428975195077783</v>
      </c>
      <c r="I1730" s="5">
        <v>42.069476754486111</v>
      </c>
      <c r="J1730" s="5">
        <v>42.350784878600003</v>
      </c>
      <c r="K1730" s="5">
        <v>73</v>
      </c>
    </row>
    <row r="1731" spans="1:11" x14ac:dyDescent="0.25">
      <c r="A1731" s="2">
        <v>46169.5</v>
      </c>
      <c r="B1731" t="str">
        <f t="shared" si="54"/>
        <v>2026-05</v>
      </c>
      <c r="C1731" s="3">
        <f t="shared" si="55"/>
        <v>12</v>
      </c>
      <c r="D1731" s="4">
        <v>24.221411564627768</v>
      </c>
      <c r="E1731" s="4">
        <v>25.64421723205</v>
      </c>
      <c r="F1731" s="4">
        <v>27.477956298827781</v>
      </c>
      <c r="G1731" s="4">
        <v>16.399999999999999</v>
      </c>
      <c r="H1731" s="5">
        <v>41.287848289141657</v>
      </c>
      <c r="I1731" s="5">
        <v>43.837529709297222</v>
      </c>
      <c r="J1731" s="5">
        <v>42.602690610197229</v>
      </c>
      <c r="K1731" s="5">
        <v>63</v>
      </c>
    </row>
    <row r="1732" spans="1:11" x14ac:dyDescent="0.25">
      <c r="A1732" s="2">
        <v>46169.541666666657</v>
      </c>
      <c r="B1732" t="str">
        <f t="shared" si="54"/>
        <v>2026-05</v>
      </c>
      <c r="C1732" s="3">
        <f t="shared" si="55"/>
        <v>13</v>
      </c>
      <c r="D1732" s="4">
        <v>24.570833751799999</v>
      </c>
      <c r="E1732" s="4">
        <v>25.84189404741112</v>
      </c>
      <c r="F1732" s="4">
        <v>27.500212445713888</v>
      </c>
      <c r="G1732" s="4">
        <v>18</v>
      </c>
      <c r="H1732" s="5">
        <v>41.565489617841671</v>
      </c>
      <c r="I1732" s="5">
        <v>44.177171976855547</v>
      </c>
      <c r="J1732" s="5">
        <v>42.763934660747218</v>
      </c>
      <c r="K1732" s="5">
        <v>51</v>
      </c>
    </row>
    <row r="1733" spans="1:11" x14ac:dyDescent="0.25">
      <c r="A1733" s="2">
        <v>46169.583333333343</v>
      </c>
      <c r="B1733" t="str">
        <f t="shared" si="54"/>
        <v>2026-05</v>
      </c>
      <c r="C1733" s="3">
        <f t="shared" si="55"/>
        <v>14</v>
      </c>
      <c r="D1733" s="4">
        <v>24.697500900424998</v>
      </c>
      <c r="E1733" s="4">
        <v>25.888641194408329</v>
      </c>
      <c r="F1733" s="4">
        <v>27.52376744318056</v>
      </c>
      <c r="G1733" s="4">
        <v>17.100000000000001</v>
      </c>
      <c r="H1733" s="5">
        <v>40.386682031197218</v>
      </c>
      <c r="I1733" s="5">
        <v>41.116782892505562</v>
      </c>
      <c r="J1733" s="5">
        <v>42.97932746093889</v>
      </c>
      <c r="K1733" s="5">
        <v>52</v>
      </c>
    </row>
    <row r="1734" spans="1:11" x14ac:dyDescent="0.25">
      <c r="A1734" s="2">
        <v>46169.625</v>
      </c>
      <c r="B1734" t="str">
        <f t="shared" si="54"/>
        <v>2026-05</v>
      </c>
      <c r="C1734" s="3">
        <f t="shared" si="55"/>
        <v>15</v>
      </c>
      <c r="D1734" s="4">
        <v>24.5698525076</v>
      </c>
      <c r="E1734" s="4">
        <v>25.641544216905551</v>
      </c>
      <c r="F1734" s="4">
        <v>26.896041944425001</v>
      </c>
      <c r="G1734" s="4">
        <v>19.100000000000001</v>
      </c>
      <c r="H1734" s="5">
        <v>38.448164102083332</v>
      </c>
      <c r="I1734" s="5">
        <v>38.511098353549997</v>
      </c>
      <c r="J1734" s="5">
        <v>45.848458907655562</v>
      </c>
      <c r="K1734" s="5">
        <v>45</v>
      </c>
    </row>
    <row r="1735" spans="1:11" x14ac:dyDescent="0.25">
      <c r="A1735" s="2">
        <v>46169.666666666657</v>
      </c>
      <c r="B1735" t="str">
        <f t="shared" si="54"/>
        <v>2026-05</v>
      </c>
      <c r="C1735" s="3">
        <f t="shared" si="55"/>
        <v>16</v>
      </c>
      <c r="D1735" s="4">
        <v>24.495863527802779</v>
      </c>
      <c r="E1735" s="4">
        <v>25.494138337758329</v>
      </c>
      <c r="F1735" s="4">
        <v>26.41349561797222</v>
      </c>
      <c r="G1735" s="4">
        <v>19.399999999999999</v>
      </c>
      <c r="H1735" s="5">
        <v>37.505811341725</v>
      </c>
      <c r="I1735" s="5">
        <v>37.164651744449998</v>
      </c>
      <c r="J1735" s="5">
        <v>45.644255649322218</v>
      </c>
      <c r="K1735" s="5">
        <v>48</v>
      </c>
    </row>
    <row r="1736" spans="1:11" x14ac:dyDescent="0.25">
      <c r="A1736" s="2">
        <v>46169.708333333343</v>
      </c>
      <c r="B1736" t="str">
        <f t="shared" si="54"/>
        <v>2026-05</v>
      </c>
      <c r="C1736" s="3">
        <f t="shared" si="55"/>
        <v>17</v>
      </c>
      <c r="D1736" s="4">
        <v>24.415147446108332</v>
      </c>
      <c r="E1736" s="4">
        <v>25.45967639417222</v>
      </c>
      <c r="F1736" s="4">
        <v>26.25815127641944</v>
      </c>
      <c r="G1736" s="4">
        <v>19.399999999999999</v>
      </c>
      <c r="H1736" s="5">
        <v>38.344357027127778</v>
      </c>
      <c r="I1736" s="5">
        <v>38.185098239088887</v>
      </c>
      <c r="J1736" s="5">
        <v>46.898096887569437</v>
      </c>
      <c r="K1736" s="5">
        <v>49</v>
      </c>
    </row>
    <row r="1737" spans="1:11" x14ac:dyDescent="0.25">
      <c r="A1737" s="2">
        <v>46169.75</v>
      </c>
      <c r="B1737" t="str">
        <f t="shared" si="54"/>
        <v>2026-05</v>
      </c>
      <c r="C1737" s="3">
        <f t="shared" si="55"/>
        <v>18</v>
      </c>
      <c r="D1737" s="4">
        <v>23.897313267480559</v>
      </c>
      <c r="E1737" s="4">
        <v>25.360751476027779</v>
      </c>
      <c r="F1737" s="4">
        <v>26.103938742322221</v>
      </c>
      <c r="G1737" s="4">
        <v>17.7</v>
      </c>
      <c r="H1737" s="5">
        <v>40.293425353761108</v>
      </c>
      <c r="I1737" s="5">
        <v>38.50236823005833</v>
      </c>
      <c r="J1737" s="5">
        <v>47.139240066666673</v>
      </c>
      <c r="K1737" s="5">
        <v>58</v>
      </c>
    </row>
    <row r="1738" spans="1:11" x14ac:dyDescent="0.25">
      <c r="A1738" s="2">
        <v>46169.791666666657</v>
      </c>
      <c r="B1738" t="str">
        <f t="shared" si="54"/>
        <v>2026-05</v>
      </c>
      <c r="C1738" s="3">
        <f t="shared" si="55"/>
        <v>19</v>
      </c>
      <c r="D1738" s="4">
        <v>22.94786745305278</v>
      </c>
      <c r="E1738" s="4">
        <v>25.21792205983056</v>
      </c>
      <c r="F1738" s="4">
        <v>25.860913573377779</v>
      </c>
      <c r="G1738" s="4">
        <v>17.399999999999999</v>
      </c>
      <c r="H1738" s="5">
        <v>42.254475650233339</v>
      </c>
      <c r="I1738" s="5">
        <v>38.936529943825001</v>
      </c>
      <c r="J1738" s="5">
        <v>47.260002499688888</v>
      </c>
      <c r="K1738" s="5">
        <v>61</v>
      </c>
    </row>
    <row r="1739" spans="1:11" x14ac:dyDescent="0.25">
      <c r="A1739" s="2">
        <v>46169.833333333343</v>
      </c>
      <c r="B1739" t="str">
        <f t="shared" si="54"/>
        <v>2026-05</v>
      </c>
      <c r="C1739" s="3">
        <f t="shared" si="55"/>
        <v>20</v>
      </c>
      <c r="D1739" s="4">
        <v>22.718408514252779</v>
      </c>
      <c r="E1739" s="4">
        <v>24.94847306777222</v>
      </c>
      <c r="F1739" s="4">
        <v>26.501579835522222</v>
      </c>
      <c r="G1739" s="4">
        <v>16.2</v>
      </c>
      <c r="H1739" s="5">
        <v>41.831192898780557</v>
      </c>
      <c r="I1739" s="5">
        <v>39.715800294213892</v>
      </c>
      <c r="J1739" s="5">
        <v>45.644026865502781</v>
      </c>
      <c r="K1739" s="5">
        <v>57</v>
      </c>
    </row>
    <row r="1740" spans="1:11" x14ac:dyDescent="0.25">
      <c r="A1740" s="2">
        <v>46169.875</v>
      </c>
      <c r="B1740" t="str">
        <f t="shared" si="54"/>
        <v>2026-05</v>
      </c>
      <c r="C1740" s="3">
        <f t="shared" si="55"/>
        <v>21</v>
      </c>
      <c r="D1740" s="4">
        <v>22.490006790755551</v>
      </c>
      <c r="E1740" s="4">
        <v>25.06530658626389</v>
      </c>
      <c r="F1740" s="4">
        <v>26.825536502261109</v>
      </c>
      <c r="G1740" s="4">
        <v>13.8</v>
      </c>
      <c r="H1740" s="5">
        <v>41.338078813283332</v>
      </c>
      <c r="I1740" s="5">
        <v>38.70458649502222</v>
      </c>
      <c r="J1740" s="5">
        <v>45.054006415108333</v>
      </c>
      <c r="K1740" s="5">
        <v>66</v>
      </c>
    </row>
    <row r="1741" spans="1:11" x14ac:dyDescent="0.25">
      <c r="A1741" s="2">
        <v>46169.916666666657</v>
      </c>
      <c r="B1741" t="str">
        <f t="shared" si="54"/>
        <v>2026-05</v>
      </c>
      <c r="C1741" s="3">
        <f t="shared" si="55"/>
        <v>22</v>
      </c>
      <c r="D1741" s="4">
        <v>22.597137593275001</v>
      </c>
      <c r="E1741" s="4">
        <v>25.181302886499999</v>
      </c>
      <c r="F1741" s="4">
        <v>26.973759723541669</v>
      </c>
      <c r="G1741" s="4">
        <v>12.9</v>
      </c>
      <c r="H1741" s="5">
        <v>37.353452504402767</v>
      </c>
      <c r="I1741" s="5">
        <v>36.034488967433333</v>
      </c>
      <c r="J1741" s="5">
        <v>44.588276038849997</v>
      </c>
      <c r="K1741" s="5">
        <v>68</v>
      </c>
    </row>
    <row r="1742" spans="1:11" x14ac:dyDescent="0.25">
      <c r="A1742" s="2">
        <v>46169.958333333343</v>
      </c>
      <c r="B1742" t="str">
        <f t="shared" si="54"/>
        <v>2026-05</v>
      </c>
      <c r="C1742" s="3">
        <f t="shared" si="55"/>
        <v>23</v>
      </c>
      <c r="D1742" s="4">
        <v>21.857882394825001</v>
      </c>
      <c r="E1742" s="4">
        <v>25.17059100171112</v>
      </c>
      <c r="F1742" s="4">
        <v>27.051575558286121</v>
      </c>
      <c r="G1742" s="4">
        <v>11.6</v>
      </c>
      <c r="H1742" s="5">
        <v>37.879753687591673</v>
      </c>
      <c r="I1742" s="5">
        <v>36.753214289066669</v>
      </c>
      <c r="J1742" s="5">
        <v>44.212656087280557</v>
      </c>
      <c r="K1742" s="5">
        <v>67</v>
      </c>
    </row>
    <row r="1743" spans="1:11" x14ac:dyDescent="0.25">
      <c r="A1743" s="2">
        <v>46170</v>
      </c>
      <c r="B1743" t="str">
        <f t="shared" si="54"/>
        <v>2026-05</v>
      </c>
      <c r="C1743" s="3">
        <f t="shared" si="55"/>
        <v>0</v>
      </c>
      <c r="D1743" s="4">
        <v>22.099410509575002</v>
      </c>
      <c r="E1743" s="4">
        <v>25.221326750544449</v>
      </c>
      <c r="F1743" s="4">
        <v>27.09520702081667</v>
      </c>
      <c r="G1743" s="4">
        <v>10.7</v>
      </c>
      <c r="H1743" s="5">
        <v>36.141493864372222</v>
      </c>
      <c r="I1743" s="5">
        <v>34.574743685952782</v>
      </c>
      <c r="J1743" s="5">
        <v>43.888114630172232</v>
      </c>
      <c r="K1743" s="5">
        <v>71</v>
      </c>
    </row>
    <row r="1744" spans="1:11" x14ac:dyDescent="0.25">
      <c r="A1744" s="2">
        <v>46170.041666666657</v>
      </c>
      <c r="B1744" t="str">
        <f t="shared" si="54"/>
        <v>2026-05</v>
      </c>
      <c r="C1744" s="3">
        <f t="shared" si="55"/>
        <v>1</v>
      </c>
      <c r="D1744" s="4">
        <v>21.725847060416669</v>
      </c>
      <c r="E1744" s="4">
        <v>25.110553521063888</v>
      </c>
      <c r="F1744" s="4">
        <v>26.985135864416659</v>
      </c>
      <c r="G1744" s="4">
        <v>10.199999999999999</v>
      </c>
      <c r="H1744" s="5">
        <v>36.617640750738893</v>
      </c>
      <c r="I1744" s="5">
        <v>33.652674393513877</v>
      </c>
      <c r="J1744" s="5">
        <v>42.798781158819438</v>
      </c>
      <c r="K1744" s="5">
        <v>74</v>
      </c>
    </row>
    <row r="1745" spans="1:11" x14ac:dyDescent="0.25">
      <c r="A1745" s="2">
        <v>46170.083333333343</v>
      </c>
      <c r="B1745" t="str">
        <f t="shared" si="54"/>
        <v>2026-05</v>
      </c>
      <c r="C1745" s="3">
        <f t="shared" si="55"/>
        <v>2</v>
      </c>
      <c r="D1745" s="4">
        <v>21.409527302486111</v>
      </c>
      <c r="E1745" s="4">
        <v>24.479938012958328</v>
      </c>
      <c r="F1745" s="4">
        <v>26.996303267083331</v>
      </c>
      <c r="G1745" s="4">
        <v>9.9</v>
      </c>
      <c r="H1745" s="5">
        <v>36.206605577233333</v>
      </c>
      <c r="I1745" s="5">
        <v>32.989425213794448</v>
      </c>
      <c r="J1745" s="5">
        <v>42.658116245986122</v>
      </c>
      <c r="K1745" s="5">
        <v>75</v>
      </c>
    </row>
    <row r="1746" spans="1:11" x14ac:dyDescent="0.25">
      <c r="A1746" s="2">
        <v>46170.125</v>
      </c>
      <c r="B1746" t="str">
        <f t="shared" si="54"/>
        <v>2026-05</v>
      </c>
      <c r="C1746" s="3">
        <f t="shared" si="55"/>
        <v>3</v>
      </c>
      <c r="D1746" s="4">
        <v>21.384113266461121</v>
      </c>
      <c r="E1746" s="4">
        <v>24.085851775155561</v>
      </c>
      <c r="F1746" s="4">
        <v>27.009171739241669</v>
      </c>
      <c r="G1746" s="4">
        <v>9.4</v>
      </c>
      <c r="H1746" s="5">
        <v>34.657104377433328</v>
      </c>
      <c r="I1746" s="5">
        <v>31.86557971961944</v>
      </c>
      <c r="J1746" s="5">
        <v>42.313448267177783</v>
      </c>
      <c r="K1746" s="5">
        <v>69</v>
      </c>
    </row>
    <row r="1747" spans="1:11" x14ac:dyDescent="0.25">
      <c r="A1747" s="2">
        <v>46170.166666666657</v>
      </c>
      <c r="B1747" t="str">
        <f t="shared" si="54"/>
        <v>2026-05</v>
      </c>
      <c r="C1747" s="3">
        <f t="shared" si="55"/>
        <v>4</v>
      </c>
      <c r="D1747" s="4">
        <v>21.25585965397222</v>
      </c>
      <c r="E1747" s="4">
        <v>23.775597781586111</v>
      </c>
      <c r="F1747" s="4">
        <v>26.988733872375001</v>
      </c>
      <c r="G1747" s="4">
        <v>8.9</v>
      </c>
      <c r="H1747" s="5">
        <v>34.462295919052778</v>
      </c>
      <c r="I1747" s="5">
        <v>31.70994801166389</v>
      </c>
      <c r="J1747" s="5">
        <v>41.852253134416657</v>
      </c>
      <c r="K1747" s="5">
        <v>73</v>
      </c>
    </row>
    <row r="1748" spans="1:11" x14ac:dyDescent="0.25">
      <c r="A1748" s="2">
        <v>46170.208333333343</v>
      </c>
      <c r="B1748" t="str">
        <f t="shared" si="54"/>
        <v>2026-05</v>
      </c>
      <c r="C1748" s="3">
        <f t="shared" si="55"/>
        <v>5</v>
      </c>
      <c r="D1748" s="4">
        <v>21.663054036022221</v>
      </c>
      <c r="E1748" s="4">
        <v>23.798840912058331</v>
      </c>
      <c r="F1748" s="4">
        <v>26.981580563711109</v>
      </c>
      <c r="G1748" s="4">
        <v>8.6</v>
      </c>
      <c r="H1748" s="5">
        <v>34.05481930446944</v>
      </c>
      <c r="I1748" s="5">
        <v>32.05462831881389</v>
      </c>
      <c r="J1748" s="5">
        <v>41.713897201777783</v>
      </c>
      <c r="K1748" s="5">
        <v>75</v>
      </c>
    </row>
    <row r="1749" spans="1:11" x14ac:dyDescent="0.25">
      <c r="A1749" s="2">
        <v>46170.25</v>
      </c>
      <c r="B1749" t="str">
        <f t="shared" si="54"/>
        <v>2026-05</v>
      </c>
      <c r="C1749" s="3">
        <f t="shared" si="55"/>
        <v>6</v>
      </c>
      <c r="D1749" s="4">
        <v>22.947067564933331</v>
      </c>
      <c r="E1749" s="4">
        <v>24.295758829033328</v>
      </c>
      <c r="F1749" s="4">
        <v>27.005674839958331</v>
      </c>
      <c r="G1749" s="4">
        <v>9.3000000000000007</v>
      </c>
      <c r="H1749" s="5">
        <v>31.30084321096389</v>
      </c>
      <c r="I1749" s="5">
        <v>31.747412384688889</v>
      </c>
      <c r="J1749" s="5">
        <v>41.695553569713887</v>
      </c>
      <c r="K1749" s="5">
        <v>70</v>
      </c>
    </row>
    <row r="1750" spans="1:11" x14ac:dyDescent="0.25">
      <c r="A1750" s="2">
        <v>46170.291666666657</v>
      </c>
      <c r="B1750" t="str">
        <f t="shared" si="54"/>
        <v>2026-05</v>
      </c>
      <c r="C1750" s="3">
        <f t="shared" si="55"/>
        <v>7</v>
      </c>
      <c r="D1750" s="4">
        <v>23.88744569640556</v>
      </c>
      <c r="E1750" s="4">
        <v>24.683068077616671</v>
      </c>
      <c r="F1750" s="4">
        <v>27.053646986327781</v>
      </c>
      <c r="G1750" s="4">
        <v>10.5</v>
      </c>
      <c r="H1750" s="5">
        <v>30.205278937441669</v>
      </c>
      <c r="I1750" s="5">
        <v>31.29529394914444</v>
      </c>
      <c r="J1750" s="5">
        <v>41.685191411819453</v>
      </c>
      <c r="K1750" s="5">
        <v>63</v>
      </c>
    </row>
    <row r="1751" spans="1:11" x14ac:dyDescent="0.25">
      <c r="A1751" s="2">
        <v>46170.333333333343</v>
      </c>
      <c r="B1751" t="str">
        <f t="shared" si="54"/>
        <v>2026-05</v>
      </c>
      <c r="C1751" s="3">
        <f t="shared" si="55"/>
        <v>8</v>
      </c>
      <c r="D1751" s="4">
        <v>24.47926461821389</v>
      </c>
      <c r="E1751" s="4">
        <v>25.058027954019451</v>
      </c>
      <c r="F1751" s="4">
        <v>27.101638977575</v>
      </c>
      <c r="G1751" s="4">
        <v>11.6</v>
      </c>
      <c r="H1751" s="5">
        <v>29.127437597027779</v>
      </c>
      <c r="I1751" s="5">
        <v>31.120702090508331</v>
      </c>
      <c r="J1751" s="5">
        <v>41.687449849119453</v>
      </c>
      <c r="K1751" s="5">
        <v>58</v>
      </c>
    </row>
    <row r="1752" spans="1:11" x14ac:dyDescent="0.25">
      <c r="A1752" s="2">
        <v>46170.375</v>
      </c>
      <c r="B1752" t="str">
        <f t="shared" si="54"/>
        <v>2026-05</v>
      </c>
      <c r="C1752" s="3">
        <f t="shared" si="55"/>
        <v>9</v>
      </c>
      <c r="D1752" s="4">
        <v>24.588068469172221</v>
      </c>
      <c r="E1752" s="4">
        <v>25.14429823007222</v>
      </c>
      <c r="F1752" s="4">
        <v>27.132130935263891</v>
      </c>
      <c r="G1752" s="4">
        <v>12.5</v>
      </c>
      <c r="H1752" s="5">
        <v>28.67940128496944</v>
      </c>
      <c r="I1752" s="5">
        <v>30.839954831755549</v>
      </c>
      <c r="J1752" s="5">
        <v>41.677629873697221</v>
      </c>
      <c r="K1752" s="5">
        <v>55</v>
      </c>
    </row>
    <row r="1753" spans="1:11" x14ac:dyDescent="0.25">
      <c r="A1753" s="2">
        <v>46170.416666666657</v>
      </c>
      <c r="B1753" t="str">
        <f t="shared" si="54"/>
        <v>2026-05</v>
      </c>
      <c r="C1753" s="3">
        <f t="shared" si="55"/>
        <v>10</v>
      </c>
      <c r="D1753" s="4">
        <v>24.55752798649722</v>
      </c>
      <c r="E1753" s="4">
        <v>25.103479292725002</v>
      </c>
      <c r="F1753" s="4">
        <v>27.147074719630549</v>
      </c>
      <c r="G1753" s="4">
        <v>13.3</v>
      </c>
      <c r="H1753" s="5">
        <v>27.91030954018056</v>
      </c>
      <c r="I1753" s="5">
        <v>30.325338474658331</v>
      </c>
      <c r="J1753" s="5">
        <v>41.612988611480553</v>
      </c>
      <c r="K1753" s="5">
        <v>50</v>
      </c>
    </row>
    <row r="1754" spans="1:11" x14ac:dyDescent="0.25">
      <c r="A1754" s="2">
        <v>46170.458333333343</v>
      </c>
      <c r="B1754" t="str">
        <f t="shared" si="54"/>
        <v>2026-05</v>
      </c>
      <c r="C1754" s="3">
        <f t="shared" si="55"/>
        <v>11</v>
      </c>
      <c r="D1754" s="4">
        <v>24.045653867369442</v>
      </c>
      <c r="E1754" s="4">
        <v>25.040754829352771</v>
      </c>
      <c r="F1754" s="4">
        <v>27.160611927377779</v>
      </c>
      <c r="G1754" s="4">
        <v>14.5</v>
      </c>
      <c r="H1754" s="5">
        <v>26.970167350919439</v>
      </c>
      <c r="I1754" s="5">
        <v>29.738077438625002</v>
      </c>
      <c r="J1754" s="5">
        <v>41.417682862461113</v>
      </c>
      <c r="K1754" s="5">
        <v>43</v>
      </c>
    </row>
    <row r="1755" spans="1:11" x14ac:dyDescent="0.25">
      <c r="A1755" s="2">
        <v>46170.5</v>
      </c>
      <c r="B1755" t="str">
        <f t="shared" si="54"/>
        <v>2026-05</v>
      </c>
      <c r="C1755" s="3">
        <f t="shared" si="55"/>
        <v>12</v>
      </c>
      <c r="D1755" s="4">
        <v>23.93537191321667</v>
      </c>
      <c r="E1755" s="4">
        <v>25.376097343566659</v>
      </c>
      <c r="F1755" s="4">
        <v>27.15985153931944</v>
      </c>
      <c r="G1755" s="4">
        <v>15.8</v>
      </c>
      <c r="H1755" s="5">
        <v>27.26218632963889</v>
      </c>
      <c r="I1755" s="5">
        <v>29.792442796700001</v>
      </c>
      <c r="J1755" s="5">
        <v>41.287198362319437</v>
      </c>
      <c r="K1755" s="5">
        <v>40</v>
      </c>
    </row>
    <row r="1756" spans="1:11" x14ac:dyDescent="0.25">
      <c r="A1756" s="2">
        <v>46170.541666666657</v>
      </c>
      <c r="B1756" t="str">
        <f t="shared" si="54"/>
        <v>2026-05</v>
      </c>
      <c r="C1756" s="3">
        <f t="shared" si="55"/>
        <v>13</v>
      </c>
      <c r="D1756" s="4">
        <v>23.85965786537222</v>
      </c>
      <c r="E1756" s="4">
        <v>25.329908082772221</v>
      </c>
      <c r="F1756" s="4">
        <v>27.169249919283331</v>
      </c>
      <c r="G1756" s="4">
        <v>16.600000000000001</v>
      </c>
      <c r="H1756" s="5">
        <v>26.651861785547229</v>
      </c>
      <c r="I1756" s="5">
        <v>28.016878122638889</v>
      </c>
      <c r="J1756" s="5">
        <v>41.11633791003333</v>
      </c>
      <c r="K1756" s="5">
        <v>38</v>
      </c>
    </row>
    <row r="1757" spans="1:11" x14ac:dyDescent="0.25">
      <c r="A1757" s="2">
        <v>46170.583333333343</v>
      </c>
      <c r="B1757" t="str">
        <f t="shared" si="54"/>
        <v>2026-05</v>
      </c>
      <c r="C1757" s="3">
        <f t="shared" si="55"/>
        <v>14</v>
      </c>
      <c r="D1757" s="4">
        <v>23.393769575972229</v>
      </c>
      <c r="E1757" s="4">
        <v>25.274156442075</v>
      </c>
      <c r="F1757" s="4">
        <v>26.53974084007222</v>
      </c>
      <c r="G1757" s="4">
        <v>17.100000000000001</v>
      </c>
      <c r="H1757" s="5">
        <v>29.995968956688891</v>
      </c>
      <c r="I1757" s="5">
        <v>29.659205883399999</v>
      </c>
      <c r="J1757" s="5">
        <v>39.000928381636108</v>
      </c>
      <c r="K1757" s="5">
        <v>37</v>
      </c>
    </row>
    <row r="1758" spans="1:11" x14ac:dyDescent="0.25">
      <c r="A1758" s="2">
        <v>46170.625</v>
      </c>
      <c r="B1758" t="str">
        <f t="shared" si="54"/>
        <v>2026-05</v>
      </c>
      <c r="C1758" s="3">
        <f t="shared" si="55"/>
        <v>15</v>
      </c>
      <c r="D1758" s="4">
        <v>21.517793676280561</v>
      </c>
      <c r="E1758" s="4">
        <v>24.93363330787777</v>
      </c>
      <c r="F1758" s="4">
        <v>26.178866773908339</v>
      </c>
      <c r="G1758" s="4">
        <v>13.7</v>
      </c>
      <c r="H1758" s="5">
        <v>30.708348757744449</v>
      </c>
      <c r="I1758" s="5">
        <v>28.6663823751</v>
      </c>
      <c r="J1758" s="5">
        <v>38.288102037066672</v>
      </c>
      <c r="K1758" s="5">
        <v>51</v>
      </c>
    </row>
    <row r="1759" spans="1:11" x14ac:dyDescent="0.25">
      <c r="A1759" s="2">
        <v>46170.666666666657</v>
      </c>
      <c r="B1759" t="str">
        <f t="shared" si="54"/>
        <v>2026-05</v>
      </c>
      <c r="C1759" s="3">
        <f t="shared" si="55"/>
        <v>16</v>
      </c>
      <c r="D1759" s="4">
        <v>20.987778549686109</v>
      </c>
      <c r="E1759" s="4">
        <v>24.971562174755551</v>
      </c>
      <c r="F1759" s="4">
        <v>25.40766286691111</v>
      </c>
      <c r="G1759" s="4">
        <v>13.2</v>
      </c>
      <c r="H1759" s="5">
        <v>32.537489169594437</v>
      </c>
      <c r="I1759" s="5">
        <v>29.412569008930561</v>
      </c>
      <c r="J1759" s="5">
        <v>38.604365268919437</v>
      </c>
      <c r="K1759" s="5">
        <v>53</v>
      </c>
    </row>
    <row r="1760" spans="1:11" x14ac:dyDescent="0.25">
      <c r="A1760" s="2">
        <v>46170.708333333343</v>
      </c>
      <c r="B1760" t="str">
        <f t="shared" si="54"/>
        <v>2026-05</v>
      </c>
      <c r="C1760" s="3">
        <f t="shared" si="55"/>
        <v>17</v>
      </c>
      <c r="D1760" s="4">
        <v>22.902090987516669</v>
      </c>
      <c r="E1760" s="4">
        <v>24.992614686930551</v>
      </c>
      <c r="F1760" s="4">
        <v>25.41764618524445</v>
      </c>
      <c r="G1760" s="4">
        <v>14.3</v>
      </c>
      <c r="H1760" s="5">
        <v>28.085274216533328</v>
      </c>
      <c r="I1760" s="5">
        <v>28.58297398180833</v>
      </c>
      <c r="J1760" s="5">
        <v>37.19710576536945</v>
      </c>
      <c r="K1760" s="5">
        <v>50</v>
      </c>
    </row>
    <row r="1761" spans="1:11" x14ac:dyDescent="0.25">
      <c r="A1761" s="2">
        <v>46170.75</v>
      </c>
      <c r="B1761" t="str">
        <f t="shared" si="54"/>
        <v>2026-05</v>
      </c>
      <c r="C1761" s="3">
        <f t="shared" si="55"/>
        <v>18</v>
      </c>
      <c r="D1761" s="4">
        <v>22.98234161054167</v>
      </c>
      <c r="E1761" s="4">
        <v>24.68495092931111</v>
      </c>
      <c r="F1761" s="4">
        <v>26.070240994799999</v>
      </c>
      <c r="G1761" s="4">
        <v>14.1</v>
      </c>
      <c r="H1761" s="5">
        <v>27.211493238308339</v>
      </c>
      <c r="I1761" s="5">
        <v>27.498732752527779</v>
      </c>
      <c r="J1761" s="5">
        <v>38.204181144049997</v>
      </c>
      <c r="K1761" s="5">
        <v>48</v>
      </c>
    </row>
    <row r="1762" spans="1:11" x14ac:dyDescent="0.25">
      <c r="A1762" s="2">
        <v>46170.791666666657</v>
      </c>
      <c r="B1762" t="str">
        <f t="shared" si="54"/>
        <v>2026-05</v>
      </c>
      <c r="C1762" s="3">
        <f t="shared" si="55"/>
        <v>19</v>
      </c>
      <c r="D1762" s="4">
        <v>23.001801071038891</v>
      </c>
      <c r="E1762" s="4">
        <v>24.802690452724999</v>
      </c>
      <c r="F1762" s="4">
        <v>26.457663767447219</v>
      </c>
      <c r="G1762" s="4">
        <v>12.6</v>
      </c>
      <c r="H1762" s="5">
        <v>29.444085212419441</v>
      </c>
      <c r="I1762" s="5">
        <v>29.563137519261112</v>
      </c>
      <c r="J1762" s="5">
        <v>38.830279497705547</v>
      </c>
      <c r="K1762" s="5">
        <v>51</v>
      </c>
    </row>
    <row r="1763" spans="1:11" x14ac:dyDescent="0.25">
      <c r="A1763" s="2">
        <v>46170.833333333343</v>
      </c>
      <c r="B1763" t="str">
        <f t="shared" si="54"/>
        <v>2026-05</v>
      </c>
      <c r="C1763" s="3">
        <f t="shared" si="55"/>
        <v>20</v>
      </c>
      <c r="D1763" s="4">
        <v>22.491520013063891</v>
      </c>
      <c r="E1763" s="4">
        <v>24.92839899173056</v>
      </c>
      <c r="F1763" s="4">
        <v>26.63305915683334</v>
      </c>
      <c r="G1763" s="4">
        <v>11.3</v>
      </c>
      <c r="H1763" s="5">
        <v>31.65468381743889</v>
      </c>
      <c r="I1763" s="5">
        <v>30.656745755344449</v>
      </c>
      <c r="J1763" s="5">
        <v>39.384149982844441</v>
      </c>
      <c r="K1763" s="5">
        <v>60</v>
      </c>
    </row>
    <row r="1764" spans="1:11" x14ac:dyDescent="0.25">
      <c r="A1764" s="2">
        <v>46170.875</v>
      </c>
      <c r="B1764" t="str">
        <f t="shared" si="54"/>
        <v>2026-05</v>
      </c>
      <c r="C1764" s="3">
        <f t="shared" si="55"/>
        <v>21</v>
      </c>
      <c r="D1764" s="4">
        <v>22.386288621288891</v>
      </c>
      <c r="E1764" s="4">
        <v>24.843281603788888</v>
      </c>
      <c r="F1764" s="4">
        <v>26.723790499158341</v>
      </c>
      <c r="G1764" s="4">
        <v>10.5</v>
      </c>
      <c r="H1764" s="5">
        <v>31.160305163316671</v>
      </c>
      <c r="I1764" s="5">
        <v>29.994617826652771</v>
      </c>
      <c r="J1764" s="5">
        <v>39.555443796658331</v>
      </c>
      <c r="K1764" s="5">
        <v>67</v>
      </c>
    </row>
    <row r="1765" spans="1:11" x14ac:dyDescent="0.25">
      <c r="A1765" s="2">
        <v>46170.916666666657</v>
      </c>
      <c r="B1765" t="str">
        <f t="shared" si="54"/>
        <v>2026-05</v>
      </c>
      <c r="C1765" s="3">
        <f t="shared" si="55"/>
        <v>22</v>
      </c>
      <c r="D1765" s="4">
        <v>22.551699348247219</v>
      </c>
      <c r="E1765" s="4">
        <v>25.452605003847221</v>
      </c>
      <c r="F1765" s="4">
        <v>26.808341480633331</v>
      </c>
      <c r="G1765" s="4">
        <v>9.9</v>
      </c>
      <c r="H1765" s="5">
        <v>32.735042204075</v>
      </c>
      <c r="I1765" s="5">
        <v>33.921039540061109</v>
      </c>
      <c r="J1765" s="5">
        <v>39.890510847738888</v>
      </c>
      <c r="K1765" s="5">
        <v>72</v>
      </c>
    </row>
    <row r="1766" spans="1:11" x14ac:dyDescent="0.25">
      <c r="A1766" s="2">
        <v>46170.958333333343</v>
      </c>
      <c r="B1766" t="str">
        <f t="shared" si="54"/>
        <v>2026-05</v>
      </c>
      <c r="C1766" s="3">
        <f t="shared" si="55"/>
        <v>23</v>
      </c>
      <c r="D1766" s="4">
        <v>22.600432878377781</v>
      </c>
      <c r="E1766" s="4">
        <v>25.711670046922219</v>
      </c>
      <c r="F1766" s="4">
        <v>26.909773466636111</v>
      </c>
      <c r="G1766" s="4">
        <v>9.1</v>
      </c>
      <c r="H1766" s="5">
        <v>33.640015220591671</v>
      </c>
      <c r="I1766" s="5">
        <v>36.440825141611107</v>
      </c>
      <c r="J1766" s="5">
        <v>40.27611221414444</v>
      </c>
      <c r="K1766" s="5">
        <v>78</v>
      </c>
    </row>
    <row r="1767" spans="1:11" x14ac:dyDescent="0.25">
      <c r="A1767" s="2">
        <v>46171</v>
      </c>
      <c r="B1767" t="str">
        <f t="shared" si="54"/>
        <v>2026-05</v>
      </c>
      <c r="C1767" s="3">
        <f t="shared" si="55"/>
        <v>0</v>
      </c>
      <c r="D1767" s="4">
        <v>22.25708789689444</v>
      </c>
      <c r="E1767" s="4">
        <v>25.599486981527772</v>
      </c>
      <c r="F1767" s="4">
        <v>26.95962493031945</v>
      </c>
      <c r="G1767" s="4">
        <v>8.6999999999999993</v>
      </c>
      <c r="H1767" s="5">
        <v>34.347343275916657</v>
      </c>
      <c r="I1767" s="5">
        <v>34.437200637661107</v>
      </c>
      <c r="J1767" s="5">
        <v>40.512782771169448</v>
      </c>
      <c r="K1767" s="5">
        <v>80</v>
      </c>
    </row>
    <row r="1768" spans="1:11" x14ac:dyDescent="0.25">
      <c r="A1768" s="2">
        <v>46171.041666666657</v>
      </c>
      <c r="B1768" t="str">
        <f t="shared" si="54"/>
        <v>2026-05</v>
      </c>
      <c r="C1768" s="3">
        <f t="shared" si="55"/>
        <v>1</v>
      </c>
      <c r="D1768" s="4">
        <v>21.47824170103334</v>
      </c>
      <c r="E1768" s="4">
        <v>25.406625576638891</v>
      </c>
      <c r="F1768" s="4">
        <v>26.976018589872229</v>
      </c>
      <c r="G1768" s="4">
        <v>8.3000000000000007</v>
      </c>
      <c r="H1768" s="5">
        <v>35.579339601961117</v>
      </c>
      <c r="I1768" s="5">
        <v>32.285082149930552</v>
      </c>
      <c r="J1768" s="5">
        <v>40.613101537288891</v>
      </c>
      <c r="K1768" s="5">
        <v>79</v>
      </c>
    </row>
    <row r="1769" spans="1:11" x14ac:dyDescent="0.25">
      <c r="A1769" s="2">
        <v>46171.083333333343</v>
      </c>
      <c r="B1769" t="str">
        <f t="shared" si="54"/>
        <v>2026-05</v>
      </c>
      <c r="C1769" s="3">
        <f t="shared" si="55"/>
        <v>2</v>
      </c>
      <c r="D1769" s="4">
        <v>21.179481845877781</v>
      </c>
      <c r="E1769" s="4">
        <v>24.966341936336111</v>
      </c>
      <c r="F1769" s="4">
        <v>26.975397845186109</v>
      </c>
      <c r="G1769" s="4">
        <v>7.9</v>
      </c>
      <c r="H1769" s="5">
        <v>36.309684515819448</v>
      </c>
      <c r="I1769" s="5">
        <v>32.776964916441671</v>
      </c>
      <c r="J1769" s="5">
        <v>40.65558824173889</v>
      </c>
      <c r="K1769" s="5">
        <v>80</v>
      </c>
    </row>
    <row r="1770" spans="1:11" x14ac:dyDescent="0.25">
      <c r="A1770" s="2">
        <v>46171.125</v>
      </c>
      <c r="B1770" t="str">
        <f t="shared" si="54"/>
        <v>2026-05</v>
      </c>
      <c r="C1770" s="3">
        <f t="shared" si="55"/>
        <v>3</v>
      </c>
      <c r="D1770" s="4">
        <v>21.123056669330559</v>
      </c>
      <c r="E1770" s="4">
        <v>24.63480756532778</v>
      </c>
      <c r="F1770" s="4">
        <v>26.962420910266669</v>
      </c>
      <c r="G1770" s="4">
        <v>7.5</v>
      </c>
      <c r="H1770" s="5">
        <v>36.630879908697217</v>
      </c>
      <c r="I1770" s="5">
        <v>33.406659658541663</v>
      </c>
      <c r="J1770" s="5">
        <v>40.718773538997219</v>
      </c>
      <c r="K1770" s="5">
        <v>82</v>
      </c>
    </row>
    <row r="1771" spans="1:11" x14ac:dyDescent="0.25">
      <c r="A1771" s="2">
        <v>46171.166666666657</v>
      </c>
      <c r="B1771" t="str">
        <f t="shared" si="54"/>
        <v>2026-05</v>
      </c>
      <c r="C1771" s="3">
        <f t="shared" si="55"/>
        <v>4</v>
      </c>
      <c r="D1771" s="4">
        <v>20.914807646391669</v>
      </c>
      <c r="E1771" s="4">
        <v>24.462987879627772</v>
      </c>
      <c r="F1771" s="4">
        <v>26.953785398122221</v>
      </c>
      <c r="G1771" s="4">
        <v>7.1</v>
      </c>
      <c r="H1771" s="5">
        <v>37.105353311613889</v>
      </c>
      <c r="I1771" s="5">
        <v>33.268029656736111</v>
      </c>
      <c r="J1771" s="5">
        <v>40.764361589572232</v>
      </c>
      <c r="K1771" s="5">
        <v>82</v>
      </c>
    </row>
    <row r="1772" spans="1:11" x14ac:dyDescent="0.25">
      <c r="A1772" s="2">
        <v>46171.208333333343</v>
      </c>
      <c r="B1772" t="str">
        <f t="shared" si="54"/>
        <v>2026-05</v>
      </c>
      <c r="C1772" s="3">
        <f t="shared" si="55"/>
        <v>5</v>
      </c>
      <c r="D1772" s="4">
        <v>21.65314484816945</v>
      </c>
      <c r="E1772" s="4">
        <v>24.586290457016659</v>
      </c>
      <c r="F1772" s="4">
        <v>26.95124503841112</v>
      </c>
      <c r="G1772" s="4">
        <v>7</v>
      </c>
      <c r="H1772" s="5">
        <v>35.450994418291657</v>
      </c>
      <c r="I1772" s="5">
        <v>32.587798512230563</v>
      </c>
      <c r="J1772" s="5">
        <v>40.795727348727773</v>
      </c>
      <c r="K1772" s="5">
        <v>80</v>
      </c>
    </row>
    <row r="1773" spans="1:11" x14ac:dyDescent="0.25">
      <c r="A1773" s="2">
        <v>46171.25</v>
      </c>
      <c r="B1773" t="str">
        <f t="shared" si="54"/>
        <v>2026-05</v>
      </c>
      <c r="C1773" s="3">
        <f t="shared" si="55"/>
        <v>6</v>
      </c>
      <c r="D1773" s="4">
        <v>23.078880743672219</v>
      </c>
      <c r="E1773" s="4">
        <v>24.951335682044441</v>
      </c>
      <c r="F1773" s="4">
        <v>26.966986475652771</v>
      </c>
      <c r="G1773" s="4">
        <v>7.9</v>
      </c>
      <c r="H1773" s="5">
        <v>32.456957245791664</v>
      </c>
      <c r="I1773" s="5">
        <v>33.141480807547218</v>
      </c>
      <c r="J1773" s="5">
        <v>40.806363166336112</v>
      </c>
      <c r="K1773" s="5">
        <v>78</v>
      </c>
    </row>
    <row r="1774" spans="1:11" x14ac:dyDescent="0.25">
      <c r="A1774" s="2">
        <v>46171.291666666657</v>
      </c>
      <c r="B1774" t="str">
        <f t="shared" si="54"/>
        <v>2026-05</v>
      </c>
      <c r="C1774" s="3">
        <f t="shared" si="55"/>
        <v>7</v>
      </c>
      <c r="D1774" s="4">
        <v>24.03155476626111</v>
      </c>
      <c r="E1774" s="4">
        <v>25.497022373836121</v>
      </c>
      <c r="F1774" s="4">
        <v>26.99563084355</v>
      </c>
      <c r="G1774" s="4">
        <v>9.1999999999999993</v>
      </c>
      <c r="H1774" s="5">
        <v>32.383082851694454</v>
      </c>
      <c r="I1774" s="5">
        <v>33.01890947482778</v>
      </c>
      <c r="J1774" s="5">
        <v>40.916797542305552</v>
      </c>
      <c r="K1774" s="5">
        <v>72</v>
      </c>
    </row>
    <row r="1775" spans="1:11" x14ac:dyDescent="0.25">
      <c r="A1775" s="2">
        <v>46171.333333333343</v>
      </c>
      <c r="B1775" t="str">
        <f t="shared" si="54"/>
        <v>2026-05</v>
      </c>
      <c r="C1775" s="3">
        <f t="shared" si="55"/>
        <v>8</v>
      </c>
      <c r="D1775" s="4">
        <v>24.83944722647778</v>
      </c>
      <c r="E1775" s="4">
        <v>25.979424881650001</v>
      </c>
      <c r="F1775" s="4">
        <v>27.030894051552771</v>
      </c>
      <c r="G1775" s="4">
        <v>10.6</v>
      </c>
      <c r="H1775" s="5">
        <v>31.678153671213892</v>
      </c>
      <c r="I1775" s="5">
        <v>33.079461205211111</v>
      </c>
      <c r="J1775" s="5">
        <v>41.11538517971389</v>
      </c>
      <c r="K1775" s="5">
        <v>68</v>
      </c>
    </row>
    <row r="1776" spans="1:11" x14ac:dyDescent="0.25">
      <c r="A1776" s="2">
        <v>46171.375</v>
      </c>
      <c r="B1776" t="str">
        <f t="shared" si="54"/>
        <v>2026-05</v>
      </c>
      <c r="C1776" s="3">
        <f t="shared" si="55"/>
        <v>9</v>
      </c>
      <c r="D1776" s="4">
        <v>25.1838352557</v>
      </c>
      <c r="E1776" s="4">
        <v>26.268010720613891</v>
      </c>
      <c r="F1776" s="4">
        <v>27.069154963405559</v>
      </c>
      <c r="G1776" s="4">
        <v>11.5</v>
      </c>
      <c r="H1776" s="5">
        <v>31.33127278864167</v>
      </c>
      <c r="I1776" s="5">
        <v>33.208174974355551</v>
      </c>
      <c r="J1776" s="5">
        <v>41.308387534880559</v>
      </c>
      <c r="K1776" s="5">
        <v>61</v>
      </c>
    </row>
    <row r="1777" spans="1:11" x14ac:dyDescent="0.25">
      <c r="A1777" s="2">
        <v>46171.416666666657</v>
      </c>
      <c r="B1777" t="str">
        <f t="shared" si="54"/>
        <v>2026-05</v>
      </c>
      <c r="C1777" s="3">
        <f t="shared" si="55"/>
        <v>10</v>
      </c>
      <c r="D1777" s="4">
        <v>25.31433354083056</v>
      </c>
      <c r="E1777" s="4">
        <v>26.49379944264167</v>
      </c>
      <c r="F1777" s="4">
        <v>27.103659816911112</v>
      </c>
      <c r="G1777" s="4">
        <v>12.6</v>
      </c>
      <c r="H1777" s="5">
        <v>30.771801472452779</v>
      </c>
      <c r="I1777" s="5">
        <v>33.128230066977778</v>
      </c>
      <c r="J1777" s="5">
        <v>41.454974618350001</v>
      </c>
      <c r="K1777" s="5">
        <v>54</v>
      </c>
    </row>
    <row r="1778" spans="1:11" x14ac:dyDescent="0.25">
      <c r="A1778" s="2">
        <v>46171.458333333343</v>
      </c>
      <c r="B1778" t="str">
        <f t="shared" si="54"/>
        <v>2026-05</v>
      </c>
      <c r="C1778" s="3">
        <f t="shared" si="55"/>
        <v>11</v>
      </c>
      <c r="D1778" s="4">
        <v>25.187412958652772</v>
      </c>
      <c r="E1778" s="4">
        <v>26.72411062846945</v>
      </c>
      <c r="F1778" s="4">
        <v>27.196366572791661</v>
      </c>
      <c r="G1778" s="4">
        <v>13.5</v>
      </c>
      <c r="H1778" s="5">
        <v>30.019277241533331</v>
      </c>
      <c r="I1778" s="5">
        <v>39.109969767580559</v>
      </c>
      <c r="J1778" s="5">
        <v>41.503024861266667</v>
      </c>
      <c r="K1778" s="5">
        <v>46</v>
      </c>
    </row>
    <row r="1779" spans="1:11" x14ac:dyDescent="0.25">
      <c r="A1779" s="2">
        <v>46171.5</v>
      </c>
      <c r="B1779" t="str">
        <f t="shared" si="54"/>
        <v>2026-05</v>
      </c>
      <c r="C1779" s="3">
        <f t="shared" si="55"/>
        <v>12</v>
      </c>
      <c r="D1779" s="4">
        <v>25.063946466925</v>
      </c>
      <c r="E1779" s="4">
        <v>26.61863060309722</v>
      </c>
      <c r="F1779" s="4">
        <v>27.224412731377779</v>
      </c>
      <c r="G1779" s="4">
        <v>14.1</v>
      </c>
      <c r="H1779" s="5">
        <v>31.077624700522222</v>
      </c>
      <c r="I1779" s="5">
        <v>38.807821340419437</v>
      </c>
      <c r="J1779" s="5">
        <v>41.548838030933332</v>
      </c>
      <c r="K1779" s="5">
        <v>41</v>
      </c>
    </row>
    <row r="1780" spans="1:11" x14ac:dyDescent="0.25">
      <c r="A1780" s="2">
        <v>46171.541666666657</v>
      </c>
      <c r="B1780" t="str">
        <f t="shared" si="54"/>
        <v>2026-05</v>
      </c>
      <c r="C1780" s="3">
        <f t="shared" si="55"/>
        <v>13</v>
      </c>
      <c r="D1780" s="4">
        <v>25.05135316788056</v>
      </c>
      <c r="E1780" s="4">
        <v>26.619155500497229</v>
      </c>
      <c r="F1780" s="4">
        <v>27.172080546002778</v>
      </c>
      <c r="G1780" s="4">
        <v>14.2</v>
      </c>
      <c r="H1780" s="5">
        <v>33.057528190730558</v>
      </c>
      <c r="I1780" s="5">
        <v>36.397482753655559</v>
      </c>
      <c r="J1780" s="5">
        <v>41.709808708127767</v>
      </c>
      <c r="K1780" s="5">
        <v>43</v>
      </c>
    </row>
    <row r="1781" spans="1:11" x14ac:dyDescent="0.25">
      <c r="A1781" s="2">
        <v>46171.583333333343</v>
      </c>
      <c r="B1781" t="str">
        <f t="shared" si="54"/>
        <v>2026-05</v>
      </c>
      <c r="C1781" s="3">
        <f t="shared" si="55"/>
        <v>14</v>
      </c>
      <c r="D1781" s="4">
        <v>24.580504471108341</v>
      </c>
      <c r="E1781" s="4">
        <v>26.61192670938334</v>
      </c>
      <c r="F1781" s="4">
        <v>27.220976547641669</v>
      </c>
      <c r="G1781" s="4">
        <v>15.1</v>
      </c>
      <c r="H1781" s="5">
        <v>33.075815650674997</v>
      </c>
      <c r="I1781" s="5">
        <v>34.79218906801389</v>
      </c>
      <c r="J1781" s="5">
        <v>41.776087255022233</v>
      </c>
      <c r="K1781" s="5">
        <v>46</v>
      </c>
    </row>
    <row r="1782" spans="1:11" x14ac:dyDescent="0.25">
      <c r="A1782" s="2">
        <v>46171.625</v>
      </c>
      <c r="B1782" t="str">
        <f t="shared" si="54"/>
        <v>2026-05</v>
      </c>
      <c r="C1782" s="3">
        <f t="shared" si="55"/>
        <v>15</v>
      </c>
      <c r="D1782" s="4">
        <v>22.06579768512778</v>
      </c>
      <c r="E1782" s="4">
        <v>26.089690540241669</v>
      </c>
      <c r="F1782" s="4">
        <v>27.187323441450001</v>
      </c>
      <c r="G1782" s="4">
        <v>14.5</v>
      </c>
      <c r="H1782" s="5">
        <v>30.625551336263889</v>
      </c>
      <c r="I1782" s="5">
        <v>29.065823162244449</v>
      </c>
      <c r="J1782" s="5">
        <v>41.565162660130561</v>
      </c>
      <c r="K1782" s="5">
        <v>44</v>
      </c>
    </row>
    <row r="1783" spans="1:11" x14ac:dyDescent="0.25">
      <c r="A1783" s="2">
        <v>46171.666666666657</v>
      </c>
      <c r="B1783" t="str">
        <f t="shared" si="54"/>
        <v>2026-05</v>
      </c>
      <c r="C1783" s="3">
        <f t="shared" si="55"/>
        <v>16</v>
      </c>
      <c r="D1783" s="4">
        <v>21.67836226318056</v>
      </c>
      <c r="E1783" s="4">
        <v>25.809979518622221</v>
      </c>
      <c r="F1783" s="4">
        <v>27.158152575063891</v>
      </c>
      <c r="G1783" s="4">
        <v>15</v>
      </c>
      <c r="H1783" s="5">
        <v>30.149318690838889</v>
      </c>
      <c r="I1783" s="5">
        <v>27.813141015725002</v>
      </c>
      <c r="J1783" s="5">
        <v>41.13679686243055</v>
      </c>
      <c r="K1783" s="5">
        <v>43</v>
      </c>
    </row>
    <row r="1784" spans="1:11" x14ac:dyDescent="0.25">
      <c r="A1784" s="2">
        <v>46171.708333333343</v>
      </c>
      <c r="B1784" t="str">
        <f t="shared" si="54"/>
        <v>2026-05</v>
      </c>
      <c r="C1784" s="3">
        <f t="shared" si="55"/>
        <v>17</v>
      </c>
      <c r="D1784" s="4">
        <v>20.898503659241669</v>
      </c>
      <c r="E1784" s="4">
        <v>25.824247685908329</v>
      </c>
      <c r="F1784" s="4">
        <v>27.142487797516669</v>
      </c>
      <c r="G1784" s="4">
        <v>14.8</v>
      </c>
      <c r="H1784" s="5">
        <v>33.479128558955559</v>
      </c>
      <c r="I1784" s="5">
        <v>28.540355307997221</v>
      </c>
      <c r="J1784" s="5">
        <v>40.933816510466663</v>
      </c>
      <c r="K1784" s="5">
        <v>44</v>
      </c>
    </row>
    <row r="1785" spans="1:11" x14ac:dyDescent="0.25">
      <c r="A1785" s="2">
        <v>46171.75</v>
      </c>
      <c r="B1785" t="str">
        <f t="shared" si="54"/>
        <v>2026-05</v>
      </c>
      <c r="C1785" s="3">
        <f t="shared" si="55"/>
        <v>18</v>
      </c>
      <c r="D1785" s="4">
        <v>23.020304084736111</v>
      </c>
      <c r="E1785" s="4">
        <v>26.06547640966944</v>
      </c>
      <c r="F1785" s="4">
        <v>27.133620180249999</v>
      </c>
      <c r="G1785" s="4">
        <v>13.9</v>
      </c>
      <c r="H1785" s="5">
        <v>35.086229378749998</v>
      </c>
      <c r="I1785" s="5">
        <v>33.435495057683333</v>
      </c>
      <c r="J1785" s="5">
        <v>40.926922504630561</v>
      </c>
      <c r="K1785" s="5">
        <v>47</v>
      </c>
    </row>
    <row r="1786" spans="1:11" x14ac:dyDescent="0.25">
      <c r="A1786" s="2">
        <v>46171.791666666657</v>
      </c>
      <c r="B1786" t="str">
        <f t="shared" si="54"/>
        <v>2026-05</v>
      </c>
      <c r="C1786" s="3">
        <f t="shared" si="55"/>
        <v>19</v>
      </c>
      <c r="D1786" s="4">
        <v>23.911895510316668</v>
      </c>
      <c r="E1786" s="4">
        <v>26.327175555069449</v>
      </c>
      <c r="F1786" s="4">
        <v>27.14321397311112</v>
      </c>
      <c r="G1786" s="4">
        <v>13.1</v>
      </c>
      <c r="H1786" s="5">
        <v>36.218344700525002</v>
      </c>
      <c r="I1786" s="5">
        <v>35.761794740649997</v>
      </c>
      <c r="J1786" s="5">
        <v>41.827695742002781</v>
      </c>
      <c r="K1786" s="5">
        <v>51</v>
      </c>
    </row>
    <row r="1787" spans="1:11" x14ac:dyDescent="0.25">
      <c r="A1787" s="2">
        <v>46171.833333333343</v>
      </c>
      <c r="B1787" t="str">
        <f t="shared" si="54"/>
        <v>2026-05</v>
      </c>
      <c r="C1787" s="3">
        <f t="shared" si="55"/>
        <v>20</v>
      </c>
      <c r="D1787" s="4">
        <v>23.523024833383332</v>
      </c>
      <c r="E1787" s="4">
        <v>26.143443190955551</v>
      </c>
      <c r="F1787" s="4">
        <v>27.16764536170556</v>
      </c>
      <c r="G1787" s="4">
        <v>11.8</v>
      </c>
      <c r="H1787" s="5">
        <v>39.139740751466668</v>
      </c>
      <c r="I1787" s="5">
        <v>40.949658554741667</v>
      </c>
      <c r="J1787" s="5">
        <v>44.230724026475002</v>
      </c>
      <c r="K1787" s="5">
        <v>59</v>
      </c>
    </row>
    <row r="1788" spans="1:11" x14ac:dyDescent="0.25">
      <c r="A1788" s="2">
        <v>46171.875</v>
      </c>
      <c r="B1788" t="str">
        <f t="shared" si="54"/>
        <v>2026-05</v>
      </c>
      <c r="C1788" s="3">
        <f t="shared" si="55"/>
        <v>21</v>
      </c>
      <c r="D1788" s="4">
        <v>22.999938269433329</v>
      </c>
      <c r="E1788" s="4">
        <v>25.75307996405278</v>
      </c>
      <c r="F1788" s="4">
        <v>27.359886103413888</v>
      </c>
      <c r="G1788" s="4">
        <v>10.5</v>
      </c>
      <c r="H1788" s="5">
        <v>40.398597722563878</v>
      </c>
      <c r="I1788" s="5">
        <v>43.859629445783327</v>
      </c>
      <c r="J1788" s="5">
        <v>43.437074260402767</v>
      </c>
      <c r="K1788" s="5">
        <v>68</v>
      </c>
    </row>
    <row r="1789" spans="1:11" x14ac:dyDescent="0.25">
      <c r="A1789" s="2">
        <v>46171.916666666657</v>
      </c>
      <c r="B1789" t="str">
        <f t="shared" si="54"/>
        <v>2026-05</v>
      </c>
      <c r="C1789" s="3">
        <f t="shared" si="55"/>
        <v>22</v>
      </c>
      <c r="D1789" s="4">
        <v>22.63302916536945</v>
      </c>
      <c r="E1789" s="4">
        <v>25.486262511236109</v>
      </c>
      <c r="F1789" s="4">
        <v>27.25456912318333</v>
      </c>
      <c r="G1789" s="4">
        <v>9.6</v>
      </c>
      <c r="H1789" s="5">
        <v>41.548956020561107</v>
      </c>
      <c r="I1789" s="5">
        <v>43.974486191141672</v>
      </c>
      <c r="J1789" s="5">
        <v>44.032698999808332</v>
      </c>
      <c r="K1789" s="5">
        <v>75</v>
      </c>
    </row>
    <row r="1790" spans="1:11" x14ac:dyDescent="0.25">
      <c r="A1790" s="2">
        <v>46171.958333333343</v>
      </c>
      <c r="B1790" t="str">
        <f t="shared" si="54"/>
        <v>2026-05</v>
      </c>
      <c r="C1790" s="3">
        <f t="shared" si="55"/>
        <v>23</v>
      </c>
      <c r="D1790" s="4">
        <v>22.61763071335556</v>
      </c>
      <c r="E1790" s="4">
        <v>25.718100311861111</v>
      </c>
      <c r="F1790" s="4">
        <v>27.104597654266669</v>
      </c>
      <c r="G1790" s="4">
        <v>9.1999999999999993</v>
      </c>
      <c r="H1790" s="5">
        <v>41.839187807847217</v>
      </c>
      <c r="I1790" s="5">
        <v>45.130054712911111</v>
      </c>
      <c r="J1790" s="5">
        <v>45.095871683125011</v>
      </c>
      <c r="K1790" s="5">
        <v>79</v>
      </c>
    </row>
    <row r="1791" spans="1:11" x14ac:dyDescent="0.25">
      <c r="A1791" s="2">
        <v>46172</v>
      </c>
      <c r="B1791" t="str">
        <f t="shared" si="54"/>
        <v>2026-05</v>
      </c>
      <c r="C1791" s="3">
        <f t="shared" si="55"/>
        <v>0</v>
      </c>
      <c r="D1791" s="4">
        <v>22.803977214483339</v>
      </c>
      <c r="E1791" s="4">
        <v>25.812749375336111</v>
      </c>
      <c r="F1791" s="4">
        <v>27.369290820972221</v>
      </c>
      <c r="G1791" s="4">
        <v>8.8000000000000007</v>
      </c>
      <c r="H1791" s="5">
        <v>39.00393727504445</v>
      </c>
      <c r="I1791" s="5">
        <v>44.215222386894453</v>
      </c>
      <c r="J1791" s="5">
        <v>44.231358650438892</v>
      </c>
      <c r="K1791" s="5">
        <v>81</v>
      </c>
    </row>
    <row r="1792" spans="1:11" x14ac:dyDescent="0.25">
      <c r="A1792" s="2">
        <v>46172.041666666657</v>
      </c>
      <c r="B1792" t="str">
        <f t="shared" si="54"/>
        <v>2026-05</v>
      </c>
      <c r="C1792" s="3">
        <f t="shared" si="55"/>
        <v>1</v>
      </c>
      <c r="D1792" s="4">
        <v>22.394587467722221</v>
      </c>
      <c r="E1792" s="4">
        <v>25.723650872638888</v>
      </c>
      <c r="F1792" s="4">
        <v>27.394762600022229</v>
      </c>
      <c r="G1792" s="4">
        <v>8.1</v>
      </c>
      <c r="H1792" s="5">
        <v>40.208023013694451</v>
      </c>
      <c r="I1792" s="5">
        <v>41.300983327588888</v>
      </c>
      <c r="J1792" s="5">
        <v>43.971102322075012</v>
      </c>
      <c r="K1792" s="5">
        <v>83</v>
      </c>
    </row>
    <row r="1793" spans="1:11" x14ac:dyDescent="0.25">
      <c r="A1793" s="2">
        <v>46172.083333333343</v>
      </c>
      <c r="B1793" t="str">
        <f t="shared" si="54"/>
        <v>2026-05</v>
      </c>
      <c r="C1793" s="3">
        <f t="shared" si="55"/>
        <v>2</v>
      </c>
      <c r="D1793" s="4">
        <v>21.53894266794444</v>
      </c>
      <c r="E1793" s="4">
        <v>25.18399859731112</v>
      </c>
      <c r="F1793" s="4">
        <v>27.338751979569441</v>
      </c>
      <c r="G1793" s="4">
        <v>7.4</v>
      </c>
      <c r="H1793" s="5">
        <v>40.31487893024444</v>
      </c>
      <c r="I1793" s="5">
        <v>39.658459954513887</v>
      </c>
      <c r="J1793" s="5">
        <v>43.60176745735</v>
      </c>
      <c r="K1793" s="5">
        <v>85</v>
      </c>
    </row>
    <row r="1794" spans="1:11" x14ac:dyDescent="0.25">
      <c r="A1794" s="2">
        <v>46172.125</v>
      </c>
      <c r="B1794" t="str">
        <f t="shared" ref="B1794:B1857" si="56">TEXT(A1794,"yyyy-mm")</f>
        <v>2026-05</v>
      </c>
      <c r="C1794" s="3">
        <f t="shared" ref="C1794:C1857" si="57">HOUR(A1794)</f>
        <v>3</v>
      </c>
      <c r="D1794" s="4">
        <v>21.231188779658339</v>
      </c>
      <c r="E1794" s="4">
        <v>24.803797210194439</v>
      </c>
      <c r="F1794" s="4">
        <v>27.26080708603056</v>
      </c>
      <c r="G1794" s="4">
        <v>7.2</v>
      </c>
      <c r="H1794" s="5">
        <v>39.322180910072227</v>
      </c>
      <c r="I1794" s="5">
        <v>38.222632888491667</v>
      </c>
      <c r="J1794" s="5">
        <v>43.184505113116657</v>
      </c>
      <c r="K1794" s="5">
        <v>83</v>
      </c>
    </row>
    <row r="1795" spans="1:11" x14ac:dyDescent="0.25">
      <c r="A1795" s="2">
        <v>46172.166666666657</v>
      </c>
      <c r="B1795" t="str">
        <f t="shared" si="56"/>
        <v>2026-05</v>
      </c>
      <c r="C1795" s="3">
        <f t="shared" si="57"/>
        <v>4</v>
      </c>
      <c r="D1795" s="4">
        <v>20.97960874934444</v>
      </c>
      <c r="E1795" s="4">
        <v>24.604472618591672</v>
      </c>
      <c r="F1795" s="4">
        <v>27.186978107891669</v>
      </c>
      <c r="G1795" s="4">
        <v>6.5</v>
      </c>
      <c r="H1795" s="5">
        <v>38.609975547758332</v>
      </c>
      <c r="I1795" s="5">
        <v>37.42884481136111</v>
      </c>
      <c r="J1795" s="5">
        <v>42.813814601988888</v>
      </c>
      <c r="K1795" s="5">
        <v>87</v>
      </c>
    </row>
    <row r="1796" spans="1:11" x14ac:dyDescent="0.25">
      <c r="A1796" s="2">
        <v>46172.208333333343</v>
      </c>
      <c r="B1796" t="str">
        <f t="shared" si="56"/>
        <v>2026-05</v>
      </c>
      <c r="C1796" s="3">
        <f t="shared" si="57"/>
        <v>5</v>
      </c>
      <c r="D1796" s="4">
        <v>20.994541786577781</v>
      </c>
      <c r="E1796" s="4">
        <v>24.53419977253612</v>
      </c>
      <c r="F1796" s="4">
        <v>27.13584862499167</v>
      </c>
      <c r="G1796" s="4">
        <v>6.1</v>
      </c>
      <c r="H1796" s="5">
        <v>38.248074158630551</v>
      </c>
      <c r="I1796" s="5">
        <v>34.917656838511107</v>
      </c>
      <c r="J1796" s="5">
        <v>42.490648911580557</v>
      </c>
      <c r="K1796" s="5">
        <v>89</v>
      </c>
    </row>
    <row r="1797" spans="1:11" x14ac:dyDescent="0.25">
      <c r="A1797" s="2">
        <v>46172.25</v>
      </c>
      <c r="B1797" t="str">
        <f t="shared" si="56"/>
        <v>2026-05</v>
      </c>
      <c r="C1797" s="3">
        <f t="shared" si="57"/>
        <v>6</v>
      </c>
      <c r="D1797" s="4">
        <v>21.441268750433331</v>
      </c>
      <c r="E1797" s="4">
        <v>24.583953581297219</v>
      </c>
      <c r="F1797" s="4">
        <v>27.11128182121945</v>
      </c>
      <c r="G1797" s="4">
        <v>6.8</v>
      </c>
      <c r="H1797" s="5">
        <v>37.706621358983327</v>
      </c>
      <c r="I1797" s="5">
        <v>34.246954134836109</v>
      </c>
      <c r="J1797" s="5">
        <v>42.270376372105552</v>
      </c>
      <c r="K1797" s="5">
        <v>86</v>
      </c>
    </row>
    <row r="1798" spans="1:11" x14ac:dyDescent="0.25">
      <c r="A1798" s="2">
        <v>46172.291666666657</v>
      </c>
      <c r="B1798" t="str">
        <f t="shared" si="56"/>
        <v>2026-05</v>
      </c>
      <c r="C1798" s="3">
        <f t="shared" si="57"/>
        <v>7</v>
      </c>
      <c r="D1798" s="4">
        <v>22.82066884109167</v>
      </c>
      <c r="E1798" s="4">
        <v>24.93405320683889</v>
      </c>
      <c r="F1798" s="4">
        <v>27.09685704818056</v>
      </c>
      <c r="G1798" s="4">
        <v>8.1999999999999993</v>
      </c>
      <c r="H1798" s="5">
        <v>35.641403510922217</v>
      </c>
      <c r="I1798" s="5">
        <v>35.682402810200003</v>
      </c>
      <c r="J1798" s="5">
        <v>42.165065547655551</v>
      </c>
      <c r="K1798" s="5">
        <v>79</v>
      </c>
    </row>
    <row r="1799" spans="1:11" x14ac:dyDescent="0.25">
      <c r="A1799" s="2">
        <v>46172.333333333343</v>
      </c>
      <c r="B1799" t="str">
        <f t="shared" si="56"/>
        <v>2026-05</v>
      </c>
      <c r="C1799" s="3">
        <f t="shared" si="57"/>
        <v>8</v>
      </c>
      <c r="D1799" s="4">
        <v>23.623790451455552</v>
      </c>
      <c r="E1799" s="4">
        <v>25.267583528419451</v>
      </c>
      <c r="F1799" s="4">
        <v>27.106334192475</v>
      </c>
      <c r="G1799" s="4">
        <v>9.6</v>
      </c>
      <c r="H1799" s="5">
        <v>34.166591526330564</v>
      </c>
      <c r="I1799" s="5">
        <v>35.715929988644447</v>
      </c>
      <c r="J1799" s="5">
        <v>42.137722480736109</v>
      </c>
      <c r="K1799" s="5">
        <v>72</v>
      </c>
    </row>
    <row r="1800" spans="1:11" x14ac:dyDescent="0.25">
      <c r="A1800" s="2">
        <v>46172.375</v>
      </c>
      <c r="B1800" t="str">
        <f t="shared" si="56"/>
        <v>2026-05</v>
      </c>
      <c r="C1800" s="3">
        <f t="shared" si="57"/>
        <v>9</v>
      </c>
      <c r="D1800" s="4">
        <v>23.944607265586111</v>
      </c>
      <c r="E1800" s="4">
        <v>25.427686573169439</v>
      </c>
      <c r="F1800" s="4">
        <v>27.120047908105558</v>
      </c>
      <c r="G1800" s="4">
        <v>11.2</v>
      </c>
      <c r="H1800" s="5">
        <v>33.656964849416667</v>
      </c>
      <c r="I1800" s="5">
        <v>35.676436386155551</v>
      </c>
      <c r="J1800" s="5">
        <v>42.159671568249998</v>
      </c>
      <c r="K1800" s="5">
        <v>64</v>
      </c>
    </row>
    <row r="1801" spans="1:11" x14ac:dyDescent="0.25">
      <c r="A1801" s="2">
        <v>46172.416666666657</v>
      </c>
      <c r="B1801" t="str">
        <f t="shared" si="56"/>
        <v>2026-05</v>
      </c>
      <c r="C1801" s="3">
        <f t="shared" si="57"/>
        <v>10</v>
      </c>
      <c r="D1801" s="4">
        <v>24.12848732243333</v>
      </c>
      <c r="E1801" s="4">
        <v>25.580598807049999</v>
      </c>
      <c r="F1801" s="4">
        <v>27.130079664463889</v>
      </c>
      <c r="G1801" s="4">
        <v>12.4</v>
      </c>
      <c r="H1801" s="5">
        <v>31.49926822542778</v>
      </c>
      <c r="I1801" s="5">
        <v>34.454138855408331</v>
      </c>
      <c r="J1801" s="5">
        <v>42.133321345391657</v>
      </c>
      <c r="K1801" s="5">
        <v>56</v>
      </c>
    </row>
    <row r="1802" spans="1:11" x14ac:dyDescent="0.25">
      <c r="A1802" s="2">
        <v>46172.458333333343</v>
      </c>
      <c r="B1802" t="str">
        <f t="shared" si="56"/>
        <v>2026-05</v>
      </c>
      <c r="C1802" s="3">
        <f t="shared" si="57"/>
        <v>11</v>
      </c>
      <c r="D1802" s="4">
        <v>24.329989707422229</v>
      </c>
      <c r="E1802" s="4">
        <v>25.782063333427772</v>
      </c>
      <c r="F1802" s="4">
        <v>27.142075017766668</v>
      </c>
      <c r="G1802" s="4">
        <v>12.5</v>
      </c>
      <c r="H1802" s="5">
        <v>30.532948590530559</v>
      </c>
      <c r="I1802" s="5">
        <v>33.589178662938878</v>
      </c>
      <c r="J1802" s="5">
        <v>42.07989231851667</v>
      </c>
      <c r="K1802" s="5">
        <v>54</v>
      </c>
    </row>
    <row r="1803" spans="1:11" x14ac:dyDescent="0.25">
      <c r="A1803" s="2">
        <v>46172.5</v>
      </c>
      <c r="B1803" t="str">
        <f t="shared" si="56"/>
        <v>2026-05</v>
      </c>
      <c r="C1803" s="3">
        <f t="shared" si="57"/>
        <v>12</v>
      </c>
      <c r="D1803" s="4">
        <v>24.193218900447221</v>
      </c>
      <c r="E1803" s="4">
        <v>25.991244288594441</v>
      </c>
      <c r="F1803" s="4">
        <v>27.14631048906389</v>
      </c>
      <c r="G1803" s="4">
        <v>13</v>
      </c>
      <c r="H1803" s="5">
        <v>31.971040369038889</v>
      </c>
      <c r="I1803" s="5">
        <v>34.204772803002783</v>
      </c>
      <c r="J1803" s="5">
        <v>42.020179556322233</v>
      </c>
      <c r="K1803" s="5">
        <v>52</v>
      </c>
    </row>
    <row r="1804" spans="1:11" x14ac:dyDescent="0.25">
      <c r="A1804" s="2">
        <v>46172.541666666657</v>
      </c>
      <c r="B1804" t="str">
        <f t="shared" si="56"/>
        <v>2026-05</v>
      </c>
      <c r="C1804" s="3">
        <f t="shared" si="57"/>
        <v>13</v>
      </c>
      <c r="D1804" s="4">
        <v>23.724890906097219</v>
      </c>
      <c r="E1804" s="4">
        <v>26.230747417055561</v>
      </c>
      <c r="F1804" s="4">
        <v>27.14339783980833</v>
      </c>
      <c r="G1804" s="4">
        <v>12.9</v>
      </c>
      <c r="H1804" s="5">
        <v>33.889228153327778</v>
      </c>
      <c r="I1804" s="5">
        <v>34.124580554399998</v>
      </c>
      <c r="J1804" s="5">
        <v>41.990743553958332</v>
      </c>
      <c r="K1804" s="5">
        <v>53</v>
      </c>
    </row>
    <row r="1805" spans="1:11" x14ac:dyDescent="0.25">
      <c r="A1805" s="2">
        <v>46172.583333333343</v>
      </c>
      <c r="B1805" t="str">
        <f t="shared" si="56"/>
        <v>2026-05</v>
      </c>
      <c r="C1805" s="3">
        <f t="shared" si="57"/>
        <v>14</v>
      </c>
      <c r="D1805" s="4">
        <v>23.163088063899998</v>
      </c>
      <c r="E1805" s="4">
        <v>26.223027380274999</v>
      </c>
      <c r="F1805" s="4">
        <v>27.141997730469441</v>
      </c>
      <c r="G1805" s="4">
        <v>12.8</v>
      </c>
      <c r="H1805" s="5">
        <v>36.597469090599994</v>
      </c>
      <c r="I1805" s="5">
        <v>35.644647238050013</v>
      </c>
      <c r="J1805" s="5">
        <v>42.118289262694447</v>
      </c>
      <c r="K1805" s="5">
        <v>53</v>
      </c>
    </row>
    <row r="1806" spans="1:11" x14ac:dyDescent="0.25">
      <c r="A1806" s="2">
        <v>46172.625</v>
      </c>
      <c r="B1806" t="str">
        <f t="shared" si="56"/>
        <v>2026-05</v>
      </c>
      <c r="C1806" s="3">
        <f t="shared" si="57"/>
        <v>15</v>
      </c>
      <c r="D1806" s="4">
        <v>23.07746226554444</v>
      </c>
      <c r="E1806" s="4">
        <v>26.106268151841661</v>
      </c>
      <c r="F1806" s="4">
        <v>27.136277995047219</v>
      </c>
      <c r="G1806" s="4">
        <v>14.4</v>
      </c>
      <c r="H1806" s="5">
        <v>35.982583774524997</v>
      </c>
      <c r="I1806" s="5">
        <v>34.069522528786123</v>
      </c>
      <c r="J1806" s="5">
        <v>42.100258275122222</v>
      </c>
      <c r="K1806" s="5">
        <v>52</v>
      </c>
    </row>
    <row r="1807" spans="1:11" x14ac:dyDescent="0.25">
      <c r="A1807" s="2">
        <v>46172.666666666657</v>
      </c>
      <c r="B1807" t="str">
        <f t="shared" si="56"/>
        <v>2026-05</v>
      </c>
      <c r="C1807" s="3">
        <f t="shared" si="57"/>
        <v>16</v>
      </c>
      <c r="D1807" s="4">
        <v>22.70537036641667</v>
      </c>
      <c r="E1807" s="4">
        <v>25.949916218563889</v>
      </c>
      <c r="F1807" s="4">
        <v>27.13366800771945</v>
      </c>
      <c r="G1807" s="4">
        <v>13.6</v>
      </c>
      <c r="H1807" s="5">
        <v>36.707531207955562</v>
      </c>
      <c r="I1807" s="5">
        <v>33.081000974877767</v>
      </c>
      <c r="J1807" s="5">
        <v>42.022452266527779</v>
      </c>
      <c r="K1807" s="5">
        <v>54</v>
      </c>
    </row>
    <row r="1808" spans="1:11" x14ac:dyDescent="0.25">
      <c r="A1808" s="2">
        <v>46172.708333333343</v>
      </c>
      <c r="B1808" t="str">
        <f t="shared" si="56"/>
        <v>2026-05</v>
      </c>
      <c r="C1808" s="3">
        <f t="shared" si="57"/>
        <v>17</v>
      </c>
      <c r="D1808" s="4">
        <v>23.041540862044439</v>
      </c>
      <c r="E1808" s="4">
        <v>25.75836908218611</v>
      </c>
      <c r="F1808" s="4">
        <v>27.128833013586121</v>
      </c>
      <c r="G1808" s="4">
        <v>10.8</v>
      </c>
      <c r="H1808" s="5">
        <v>37.469954354119437</v>
      </c>
      <c r="I1808" s="5">
        <v>34.651238600266673</v>
      </c>
      <c r="J1808" s="5">
        <v>42.024221044730552</v>
      </c>
      <c r="K1808" s="5">
        <v>78</v>
      </c>
    </row>
    <row r="1809" spans="1:11" x14ac:dyDescent="0.25">
      <c r="A1809" s="2">
        <v>46172.75</v>
      </c>
      <c r="B1809" t="str">
        <f t="shared" si="56"/>
        <v>2026-05</v>
      </c>
      <c r="C1809" s="3">
        <f t="shared" si="57"/>
        <v>18</v>
      </c>
      <c r="D1809" s="4">
        <v>22.878943845275</v>
      </c>
      <c r="E1809" s="4">
        <v>25.510583607058329</v>
      </c>
      <c r="F1809" s="4">
        <v>27.124012148125001</v>
      </c>
      <c r="G1809" s="4">
        <v>10.3</v>
      </c>
      <c r="H1809" s="5">
        <v>36.755070726297227</v>
      </c>
      <c r="I1809" s="5">
        <v>33.959451595375</v>
      </c>
      <c r="J1809" s="5">
        <v>42.010781877527783</v>
      </c>
      <c r="K1809" s="5">
        <v>80</v>
      </c>
    </row>
    <row r="1810" spans="1:11" x14ac:dyDescent="0.25">
      <c r="A1810" s="2">
        <v>46172.791666666657</v>
      </c>
      <c r="B1810" t="str">
        <f t="shared" si="56"/>
        <v>2026-05</v>
      </c>
      <c r="C1810" s="3">
        <f t="shared" si="57"/>
        <v>19</v>
      </c>
      <c r="D1810" s="4">
        <v>22.730021040038888</v>
      </c>
      <c r="E1810" s="4">
        <v>25.60617842435833</v>
      </c>
      <c r="F1810" s="4">
        <v>27.077356533366672</v>
      </c>
      <c r="G1810" s="4">
        <v>11</v>
      </c>
      <c r="H1810" s="5">
        <v>37.751979358441673</v>
      </c>
      <c r="I1810" s="5">
        <v>35.079568353466669</v>
      </c>
      <c r="J1810" s="5">
        <v>41.973100187850001</v>
      </c>
      <c r="K1810" s="5">
        <v>75</v>
      </c>
    </row>
    <row r="1811" spans="1:11" x14ac:dyDescent="0.25">
      <c r="A1811" s="2">
        <v>46172.833333333343</v>
      </c>
      <c r="B1811" t="str">
        <f t="shared" si="56"/>
        <v>2026-05</v>
      </c>
      <c r="C1811" s="3">
        <f t="shared" si="57"/>
        <v>20</v>
      </c>
      <c r="D1811" s="4">
        <v>22.466360424363891</v>
      </c>
      <c r="E1811" s="4">
        <v>25.632862806313891</v>
      </c>
      <c r="F1811" s="4">
        <v>27.050194823847221</v>
      </c>
      <c r="G1811" s="4">
        <v>10.7</v>
      </c>
      <c r="H1811" s="5">
        <v>40.187019634161118</v>
      </c>
      <c r="I1811" s="5">
        <v>36.483734607197228</v>
      </c>
      <c r="J1811" s="5">
        <v>42.198759358825001</v>
      </c>
      <c r="K1811" s="5">
        <v>77</v>
      </c>
    </row>
    <row r="1812" spans="1:11" x14ac:dyDescent="0.25">
      <c r="A1812" s="2">
        <v>46172.875</v>
      </c>
      <c r="B1812" t="str">
        <f t="shared" si="56"/>
        <v>2026-05</v>
      </c>
      <c r="C1812" s="3">
        <f t="shared" si="57"/>
        <v>21</v>
      </c>
      <c r="D1812" s="4">
        <v>22.258333872636111</v>
      </c>
      <c r="E1812" s="4">
        <v>25.540057496625</v>
      </c>
      <c r="F1812" s="4">
        <v>27.039527889247221</v>
      </c>
      <c r="G1812" s="4">
        <v>9.8000000000000007</v>
      </c>
      <c r="H1812" s="5">
        <v>40.724857145549997</v>
      </c>
      <c r="I1812" s="5">
        <v>36.684818821022219</v>
      </c>
      <c r="J1812" s="5">
        <v>42.356527329044447</v>
      </c>
      <c r="K1812" s="5">
        <v>82</v>
      </c>
    </row>
    <row r="1813" spans="1:11" x14ac:dyDescent="0.25">
      <c r="A1813" s="2">
        <v>46172.916666666657</v>
      </c>
      <c r="B1813" t="str">
        <f t="shared" si="56"/>
        <v>2026-05</v>
      </c>
      <c r="C1813" s="3">
        <f t="shared" si="57"/>
        <v>22</v>
      </c>
      <c r="D1813" s="4">
        <v>22.08005936824722</v>
      </c>
      <c r="E1813" s="4">
        <v>25.338340531225001</v>
      </c>
      <c r="F1813" s="4">
        <v>27.043897472030551</v>
      </c>
      <c r="G1813" s="4">
        <v>9.6</v>
      </c>
      <c r="H1813" s="5">
        <v>40.584610269494441</v>
      </c>
      <c r="I1813" s="5">
        <v>35.867360422613892</v>
      </c>
      <c r="J1813" s="5">
        <v>42.403757590444442</v>
      </c>
      <c r="K1813" s="5">
        <v>82</v>
      </c>
    </row>
    <row r="1814" spans="1:11" x14ac:dyDescent="0.25">
      <c r="A1814" s="2">
        <v>46172.958333333343</v>
      </c>
      <c r="B1814" t="str">
        <f t="shared" si="56"/>
        <v>2026-05</v>
      </c>
      <c r="C1814" s="3">
        <f t="shared" si="57"/>
        <v>23</v>
      </c>
      <c r="D1814" s="4">
        <v>21.942919974022221</v>
      </c>
      <c r="E1814" s="4">
        <v>25.137144784183331</v>
      </c>
      <c r="F1814" s="4">
        <v>27.021980552091659</v>
      </c>
      <c r="G1814" s="4">
        <v>9</v>
      </c>
      <c r="H1814" s="5">
        <v>40.794922852249996</v>
      </c>
      <c r="I1814" s="5">
        <v>35.794186966897222</v>
      </c>
      <c r="J1814" s="5">
        <v>42.450959992455559</v>
      </c>
      <c r="K1814" s="5">
        <v>86</v>
      </c>
    </row>
    <row r="1815" spans="1:11" x14ac:dyDescent="0.25">
      <c r="A1815" s="2">
        <v>46173</v>
      </c>
      <c r="B1815" t="str">
        <f t="shared" si="56"/>
        <v>2026-05</v>
      </c>
      <c r="C1815" s="3">
        <f t="shared" si="57"/>
        <v>0</v>
      </c>
      <c r="D1815" s="4">
        <v>21.80427185192778</v>
      </c>
      <c r="E1815" s="4">
        <v>25.112931096294449</v>
      </c>
      <c r="F1815" s="4">
        <v>27.014784268686121</v>
      </c>
      <c r="G1815" s="4">
        <v>8.4</v>
      </c>
      <c r="H1815" s="5">
        <v>41.443839130802779</v>
      </c>
      <c r="I1815" s="5">
        <v>36.325013524494437</v>
      </c>
      <c r="J1815" s="5">
        <v>42.471704804005547</v>
      </c>
      <c r="K1815" s="5">
        <v>87</v>
      </c>
    </row>
    <row r="1816" spans="1:11" x14ac:dyDescent="0.25">
      <c r="A1816" s="2">
        <v>46173.041666666657</v>
      </c>
      <c r="B1816" t="str">
        <f t="shared" si="56"/>
        <v>2026-05</v>
      </c>
      <c r="C1816" s="3">
        <f t="shared" si="57"/>
        <v>1</v>
      </c>
      <c r="D1816" s="4">
        <v>21.056449004041671</v>
      </c>
      <c r="E1816" s="4">
        <v>24.978827840877781</v>
      </c>
      <c r="F1816" s="4">
        <v>27.008892697694449</v>
      </c>
      <c r="G1816" s="4">
        <v>7.7</v>
      </c>
      <c r="H1816" s="5">
        <v>44.387365619861107</v>
      </c>
      <c r="I1816" s="5">
        <v>37.593370629477768</v>
      </c>
      <c r="J1816" s="5">
        <v>42.608221366505553</v>
      </c>
      <c r="K1816" s="5">
        <v>91</v>
      </c>
    </row>
    <row r="1817" spans="1:11" x14ac:dyDescent="0.25">
      <c r="A1817" s="2">
        <v>46173.083333333343</v>
      </c>
      <c r="B1817" t="str">
        <f t="shared" si="56"/>
        <v>2026-05</v>
      </c>
      <c r="C1817" s="3">
        <f t="shared" si="57"/>
        <v>2</v>
      </c>
      <c r="D1817" s="4">
        <v>21.11549725536111</v>
      </c>
      <c r="E1817" s="4">
        <v>24.73251677835556</v>
      </c>
      <c r="F1817" s="4">
        <v>26.991087448066661</v>
      </c>
      <c r="G1817" s="4">
        <v>7.3</v>
      </c>
      <c r="H1817" s="5">
        <v>42.15755823699444</v>
      </c>
      <c r="I1817" s="5">
        <v>36.757183627072223</v>
      </c>
      <c r="J1817" s="5">
        <v>42.610139286855564</v>
      </c>
      <c r="K1817" s="5">
        <v>94</v>
      </c>
    </row>
    <row r="1818" spans="1:11" x14ac:dyDescent="0.25">
      <c r="A1818" s="2">
        <v>46173.125</v>
      </c>
      <c r="B1818" t="str">
        <f t="shared" si="56"/>
        <v>2026-05</v>
      </c>
      <c r="C1818" s="3">
        <f t="shared" si="57"/>
        <v>3</v>
      </c>
      <c r="D1818" s="4">
        <v>21.068108693061109</v>
      </c>
      <c r="E1818" s="4">
        <v>24.520222574600002</v>
      </c>
      <c r="F1818" s="4">
        <v>26.965928489541671</v>
      </c>
      <c r="G1818" s="4">
        <v>6.6</v>
      </c>
      <c r="H1818" s="5">
        <v>40.94283915583889</v>
      </c>
      <c r="I1818" s="5">
        <v>36.168912075741673</v>
      </c>
      <c r="J1818" s="5">
        <v>42.518444947572227</v>
      </c>
      <c r="K1818" s="5">
        <v>96</v>
      </c>
    </row>
    <row r="1819" spans="1:11" x14ac:dyDescent="0.25">
      <c r="A1819" s="2">
        <v>46173.166666666657</v>
      </c>
      <c r="B1819" t="str">
        <f t="shared" si="56"/>
        <v>2026-05</v>
      </c>
      <c r="C1819" s="3">
        <f t="shared" si="57"/>
        <v>4</v>
      </c>
      <c r="D1819" s="4">
        <v>20.94913660834445</v>
      </c>
      <c r="E1819" s="4">
        <v>24.372155146855551</v>
      </c>
      <c r="F1819" s="4">
        <v>26.946980129155559</v>
      </c>
      <c r="G1819" s="4">
        <v>6.4</v>
      </c>
      <c r="H1819" s="5">
        <v>40.208273514875003</v>
      </c>
      <c r="I1819" s="5">
        <v>36.090880394288888</v>
      </c>
      <c r="J1819" s="5">
        <v>42.385693729116667</v>
      </c>
      <c r="K1819" s="5">
        <v>97</v>
      </c>
    </row>
    <row r="1820" spans="1:11" x14ac:dyDescent="0.25">
      <c r="A1820" s="2">
        <v>46173.208333333343</v>
      </c>
      <c r="B1820" t="str">
        <f t="shared" si="56"/>
        <v>2026-05</v>
      </c>
      <c r="C1820" s="3">
        <f t="shared" si="57"/>
        <v>5</v>
      </c>
      <c r="D1820" s="4">
        <v>21.128717808066671</v>
      </c>
      <c r="E1820" s="4">
        <v>24.372142869727771</v>
      </c>
      <c r="F1820" s="4">
        <v>26.9298133357</v>
      </c>
      <c r="G1820" s="4">
        <v>6.2</v>
      </c>
      <c r="H1820" s="5">
        <v>39.262264931733327</v>
      </c>
      <c r="I1820" s="5">
        <v>35.599927589677783</v>
      </c>
      <c r="J1820" s="5">
        <v>42.248047638588893</v>
      </c>
      <c r="K1820" s="5">
        <v>96</v>
      </c>
    </row>
    <row r="1821" spans="1:11" x14ac:dyDescent="0.25">
      <c r="A1821" s="2">
        <v>46173.25</v>
      </c>
      <c r="B1821" t="str">
        <f t="shared" si="56"/>
        <v>2026-05</v>
      </c>
      <c r="C1821" s="3">
        <f t="shared" si="57"/>
        <v>6</v>
      </c>
      <c r="D1821" s="4">
        <v>21.156081439947229</v>
      </c>
      <c r="E1821" s="4">
        <v>24.313968687113888</v>
      </c>
      <c r="F1821" s="4">
        <v>26.90653183799445</v>
      </c>
      <c r="G1821" s="4">
        <v>7</v>
      </c>
      <c r="H1821" s="5">
        <v>39.718657522180557</v>
      </c>
      <c r="I1821" s="5">
        <v>35.149928738147217</v>
      </c>
      <c r="J1821" s="5">
        <v>42.139503811163891</v>
      </c>
      <c r="K1821" s="5">
        <v>96</v>
      </c>
    </row>
    <row r="1822" spans="1:11" x14ac:dyDescent="0.25">
      <c r="A1822" s="2">
        <v>46173.291666666657</v>
      </c>
      <c r="B1822" t="str">
        <f t="shared" si="56"/>
        <v>2026-05</v>
      </c>
      <c r="C1822" s="3">
        <f t="shared" si="57"/>
        <v>7</v>
      </c>
      <c r="D1822" s="4">
        <v>22.08613350563056</v>
      </c>
      <c r="E1822" s="4">
        <v>24.441374292580559</v>
      </c>
      <c r="F1822" s="4">
        <v>26.903023861538891</v>
      </c>
      <c r="G1822" s="4">
        <v>8.6999999999999993</v>
      </c>
      <c r="H1822" s="5">
        <v>38.189419186816657</v>
      </c>
      <c r="I1822" s="5">
        <v>35.012392395980562</v>
      </c>
      <c r="J1822" s="5">
        <v>42.104194170077783</v>
      </c>
      <c r="K1822" s="5">
        <v>89</v>
      </c>
    </row>
    <row r="1823" spans="1:11" x14ac:dyDescent="0.25">
      <c r="A1823" s="2">
        <v>46173.333333333343</v>
      </c>
      <c r="B1823" t="str">
        <f t="shared" si="56"/>
        <v>2026-05</v>
      </c>
      <c r="C1823" s="3">
        <f t="shared" si="57"/>
        <v>8</v>
      </c>
      <c r="D1823" s="4">
        <v>22.629227132027779</v>
      </c>
      <c r="E1823" s="4">
        <v>24.59667160848889</v>
      </c>
      <c r="F1823" s="4">
        <v>26.904642803874999</v>
      </c>
      <c r="G1823" s="4">
        <v>10.8</v>
      </c>
      <c r="H1823" s="5">
        <v>37.037746572613891</v>
      </c>
      <c r="I1823" s="5">
        <v>35.173944703719442</v>
      </c>
      <c r="J1823" s="5">
        <v>42.113333647286119</v>
      </c>
      <c r="K1823" s="5">
        <v>73</v>
      </c>
    </row>
    <row r="1824" spans="1:11" x14ac:dyDescent="0.25">
      <c r="A1824" s="2">
        <v>46173.375</v>
      </c>
      <c r="B1824" t="str">
        <f t="shared" si="56"/>
        <v>2026-05</v>
      </c>
      <c r="C1824" s="3">
        <f t="shared" si="57"/>
        <v>9</v>
      </c>
      <c r="D1824" s="4">
        <v>23.07620196601389</v>
      </c>
      <c r="E1824" s="4">
        <v>24.72453856416945</v>
      </c>
      <c r="F1824" s="4">
        <v>26.91982159968612</v>
      </c>
      <c r="G1824" s="4">
        <v>12.2</v>
      </c>
      <c r="H1824" s="5">
        <v>35.902140233052783</v>
      </c>
      <c r="I1824" s="5">
        <v>35.273109701177781</v>
      </c>
      <c r="J1824" s="5">
        <v>42.093091066550002</v>
      </c>
      <c r="K1824" s="5">
        <v>65</v>
      </c>
    </row>
    <row r="1825" spans="1:11" x14ac:dyDescent="0.25">
      <c r="A1825" s="2">
        <v>46173.416666666657</v>
      </c>
      <c r="B1825" t="str">
        <f t="shared" si="56"/>
        <v>2026-05</v>
      </c>
      <c r="C1825" s="3">
        <f t="shared" si="57"/>
        <v>10</v>
      </c>
      <c r="D1825" s="4">
        <v>23.913140309033331</v>
      </c>
      <c r="E1825" s="4">
        <v>25.01344522219167</v>
      </c>
      <c r="F1825" s="4">
        <v>26.93091281576945</v>
      </c>
      <c r="G1825" s="4">
        <v>13.3</v>
      </c>
      <c r="H1825" s="5">
        <v>33.386877437444447</v>
      </c>
      <c r="I1825" s="5">
        <v>35.557690883408327</v>
      </c>
      <c r="J1825" s="5">
        <v>42.092924293411109</v>
      </c>
      <c r="K1825" s="5">
        <v>58</v>
      </c>
    </row>
    <row r="1826" spans="1:11" x14ac:dyDescent="0.25">
      <c r="A1826" s="2">
        <v>46173.458333333343</v>
      </c>
      <c r="B1826" t="str">
        <f t="shared" si="56"/>
        <v>2026-05</v>
      </c>
      <c r="C1826" s="3">
        <f t="shared" si="57"/>
        <v>11</v>
      </c>
      <c r="D1826" s="4">
        <v>23.94242016923889</v>
      </c>
      <c r="E1826" s="4">
        <v>25.089887937941668</v>
      </c>
      <c r="F1826" s="4">
        <v>26.94643478334444</v>
      </c>
      <c r="G1826" s="4">
        <v>13.9</v>
      </c>
      <c r="H1826" s="5">
        <v>32.732053235516673</v>
      </c>
      <c r="I1826" s="5">
        <v>35.430112338813892</v>
      </c>
      <c r="J1826" s="5">
        <v>42.03219976394444</v>
      </c>
      <c r="K1826" s="5">
        <v>53</v>
      </c>
    </row>
    <row r="1827" spans="1:11" x14ac:dyDescent="0.25">
      <c r="A1827" s="2">
        <v>46173.5</v>
      </c>
      <c r="B1827" t="str">
        <f t="shared" si="56"/>
        <v>2026-05</v>
      </c>
      <c r="C1827" s="3">
        <f t="shared" si="57"/>
        <v>12</v>
      </c>
      <c r="D1827" s="4">
        <v>23.077188719216661</v>
      </c>
      <c r="E1827" s="4">
        <v>25.29046874570556</v>
      </c>
      <c r="F1827" s="4">
        <v>26.948059151150002</v>
      </c>
      <c r="G1827" s="4">
        <v>13.8</v>
      </c>
      <c r="H1827" s="5">
        <v>35.910396949322219</v>
      </c>
      <c r="I1827" s="5">
        <v>35.232991433797217</v>
      </c>
      <c r="J1827" s="5">
        <v>41.947526996688893</v>
      </c>
      <c r="K1827" s="5">
        <v>52</v>
      </c>
    </row>
    <row r="1828" spans="1:11" x14ac:dyDescent="0.25">
      <c r="A1828" s="2">
        <v>46173.541666666657</v>
      </c>
      <c r="B1828" t="str">
        <f t="shared" si="56"/>
        <v>2026-05</v>
      </c>
      <c r="C1828" s="3">
        <f t="shared" si="57"/>
        <v>13</v>
      </c>
      <c r="D1828" s="4">
        <v>22.53984648329444</v>
      </c>
      <c r="E1828" s="4">
        <v>25.04946588686667</v>
      </c>
      <c r="F1828" s="4">
        <v>26.94953003801945</v>
      </c>
      <c r="G1828" s="4">
        <v>14</v>
      </c>
      <c r="H1828" s="5">
        <v>38.954937226686113</v>
      </c>
      <c r="I1828" s="5">
        <v>35.220939757886107</v>
      </c>
      <c r="J1828" s="5">
        <v>42.076668220266669</v>
      </c>
      <c r="K1828" s="5">
        <v>51</v>
      </c>
    </row>
    <row r="1829" spans="1:11" x14ac:dyDescent="0.25">
      <c r="A1829" s="2">
        <v>46173.583333333343</v>
      </c>
      <c r="B1829" t="str">
        <f t="shared" si="56"/>
        <v>2026-05</v>
      </c>
      <c r="C1829" s="3">
        <f t="shared" si="57"/>
        <v>14</v>
      </c>
      <c r="D1829" s="4">
        <v>22.978841506327779</v>
      </c>
      <c r="E1829" s="4">
        <v>25.27474011613333</v>
      </c>
      <c r="F1829" s="4">
        <v>26.923477490566668</v>
      </c>
      <c r="G1829" s="4">
        <v>14.2</v>
      </c>
      <c r="H1829" s="5">
        <v>38.693126806461123</v>
      </c>
      <c r="I1829" s="5">
        <v>37.556536777805562</v>
      </c>
      <c r="J1829" s="5">
        <v>42.436094443611111</v>
      </c>
      <c r="K1829" s="5">
        <v>54</v>
      </c>
    </row>
    <row r="1830" spans="1:11" x14ac:dyDescent="0.25">
      <c r="A1830" s="2">
        <v>46173.625</v>
      </c>
      <c r="B1830" t="str">
        <f t="shared" si="56"/>
        <v>2026-05</v>
      </c>
      <c r="C1830" s="3">
        <f t="shared" si="57"/>
        <v>15</v>
      </c>
      <c r="D1830" s="4">
        <v>22.050826026966661</v>
      </c>
      <c r="E1830" s="4">
        <v>25.625920846905551</v>
      </c>
      <c r="F1830" s="4">
        <v>26.942163016522219</v>
      </c>
      <c r="G1830" s="4">
        <v>12.7</v>
      </c>
      <c r="H1830" s="5">
        <v>37.541767616236122</v>
      </c>
      <c r="I1830" s="5">
        <v>35.113295392152772</v>
      </c>
      <c r="J1830" s="5">
        <v>42.435835104580562</v>
      </c>
      <c r="K1830" s="5">
        <v>65</v>
      </c>
    </row>
    <row r="1831" spans="1:11" x14ac:dyDescent="0.25">
      <c r="A1831" s="2">
        <v>46173.666666666657</v>
      </c>
      <c r="B1831" t="str">
        <f t="shared" si="56"/>
        <v>2026-05</v>
      </c>
      <c r="C1831" s="3">
        <f t="shared" si="57"/>
        <v>16</v>
      </c>
      <c r="D1831" s="4">
        <v>22.280049373294439</v>
      </c>
      <c r="E1831" s="4">
        <v>25.487817018005561</v>
      </c>
      <c r="F1831" s="4">
        <v>26.941833009580549</v>
      </c>
      <c r="G1831" s="4">
        <v>14.2</v>
      </c>
      <c r="H1831" s="5">
        <v>37.510085627097233</v>
      </c>
      <c r="I1831" s="5">
        <v>34.774366728855547</v>
      </c>
      <c r="J1831" s="5">
        <v>42.254839846277783</v>
      </c>
      <c r="K1831" s="5">
        <v>61</v>
      </c>
    </row>
    <row r="1832" spans="1:11" x14ac:dyDescent="0.25">
      <c r="A1832" s="2">
        <v>46173.708333333343</v>
      </c>
      <c r="B1832" t="str">
        <f t="shared" si="56"/>
        <v>2026-05</v>
      </c>
      <c r="C1832" s="3">
        <f t="shared" si="57"/>
        <v>17</v>
      </c>
      <c r="D1832" s="4">
        <v>22.12955347413612</v>
      </c>
      <c r="E1832" s="4">
        <v>25.70381810627222</v>
      </c>
      <c r="F1832" s="4">
        <v>26.94988715599445</v>
      </c>
      <c r="G1832" s="4">
        <v>12.7</v>
      </c>
      <c r="H1832" s="5">
        <v>35.950305471358327</v>
      </c>
      <c r="I1832" s="5">
        <v>34.422698188208336</v>
      </c>
      <c r="J1832" s="5">
        <v>42.169760716536111</v>
      </c>
      <c r="K1832" s="5">
        <v>70</v>
      </c>
    </row>
    <row r="1833" spans="1:11" x14ac:dyDescent="0.25">
      <c r="A1833" s="2">
        <v>46173.75</v>
      </c>
      <c r="B1833" t="str">
        <f t="shared" si="56"/>
        <v>2026-05</v>
      </c>
      <c r="C1833" s="3">
        <f t="shared" si="57"/>
        <v>18</v>
      </c>
      <c r="D1833" s="4">
        <v>22.069381675252771</v>
      </c>
      <c r="E1833" s="4">
        <v>25.65915743267778</v>
      </c>
      <c r="F1833" s="4">
        <v>26.964239085077779</v>
      </c>
      <c r="G1833" s="4">
        <v>12.7</v>
      </c>
      <c r="H1833" s="5">
        <v>37.389685975611108</v>
      </c>
      <c r="I1833" s="5">
        <v>34.384248281533331</v>
      </c>
      <c r="J1833" s="5">
        <v>42.036485177044447</v>
      </c>
      <c r="K1833" s="5">
        <v>67</v>
      </c>
    </row>
    <row r="1834" spans="1:11" x14ac:dyDescent="0.25">
      <c r="A1834" s="2">
        <v>46173.791666666657</v>
      </c>
      <c r="B1834" t="str">
        <f t="shared" si="56"/>
        <v>2026-05</v>
      </c>
      <c r="C1834" s="3">
        <f t="shared" si="57"/>
        <v>19</v>
      </c>
      <c r="D1834" s="4">
        <v>22.565817653841659</v>
      </c>
      <c r="E1834" s="4">
        <v>25.446710167991661</v>
      </c>
      <c r="F1834" s="4">
        <v>26.961751492133331</v>
      </c>
      <c r="G1834" s="4">
        <v>12.4</v>
      </c>
      <c r="H1834" s="5">
        <v>37.834842325083343</v>
      </c>
      <c r="I1834" s="5">
        <v>34.56238020053889</v>
      </c>
      <c r="J1834" s="5">
        <v>42.046487504302782</v>
      </c>
      <c r="K1834" s="5">
        <v>68</v>
      </c>
    </row>
    <row r="1835" spans="1:11" x14ac:dyDescent="0.25">
      <c r="A1835" s="2">
        <v>46173.833333333343</v>
      </c>
      <c r="B1835" t="str">
        <f t="shared" si="56"/>
        <v>2026-05</v>
      </c>
      <c r="C1835" s="3">
        <f t="shared" si="57"/>
        <v>20</v>
      </c>
      <c r="D1835" s="4">
        <v>22.07793750590556</v>
      </c>
      <c r="E1835" s="4">
        <v>25.090626145488891</v>
      </c>
      <c r="F1835" s="4">
        <v>26.956717919022221</v>
      </c>
      <c r="G1835" s="4">
        <v>11.8</v>
      </c>
      <c r="H1835" s="5">
        <v>38.469824976061112</v>
      </c>
      <c r="I1835" s="5">
        <v>34.741680116655552</v>
      </c>
      <c r="J1835" s="5">
        <v>42.081124788886108</v>
      </c>
      <c r="K1835" s="5">
        <v>75</v>
      </c>
    </row>
    <row r="1836" spans="1:11" x14ac:dyDescent="0.25">
      <c r="A1836" s="2">
        <v>46173.875</v>
      </c>
      <c r="B1836" t="str">
        <f t="shared" si="56"/>
        <v>2026-05</v>
      </c>
      <c r="C1836" s="3">
        <f t="shared" si="57"/>
        <v>21</v>
      </c>
      <c r="D1836" s="4">
        <v>21.055896083263889</v>
      </c>
      <c r="E1836" s="4">
        <v>25.129457540197219</v>
      </c>
      <c r="F1836" s="4">
        <v>26.93423551725278</v>
      </c>
      <c r="G1836" s="4">
        <v>11</v>
      </c>
      <c r="H1836" s="5">
        <v>41.705645771044438</v>
      </c>
      <c r="I1836" s="5">
        <v>35.784755613327768</v>
      </c>
      <c r="J1836" s="5">
        <v>42.358654463458329</v>
      </c>
      <c r="K1836" s="5">
        <v>77</v>
      </c>
    </row>
    <row r="1837" spans="1:11" x14ac:dyDescent="0.25">
      <c r="A1837" s="2">
        <v>46173.916666666657</v>
      </c>
      <c r="B1837" t="str">
        <f t="shared" si="56"/>
        <v>2026-05</v>
      </c>
      <c r="C1837" s="3">
        <f t="shared" si="57"/>
        <v>22</v>
      </c>
      <c r="D1837" s="4">
        <v>20.85882876156667</v>
      </c>
      <c r="E1837" s="4">
        <v>25.432494138761111</v>
      </c>
      <c r="F1837" s="4">
        <v>26.927888902005559</v>
      </c>
      <c r="G1837" s="4">
        <v>10.1</v>
      </c>
      <c r="H1837" s="5">
        <v>42.428585086169441</v>
      </c>
      <c r="I1837" s="5">
        <v>35.813235412633333</v>
      </c>
      <c r="J1837" s="5">
        <v>42.434940504258329</v>
      </c>
      <c r="K1837" s="5">
        <v>84</v>
      </c>
    </row>
    <row r="1838" spans="1:11" x14ac:dyDescent="0.25">
      <c r="A1838" s="2">
        <v>46173.958333333343</v>
      </c>
      <c r="B1838" t="str">
        <f t="shared" si="56"/>
        <v>2026-05</v>
      </c>
      <c r="C1838" s="3">
        <f t="shared" si="57"/>
        <v>23</v>
      </c>
      <c r="D1838" s="4">
        <v>22.283985163722221</v>
      </c>
      <c r="E1838" s="4">
        <v>25.46043599629445</v>
      </c>
      <c r="F1838" s="4">
        <v>26.93732433639444</v>
      </c>
      <c r="G1838" s="4">
        <v>9.5</v>
      </c>
      <c r="H1838" s="5">
        <v>41.753624375783332</v>
      </c>
      <c r="I1838" s="5">
        <v>37.402416145219441</v>
      </c>
      <c r="J1838" s="5">
        <v>42.318238099208337</v>
      </c>
      <c r="K1838" s="5">
        <v>87</v>
      </c>
    </row>
    <row r="1839" spans="1:11" x14ac:dyDescent="0.25">
      <c r="A1839" s="2">
        <v>46174</v>
      </c>
      <c r="B1839" t="str">
        <f t="shared" si="56"/>
        <v>2026-06</v>
      </c>
      <c r="C1839" s="3">
        <f t="shared" si="57"/>
        <v>0</v>
      </c>
      <c r="D1839" s="4">
        <v>23.98062427611389</v>
      </c>
      <c r="E1839" s="4">
        <v>26.35552689575</v>
      </c>
      <c r="F1839" s="4">
        <v>26.965917941597219</v>
      </c>
      <c r="G1839" s="4">
        <v>8.9</v>
      </c>
      <c r="H1839" s="5">
        <v>41.45192455809444</v>
      </c>
      <c r="I1839" s="5">
        <v>37.530691209033328</v>
      </c>
      <c r="J1839" s="5">
        <v>42.189450840441673</v>
      </c>
      <c r="K1839" s="5">
        <v>90</v>
      </c>
    </row>
    <row r="1840" spans="1:11" x14ac:dyDescent="0.25">
      <c r="A1840" s="2">
        <v>46174.041666666657</v>
      </c>
      <c r="B1840" t="str">
        <f t="shared" si="56"/>
        <v>2026-06</v>
      </c>
      <c r="C1840" s="3">
        <f t="shared" si="57"/>
        <v>1</v>
      </c>
      <c r="D1840" s="4">
        <v>24.750726317047221</v>
      </c>
      <c r="E1840" s="4">
        <v>26.767384212949999</v>
      </c>
      <c r="F1840" s="4">
        <v>27.099585769991659</v>
      </c>
      <c r="G1840" s="4">
        <v>8.3000000000000007</v>
      </c>
      <c r="H1840" s="5">
        <v>42.669333579316657</v>
      </c>
      <c r="I1840" s="5">
        <v>39.415961078300001</v>
      </c>
      <c r="J1840" s="5">
        <v>41.95519591816111</v>
      </c>
      <c r="K1840" s="5">
        <v>92</v>
      </c>
    </row>
    <row r="1841" spans="1:11" x14ac:dyDescent="0.25">
      <c r="A1841" s="2">
        <v>46174.083333333343</v>
      </c>
      <c r="B1841" t="str">
        <f t="shared" si="56"/>
        <v>2026-06</v>
      </c>
      <c r="C1841" s="3">
        <f t="shared" si="57"/>
        <v>2</v>
      </c>
      <c r="D1841" s="4">
        <v>22.504597970750002</v>
      </c>
      <c r="E1841" s="4">
        <v>26.151783011905561</v>
      </c>
      <c r="F1841" s="4">
        <v>27.07615570404722</v>
      </c>
      <c r="G1841" s="4">
        <v>7.9</v>
      </c>
      <c r="H1841" s="5">
        <v>42.359013549972232</v>
      </c>
      <c r="I1841" s="5">
        <v>39.052548326086111</v>
      </c>
      <c r="J1841" s="5">
        <v>42.426750346094451</v>
      </c>
      <c r="K1841" s="5">
        <v>93</v>
      </c>
    </row>
    <row r="1842" spans="1:11" x14ac:dyDescent="0.25">
      <c r="A1842" s="2">
        <v>46174.125</v>
      </c>
      <c r="B1842" t="str">
        <f t="shared" si="56"/>
        <v>2026-06</v>
      </c>
      <c r="C1842" s="3">
        <f t="shared" si="57"/>
        <v>3</v>
      </c>
      <c r="D1842" s="4">
        <v>20.350266758324999</v>
      </c>
      <c r="E1842" s="4">
        <v>25.119506852388891</v>
      </c>
      <c r="F1842" s="4">
        <v>26.983809909677781</v>
      </c>
      <c r="G1842" s="4">
        <v>7.6</v>
      </c>
      <c r="H1842" s="5">
        <v>41.520826489783339</v>
      </c>
      <c r="I1842" s="5">
        <v>34.963893709202772</v>
      </c>
      <c r="J1842" s="5">
        <v>42.458098616925</v>
      </c>
      <c r="K1842" s="5">
        <v>93</v>
      </c>
    </row>
    <row r="1843" spans="1:11" x14ac:dyDescent="0.25">
      <c r="A1843" s="2">
        <v>46174.166666666657</v>
      </c>
      <c r="B1843" t="str">
        <f t="shared" si="56"/>
        <v>2026-06</v>
      </c>
      <c r="C1843" s="3">
        <f t="shared" si="57"/>
        <v>4</v>
      </c>
      <c r="D1843" s="4">
        <v>19.808092086805551</v>
      </c>
      <c r="E1843" s="4">
        <v>24.56743765521389</v>
      </c>
      <c r="F1843" s="4">
        <v>26.932899992863891</v>
      </c>
      <c r="G1843" s="4">
        <v>7.3</v>
      </c>
      <c r="H1843" s="5">
        <v>41.356817669922208</v>
      </c>
      <c r="I1843" s="5">
        <v>34.258904222211108</v>
      </c>
      <c r="J1843" s="5">
        <v>42.223959172725003</v>
      </c>
      <c r="K1843" s="5">
        <v>92</v>
      </c>
    </row>
    <row r="1844" spans="1:11" x14ac:dyDescent="0.25">
      <c r="A1844" s="2">
        <v>46174.208333333343</v>
      </c>
      <c r="B1844" t="str">
        <f t="shared" si="56"/>
        <v>2026-06</v>
      </c>
      <c r="C1844" s="3">
        <f t="shared" si="57"/>
        <v>5</v>
      </c>
      <c r="D1844" s="4">
        <v>19.888054501452778</v>
      </c>
      <c r="E1844" s="4">
        <v>24.195140148141661</v>
      </c>
      <c r="F1844" s="4">
        <v>26.87385622769445</v>
      </c>
      <c r="G1844" s="4">
        <v>7.2</v>
      </c>
      <c r="H1844" s="5">
        <v>40.498357693158333</v>
      </c>
      <c r="I1844" s="5">
        <v>34.155907515027778</v>
      </c>
      <c r="J1844" s="5">
        <v>42.037371832838893</v>
      </c>
      <c r="K1844" s="5">
        <v>92</v>
      </c>
    </row>
    <row r="1845" spans="1:11" x14ac:dyDescent="0.25">
      <c r="A1845" s="2">
        <v>46174.25</v>
      </c>
      <c r="B1845" t="str">
        <f t="shared" si="56"/>
        <v>2026-06</v>
      </c>
      <c r="C1845" s="3">
        <f t="shared" si="57"/>
        <v>6</v>
      </c>
      <c r="D1845" s="4">
        <v>20.667498908969449</v>
      </c>
      <c r="E1845" s="4">
        <v>24.280791991594441</v>
      </c>
      <c r="F1845" s="4">
        <v>26.83086846477778</v>
      </c>
      <c r="G1845" s="4">
        <v>8.1</v>
      </c>
      <c r="H1845" s="5">
        <v>38.728186433266657</v>
      </c>
      <c r="I1845" s="5">
        <v>33.897804005080559</v>
      </c>
      <c r="J1845" s="5">
        <v>41.922302697091673</v>
      </c>
      <c r="K1845" s="5">
        <v>89</v>
      </c>
    </row>
    <row r="1846" spans="1:11" x14ac:dyDescent="0.25">
      <c r="A1846" s="2">
        <v>46174.291666666657</v>
      </c>
      <c r="B1846" t="str">
        <f t="shared" si="56"/>
        <v>2026-06</v>
      </c>
      <c r="C1846" s="3">
        <f t="shared" si="57"/>
        <v>7</v>
      </c>
      <c r="D1846" s="4">
        <v>20.749007560066669</v>
      </c>
      <c r="E1846" s="4">
        <v>24.280207139077781</v>
      </c>
      <c r="F1846" s="4">
        <v>26.807514372916671</v>
      </c>
      <c r="G1846" s="4">
        <v>9.6</v>
      </c>
      <c r="H1846" s="5">
        <v>38.864441200063887</v>
      </c>
      <c r="I1846" s="5">
        <v>34.084876791733329</v>
      </c>
      <c r="J1846" s="5">
        <v>41.836502757169448</v>
      </c>
      <c r="K1846" s="5">
        <v>83</v>
      </c>
    </row>
    <row r="1847" spans="1:11" x14ac:dyDescent="0.25">
      <c r="A1847" s="2">
        <v>46174.333333333343</v>
      </c>
      <c r="B1847" t="str">
        <f t="shared" si="56"/>
        <v>2026-06</v>
      </c>
      <c r="C1847" s="3">
        <f t="shared" si="57"/>
        <v>8</v>
      </c>
      <c r="D1847" s="4">
        <v>21.62259785310556</v>
      </c>
      <c r="E1847" s="4">
        <v>24.349506338783328</v>
      </c>
      <c r="F1847" s="4">
        <v>26.785833167813891</v>
      </c>
      <c r="G1847" s="4">
        <v>11.7</v>
      </c>
      <c r="H1847" s="5">
        <v>37.318858254591667</v>
      </c>
      <c r="I1847" s="5">
        <v>34.141423678000002</v>
      </c>
      <c r="J1847" s="5">
        <v>41.786862535711123</v>
      </c>
      <c r="K1847" s="5">
        <v>76</v>
      </c>
    </row>
    <row r="1848" spans="1:11" x14ac:dyDescent="0.25">
      <c r="A1848" s="2">
        <v>46174.375</v>
      </c>
      <c r="B1848" t="str">
        <f t="shared" si="56"/>
        <v>2026-06</v>
      </c>
      <c r="C1848" s="3">
        <f t="shared" si="57"/>
        <v>9</v>
      </c>
      <c r="D1848" s="4">
        <v>22.33362360314722</v>
      </c>
      <c r="E1848" s="4">
        <v>24.333193432691669</v>
      </c>
      <c r="F1848" s="4">
        <v>26.791959365427768</v>
      </c>
      <c r="G1848" s="4">
        <v>13.1</v>
      </c>
      <c r="H1848" s="5">
        <v>36.58182774769444</v>
      </c>
      <c r="I1848" s="5">
        <v>34.384376157322222</v>
      </c>
      <c r="J1848" s="5">
        <v>41.780779360322221</v>
      </c>
      <c r="K1848" s="5">
        <v>70</v>
      </c>
    </row>
    <row r="1849" spans="1:11" x14ac:dyDescent="0.25">
      <c r="A1849" s="2">
        <v>46174.416666666657</v>
      </c>
      <c r="B1849" t="str">
        <f t="shared" si="56"/>
        <v>2026-06</v>
      </c>
      <c r="C1849" s="3">
        <f t="shared" si="57"/>
        <v>10</v>
      </c>
      <c r="D1849" s="4">
        <v>23.798533293386111</v>
      </c>
      <c r="E1849" s="4">
        <v>25.065756764347221</v>
      </c>
      <c r="F1849" s="4">
        <v>26.89546702468056</v>
      </c>
      <c r="G1849" s="4">
        <v>13.8</v>
      </c>
      <c r="H1849" s="5">
        <v>37.658877782236111</v>
      </c>
      <c r="I1849" s="5">
        <v>39.742662406572222</v>
      </c>
      <c r="J1849" s="5">
        <v>41.730498915858327</v>
      </c>
      <c r="K1849" s="5">
        <v>63</v>
      </c>
    </row>
    <row r="1850" spans="1:11" x14ac:dyDescent="0.25">
      <c r="A1850" s="2">
        <v>46174.458333333343</v>
      </c>
      <c r="B1850" t="str">
        <f t="shared" si="56"/>
        <v>2026-06</v>
      </c>
      <c r="C1850" s="3">
        <f t="shared" si="57"/>
        <v>11</v>
      </c>
      <c r="D1850" s="4">
        <v>24.63359210108333</v>
      </c>
      <c r="E1850" s="4">
        <v>25.801017807213888</v>
      </c>
      <c r="F1850" s="4">
        <v>26.838691201138889</v>
      </c>
      <c r="G1850" s="4">
        <v>14.6</v>
      </c>
      <c r="H1850" s="5">
        <v>39.177092036655559</v>
      </c>
      <c r="I1850" s="5">
        <v>39.854413741377783</v>
      </c>
      <c r="J1850" s="5">
        <v>41.975126460594453</v>
      </c>
      <c r="K1850" s="5">
        <v>56</v>
      </c>
    </row>
    <row r="1851" spans="1:11" x14ac:dyDescent="0.25">
      <c r="A1851" s="2">
        <v>46174.5</v>
      </c>
      <c r="B1851" t="str">
        <f t="shared" si="56"/>
        <v>2026-06</v>
      </c>
      <c r="C1851" s="3">
        <f t="shared" si="57"/>
        <v>12</v>
      </c>
      <c r="D1851" s="4">
        <v>24.519168717574999</v>
      </c>
      <c r="E1851" s="4">
        <v>25.87767555356945</v>
      </c>
      <c r="F1851" s="4">
        <v>26.862269025408331</v>
      </c>
      <c r="G1851" s="4">
        <v>16.5</v>
      </c>
      <c r="H1851" s="5">
        <v>35.581562290077777</v>
      </c>
      <c r="I1851" s="5">
        <v>38.702788164294446</v>
      </c>
      <c r="J1851" s="5">
        <v>42.279947481294442</v>
      </c>
      <c r="K1851" s="5">
        <v>56</v>
      </c>
    </row>
    <row r="1852" spans="1:11" x14ac:dyDescent="0.25">
      <c r="A1852" s="2">
        <v>46174.541666666657</v>
      </c>
      <c r="B1852" t="str">
        <f t="shared" si="56"/>
        <v>2026-06</v>
      </c>
      <c r="C1852" s="3">
        <f t="shared" si="57"/>
        <v>13</v>
      </c>
      <c r="D1852" s="4">
        <v>23.894781344205551</v>
      </c>
      <c r="E1852" s="4">
        <v>25.757565893358329</v>
      </c>
      <c r="F1852" s="4">
        <v>26.867778021611109</v>
      </c>
      <c r="G1852" s="4">
        <v>17</v>
      </c>
      <c r="H1852" s="5">
        <v>36.086346944011112</v>
      </c>
      <c r="I1852" s="5">
        <v>37.822828205283344</v>
      </c>
      <c r="J1852" s="5">
        <v>42.272092958616668</v>
      </c>
      <c r="K1852" s="5">
        <v>52</v>
      </c>
    </row>
    <row r="1853" spans="1:11" x14ac:dyDescent="0.25">
      <c r="A1853" s="2">
        <v>46174.583333333343</v>
      </c>
      <c r="B1853" t="str">
        <f t="shared" si="56"/>
        <v>2026-06</v>
      </c>
      <c r="C1853" s="3">
        <f t="shared" si="57"/>
        <v>14</v>
      </c>
      <c r="D1853" s="4">
        <v>22.504622780449999</v>
      </c>
      <c r="E1853" s="4">
        <v>25.603275490180561</v>
      </c>
      <c r="F1853" s="4">
        <v>26.859086752075001</v>
      </c>
      <c r="G1853" s="4">
        <v>15.2</v>
      </c>
      <c r="H1853" s="5">
        <v>35.779949400091667</v>
      </c>
      <c r="I1853" s="5">
        <v>35.768798877647221</v>
      </c>
      <c r="J1853" s="5">
        <v>42.162914580219443</v>
      </c>
      <c r="K1853" s="5">
        <v>59</v>
      </c>
    </row>
    <row r="1854" spans="1:11" x14ac:dyDescent="0.25">
      <c r="A1854" s="2">
        <v>46174.625</v>
      </c>
      <c r="B1854" t="str">
        <f t="shared" si="56"/>
        <v>2026-06</v>
      </c>
      <c r="C1854" s="3">
        <f t="shared" si="57"/>
        <v>15</v>
      </c>
      <c r="D1854" s="4">
        <v>22.097191377577779</v>
      </c>
      <c r="E1854" s="4">
        <v>25.569374678211108</v>
      </c>
      <c r="F1854" s="4">
        <v>26.840899182738891</v>
      </c>
      <c r="G1854" s="4">
        <v>14.7</v>
      </c>
      <c r="H1854" s="5">
        <v>35.60645283941944</v>
      </c>
      <c r="I1854" s="5">
        <v>32.972117477061111</v>
      </c>
      <c r="J1854" s="5">
        <v>41.983964935186123</v>
      </c>
      <c r="K1854" s="5">
        <v>67</v>
      </c>
    </row>
    <row r="1855" spans="1:11" x14ac:dyDescent="0.25">
      <c r="A1855" s="2">
        <v>46174.666666666657</v>
      </c>
      <c r="B1855" t="str">
        <f t="shared" si="56"/>
        <v>2026-06</v>
      </c>
      <c r="C1855" s="3">
        <f t="shared" si="57"/>
        <v>16</v>
      </c>
      <c r="D1855" s="4">
        <v>22.35934450138333</v>
      </c>
      <c r="E1855" s="4">
        <v>25.742192325805561</v>
      </c>
      <c r="F1855" s="4">
        <v>26.835667359575002</v>
      </c>
      <c r="G1855" s="4">
        <v>16.5</v>
      </c>
      <c r="H1855" s="5">
        <v>38.614051735363887</v>
      </c>
      <c r="I1855" s="5">
        <v>35.299153198255553</v>
      </c>
      <c r="J1855" s="5">
        <v>41.913924733008344</v>
      </c>
      <c r="K1855" s="5">
        <v>57</v>
      </c>
    </row>
    <row r="1856" spans="1:11" x14ac:dyDescent="0.25">
      <c r="A1856" s="2">
        <v>46174.708333333343</v>
      </c>
      <c r="B1856" t="str">
        <f t="shared" si="56"/>
        <v>2026-06</v>
      </c>
      <c r="C1856" s="3">
        <f t="shared" si="57"/>
        <v>17</v>
      </c>
      <c r="D1856" s="4">
        <v>23.396217837827781</v>
      </c>
      <c r="E1856" s="4">
        <v>25.826043466938891</v>
      </c>
      <c r="F1856" s="4">
        <v>26.833219527674999</v>
      </c>
      <c r="G1856" s="4">
        <v>16.7</v>
      </c>
      <c r="H1856" s="5">
        <v>38.883552573005552</v>
      </c>
      <c r="I1856" s="5">
        <v>36.41614256588889</v>
      </c>
      <c r="J1856" s="5">
        <v>42.052521606319438</v>
      </c>
      <c r="K1856" s="5">
        <v>56</v>
      </c>
    </row>
    <row r="1857" spans="1:11" x14ac:dyDescent="0.25">
      <c r="A1857" s="2">
        <v>46174.75</v>
      </c>
      <c r="B1857" t="str">
        <f t="shared" si="56"/>
        <v>2026-06</v>
      </c>
      <c r="C1857" s="3">
        <f t="shared" si="57"/>
        <v>18</v>
      </c>
      <c r="D1857" s="4">
        <v>23.217462449441669</v>
      </c>
      <c r="E1857" s="4">
        <v>25.81471300523333</v>
      </c>
      <c r="F1857" s="4">
        <v>26.847968628747221</v>
      </c>
      <c r="G1857" s="4">
        <v>15.8</v>
      </c>
      <c r="H1857" s="5">
        <v>38.90219364283611</v>
      </c>
      <c r="I1857" s="5">
        <v>37.014921550441663</v>
      </c>
      <c r="J1857" s="5">
        <v>42.254400343080562</v>
      </c>
      <c r="K1857" s="5">
        <v>62</v>
      </c>
    </row>
    <row r="1858" spans="1:11" x14ac:dyDescent="0.25">
      <c r="A1858" s="2">
        <v>46174.791666666657</v>
      </c>
      <c r="B1858" t="str">
        <f t="shared" ref="B1858:B1921" si="58">TEXT(A1858,"yyyy-mm")</f>
        <v>2026-06</v>
      </c>
      <c r="C1858" s="3">
        <f t="shared" ref="C1858:C1921" si="59">HOUR(A1858)</f>
        <v>19</v>
      </c>
      <c r="D1858" s="4">
        <v>23.096308340936119</v>
      </c>
      <c r="E1858" s="4">
        <v>25.826245987947221</v>
      </c>
      <c r="F1858" s="4">
        <v>26.836614429375</v>
      </c>
      <c r="G1858" s="4">
        <v>13.2</v>
      </c>
      <c r="H1858" s="5">
        <v>40.315970145830562</v>
      </c>
      <c r="I1858" s="5">
        <v>37.018834822149998</v>
      </c>
      <c r="J1858" s="5">
        <v>42.452689632783333</v>
      </c>
      <c r="K1858" s="5">
        <v>79</v>
      </c>
    </row>
    <row r="1859" spans="1:11" x14ac:dyDescent="0.25">
      <c r="A1859" s="2">
        <v>46174.833333333343</v>
      </c>
      <c r="B1859" t="str">
        <f t="shared" si="58"/>
        <v>2026-06</v>
      </c>
      <c r="C1859" s="3">
        <f t="shared" si="59"/>
        <v>20</v>
      </c>
      <c r="D1859" s="4">
        <v>22.940451628177779</v>
      </c>
      <c r="E1859" s="4">
        <v>25.756968134972219</v>
      </c>
      <c r="F1859" s="4">
        <v>26.83422909719167</v>
      </c>
      <c r="G1859" s="4">
        <v>12.9</v>
      </c>
      <c r="H1859" s="5">
        <v>41.486347174530557</v>
      </c>
      <c r="I1859" s="5">
        <v>37.434828419191668</v>
      </c>
      <c r="J1859" s="5">
        <v>42.611480020469443</v>
      </c>
      <c r="K1859" s="5">
        <v>84</v>
      </c>
    </row>
    <row r="1860" spans="1:11" x14ac:dyDescent="0.25">
      <c r="A1860" s="2">
        <v>46174.875</v>
      </c>
      <c r="B1860" t="str">
        <f t="shared" si="58"/>
        <v>2026-06</v>
      </c>
      <c r="C1860" s="3">
        <f t="shared" si="59"/>
        <v>21</v>
      </c>
      <c r="D1860" s="4">
        <v>22.577383225005558</v>
      </c>
      <c r="E1860" s="4">
        <v>25.745886984922219</v>
      </c>
      <c r="F1860" s="4">
        <v>26.826047632933331</v>
      </c>
      <c r="G1860" s="4">
        <v>12.7</v>
      </c>
      <c r="H1860" s="5">
        <v>42.884807571263877</v>
      </c>
      <c r="I1860" s="5">
        <v>38.793978872141672</v>
      </c>
      <c r="J1860" s="5">
        <v>42.804288081372221</v>
      </c>
      <c r="K1860" s="5">
        <v>87</v>
      </c>
    </row>
    <row r="1861" spans="1:11" x14ac:dyDescent="0.25">
      <c r="A1861" s="2">
        <v>46174.916666666657</v>
      </c>
      <c r="B1861" t="str">
        <f t="shared" si="58"/>
        <v>2026-06</v>
      </c>
      <c r="C1861" s="3">
        <f t="shared" si="59"/>
        <v>22</v>
      </c>
      <c r="D1861" s="4">
        <v>22.86000802117778</v>
      </c>
      <c r="E1861" s="4">
        <v>25.722132767680559</v>
      </c>
      <c r="F1861" s="4">
        <v>26.836861904025</v>
      </c>
      <c r="G1861" s="4">
        <v>12.1</v>
      </c>
      <c r="H1861" s="5">
        <v>43.271699846608342</v>
      </c>
      <c r="I1861" s="5">
        <v>38.79896621089167</v>
      </c>
      <c r="J1861" s="5">
        <v>42.874914456583333</v>
      </c>
      <c r="K1861" s="5">
        <v>88</v>
      </c>
    </row>
    <row r="1862" spans="1:11" x14ac:dyDescent="0.25">
      <c r="A1862" s="2">
        <v>46174.958333333343</v>
      </c>
      <c r="B1862" t="str">
        <f t="shared" si="58"/>
        <v>2026-06</v>
      </c>
      <c r="C1862" s="3">
        <f t="shared" si="59"/>
        <v>23</v>
      </c>
      <c r="D1862" s="4">
        <v>22.992683215566672</v>
      </c>
      <c r="E1862" s="4">
        <v>25.773322605527781</v>
      </c>
      <c r="F1862" s="4">
        <v>26.847548917925</v>
      </c>
      <c r="G1862" s="4">
        <v>11.6</v>
      </c>
      <c r="H1862" s="5">
        <v>41.536746381694449</v>
      </c>
      <c r="I1862" s="5">
        <v>39.361060172194449</v>
      </c>
      <c r="J1862" s="5">
        <v>42.975611516797223</v>
      </c>
      <c r="K1862" s="5">
        <v>87</v>
      </c>
    </row>
    <row r="1863" spans="1:11" x14ac:dyDescent="0.25">
      <c r="A1863" s="2">
        <v>46175</v>
      </c>
      <c r="B1863" t="str">
        <f t="shared" si="58"/>
        <v>2026-06</v>
      </c>
      <c r="C1863" s="3">
        <f t="shared" si="59"/>
        <v>0</v>
      </c>
      <c r="D1863" s="4">
        <v>23.108137444213881</v>
      </c>
      <c r="E1863" s="4">
        <v>25.963031341197219</v>
      </c>
      <c r="F1863" s="4">
        <v>26.842423392213892</v>
      </c>
      <c r="G1863" s="4">
        <v>11.2</v>
      </c>
      <c r="H1863" s="5">
        <v>39.723684580366672</v>
      </c>
      <c r="I1863" s="5">
        <v>39.77279627795</v>
      </c>
      <c r="J1863" s="5">
        <v>43.004862654325002</v>
      </c>
      <c r="K1863" s="5">
        <v>87</v>
      </c>
    </row>
    <row r="1864" spans="1:11" x14ac:dyDescent="0.25">
      <c r="A1864" s="2">
        <v>46175.041666666657</v>
      </c>
      <c r="B1864" t="str">
        <f t="shared" si="58"/>
        <v>2026-06</v>
      </c>
      <c r="C1864" s="3">
        <f t="shared" si="59"/>
        <v>1</v>
      </c>
      <c r="D1864" s="4">
        <v>22.832676128500001</v>
      </c>
      <c r="E1864" s="4">
        <v>25.77573051880556</v>
      </c>
      <c r="F1864" s="4">
        <v>26.805183115933328</v>
      </c>
      <c r="G1864" s="4">
        <v>10.8</v>
      </c>
      <c r="H1864" s="5">
        <v>40.226990469077784</v>
      </c>
      <c r="I1864" s="5">
        <v>37.815898440477767</v>
      </c>
      <c r="J1864" s="5">
        <v>43.386627398844439</v>
      </c>
      <c r="K1864" s="5">
        <v>87</v>
      </c>
    </row>
    <row r="1865" spans="1:11" x14ac:dyDescent="0.25">
      <c r="A1865" s="2">
        <v>46175.083333333343</v>
      </c>
      <c r="B1865" t="str">
        <f t="shared" si="58"/>
        <v>2026-06</v>
      </c>
      <c r="C1865" s="3">
        <f t="shared" si="59"/>
        <v>2</v>
      </c>
      <c r="D1865" s="4">
        <v>22.42136472900556</v>
      </c>
      <c r="E1865" s="4">
        <v>25.475984249452779</v>
      </c>
      <c r="F1865" s="4">
        <v>26.797076288652772</v>
      </c>
      <c r="G1865" s="4">
        <v>10.3</v>
      </c>
      <c r="H1865" s="5">
        <v>42.612053592052781</v>
      </c>
      <c r="I1865" s="5">
        <v>38.807941288352779</v>
      </c>
      <c r="J1865" s="5">
        <v>43.477370829386111</v>
      </c>
      <c r="K1865" s="5">
        <v>87</v>
      </c>
    </row>
    <row r="1866" spans="1:11" x14ac:dyDescent="0.25">
      <c r="A1866" s="2">
        <v>46175.125</v>
      </c>
      <c r="B1866" t="str">
        <f t="shared" si="58"/>
        <v>2026-06</v>
      </c>
      <c r="C1866" s="3">
        <f t="shared" si="59"/>
        <v>3</v>
      </c>
      <c r="D1866" s="4">
        <v>22.087551715188891</v>
      </c>
      <c r="E1866" s="4">
        <v>25.167624030666669</v>
      </c>
      <c r="F1866" s="4">
        <v>26.79625318184722</v>
      </c>
      <c r="G1866" s="4">
        <v>10.199999999999999</v>
      </c>
      <c r="H1866" s="5">
        <v>42.652838569561112</v>
      </c>
      <c r="I1866" s="5">
        <v>38.23882358197222</v>
      </c>
      <c r="J1866" s="5">
        <v>43.437582799825002</v>
      </c>
      <c r="K1866" s="5">
        <v>85</v>
      </c>
    </row>
    <row r="1867" spans="1:11" x14ac:dyDescent="0.25">
      <c r="A1867" s="2">
        <v>46175.166666666657</v>
      </c>
      <c r="B1867" t="str">
        <f t="shared" si="58"/>
        <v>2026-06</v>
      </c>
      <c r="C1867" s="3">
        <f t="shared" si="59"/>
        <v>4</v>
      </c>
      <c r="D1867" s="4">
        <v>21.84245476603056</v>
      </c>
      <c r="E1867" s="4">
        <v>24.87620683566945</v>
      </c>
      <c r="F1867" s="4">
        <v>26.769012818086111</v>
      </c>
      <c r="G1867" s="4">
        <v>9.6999999999999993</v>
      </c>
      <c r="H1867" s="5">
        <v>41.850367953794439</v>
      </c>
      <c r="I1867" s="5">
        <v>37.584873560769452</v>
      </c>
      <c r="J1867" s="5">
        <v>43.343573900294437</v>
      </c>
      <c r="K1867" s="5">
        <v>85</v>
      </c>
    </row>
    <row r="1868" spans="1:11" x14ac:dyDescent="0.25">
      <c r="A1868" s="2">
        <v>46175.208333333343</v>
      </c>
      <c r="B1868" t="str">
        <f t="shared" si="58"/>
        <v>2026-06</v>
      </c>
      <c r="C1868" s="3">
        <f t="shared" si="59"/>
        <v>5</v>
      </c>
      <c r="D1868" s="4">
        <v>22.504897138822219</v>
      </c>
      <c r="E1868" s="4">
        <v>24.883512359988892</v>
      </c>
      <c r="F1868" s="4">
        <v>26.734117198180559</v>
      </c>
      <c r="G1868" s="4">
        <v>9.3000000000000007</v>
      </c>
      <c r="H1868" s="5">
        <v>40.258569078436111</v>
      </c>
      <c r="I1868" s="5">
        <v>37.436969252402783</v>
      </c>
      <c r="J1868" s="5">
        <v>43.27132210552778</v>
      </c>
      <c r="K1868" s="5">
        <v>85</v>
      </c>
    </row>
    <row r="1869" spans="1:11" x14ac:dyDescent="0.25">
      <c r="A1869" s="2">
        <v>46175.25</v>
      </c>
      <c r="B1869" t="str">
        <f t="shared" si="58"/>
        <v>2026-06</v>
      </c>
      <c r="C1869" s="3">
        <f t="shared" si="59"/>
        <v>6</v>
      </c>
      <c r="D1869" s="4">
        <v>23.483810033694439</v>
      </c>
      <c r="E1869" s="4">
        <v>25.304460546102771</v>
      </c>
      <c r="F1869" s="4">
        <v>26.732753379477781</v>
      </c>
      <c r="G1869" s="4">
        <v>10.199999999999999</v>
      </c>
      <c r="H1869" s="5">
        <v>38.438654995072227</v>
      </c>
      <c r="I1869" s="5">
        <v>37.504027052366673</v>
      </c>
      <c r="J1869" s="5">
        <v>43.22570631436389</v>
      </c>
      <c r="K1869" s="5">
        <v>82</v>
      </c>
    </row>
    <row r="1870" spans="1:11" x14ac:dyDescent="0.25">
      <c r="A1870" s="2">
        <v>46175.291666666657</v>
      </c>
      <c r="B1870" t="str">
        <f t="shared" si="58"/>
        <v>2026-06</v>
      </c>
      <c r="C1870" s="3">
        <f t="shared" si="59"/>
        <v>7</v>
      </c>
      <c r="D1870" s="4">
        <v>24.546673740780559</v>
      </c>
      <c r="E1870" s="4">
        <v>25.894055386630551</v>
      </c>
      <c r="F1870" s="4">
        <v>26.737129711513891</v>
      </c>
      <c r="G1870" s="4">
        <v>12.2</v>
      </c>
      <c r="H1870" s="5">
        <v>37.98005961636111</v>
      </c>
      <c r="I1870" s="5">
        <v>36.762216885505552</v>
      </c>
      <c r="J1870" s="5">
        <v>43.252924901644441</v>
      </c>
      <c r="K1870" s="5">
        <v>77</v>
      </c>
    </row>
    <row r="1871" spans="1:11" x14ac:dyDescent="0.25">
      <c r="A1871" s="2">
        <v>46175.333333333343</v>
      </c>
      <c r="B1871" t="str">
        <f t="shared" si="58"/>
        <v>2026-06</v>
      </c>
      <c r="C1871" s="3">
        <f t="shared" si="59"/>
        <v>8</v>
      </c>
      <c r="D1871" s="4">
        <v>25.321396075869441</v>
      </c>
      <c r="E1871" s="4">
        <v>26.52655447101111</v>
      </c>
      <c r="F1871" s="4">
        <v>26.76601673527222</v>
      </c>
      <c r="G1871" s="4">
        <v>14.8</v>
      </c>
      <c r="H1871" s="5">
        <v>37.926813059683333</v>
      </c>
      <c r="I1871" s="5">
        <v>36.975304912658331</v>
      </c>
      <c r="J1871" s="5">
        <v>43.254008994227767</v>
      </c>
      <c r="K1871" s="5">
        <v>68</v>
      </c>
    </row>
    <row r="1872" spans="1:11" x14ac:dyDescent="0.25">
      <c r="A1872" s="2">
        <v>46175.375</v>
      </c>
      <c r="B1872" t="str">
        <f t="shared" si="58"/>
        <v>2026-06</v>
      </c>
      <c r="C1872" s="3">
        <f t="shared" si="59"/>
        <v>9</v>
      </c>
      <c r="D1872" s="4">
        <v>25.84527954306667</v>
      </c>
      <c r="E1872" s="4">
        <v>26.89767312534444</v>
      </c>
      <c r="F1872" s="4">
        <v>26.802011975586112</v>
      </c>
      <c r="G1872" s="4">
        <v>18</v>
      </c>
      <c r="H1872" s="5">
        <v>38.018482848525011</v>
      </c>
      <c r="I1872" s="5">
        <v>37.449008705661107</v>
      </c>
      <c r="J1872" s="5">
        <v>43.258101652249998</v>
      </c>
      <c r="K1872" s="5">
        <v>56</v>
      </c>
    </row>
    <row r="1873" spans="1:11" x14ac:dyDescent="0.25">
      <c r="A1873" s="2">
        <v>46175.416666666657</v>
      </c>
      <c r="B1873" t="str">
        <f t="shared" si="58"/>
        <v>2026-06</v>
      </c>
      <c r="C1873" s="3">
        <f t="shared" si="59"/>
        <v>10</v>
      </c>
      <c r="D1873" s="4">
        <v>25.83501886806944</v>
      </c>
      <c r="E1873" s="4">
        <v>27.091541922644439</v>
      </c>
      <c r="F1873" s="4">
        <v>26.857599454950002</v>
      </c>
      <c r="G1873" s="4">
        <v>19.899999999999999</v>
      </c>
      <c r="H1873" s="5">
        <v>38.694106131719437</v>
      </c>
      <c r="I1873" s="5">
        <v>37.526405473808332</v>
      </c>
      <c r="J1873" s="5">
        <v>43.310479083263893</v>
      </c>
      <c r="K1873" s="5">
        <v>43</v>
      </c>
    </row>
    <row r="1874" spans="1:11" x14ac:dyDescent="0.25">
      <c r="A1874" s="2">
        <v>46175.458333333343</v>
      </c>
      <c r="B1874" t="str">
        <f t="shared" si="58"/>
        <v>2026-06</v>
      </c>
      <c r="C1874" s="3">
        <f t="shared" si="59"/>
        <v>11</v>
      </c>
      <c r="D1874" s="4">
        <v>25.841313460255549</v>
      </c>
      <c r="E1874" s="4">
        <v>27.42487200936111</v>
      </c>
      <c r="F1874" s="4">
        <v>26.87173285202778</v>
      </c>
      <c r="G1874" s="4">
        <v>20.8</v>
      </c>
      <c r="H1874" s="5">
        <v>38.582047022302767</v>
      </c>
      <c r="I1874" s="5">
        <v>38.260541487327778</v>
      </c>
      <c r="J1874" s="5">
        <v>43.393425215233329</v>
      </c>
      <c r="K1874" s="5">
        <v>39</v>
      </c>
    </row>
    <row r="1875" spans="1:11" x14ac:dyDescent="0.25">
      <c r="A1875" s="2">
        <v>46175.5</v>
      </c>
      <c r="B1875" t="str">
        <f t="shared" si="58"/>
        <v>2026-06</v>
      </c>
      <c r="C1875" s="3">
        <f t="shared" si="59"/>
        <v>12</v>
      </c>
      <c r="D1875" s="4">
        <v>25.812573894547221</v>
      </c>
      <c r="E1875" s="4">
        <v>27.36922120009444</v>
      </c>
      <c r="F1875" s="4">
        <v>26.865500221074999</v>
      </c>
      <c r="G1875" s="4">
        <v>21.7</v>
      </c>
      <c r="H1875" s="5">
        <v>36.987003476169441</v>
      </c>
      <c r="I1875" s="5">
        <v>34.963802880827778</v>
      </c>
      <c r="J1875" s="5">
        <v>43.361426497313893</v>
      </c>
      <c r="K1875" s="5">
        <v>36</v>
      </c>
    </row>
    <row r="1876" spans="1:11" x14ac:dyDescent="0.25">
      <c r="A1876" s="2">
        <v>46175.541666666657</v>
      </c>
      <c r="B1876" t="str">
        <f t="shared" si="58"/>
        <v>2026-06</v>
      </c>
      <c r="C1876" s="3">
        <f t="shared" si="59"/>
        <v>13</v>
      </c>
      <c r="D1876" s="4">
        <v>25.635286324838891</v>
      </c>
      <c r="E1876" s="4">
        <v>27.24722018396389</v>
      </c>
      <c r="F1876" s="4">
        <v>26.87557560250556</v>
      </c>
      <c r="G1876" s="4">
        <v>22.4</v>
      </c>
      <c r="H1876" s="5">
        <v>35.582944840958334</v>
      </c>
      <c r="I1876" s="5">
        <v>36.10177139919444</v>
      </c>
      <c r="J1876" s="5">
        <v>43.369778052158331</v>
      </c>
      <c r="K1876" s="5">
        <v>33</v>
      </c>
    </row>
    <row r="1877" spans="1:11" x14ac:dyDescent="0.25">
      <c r="A1877" s="2">
        <v>46175.583333333343</v>
      </c>
      <c r="B1877" t="str">
        <f t="shared" si="58"/>
        <v>2026-06</v>
      </c>
      <c r="C1877" s="3">
        <f t="shared" si="59"/>
        <v>14</v>
      </c>
      <c r="D1877" s="4">
        <v>25.546749134766671</v>
      </c>
      <c r="E1877" s="4">
        <v>27.14403261509166</v>
      </c>
      <c r="F1877" s="4">
        <v>26.86697218230556</v>
      </c>
      <c r="G1877" s="4">
        <v>22.5</v>
      </c>
      <c r="H1877" s="5">
        <v>35.63123791296389</v>
      </c>
      <c r="I1877" s="5">
        <v>35.421917162497223</v>
      </c>
      <c r="J1877" s="5">
        <v>43.440333206894451</v>
      </c>
      <c r="K1877" s="5">
        <v>33</v>
      </c>
    </row>
    <row r="1878" spans="1:11" x14ac:dyDescent="0.25">
      <c r="A1878" s="2">
        <v>46175.625</v>
      </c>
      <c r="B1878" t="str">
        <f t="shared" si="58"/>
        <v>2026-06</v>
      </c>
      <c r="C1878" s="3">
        <f t="shared" si="59"/>
        <v>15</v>
      </c>
      <c r="D1878" s="4">
        <v>25.281520938016669</v>
      </c>
      <c r="E1878" s="4">
        <v>26.934766077836109</v>
      </c>
      <c r="F1878" s="4">
        <v>26.860779183583329</v>
      </c>
      <c r="G1878" s="4">
        <v>22.9</v>
      </c>
      <c r="H1878" s="5">
        <v>32.710466886658331</v>
      </c>
      <c r="I1878" s="5">
        <v>31.560709581813889</v>
      </c>
      <c r="J1878" s="5">
        <v>43.336036347158327</v>
      </c>
      <c r="K1878" s="5">
        <v>32</v>
      </c>
    </row>
    <row r="1879" spans="1:11" x14ac:dyDescent="0.25">
      <c r="A1879" s="2">
        <v>46175.666666666657</v>
      </c>
      <c r="B1879" t="str">
        <f t="shared" si="58"/>
        <v>2026-06</v>
      </c>
      <c r="C1879" s="3">
        <f t="shared" si="59"/>
        <v>16</v>
      </c>
      <c r="D1879" s="4">
        <v>24.893382410669449</v>
      </c>
      <c r="E1879" s="4">
        <v>26.726766871094441</v>
      </c>
      <c r="F1879" s="4">
        <v>26.86297276671111</v>
      </c>
      <c r="G1879" s="4">
        <v>23</v>
      </c>
      <c r="H1879" s="5">
        <v>31.008519012269449</v>
      </c>
      <c r="I1879" s="5">
        <v>33.004568974591663</v>
      </c>
      <c r="J1879" s="5">
        <v>43.058765212125003</v>
      </c>
      <c r="K1879" s="5">
        <v>32</v>
      </c>
    </row>
    <row r="1880" spans="1:11" x14ac:dyDescent="0.25">
      <c r="A1880" s="2">
        <v>46175.708333333343</v>
      </c>
      <c r="B1880" t="str">
        <f t="shared" si="58"/>
        <v>2026-06</v>
      </c>
      <c r="C1880" s="3">
        <f t="shared" si="59"/>
        <v>17</v>
      </c>
      <c r="D1880" s="4">
        <v>24.721693032008329</v>
      </c>
      <c r="E1880" s="4">
        <v>26.435074340438891</v>
      </c>
      <c r="F1880" s="4">
        <v>26.837536022019449</v>
      </c>
      <c r="G1880" s="4">
        <v>22.8</v>
      </c>
      <c r="H1880" s="5">
        <v>30.327791542766661</v>
      </c>
      <c r="I1880" s="5">
        <v>30.802961974386111</v>
      </c>
      <c r="J1880" s="5">
        <v>42.864930286000003</v>
      </c>
      <c r="K1880" s="5">
        <v>33</v>
      </c>
    </row>
    <row r="1881" spans="1:11" x14ac:dyDescent="0.25">
      <c r="A1881" s="2">
        <v>46175.75</v>
      </c>
      <c r="B1881" t="str">
        <f t="shared" si="58"/>
        <v>2026-06</v>
      </c>
      <c r="C1881" s="3">
        <f t="shared" si="59"/>
        <v>18</v>
      </c>
      <c r="D1881" s="4">
        <v>24.569474941805559</v>
      </c>
      <c r="E1881" s="4">
        <v>26.187915821938891</v>
      </c>
      <c r="F1881" s="4">
        <v>26.828833707025002</v>
      </c>
      <c r="G1881" s="4">
        <v>22.3</v>
      </c>
      <c r="H1881" s="5">
        <v>29.715589464172229</v>
      </c>
      <c r="I1881" s="5">
        <v>30.52842335430833</v>
      </c>
      <c r="J1881" s="5">
        <v>42.638167918477777</v>
      </c>
      <c r="K1881" s="5">
        <v>34</v>
      </c>
    </row>
    <row r="1882" spans="1:11" x14ac:dyDescent="0.25">
      <c r="A1882" s="2">
        <v>46175.791666666657</v>
      </c>
      <c r="B1882" t="str">
        <f t="shared" si="58"/>
        <v>2026-06</v>
      </c>
      <c r="C1882" s="3">
        <f t="shared" si="59"/>
        <v>19</v>
      </c>
      <c r="D1882" s="4">
        <v>23.87624311362778</v>
      </c>
      <c r="E1882" s="4">
        <v>26.125370780833329</v>
      </c>
      <c r="F1882" s="4">
        <v>26.808101474061111</v>
      </c>
      <c r="G1882" s="4">
        <v>21.6</v>
      </c>
      <c r="H1882" s="5">
        <v>31.368326305172221</v>
      </c>
      <c r="I1882" s="5">
        <v>31.147965375933332</v>
      </c>
      <c r="J1882" s="5">
        <v>42.09297362765556</v>
      </c>
      <c r="K1882" s="5">
        <v>37</v>
      </c>
    </row>
    <row r="1883" spans="1:11" x14ac:dyDescent="0.25">
      <c r="A1883" s="2">
        <v>46175.833333333343</v>
      </c>
      <c r="B1883" t="str">
        <f t="shared" si="58"/>
        <v>2026-06</v>
      </c>
      <c r="C1883" s="3">
        <f t="shared" si="59"/>
        <v>20</v>
      </c>
      <c r="D1883" s="4">
        <v>23.29218109783611</v>
      </c>
      <c r="E1883" s="4">
        <v>26.266987547505561</v>
      </c>
      <c r="F1883" s="4">
        <v>26.298197534116671</v>
      </c>
      <c r="G1883" s="4">
        <v>20.100000000000001</v>
      </c>
      <c r="H1883" s="5">
        <v>33.168574501019442</v>
      </c>
      <c r="I1883" s="5">
        <v>31.992175026716659</v>
      </c>
      <c r="J1883" s="5">
        <v>40.743874103469437</v>
      </c>
      <c r="K1883" s="5">
        <v>44</v>
      </c>
    </row>
    <row r="1884" spans="1:11" x14ac:dyDescent="0.25">
      <c r="A1884" s="2">
        <v>46175.875</v>
      </c>
      <c r="B1884" t="str">
        <f t="shared" si="58"/>
        <v>2026-06</v>
      </c>
      <c r="C1884" s="3">
        <f t="shared" si="59"/>
        <v>21</v>
      </c>
      <c r="D1884" s="4">
        <v>22.65749430406667</v>
      </c>
      <c r="E1884" s="4">
        <v>26.485434970611109</v>
      </c>
      <c r="F1884" s="4">
        <v>26.008893044013892</v>
      </c>
      <c r="G1884" s="4">
        <v>18.899999999999999</v>
      </c>
      <c r="H1884" s="5">
        <v>34.726515694308333</v>
      </c>
      <c r="I1884" s="5">
        <v>32.449564469072222</v>
      </c>
      <c r="J1884" s="5">
        <v>41.232039825638893</v>
      </c>
      <c r="K1884" s="5">
        <v>46</v>
      </c>
    </row>
    <row r="1885" spans="1:11" x14ac:dyDescent="0.25">
      <c r="A1885" s="2">
        <v>46175.916666666657</v>
      </c>
      <c r="B1885" t="str">
        <f t="shared" si="58"/>
        <v>2026-06</v>
      </c>
      <c r="C1885" s="3">
        <f t="shared" si="59"/>
        <v>22</v>
      </c>
      <c r="D1885" s="4">
        <v>22.248243716141669</v>
      </c>
      <c r="E1885" s="4">
        <v>26.341835713277771</v>
      </c>
      <c r="F1885" s="4">
        <v>26.107225380866659</v>
      </c>
      <c r="G1885" s="4">
        <v>17.899999999999999</v>
      </c>
      <c r="H1885" s="5">
        <v>34.461379838194453</v>
      </c>
      <c r="I1885" s="5">
        <v>31.43318981937222</v>
      </c>
      <c r="J1885" s="5">
        <v>41.076067256616668</v>
      </c>
      <c r="K1885" s="5">
        <v>50</v>
      </c>
    </row>
    <row r="1886" spans="1:11" x14ac:dyDescent="0.25">
      <c r="A1886" s="2">
        <v>46175.958333333343</v>
      </c>
      <c r="B1886" t="str">
        <f t="shared" si="58"/>
        <v>2026-06</v>
      </c>
      <c r="C1886" s="3">
        <f t="shared" si="59"/>
        <v>23</v>
      </c>
      <c r="D1886" s="4">
        <v>21.970338885769451</v>
      </c>
      <c r="E1886" s="4">
        <v>25.630726448711108</v>
      </c>
      <c r="F1886" s="4">
        <v>26.42768452899444</v>
      </c>
      <c r="G1886" s="4">
        <v>16.5</v>
      </c>
      <c r="H1886" s="5">
        <v>33.97221448846944</v>
      </c>
      <c r="I1886" s="5">
        <v>30.38585820933611</v>
      </c>
      <c r="J1886" s="5">
        <v>41.316935127086111</v>
      </c>
      <c r="K1886" s="5">
        <v>61</v>
      </c>
    </row>
    <row r="1887" spans="1:11" x14ac:dyDescent="0.25">
      <c r="A1887" s="2">
        <v>46176</v>
      </c>
      <c r="B1887" t="str">
        <f t="shared" si="58"/>
        <v>2026-06</v>
      </c>
      <c r="C1887" s="3">
        <f t="shared" si="59"/>
        <v>0</v>
      </c>
      <c r="D1887" s="4">
        <v>21.491270125052779</v>
      </c>
      <c r="E1887" s="4">
        <v>25.226460120027781</v>
      </c>
      <c r="F1887" s="4">
        <v>26.500372193661111</v>
      </c>
      <c r="G1887" s="4">
        <v>15</v>
      </c>
      <c r="H1887" s="5">
        <v>36.758843906180552</v>
      </c>
      <c r="I1887" s="5">
        <v>31.273715144394441</v>
      </c>
      <c r="J1887" s="5">
        <v>41.349794899886113</v>
      </c>
      <c r="K1887" s="5">
        <v>70</v>
      </c>
    </row>
    <row r="1888" spans="1:11" x14ac:dyDescent="0.25">
      <c r="A1888" s="2">
        <v>46176.041666666657</v>
      </c>
      <c r="B1888" t="str">
        <f t="shared" si="58"/>
        <v>2026-06</v>
      </c>
      <c r="C1888" s="3">
        <f t="shared" si="59"/>
        <v>1</v>
      </c>
      <c r="D1888" s="4">
        <v>23.026596318080561</v>
      </c>
      <c r="E1888" s="4">
        <v>25.40424286406666</v>
      </c>
      <c r="F1888" s="4">
        <v>26.53105079898889</v>
      </c>
      <c r="G1888" s="4">
        <v>13.8</v>
      </c>
      <c r="H1888" s="5">
        <v>38.641997119344452</v>
      </c>
      <c r="I1888" s="5">
        <v>34.450236092819438</v>
      </c>
      <c r="J1888" s="5">
        <v>41.675912964491673</v>
      </c>
      <c r="K1888" s="5">
        <v>76</v>
      </c>
    </row>
    <row r="1889" spans="1:11" x14ac:dyDescent="0.25">
      <c r="A1889" s="2">
        <v>46176.083333333343</v>
      </c>
      <c r="B1889" t="str">
        <f t="shared" si="58"/>
        <v>2026-06</v>
      </c>
      <c r="C1889" s="3">
        <f t="shared" si="59"/>
        <v>2</v>
      </c>
      <c r="D1889" s="4">
        <v>23.52034801488611</v>
      </c>
      <c r="E1889" s="4">
        <v>25.08835489424445</v>
      </c>
      <c r="F1889" s="4">
        <v>26.576237520591661</v>
      </c>
      <c r="G1889" s="4">
        <v>12.8</v>
      </c>
      <c r="H1889" s="5">
        <v>36.02022591942778</v>
      </c>
      <c r="I1889" s="5">
        <v>33.647246522447233</v>
      </c>
      <c r="J1889" s="5">
        <v>41.781608250516662</v>
      </c>
      <c r="K1889" s="5">
        <v>81</v>
      </c>
    </row>
    <row r="1890" spans="1:11" x14ac:dyDescent="0.25">
      <c r="A1890" s="2">
        <v>46176.125</v>
      </c>
      <c r="B1890" t="str">
        <f t="shared" si="58"/>
        <v>2026-06</v>
      </c>
      <c r="C1890" s="3">
        <f t="shared" si="59"/>
        <v>3</v>
      </c>
      <c r="D1890" s="4">
        <v>23.57740416576944</v>
      </c>
      <c r="E1890" s="4">
        <v>24.956566455583332</v>
      </c>
      <c r="F1890" s="4">
        <v>26.583086406486121</v>
      </c>
      <c r="G1890" s="4">
        <v>12.4</v>
      </c>
      <c r="H1890" s="5">
        <v>35.269304492366658</v>
      </c>
      <c r="I1890" s="5">
        <v>33.304927199449999</v>
      </c>
      <c r="J1890" s="5">
        <v>41.791969504955553</v>
      </c>
      <c r="K1890" s="5">
        <v>86</v>
      </c>
    </row>
    <row r="1891" spans="1:11" x14ac:dyDescent="0.25">
      <c r="A1891" s="2">
        <v>46176.166666666657</v>
      </c>
      <c r="B1891" t="str">
        <f t="shared" si="58"/>
        <v>2026-06</v>
      </c>
      <c r="C1891" s="3">
        <f t="shared" si="59"/>
        <v>4</v>
      </c>
      <c r="D1891" s="4">
        <v>23.57583660764444</v>
      </c>
      <c r="E1891" s="4">
        <v>24.80229665361945</v>
      </c>
      <c r="F1891" s="4">
        <v>26.571750148058332</v>
      </c>
      <c r="G1891" s="4">
        <v>11.6</v>
      </c>
      <c r="H1891" s="5">
        <v>35.155760489525001</v>
      </c>
      <c r="I1891" s="5">
        <v>33.636850092219447</v>
      </c>
      <c r="J1891" s="5">
        <v>41.791122208574997</v>
      </c>
      <c r="K1891" s="5">
        <v>88</v>
      </c>
    </row>
    <row r="1892" spans="1:11" x14ac:dyDescent="0.25">
      <c r="A1892" s="2">
        <v>46176.208333333343</v>
      </c>
      <c r="B1892" t="str">
        <f t="shared" si="58"/>
        <v>2026-06</v>
      </c>
      <c r="C1892" s="3">
        <f t="shared" si="59"/>
        <v>5</v>
      </c>
      <c r="D1892" s="4">
        <v>23.94811136678333</v>
      </c>
      <c r="E1892" s="4">
        <v>24.91137619071111</v>
      </c>
      <c r="F1892" s="4">
        <v>26.574608185786111</v>
      </c>
      <c r="G1892" s="4">
        <v>11.2</v>
      </c>
      <c r="H1892" s="5">
        <v>34.906763194613887</v>
      </c>
      <c r="I1892" s="5">
        <v>34.403689188761113</v>
      </c>
      <c r="J1892" s="5">
        <v>41.861310171558337</v>
      </c>
      <c r="K1892" s="5">
        <v>90</v>
      </c>
    </row>
    <row r="1893" spans="1:11" x14ac:dyDescent="0.25">
      <c r="A1893" s="2">
        <v>46176.25</v>
      </c>
      <c r="B1893" t="str">
        <f t="shared" si="58"/>
        <v>2026-06</v>
      </c>
      <c r="C1893" s="3">
        <f t="shared" si="59"/>
        <v>6</v>
      </c>
      <c r="D1893" s="4">
        <v>24.63303933121389</v>
      </c>
      <c r="E1893" s="4">
        <v>25.33370147693612</v>
      </c>
      <c r="F1893" s="4">
        <v>26.593933189116669</v>
      </c>
      <c r="G1893" s="4">
        <v>12.6</v>
      </c>
      <c r="H1893" s="5">
        <v>34.807223428347221</v>
      </c>
      <c r="I1893" s="5">
        <v>34.885226509277778</v>
      </c>
      <c r="J1893" s="5">
        <v>42.029176013647223</v>
      </c>
      <c r="K1893" s="5">
        <v>81</v>
      </c>
    </row>
    <row r="1894" spans="1:11" x14ac:dyDescent="0.25">
      <c r="A1894" s="2">
        <v>46176.291666666657</v>
      </c>
      <c r="B1894" t="str">
        <f t="shared" si="58"/>
        <v>2026-06</v>
      </c>
      <c r="C1894" s="3">
        <f t="shared" si="59"/>
        <v>7</v>
      </c>
      <c r="D1894" s="4">
        <v>25.435757297836108</v>
      </c>
      <c r="E1894" s="4">
        <v>25.986183764466659</v>
      </c>
      <c r="F1894" s="4">
        <v>26.624380676074999</v>
      </c>
      <c r="G1894" s="4">
        <v>15.5</v>
      </c>
      <c r="H1894" s="5">
        <v>34.394441718944442</v>
      </c>
      <c r="I1894" s="5">
        <v>32.870872711274998</v>
      </c>
      <c r="J1894" s="5">
        <v>42.182581410516669</v>
      </c>
      <c r="K1894" s="5">
        <v>67</v>
      </c>
    </row>
    <row r="1895" spans="1:11" x14ac:dyDescent="0.25">
      <c r="A1895" s="2">
        <v>46176.333333333343</v>
      </c>
      <c r="B1895" t="str">
        <f t="shared" si="58"/>
        <v>2026-06</v>
      </c>
      <c r="C1895" s="3">
        <f t="shared" si="59"/>
        <v>8</v>
      </c>
      <c r="D1895" s="4">
        <v>25.933261106072219</v>
      </c>
      <c r="E1895" s="4">
        <v>26.56414039188612</v>
      </c>
      <c r="F1895" s="4">
        <v>26.666070332927781</v>
      </c>
      <c r="G1895" s="4">
        <v>18.5</v>
      </c>
      <c r="H1895" s="5">
        <v>34.09638791375</v>
      </c>
      <c r="I1895" s="5">
        <v>31.609391850925</v>
      </c>
      <c r="J1895" s="5">
        <v>42.27664235098333</v>
      </c>
      <c r="K1895" s="5">
        <v>53</v>
      </c>
    </row>
    <row r="1896" spans="1:11" x14ac:dyDescent="0.25">
      <c r="A1896" s="2">
        <v>46176.375</v>
      </c>
      <c r="B1896" t="str">
        <f t="shared" si="58"/>
        <v>2026-06</v>
      </c>
      <c r="C1896" s="3">
        <f t="shared" si="59"/>
        <v>9</v>
      </c>
      <c r="D1896" s="4">
        <v>26.130313998419439</v>
      </c>
      <c r="E1896" s="4">
        <v>26.84063021482222</v>
      </c>
      <c r="F1896" s="4">
        <v>26.73903393673611</v>
      </c>
      <c r="G1896" s="4">
        <v>21.7</v>
      </c>
      <c r="H1896" s="5">
        <v>34.292442228241669</v>
      </c>
      <c r="I1896" s="5">
        <v>31.578904429686109</v>
      </c>
      <c r="J1896" s="5">
        <v>42.323155449744441</v>
      </c>
      <c r="K1896" s="5">
        <v>37</v>
      </c>
    </row>
    <row r="1897" spans="1:11" x14ac:dyDescent="0.25">
      <c r="A1897" s="2">
        <v>46176.416666666657</v>
      </c>
      <c r="B1897" t="str">
        <f t="shared" si="58"/>
        <v>2026-06</v>
      </c>
      <c r="C1897" s="3">
        <f t="shared" si="59"/>
        <v>10</v>
      </c>
      <c r="D1897" s="4">
        <v>26.341940310030559</v>
      </c>
      <c r="E1897" s="4">
        <v>27.126584155355559</v>
      </c>
      <c r="F1897" s="4">
        <v>26.813567220344439</v>
      </c>
      <c r="G1897" s="4">
        <v>23.1</v>
      </c>
      <c r="H1897" s="5">
        <v>33.941722590736113</v>
      </c>
      <c r="I1897" s="5">
        <v>33.125142966880553</v>
      </c>
      <c r="J1897" s="5">
        <v>42.375773464061112</v>
      </c>
      <c r="K1897" s="5">
        <v>30</v>
      </c>
    </row>
    <row r="1898" spans="1:11" x14ac:dyDescent="0.25">
      <c r="A1898" s="2">
        <v>46176.458333333343</v>
      </c>
      <c r="B1898" t="str">
        <f t="shared" si="58"/>
        <v>2026-06</v>
      </c>
      <c r="C1898" s="3">
        <f t="shared" si="59"/>
        <v>11</v>
      </c>
      <c r="D1898" s="4">
        <v>26.31407574680556</v>
      </c>
      <c r="E1898" s="4">
        <v>27.33756791591389</v>
      </c>
      <c r="F1898" s="4">
        <v>26.783249945527771</v>
      </c>
      <c r="G1898" s="4">
        <v>23.9</v>
      </c>
      <c r="H1898" s="5">
        <v>30.766498139119449</v>
      </c>
      <c r="I1898" s="5">
        <v>28.781261582174999</v>
      </c>
      <c r="J1898" s="5">
        <v>42.320131993572232</v>
      </c>
      <c r="K1898" s="5">
        <v>27</v>
      </c>
    </row>
    <row r="1899" spans="1:11" x14ac:dyDescent="0.25">
      <c r="A1899" s="2">
        <v>46176.5</v>
      </c>
      <c r="B1899" t="str">
        <f t="shared" si="58"/>
        <v>2026-06</v>
      </c>
      <c r="C1899" s="3">
        <f t="shared" si="59"/>
        <v>12</v>
      </c>
      <c r="D1899" s="4">
        <v>25.928542229725</v>
      </c>
      <c r="E1899" s="4">
        <v>27.22135350855833</v>
      </c>
      <c r="F1899" s="4">
        <v>26.755046281497219</v>
      </c>
      <c r="G1899" s="4">
        <v>24.6</v>
      </c>
      <c r="H1899" s="5">
        <v>27.45082530823889</v>
      </c>
      <c r="I1899" s="5">
        <v>28.649674373002771</v>
      </c>
      <c r="J1899" s="5">
        <v>40.860316150888892</v>
      </c>
      <c r="K1899" s="5">
        <v>25</v>
      </c>
    </row>
    <row r="1900" spans="1:11" x14ac:dyDescent="0.25">
      <c r="A1900" s="2">
        <v>46176.541666666657</v>
      </c>
      <c r="B1900" t="str">
        <f t="shared" si="58"/>
        <v>2026-06</v>
      </c>
      <c r="C1900" s="3">
        <f t="shared" si="59"/>
        <v>13</v>
      </c>
      <c r="D1900" s="4">
        <v>25.46859188609444</v>
      </c>
      <c r="E1900" s="4">
        <v>26.78880061475833</v>
      </c>
      <c r="F1900" s="4">
        <v>26.636670301900001</v>
      </c>
      <c r="G1900" s="4">
        <v>24.3</v>
      </c>
      <c r="H1900" s="5">
        <v>26.91453948797778</v>
      </c>
      <c r="I1900" s="5">
        <v>29.522040609333331</v>
      </c>
      <c r="J1900" s="5">
        <v>39.930287336233327</v>
      </c>
      <c r="K1900" s="5">
        <v>25</v>
      </c>
    </row>
    <row r="1901" spans="1:11" x14ac:dyDescent="0.25">
      <c r="A1901" s="2">
        <v>46176.583333333343</v>
      </c>
      <c r="B1901" t="str">
        <f t="shared" si="58"/>
        <v>2026-06</v>
      </c>
      <c r="C1901" s="3">
        <f t="shared" si="59"/>
        <v>14</v>
      </c>
      <c r="D1901" s="4">
        <v>25.23548549845556</v>
      </c>
      <c r="E1901" s="4">
        <v>26.47334754546111</v>
      </c>
      <c r="F1901" s="4">
        <v>26.51052834568889</v>
      </c>
      <c r="G1901" s="4">
        <v>24</v>
      </c>
      <c r="H1901" s="5">
        <v>26.71185200205278</v>
      </c>
      <c r="I1901" s="5">
        <v>27.952224965458331</v>
      </c>
      <c r="J1901" s="5">
        <v>38.807310204655558</v>
      </c>
      <c r="K1901" s="5">
        <v>26</v>
      </c>
    </row>
    <row r="1902" spans="1:11" x14ac:dyDescent="0.25">
      <c r="A1902" s="2">
        <v>46176.625</v>
      </c>
      <c r="B1902" t="str">
        <f t="shared" si="58"/>
        <v>2026-06</v>
      </c>
      <c r="C1902" s="3">
        <f t="shared" si="59"/>
        <v>15</v>
      </c>
      <c r="D1902" s="4">
        <v>25.41554771314722</v>
      </c>
      <c r="E1902" s="4">
        <v>26.302619552272219</v>
      </c>
      <c r="F1902" s="4">
        <v>26.47434062994445</v>
      </c>
      <c r="G1902" s="4">
        <v>25.1</v>
      </c>
      <c r="H1902" s="5">
        <v>26.562592372411121</v>
      </c>
      <c r="I1902" s="5">
        <v>27.374127581422218</v>
      </c>
      <c r="J1902" s="5">
        <v>38.493852661002776</v>
      </c>
      <c r="K1902" s="5">
        <v>24</v>
      </c>
    </row>
    <row r="1903" spans="1:11" x14ac:dyDescent="0.25">
      <c r="A1903" s="2">
        <v>46176.666666666657</v>
      </c>
      <c r="B1903" t="str">
        <f t="shared" si="58"/>
        <v>2026-06</v>
      </c>
      <c r="C1903" s="3">
        <f t="shared" si="59"/>
        <v>16</v>
      </c>
      <c r="D1903" s="4">
        <v>25.40279984754444</v>
      </c>
      <c r="E1903" s="4">
        <v>26.37388998623889</v>
      </c>
      <c r="F1903" s="4">
        <v>26.477701755188889</v>
      </c>
      <c r="G1903" s="4">
        <v>24.3</v>
      </c>
      <c r="H1903" s="5">
        <v>28.847543619500001</v>
      </c>
      <c r="I1903" s="5">
        <v>29.396221566308331</v>
      </c>
      <c r="J1903" s="5">
        <v>39.803753205647219</v>
      </c>
      <c r="K1903" s="5">
        <v>25</v>
      </c>
    </row>
    <row r="1904" spans="1:11" x14ac:dyDescent="0.25">
      <c r="A1904" s="2">
        <v>46176.708333333343</v>
      </c>
      <c r="B1904" t="str">
        <f t="shared" si="58"/>
        <v>2026-06</v>
      </c>
      <c r="C1904" s="3">
        <f t="shared" si="59"/>
        <v>17</v>
      </c>
      <c r="D1904" s="4">
        <v>25.398002069311111</v>
      </c>
      <c r="E1904" s="4">
        <v>26.39915689055</v>
      </c>
      <c r="F1904" s="4">
        <v>26.411040607555559</v>
      </c>
      <c r="G1904" s="4">
        <v>24.6</v>
      </c>
      <c r="H1904" s="5">
        <v>27.856276301763891</v>
      </c>
      <c r="I1904" s="5">
        <v>28.29751333115</v>
      </c>
      <c r="J1904" s="5">
        <v>39.94890175062222</v>
      </c>
      <c r="K1904" s="5">
        <v>25</v>
      </c>
    </row>
    <row r="1905" spans="1:11" x14ac:dyDescent="0.25">
      <c r="A1905" s="2">
        <v>46176.75</v>
      </c>
      <c r="B1905" t="str">
        <f t="shared" si="58"/>
        <v>2026-06</v>
      </c>
      <c r="C1905" s="3">
        <f t="shared" si="59"/>
        <v>18</v>
      </c>
      <c r="D1905" s="4">
        <v>25.312965464177779</v>
      </c>
      <c r="E1905" s="4">
        <v>26.550064846783329</v>
      </c>
      <c r="F1905" s="4">
        <v>26.530435899619441</v>
      </c>
      <c r="G1905" s="4">
        <v>24.2</v>
      </c>
      <c r="H1905" s="5">
        <v>29.167863315747219</v>
      </c>
      <c r="I1905" s="5">
        <v>30.327849172788891</v>
      </c>
      <c r="J1905" s="5">
        <v>40.165502937266673</v>
      </c>
      <c r="K1905" s="5">
        <v>26</v>
      </c>
    </row>
    <row r="1906" spans="1:11" x14ac:dyDescent="0.25">
      <c r="A1906" s="2">
        <v>46176.791666666657</v>
      </c>
      <c r="B1906" t="str">
        <f t="shared" si="58"/>
        <v>2026-06</v>
      </c>
      <c r="C1906" s="3">
        <f t="shared" si="59"/>
        <v>19</v>
      </c>
      <c r="D1906" s="4">
        <v>25.07529091276945</v>
      </c>
      <c r="E1906" s="4">
        <v>26.540330884516671</v>
      </c>
      <c r="F1906" s="4">
        <v>26.639353576913891</v>
      </c>
      <c r="G1906" s="4">
        <v>23.6</v>
      </c>
      <c r="H1906" s="5">
        <v>29.932908622894441</v>
      </c>
      <c r="I1906" s="5">
        <v>32.643246458783331</v>
      </c>
      <c r="J1906" s="5">
        <v>40.630569659072222</v>
      </c>
      <c r="K1906" s="5">
        <v>29</v>
      </c>
    </row>
    <row r="1907" spans="1:11" x14ac:dyDescent="0.25">
      <c r="A1907" s="2">
        <v>46176.833333333343</v>
      </c>
      <c r="B1907" t="str">
        <f t="shared" si="58"/>
        <v>2026-06</v>
      </c>
      <c r="C1907" s="3">
        <f t="shared" si="59"/>
        <v>20</v>
      </c>
      <c r="D1907" s="4">
        <v>24.304654390808331</v>
      </c>
      <c r="E1907" s="4">
        <v>26.22505225034444</v>
      </c>
      <c r="F1907" s="4">
        <v>26.658378855194449</v>
      </c>
      <c r="G1907" s="4">
        <v>22.5</v>
      </c>
      <c r="H1907" s="5">
        <v>32.705234548241663</v>
      </c>
      <c r="I1907" s="5">
        <v>34.443352451769442</v>
      </c>
      <c r="J1907" s="5">
        <v>41.051862116905554</v>
      </c>
      <c r="K1907" s="5">
        <v>35</v>
      </c>
    </row>
    <row r="1908" spans="1:11" x14ac:dyDescent="0.25">
      <c r="A1908" s="2">
        <v>46176.875</v>
      </c>
      <c r="B1908" t="str">
        <f t="shared" si="58"/>
        <v>2026-06</v>
      </c>
      <c r="C1908" s="3">
        <f t="shared" si="59"/>
        <v>21</v>
      </c>
      <c r="D1908" s="4">
        <v>23.711074584019439</v>
      </c>
      <c r="E1908" s="4">
        <v>26.014994431908331</v>
      </c>
      <c r="F1908" s="4">
        <v>26.688046516438892</v>
      </c>
      <c r="G1908" s="4">
        <v>21.4</v>
      </c>
      <c r="H1908" s="5">
        <v>35.163887068966673</v>
      </c>
      <c r="I1908" s="5">
        <v>35.075557474030553</v>
      </c>
      <c r="J1908" s="5">
        <v>41.189429063155558</v>
      </c>
      <c r="K1908" s="5">
        <v>40</v>
      </c>
    </row>
    <row r="1909" spans="1:11" x14ac:dyDescent="0.25">
      <c r="A1909" s="2">
        <v>46176.916666666657</v>
      </c>
      <c r="B1909" t="str">
        <f t="shared" si="58"/>
        <v>2026-06</v>
      </c>
      <c r="C1909" s="3">
        <f t="shared" si="59"/>
        <v>22</v>
      </c>
      <c r="D1909" s="4">
        <v>22.84406805676667</v>
      </c>
      <c r="E1909" s="4">
        <v>26.824894448722219</v>
      </c>
      <c r="F1909" s="4">
        <v>26.54705459892778</v>
      </c>
      <c r="G1909" s="4">
        <v>20.8</v>
      </c>
      <c r="H1909" s="5">
        <v>38.597290503013888</v>
      </c>
      <c r="I1909" s="5">
        <v>37.343116272041669</v>
      </c>
      <c r="J1909" s="5">
        <v>42.723577298308328</v>
      </c>
      <c r="K1909" s="5">
        <v>42</v>
      </c>
    </row>
    <row r="1910" spans="1:11" x14ac:dyDescent="0.25">
      <c r="A1910" s="2">
        <v>46176.958333333343</v>
      </c>
      <c r="B1910" t="str">
        <f t="shared" si="58"/>
        <v>2026-06</v>
      </c>
      <c r="C1910" s="3">
        <f t="shared" si="59"/>
        <v>23</v>
      </c>
      <c r="D1910" s="4">
        <v>22.865751195333331</v>
      </c>
      <c r="E1910" s="4">
        <v>26.405662943452779</v>
      </c>
      <c r="F1910" s="4">
        <v>26.21512583659722</v>
      </c>
      <c r="G1910" s="4">
        <v>19.8</v>
      </c>
      <c r="H1910" s="5">
        <v>39.887350128130556</v>
      </c>
      <c r="I1910" s="5">
        <v>36.372073780894453</v>
      </c>
      <c r="J1910" s="5">
        <v>44.900289695447221</v>
      </c>
      <c r="K1910" s="5">
        <v>46</v>
      </c>
    </row>
    <row r="1911" spans="1:11" x14ac:dyDescent="0.25">
      <c r="A1911" s="2">
        <v>46177</v>
      </c>
      <c r="B1911" t="str">
        <f t="shared" si="58"/>
        <v>2026-06</v>
      </c>
      <c r="C1911" s="3">
        <f t="shared" si="59"/>
        <v>0</v>
      </c>
      <c r="D1911" s="4">
        <v>24.074496317686108</v>
      </c>
      <c r="E1911" s="4">
        <v>26.232011667941659</v>
      </c>
      <c r="F1911" s="4">
        <v>26.383443293475001</v>
      </c>
      <c r="G1911" s="4">
        <v>18.7</v>
      </c>
      <c r="H1911" s="5">
        <v>41.735897769438893</v>
      </c>
      <c r="I1911" s="5">
        <v>39.019103671455561</v>
      </c>
      <c r="J1911" s="5">
        <v>45.481079357736121</v>
      </c>
      <c r="K1911" s="5">
        <v>51</v>
      </c>
    </row>
    <row r="1912" spans="1:11" x14ac:dyDescent="0.25">
      <c r="A1912" s="2">
        <v>46177.041666666657</v>
      </c>
      <c r="B1912" t="str">
        <f t="shared" si="58"/>
        <v>2026-06</v>
      </c>
      <c r="C1912" s="3">
        <f t="shared" si="59"/>
        <v>1</v>
      </c>
      <c r="D1912" s="4">
        <v>22.183085409577771</v>
      </c>
      <c r="E1912" s="4">
        <v>26.047558257516659</v>
      </c>
      <c r="F1912" s="4">
        <v>26.593984077088891</v>
      </c>
      <c r="G1912" s="4">
        <v>17.8</v>
      </c>
      <c r="H1912" s="5">
        <v>39.961973558266671</v>
      </c>
      <c r="I1912" s="5">
        <v>37.909501832825001</v>
      </c>
      <c r="J1912" s="5">
        <v>44.129061122555562</v>
      </c>
      <c r="K1912" s="5">
        <v>56</v>
      </c>
    </row>
    <row r="1913" spans="1:11" x14ac:dyDescent="0.25">
      <c r="A1913" s="2">
        <v>46177.083333333343</v>
      </c>
      <c r="B1913" t="str">
        <f t="shared" si="58"/>
        <v>2026-06</v>
      </c>
      <c r="C1913" s="3">
        <f t="shared" si="59"/>
        <v>2</v>
      </c>
      <c r="D1913" s="4">
        <v>21.400208926077781</v>
      </c>
      <c r="E1913" s="4">
        <v>25.548481941763889</v>
      </c>
      <c r="F1913" s="4">
        <v>26.6556085313</v>
      </c>
      <c r="G1913" s="4">
        <v>17</v>
      </c>
      <c r="H1913" s="5">
        <v>41.119645741241662</v>
      </c>
      <c r="I1913" s="5">
        <v>35.063963523452777</v>
      </c>
      <c r="J1913" s="5">
        <v>43.432769255469452</v>
      </c>
      <c r="K1913" s="5">
        <v>58</v>
      </c>
    </row>
    <row r="1914" spans="1:11" x14ac:dyDescent="0.25">
      <c r="A1914" s="2">
        <v>46177.125</v>
      </c>
      <c r="B1914" t="str">
        <f t="shared" si="58"/>
        <v>2026-06</v>
      </c>
      <c r="C1914" s="3">
        <f t="shared" si="59"/>
        <v>3</v>
      </c>
      <c r="D1914" s="4">
        <v>21.049131546819439</v>
      </c>
      <c r="E1914" s="4">
        <v>24.82254479215278</v>
      </c>
      <c r="F1914" s="4">
        <v>26.62195163337778</v>
      </c>
      <c r="G1914" s="4">
        <v>17.899999999999999</v>
      </c>
      <c r="H1914" s="5">
        <v>42.5929688513</v>
      </c>
      <c r="I1914" s="5">
        <v>35.958663225475</v>
      </c>
      <c r="J1914" s="5">
        <v>43.154306219533339</v>
      </c>
      <c r="K1914" s="5">
        <v>55</v>
      </c>
    </row>
    <row r="1915" spans="1:11" x14ac:dyDescent="0.25">
      <c r="A1915" s="2">
        <v>46177.166666666657</v>
      </c>
      <c r="B1915" t="str">
        <f t="shared" si="58"/>
        <v>2026-06</v>
      </c>
      <c r="C1915" s="3">
        <f t="shared" si="59"/>
        <v>4</v>
      </c>
      <c r="D1915" s="4">
        <v>20.709416994369441</v>
      </c>
      <c r="E1915" s="4">
        <v>24.470452244480551</v>
      </c>
      <c r="F1915" s="4">
        <v>26.607423617916659</v>
      </c>
      <c r="G1915" s="4">
        <v>17.3</v>
      </c>
      <c r="H1915" s="5">
        <v>44.537635662186112</v>
      </c>
      <c r="I1915" s="5">
        <v>37.383587521850004</v>
      </c>
      <c r="J1915" s="5">
        <v>43.13643521638889</v>
      </c>
      <c r="K1915" s="5">
        <v>58</v>
      </c>
    </row>
    <row r="1916" spans="1:11" x14ac:dyDescent="0.25">
      <c r="A1916" s="2">
        <v>46177.208333333343</v>
      </c>
      <c r="B1916" t="str">
        <f t="shared" si="58"/>
        <v>2026-06</v>
      </c>
      <c r="C1916" s="3">
        <f t="shared" si="59"/>
        <v>5</v>
      </c>
      <c r="D1916" s="4">
        <v>20.314971675563889</v>
      </c>
      <c r="E1916" s="4">
        <v>24.192619701169441</v>
      </c>
      <c r="F1916" s="4">
        <v>26.570673731433331</v>
      </c>
      <c r="G1916" s="4">
        <v>16.5</v>
      </c>
      <c r="H1916" s="5">
        <v>46.078181447216672</v>
      </c>
      <c r="I1916" s="5">
        <v>38.06991176564167</v>
      </c>
      <c r="J1916" s="5">
        <v>43.224608478027783</v>
      </c>
      <c r="K1916" s="5">
        <v>62</v>
      </c>
    </row>
    <row r="1917" spans="1:11" x14ac:dyDescent="0.25">
      <c r="A1917" s="2">
        <v>46177.25</v>
      </c>
      <c r="B1917" t="str">
        <f t="shared" si="58"/>
        <v>2026-06</v>
      </c>
      <c r="C1917" s="3">
        <f t="shared" si="59"/>
        <v>6</v>
      </c>
      <c r="D1917" s="4">
        <v>20.15813603211112</v>
      </c>
      <c r="E1917" s="4">
        <v>24.00010856308333</v>
      </c>
      <c r="F1917" s="4">
        <v>26.546617759616659</v>
      </c>
      <c r="G1917" s="4">
        <v>16.399999999999999</v>
      </c>
      <c r="H1917" s="5">
        <v>47.526999792263886</v>
      </c>
      <c r="I1917" s="5">
        <v>38.938900271549997</v>
      </c>
      <c r="J1917" s="5">
        <v>43.327977713436113</v>
      </c>
      <c r="K1917" s="5">
        <v>64</v>
      </c>
    </row>
    <row r="1918" spans="1:11" x14ac:dyDescent="0.25">
      <c r="A1918" s="2">
        <v>46177.291666666657</v>
      </c>
      <c r="B1918" t="str">
        <f t="shared" si="58"/>
        <v>2026-06</v>
      </c>
      <c r="C1918" s="3">
        <f t="shared" si="59"/>
        <v>7</v>
      </c>
      <c r="D1918" s="4">
        <v>20.58778585210278</v>
      </c>
      <c r="E1918" s="4">
        <v>24.020421665788891</v>
      </c>
      <c r="F1918" s="4">
        <v>26.55936149882222</v>
      </c>
      <c r="G1918" s="4">
        <v>16.7</v>
      </c>
      <c r="H1918" s="5">
        <v>48.66285442119166</v>
      </c>
      <c r="I1918" s="5">
        <v>40.59901918592778</v>
      </c>
      <c r="J1918" s="5">
        <v>43.502217630202779</v>
      </c>
      <c r="K1918" s="5">
        <v>63</v>
      </c>
    </row>
    <row r="1919" spans="1:11" x14ac:dyDescent="0.25">
      <c r="A1919" s="2">
        <v>46177.333333333343</v>
      </c>
      <c r="B1919" t="str">
        <f t="shared" si="58"/>
        <v>2026-06</v>
      </c>
      <c r="C1919" s="3">
        <f t="shared" si="59"/>
        <v>8</v>
      </c>
      <c r="D1919" s="4">
        <v>21.278480941194449</v>
      </c>
      <c r="E1919" s="4">
        <v>23.79063485567778</v>
      </c>
      <c r="F1919" s="4">
        <v>26.596655170580561</v>
      </c>
      <c r="G1919" s="4">
        <v>17.2</v>
      </c>
      <c r="H1919" s="5">
        <v>47.479799043527777</v>
      </c>
      <c r="I1919" s="5">
        <v>41.468053099486113</v>
      </c>
      <c r="J1919" s="5">
        <v>43.753225941680562</v>
      </c>
      <c r="K1919" s="5">
        <v>62</v>
      </c>
    </row>
    <row r="1920" spans="1:11" x14ac:dyDescent="0.25">
      <c r="A1920" s="2">
        <v>46177.375</v>
      </c>
      <c r="B1920" t="str">
        <f t="shared" si="58"/>
        <v>2026-06</v>
      </c>
      <c r="C1920" s="3">
        <f t="shared" si="59"/>
        <v>9</v>
      </c>
      <c r="D1920" s="4">
        <v>21.604516129522221</v>
      </c>
      <c r="E1920" s="4">
        <v>23.844606439797221</v>
      </c>
      <c r="F1920" s="4">
        <v>25.900806497525</v>
      </c>
      <c r="G1920" s="4">
        <v>18</v>
      </c>
      <c r="H1920" s="5">
        <v>49.276730391772233</v>
      </c>
      <c r="I1920" s="5">
        <v>43.096501701538891</v>
      </c>
      <c r="J1920" s="5">
        <v>47.932607160741668</v>
      </c>
      <c r="K1920" s="5">
        <v>60</v>
      </c>
    </row>
    <row r="1921" spans="1:11" x14ac:dyDescent="0.25">
      <c r="A1921" s="2">
        <v>46177.416666666657</v>
      </c>
      <c r="B1921" t="str">
        <f t="shared" si="58"/>
        <v>2026-06</v>
      </c>
      <c r="C1921" s="3">
        <f t="shared" si="59"/>
        <v>10</v>
      </c>
      <c r="D1921" s="4">
        <v>22.02275326085833</v>
      </c>
      <c r="E1921" s="4">
        <v>24.03393649241389</v>
      </c>
      <c r="F1921" s="4">
        <v>25.356559189974998</v>
      </c>
      <c r="G1921" s="4">
        <v>18.899999999999999</v>
      </c>
      <c r="H1921" s="5">
        <v>47.597861573105547</v>
      </c>
      <c r="I1921" s="5">
        <v>43.091107753097219</v>
      </c>
      <c r="J1921" s="5">
        <v>49.898925731722223</v>
      </c>
      <c r="K1921" s="5">
        <v>56</v>
      </c>
    </row>
    <row r="1922" spans="1:11" x14ac:dyDescent="0.25">
      <c r="A1922" s="2">
        <v>46177.458333333343</v>
      </c>
      <c r="B1922" t="str">
        <f t="shared" ref="B1922:B1985" si="60">TEXT(A1922,"yyyy-mm")</f>
        <v>2026-06</v>
      </c>
      <c r="C1922" s="3">
        <f t="shared" ref="C1922:C1985" si="61">HOUR(A1922)</f>
        <v>11</v>
      </c>
      <c r="D1922" s="4">
        <v>22.072106395663891</v>
      </c>
      <c r="E1922" s="4">
        <v>24.382209910575</v>
      </c>
      <c r="F1922" s="4">
        <v>25.229660948636109</v>
      </c>
      <c r="G1922" s="4">
        <v>19.7</v>
      </c>
      <c r="H1922" s="5">
        <v>47.657807519980558</v>
      </c>
      <c r="I1922" s="5">
        <v>42.692606092036108</v>
      </c>
      <c r="J1922" s="5">
        <v>50.595323165633339</v>
      </c>
      <c r="K1922" s="5">
        <v>53</v>
      </c>
    </row>
    <row r="1923" spans="1:11" x14ac:dyDescent="0.25">
      <c r="A1923" s="2">
        <v>46177.5</v>
      </c>
      <c r="B1923" t="str">
        <f t="shared" si="60"/>
        <v>2026-06</v>
      </c>
      <c r="C1923" s="3">
        <f t="shared" si="61"/>
        <v>12</v>
      </c>
      <c r="D1923" s="4">
        <v>22.483298126638889</v>
      </c>
      <c r="E1923" s="4">
        <v>24.685917925497229</v>
      </c>
      <c r="F1923" s="4">
        <v>25.394321681333331</v>
      </c>
      <c r="G1923" s="4">
        <v>20.7</v>
      </c>
      <c r="H1923" s="5">
        <v>46.75090078948611</v>
      </c>
      <c r="I1923" s="5">
        <v>41.678095355258328</v>
      </c>
      <c r="J1923" s="5">
        <v>49.323098429502778</v>
      </c>
      <c r="K1923" s="5">
        <v>49</v>
      </c>
    </row>
    <row r="1924" spans="1:11" x14ac:dyDescent="0.25">
      <c r="A1924" s="2">
        <v>46177.541666666657</v>
      </c>
      <c r="B1924" t="str">
        <f t="shared" si="60"/>
        <v>2026-06</v>
      </c>
      <c r="C1924" s="3">
        <f t="shared" si="61"/>
        <v>13</v>
      </c>
      <c r="D1924" s="4">
        <v>23.064054626869449</v>
      </c>
      <c r="E1924" s="4">
        <v>24.75825895214167</v>
      </c>
      <c r="F1924" s="4">
        <v>25.928467125800001</v>
      </c>
      <c r="G1924" s="4">
        <v>22.6</v>
      </c>
      <c r="H1924" s="5">
        <v>43.846441160869439</v>
      </c>
      <c r="I1924" s="5">
        <v>40.826398306477778</v>
      </c>
      <c r="J1924" s="5">
        <v>47.673660926602793</v>
      </c>
      <c r="K1924" s="5">
        <v>41</v>
      </c>
    </row>
    <row r="1925" spans="1:11" x14ac:dyDescent="0.25">
      <c r="A1925" s="2">
        <v>46177.583333333343</v>
      </c>
      <c r="B1925" t="str">
        <f t="shared" si="60"/>
        <v>2026-06</v>
      </c>
      <c r="C1925" s="3">
        <f t="shared" si="61"/>
        <v>14</v>
      </c>
      <c r="D1925" s="4">
        <v>22.874991795741661</v>
      </c>
      <c r="E1925" s="4">
        <v>24.70965481371389</v>
      </c>
      <c r="F1925" s="4">
        <v>26.106277619744439</v>
      </c>
      <c r="G1925" s="4">
        <v>20.6</v>
      </c>
      <c r="H1925" s="5">
        <v>44.680559439349999</v>
      </c>
      <c r="I1925" s="5">
        <v>40.846019410930552</v>
      </c>
      <c r="J1925" s="5">
        <v>46.961907980563893</v>
      </c>
      <c r="K1925" s="5">
        <v>48</v>
      </c>
    </row>
    <row r="1926" spans="1:11" x14ac:dyDescent="0.25">
      <c r="A1926" s="2">
        <v>46177.625</v>
      </c>
      <c r="B1926" t="str">
        <f t="shared" si="60"/>
        <v>2026-06</v>
      </c>
      <c r="C1926" s="3">
        <f t="shared" si="61"/>
        <v>15</v>
      </c>
      <c r="D1926" s="4">
        <v>23.820698251655561</v>
      </c>
      <c r="E1926" s="4">
        <v>24.817792515797219</v>
      </c>
      <c r="F1926" s="4">
        <v>25.946524764452779</v>
      </c>
      <c r="G1926" s="4">
        <v>20.5</v>
      </c>
      <c r="H1926" s="5">
        <v>43.882216615291668</v>
      </c>
      <c r="I1926" s="5">
        <v>42.095999927363891</v>
      </c>
      <c r="J1926" s="5">
        <v>48.807421410083329</v>
      </c>
      <c r="K1926" s="5">
        <v>54</v>
      </c>
    </row>
    <row r="1927" spans="1:11" x14ac:dyDescent="0.25">
      <c r="A1927" s="2">
        <v>46177.666666666657</v>
      </c>
      <c r="B1927" t="str">
        <f t="shared" si="60"/>
        <v>2026-06</v>
      </c>
      <c r="C1927" s="3">
        <f t="shared" si="61"/>
        <v>16</v>
      </c>
      <c r="D1927" s="4">
        <v>23.860982565238888</v>
      </c>
      <c r="E1927" s="4">
        <v>24.970376667016659</v>
      </c>
      <c r="F1927" s="4">
        <v>25.704383681341671</v>
      </c>
      <c r="G1927" s="4">
        <v>20.5</v>
      </c>
      <c r="H1927" s="5">
        <v>45.317807905858338</v>
      </c>
      <c r="I1927" s="5">
        <v>43.387048250305547</v>
      </c>
      <c r="J1927" s="5">
        <v>50.188331970519442</v>
      </c>
      <c r="K1927" s="5">
        <v>56</v>
      </c>
    </row>
    <row r="1928" spans="1:11" x14ac:dyDescent="0.25">
      <c r="A1928" s="2">
        <v>46177.708333333343</v>
      </c>
      <c r="B1928" t="str">
        <f t="shared" si="60"/>
        <v>2026-06</v>
      </c>
      <c r="C1928" s="3">
        <f t="shared" si="61"/>
        <v>17</v>
      </c>
      <c r="D1928" s="4">
        <v>23.951988749424999</v>
      </c>
      <c r="E1928" s="4">
        <v>24.767252247075</v>
      </c>
      <c r="F1928" s="4">
        <v>26.115633196386121</v>
      </c>
      <c r="G1928" s="4">
        <v>20</v>
      </c>
      <c r="H1928" s="5">
        <v>46.107035435283343</v>
      </c>
      <c r="I1928" s="5">
        <v>44.643014146358333</v>
      </c>
      <c r="J1928" s="5">
        <v>48.491671368827781</v>
      </c>
      <c r="K1928" s="5">
        <v>58</v>
      </c>
    </row>
    <row r="1929" spans="1:11" x14ac:dyDescent="0.25">
      <c r="A1929" s="2">
        <v>46177.75</v>
      </c>
      <c r="B1929" t="str">
        <f t="shared" si="60"/>
        <v>2026-06</v>
      </c>
      <c r="C1929" s="3">
        <f t="shared" si="61"/>
        <v>18</v>
      </c>
      <c r="D1929" s="4">
        <v>23.57208505861389</v>
      </c>
      <c r="E1929" s="4">
        <v>24.971456631433341</v>
      </c>
      <c r="F1929" s="4">
        <v>26.278968922705559</v>
      </c>
      <c r="G1929" s="4">
        <v>20.100000000000001</v>
      </c>
      <c r="H1929" s="5">
        <v>47.170546990230562</v>
      </c>
      <c r="I1929" s="5">
        <v>45.024766242952779</v>
      </c>
      <c r="J1929" s="5">
        <v>48.033564400255557</v>
      </c>
      <c r="K1929" s="5">
        <v>63</v>
      </c>
    </row>
    <row r="1930" spans="1:11" x14ac:dyDescent="0.25">
      <c r="A1930" s="2">
        <v>46177.791666666657</v>
      </c>
      <c r="B1930" t="str">
        <f t="shared" si="60"/>
        <v>2026-06</v>
      </c>
      <c r="C1930" s="3">
        <f t="shared" si="61"/>
        <v>19</v>
      </c>
      <c r="D1930" s="4">
        <v>23.30171758561945</v>
      </c>
      <c r="E1930" s="4">
        <v>24.95266237745556</v>
      </c>
      <c r="F1930" s="4">
        <v>26.411648206597221</v>
      </c>
      <c r="G1930" s="4">
        <v>19.3</v>
      </c>
      <c r="H1930" s="5">
        <v>46.863581920686109</v>
      </c>
      <c r="I1930" s="5">
        <v>44.140153841736122</v>
      </c>
      <c r="J1930" s="5">
        <v>47.676012149169438</v>
      </c>
      <c r="K1930" s="5">
        <v>66</v>
      </c>
    </row>
    <row r="1931" spans="1:11" x14ac:dyDescent="0.25">
      <c r="A1931" s="2">
        <v>46177.833333333343</v>
      </c>
      <c r="B1931" t="str">
        <f t="shared" si="60"/>
        <v>2026-06</v>
      </c>
      <c r="C1931" s="3">
        <f t="shared" si="61"/>
        <v>20</v>
      </c>
      <c r="D1931" s="4">
        <v>23.633276798463889</v>
      </c>
      <c r="E1931" s="4">
        <v>24.65380629541945</v>
      </c>
      <c r="F1931" s="4">
        <v>26.48654097445278</v>
      </c>
      <c r="G1931" s="4">
        <v>18.399999999999999</v>
      </c>
      <c r="H1931" s="5">
        <v>47.186794106883333</v>
      </c>
      <c r="I1931" s="5">
        <v>45.050404490672207</v>
      </c>
      <c r="J1931" s="5">
        <v>47.442949610272223</v>
      </c>
      <c r="K1931" s="5">
        <v>70</v>
      </c>
    </row>
    <row r="1932" spans="1:11" x14ac:dyDescent="0.25">
      <c r="A1932" s="2">
        <v>46177.875</v>
      </c>
      <c r="B1932" t="str">
        <f t="shared" si="60"/>
        <v>2026-06</v>
      </c>
      <c r="C1932" s="3">
        <f t="shared" si="61"/>
        <v>21</v>
      </c>
      <c r="D1932" s="4">
        <v>23.046579099908332</v>
      </c>
      <c r="E1932" s="4">
        <v>24.574537514425</v>
      </c>
      <c r="F1932" s="4">
        <v>26.60967024650278</v>
      </c>
      <c r="G1932" s="4">
        <v>18.2</v>
      </c>
      <c r="H1932" s="5">
        <v>48.049376454897221</v>
      </c>
      <c r="I1932" s="5">
        <v>45.223131792125002</v>
      </c>
      <c r="J1932" s="5">
        <v>47.252234035400001</v>
      </c>
      <c r="K1932" s="5">
        <v>67</v>
      </c>
    </row>
    <row r="1933" spans="1:11" x14ac:dyDescent="0.25">
      <c r="A1933" s="2">
        <v>46177.916666666657</v>
      </c>
      <c r="B1933" t="str">
        <f t="shared" si="60"/>
        <v>2026-06</v>
      </c>
      <c r="C1933" s="3">
        <f t="shared" si="61"/>
        <v>22</v>
      </c>
      <c r="D1933" s="4">
        <v>22.693357618163891</v>
      </c>
      <c r="E1933" s="4">
        <v>24.59124785665</v>
      </c>
      <c r="F1933" s="4">
        <v>26.649016699336109</v>
      </c>
      <c r="G1933" s="4">
        <v>18.100000000000001</v>
      </c>
      <c r="H1933" s="5">
        <v>48.074849422491667</v>
      </c>
      <c r="I1933" s="5">
        <v>44.299675327980559</v>
      </c>
      <c r="J1933" s="5">
        <v>47.219126072500003</v>
      </c>
      <c r="K1933" s="5">
        <v>68</v>
      </c>
    </row>
    <row r="1934" spans="1:11" x14ac:dyDescent="0.25">
      <c r="A1934" s="2">
        <v>46177.958333333343</v>
      </c>
      <c r="B1934" t="str">
        <f t="shared" si="60"/>
        <v>2026-06</v>
      </c>
      <c r="C1934" s="3">
        <f t="shared" si="61"/>
        <v>23</v>
      </c>
      <c r="D1934" s="4">
        <v>22.662550622811111</v>
      </c>
      <c r="E1934" s="4">
        <v>24.273930401505559</v>
      </c>
      <c r="F1934" s="4">
        <v>26.53071261288056</v>
      </c>
      <c r="G1934" s="4">
        <v>17.8</v>
      </c>
      <c r="H1934" s="5">
        <v>46.953570043041672</v>
      </c>
      <c r="I1934" s="5">
        <v>43.439326097313888</v>
      </c>
      <c r="J1934" s="5">
        <v>47.245946891216668</v>
      </c>
      <c r="K1934" s="5">
        <v>68</v>
      </c>
    </row>
    <row r="1935" spans="1:11" x14ac:dyDescent="0.25">
      <c r="A1935" s="2">
        <v>46178</v>
      </c>
      <c r="B1935" t="str">
        <f t="shared" si="60"/>
        <v>2026-06</v>
      </c>
      <c r="C1935" s="3">
        <f t="shared" si="61"/>
        <v>0</v>
      </c>
      <c r="D1935" s="4">
        <v>23.204499129155561</v>
      </c>
      <c r="E1935" s="4">
        <v>24.427897489986108</v>
      </c>
      <c r="F1935" s="4">
        <v>26.495030407372219</v>
      </c>
      <c r="G1935" s="4">
        <v>17.600000000000001</v>
      </c>
      <c r="H1935" s="5">
        <v>45.257738083827768</v>
      </c>
      <c r="I1935" s="5">
        <v>42.619136300236107</v>
      </c>
      <c r="J1935" s="5">
        <v>47.15129220638056</v>
      </c>
      <c r="K1935" s="5">
        <v>69</v>
      </c>
    </row>
    <row r="1936" spans="1:11" x14ac:dyDescent="0.25">
      <c r="A1936" s="2">
        <v>46178.041666666657</v>
      </c>
      <c r="B1936" t="str">
        <f t="shared" si="60"/>
        <v>2026-06</v>
      </c>
      <c r="C1936" s="3">
        <f t="shared" si="61"/>
        <v>1</v>
      </c>
      <c r="D1936" s="4">
        <v>23.02743214718333</v>
      </c>
      <c r="E1936" s="4">
        <v>24.13980618078612</v>
      </c>
      <c r="F1936" s="4">
        <v>26.472533569822222</v>
      </c>
      <c r="G1936" s="4">
        <v>16.7</v>
      </c>
      <c r="H1936" s="5">
        <v>45.613843178750002</v>
      </c>
      <c r="I1936" s="5">
        <v>43.267882916702767</v>
      </c>
      <c r="J1936" s="5">
        <v>47.070220148111112</v>
      </c>
      <c r="K1936" s="5">
        <v>73</v>
      </c>
    </row>
    <row r="1937" spans="1:11" x14ac:dyDescent="0.25">
      <c r="A1937" s="2">
        <v>46178.083333333343</v>
      </c>
      <c r="B1937" t="str">
        <f t="shared" si="60"/>
        <v>2026-06</v>
      </c>
      <c r="C1937" s="3">
        <f t="shared" si="61"/>
        <v>2</v>
      </c>
      <c r="D1937" s="4">
        <v>21.923054876616661</v>
      </c>
      <c r="E1937" s="4">
        <v>24.058966325002771</v>
      </c>
      <c r="F1937" s="4">
        <v>26.441670555886109</v>
      </c>
      <c r="G1937" s="4">
        <v>16</v>
      </c>
      <c r="H1937" s="5">
        <v>49.134258344391661</v>
      </c>
      <c r="I1937" s="5">
        <v>43.962423787600002</v>
      </c>
      <c r="J1937" s="5">
        <v>47.158972999041659</v>
      </c>
      <c r="K1937" s="5">
        <v>76</v>
      </c>
    </row>
    <row r="1938" spans="1:11" x14ac:dyDescent="0.25">
      <c r="A1938" s="2">
        <v>46178.125</v>
      </c>
      <c r="B1938" t="str">
        <f t="shared" si="60"/>
        <v>2026-06</v>
      </c>
      <c r="C1938" s="3">
        <f t="shared" si="61"/>
        <v>3</v>
      </c>
      <c r="D1938" s="4">
        <v>22.11294502643333</v>
      </c>
      <c r="E1938" s="4">
        <v>23.79981518248611</v>
      </c>
      <c r="F1938" s="4">
        <v>26.422894458502778</v>
      </c>
      <c r="G1938" s="4">
        <v>15.7</v>
      </c>
      <c r="H1938" s="5">
        <v>49.564286683349998</v>
      </c>
      <c r="I1938" s="5">
        <v>45.089875448863893</v>
      </c>
      <c r="J1938" s="5">
        <v>47.261086333769448</v>
      </c>
      <c r="K1938" s="5">
        <v>81</v>
      </c>
    </row>
    <row r="1939" spans="1:11" x14ac:dyDescent="0.25">
      <c r="A1939" s="2">
        <v>46178.166666666657</v>
      </c>
      <c r="B1939" t="str">
        <f t="shared" si="60"/>
        <v>2026-06</v>
      </c>
      <c r="C1939" s="3">
        <f t="shared" si="61"/>
        <v>4</v>
      </c>
      <c r="D1939" s="4">
        <v>22.410804690394439</v>
      </c>
      <c r="E1939" s="4">
        <v>23.71269506629444</v>
      </c>
      <c r="F1939" s="4">
        <v>26.419283072338889</v>
      </c>
      <c r="G1939" s="4">
        <v>15.5</v>
      </c>
      <c r="H1939" s="5">
        <v>48.954091595405551</v>
      </c>
      <c r="I1939" s="5">
        <v>45.474120628900003</v>
      </c>
      <c r="J1939" s="5">
        <v>47.288336154869448</v>
      </c>
      <c r="K1939" s="5">
        <v>81</v>
      </c>
    </row>
    <row r="1940" spans="1:11" x14ac:dyDescent="0.25">
      <c r="A1940" s="2">
        <v>46178.208333333343</v>
      </c>
      <c r="B1940" t="str">
        <f t="shared" si="60"/>
        <v>2026-06</v>
      </c>
      <c r="C1940" s="3">
        <f t="shared" si="61"/>
        <v>5</v>
      </c>
      <c r="D1940" s="4">
        <v>22.838479070580561</v>
      </c>
      <c r="E1940" s="4">
        <v>23.642371482113891</v>
      </c>
      <c r="F1940" s="4">
        <v>26.39928105511666</v>
      </c>
      <c r="G1940" s="4">
        <v>15.3</v>
      </c>
      <c r="H1940" s="5">
        <v>47.738219126138887</v>
      </c>
      <c r="I1940" s="5">
        <v>45.512341250919441</v>
      </c>
      <c r="J1940" s="5">
        <v>47.320381727272228</v>
      </c>
      <c r="K1940" s="5">
        <v>81</v>
      </c>
    </row>
    <row r="1941" spans="1:11" x14ac:dyDescent="0.25">
      <c r="A1941" s="2">
        <v>46178.25</v>
      </c>
      <c r="B1941" t="str">
        <f t="shared" si="60"/>
        <v>2026-06</v>
      </c>
      <c r="C1941" s="3">
        <f t="shared" si="61"/>
        <v>6</v>
      </c>
      <c r="D1941" s="4">
        <v>23.462238488375</v>
      </c>
      <c r="E1941" s="4">
        <v>23.887104050066672</v>
      </c>
      <c r="F1941" s="4">
        <v>26.39052506917222</v>
      </c>
      <c r="G1941" s="4">
        <v>15.8</v>
      </c>
      <c r="H1941" s="5">
        <v>45.480026770783333</v>
      </c>
      <c r="I1941" s="5">
        <v>44.812768458427783</v>
      </c>
      <c r="J1941" s="5">
        <v>47.363280827213877</v>
      </c>
      <c r="K1941" s="5">
        <v>78</v>
      </c>
    </row>
    <row r="1942" spans="1:11" x14ac:dyDescent="0.25">
      <c r="A1942" s="2">
        <v>46178.291666666657</v>
      </c>
      <c r="B1942" t="str">
        <f t="shared" si="60"/>
        <v>2026-06</v>
      </c>
      <c r="C1942" s="3">
        <f t="shared" si="61"/>
        <v>7</v>
      </c>
      <c r="D1942" s="4">
        <v>23.796423049133331</v>
      </c>
      <c r="E1942" s="4">
        <v>24.303659639647229</v>
      </c>
      <c r="F1942" s="4">
        <v>26.410468916025</v>
      </c>
      <c r="G1942" s="4">
        <v>17</v>
      </c>
      <c r="H1942" s="5">
        <v>44.983182035461112</v>
      </c>
      <c r="I1942" s="5">
        <v>44.138700252644448</v>
      </c>
      <c r="J1942" s="5">
        <v>47.385689427908318</v>
      </c>
      <c r="K1942" s="5">
        <v>71</v>
      </c>
    </row>
    <row r="1943" spans="1:11" x14ac:dyDescent="0.25">
      <c r="A1943" s="2">
        <v>46178.333333333343</v>
      </c>
      <c r="B1943" t="str">
        <f t="shared" si="60"/>
        <v>2026-06</v>
      </c>
      <c r="C1943" s="3">
        <f t="shared" si="61"/>
        <v>8</v>
      </c>
      <c r="D1943" s="4">
        <v>24.51612010651111</v>
      </c>
      <c r="E1943" s="4">
        <v>24.503401381475001</v>
      </c>
      <c r="F1943" s="4">
        <v>26.429495939022221</v>
      </c>
      <c r="G1943" s="4">
        <v>19.2</v>
      </c>
      <c r="H1943" s="5">
        <v>42.513781971172222</v>
      </c>
      <c r="I1943" s="5">
        <v>43.268680061169448</v>
      </c>
      <c r="J1943" s="5">
        <v>47.414221760600007</v>
      </c>
      <c r="K1943" s="5">
        <v>61</v>
      </c>
    </row>
    <row r="1944" spans="1:11" x14ac:dyDescent="0.25">
      <c r="A1944" s="2">
        <v>46178.375</v>
      </c>
      <c r="B1944" t="str">
        <f t="shared" si="60"/>
        <v>2026-06</v>
      </c>
      <c r="C1944" s="3">
        <f t="shared" si="61"/>
        <v>9</v>
      </c>
      <c r="D1944" s="4">
        <v>25.749377106222219</v>
      </c>
      <c r="E1944" s="4">
        <v>25.099706513661111</v>
      </c>
      <c r="F1944" s="4">
        <v>26.465819973686109</v>
      </c>
      <c r="G1944" s="4">
        <v>21.6</v>
      </c>
      <c r="H1944" s="5">
        <v>39.237567018977778</v>
      </c>
      <c r="I1944" s="5">
        <v>40.880448409938893</v>
      </c>
      <c r="J1944" s="5">
        <v>47.329045098916673</v>
      </c>
      <c r="K1944" s="5">
        <v>51</v>
      </c>
    </row>
    <row r="1945" spans="1:11" x14ac:dyDescent="0.25">
      <c r="A1945" s="2">
        <v>46178.416666666657</v>
      </c>
      <c r="B1945" t="str">
        <f t="shared" si="60"/>
        <v>2026-06</v>
      </c>
      <c r="C1945" s="3">
        <f t="shared" si="61"/>
        <v>10</v>
      </c>
      <c r="D1945" s="4">
        <v>25.51195653712778</v>
      </c>
      <c r="E1945" s="4">
        <v>25.60553532757778</v>
      </c>
      <c r="F1945" s="4">
        <v>26.523357988527781</v>
      </c>
      <c r="G1945" s="4">
        <v>22.3</v>
      </c>
      <c r="H1945" s="5">
        <v>39.201386329461108</v>
      </c>
      <c r="I1945" s="5">
        <v>40.141043944755559</v>
      </c>
      <c r="J1945" s="5">
        <v>47.100755663944447</v>
      </c>
      <c r="K1945" s="5">
        <v>48</v>
      </c>
    </row>
    <row r="1946" spans="1:11" x14ac:dyDescent="0.25">
      <c r="A1946" s="2">
        <v>46178.458333333343</v>
      </c>
      <c r="B1946" t="str">
        <f t="shared" si="60"/>
        <v>2026-06</v>
      </c>
      <c r="C1946" s="3">
        <f t="shared" si="61"/>
        <v>11</v>
      </c>
      <c r="D1946" s="4">
        <v>25.58874316351389</v>
      </c>
      <c r="E1946" s="4">
        <v>26.05451667697778</v>
      </c>
      <c r="F1946" s="4">
        <v>26.515572941897229</v>
      </c>
      <c r="G1946" s="4">
        <v>23.1</v>
      </c>
      <c r="H1946" s="5">
        <v>38.861334053013891</v>
      </c>
      <c r="I1946" s="5">
        <v>40.738311900852779</v>
      </c>
      <c r="J1946" s="5">
        <v>47.468641275047219</v>
      </c>
      <c r="K1946" s="5">
        <v>46</v>
      </c>
    </row>
    <row r="1947" spans="1:11" x14ac:dyDescent="0.25">
      <c r="A1947" s="2">
        <v>46178.5</v>
      </c>
      <c r="B1947" t="str">
        <f t="shared" si="60"/>
        <v>2026-06</v>
      </c>
      <c r="C1947" s="3">
        <f t="shared" si="61"/>
        <v>12</v>
      </c>
      <c r="D1947" s="4">
        <v>25.569057649369441</v>
      </c>
      <c r="E1947" s="4">
        <v>26.11686041071944</v>
      </c>
      <c r="F1947" s="4">
        <v>26.389452118391659</v>
      </c>
      <c r="G1947" s="4">
        <v>23.8</v>
      </c>
      <c r="H1947" s="5">
        <v>38.230043002741667</v>
      </c>
      <c r="I1947" s="5">
        <v>38.767693006261112</v>
      </c>
      <c r="J1947" s="5">
        <v>48.032512357377783</v>
      </c>
      <c r="K1947" s="5">
        <v>44</v>
      </c>
    </row>
    <row r="1948" spans="1:11" x14ac:dyDescent="0.25">
      <c r="A1948" s="2">
        <v>46178.541666666657</v>
      </c>
      <c r="B1948" t="str">
        <f t="shared" si="60"/>
        <v>2026-06</v>
      </c>
      <c r="C1948" s="3">
        <f t="shared" si="61"/>
        <v>13</v>
      </c>
      <c r="D1948" s="4">
        <v>25.599280508152781</v>
      </c>
      <c r="E1948" s="4">
        <v>26.163499652130561</v>
      </c>
      <c r="F1948" s="4">
        <v>26.370674925566661</v>
      </c>
      <c r="G1948" s="4">
        <v>24.2</v>
      </c>
      <c r="H1948" s="5">
        <v>38.387895845741667</v>
      </c>
      <c r="I1948" s="5">
        <v>38.553603819783334</v>
      </c>
      <c r="J1948" s="5">
        <v>47.978937660547217</v>
      </c>
      <c r="K1948" s="5">
        <v>44</v>
      </c>
    </row>
    <row r="1949" spans="1:11" x14ac:dyDescent="0.25">
      <c r="A1949" s="2">
        <v>46178.583333333343</v>
      </c>
      <c r="B1949" t="str">
        <f t="shared" si="60"/>
        <v>2026-06</v>
      </c>
      <c r="C1949" s="3">
        <f t="shared" si="61"/>
        <v>14</v>
      </c>
      <c r="D1949" s="4">
        <v>25.623131533927779</v>
      </c>
      <c r="E1949" s="4">
        <v>26.315387756002771</v>
      </c>
      <c r="F1949" s="4">
        <v>26.384547629577771</v>
      </c>
      <c r="G1949" s="4">
        <v>24.7</v>
      </c>
      <c r="H1949" s="5">
        <v>38.546049909327778</v>
      </c>
      <c r="I1949" s="5">
        <v>38.66469775875278</v>
      </c>
      <c r="J1949" s="5">
        <v>48.02506335733333</v>
      </c>
      <c r="K1949" s="5">
        <v>41</v>
      </c>
    </row>
    <row r="1950" spans="1:11" x14ac:dyDescent="0.25">
      <c r="A1950" s="2">
        <v>46178.625</v>
      </c>
      <c r="B1950" t="str">
        <f t="shared" si="60"/>
        <v>2026-06</v>
      </c>
      <c r="C1950" s="3">
        <f t="shared" si="61"/>
        <v>15</v>
      </c>
      <c r="D1950" s="4">
        <v>25.680802186680559</v>
      </c>
      <c r="E1950" s="4">
        <v>26.319079424252781</v>
      </c>
      <c r="F1950" s="4">
        <v>26.410792229930561</v>
      </c>
      <c r="G1950" s="4">
        <v>25.6</v>
      </c>
      <c r="H1950" s="5">
        <v>38.285935827575003</v>
      </c>
      <c r="I1950" s="5">
        <v>38.410895853336122</v>
      </c>
      <c r="J1950" s="5">
        <v>47.989621631177783</v>
      </c>
      <c r="K1950" s="5">
        <v>37</v>
      </c>
    </row>
    <row r="1951" spans="1:11" x14ac:dyDescent="0.25">
      <c r="A1951" s="2">
        <v>46178.666666666657</v>
      </c>
      <c r="B1951" t="str">
        <f t="shared" si="60"/>
        <v>2026-06</v>
      </c>
      <c r="C1951" s="3">
        <f t="shared" si="61"/>
        <v>16</v>
      </c>
      <c r="D1951" s="4">
        <v>25.640658024541661</v>
      </c>
      <c r="E1951" s="4">
        <v>26.2137227407</v>
      </c>
      <c r="F1951" s="4">
        <v>26.546257033194451</v>
      </c>
      <c r="G1951" s="4">
        <v>25.7</v>
      </c>
      <c r="H1951" s="5">
        <v>38.766784263425002</v>
      </c>
      <c r="I1951" s="5">
        <v>39.199729065494452</v>
      </c>
      <c r="J1951" s="5">
        <v>47.426193722180557</v>
      </c>
      <c r="K1951" s="5">
        <v>36</v>
      </c>
    </row>
    <row r="1952" spans="1:11" x14ac:dyDescent="0.25">
      <c r="A1952" s="2">
        <v>46178.708333333343</v>
      </c>
      <c r="B1952" t="str">
        <f t="shared" si="60"/>
        <v>2026-06</v>
      </c>
      <c r="C1952" s="3">
        <f t="shared" si="61"/>
        <v>17</v>
      </c>
      <c r="D1952" s="4">
        <v>25.678575611774999</v>
      </c>
      <c r="E1952" s="4">
        <v>26.364609854708331</v>
      </c>
      <c r="F1952" s="4">
        <v>26.638294595783339</v>
      </c>
      <c r="G1952" s="4">
        <v>25.7</v>
      </c>
      <c r="H1952" s="5">
        <v>40.272821755438891</v>
      </c>
      <c r="I1952" s="5">
        <v>39.845788367300003</v>
      </c>
      <c r="J1952" s="5">
        <v>47.104505366691662</v>
      </c>
      <c r="K1952" s="5">
        <v>36</v>
      </c>
    </row>
    <row r="1953" spans="1:11" x14ac:dyDescent="0.25">
      <c r="A1953" s="2">
        <v>46178.75</v>
      </c>
      <c r="B1953" t="str">
        <f t="shared" si="60"/>
        <v>2026-06</v>
      </c>
      <c r="C1953" s="3">
        <f t="shared" si="61"/>
        <v>18</v>
      </c>
      <c r="D1953" s="4">
        <v>25.728640026605561</v>
      </c>
      <c r="E1953" s="4">
        <v>26.205631551088889</v>
      </c>
      <c r="F1953" s="4">
        <v>26.692074237705562</v>
      </c>
      <c r="G1953" s="4">
        <v>25.4</v>
      </c>
      <c r="H1953" s="5">
        <v>40.313107530575003</v>
      </c>
      <c r="I1953" s="5">
        <v>40.126184632086122</v>
      </c>
      <c r="J1953" s="5">
        <v>46.849958014841668</v>
      </c>
      <c r="K1953" s="5">
        <v>36</v>
      </c>
    </row>
    <row r="1954" spans="1:11" x14ac:dyDescent="0.25">
      <c r="A1954" s="2">
        <v>46178.791666666657</v>
      </c>
      <c r="B1954" t="str">
        <f t="shared" si="60"/>
        <v>2026-06</v>
      </c>
      <c r="C1954" s="3">
        <f t="shared" si="61"/>
        <v>19</v>
      </c>
      <c r="D1954" s="4">
        <v>25.907126619080561</v>
      </c>
      <c r="E1954" s="4">
        <v>26.235931412641669</v>
      </c>
      <c r="F1954" s="4">
        <v>26.66015584317222</v>
      </c>
      <c r="G1954" s="4">
        <v>24.7</v>
      </c>
      <c r="H1954" s="5">
        <v>41.817156271222217</v>
      </c>
      <c r="I1954" s="5">
        <v>41.952949776308337</v>
      </c>
      <c r="J1954" s="5">
        <v>49.571085432072223</v>
      </c>
      <c r="K1954" s="5">
        <v>39</v>
      </c>
    </row>
    <row r="1955" spans="1:11" x14ac:dyDescent="0.25">
      <c r="A1955" s="2">
        <v>46178.833333333343</v>
      </c>
      <c r="B1955" t="str">
        <f t="shared" si="60"/>
        <v>2026-06</v>
      </c>
      <c r="C1955" s="3">
        <f t="shared" si="61"/>
        <v>20</v>
      </c>
      <c r="D1955" s="4">
        <v>25.504087127947219</v>
      </c>
      <c r="E1955" s="4">
        <v>26.115517328497219</v>
      </c>
      <c r="F1955" s="4">
        <v>26.683760044083328</v>
      </c>
      <c r="G1955" s="4">
        <v>23.2</v>
      </c>
      <c r="H1955" s="5">
        <v>42.284475406530561</v>
      </c>
      <c r="I1955" s="5">
        <v>42.152349101094451</v>
      </c>
      <c r="J1955" s="5">
        <v>49.222736683100003</v>
      </c>
      <c r="K1955" s="5">
        <v>46</v>
      </c>
    </row>
    <row r="1956" spans="1:11" x14ac:dyDescent="0.25">
      <c r="A1956" s="2">
        <v>46178.875</v>
      </c>
      <c r="B1956" t="str">
        <f t="shared" si="60"/>
        <v>2026-06</v>
      </c>
      <c r="C1956" s="3">
        <f t="shared" si="61"/>
        <v>21</v>
      </c>
      <c r="D1956" s="4">
        <v>25.038069579216661</v>
      </c>
      <c r="E1956" s="4">
        <v>25.712721749291671</v>
      </c>
      <c r="F1956" s="4">
        <v>26.78388099895556</v>
      </c>
      <c r="G1956" s="4">
        <v>22.2</v>
      </c>
      <c r="H1956" s="5">
        <v>42.212064415874998</v>
      </c>
      <c r="I1956" s="5">
        <v>41.45443865034445</v>
      </c>
      <c r="J1956" s="5">
        <v>48.018230687586112</v>
      </c>
      <c r="K1956" s="5">
        <v>49</v>
      </c>
    </row>
    <row r="1957" spans="1:11" x14ac:dyDescent="0.25">
      <c r="A1957" s="2">
        <v>46178.916666666657</v>
      </c>
      <c r="B1957" t="str">
        <f t="shared" si="60"/>
        <v>2026-06</v>
      </c>
      <c r="C1957" s="3">
        <f t="shared" si="61"/>
        <v>22</v>
      </c>
      <c r="D1957" s="4">
        <v>24.926181059188892</v>
      </c>
      <c r="E1957" s="4">
        <v>25.571838323522229</v>
      </c>
      <c r="F1957" s="4">
        <v>27.021945233419441</v>
      </c>
      <c r="G1957" s="4">
        <v>21.4</v>
      </c>
      <c r="H1957" s="5">
        <v>42.067594075833327</v>
      </c>
      <c r="I1957" s="5">
        <v>41.236244684377773</v>
      </c>
      <c r="J1957" s="5">
        <v>47.213451169755558</v>
      </c>
      <c r="K1957" s="5">
        <v>52</v>
      </c>
    </row>
    <row r="1958" spans="1:11" x14ac:dyDescent="0.25">
      <c r="A1958" s="2">
        <v>46178.958333333343</v>
      </c>
      <c r="B1958" t="str">
        <f t="shared" si="60"/>
        <v>2026-06</v>
      </c>
      <c r="C1958" s="3">
        <f t="shared" si="61"/>
        <v>23</v>
      </c>
      <c r="D1958" s="4">
        <v>24.582105876705551</v>
      </c>
      <c r="E1958" s="4">
        <v>25.70746856138889</v>
      </c>
      <c r="F1958" s="4">
        <v>27.097117060708332</v>
      </c>
      <c r="G1958" s="4">
        <v>20.6</v>
      </c>
      <c r="H1958" s="5">
        <v>43.01680181216944</v>
      </c>
      <c r="I1958" s="5">
        <v>41.541798932438887</v>
      </c>
      <c r="J1958" s="5">
        <v>46.86604828339722</v>
      </c>
      <c r="K1958" s="5">
        <v>54</v>
      </c>
    </row>
    <row r="1959" spans="1:11" x14ac:dyDescent="0.25">
      <c r="A1959" s="2">
        <v>46179</v>
      </c>
      <c r="B1959" t="str">
        <f t="shared" si="60"/>
        <v>2026-06</v>
      </c>
      <c r="C1959" s="3">
        <f t="shared" si="61"/>
        <v>0</v>
      </c>
      <c r="D1959" s="4">
        <v>24.085147597700001</v>
      </c>
      <c r="E1959" s="4">
        <v>25.739700663747229</v>
      </c>
      <c r="F1959" s="4">
        <v>26.876101075499999</v>
      </c>
      <c r="G1959" s="4">
        <v>19.5</v>
      </c>
      <c r="H1959" s="5">
        <v>43.738115269663894</v>
      </c>
      <c r="I1959" s="5">
        <v>42.856702369713886</v>
      </c>
      <c r="J1959" s="5">
        <v>47.056411875397217</v>
      </c>
      <c r="K1959" s="5">
        <v>59</v>
      </c>
    </row>
    <row r="1960" spans="1:11" x14ac:dyDescent="0.25">
      <c r="A1960" s="2">
        <v>46179.041666666657</v>
      </c>
      <c r="B1960" t="str">
        <f t="shared" si="60"/>
        <v>2026-06</v>
      </c>
      <c r="C1960" s="3">
        <f t="shared" si="61"/>
        <v>1</v>
      </c>
      <c r="D1960" s="4">
        <v>23.76665443112222</v>
      </c>
      <c r="E1960" s="4">
        <v>25.54029640291667</v>
      </c>
      <c r="F1960" s="4">
        <v>26.772032439622219</v>
      </c>
      <c r="G1960" s="4">
        <v>18.899999999999999</v>
      </c>
      <c r="H1960" s="5">
        <v>44.761823997147218</v>
      </c>
      <c r="I1960" s="5">
        <v>43.595810194686123</v>
      </c>
      <c r="J1960" s="5">
        <v>47.100333022891668</v>
      </c>
      <c r="K1960" s="5">
        <v>62</v>
      </c>
    </row>
    <row r="1961" spans="1:11" x14ac:dyDescent="0.25">
      <c r="A1961" s="2">
        <v>46179.083333333343</v>
      </c>
      <c r="B1961" t="str">
        <f t="shared" si="60"/>
        <v>2026-06</v>
      </c>
      <c r="C1961" s="3">
        <f t="shared" si="61"/>
        <v>2</v>
      </c>
      <c r="D1961" s="4">
        <v>23.178159087138891</v>
      </c>
      <c r="E1961" s="4">
        <v>25.370086055316669</v>
      </c>
      <c r="F1961" s="4">
        <v>26.763030478619449</v>
      </c>
      <c r="G1961" s="4">
        <v>18.100000000000001</v>
      </c>
      <c r="H1961" s="5">
        <v>46.544644133816668</v>
      </c>
      <c r="I1961" s="5">
        <v>43.194888265858332</v>
      </c>
      <c r="J1961" s="5">
        <v>47.076877035199999</v>
      </c>
      <c r="K1961" s="5">
        <v>66</v>
      </c>
    </row>
    <row r="1962" spans="1:11" x14ac:dyDescent="0.25">
      <c r="A1962" s="2">
        <v>46179.125</v>
      </c>
      <c r="B1962" t="str">
        <f t="shared" si="60"/>
        <v>2026-06</v>
      </c>
      <c r="C1962" s="3">
        <f t="shared" si="61"/>
        <v>3</v>
      </c>
      <c r="D1962" s="4">
        <v>22.991633896477779</v>
      </c>
      <c r="E1962" s="4">
        <v>25.038495887591669</v>
      </c>
      <c r="F1962" s="4">
        <v>26.733060121583328</v>
      </c>
      <c r="G1962" s="4">
        <v>17.2</v>
      </c>
      <c r="H1962" s="5">
        <v>45.510961845397233</v>
      </c>
      <c r="I1962" s="5">
        <v>41.935177501144437</v>
      </c>
      <c r="J1962" s="5">
        <v>46.93015352498611</v>
      </c>
      <c r="K1962" s="5">
        <v>69</v>
      </c>
    </row>
    <row r="1963" spans="1:11" x14ac:dyDescent="0.25">
      <c r="A1963" s="2">
        <v>46179.166666666657</v>
      </c>
      <c r="B1963" t="str">
        <f t="shared" si="60"/>
        <v>2026-06</v>
      </c>
      <c r="C1963" s="3">
        <f t="shared" si="61"/>
        <v>4</v>
      </c>
      <c r="D1963" s="4">
        <v>22.29206792301666</v>
      </c>
      <c r="E1963" s="4">
        <v>24.970055205313891</v>
      </c>
      <c r="F1963" s="4">
        <v>26.709967868572221</v>
      </c>
      <c r="G1963" s="4">
        <v>16.5</v>
      </c>
      <c r="H1963" s="5">
        <v>47.491434867666669</v>
      </c>
      <c r="I1963" s="5">
        <v>42.242115439638887</v>
      </c>
      <c r="J1963" s="5">
        <v>46.899572407241664</v>
      </c>
      <c r="K1963" s="5">
        <v>73</v>
      </c>
    </row>
    <row r="1964" spans="1:11" x14ac:dyDescent="0.25">
      <c r="A1964" s="2">
        <v>46179.208333333343</v>
      </c>
      <c r="B1964" t="str">
        <f t="shared" si="60"/>
        <v>2026-06</v>
      </c>
      <c r="C1964" s="3">
        <f t="shared" si="61"/>
        <v>5</v>
      </c>
      <c r="D1964" s="4">
        <v>22.664955290313891</v>
      </c>
      <c r="E1964" s="4">
        <v>25.1798413675</v>
      </c>
      <c r="F1964" s="4">
        <v>26.707873487911112</v>
      </c>
      <c r="G1964" s="4">
        <v>15.8</v>
      </c>
      <c r="H1964" s="5">
        <v>47.112223852700012</v>
      </c>
      <c r="I1964" s="5">
        <v>42.065706299858327</v>
      </c>
      <c r="J1964" s="5">
        <v>46.86012242731389</v>
      </c>
      <c r="K1964" s="5">
        <v>77</v>
      </c>
    </row>
    <row r="1965" spans="1:11" x14ac:dyDescent="0.25">
      <c r="A1965" s="2">
        <v>46179.25</v>
      </c>
      <c r="B1965" t="str">
        <f t="shared" si="60"/>
        <v>2026-06</v>
      </c>
      <c r="C1965" s="3">
        <f t="shared" si="61"/>
        <v>6</v>
      </c>
      <c r="D1965" s="4">
        <v>24.190206970644439</v>
      </c>
      <c r="E1965" s="4">
        <v>25.80059417456944</v>
      </c>
      <c r="F1965" s="4">
        <v>26.680827815352771</v>
      </c>
      <c r="G1965" s="4">
        <v>17.100000000000001</v>
      </c>
      <c r="H1965" s="5">
        <v>43.100364701891657</v>
      </c>
      <c r="I1965" s="5">
        <v>40.972536854088887</v>
      </c>
      <c r="J1965" s="5">
        <v>46.830194528688892</v>
      </c>
      <c r="K1965" s="5">
        <v>71</v>
      </c>
    </row>
    <row r="1966" spans="1:11" x14ac:dyDescent="0.25">
      <c r="A1966" s="2">
        <v>46179.291666666657</v>
      </c>
      <c r="B1966" t="str">
        <f t="shared" si="60"/>
        <v>2026-06</v>
      </c>
      <c r="C1966" s="3">
        <f t="shared" si="61"/>
        <v>7</v>
      </c>
      <c r="D1966" s="4">
        <v>25.511143294791669</v>
      </c>
      <c r="E1966" s="4">
        <v>25.970214575858339</v>
      </c>
      <c r="F1966" s="4">
        <v>26.735184590688888</v>
      </c>
      <c r="G1966" s="4">
        <v>19.7</v>
      </c>
      <c r="H1966" s="5">
        <v>40.85659563500834</v>
      </c>
      <c r="I1966" s="5">
        <v>40.117182321761113</v>
      </c>
      <c r="J1966" s="5">
        <v>46.610607194341668</v>
      </c>
      <c r="K1966" s="5">
        <v>60</v>
      </c>
    </row>
    <row r="1967" spans="1:11" x14ac:dyDescent="0.25">
      <c r="A1967" s="2">
        <v>46179.333333333343</v>
      </c>
      <c r="B1967" t="str">
        <f t="shared" si="60"/>
        <v>2026-06</v>
      </c>
      <c r="C1967" s="3">
        <f t="shared" si="61"/>
        <v>8</v>
      </c>
      <c r="D1967" s="4">
        <v>26.555897413558331</v>
      </c>
      <c r="E1967" s="4">
        <v>26.8705336238</v>
      </c>
      <c r="F1967" s="4">
        <v>26.790775442922222</v>
      </c>
      <c r="G1967" s="4">
        <v>22.3</v>
      </c>
      <c r="H1967" s="5">
        <v>38.886438066483329</v>
      </c>
      <c r="I1967" s="5">
        <v>38.121760880927773</v>
      </c>
      <c r="J1967" s="5">
        <v>46.547551644983344</v>
      </c>
      <c r="K1967" s="5">
        <v>48</v>
      </c>
    </row>
    <row r="1968" spans="1:11" x14ac:dyDescent="0.25">
      <c r="A1968" s="2">
        <v>46179.375</v>
      </c>
      <c r="B1968" t="str">
        <f t="shared" si="60"/>
        <v>2026-06</v>
      </c>
      <c r="C1968" s="3">
        <f t="shared" si="61"/>
        <v>9</v>
      </c>
      <c r="D1968" s="4">
        <v>27.552003885838889</v>
      </c>
      <c r="E1968" s="4">
        <v>27.203405193277771</v>
      </c>
      <c r="F1968" s="4">
        <v>26.800139165041671</v>
      </c>
      <c r="G1968" s="4">
        <v>24.3</v>
      </c>
      <c r="H1968" s="5">
        <v>35.737128482349988</v>
      </c>
      <c r="I1968" s="5">
        <v>36.21420259544167</v>
      </c>
      <c r="J1968" s="5">
        <v>46.559012093638891</v>
      </c>
      <c r="K1968" s="5">
        <v>41</v>
      </c>
    </row>
    <row r="1969" spans="1:11" x14ac:dyDescent="0.25">
      <c r="A1969" s="2">
        <v>46179.416666666657</v>
      </c>
      <c r="B1969" t="str">
        <f t="shared" si="60"/>
        <v>2026-06</v>
      </c>
      <c r="C1969" s="3">
        <f t="shared" si="61"/>
        <v>10</v>
      </c>
      <c r="D1969" s="4">
        <v>27.03725699132222</v>
      </c>
      <c r="E1969" s="4">
        <v>27.492023237969441</v>
      </c>
      <c r="F1969" s="4">
        <v>26.82535902130833</v>
      </c>
      <c r="G1969" s="4">
        <v>25.6</v>
      </c>
      <c r="H1969" s="5">
        <v>34.789036961666667</v>
      </c>
      <c r="I1969" s="5">
        <v>33.876945768461113</v>
      </c>
      <c r="J1969" s="5">
        <v>46.366001071749999</v>
      </c>
      <c r="K1969" s="5">
        <v>35</v>
      </c>
    </row>
    <row r="1970" spans="1:11" x14ac:dyDescent="0.25">
      <c r="A1970" s="2">
        <v>46179.458333333343</v>
      </c>
      <c r="B1970" t="str">
        <f t="shared" si="60"/>
        <v>2026-06</v>
      </c>
      <c r="C1970" s="3">
        <f t="shared" si="61"/>
        <v>11</v>
      </c>
      <c r="D1970" s="4">
        <v>26.86749551626389</v>
      </c>
      <c r="E1970" s="4">
        <v>27.517351333583331</v>
      </c>
      <c r="F1970" s="4">
        <v>26.858300156011111</v>
      </c>
      <c r="G1970" s="4">
        <v>26.5</v>
      </c>
      <c r="H1970" s="5">
        <v>34.314192244974997</v>
      </c>
      <c r="I1970" s="5">
        <v>33.788007478711108</v>
      </c>
      <c r="J1970" s="5">
        <v>46.146776053391669</v>
      </c>
      <c r="K1970" s="5">
        <v>32</v>
      </c>
    </row>
    <row r="1971" spans="1:11" x14ac:dyDescent="0.25">
      <c r="A1971" s="2">
        <v>46179.5</v>
      </c>
      <c r="B1971" t="str">
        <f t="shared" si="60"/>
        <v>2026-06</v>
      </c>
      <c r="C1971" s="3">
        <f t="shared" si="61"/>
        <v>12</v>
      </c>
      <c r="D1971" s="4">
        <v>26.824387813177779</v>
      </c>
      <c r="E1971" s="4">
        <v>27.506237104033332</v>
      </c>
      <c r="F1971" s="4">
        <v>26.873359807808331</v>
      </c>
      <c r="G1971" s="4">
        <v>27.2</v>
      </c>
      <c r="H1971" s="5">
        <v>35.050241807455564</v>
      </c>
      <c r="I1971" s="5">
        <v>34.830247396702781</v>
      </c>
      <c r="J1971" s="5">
        <v>46.042368004936122</v>
      </c>
      <c r="K1971" s="5">
        <v>30</v>
      </c>
    </row>
    <row r="1972" spans="1:11" x14ac:dyDescent="0.25">
      <c r="A1972" s="2">
        <v>46179.541666666657</v>
      </c>
      <c r="B1972" t="str">
        <f t="shared" si="60"/>
        <v>2026-06</v>
      </c>
      <c r="C1972" s="3">
        <f t="shared" si="61"/>
        <v>13</v>
      </c>
      <c r="D1972" s="4">
        <v>26.809394842352781</v>
      </c>
      <c r="E1972" s="4">
        <v>27.405144279477781</v>
      </c>
      <c r="F1972" s="4">
        <v>26.90971765649445</v>
      </c>
      <c r="G1972" s="4">
        <v>27.9</v>
      </c>
      <c r="H1972" s="5">
        <v>34.212927038736098</v>
      </c>
      <c r="I1972" s="5">
        <v>34.163709529966667</v>
      </c>
      <c r="J1972" s="5">
        <v>45.99144107247222</v>
      </c>
      <c r="K1972" s="5">
        <v>28</v>
      </c>
    </row>
    <row r="1973" spans="1:11" x14ac:dyDescent="0.25">
      <c r="A1973" s="2">
        <v>46179.583333333343</v>
      </c>
      <c r="B1973" t="str">
        <f t="shared" si="60"/>
        <v>2026-06</v>
      </c>
      <c r="C1973" s="3">
        <f t="shared" si="61"/>
        <v>14</v>
      </c>
      <c r="D1973" s="4">
        <v>26.761476748247219</v>
      </c>
      <c r="E1973" s="4">
        <v>27.272020806566669</v>
      </c>
      <c r="F1973" s="4">
        <v>26.92405863253056</v>
      </c>
      <c r="G1973" s="4">
        <v>28.4</v>
      </c>
      <c r="H1973" s="5">
        <v>34.81086688104444</v>
      </c>
      <c r="I1973" s="5">
        <v>34.526170748122219</v>
      </c>
      <c r="J1973" s="5">
        <v>46.053281430075003</v>
      </c>
      <c r="K1973" s="5">
        <v>28</v>
      </c>
    </row>
    <row r="1974" spans="1:11" x14ac:dyDescent="0.25">
      <c r="A1974" s="2">
        <v>46179.625</v>
      </c>
      <c r="B1974" t="str">
        <f t="shared" si="60"/>
        <v>2026-06</v>
      </c>
      <c r="C1974" s="3">
        <f t="shared" si="61"/>
        <v>15</v>
      </c>
      <c r="D1974" s="4">
        <v>26.560062741119442</v>
      </c>
      <c r="E1974" s="4">
        <v>27.045313340202771</v>
      </c>
      <c r="F1974" s="4">
        <v>26.924444695911109</v>
      </c>
      <c r="G1974" s="4">
        <v>28.7</v>
      </c>
      <c r="H1974" s="5">
        <v>34.680062537527782</v>
      </c>
      <c r="I1974" s="5">
        <v>34.260267917488903</v>
      </c>
      <c r="J1974" s="5">
        <v>45.925185529536122</v>
      </c>
      <c r="K1974" s="5">
        <v>27</v>
      </c>
    </row>
    <row r="1975" spans="1:11" x14ac:dyDescent="0.25">
      <c r="A1975" s="2">
        <v>46179.666666666657</v>
      </c>
      <c r="B1975" t="str">
        <f t="shared" si="60"/>
        <v>2026-06</v>
      </c>
      <c r="C1975" s="3">
        <f t="shared" si="61"/>
        <v>16</v>
      </c>
      <c r="D1975" s="4">
        <v>26.484602782044451</v>
      </c>
      <c r="E1975" s="4">
        <v>26.806969734905561</v>
      </c>
      <c r="F1975" s="4">
        <v>26.92355502194722</v>
      </c>
      <c r="G1975" s="4">
        <v>28.6</v>
      </c>
      <c r="H1975" s="5">
        <v>34.211962332855563</v>
      </c>
      <c r="I1975" s="5">
        <v>34.336369001216667</v>
      </c>
      <c r="J1975" s="5">
        <v>45.801907352147232</v>
      </c>
      <c r="K1975" s="5">
        <v>27</v>
      </c>
    </row>
    <row r="1976" spans="1:11" x14ac:dyDescent="0.25">
      <c r="A1976" s="2">
        <v>46179.708333333343</v>
      </c>
      <c r="B1976" t="str">
        <f t="shared" si="60"/>
        <v>2026-06</v>
      </c>
      <c r="C1976" s="3">
        <f t="shared" si="61"/>
        <v>17</v>
      </c>
      <c r="D1976" s="4">
        <v>26.515149959908332</v>
      </c>
      <c r="E1976" s="4">
        <v>26.77386090401944</v>
      </c>
      <c r="F1976" s="4">
        <v>26.93236115321389</v>
      </c>
      <c r="G1976" s="4">
        <v>28.4</v>
      </c>
      <c r="H1976" s="5">
        <v>35.369456610116657</v>
      </c>
      <c r="I1976" s="5">
        <v>35.356356333602783</v>
      </c>
      <c r="J1976" s="5">
        <v>45.680864143547218</v>
      </c>
      <c r="K1976" s="5">
        <v>28</v>
      </c>
    </row>
    <row r="1977" spans="1:11" x14ac:dyDescent="0.25">
      <c r="A1977" s="2">
        <v>46179.75</v>
      </c>
      <c r="B1977" t="str">
        <f t="shared" si="60"/>
        <v>2026-06</v>
      </c>
      <c r="C1977" s="3">
        <f t="shared" si="61"/>
        <v>18</v>
      </c>
      <c r="D1977" s="4">
        <v>26.498987835419442</v>
      </c>
      <c r="E1977" s="4">
        <v>26.88303712164722</v>
      </c>
      <c r="F1977" s="4">
        <v>27.001113725402771</v>
      </c>
      <c r="G1977" s="4">
        <v>28</v>
      </c>
      <c r="H1977" s="5">
        <v>37.863521512372223</v>
      </c>
      <c r="I1977" s="5">
        <v>37.493105821113893</v>
      </c>
      <c r="J1977" s="5">
        <v>45.839854741194443</v>
      </c>
      <c r="K1977" s="5">
        <v>28</v>
      </c>
    </row>
    <row r="1978" spans="1:11" x14ac:dyDescent="0.25">
      <c r="A1978" s="2">
        <v>46179.791666666657</v>
      </c>
      <c r="B1978" t="str">
        <f t="shared" si="60"/>
        <v>2026-06</v>
      </c>
      <c r="C1978" s="3">
        <f t="shared" si="61"/>
        <v>19</v>
      </c>
      <c r="D1978" s="4">
        <v>26.417211047930561</v>
      </c>
      <c r="E1978" s="4">
        <v>27.011198386661111</v>
      </c>
      <c r="F1978" s="4">
        <v>27.042113484102781</v>
      </c>
      <c r="G1978" s="4">
        <v>27</v>
      </c>
      <c r="H1978" s="5">
        <v>38.899704077519438</v>
      </c>
      <c r="I1978" s="5">
        <v>40.168213540344453</v>
      </c>
      <c r="J1978" s="5">
        <v>46.096953417955547</v>
      </c>
      <c r="K1978" s="5">
        <v>30</v>
      </c>
    </row>
    <row r="1979" spans="1:11" x14ac:dyDescent="0.25">
      <c r="A1979" s="2">
        <v>46179.833333333343</v>
      </c>
      <c r="B1979" t="str">
        <f t="shared" si="60"/>
        <v>2026-06</v>
      </c>
      <c r="C1979" s="3">
        <f t="shared" si="61"/>
        <v>20</v>
      </c>
      <c r="D1979" s="4">
        <v>26.21086493341112</v>
      </c>
      <c r="E1979" s="4">
        <v>26.883201084713889</v>
      </c>
      <c r="F1979" s="4">
        <v>27.045820907355559</v>
      </c>
      <c r="G1979" s="4">
        <v>26</v>
      </c>
      <c r="H1979" s="5">
        <v>40.212080853594443</v>
      </c>
      <c r="I1979" s="5">
        <v>41.616836980919437</v>
      </c>
      <c r="J1979" s="5">
        <v>46.583537712994449</v>
      </c>
      <c r="K1979" s="5">
        <v>32</v>
      </c>
    </row>
    <row r="1980" spans="1:11" x14ac:dyDescent="0.25">
      <c r="A1980" s="2">
        <v>46179.875</v>
      </c>
      <c r="B1980" t="str">
        <f t="shared" si="60"/>
        <v>2026-06</v>
      </c>
      <c r="C1980" s="3">
        <f t="shared" si="61"/>
        <v>21</v>
      </c>
      <c r="D1980" s="4">
        <v>26.036239764802779</v>
      </c>
      <c r="E1980" s="4">
        <v>26.82116548888056</v>
      </c>
      <c r="F1980" s="4">
        <v>26.835341351316671</v>
      </c>
      <c r="G1980" s="4">
        <v>24.9</v>
      </c>
      <c r="H1980" s="5">
        <v>41.322248266763893</v>
      </c>
      <c r="I1980" s="5">
        <v>43.036032077866672</v>
      </c>
      <c r="J1980" s="5">
        <v>50.816848651286108</v>
      </c>
      <c r="K1980" s="5">
        <v>39</v>
      </c>
    </row>
    <row r="1981" spans="1:11" x14ac:dyDescent="0.25">
      <c r="A1981" s="2">
        <v>46179.916666666657</v>
      </c>
      <c r="B1981" t="str">
        <f t="shared" si="60"/>
        <v>2026-06</v>
      </c>
      <c r="C1981" s="3">
        <f t="shared" si="61"/>
        <v>22</v>
      </c>
      <c r="D1981" s="4">
        <v>25.695838751283329</v>
      </c>
      <c r="E1981" s="4">
        <v>26.882978929788891</v>
      </c>
      <c r="F1981" s="4">
        <v>27.110480450119439</v>
      </c>
      <c r="G1981" s="4">
        <v>23.7</v>
      </c>
      <c r="H1981" s="5">
        <v>40.886951782669449</v>
      </c>
      <c r="I1981" s="5">
        <v>45.833803336527779</v>
      </c>
      <c r="J1981" s="5">
        <v>48.928060325805554</v>
      </c>
      <c r="K1981" s="5">
        <v>47</v>
      </c>
    </row>
    <row r="1982" spans="1:11" x14ac:dyDescent="0.25">
      <c r="A1982" s="2">
        <v>46179.958333333343</v>
      </c>
      <c r="B1982" t="str">
        <f t="shared" si="60"/>
        <v>2026-06</v>
      </c>
      <c r="C1982" s="3">
        <f t="shared" si="61"/>
        <v>23</v>
      </c>
      <c r="D1982" s="4">
        <v>25.545139839763891</v>
      </c>
      <c r="E1982" s="4">
        <v>26.99920660233056</v>
      </c>
      <c r="F1982" s="4">
        <v>27.452748224902781</v>
      </c>
      <c r="G1982" s="4">
        <v>22.9</v>
      </c>
      <c r="H1982" s="5">
        <v>42.370038432091668</v>
      </c>
      <c r="I1982" s="5">
        <v>48.947119714313892</v>
      </c>
      <c r="J1982" s="5">
        <v>48.722200761288889</v>
      </c>
      <c r="K1982" s="5">
        <v>52</v>
      </c>
    </row>
    <row r="1983" spans="1:11" x14ac:dyDescent="0.25">
      <c r="A1983" s="2">
        <v>46180</v>
      </c>
      <c r="B1983" t="str">
        <f t="shared" si="60"/>
        <v>2026-06</v>
      </c>
      <c r="C1983" s="3">
        <f t="shared" si="61"/>
        <v>0</v>
      </c>
      <c r="D1983" s="4">
        <v>25.318708303111109</v>
      </c>
      <c r="E1983" s="4">
        <v>27.02280800004722</v>
      </c>
      <c r="F1983" s="4">
        <v>27.622801500074999</v>
      </c>
      <c r="G1983" s="4">
        <v>22</v>
      </c>
      <c r="H1983" s="5">
        <v>42.715945530602767</v>
      </c>
      <c r="I1983" s="5">
        <v>48.48908830694166</v>
      </c>
      <c r="J1983" s="5">
        <v>48.205157665352779</v>
      </c>
      <c r="K1983" s="5">
        <v>54</v>
      </c>
    </row>
    <row r="1984" spans="1:11" x14ac:dyDescent="0.25">
      <c r="A1984" s="2">
        <v>46180.041666666657</v>
      </c>
      <c r="B1984" t="str">
        <f t="shared" si="60"/>
        <v>2026-06</v>
      </c>
      <c r="C1984" s="3">
        <f t="shared" si="61"/>
        <v>1</v>
      </c>
      <c r="D1984" s="4">
        <v>24.958701300175001</v>
      </c>
      <c r="E1984" s="4">
        <v>26.869523955605558</v>
      </c>
      <c r="F1984" s="4">
        <v>27.627571540086109</v>
      </c>
      <c r="G1984" s="4">
        <v>21</v>
      </c>
      <c r="H1984" s="5">
        <v>44.498347503205558</v>
      </c>
      <c r="I1984" s="5">
        <v>48.574589660061122</v>
      </c>
      <c r="J1984" s="5">
        <v>49.844875161780557</v>
      </c>
      <c r="K1984" s="5">
        <v>58</v>
      </c>
    </row>
    <row r="1985" spans="1:11" x14ac:dyDescent="0.25">
      <c r="A1985" s="2">
        <v>46180.083333333343</v>
      </c>
      <c r="B1985" t="str">
        <f t="shared" si="60"/>
        <v>2026-06</v>
      </c>
      <c r="C1985" s="3">
        <f t="shared" si="61"/>
        <v>2</v>
      </c>
      <c r="D1985" s="4">
        <v>24.317435952825001</v>
      </c>
      <c r="E1985" s="4">
        <v>26.53427854972778</v>
      </c>
      <c r="F1985" s="4">
        <v>27.47481483323056</v>
      </c>
      <c r="G1985" s="4">
        <v>19.899999999999999</v>
      </c>
      <c r="H1985" s="5">
        <v>47.421174984952792</v>
      </c>
      <c r="I1985" s="5">
        <v>48.532067433386111</v>
      </c>
      <c r="J1985" s="5">
        <v>50.15611880543333</v>
      </c>
      <c r="K1985" s="5">
        <v>62</v>
      </c>
    </row>
    <row r="1986" spans="1:11" x14ac:dyDescent="0.25">
      <c r="A1986" s="2">
        <v>46180.125</v>
      </c>
      <c r="B1986" t="str">
        <f t="shared" ref="B1986:B2049" si="62">TEXT(A1986,"yyyy-mm")</f>
        <v>2026-06</v>
      </c>
      <c r="C1986" s="3">
        <f t="shared" ref="C1986:C2049" si="63">HOUR(A1986)</f>
        <v>3</v>
      </c>
      <c r="D1986" s="4">
        <v>23.905511871522229</v>
      </c>
      <c r="E1986" s="4">
        <v>26.171180411872221</v>
      </c>
      <c r="F1986" s="4">
        <v>27.491302464416659</v>
      </c>
      <c r="G1986" s="4">
        <v>19.2</v>
      </c>
      <c r="H1986" s="5">
        <v>47.010437812844451</v>
      </c>
      <c r="I1986" s="5">
        <v>47.522579245588886</v>
      </c>
      <c r="J1986" s="5">
        <v>49.729289046538888</v>
      </c>
      <c r="K1986" s="5">
        <v>64</v>
      </c>
    </row>
    <row r="1987" spans="1:11" x14ac:dyDescent="0.25">
      <c r="A1987" s="2">
        <v>46180.166666666657</v>
      </c>
      <c r="B1987" t="str">
        <f t="shared" si="62"/>
        <v>2026-06</v>
      </c>
      <c r="C1987" s="3">
        <f t="shared" si="63"/>
        <v>4</v>
      </c>
      <c r="D1987" s="4">
        <v>23.621300698011112</v>
      </c>
      <c r="E1987" s="4">
        <v>26.08957685423611</v>
      </c>
      <c r="F1987" s="4">
        <v>27.511556899830559</v>
      </c>
      <c r="G1987" s="4">
        <v>18</v>
      </c>
      <c r="H1987" s="5">
        <v>45.459248143416673</v>
      </c>
      <c r="I1987" s="5">
        <v>45.710661905241672</v>
      </c>
      <c r="J1987" s="5">
        <v>49.365387353438877</v>
      </c>
      <c r="K1987" s="5">
        <v>70</v>
      </c>
    </row>
    <row r="1988" spans="1:11" x14ac:dyDescent="0.25">
      <c r="A1988" s="2">
        <v>46180.208333333343</v>
      </c>
      <c r="B1988" t="str">
        <f t="shared" si="62"/>
        <v>2026-06</v>
      </c>
      <c r="C1988" s="3">
        <f t="shared" si="63"/>
        <v>5</v>
      </c>
      <c r="D1988" s="4">
        <v>24.15706111301111</v>
      </c>
      <c r="E1988" s="4">
        <v>25.987912859872221</v>
      </c>
      <c r="F1988" s="4">
        <v>27.485090885075</v>
      </c>
      <c r="G1988" s="4">
        <v>17.5</v>
      </c>
      <c r="H1988" s="5">
        <v>44.834141773633327</v>
      </c>
      <c r="I1988" s="5">
        <v>45.022096673619437</v>
      </c>
      <c r="J1988" s="5">
        <v>48.925347019500002</v>
      </c>
      <c r="K1988" s="5">
        <v>73</v>
      </c>
    </row>
    <row r="1989" spans="1:11" x14ac:dyDescent="0.25">
      <c r="A1989" s="2">
        <v>46180.25</v>
      </c>
      <c r="B1989" t="str">
        <f t="shared" si="62"/>
        <v>2026-06</v>
      </c>
      <c r="C1989" s="3">
        <f t="shared" si="63"/>
        <v>6</v>
      </c>
      <c r="D1989" s="4">
        <v>25.306675930286112</v>
      </c>
      <c r="E1989" s="4">
        <v>26.220935547602771</v>
      </c>
      <c r="F1989" s="4">
        <v>27.40206312148889</v>
      </c>
      <c r="G1989" s="4">
        <v>18.399999999999999</v>
      </c>
      <c r="H1989" s="5">
        <v>45.056574215616671</v>
      </c>
      <c r="I1989" s="5">
        <v>44.915985969255559</v>
      </c>
      <c r="J1989" s="5">
        <v>48.712652870666673</v>
      </c>
      <c r="K1989" s="5">
        <v>70</v>
      </c>
    </row>
    <row r="1990" spans="1:11" x14ac:dyDescent="0.25">
      <c r="A1990" s="2">
        <v>46180.291666666657</v>
      </c>
      <c r="B1990" t="str">
        <f t="shared" si="62"/>
        <v>2026-06</v>
      </c>
      <c r="C1990" s="3">
        <f t="shared" si="63"/>
        <v>7</v>
      </c>
      <c r="D1990" s="4">
        <v>26.29660092774445</v>
      </c>
      <c r="E1990" s="4">
        <v>26.882714182819441</v>
      </c>
      <c r="F1990" s="4">
        <v>27.360061842372222</v>
      </c>
      <c r="G1990" s="4">
        <v>20</v>
      </c>
      <c r="H1990" s="5">
        <v>44.951003407827777</v>
      </c>
      <c r="I1990" s="5">
        <v>43.320248819469441</v>
      </c>
      <c r="J1990" s="5">
        <v>48.560644945336122</v>
      </c>
      <c r="K1990" s="5">
        <v>63</v>
      </c>
    </row>
    <row r="1991" spans="1:11" x14ac:dyDescent="0.25">
      <c r="A1991" s="2">
        <v>46180.333333333343</v>
      </c>
      <c r="B1991" t="str">
        <f t="shared" si="62"/>
        <v>2026-06</v>
      </c>
      <c r="C1991" s="3">
        <f t="shared" si="63"/>
        <v>8</v>
      </c>
      <c r="D1991" s="4">
        <v>27.198479747033328</v>
      </c>
      <c r="E1991" s="4">
        <v>27.315413281772219</v>
      </c>
      <c r="F1991" s="4">
        <v>27.365190072511108</v>
      </c>
      <c r="G1991" s="4">
        <v>22.3</v>
      </c>
      <c r="H1991" s="5">
        <v>42.952925963463883</v>
      </c>
      <c r="I1991" s="5">
        <v>42.275493996850003</v>
      </c>
      <c r="J1991" s="5">
        <v>48.242365501633337</v>
      </c>
      <c r="K1991" s="5">
        <v>53</v>
      </c>
    </row>
    <row r="1992" spans="1:11" x14ac:dyDescent="0.25">
      <c r="A1992" s="2">
        <v>46180.375</v>
      </c>
      <c r="B1992" t="str">
        <f t="shared" si="62"/>
        <v>2026-06</v>
      </c>
      <c r="C1992" s="3">
        <f t="shared" si="63"/>
        <v>9</v>
      </c>
      <c r="D1992" s="4">
        <v>28.071551260138889</v>
      </c>
      <c r="E1992" s="4">
        <v>27.989372772069441</v>
      </c>
      <c r="F1992" s="4">
        <v>27.4171650563</v>
      </c>
      <c r="G1992" s="4">
        <v>24.8</v>
      </c>
      <c r="H1992" s="5">
        <v>39.586276273988886</v>
      </c>
      <c r="I1992" s="5">
        <v>40.314684571472228</v>
      </c>
      <c r="J1992" s="5">
        <v>48.035276887919451</v>
      </c>
      <c r="K1992" s="5">
        <v>45</v>
      </c>
    </row>
    <row r="1993" spans="1:11" x14ac:dyDescent="0.25">
      <c r="A1993" s="2">
        <v>46180.416666666657</v>
      </c>
      <c r="B1993" t="str">
        <f t="shared" si="62"/>
        <v>2026-06</v>
      </c>
      <c r="C1993" s="3">
        <f t="shared" si="63"/>
        <v>10</v>
      </c>
      <c r="D1993" s="4">
        <v>27.559831830797229</v>
      </c>
      <c r="E1993" s="4">
        <v>28.005215190480559</v>
      </c>
      <c r="F1993" s="4">
        <v>27.538918942227781</v>
      </c>
      <c r="G1993" s="4">
        <v>26.4</v>
      </c>
      <c r="H1993" s="5">
        <v>38.128619476261107</v>
      </c>
      <c r="I1993" s="5">
        <v>37.691059019780553</v>
      </c>
      <c r="J1993" s="5">
        <v>47.880722597027777</v>
      </c>
      <c r="K1993" s="5">
        <v>39</v>
      </c>
    </row>
    <row r="1994" spans="1:11" x14ac:dyDescent="0.25">
      <c r="A1994" s="2">
        <v>46180.458333333343</v>
      </c>
      <c r="B1994" t="str">
        <f t="shared" si="62"/>
        <v>2026-06</v>
      </c>
      <c r="C1994" s="3">
        <f t="shared" si="63"/>
        <v>11</v>
      </c>
      <c r="D1994" s="4">
        <v>27.371543997894449</v>
      </c>
      <c r="E1994" s="4">
        <v>28.107923554399999</v>
      </c>
      <c r="F1994" s="4">
        <v>27.492712380183331</v>
      </c>
      <c r="G1994" s="4">
        <v>27.3</v>
      </c>
      <c r="H1994" s="5">
        <v>36.910614940080563</v>
      </c>
      <c r="I1994" s="5">
        <v>35.682423925866672</v>
      </c>
      <c r="J1994" s="5">
        <v>47.561683418772219</v>
      </c>
      <c r="K1994" s="5">
        <v>33</v>
      </c>
    </row>
    <row r="1995" spans="1:11" x14ac:dyDescent="0.25">
      <c r="A1995" s="2">
        <v>46180.5</v>
      </c>
      <c r="B1995" t="str">
        <f t="shared" si="62"/>
        <v>2026-06</v>
      </c>
      <c r="C1995" s="3">
        <f t="shared" si="63"/>
        <v>12</v>
      </c>
      <c r="D1995" s="4">
        <v>27.227741823150001</v>
      </c>
      <c r="E1995" s="4">
        <v>28.000685318877789</v>
      </c>
      <c r="F1995" s="4">
        <v>27.5699168264</v>
      </c>
      <c r="G1995" s="4">
        <v>28</v>
      </c>
      <c r="H1995" s="5">
        <v>37.315951138430563</v>
      </c>
      <c r="I1995" s="5">
        <v>37.158082999061108</v>
      </c>
      <c r="J1995" s="5">
        <v>47.670691917888888</v>
      </c>
      <c r="K1995" s="5">
        <v>33</v>
      </c>
    </row>
    <row r="1996" spans="1:11" x14ac:dyDescent="0.25">
      <c r="A1996" s="2">
        <v>46180.541666666657</v>
      </c>
      <c r="B1996" t="str">
        <f t="shared" si="62"/>
        <v>2026-06</v>
      </c>
      <c r="C1996" s="3">
        <f t="shared" si="63"/>
        <v>13</v>
      </c>
      <c r="D1996" s="4">
        <v>27.21854875745278</v>
      </c>
      <c r="E1996" s="4">
        <v>27.992288137972221</v>
      </c>
      <c r="F1996" s="4">
        <v>27.59271577170556</v>
      </c>
      <c r="G1996" s="4">
        <v>28.7</v>
      </c>
      <c r="H1996" s="5">
        <v>35.82810474748333</v>
      </c>
      <c r="I1996" s="5">
        <v>35.262136514272221</v>
      </c>
      <c r="J1996" s="5">
        <v>47.691612128897233</v>
      </c>
      <c r="K1996" s="5">
        <v>32</v>
      </c>
    </row>
    <row r="1997" spans="1:11" x14ac:dyDescent="0.25">
      <c r="A1997" s="2">
        <v>46180.583333333343</v>
      </c>
      <c r="B1997" t="str">
        <f t="shared" si="62"/>
        <v>2026-06</v>
      </c>
      <c r="C1997" s="3">
        <f t="shared" si="63"/>
        <v>14</v>
      </c>
      <c r="D1997" s="4">
        <v>27.36434194636389</v>
      </c>
      <c r="E1997" s="4">
        <v>28.01373276367778</v>
      </c>
      <c r="F1997" s="4">
        <v>27.52675512205278</v>
      </c>
      <c r="G1997" s="4">
        <v>28.9</v>
      </c>
      <c r="H1997" s="5">
        <v>34.691674469200002</v>
      </c>
      <c r="I1997" s="5">
        <v>34.463326690300001</v>
      </c>
      <c r="J1997" s="5">
        <v>46.721564548327777</v>
      </c>
      <c r="K1997" s="5">
        <v>32</v>
      </c>
    </row>
    <row r="1998" spans="1:11" x14ac:dyDescent="0.25">
      <c r="A1998" s="2">
        <v>46180.625</v>
      </c>
      <c r="B1998" t="str">
        <f t="shared" si="62"/>
        <v>2026-06</v>
      </c>
      <c r="C1998" s="3">
        <f t="shared" si="63"/>
        <v>15</v>
      </c>
      <c r="D1998" s="4">
        <v>27.308396780263891</v>
      </c>
      <c r="E1998" s="4">
        <v>27.745466814963891</v>
      </c>
      <c r="F1998" s="4">
        <v>27.703299232658331</v>
      </c>
      <c r="G1998" s="4">
        <v>29.5</v>
      </c>
      <c r="H1998" s="5">
        <v>33.173817567755563</v>
      </c>
      <c r="I1998" s="5">
        <v>34.080503344902773</v>
      </c>
      <c r="J1998" s="5">
        <v>46.31897215645278</v>
      </c>
      <c r="K1998" s="5">
        <v>30</v>
      </c>
    </row>
    <row r="1999" spans="1:11" x14ac:dyDescent="0.25">
      <c r="A1999" s="2">
        <v>46180.666666666657</v>
      </c>
      <c r="B1999" t="str">
        <f t="shared" si="62"/>
        <v>2026-06</v>
      </c>
      <c r="C1999" s="3">
        <f t="shared" si="63"/>
        <v>16</v>
      </c>
      <c r="D1999" s="4">
        <v>27.59687953248056</v>
      </c>
      <c r="E1999" s="4">
        <v>27.938280253961111</v>
      </c>
      <c r="F1999" s="4">
        <v>27.634971948583331</v>
      </c>
      <c r="G1999" s="4">
        <v>29.1</v>
      </c>
      <c r="H1999" s="5">
        <v>31.97688473428612</v>
      </c>
      <c r="I1999" s="5">
        <v>34.056278370866671</v>
      </c>
      <c r="J1999" s="5">
        <v>46.203182698969442</v>
      </c>
      <c r="K1999" s="5">
        <v>32</v>
      </c>
    </row>
    <row r="2000" spans="1:11" x14ac:dyDescent="0.25">
      <c r="A2000" s="2">
        <v>46180.708333333343</v>
      </c>
      <c r="B2000" t="str">
        <f t="shared" si="62"/>
        <v>2026-06</v>
      </c>
      <c r="C2000" s="3">
        <f t="shared" si="63"/>
        <v>17</v>
      </c>
      <c r="D2000" s="4">
        <v>27.561664183147229</v>
      </c>
      <c r="E2000" s="4">
        <v>28.065241923052781</v>
      </c>
      <c r="F2000" s="4">
        <v>27.58534703671944</v>
      </c>
      <c r="G2000" s="4">
        <v>27.2</v>
      </c>
      <c r="H2000" s="5">
        <v>31.748972109572229</v>
      </c>
      <c r="I2000" s="5">
        <v>33.447152791530563</v>
      </c>
      <c r="J2000" s="5">
        <v>46.278849808694453</v>
      </c>
      <c r="K2000" s="5">
        <v>39</v>
      </c>
    </row>
    <row r="2001" spans="1:11" x14ac:dyDescent="0.25">
      <c r="A2001" s="2">
        <v>46180.75</v>
      </c>
      <c r="B2001" t="str">
        <f t="shared" si="62"/>
        <v>2026-06</v>
      </c>
      <c r="C2001" s="3">
        <f t="shared" si="63"/>
        <v>18</v>
      </c>
      <c r="D2001" s="4">
        <v>27.330840561641661</v>
      </c>
      <c r="E2001" s="4">
        <v>28.209770192511112</v>
      </c>
      <c r="F2001" s="4">
        <v>27.733368103808331</v>
      </c>
      <c r="G2001" s="4">
        <v>27.2</v>
      </c>
      <c r="H2001" s="5">
        <v>32.802381899902777</v>
      </c>
      <c r="I2001" s="5">
        <v>33.628163613697232</v>
      </c>
      <c r="J2001" s="5">
        <v>45.738268444138889</v>
      </c>
      <c r="K2001" s="5">
        <v>37</v>
      </c>
    </row>
    <row r="2002" spans="1:11" x14ac:dyDescent="0.25">
      <c r="A2002" s="2">
        <v>46180.791666666657</v>
      </c>
      <c r="B2002" t="str">
        <f t="shared" si="62"/>
        <v>2026-06</v>
      </c>
      <c r="C2002" s="3">
        <f t="shared" si="63"/>
        <v>19</v>
      </c>
      <c r="D2002" s="4">
        <v>26.978009059158332</v>
      </c>
      <c r="E2002" s="4">
        <v>28.135563402105561</v>
      </c>
      <c r="F2002" s="4">
        <v>27.65880007489444</v>
      </c>
      <c r="G2002" s="4">
        <v>26.7</v>
      </c>
      <c r="H2002" s="5">
        <v>34.315387057313892</v>
      </c>
      <c r="I2002" s="5">
        <v>34.552047814963892</v>
      </c>
      <c r="J2002" s="5">
        <v>45.96006081905</v>
      </c>
      <c r="K2002" s="5">
        <v>38</v>
      </c>
    </row>
    <row r="2003" spans="1:11" x14ac:dyDescent="0.25">
      <c r="A2003" s="2">
        <v>46180.833333333343</v>
      </c>
      <c r="B2003" t="str">
        <f t="shared" si="62"/>
        <v>2026-06</v>
      </c>
      <c r="C2003" s="3">
        <f t="shared" si="63"/>
        <v>20</v>
      </c>
      <c r="D2003" s="4">
        <v>26.490236785130548</v>
      </c>
      <c r="E2003" s="4">
        <v>28.020826545555561</v>
      </c>
      <c r="F2003" s="4">
        <v>27.744426954541659</v>
      </c>
      <c r="G2003" s="4">
        <v>25.8</v>
      </c>
      <c r="H2003" s="5">
        <v>36.339604818272221</v>
      </c>
      <c r="I2003" s="5">
        <v>35.600656062655553</v>
      </c>
      <c r="J2003" s="5">
        <v>46.164835199427777</v>
      </c>
      <c r="K2003" s="5">
        <v>40</v>
      </c>
    </row>
    <row r="2004" spans="1:11" x14ac:dyDescent="0.25">
      <c r="A2004" s="2">
        <v>46180.875</v>
      </c>
      <c r="B2004" t="str">
        <f t="shared" si="62"/>
        <v>2026-06</v>
      </c>
      <c r="C2004" s="3">
        <f t="shared" si="63"/>
        <v>21</v>
      </c>
      <c r="D2004" s="4">
        <v>25.54336279281112</v>
      </c>
      <c r="E2004" s="4">
        <v>28.089978231797222</v>
      </c>
      <c r="F2004" s="4">
        <v>27.551314631388891</v>
      </c>
      <c r="G2004" s="4">
        <v>24.8</v>
      </c>
      <c r="H2004" s="5">
        <v>37.208318827311111</v>
      </c>
      <c r="I2004" s="5">
        <v>34.739505063236123</v>
      </c>
      <c r="J2004" s="5">
        <v>45.497170267630558</v>
      </c>
      <c r="K2004" s="5">
        <v>43</v>
      </c>
    </row>
    <row r="2005" spans="1:11" x14ac:dyDescent="0.25">
      <c r="A2005" s="2">
        <v>46180.916666666657</v>
      </c>
      <c r="B2005" t="str">
        <f t="shared" si="62"/>
        <v>2026-06</v>
      </c>
      <c r="C2005" s="3">
        <f t="shared" si="63"/>
        <v>22</v>
      </c>
      <c r="D2005" s="4">
        <v>25.178949468266669</v>
      </c>
      <c r="E2005" s="4">
        <v>28.030232177525001</v>
      </c>
      <c r="F2005" s="4">
        <v>27.417806474827771</v>
      </c>
      <c r="G2005" s="4">
        <v>23.6</v>
      </c>
      <c r="H2005" s="5">
        <v>37.664473824147223</v>
      </c>
      <c r="I2005" s="5">
        <v>34.724670137491671</v>
      </c>
      <c r="J2005" s="5">
        <v>45.086926587441667</v>
      </c>
      <c r="K2005" s="5">
        <v>47</v>
      </c>
    </row>
    <row r="2006" spans="1:11" x14ac:dyDescent="0.25">
      <c r="A2006" s="2">
        <v>46180.958333333343</v>
      </c>
      <c r="B2006" t="str">
        <f t="shared" si="62"/>
        <v>2026-06</v>
      </c>
      <c r="C2006" s="3">
        <f t="shared" si="63"/>
        <v>23</v>
      </c>
      <c r="D2006" s="4">
        <v>25.570728148711112</v>
      </c>
      <c r="E2006" s="4">
        <v>27.864351056972229</v>
      </c>
      <c r="F2006" s="4">
        <v>27.598287554358329</v>
      </c>
      <c r="G2006" s="4">
        <v>22.3</v>
      </c>
      <c r="H2006" s="5">
        <v>38.700436104650002</v>
      </c>
      <c r="I2006" s="5">
        <v>37.436948148619443</v>
      </c>
      <c r="J2006" s="5">
        <v>46.039490672491667</v>
      </c>
      <c r="K2006" s="5">
        <v>51</v>
      </c>
    </row>
    <row r="2007" spans="1:11" x14ac:dyDescent="0.25">
      <c r="A2007" s="2">
        <v>46181</v>
      </c>
      <c r="B2007" t="str">
        <f t="shared" si="62"/>
        <v>2026-06</v>
      </c>
      <c r="C2007" s="3">
        <f t="shared" si="63"/>
        <v>0</v>
      </c>
      <c r="D2007" s="4">
        <v>24.816798609172221</v>
      </c>
      <c r="E2007" s="4">
        <v>27.676876186844439</v>
      </c>
      <c r="F2007" s="4">
        <v>27.70534366327778</v>
      </c>
      <c r="G2007" s="4">
        <v>21.1</v>
      </c>
      <c r="H2007" s="5">
        <v>39.544421264802779</v>
      </c>
      <c r="I2007" s="5">
        <v>37.110905306366668</v>
      </c>
      <c r="J2007" s="5">
        <v>46.090583035077778</v>
      </c>
      <c r="K2007" s="5">
        <v>53</v>
      </c>
    </row>
    <row r="2008" spans="1:11" x14ac:dyDescent="0.25">
      <c r="A2008" s="2">
        <v>46181.041666666657</v>
      </c>
      <c r="B2008" t="str">
        <f t="shared" si="62"/>
        <v>2026-06</v>
      </c>
      <c r="C2008" s="3">
        <f t="shared" si="63"/>
        <v>1</v>
      </c>
      <c r="D2008" s="4">
        <v>24.06109331027778</v>
      </c>
      <c r="E2008" s="4">
        <v>26.970375046299999</v>
      </c>
      <c r="F2008" s="4">
        <v>27.636262930786121</v>
      </c>
      <c r="G2008" s="4">
        <v>20.3</v>
      </c>
      <c r="H2008" s="5">
        <v>39.144773525355554</v>
      </c>
      <c r="I2008" s="5">
        <v>36.709887779863891</v>
      </c>
      <c r="J2008" s="5">
        <v>46.069318021288893</v>
      </c>
      <c r="K2008" s="5">
        <v>52</v>
      </c>
    </row>
    <row r="2009" spans="1:11" x14ac:dyDescent="0.25">
      <c r="A2009" s="2">
        <v>46181.083333333343</v>
      </c>
      <c r="B2009" t="str">
        <f t="shared" si="62"/>
        <v>2026-06</v>
      </c>
      <c r="C2009" s="3">
        <f t="shared" si="63"/>
        <v>2</v>
      </c>
      <c r="D2009" s="4">
        <v>23.950224841669439</v>
      </c>
      <c r="E2009" s="4">
        <v>26.729458208061111</v>
      </c>
      <c r="F2009" s="4">
        <v>27.815385032327779</v>
      </c>
      <c r="G2009" s="4">
        <v>19.8</v>
      </c>
      <c r="H2009" s="5">
        <v>37.678265877266668</v>
      </c>
      <c r="I2009" s="5">
        <v>35.272637108169441</v>
      </c>
      <c r="J2009" s="5">
        <v>45.689770382336107</v>
      </c>
      <c r="K2009" s="5">
        <v>49</v>
      </c>
    </row>
    <row r="2010" spans="1:11" x14ac:dyDescent="0.25">
      <c r="A2010" s="2">
        <v>46181.125</v>
      </c>
      <c r="B2010" t="str">
        <f t="shared" si="62"/>
        <v>2026-06</v>
      </c>
      <c r="C2010" s="3">
        <f t="shared" si="63"/>
        <v>3</v>
      </c>
      <c r="D2010" s="4">
        <v>23.189653359502771</v>
      </c>
      <c r="E2010" s="4">
        <v>26.094987723963889</v>
      </c>
      <c r="F2010" s="4">
        <v>27.868122264458339</v>
      </c>
      <c r="G2010" s="4">
        <v>18.600000000000001</v>
      </c>
      <c r="H2010" s="5">
        <v>36.956062089133333</v>
      </c>
      <c r="I2010" s="5">
        <v>33.842412964722222</v>
      </c>
      <c r="J2010" s="5">
        <v>45.188413586644437</v>
      </c>
      <c r="K2010" s="5">
        <v>54</v>
      </c>
    </row>
    <row r="2011" spans="1:11" x14ac:dyDescent="0.25">
      <c r="A2011" s="2">
        <v>46181.166666666657</v>
      </c>
      <c r="B2011" t="str">
        <f t="shared" si="62"/>
        <v>2026-06</v>
      </c>
      <c r="C2011" s="3">
        <f t="shared" si="63"/>
        <v>4</v>
      </c>
      <c r="D2011" s="4">
        <v>22.72820395376111</v>
      </c>
      <c r="E2011" s="4">
        <v>25.85044090928611</v>
      </c>
      <c r="F2011" s="4">
        <v>27.938362891069449</v>
      </c>
      <c r="G2011" s="4">
        <v>17.8</v>
      </c>
      <c r="H2011" s="5">
        <v>35.388017404405559</v>
      </c>
      <c r="I2011" s="5">
        <v>32.233702455524998</v>
      </c>
      <c r="J2011" s="5">
        <v>44.417297299700003</v>
      </c>
      <c r="K2011" s="5">
        <v>56</v>
      </c>
    </row>
    <row r="2012" spans="1:11" x14ac:dyDescent="0.25">
      <c r="A2012" s="2">
        <v>46181.208333333343</v>
      </c>
      <c r="B2012" t="str">
        <f t="shared" si="62"/>
        <v>2026-06</v>
      </c>
      <c r="C2012" s="3">
        <f t="shared" si="63"/>
        <v>5</v>
      </c>
      <c r="D2012" s="4">
        <v>22.986477887380559</v>
      </c>
      <c r="E2012" s="4">
        <v>25.765353823244439</v>
      </c>
      <c r="F2012" s="4">
        <v>27.871003294666671</v>
      </c>
      <c r="G2012" s="4">
        <v>17.3</v>
      </c>
      <c r="H2012" s="5">
        <v>34.256466795097218</v>
      </c>
      <c r="I2012" s="5">
        <v>31.480609170866671</v>
      </c>
      <c r="J2012" s="5">
        <v>43.897122895483342</v>
      </c>
      <c r="K2012" s="5">
        <v>58</v>
      </c>
    </row>
    <row r="2013" spans="1:11" x14ac:dyDescent="0.25">
      <c r="A2013" s="2">
        <v>46181.25</v>
      </c>
      <c r="B2013" t="str">
        <f t="shared" si="62"/>
        <v>2026-06</v>
      </c>
      <c r="C2013" s="3">
        <f t="shared" si="63"/>
        <v>6</v>
      </c>
      <c r="D2013" s="4">
        <v>24.659161980563891</v>
      </c>
      <c r="E2013" s="4">
        <v>26.40915639226111</v>
      </c>
      <c r="F2013" s="4">
        <v>27.832225672316671</v>
      </c>
      <c r="G2013" s="4">
        <v>17.899999999999999</v>
      </c>
      <c r="H2013" s="5">
        <v>32.630733375283327</v>
      </c>
      <c r="I2013" s="5">
        <v>31.786752753091669</v>
      </c>
      <c r="J2013" s="5">
        <v>43.627374563080558</v>
      </c>
      <c r="K2013" s="5">
        <v>56</v>
      </c>
    </row>
    <row r="2014" spans="1:11" x14ac:dyDescent="0.25">
      <c r="A2014" s="2">
        <v>46181.291666666657</v>
      </c>
      <c r="B2014" t="str">
        <f t="shared" si="62"/>
        <v>2026-06</v>
      </c>
      <c r="C2014" s="3">
        <f t="shared" si="63"/>
        <v>7</v>
      </c>
      <c r="D2014" s="4">
        <v>26.144046025480559</v>
      </c>
      <c r="E2014" s="4">
        <v>26.958453716383332</v>
      </c>
      <c r="F2014" s="4">
        <v>27.80000147521945</v>
      </c>
      <c r="G2014" s="4">
        <v>19.399999999999999</v>
      </c>
      <c r="H2014" s="5">
        <v>31.25451961640556</v>
      </c>
      <c r="I2014" s="5">
        <v>31.64703174558889</v>
      </c>
      <c r="J2014" s="5">
        <v>43.540500086383332</v>
      </c>
      <c r="K2014" s="5">
        <v>50</v>
      </c>
    </row>
    <row r="2015" spans="1:11" x14ac:dyDescent="0.25">
      <c r="A2015" s="2">
        <v>46181.333333333343</v>
      </c>
      <c r="B2015" t="str">
        <f t="shared" si="62"/>
        <v>2026-06</v>
      </c>
      <c r="C2015" s="3">
        <f t="shared" si="63"/>
        <v>8</v>
      </c>
      <c r="D2015" s="4">
        <v>26.725888988880559</v>
      </c>
      <c r="E2015" s="4">
        <v>27.517141614469448</v>
      </c>
      <c r="F2015" s="4">
        <v>27.826273693166659</v>
      </c>
      <c r="G2015" s="4">
        <v>21.6</v>
      </c>
      <c r="H2015" s="5">
        <v>30.55854789012778</v>
      </c>
      <c r="I2015" s="5">
        <v>31.028615185100001</v>
      </c>
      <c r="J2015" s="5">
        <v>43.460879227183327</v>
      </c>
      <c r="K2015" s="5">
        <v>44</v>
      </c>
    </row>
    <row r="2016" spans="1:11" x14ac:dyDescent="0.25">
      <c r="A2016" s="2">
        <v>46181.375</v>
      </c>
      <c r="B2016" t="str">
        <f t="shared" si="62"/>
        <v>2026-06</v>
      </c>
      <c r="C2016" s="3">
        <f t="shared" si="63"/>
        <v>9</v>
      </c>
      <c r="D2016" s="4">
        <v>27.356768646836109</v>
      </c>
      <c r="E2016" s="4">
        <v>27.983484091197219</v>
      </c>
      <c r="F2016" s="4">
        <v>27.81652989715278</v>
      </c>
      <c r="G2016" s="4">
        <v>24.4</v>
      </c>
      <c r="H2016" s="5">
        <v>31.417887962649999</v>
      </c>
      <c r="I2016" s="5">
        <v>31.183295596122221</v>
      </c>
      <c r="J2016" s="5">
        <v>43.533589413316669</v>
      </c>
      <c r="K2016" s="5">
        <v>39</v>
      </c>
    </row>
    <row r="2017" spans="1:11" x14ac:dyDescent="0.25">
      <c r="A2017" s="2">
        <v>46181.416666666657</v>
      </c>
      <c r="B2017" t="str">
        <f t="shared" si="62"/>
        <v>2026-06</v>
      </c>
      <c r="C2017" s="3">
        <f t="shared" si="63"/>
        <v>10</v>
      </c>
      <c r="D2017" s="4">
        <v>27.611499583008332</v>
      </c>
      <c r="E2017" s="4">
        <v>28.461869107913891</v>
      </c>
      <c r="F2017" s="4">
        <v>27.810194259083332</v>
      </c>
      <c r="G2017" s="4">
        <v>26.1</v>
      </c>
      <c r="H2017" s="5">
        <v>30.34027249538056</v>
      </c>
      <c r="I2017" s="5">
        <v>30.427005567961121</v>
      </c>
      <c r="J2017" s="5">
        <v>43.592208698977778</v>
      </c>
      <c r="K2017" s="5">
        <v>38</v>
      </c>
    </row>
    <row r="2018" spans="1:11" x14ac:dyDescent="0.25">
      <c r="A2018" s="2">
        <v>46181.458333333343</v>
      </c>
      <c r="B2018" t="str">
        <f t="shared" si="62"/>
        <v>2026-06</v>
      </c>
      <c r="C2018" s="3">
        <f t="shared" si="63"/>
        <v>11</v>
      </c>
      <c r="D2018" s="4">
        <v>27.725371285830551</v>
      </c>
      <c r="E2018" s="4">
        <v>28.830757036072221</v>
      </c>
      <c r="F2018" s="4">
        <v>27.867409193602779</v>
      </c>
      <c r="G2018" s="4">
        <v>27.4</v>
      </c>
      <c r="H2018" s="5">
        <v>29.01301974615</v>
      </c>
      <c r="I2018" s="5">
        <v>31.409147417225</v>
      </c>
      <c r="J2018" s="5">
        <v>43.484323309397219</v>
      </c>
      <c r="K2018" s="5">
        <v>35</v>
      </c>
    </row>
    <row r="2019" spans="1:11" x14ac:dyDescent="0.25">
      <c r="A2019" s="2">
        <v>46181.5</v>
      </c>
      <c r="B2019" t="str">
        <f t="shared" si="62"/>
        <v>2026-06</v>
      </c>
      <c r="C2019" s="3">
        <f t="shared" si="63"/>
        <v>12</v>
      </c>
      <c r="D2019" s="4">
        <v>27.772483895491661</v>
      </c>
      <c r="E2019" s="4">
        <v>28.830312166386111</v>
      </c>
      <c r="F2019" s="4">
        <v>27.94963076991111</v>
      </c>
      <c r="G2019" s="4">
        <v>27.9</v>
      </c>
      <c r="H2019" s="5">
        <v>28.981913218824999</v>
      </c>
      <c r="I2019" s="5">
        <v>29.406919460258329</v>
      </c>
      <c r="J2019" s="5">
        <v>43.546368468441671</v>
      </c>
      <c r="K2019" s="5">
        <v>33</v>
      </c>
    </row>
    <row r="2020" spans="1:11" x14ac:dyDescent="0.25">
      <c r="A2020" s="2">
        <v>46181.541666666657</v>
      </c>
      <c r="B2020" t="str">
        <f t="shared" si="62"/>
        <v>2026-06</v>
      </c>
      <c r="C2020" s="3">
        <f t="shared" si="63"/>
        <v>13</v>
      </c>
      <c r="D2020" s="4">
        <v>27.697412340222218</v>
      </c>
      <c r="E2020" s="4">
        <v>28.58446606408333</v>
      </c>
      <c r="F2020" s="4">
        <v>28.01296791455</v>
      </c>
      <c r="G2020" s="4">
        <v>28.2</v>
      </c>
      <c r="H2020" s="5">
        <v>29.324815710438891</v>
      </c>
      <c r="I2020" s="5">
        <v>30.919770103513891</v>
      </c>
      <c r="J2020" s="5">
        <v>43.771050559288888</v>
      </c>
      <c r="K2020" s="5">
        <v>34</v>
      </c>
    </row>
    <row r="2021" spans="1:11" x14ac:dyDescent="0.25">
      <c r="A2021" s="2">
        <v>46181.583333333343</v>
      </c>
      <c r="B2021" t="str">
        <f t="shared" si="62"/>
        <v>2026-06</v>
      </c>
      <c r="C2021" s="3">
        <f t="shared" si="63"/>
        <v>14</v>
      </c>
      <c r="D2021" s="4">
        <v>25.75922585521111</v>
      </c>
      <c r="E2021" s="4">
        <v>27.710308069891671</v>
      </c>
      <c r="F2021" s="4">
        <v>27.97939332210278</v>
      </c>
      <c r="G2021" s="4">
        <v>24.9</v>
      </c>
      <c r="H2021" s="5">
        <v>32.47707252440555</v>
      </c>
      <c r="I2021" s="5">
        <v>31.462461554933341</v>
      </c>
      <c r="J2021" s="5">
        <v>43.105539384697217</v>
      </c>
      <c r="K2021" s="5">
        <v>49</v>
      </c>
    </row>
    <row r="2022" spans="1:11" x14ac:dyDescent="0.25">
      <c r="A2022" s="2">
        <v>46181.625</v>
      </c>
      <c r="B2022" t="str">
        <f t="shared" si="62"/>
        <v>2026-06</v>
      </c>
      <c r="C2022" s="3">
        <f t="shared" si="63"/>
        <v>15</v>
      </c>
      <c r="D2022" s="4">
        <v>26.787230464149999</v>
      </c>
      <c r="E2022" s="4">
        <v>28.068118283674998</v>
      </c>
      <c r="F2022" s="4">
        <v>27.984304856624998</v>
      </c>
      <c r="G2022" s="4">
        <v>27.9</v>
      </c>
      <c r="H2022" s="5">
        <v>40.342988183741667</v>
      </c>
      <c r="I2022" s="5">
        <v>36.939659257858331</v>
      </c>
      <c r="J2022" s="5">
        <v>43.395010184613888</v>
      </c>
      <c r="K2022" s="5">
        <v>35</v>
      </c>
    </row>
    <row r="2023" spans="1:11" x14ac:dyDescent="0.25">
      <c r="A2023" s="2">
        <v>46181.666666666657</v>
      </c>
      <c r="B2023" t="str">
        <f t="shared" si="62"/>
        <v>2026-06</v>
      </c>
      <c r="C2023" s="3">
        <f t="shared" si="63"/>
        <v>16</v>
      </c>
      <c r="D2023" s="4">
        <v>27.078506335638892</v>
      </c>
      <c r="E2023" s="4">
        <v>28.27849065561945</v>
      </c>
      <c r="F2023" s="4">
        <v>28.008442400330551</v>
      </c>
      <c r="G2023" s="4">
        <v>28.3</v>
      </c>
      <c r="H2023" s="5">
        <v>42.689301483686108</v>
      </c>
      <c r="I2023" s="5">
        <v>39.888142025675002</v>
      </c>
      <c r="J2023" s="5">
        <v>44.595425948577777</v>
      </c>
      <c r="K2023" s="5">
        <v>33</v>
      </c>
    </row>
    <row r="2024" spans="1:11" x14ac:dyDescent="0.25">
      <c r="A2024" s="2">
        <v>46181.708333333343</v>
      </c>
      <c r="B2024" t="str">
        <f t="shared" si="62"/>
        <v>2026-06</v>
      </c>
      <c r="C2024" s="3">
        <f t="shared" si="63"/>
        <v>17</v>
      </c>
      <c r="D2024" s="4">
        <v>27.210064991025</v>
      </c>
      <c r="E2024" s="4">
        <v>28.449627763397221</v>
      </c>
      <c r="F2024" s="4">
        <v>28.009973468591671</v>
      </c>
      <c r="G2024" s="4">
        <v>28.1</v>
      </c>
      <c r="H2024" s="5">
        <v>45.880781296044439</v>
      </c>
      <c r="I2024" s="5">
        <v>43.748717002863891</v>
      </c>
      <c r="J2024" s="5">
        <v>45.028868800066668</v>
      </c>
      <c r="K2024" s="5">
        <v>33</v>
      </c>
    </row>
    <row r="2025" spans="1:11" x14ac:dyDescent="0.25">
      <c r="A2025" s="2">
        <v>46181.75</v>
      </c>
      <c r="B2025" t="str">
        <f t="shared" si="62"/>
        <v>2026-06</v>
      </c>
      <c r="C2025" s="3">
        <f t="shared" si="63"/>
        <v>18</v>
      </c>
      <c r="D2025" s="4">
        <v>26.245118563811111</v>
      </c>
      <c r="E2025" s="4">
        <v>28.17414210925833</v>
      </c>
      <c r="F2025" s="4">
        <v>27.99386626582778</v>
      </c>
      <c r="G2025" s="4">
        <v>26.2</v>
      </c>
      <c r="H2025" s="5">
        <v>40.674213534674998</v>
      </c>
      <c r="I2025" s="5">
        <v>40.826117553522216</v>
      </c>
      <c r="J2025" s="5">
        <v>44.917944131636112</v>
      </c>
      <c r="K2025" s="5">
        <v>43</v>
      </c>
    </row>
    <row r="2026" spans="1:11" x14ac:dyDescent="0.25">
      <c r="A2026" s="2">
        <v>46181.791666666657</v>
      </c>
      <c r="B2026" t="str">
        <f t="shared" si="62"/>
        <v>2026-06</v>
      </c>
      <c r="C2026" s="3">
        <f t="shared" si="63"/>
        <v>19</v>
      </c>
      <c r="D2026" s="4">
        <v>25.65106553641667</v>
      </c>
      <c r="E2026" s="4">
        <v>27.923379231394449</v>
      </c>
      <c r="F2026" s="4">
        <v>27.947974368924999</v>
      </c>
      <c r="G2026" s="4">
        <v>25.3</v>
      </c>
      <c r="H2026" s="5">
        <v>40.611703560400002</v>
      </c>
      <c r="I2026" s="5">
        <v>39.374907700580557</v>
      </c>
      <c r="J2026" s="5">
        <v>44.834782596658343</v>
      </c>
      <c r="K2026" s="5">
        <v>47</v>
      </c>
    </row>
    <row r="2027" spans="1:11" x14ac:dyDescent="0.25">
      <c r="A2027" s="2">
        <v>46181.833333333343</v>
      </c>
      <c r="B2027" t="str">
        <f t="shared" si="62"/>
        <v>2026-06</v>
      </c>
      <c r="C2027" s="3">
        <f t="shared" si="63"/>
        <v>20</v>
      </c>
      <c r="D2027" s="4">
        <v>26.826757844888888</v>
      </c>
      <c r="E2027" s="4">
        <v>28.18405157139722</v>
      </c>
      <c r="F2027" s="4">
        <v>28.301990356219449</v>
      </c>
      <c r="G2027" s="4">
        <v>24.1</v>
      </c>
      <c r="H2027" s="5">
        <v>44.301858432619447</v>
      </c>
      <c r="I2027" s="5">
        <v>42.407258288116672</v>
      </c>
      <c r="J2027" s="5">
        <v>44.508339292897233</v>
      </c>
      <c r="K2027" s="5">
        <v>55</v>
      </c>
    </row>
    <row r="2028" spans="1:11" x14ac:dyDescent="0.25">
      <c r="A2028" s="2">
        <v>46181.875</v>
      </c>
      <c r="B2028" t="str">
        <f t="shared" si="62"/>
        <v>2026-06</v>
      </c>
      <c r="C2028" s="3">
        <f t="shared" si="63"/>
        <v>21</v>
      </c>
      <c r="D2028" s="4">
        <v>26.44737023864722</v>
      </c>
      <c r="E2028" s="4">
        <v>27.90030354492778</v>
      </c>
      <c r="F2028" s="4">
        <v>28.358161918758331</v>
      </c>
      <c r="G2028" s="4">
        <v>22.5</v>
      </c>
      <c r="H2028" s="5">
        <v>42.302363772966672</v>
      </c>
      <c r="I2028" s="5">
        <v>43.108853985791683</v>
      </c>
      <c r="J2028" s="5">
        <v>44.59441016525556</v>
      </c>
      <c r="K2028" s="5">
        <v>62</v>
      </c>
    </row>
    <row r="2029" spans="1:11" x14ac:dyDescent="0.25">
      <c r="A2029" s="2">
        <v>46181.916666666657</v>
      </c>
      <c r="B2029" t="str">
        <f t="shared" si="62"/>
        <v>2026-06</v>
      </c>
      <c r="C2029" s="3">
        <f t="shared" si="63"/>
        <v>22</v>
      </c>
      <c r="D2029" s="4">
        <v>25.537252152763891</v>
      </c>
      <c r="E2029" s="4">
        <v>27.959308551802781</v>
      </c>
      <c r="F2029" s="4">
        <v>28.416151703716661</v>
      </c>
      <c r="G2029" s="4">
        <v>21.4</v>
      </c>
      <c r="H2029" s="5">
        <v>45.354764237955557</v>
      </c>
      <c r="I2029" s="5">
        <v>42.611335766288889</v>
      </c>
      <c r="J2029" s="5">
        <v>45.544916406302782</v>
      </c>
      <c r="K2029" s="5">
        <v>66</v>
      </c>
    </row>
    <row r="2030" spans="1:11" x14ac:dyDescent="0.25">
      <c r="A2030" s="2">
        <v>46181.958333333343</v>
      </c>
      <c r="B2030" t="str">
        <f t="shared" si="62"/>
        <v>2026-06</v>
      </c>
      <c r="C2030" s="3">
        <f t="shared" si="63"/>
        <v>23</v>
      </c>
      <c r="D2030" s="4">
        <v>25.250634003636112</v>
      </c>
      <c r="E2030" s="4">
        <v>27.952013536888892</v>
      </c>
      <c r="F2030" s="4">
        <v>27.868282296622219</v>
      </c>
      <c r="G2030" s="4">
        <v>20.7</v>
      </c>
      <c r="H2030" s="5">
        <v>45.583556237211113</v>
      </c>
      <c r="I2030" s="5">
        <v>42.093359980197221</v>
      </c>
      <c r="J2030" s="5">
        <v>50.330537982480557</v>
      </c>
      <c r="K2030" s="5">
        <v>69</v>
      </c>
    </row>
    <row r="2031" spans="1:11" x14ac:dyDescent="0.25">
      <c r="A2031" s="2">
        <v>46182</v>
      </c>
      <c r="B2031" t="str">
        <f t="shared" si="62"/>
        <v>2026-06</v>
      </c>
      <c r="C2031" s="3">
        <f t="shared" si="63"/>
        <v>0</v>
      </c>
      <c r="D2031" s="4">
        <v>24.81020919454167</v>
      </c>
      <c r="E2031" s="4">
        <v>27.451561620974999</v>
      </c>
      <c r="F2031" s="4">
        <v>28.272645605911091</v>
      </c>
      <c r="G2031" s="4">
        <v>20</v>
      </c>
      <c r="H2031" s="5">
        <v>46.894165781922233</v>
      </c>
      <c r="I2031" s="5">
        <v>43.071617483197222</v>
      </c>
      <c r="J2031" s="5">
        <v>48.439694165892291</v>
      </c>
      <c r="K2031" s="5">
        <v>71</v>
      </c>
    </row>
    <row r="2032" spans="1:11" x14ac:dyDescent="0.25">
      <c r="A2032" s="2">
        <v>46182.041666666657</v>
      </c>
      <c r="B2032" t="str">
        <f t="shared" si="62"/>
        <v>2026-06</v>
      </c>
      <c r="C2032" s="3">
        <f t="shared" si="63"/>
        <v>1</v>
      </c>
      <c r="D2032" s="4">
        <v>24.393426493105551</v>
      </c>
      <c r="E2032" s="4">
        <v>27.010579995705559</v>
      </c>
      <c r="F2032" s="4">
        <v>28.6501510843303</v>
      </c>
      <c r="G2032" s="4">
        <v>19.100000000000001</v>
      </c>
      <c r="H2032" s="5">
        <v>47.593960631880563</v>
      </c>
      <c r="I2032" s="5">
        <v>42.91496755800555</v>
      </c>
      <c r="J2032" s="5">
        <v>48.316230022782023</v>
      </c>
      <c r="K2032" s="5">
        <v>75</v>
      </c>
    </row>
    <row r="2033" spans="1:11" x14ac:dyDescent="0.25">
      <c r="A2033" s="2">
        <v>46182.083333333343</v>
      </c>
      <c r="B2033" t="str">
        <f t="shared" si="62"/>
        <v>2026-06</v>
      </c>
      <c r="C2033" s="3">
        <f t="shared" si="63"/>
        <v>2</v>
      </c>
      <c r="D2033" s="4">
        <v>24.06470646544722</v>
      </c>
      <c r="E2033" s="4">
        <v>26.72990143828056</v>
      </c>
      <c r="F2033" s="4">
        <v>28.355802732230678</v>
      </c>
      <c r="G2033" s="4">
        <v>18.3</v>
      </c>
      <c r="H2033" s="5">
        <v>47.946041477919437</v>
      </c>
      <c r="I2033" s="5">
        <v>42.58064131566389</v>
      </c>
      <c r="J2033" s="5">
        <v>47.344292360770908</v>
      </c>
      <c r="K2033" s="5">
        <v>79</v>
      </c>
    </row>
    <row r="2034" spans="1:11" x14ac:dyDescent="0.25">
      <c r="A2034" s="2">
        <v>46182.125</v>
      </c>
      <c r="B2034" t="str">
        <f t="shared" si="62"/>
        <v>2026-06</v>
      </c>
      <c r="C2034" s="3">
        <f t="shared" si="63"/>
        <v>3</v>
      </c>
      <c r="D2034" s="4">
        <v>23.777873545472222</v>
      </c>
      <c r="E2034" s="4">
        <v>26.53169859796111</v>
      </c>
      <c r="F2034" s="4">
        <v>28.063806079266669</v>
      </c>
      <c r="G2034" s="4">
        <v>17.100000000000001</v>
      </c>
      <c r="H2034" s="5">
        <v>48.298121192577781</v>
      </c>
      <c r="I2034" s="5">
        <v>42.437478996811109</v>
      </c>
      <c r="J2034" s="5">
        <v>47.531038463808343</v>
      </c>
      <c r="K2034" s="5">
        <v>90</v>
      </c>
    </row>
    <row r="2035" spans="1:11" x14ac:dyDescent="0.25">
      <c r="A2035" s="2">
        <v>46182.166666666657</v>
      </c>
      <c r="B2035" t="str">
        <f t="shared" si="62"/>
        <v>2026-06</v>
      </c>
      <c r="C2035" s="3">
        <f t="shared" si="63"/>
        <v>4</v>
      </c>
      <c r="D2035" s="4">
        <v>23.783488014083328</v>
      </c>
      <c r="E2035" s="4">
        <v>26.44017740603611</v>
      </c>
      <c r="F2035" s="4">
        <v>27.995377174958328</v>
      </c>
      <c r="G2035" s="4">
        <v>16.2</v>
      </c>
      <c r="H2035" s="5">
        <v>48.203233919644447</v>
      </c>
      <c r="I2035" s="5">
        <v>42.315921153088887</v>
      </c>
      <c r="J2035" s="5">
        <v>47.382126039322223</v>
      </c>
      <c r="K2035" s="5">
        <v>93</v>
      </c>
    </row>
    <row r="2036" spans="1:11" x14ac:dyDescent="0.25">
      <c r="A2036" s="2">
        <v>46182.208333333343</v>
      </c>
      <c r="B2036" t="str">
        <f t="shared" si="62"/>
        <v>2026-06</v>
      </c>
      <c r="C2036" s="3">
        <f t="shared" si="63"/>
        <v>5</v>
      </c>
      <c r="D2036" s="4">
        <v>24.112488952680561</v>
      </c>
      <c r="E2036" s="4">
        <v>26.485461863538891</v>
      </c>
      <c r="F2036" s="4">
        <v>27.819036015061108</v>
      </c>
      <c r="G2036" s="4">
        <v>15.9</v>
      </c>
      <c r="H2036" s="5">
        <v>47.310648093363888</v>
      </c>
      <c r="I2036" s="5">
        <v>42.233689113697217</v>
      </c>
      <c r="J2036" s="5">
        <v>47.535273777922221</v>
      </c>
      <c r="K2036" s="5">
        <v>93</v>
      </c>
    </row>
    <row r="2037" spans="1:11" x14ac:dyDescent="0.25">
      <c r="A2037" s="2">
        <v>46182.25</v>
      </c>
      <c r="B2037" t="str">
        <f t="shared" si="62"/>
        <v>2026-06</v>
      </c>
      <c r="C2037" s="3">
        <f t="shared" si="63"/>
        <v>6</v>
      </c>
      <c r="D2037" s="4">
        <v>25.317761251855561</v>
      </c>
      <c r="E2037" s="4">
        <v>26.826386933072229</v>
      </c>
      <c r="F2037" s="4">
        <v>27.846105282791669</v>
      </c>
      <c r="G2037" s="4">
        <v>16.7</v>
      </c>
      <c r="H2037" s="5">
        <v>44.495754725799998</v>
      </c>
      <c r="I2037" s="5">
        <v>42.125915418977783</v>
      </c>
      <c r="J2037" s="5">
        <v>47.400906754136109</v>
      </c>
      <c r="K2037" s="5">
        <v>88</v>
      </c>
    </row>
    <row r="2038" spans="1:11" x14ac:dyDescent="0.25">
      <c r="A2038" s="2">
        <v>46182.291666666657</v>
      </c>
      <c r="B2038" t="str">
        <f t="shared" si="62"/>
        <v>2026-06</v>
      </c>
      <c r="C2038" s="3">
        <f t="shared" si="63"/>
        <v>7</v>
      </c>
      <c r="D2038" s="4">
        <v>26.369769595872221</v>
      </c>
      <c r="E2038" s="4">
        <v>27.339231642444449</v>
      </c>
      <c r="F2038" s="4">
        <v>27.939564442788889</v>
      </c>
      <c r="G2038" s="4">
        <v>18.399999999999999</v>
      </c>
      <c r="H2038" s="5">
        <v>43.247937470274998</v>
      </c>
      <c r="I2038" s="5">
        <v>41.855937631877779</v>
      </c>
      <c r="J2038" s="5">
        <v>47.172728987544453</v>
      </c>
      <c r="K2038" s="5">
        <v>79</v>
      </c>
    </row>
    <row r="2039" spans="1:11" x14ac:dyDescent="0.25">
      <c r="A2039" s="2">
        <v>46182.333333333343</v>
      </c>
      <c r="B2039" t="str">
        <f t="shared" si="62"/>
        <v>2026-06</v>
      </c>
      <c r="C2039" s="3">
        <f t="shared" si="63"/>
        <v>8</v>
      </c>
      <c r="D2039" s="4">
        <v>27.212900302441671</v>
      </c>
      <c r="E2039" s="4">
        <v>27.646712118469441</v>
      </c>
      <c r="F2039" s="4">
        <v>28.056713044994449</v>
      </c>
      <c r="G2039" s="4">
        <v>20.399999999999999</v>
      </c>
      <c r="H2039" s="5">
        <v>42.964591222566668</v>
      </c>
      <c r="I2039" s="5">
        <v>42.513306486391663</v>
      </c>
      <c r="J2039" s="5">
        <v>46.929729635461108</v>
      </c>
      <c r="K2039" s="5">
        <v>69</v>
      </c>
    </row>
    <row r="2040" spans="1:11" x14ac:dyDescent="0.25">
      <c r="A2040" s="2">
        <v>46182.375</v>
      </c>
      <c r="B2040" t="str">
        <f t="shared" si="62"/>
        <v>2026-06</v>
      </c>
      <c r="C2040" s="3">
        <f t="shared" si="63"/>
        <v>9</v>
      </c>
      <c r="D2040" s="4">
        <v>27.697576563761121</v>
      </c>
      <c r="E2040" s="4">
        <v>28.130084073005548</v>
      </c>
      <c r="F2040" s="4">
        <v>28.08654533046111</v>
      </c>
      <c r="G2040" s="4">
        <v>22.7</v>
      </c>
      <c r="H2040" s="5">
        <v>43.291286222797233</v>
      </c>
      <c r="I2040" s="5">
        <v>42.540634364897222</v>
      </c>
      <c r="J2040" s="5">
        <v>46.98242186346112</v>
      </c>
      <c r="K2040" s="5">
        <v>60</v>
      </c>
    </row>
    <row r="2041" spans="1:11" x14ac:dyDescent="0.25">
      <c r="A2041" s="2">
        <v>46182.416666666657</v>
      </c>
      <c r="B2041" t="str">
        <f t="shared" si="62"/>
        <v>2026-06</v>
      </c>
      <c r="C2041" s="3">
        <f t="shared" si="63"/>
        <v>10</v>
      </c>
      <c r="D2041" s="4">
        <v>27.833764432677778</v>
      </c>
      <c r="E2041" s="4">
        <v>28.340338072944441</v>
      </c>
      <c r="F2041" s="4">
        <v>27.954585584191669</v>
      </c>
      <c r="G2041" s="4">
        <v>23.9</v>
      </c>
      <c r="H2041" s="5">
        <v>43.090940614633332</v>
      </c>
      <c r="I2041" s="5">
        <v>42.037694435922234</v>
      </c>
      <c r="J2041" s="5">
        <v>47.342598911219447</v>
      </c>
      <c r="K2041" s="5">
        <v>56</v>
      </c>
    </row>
    <row r="2042" spans="1:11" x14ac:dyDescent="0.25">
      <c r="A2042" s="2">
        <v>46182.458333333343</v>
      </c>
      <c r="B2042" t="str">
        <f t="shared" si="62"/>
        <v>2026-06</v>
      </c>
      <c r="C2042" s="3">
        <f t="shared" si="63"/>
        <v>11</v>
      </c>
      <c r="D2042" s="4">
        <v>27.921494373877781</v>
      </c>
      <c r="E2042" s="4">
        <v>28.636495999491672</v>
      </c>
      <c r="F2042" s="4">
        <v>27.976163964655559</v>
      </c>
      <c r="G2042" s="4">
        <v>24.8</v>
      </c>
      <c r="H2042" s="5">
        <v>43.256184566741673</v>
      </c>
      <c r="I2042" s="5">
        <v>44.47526356858333</v>
      </c>
      <c r="J2042" s="5">
        <v>47.454690776855557</v>
      </c>
      <c r="K2042" s="5">
        <v>54</v>
      </c>
    </row>
    <row r="2043" spans="1:11" x14ac:dyDescent="0.25">
      <c r="A2043" s="2">
        <v>46182.5</v>
      </c>
      <c r="B2043" t="str">
        <f t="shared" si="62"/>
        <v>2026-06</v>
      </c>
      <c r="C2043" s="3">
        <f t="shared" si="63"/>
        <v>12</v>
      </c>
      <c r="D2043" s="4">
        <v>27.79860733698056</v>
      </c>
      <c r="E2043" s="4">
        <v>28.831889506997221</v>
      </c>
      <c r="F2043" s="4">
        <v>27.992639005099999</v>
      </c>
      <c r="G2043" s="4">
        <v>25.5</v>
      </c>
      <c r="H2043" s="5">
        <v>42.678953747130556</v>
      </c>
      <c r="I2043" s="5">
        <v>43.067643528372223</v>
      </c>
      <c r="J2043" s="5">
        <v>47.344458912505559</v>
      </c>
      <c r="K2043" s="5">
        <v>50</v>
      </c>
    </row>
    <row r="2044" spans="1:11" x14ac:dyDescent="0.25">
      <c r="A2044" s="2">
        <v>46182.541666666657</v>
      </c>
      <c r="B2044" t="str">
        <f t="shared" si="62"/>
        <v>2026-06</v>
      </c>
      <c r="C2044" s="3">
        <f t="shared" si="63"/>
        <v>13</v>
      </c>
      <c r="D2044" s="4">
        <v>27.751929731091671</v>
      </c>
      <c r="E2044" s="4">
        <v>28.7523062213</v>
      </c>
      <c r="F2044" s="4">
        <v>28.012940982844441</v>
      </c>
      <c r="G2044" s="4">
        <v>26.2</v>
      </c>
      <c r="H2044" s="5">
        <v>42.784233313955554</v>
      </c>
      <c r="I2044" s="5">
        <v>42.332067187983327</v>
      </c>
      <c r="J2044" s="5">
        <v>47.471876394602781</v>
      </c>
      <c r="K2044" s="5">
        <v>48</v>
      </c>
    </row>
    <row r="2045" spans="1:11" x14ac:dyDescent="0.25">
      <c r="A2045" s="2">
        <v>46182.583333333343</v>
      </c>
      <c r="B2045" t="str">
        <f t="shared" si="62"/>
        <v>2026-06</v>
      </c>
      <c r="C2045" s="3">
        <f t="shared" si="63"/>
        <v>14</v>
      </c>
      <c r="D2045" s="4">
        <v>27.72772214282778</v>
      </c>
      <c r="E2045" s="4">
        <v>28.76905896128611</v>
      </c>
      <c r="F2045" s="4">
        <v>28.061637963399999</v>
      </c>
      <c r="G2045" s="4">
        <v>26.6</v>
      </c>
      <c r="H2045" s="5">
        <v>42.776266692783338</v>
      </c>
      <c r="I2045" s="5">
        <v>43.632092919641671</v>
      </c>
      <c r="J2045" s="5">
        <v>47.942329928375003</v>
      </c>
      <c r="K2045" s="5">
        <v>45</v>
      </c>
    </row>
    <row r="2046" spans="1:11" x14ac:dyDescent="0.25">
      <c r="A2046" s="2">
        <v>46182.625</v>
      </c>
      <c r="B2046" t="str">
        <f t="shared" si="62"/>
        <v>2026-06</v>
      </c>
      <c r="C2046" s="3">
        <f t="shared" si="63"/>
        <v>15</v>
      </c>
      <c r="D2046" s="4">
        <v>27.816676793897219</v>
      </c>
      <c r="E2046" s="4">
        <v>28.52557009598889</v>
      </c>
      <c r="F2046" s="4">
        <v>28.072165924324999</v>
      </c>
      <c r="G2046" s="4">
        <v>26.8</v>
      </c>
      <c r="H2046" s="5">
        <v>38.86119286508611</v>
      </c>
      <c r="I2046" s="5">
        <v>41.546063285863887</v>
      </c>
      <c r="J2046" s="5">
        <v>47.603212516011112</v>
      </c>
      <c r="K2046" s="5">
        <v>43</v>
      </c>
    </row>
    <row r="2047" spans="1:11" x14ac:dyDescent="0.25">
      <c r="A2047" s="2">
        <v>46182.666666666657</v>
      </c>
      <c r="B2047" t="str">
        <f t="shared" si="62"/>
        <v>2026-06</v>
      </c>
      <c r="C2047" s="3">
        <f t="shared" si="63"/>
        <v>16</v>
      </c>
      <c r="D2047" s="4">
        <v>27.916952830202771</v>
      </c>
      <c r="E2047" s="4">
        <v>28.467078482358328</v>
      </c>
      <c r="F2047" s="4">
        <v>28.08380369620556</v>
      </c>
      <c r="G2047" s="4">
        <v>26.9</v>
      </c>
      <c r="H2047" s="5">
        <v>36.780203620730553</v>
      </c>
      <c r="I2047" s="5">
        <v>39.233731197497221</v>
      </c>
      <c r="J2047" s="5">
        <v>47.417490221786103</v>
      </c>
      <c r="K2047" s="5">
        <v>41</v>
      </c>
    </row>
    <row r="2048" spans="1:11" x14ac:dyDescent="0.25">
      <c r="A2048" s="2">
        <v>46182.708333333343</v>
      </c>
      <c r="B2048" t="str">
        <f t="shared" si="62"/>
        <v>2026-06</v>
      </c>
      <c r="C2048" s="3">
        <f t="shared" si="63"/>
        <v>17</v>
      </c>
      <c r="D2048" s="4">
        <v>27.76229660016666</v>
      </c>
      <c r="E2048" s="4">
        <v>28.554292299011109</v>
      </c>
      <c r="F2048" s="4">
        <v>28.50451248552222</v>
      </c>
      <c r="G2048" s="4">
        <v>26.5</v>
      </c>
      <c r="H2048" s="5">
        <v>35.894935547469437</v>
      </c>
      <c r="I2048" s="5">
        <v>37.978503900716667</v>
      </c>
      <c r="J2048" s="5">
        <v>46.55379628351389</v>
      </c>
      <c r="K2048" s="5">
        <v>42</v>
      </c>
    </row>
    <row r="2049" spans="1:11" x14ac:dyDescent="0.25">
      <c r="A2049" s="2">
        <v>46182.75</v>
      </c>
      <c r="B2049" t="str">
        <f t="shared" si="62"/>
        <v>2026-06</v>
      </c>
      <c r="C2049" s="3">
        <f t="shared" si="63"/>
        <v>18</v>
      </c>
      <c r="D2049" s="4">
        <v>27.496434115283339</v>
      </c>
      <c r="E2049" s="4">
        <v>28.708910522850001</v>
      </c>
      <c r="F2049" s="4"/>
      <c r="G2049" s="4">
        <v>25.9</v>
      </c>
      <c r="H2049" s="5">
        <v>36.341909171050013</v>
      </c>
      <c r="I2049" s="5">
        <v>38.792241185599991</v>
      </c>
      <c r="J2049" s="5"/>
      <c r="K2049" s="5">
        <v>44</v>
      </c>
    </row>
    <row r="2050" spans="1:11" x14ac:dyDescent="0.25">
      <c r="A2050" s="2">
        <v>46182.791666666657</v>
      </c>
      <c r="B2050" t="str">
        <f t="shared" ref="B2050:B2113" si="64">TEXT(A2050,"yyyy-mm")</f>
        <v>2026-06</v>
      </c>
      <c r="C2050" s="3">
        <f t="shared" ref="C2050:C2113" si="65">HOUR(A2050)</f>
        <v>19</v>
      </c>
      <c r="D2050" s="4"/>
      <c r="E2050" s="4"/>
      <c r="F2050" s="4"/>
      <c r="G2050" s="4">
        <v>25.1</v>
      </c>
      <c r="H2050" s="5"/>
      <c r="I2050" s="5"/>
      <c r="J2050" s="5"/>
      <c r="K2050" s="5">
        <v>45</v>
      </c>
    </row>
    <row r="2051" spans="1:11" x14ac:dyDescent="0.25">
      <c r="A2051" s="2">
        <v>46182.833333333343</v>
      </c>
      <c r="B2051" t="str">
        <f t="shared" si="64"/>
        <v>2026-06</v>
      </c>
      <c r="C2051" s="3">
        <f t="shared" si="65"/>
        <v>20</v>
      </c>
      <c r="D2051" s="4"/>
      <c r="E2051" s="4"/>
      <c r="F2051" s="4"/>
      <c r="G2051" s="4">
        <v>24</v>
      </c>
      <c r="H2051" s="5"/>
      <c r="I2051" s="5"/>
      <c r="J2051" s="5"/>
      <c r="K2051" s="5">
        <v>50</v>
      </c>
    </row>
    <row r="2052" spans="1:11" x14ac:dyDescent="0.25">
      <c r="A2052" s="2">
        <v>46182.875</v>
      </c>
      <c r="B2052" t="str">
        <f t="shared" si="64"/>
        <v>2026-06</v>
      </c>
      <c r="C2052" s="3">
        <f t="shared" si="65"/>
        <v>21</v>
      </c>
      <c r="D2052" s="4"/>
      <c r="E2052" s="4"/>
      <c r="F2052" s="4"/>
      <c r="G2052" s="4">
        <v>23.4</v>
      </c>
      <c r="H2052" s="5"/>
      <c r="I2052" s="5"/>
      <c r="J2052" s="5"/>
      <c r="K2052" s="5">
        <v>52</v>
      </c>
    </row>
    <row r="2053" spans="1:11" x14ac:dyDescent="0.25">
      <c r="A2053" s="2">
        <v>46182.916666666657</v>
      </c>
      <c r="B2053" t="str">
        <f t="shared" si="64"/>
        <v>2026-06</v>
      </c>
      <c r="C2053" s="3">
        <f t="shared" si="65"/>
        <v>22</v>
      </c>
      <c r="D2053" s="4">
        <v>26.545840132072431</v>
      </c>
      <c r="E2053" s="4">
        <v>28.556651110394</v>
      </c>
      <c r="F2053" s="4"/>
      <c r="G2053" s="4">
        <v>22.2</v>
      </c>
      <c r="H2053" s="5">
        <v>40.872642635344377</v>
      </c>
      <c r="I2053" s="5">
        <v>38.729246839014358</v>
      </c>
      <c r="J2053" s="5"/>
      <c r="K2053" s="5">
        <v>56</v>
      </c>
    </row>
    <row r="2054" spans="1:11" x14ac:dyDescent="0.25">
      <c r="A2054" s="2">
        <v>46182.958333333343</v>
      </c>
      <c r="B2054" t="str">
        <f t="shared" si="64"/>
        <v>2026-06</v>
      </c>
      <c r="C2054" s="3">
        <f t="shared" si="65"/>
        <v>23</v>
      </c>
      <c r="D2054" s="4">
        <v>26.3689710031</v>
      </c>
      <c r="E2054" s="4">
        <v>28.44376717050833</v>
      </c>
      <c r="F2054" s="4"/>
      <c r="G2054" s="4">
        <v>21</v>
      </c>
      <c r="H2054" s="5">
        <v>41.482362328675002</v>
      </c>
      <c r="I2054" s="5">
        <v>38.915639321999997</v>
      </c>
      <c r="J2054" s="5"/>
      <c r="K2054" s="5">
        <v>61</v>
      </c>
    </row>
    <row r="2055" spans="1:11" x14ac:dyDescent="0.25">
      <c r="A2055" s="2">
        <v>46183</v>
      </c>
      <c r="B2055" t="str">
        <f t="shared" si="64"/>
        <v>2026-06</v>
      </c>
      <c r="C2055" s="3">
        <f t="shared" si="65"/>
        <v>0</v>
      </c>
      <c r="D2055" s="4"/>
      <c r="E2055" s="4"/>
      <c r="F2055" s="4"/>
      <c r="G2055" s="4">
        <v>20.100000000000001</v>
      </c>
      <c r="H2055" s="5"/>
      <c r="I2055" s="5"/>
      <c r="J2055" s="5"/>
      <c r="K2055" s="5">
        <v>66</v>
      </c>
    </row>
    <row r="2056" spans="1:11" x14ac:dyDescent="0.25">
      <c r="A2056" s="2">
        <v>46183.041666666657</v>
      </c>
      <c r="B2056" t="str">
        <f t="shared" si="64"/>
        <v>2026-06</v>
      </c>
      <c r="C2056" s="3">
        <f t="shared" si="65"/>
        <v>1</v>
      </c>
      <c r="D2056" s="4"/>
      <c r="E2056" s="4"/>
      <c r="F2056" s="4"/>
      <c r="G2056" s="4">
        <v>19.5</v>
      </c>
      <c r="H2056" s="5"/>
      <c r="I2056" s="5"/>
      <c r="J2056" s="5"/>
      <c r="K2056" s="5">
        <v>68</v>
      </c>
    </row>
    <row r="2057" spans="1:11" x14ac:dyDescent="0.25">
      <c r="A2057" s="2">
        <v>46183.083333333343</v>
      </c>
      <c r="B2057" t="str">
        <f t="shared" si="64"/>
        <v>2026-06</v>
      </c>
      <c r="C2057" s="3">
        <f t="shared" si="65"/>
        <v>2</v>
      </c>
      <c r="D2057" s="4"/>
      <c r="E2057" s="4"/>
      <c r="F2057" s="4"/>
      <c r="G2057" s="4">
        <v>18.600000000000001</v>
      </c>
      <c r="H2057" s="5"/>
      <c r="I2057" s="5"/>
      <c r="J2057" s="5"/>
      <c r="K2057" s="5">
        <v>72</v>
      </c>
    </row>
    <row r="2058" spans="1:11" x14ac:dyDescent="0.25">
      <c r="A2058" s="2">
        <v>46183.125</v>
      </c>
      <c r="B2058" t="str">
        <f t="shared" si="64"/>
        <v>2026-06</v>
      </c>
      <c r="C2058" s="3">
        <f t="shared" si="65"/>
        <v>3</v>
      </c>
      <c r="D2058" s="4"/>
      <c r="E2058" s="4"/>
      <c r="F2058" s="4"/>
      <c r="G2058" s="4">
        <v>17.399999999999999</v>
      </c>
      <c r="H2058" s="5"/>
      <c r="I2058" s="5"/>
      <c r="J2058" s="5"/>
      <c r="K2058" s="5">
        <v>80</v>
      </c>
    </row>
    <row r="2059" spans="1:11" x14ac:dyDescent="0.25">
      <c r="A2059" s="2">
        <v>46183.166666666657</v>
      </c>
      <c r="B2059" t="str">
        <f t="shared" si="64"/>
        <v>2026-06</v>
      </c>
      <c r="C2059" s="3">
        <f t="shared" si="65"/>
        <v>4</v>
      </c>
      <c r="D2059" s="4"/>
      <c r="E2059" s="4"/>
      <c r="F2059" s="4"/>
      <c r="G2059" s="4">
        <v>16.5</v>
      </c>
      <c r="H2059" s="5"/>
      <c r="I2059" s="5"/>
      <c r="J2059" s="5"/>
      <c r="K2059" s="5">
        <v>86</v>
      </c>
    </row>
    <row r="2060" spans="1:11" x14ac:dyDescent="0.25">
      <c r="A2060" s="2">
        <v>46183.208333333343</v>
      </c>
      <c r="B2060" t="str">
        <f t="shared" si="64"/>
        <v>2026-06</v>
      </c>
      <c r="C2060" s="3">
        <f t="shared" si="65"/>
        <v>5</v>
      </c>
      <c r="D2060" s="4"/>
      <c r="E2060" s="4"/>
      <c r="F2060" s="4"/>
      <c r="G2060" s="4">
        <v>16.2</v>
      </c>
      <c r="H2060" s="5"/>
      <c r="I2060" s="5"/>
      <c r="J2060" s="5"/>
      <c r="K2060" s="5">
        <v>89</v>
      </c>
    </row>
    <row r="2061" spans="1:11" x14ac:dyDescent="0.25">
      <c r="A2061" s="2">
        <v>46183.25</v>
      </c>
      <c r="B2061" t="str">
        <f t="shared" si="64"/>
        <v>2026-06</v>
      </c>
      <c r="C2061" s="3">
        <f t="shared" si="65"/>
        <v>6</v>
      </c>
      <c r="D2061" s="4"/>
      <c r="E2061" s="4"/>
      <c r="F2061" s="4"/>
      <c r="G2061" s="4">
        <v>16.899999999999999</v>
      </c>
      <c r="H2061" s="5"/>
      <c r="I2061" s="5"/>
      <c r="J2061" s="5"/>
      <c r="K2061" s="5">
        <v>85</v>
      </c>
    </row>
    <row r="2062" spans="1:11" x14ac:dyDescent="0.25">
      <c r="A2062" s="2">
        <v>46183.291666666657</v>
      </c>
      <c r="B2062" t="str">
        <f t="shared" si="64"/>
        <v>2026-06</v>
      </c>
      <c r="C2062" s="3">
        <f t="shared" si="65"/>
        <v>7</v>
      </c>
      <c r="D2062" s="4"/>
      <c r="E2062" s="4"/>
      <c r="F2062" s="4"/>
      <c r="G2062" s="4">
        <v>18.600000000000001</v>
      </c>
      <c r="H2062" s="5"/>
      <c r="I2062" s="5"/>
      <c r="J2062" s="5"/>
      <c r="K2062" s="5">
        <v>77</v>
      </c>
    </row>
    <row r="2063" spans="1:11" x14ac:dyDescent="0.25">
      <c r="A2063" s="2">
        <v>46183.333333333343</v>
      </c>
      <c r="B2063" t="str">
        <f t="shared" si="64"/>
        <v>2026-06</v>
      </c>
      <c r="C2063" s="3">
        <f t="shared" si="65"/>
        <v>8</v>
      </c>
      <c r="D2063" s="4"/>
      <c r="E2063" s="4"/>
      <c r="F2063" s="4"/>
      <c r="G2063" s="4">
        <v>20.5</v>
      </c>
      <c r="H2063" s="5"/>
      <c r="I2063" s="5"/>
      <c r="J2063" s="5"/>
      <c r="K2063" s="5">
        <v>67</v>
      </c>
    </row>
    <row r="2064" spans="1:11" x14ac:dyDescent="0.25">
      <c r="A2064" s="2">
        <v>46183.375</v>
      </c>
      <c r="B2064" t="str">
        <f t="shared" si="64"/>
        <v>2026-06</v>
      </c>
      <c r="C2064" s="3">
        <f t="shared" si="65"/>
        <v>9</v>
      </c>
      <c r="D2064" s="4"/>
      <c r="E2064" s="4"/>
      <c r="F2064" s="4"/>
      <c r="G2064" s="4">
        <v>22.6</v>
      </c>
      <c r="H2064" s="5"/>
      <c r="I2064" s="5"/>
      <c r="J2064" s="5"/>
      <c r="K2064" s="5">
        <v>57</v>
      </c>
    </row>
    <row r="2065" spans="1:11" x14ac:dyDescent="0.25">
      <c r="A2065" s="2">
        <v>46183.416666666657</v>
      </c>
      <c r="B2065" t="str">
        <f t="shared" si="64"/>
        <v>2026-06</v>
      </c>
      <c r="C2065" s="3">
        <f t="shared" si="65"/>
        <v>10</v>
      </c>
      <c r="D2065" s="4"/>
      <c r="E2065" s="4"/>
      <c r="F2065" s="4"/>
      <c r="G2065" s="4">
        <v>23.6</v>
      </c>
      <c r="H2065" s="5"/>
      <c r="I2065" s="5"/>
      <c r="J2065" s="5"/>
      <c r="K2065" s="5">
        <v>52</v>
      </c>
    </row>
    <row r="2066" spans="1:11" x14ac:dyDescent="0.25">
      <c r="A2066" s="2">
        <v>46183.458333333343</v>
      </c>
      <c r="B2066" t="str">
        <f t="shared" si="64"/>
        <v>2026-06</v>
      </c>
      <c r="C2066" s="3">
        <f t="shared" si="65"/>
        <v>11</v>
      </c>
      <c r="D2066" s="4"/>
      <c r="E2066" s="4"/>
      <c r="F2066" s="4"/>
      <c r="G2066" s="4">
        <v>24.3</v>
      </c>
      <c r="H2066" s="5"/>
      <c r="I2066" s="5"/>
      <c r="J2066" s="5"/>
      <c r="K2066" s="5">
        <v>48</v>
      </c>
    </row>
    <row r="2067" spans="1:11" x14ac:dyDescent="0.25">
      <c r="A2067" s="2">
        <v>46183.5</v>
      </c>
      <c r="B2067" t="str">
        <f t="shared" si="64"/>
        <v>2026-06</v>
      </c>
      <c r="C2067" s="3">
        <f t="shared" si="65"/>
        <v>12</v>
      </c>
      <c r="D2067" s="4"/>
      <c r="E2067" s="4"/>
      <c r="F2067" s="4"/>
      <c r="G2067" s="4">
        <v>25.2</v>
      </c>
      <c r="H2067" s="5"/>
      <c r="I2067" s="5"/>
      <c r="J2067" s="5"/>
      <c r="K2067" s="5">
        <v>47</v>
      </c>
    </row>
    <row r="2068" spans="1:11" x14ac:dyDescent="0.25">
      <c r="A2068" s="2">
        <v>46183.541666666657</v>
      </c>
      <c r="B2068" t="str">
        <f t="shared" si="64"/>
        <v>2026-06</v>
      </c>
      <c r="C2068" s="3">
        <f t="shared" si="65"/>
        <v>13</v>
      </c>
      <c r="D2068" s="4"/>
      <c r="E2068" s="4"/>
      <c r="F2068" s="4"/>
      <c r="G2068" s="4">
        <v>26.7</v>
      </c>
      <c r="H2068" s="5"/>
      <c r="I2068" s="5"/>
      <c r="J2068" s="5"/>
      <c r="K2068" s="5">
        <v>44</v>
      </c>
    </row>
    <row r="2069" spans="1:11" x14ac:dyDescent="0.25">
      <c r="A2069" s="2">
        <v>46183.583333333343</v>
      </c>
      <c r="B2069" t="str">
        <f t="shared" si="64"/>
        <v>2026-06</v>
      </c>
      <c r="C2069" s="3">
        <f t="shared" si="65"/>
        <v>14</v>
      </c>
      <c r="D2069" s="4"/>
      <c r="E2069" s="4"/>
      <c r="F2069" s="4"/>
      <c r="G2069" s="4">
        <v>27.3</v>
      </c>
      <c r="H2069" s="5"/>
      <c r="I2069" s="5"/>
      <c r="J2069" s="5"/>
      <c r="K2069" s="5">
        <v>42</v>
      </c>
    </row>
    <row r="2070" spans="1:11" x14ac:dyDescent="0.25">
      <c r="A2070" s="2">
        <v>46183.625</v>
      </c>
      <c r="B2070" t="str">
        <f t="shared" si="64"/>
        <v>2026-06</v>
      </c>
      <c r="C2070" s="3">
        <f t="shared" si="65"/>
        <v>15</v>
      </c>
      <c r="D2070" s="4">
        <v>26.701513353289052</v>
      </c>
      <c r="E2070" s="4">
        <v>27.871336275523571</v>
      </c>
      <c r="F2070" s="4">
        <v>27.81728991693296</v>
      </c>
      <c r="G2070" s="4">
        <v>27.4</v>
      </c>
      <c r="H2070" s="5">
        <v>38.165739340376383</v>
      </c>
      <c r="I2070" s="5">
        <v>36.973451249930001</v>
      </c>
      <c r="J2070" s="5">
        <v>45.264056246807002</v>
      </c>
      <c r="K2070" s="5">
        <v>42</v>
      </c>
    </row>
    <row r="2071" spans="1:11" x14ac:dyDescent="0.25">
      <c r="A2071" s="2">
        <v>46183.666666666657</v>
      </c>
      <c r="B2071" t="str">
        <f t="shared" si="64"/>
        <v>2026-06</v>
      </c>
      <c r="C2071" s="3">
        <f t="shared" si="65"/>
        <v>16</v>
      </c>
      <c r="D2071" s="4">
        <v>25.444461492452771</v>
      </c>
      <c r="E2071" s="4">
        <v>27.52853700211945</v>
      </c>
      <c r="F2071" s="4">
        <v>27.182887805452779</v>
      </c>
      <c r="G2071" s="4">
        <v>27.6</v>
      </c>
      <c r="H2071" s="5">
        <v>34.099224347875001</v>
      </c>
      <c r="I2071" s="5">
        <v>32.730289188933327</v>
      </c>
      <c r="J2071" s="5">
        <v>43.310298348661121</v>
      </c>
      <c r="K2071" s="5">
        <v>41</v>
      </c>
    </row>
    <row r="2072" spans="1:11" x14ac:dyDescent="0.25">
      <c r="A2072" s="2">
        <v>46183.708333333343</v>
      </c>
      <c r="B2072" t="str">
        <f t="shared" si="64"/>
        <v>2026-06</v>
      </c>
      <c r="C2072" s="3">
        <f t="shared" si="65"/>
        <v>17</v>
      </c>
      <c r="D2072" s="4">
        <v>26.25443041679722</v>
      </c>
      <c r="E2072" s="4">
        <v>27.857392456100001</v>
      </c>
      <c r="F2072" s="4">
        <v>27.677250288952781</v>
      </c>
      <c r="G2072" s="4">
        <v>27.4</v>
      </c>
      <c r="H2072" s="5">
        <v>37.366593051069437</v>
      </c>
      <c r="I2072" s="5">
        <v>36.096197141363888</v>
      </c>
      <c r="J2072" s="5">
        <v>43.414320506330561</v>
      </c>
      <c r="K2072" s="5">
        <v>41</v>
      </c>
    </row>
    <row r="2073" spans="1:11" x14ac:dyDescent="0.25">
      <c r="A2073" s="2">
        <v>46183.75</v>
      </c>
      <c r="B2073" t="str">
        <f t="shared" si="64"/>
        <v>2026-06</v>
      </c>
      <c r="C2073" s="3">
        <f t="shared" si="65"/>
        <v>18</v>
      </c>
      <c r="D2073" s="4">
        <v>27.30027694129722</v>
      </c>
      <c r="E2073" s="4">
        <v>28.325267842316659</v>
      </c>
      <c r="F2073" s="4">
        <v>28.305933169208728</v>
      </c>
      <c r="G2073" s="4">
        <v>26.9</v>
      </c>
      <c r="H2073" s="5">
        <v>41.288981941133343</v>
      </c>
      <c r="I2073" s="5">
        <v>39.689171523161122</v>
      </c>
      <c r="J2073" s="5">
        <v>44.304672388320533</v>
      </c>
      <c r="K2073" s="5">
        <v>43</v>
      </c>
    </row>
    <row r="2074" spans="1:11" x14ac:dyDescent="0.25">
      <c r="A2074" s="2">
        <v>46183.791666666657</v>
      </c>
      <c r="B2074" t="str">
        <f t="shared" si="64"/>
        <v>2026-06</v>
      </c>
      <c r="C2074" s="3">
        <f t="shared" si="65"/>
        <v>19</v>
      </c>
      <c r="D2074" s="4">
        <v>27.630673086461108</v>
      </c>
      <c r="E2074" s="4">
        <v>28.230397880350001</v>
      </c>
      <c r="F2074" s="4">
        <v>28.32625023236389</v>
      </c>
      <c r="G2074" s="4">
        <v>26.3</v>
      </c>
      <c r="H2074" s="5">
        <v>41.807831992641667</v>
      </c>
      <c r="I2074" s="5">
        <v>40.493719634341673</v>
      </c>
      <c r="J2074" s="5">
        <v>45.772854824936111</v>
      </c>
      <c r="K2074" s="5">
        <v>44</v>
      </c>
    </row>
    <row r="2075" spans="1:11" x14ac:dyDescent="0.25">
      <c r="A2075" s="2">
        <v>46183.833333333343</v>
      </c>
      <c r="B2075" t="str">
        <f t="shared" si="64"/>
        <v>2026-06</v>
      </c>
      <c r="C2075" s="3">
        <f t="shared" si="65"/>
        <v>20</v>
      </c>
      <c r="D2075" s="4">
        <v>27.7733972909</v>
      </c>
      <c r="E2075" s="4">
        <v>28.125305653891669</v>
      </c>
      <c r="F2075" s="4">
        <v>28.431054761330561</v>
      </c>
      <c r="G2075" s="4">
        <v>24.7</v>
      </c>
      <c r="H2075" s="5">
        <v>41.619828974388888</v>
      </c>
      <c r="I2075" s="5">
        <v>40.844386016755557</v>
      </c>
      <c r="J2075" s="5">
        <v>45.449585130427778</v>
      </c>
      <c r="K2075" s="5">
        <v>50</v>
      </c>
    </row>
    <row r="2076" spans="1:11" x14ac:dyDescent="0.25">
      <c r="A2076" s="2">
        <v>46183.875</v>
      </c>
      <c r="B2076" t="str">
        <f t="shared" si="64"/>
        <v>2026-06</v>
      </c>
      <c r="C2076" s="3">
        <f t="shared" si="65"/>
        <v>21</v>
      </c>
      <c r="D2076" s="4">
        <v>27.76659462026667</v>
      </c>
      <c r="E2076" s="4">
        <v>28.09331587496667</v>
      </c>
      <c r="F2076" s="4">
        <v>28.481931322099999</v>
      </c>
      <c r="G2076" s="4">
        <v>23.5</v>
      </c>
      <c r="H2076" s="5">
        <v>41.58624029887222</v>
      </c>
      <c r="I2076" s="5">
        <v>41.598122869172222</v>
      </c>
      <c r="J2076" s="5">
        <v>45.452656276611123</v>
      </c>
      <c r="K2076" s="5">
        <v>58</v>
      </c>
    </row>
    <row r="2077" spans="1:11" x14ac:dyDescent="0.25">
      <c r="A2077" s="2">
        <v>46183.916666666657</v>
      </c>
      <c r="B2077" t="str">
        <f t="shared" si="64"/>
        <v>2026-06</v>
      </c>
      <c r="C2077" s="3">
        <f t="shared" si="65"/>
        <v>22</v>
      </c>
      <c r="D2077" s="4">
        <v>27.240714160858332</v>
      </c>
      <c r="E2077" s="4">
        <v>28.290455466997219</v>
      </c>
      <c r="F2077" s="4">
        <v>28.574599930386121</v>
      </c>
      <c r="G2077" s="4">
        <v>22.6</v>
      </c>
      <c r="H2077" s="5">
        <v>42.453370523852783</v>
      </c>
      <c r="I2077" s="5">
        <v>43.474950386033328</v>
      </c>
      <c r="J2077" s="5">
        <v>45.833591405649997</v>
      </c>
      <c r="K2077" s="5">
        <v>64</v>
      </c>
    </row>
    <row r="2078" spans="1:11" x14ac:dyDescent="0.25">
      <c r="A2078" s="2">
        <v>46183.958333333343</v>
      </c>
      <c r="B2078" t="str">
        <f t="shared" si="64"/>
        <v>2026-06</v>
      </c>
      <c r="C2078" s="3">
        <f t="shared" si="65"/>
        <v>23</v>
      </c>
      <c r="D2078" s="4">
        <v>26.602305058399999</v>
      </c>
      <c r="E2078" s="4">
        <v>28.244344873058331</v>
      </c>
      <c r="F2078" s="4">
        <v>28.756628104250002</v>
      </c>
      <c r="G2078" s="4">
        <v>21.7</v>
      </c>
      <c r="H2078" s="5">
        <v>44.400342389966667</v>
      </c>
      <c r="I2078" s="5">
        <v>43.287751112133328</v>
      </c>
      <c r="J2078" s="5">
        <v>48.954066762511111</v>
      </c>
      <c r="K2078" s="5">
        <v>70</v>
      </c>
    </row>
    <row r="2079" spans="1:11" x14ac:dyDescent="0.25">
      <c r="A2079" s="2">
        <v>46184</v>
      </c>
      <c r="B2079" t="str">
        <f t="shared" si="64"/>
        <v>2026-06</v>
      </c>
      <c r="C2079" s="3">
        <f t="shared" si="65"/>
        <v>0</v>
      </c>
      <c r="D2079" s="4">
        <v>26.996458015386111</v>
      </c>
      <c r="E2079" s="4">
        <v>28.291458135472219</v>
      </c>
      <c r="F2079" s="4">
        <v>28.26171988793056</v>
      </c>
      <c r="G2079" s="4">
        <v>20.7</v>
      </c>
      <c r="H2079" s="5">
        <v>42.818541744144447</v>
      </c>
      <c r="I2079" s="5">
        <v>41.53146470720278</v>
      </c>
      <c r="J2079" s="5">
        <v>50.42904500541389</v>
      </c>
      <c r="K2079" s="5">
        <v>76</v>
      </c>
    </row>
    <row r="2080" spans="1:11" x14ac:dyDescent="0.25">
      <c r="A2080" s="2">
        <v>46184.041666666657</v>
      </c>
      <c r="B2080" t="str">
        <f t="shared" si="64"/>
        <v>2026-06</v>
      </c>
      <c r="C2080" s="3">
        <f t="shared" si="65"/>
        <v>1</v>
      </c>
      <c r="D2080" s="4">
        <v>25.083737664575001</v>
      </c>
      <c r="E2080" s="4">
        <v>27.40782463671389</v>
      </c>
      <c r="F2080" s="4">
        <v>28.507520128683339</v>
      </c>
      <c r="G2080" s="4">
        <v>19.8</v>
      </c>
      <c r="H2080" s="5">
        <v>42.355112881280562</v>
      </c>
      <c r="I2080" s="5">
        <v>38.640730704891673</v>
      </c>
      <c r="J2080" s="5">
        <v>48.287946172355547</v>
      </c>
      <c r="K2080" s="5">
        <v>81</v>
      </c>
    </row>
    <row r="2081" spans="1:11" x14ac:dyDescent="0.25">
      <c r="A2081" s="2">
        <v>46184.083333333343</v>
      </c>
      <c r="B2081" t="str">
        <f t="shared" si="64"/>
        <v>2026-06</v>
      </c>
      <c r="C2081" s="3">
        <f t="shared" si="65"/>
        <v>2</v>
      </c>
      <c r="D2081" s="4">
        <v>24.356217379886111</v>
      </c>
      <c r="E2081" s="4">
        <v>26.81171135280556</v>
      </c>
      <c r="F2081" s="4">
        <v>28.423379983324999</v>
      </c>
      <c r="G2081" s="4">
        <v>19.3</v>
      </c>
      <c r="H2081" s="5">
        <v>46.705112061983343</v>
      </c>
      <c r="I2081" s="5">
        <v>40.24872391750278</v>
      </c>
      <c r="J2081" s="5">
        <v>47.263214511166673</v>
      </c>
      <c r="K2081" s="5">
        <v>84</v>
      </c>
    </row>
    <row r="2082" spans="1:11" x14ac:dyDescent="0.25">
      <c r="A2082" s="2">
        <v>46184.125</v>
      </c>
      <c r="B2082" t="str">
        <f t="shared" si="64"/>
        <v>2026-06</v>
      </c>
      <c r="C2082" s="3">
        <f t="shared" si="65"/>
        <v>3</v>
      </c>
      <c r="D2082" s="4">
        <v>24.336160944949999</v>
      </c>
      <c r="E2082" s="4">
        <v>27.285901303597221</v>
      </c>
      <c r="F2082" s="4">
        <v>28.474141393813891</v>
      </c>
      <c r="G2082" s="4">
        <v>18.600000000000001</v>
      </c>
      <c r="H2082" s="5">
        <v>50.530969517072222</v>
      </c>
      <c r="I2082" s="5">
        <v>43.740518747300001</v>
      </c>
      <c r="J2082" s="5">
        <v>47.567041752891669</v>
      </c>
      <c r="K2082" s="5">
        <v>82</v>
      </c>
    </row>
    <row r="2083" spans="1:11" x14ac:dyDescent="0.25">
      <c r="A2083" s="2">
        <v>46184.166666666657</v>
      </c>
      <c r="B2083" t="str">
        <f t="shared" si="64"/>
        <v>2026-06</v>
      </c>
      <c r="C2083" s="3">
        <f t="shared" si="65"/>
        <v>4</v>
      </c>
      <c r="D2083" s="4">
        <v>24.257808140991671</v>
      </c>
      <c r="E2083" s="4">
        <v>27.29629814056111</v>
      </c>
      <c r="F2083" s="4">
        <v>28.442810088213889</v>
      </c>
      <c r="G2083" s="4">
        <v>18.100000000000001</v>
      </c>
      <c r="H2083" s="5">
        <v>51.031074641408338</v>
      </c>
      <c r="I2083" s="5">
        <v>44.053606154891668</v>
      </c>
      <c r="J2083" s="5">
        <v>47.736872557888887</v>
      </c>
      <c r="K2083" s="5">
        <v>85</v>
      </c>
    </row>
    <row r="2084" spans="1:11" x14ac:dyDescent="0.25">
      <c r="A2084" s="2">
        <v>46184.208333333343</v>
      </c>
      <c r="B2084" t="str">
        <f t="shared" si="64"/>
        <v>2026-06</v>
      </c>
      <c r="C2084" s="3">
        <f t="shared" si="65"/>
        <v>5</v>
      </c>
      <c r="D2084" s="4">
        <v>25.18045453006944</v>
      </c>
      <c r="E2084" s="4">
        <v>27.406932481408329</v>
      </c>
      <c r="F2084" s="4">
        <v>28.44819595045556</v>
      </c>
      <c r="G2084" s="4">
        <v>17.899999999999999</v>
      </c>
      <c r="H2084" s="5">
        <v>48.440386428241659</v>
      </c>
      <c r="I2084" s="5">
        <v>44.272094675777772</v>
      </c>
      <c r="J2084" s="5">
        <v>47.728752764636113</v>
      </c>
      <c r="K2084" s="5">
        <v>85</v>
      </c>
    </row>
    <row r="2085" spans="1:11" x14ac:dyDescent="0.25">
      <c r="A2085" s="2">
        <v>46184.25</v>
      </c>
      <c r="B2085" t="str">
        <f t="shared" si="64"/>
        <v>2026-06</v>
      </c>
      <c r="C2085" s="3">
        <f t="shared" si="65"/>
        <v>6</v>
      </c>
      <c r="D2085" s="4">
        <v>26.726118731250001</v>
      </c>
      <c r="E2085" s="4">
        <v>27.472583429161109</v>
      </c>
      <c r="F2085" s="4">
        <v>28.437241057172219</v>
      </c>
      <c r="G2085" s="4">
        <v>18.8</v>
      </c>
      <c r="H2085" s="5">
        <v>44.664657073916658</v>
      </c>
      <c r="I2085" s="5">
        <v>43.699216430652783</v>
      </c>
      <c r="J2085" s="5">
        <v>47.667031426208332</v>
      </c>
      <c r="K2085" s="5">
        <v>82</v>
      </c>
    </row>
    <row r="2086" spans="1:11" x14ac:dyDescent="0.25">
      <c r="A2086" s="2">
        <v>46184.291666666657</v>
      </c>
      <c r="B2086" t="str">
        <f t="shared" si="64"/>
        <v>2026-06</v>
      </c>
      <c r="C2086" s="3">
        <f t="shared" si="65"/>
        <v>7</v>
      </c>
      <c r="D2086" s="4">
        <v>27.743315811033341</v>
      </c>
      <c r="E2086" s="4">
        <v>28.073793781397221</v>
      </c>
      <c r="F2086" s="4">
        <v>28.480711958099999</v>
      </c>
      <c r="G2086" s="4">
        <v>20.7</v>
      </c>
      <c r="H2086" s="5">
        <v>43.523857850577777</v>
      </c>
      <c r="I2086" s="5">
        <v>42.506223254483331</v>
      </c>
      <c r="J2086" s="5">
        <v>47.51202609434722</v>
      </c>
      <c r="K2086" s="5">
        <v>72</v>
      </c>
    </row>
    <row r="2087" spans="1:11" x14ac:dyDescent="0.25">
      <c r="A2087" s="2">
        <v>46184.333333333343</v>
      </c>
      <c r="B2087" t="str">
        <f t="shared" si="64"/>
        <v>2026-06</v>
      </c>
      <c r="C2087" s="3">
        <f t="shared" si="65"/>
        <v>8</v>
      </c>
      <c r="D2087" s="4">
        <v>28.50276692821944</v>
      </c>
      <c r="E2087" s="4">
        <v>28.781748976888888</v>
      </c>
      <c r="F2087" s="4">
        <v>28.555665859280559</v>
      </c>
      <c r="G2087" s="4">
        <v>23</v>
      </c>
      <c r="H2087" s="5">
        <v>42.412463187380553</v>
      </c>
      <c r="I2087" s="5">
        <v>41.470853039291661</v>
      </c>
      <c r="J2087" s="5">
        <v>47.405248450475</v>
      </c>
      <c r="K2087" s="5">
        <v>61</v>
      </c>
    </row>
    <row r="2088" spans="1:11" x14ac:dyDescent="0.25">
      <c r="A2088" s="2">
        <v>46184.375</v>
      </c>
      <c r="B2088" t="str">
        <f t="shared" si="64"/>
        <v>2026-06</v>
      </c>
      <c r="C2088" s="3">
        <f t="shared" si="65"/>
        <v>9</v>
      </c>
      <c r="D2088" s="4">
        <v>29.711457724072229</v>
      </c>
      <c r="E2088" s="4">
        <v>29.094468987374999</v>
      </c>
      <c r="F2088" s="4">
        <v>28.60155318106111</v>
      </c>
      <c r="G2088" s="4">
        <v>25.8</v>
      </c>
      <c r="H2088" s="5">
        <v>38.754152862541673</v>
      </c>
      <c r="I2088" s="5">
        <v>39.457800881475002</v>
      </c>
      <c r="J2088" s="5">
        <v>47.540377615838892</v>
      </c>
      <c r="K2088" s="5">
        <v>49</v>
      </c>
    </row>
    <row r="2089" spans="1:11" x14ac:dyDescent="0.25">
      <c r="A2089" s="2">
        <v>46184.416666666657</v>
      </c>
      <c r="B2089" t="str">
        <f t="shared" si="64"/>
        <v>2026-06</v>
      </c>
      <c r="C2089" s="3">
        <f t="shared" si="65"/>
        <v>10</v>
      </c>
      <c r="D2089" s="4">
        <v>28.810242381288891</v>
      </c>
      <c r="E2089" s="4">
        <v>29.383316867744441</v>
      </c>
      <c r="F2089" s="4">
        <v>28.733856922813889</v>
      </c>
      <c r="G2089" s="4">
        <v>27.2</v>
      </c>
      <c r="H2089" s="5">
        <v>38.375388692833333</v>
      </c>
      <c r="I2089" s="5">
        <v>38.149871689769441</v>
      </c>
      <c r="J2089" s="5">
        <v>47.369366264466663</v>
      </c>
      <c r="K2089" s="5">
        <v>43</v>
      </c>
    </row>
    <row r="2090" spans="1:11" x14ac:dyDescent="0.25">
      <c r="A2090" s="2">
        <v>46184.458333333343</v>
      </c>
      <c r="B2090" t="str">
        <f t="shared" si="64"/>
        <v>2026-06</v>
      </c>
      <c r="C2090" s="3">
        <f t="shared" si="65"/>
        <v>11</v>
      </c>
      <c r="D2090" s="4">
        <v>28.270672722294449</v>
      </c>
      <c r="E2090" s="4">
        <v>29.384786144997221</v>
      </c>
      <c r="F2090" s="4">
        <v>28.801773818963881</v>
      </c>
      <c r="G2090" s="4">
        <v>28</v>
      </c>
      <c r="H2090" s="5">
        <v>37.538308963894451</v>
      </c>
      <c r="I2090" s="5">
        <v>37.700695090100012</v>
      </c>
      <c r="J2090" s="5">
        <v>47.800159330536111</v>
      </c>
      <c r="K2090" s="5">
        <v>39</v>
      </c>
    </row>
    <row r="2091" spans="1:11" x14ac:dyDescent="0.25">
      <c r="A2091" s="2">
        <v>46184.5</v>
      </c>
      <c r="B2091" t="str">
        <f t="shared" si="64"/>
        <v>2026-06</v>
      </c>
      <c r="C2091" s="3">
        <f t="shared" si="65"/>
        <v>12</v>
      </c>
      <c r="D2091" s="4">
        <v>27.16252240153889</v>
      </c>
      <c r="E2091" s="4">
        <v>28.747235298977781</v>
      </c>
      <c r="F2091" s="4">
        <v>28.659377424058331</v>
      </c>
      <c r="G2091" s="4">
        <v>29</v>
      </c>
      <c r="H2091" s="5">
        <v>34.362815864391663</v>
      </c>
      <c r="I2091" s="5">
        <v>34.341588808144436</v>
      </c>
      <c r="J2091" s="5">
        <v>47.469391808158328</v>
      </c>
      <c r="K2091" s="5">
        <v>37</v>
      </c>
    </row>
    <row r="2092" spans="1:11" x14ac:dyDescent="0.25">
      <c r="A2092" s="2">
        <v>46184.541666666657</v>
      </c>
      <c r="B2092" t="str">
        <f t="shared" si="64"/>
        <v>2026-06</v>
      </c>
      <c r="C2092" s="3">
        <f t="shared" si="65"/>
        <v>13</v>
      </c>
      <c r="D2092" s="4">
        <v>25.944300352500001</v>
      </c>
      <c r="E2092" s="4">
        <v>27.792088470161112</v>
      </c>
      <c r="F2092" s="4">
        <v>28.569448175880549</v>
      </c>
      <c r="G2092" s="4">
        <v>29.9</v>
      </c>
      <c r="H2092" s="5">
        <v>33.77691946508611</v>
      </c>
      <c r="I2092" s="5">
        <v>33.286466238186122</v>
      </c>
      <c r="J2092" s="5">
        <v>47.147338506558327</v>
      </c>
      <c r="K2092" s="5">
        <v>34</v>
      </c>
    </row>
    <row r="2093" spans="1:11" x14ac:dyDescent="0.25">
      <c r="A2093" s="2">
        <v>46184.583333333343</v>
      </c>
      <c r="B2093" t="str">
        <f t="shared" si="64"/>
        <v>2026-06</v>
      </c>
      <c r="C2093" s="3">
        <f t="shared" si="65"/>
        <v>14</v>
      </c>
      <c r="D2093" s="4">
        <v>25.54781535305278</v>
      </c>
      <c r="E2093" s="4">
        <v>27.54962059714444</v>
      </c>
      <c r="F2093" s="4">
        <v>28.30344145589444</v>
      </c>
      <c r="G2093" s="4">
        <v>29.8</v>
      </c>
      <c r="H2093" s="5">
        <v>33.516221723977779</v>
      </c>
      <c r="I2093" s="5">
        <v>32.25965602040278</v>
      </c>
      <c r="J2093" s="5">
        <v>44.660827058622232</v>
      </c>
      <c r="K2093" s="5">
        <v>34</v>
      </c>
    </row>
    <row r="2094" spans="1:11" x14ac:dyDescent="0.25">
      <c r="A2094" s="2">
        <v>46184.625</v>
      </c>
      <c r="B2094" t="str">
        <f t="shared" si="64"/>
        <v>2026-06</v>
      </c>
      <c r="C2094" s="3">
        <f t="shared" si="65"/>
        <v>15</v>
      </c>
      <c r="D2094" s="4">
        <v>25.29277889599722</v>
      </c>
      <c r="E2094" s="4">
        <v>27.274195932558332</v>
      </c>
      <c r="F2094" s="4">
        <v>28.294515244052779</v>
      </c>
      <c r="G2094" s="4">
        <v>28.8</v>
      </c>
      <c r="H2094" s="5">
        <v>33.171259159666668</v>
      </c>
      <c r="I2094" s="5">
        <v>31.613018930780559</v>
      </c>
      <c r="J2094" s="5">
        <v>44.303486909011113</v>
      </c>
      <c r="K2094" s="5">
        <v>37</v>
      </c>
    </row>
    <row r="2095" spans="1:11" x14ac:dyDescent="0.25">
      <c r="A2095" s="2">
        <v>46184.666666666657</v>
      </c>
      <c r="B2095" t="str">
        <f t="shared" si="64"/>
        <v>2026-06</v>
      </c>
      <c r="C2095" s="3">
        <f t="shared" si="65"/>
        <v>16</v>
      </c>
      <c r="D2095" s="4">
        <v>25.788892264911109</v>
      </c>
      <c r="E2095" s="4">
        <v>27.533541047647219</v>
      </c>
      <c r="F2095" s="4">
        <v>28.567720616241669</v>
      </c>
      <c r="G2095" s="4">
        <v>29.3</v>
      </c>
      <c r="H2095" s="5">
        <v>37.645597704500013</v>
      </c>
      <c r="I2095" s="5">
        <v>35.806751796594448</v>
      </c>
      <c r="J2095" s="5">
        <v>45.110915514608337</v>
      </c>
      <c r="K2095" s="5">
        <v>34</v>
      </c>
    </row>
    <row r="2096" spans="1:11" x14ac:dyDescent="0.25">
      <c r="A2096" s="2">
        <v>46184.708333333343</v>
      </c>
      <c r="B2096" t="str">
        <f t="shared" si="64"/>
        <v>2026-06</v>
      </c>
      <c r="C2096" s="3">
        <f t="shared" si="65"/>
        <v>17</v>
      </c>
      <c r="D2096" s="4">
        <v>27.224182924122221</v>
      </c>
      <c r="E2096" s="4">
        <v>28.038844363794439</v>
      </c>
      <c r="F2096" s="4">
        <v>28.798352671669441</v>
      </c>
      <c r="G2096" s="4">
        <v>29.2</v>
      </c>
      <c r="H2096" s="5">
        <v>45.365245420344444</v>
      </c>
      <c r="I2096" s="5">
        <v>44.495725954141669</v>
      </c>
      <c r="J2096" s="5">
        <v>45.794414814930562</v>
      </c>
      <c r="K2096" s="5">
        <v>32</v>
      </c>
    </row>
    <row r="2097" spans="1:11" x14ac:dyDescent="0.25">
      <c r="A2097" s="2">
        <v>46184.75</v>
      </c>
      <c r="B2097" t="str">
        <f t="shared" si="64"/>
        <v>2026-06</v>
      </c>
      <c r="C2097" s="3">
        <f t="shared" si="65"/>
        <v>18</v>
      </c>
      <c r="D2097" s="4">
        <v>27.444775876897221</v>
      </c>
      <c r="E2097" s="4">
        <v>28.17706452100278</v>
      </c>
      <c r="F2097" s="4">
        <v>29.11191854696667</v>
      </c>
      <c r="G2097" s="4">
        <v>27.6</v>
      </c>
      <c r="H2097" s="5">
        <v>47.756382900072218</v>
      </c>
      <c r="I2097" s="5">
        <v>47.051235433922223</v>
      </c>
      <c r="J2097" s="5">
        <v>47.777646157405549</v>
      </c>
      <c r="K2097" s="5">
        <v>37</v>
      </c>
    </row>
    <row r="2098" spans="1:11" x14ac:dyDescent="0.25">
      <c r="A2098" s="2">
        <v>46184.791666666657</v>
      </c>
      <c r="B2098" t="str">
        <f t="shared" si="64"/>
        <v>2026-06</v>
      </c>
      <c r="C2098" s="3">
        <f t="shared" si="65"/>
        <v>19</v>
      </c>
      <c r="D2098" s="4">
        <v>25.626722998419439</v>
      </c>
      <c r="E2098" s="4">
        <v>27.34660900635</v>
      </c>
      <c r="F2098" s="4">
        <v>29.081685978302779</v>
      </c>
      <c r="G2098" s="4">
        <v>26.2</v>
      </c>
      <c r="H2098" s="5">
        <v>39.205161201422221</v>
      </c>
      <c r="I2098" s="5">
        <v>37.75938737081389</v>
      </c>
      <c r="J2098" s="5">
        <v>47.986162541441672</v>
      </c>
      <c r="K2098" s="5">
        <v>43</v>
      </c>
    </row>
    <row r="2099" spans="1:11" x14ac:dyDescent="0.25">
      <c r="A2099" s="2">
        <v>46184.833333333343</v>
      </c>
      <c r="B2099" t="str">
        <f t="shared" si="64"/>
        <v>2026-06</v>
      </c>
      <c r="C2099" s="3">
        <f t="shared" si="65"/>
        <v>20</v>
      </c>
      <c r="D2099" s="4">
        <v>26.030777312763892</v>
      </c>
      <c r="E2099" s="4">
        <v>27.583808595724999</v>
      </c>
      <c r="F2099" s="4">
        <v>28.73153992664167</v>
      </c>
      <c r="G2099" s="4">
        <v>25.3</v>
      </c>
      <c r="H2099" s="5">
        <v>40.706674884958339</v>
      </c>
      <c r="I2099" s="5">
        <v>38.618116480422223</v>
      </c>
      <c r="J2099" s="5">
        <v>47.576852505763888</v>
      </c>
      <c r="K2099" s="5">
        <v>49</v>
      </c>
    </row>
    <row r="2100" spans="1:11" x14ac:dyDescent="0.25">
      <c r="A2100" s="2">
        <v>46184.875</v>
      </c>
      <c r="B2100" t="str">
        <f t="shared" si="64"/>
        <v>2026-06</v>
      </c>
      <c r="C2100" s="3">
        <f t="shared" si="65"/>
        <v>21</v>
      </c>
      <c r="D2100" s="4">
        <v>27.3475769836</v>
      </c>
      <c r="E2100" s="4">
        <v>28.353616497891661</v>
      </c>
      <c r="F2100" s="4">
        <v>28.728049361633332</v>
      </c>
      <c r="G2100" s="4">
        <v>23.9</v>
      </c>
      <c r="H2100" s="5">
        <v>44.788704230797229</v>
      </c>
      <c r="I2100" s="5">
        <v>45.048978313616672</v>
      </c>
      <c r="J2100" s="5">
        <v>49.767632659305562</v>
      </c>
      <c r="K2100" s="5">
        <v>55</v>
      </c>
    </row>
    <row r="2101" spans="1:11" x14ac:dyDescent="0.25">
      <c r="A2101" s="2">
        <v>46184.916666666657</v>
      </c>
      <c r="B2101" t="str">
        <f t="shared" si="64"/>
        <v>2026-06</v>
      </c>
      <c r="C2101" s="3">
        <f t="shared" si="65"/>
        <v>22</v>
      </c>
      <c r="D2101" s="4">
        <v>26.90943275131945</v>
      </c>
      <c r="E2101" s="4">
        <v>28.083114278161109</v>
      </c>
      <c r="F2101" s="4">
        <v>28.947410724436111</v>
      </c>
      <c r="G2101" s="4">
        <v>22.5</v>
      </c>
      <c r="H2101" s="5">
        <v>43.974235976441662</v>
      </c>
      <c r="I2101" s="5">
        <v>43.678233318263892</v>
      </c>
      <c r="J2101" s="5">
        <v>50.517156512108329</v>
      </c>
      <c r="K2101" s="5">
        <v>64</v>
      </c>
    </row>
    <row r="2102" spans="1:11" x14ac:dyDescent="0.25">
      <c r="A2102" s="2">
        <v>46184.958333333343</v>
      </c>
      <c r="B2102" t="str">
        <f t="shared" si="64"/>
        <v>2026-06</v>
      </c>
      <c r="C2102" s="3">
        <f t="shared" si="65"/>
        <v>23</v>
      </c>
      <c r="D2102" s="4">
        <v>25.538583578322221</v>
      </c>
      <c r="E2102" s="4">
        <v>27.263599042275001</v>
      </c>
      <c r="F2102" s="4">
        <v>29.21391770793333</v>
      </c>
      <c r="G2102" s="4">
        <v>21.5</v>
      </c>
      <c r="H2102" s="5">
        <v>38.010829606975001</v>
      </c>
      <c r="I2102" s="5">
        <v>36.545332758244442</v>
      </c>
      <c r="J2102" s="5">
        <v>47.599963363016663</v>
      </c>
      <c r="K2102" s="5">
        <v>71</v>
      </c>
    </row>
    <row r="2103" spans="1:11" x14ac:dyDescent="0.25">
      <c r="A2103" s="2">
        <v>46185</v>
      </c>
      <c r="B2103" t="str">
        <f t="shared" si="64"/>
        <v>2026-06</v>
      </c>
      <c r="C2103" s="3">
        <f t="shared" si="65"/>
        <v>0</v>
      </c>
      <c r="D2103" s="4">
        <v>26.534690295766669</v>
      </c>
      <c r="E2103" s="4">
        <v>28.01024983376389</v>
      </c>
      <c r="F2103" s="4">
        <v>29.079854852080551</v>
      </c>
      <c r="G2103" s="4">
        <v>20.8</v>
      </c>
      <c r="H2103" s="5">
        <v>40.61270707441389</v>
      </c>
      <c r="I2103" s="5">
        <v>39.490132253988889</v>
      </c>
      <c r="J2103" s="5">
        <v>47.163035651772219</v>
      </c>
      <c r="K2103" s="5">
        <v>76</v>
      </c>
    </row>
    <row r="2104" spans="1:11" x14ac:dyDescent="0.25">
      <c r="A2104" s="2">
        <v>46185.041666666657</v>
      </c>
      <c r="B2104" t="str">
        <f t="shared" si="64"/>
        <v>2026-06</v>
      </c>
      <c r="C2104" s="3">
        <f t="shared" si="65"/>
        <v>1</v>
      </c>
      <c r="D2104" s="4">
        <v>25.2042387656</v>
      </c>
      <c r="E2104" s="4">
        <v>27.336103066536111</v>
      </c>
      <c r="F2104" s="4">
        <v>29.028686008472221</v>
      </c>
      <c r="G2104" s="4">
        <v>20.399999999999999</v>
      </c>
      <c r="H2104" s="5">
        <v>34.485630319883327</v>
      </c>
      <c r="I2104" s="5">
        <v>33.158721750822217</v>
      </c>
      <c r="J2104" s="5">
        <v>45.888452570605558</v>
      </c>
      <c r="K2104" s="5">
        <v>78</v>
      </c>
    </row>
    <row r="2105" spans="1:11" x14ac:dyDescent="0.25">
      <c r="A2105" s="2">
        <v>46185.083333333343</v>
      </c>
      <c r="B2105" t="str">
        <f t="shared" si="64"/>
        <v>2026-06</v>
      </c>
      <c r="C2105" s="3">
        <f t="shared" si="65"/>
        <v>2</v>
      </c>
      <c r="D2105" s="4">
        <v>24.219390876261109</v>
      </c>
      <c r="E2105" s="4">
        <v>26.97434352824445</v>
      </c>
      <c r="F2105" s="4">
        <v>28.982965209636109</v>
      </c>
      <c r="G2105" s="4">
        <v>20.100000000000001</v>
      </c>
      <c r="H2105" s="5">
        <v>36.701147058858332</v>
      </c>
      <c r="I2105" s="5">
        <v>33.297141011319447</v>
      </c>
      <c r="J2105" s="5">
        <v>44.628386026063893</v>
      </c>
      <c r="K2105" s="5">
        <v>79</v>
      </c>
    </row>
    <row r="2106" spans="1:11" x14ac:dyDescent="0.25">
      <c r="A2106" s="2">
        <v>46185.125</v>
      </c>
      <c r="B2106" t="str">
        <f t="shared" si="64"/>
        <v>2026-06</v>
      </c>
      <c r="C2106" s="3">
        <f t="shared" si="65"/>
        <v>3</v>
      </c>
      <c r="D2106" s="4">
        <v>26.002482475680559</v>
      </c>
      <c r="E2106" s="4">
        <v>27.232203099647229</v>
      </c>
      <c r="F2106" s="4">
        <v>29.052707944613889</v>
      </c>
      <c r="G2106" s="4">
        <v>19.899999999999999</v>
      </c>
      <c r="H2106" s="5">
        <v>40.155835605805557</v>
      </c>
      <c r="I2106" s="5">
        <v>37.97109709782778</v>
      </c>
      <c r="J2106" s="5">
        <v>45.458644935930558</v>
      </c>
      <c r="K2106" s="5">
        <v>77</v>
      </c>
    </row>
    <row r="2107" spans="1:11" x14ac:dyDescent="0.25">
      <c r="A2107" s="2">
        <v>46185.166666666657</v>
      </c>
      <c r="B2107" t="str">
        <f t="shared" si="64"/>
        <v>2026-06</v>
      </c>
      <c r="C2107" s="3">
        <f t="shared" si="65"/>
        <v>4</v>
      </c>
      <c r="D2107" s="4">
        <v>25.409599915575001</v>
      </c>
      <c r="E2107" s="4">
        <v>27.445301746930561</v>
      </c>
      <c r="F2107" s="4">
        <v>29.1600429961</v>
      </c>
      <c r="G2107" s="4">
        <v>19.399999999999999</v>
      </c>
      <c r="H2107" s="5">
        <v>48.639285866730553</v>
      </c>
      <c r="I2107" s="5">
        <v>41.784858590852792</v>
      </c>
      <c r="J2107" s="5">
        <v>45.953088855099999</v>
      </c>
      <c r="K2107" s="5">
        <v>79</v>
      </c>
    </row>
    <row r="2108" spans="1:11" x14ac:dyDescent="0.25">
      <c r="A2108" s="2">
        <v>46185.208333333343</v>
      </c>
      <c r="B2108" t="str">
        <f t="shared" si="64"/>
        <v>2026-06</v>
      </c>
      <c r="C2108" s="3">
        <f t="shared" si="65"/>
        <v>5</v>
      </c>
      <c r="D2108" s="4">
        <v>25.489868218347219</v>
      </c>
      <c r="E2108" s="4">
        <v>27.476969768577771</v>
      </c>
      <c r="F2108" s="4">
        <v>29.155562182524999</v>
      </c>
      <c r="G2108" s="4">
        <v>18.8</v>
      </c>
      <c r="H2108" s="5">
        <v>50.657078346186097</v>
      </c>
      <c r="I2108" s="5">
        <v>44.397295205586111</v>
      </c>
      <c r="J2108" s="5">
        <v>46.470392863897217</v>
      </c>
      <c r="K2108" s="5">
        <v>81</v>
      </c>
    </row>
    <row r="2109" spans="1:11" x14ac:dyDescent="0.25">
      <c r="A2109" s="2">
        <v>46185.25</v>
      </c>
      <c r="B2109" t="str">
        <f t="shared" si="64"/>
        <v>2026-06</v>
      </c>
      <c r="C2109" s="3">
        <f t="shared" si="65"/>
        <v>6</v>
      </c>
      <c r="D2109" s="4">
        <v>26.75233224785833</v>
      </c>
      <c r="E2109" s="4">
        <v>27.84573892125556</v>
      </c>
      <c r="F2109" s="4">
        <v>29.11025257587222</v>
      </c>
      <c r="G2109" s="4">
        <v>19.7</v>
      </c>
      <c r="H2109" s="5">
        <v>47.656020051994439</v>
      </c>
      <c r="I2109" s="5">
        <v>44.667740337633333</v>
      </c>
      <c r="J2109" s="5">
        <v>46.702212518780563</v>
      </c>
      <c r="K2109" s="5">
        <v>77</v>
      </c>
    </row>
    <row r="2110" spans="1:11" x14ac:dyDescent="0.25">
      <c r="A2110" s="2">
        <v>46185.291666666657</v>
      </c>
      <c r="B2110" t="str">
        <f t="shared" si="64"/>
        <v>2026-06</v>
      </c>
      <c r="C2110" s="3">
        <f t="shared" si="65"/>
        <v>7</v>
      </c>
      <c r="D2110" s="4">
        <v>28.08641993845</v>
      </c>
      <c r="E2110" s="4">
        <v>28.535453374338889</v>
      </c>
      <c r="F2110" s="4">
        <v>29.09280925664444</v>
      </c>
      <c r="G2110" s="4">
        <v>21.4</v>
      </c>
      <c r="H2110" s="5">
        <v>44.825044482513903</v>
      </c>
      <c r="I2110" s="5">
        <v>43.944370873769437</v>
      </c>
      <c r="J2110" s="5">
        <v>46.728310437319443</v>
      </c>
      <c r="K2110" s="5">
        <v>67</v>
      </c>
    </row>
    <row r="2111" spans="1:11" x14ac:dyDescent="0.25">
      <c r="A2111" s="2">
        <v>46185.333333333343</v>
      </c>
      <c r="B2111" t="str">
        <f t="shared" si="64"/>
        <v>2026-06</v>
      </c>
      <c r="C2111" s="3">
        <f t="shared" si="65"/>
        <v>8</v>
      </c>
      <c r="D2111" s="4">
        <v>28.99731175966944</v>
      </c>
      <c r="E2111" s="4">
        <v>29.095830902811109</v>
      </c>
      <c r="F2111" s="4">
        <v>29.101940929608329</v>
      </c>
      <c r="G2111" s="4">
        <v>23.7</v>
      </c>
      <c r="H2111" s="5">
        <v>44.119768234180562</v>
      </c>
      <c r="I2111" s="5">
        <v>44.111088077594452</v>
      </c>
      <c r="J2111" s="5">
        <v>46.846104296847223</v>
      </c>
      <c r="K2111" s="5">
        <v>55</v>
      </c>
    </row>
    <row r="2112" spans="1:11" x14ac:dyDescent="0.25">
      <c r="A2112" s="2">
        <v>46185.375</v>
      </c>
      <c r="B2112" t="str">
        <f t="shared" si="64"/>
        <v>2026-06</v>
      </c>
      <c r="C2112" s="3">
        <f t="shared" si="65"/>
        <v>9</v>
      </c>
      <c r="D2112" s="4">
        <v>30.17057808117778</v>
      </c>
      <c r="E2112" s="4">
        <v>29.521384495736111</v>
      </c>
      <c r="F2112" s="4">
        <v>29.118580992744441</v>
      </c>
      <c r="G2112" s="4">
        <v>25.7</v>
      </c>
      <c r="H2112" s="5">
        <v>41.180709047958338</v>
      </c>
      <c r="I2112" s="5">
        <v>43.313909877202782</v>
      </c>
      <c r="J2112" s="5">
        <v>47.079285375286098</v>
      </c>
      <c r="K2112" s="5">
        <v>47</v>
      </c>
    </row>
    <row r="2113" spans="1:11" x14ac:dyDescent="0.25">
      <c r="A2113" s="2">
        <v>46185.416666666657</v>
      </c>
      <c r="B2113" t="str">
        <f t="shared" si="64"/>
        <v>2026-06</v>
      </c>
      <c r="C2113" s="3">
        <f t="shared" si="65"/>
        <v>10</v>
      </c>
      <c r="D2113" s="4">
        <v>29.252756971299998</v>
      </c>
      <c r="E2113" s="4">
        <v>29.689639135891671</v>
      </c>
      <c r="F2113" s="4">
        <v>29.162258929825001</v>
      </c>
      <c r="G2113" s="4">
        <v>26.9</v>
      </c>
      <c r="H2113" s="5">
        <v>43.468894362594448</v>
      </c>
      <c r="I2113" s="5">
        <v>43.147666773702781</v>
      </c>
      <c r="J2113" s="5">
        <v>47.65825222880278</v>
      </c>
      <c r="K2113" s="5">
        <v>43</v>
      </c>
    </row>
    <row r="2114" spans="1:11" x14ac:dyDescent="0.25">
      <c r="A2114" s="2">
        <v>46185.458333333343</v>
      </c>
      <c r="B2114" t="str">
        <f t="shared" ref="B2114:B2177" si="66">TEXT(A2114,"yyyy-mm")</f>
        <v>2026-06</v>
      </c>
      <c r="C2114" s="3">
        <f t="shared" ref="C2114:C2177" si="67">HOUR(A2114)</f>
        <v>11</v>
      </c>
      <c r="D2114" s="4">
        <v>28.042019234611111</v>
      </c>
      <c r="E2114" s="4">
        <v>29.33847322569444</v>
      </c>
      <c r="F2114" s="4">
        <v>29.333909346938889</v>
      </c>
      <c r="G2114" s="4">
        <v>28</v>
      </c>
      <c r="H2114" s="5">
        <v>38.736116587477781</v>
      </c>
      <c r="I2114" s="5">
        <v>39.728978218947233</v>
      </c>
      <c r="J2114" s="5">
        <v>48.986209219188893</v>
      </c>
      <c r="K2114" s="5">
        <v>40</v>
      </c>
    </row>
    <row r="2115" spans="1:11" x14ac:dyDescent="0.25">
      <c r="A2115" s="2">
        <v>46185.5</v>
      </c>
      <c r="B2115" t="str">
        <f t="shared" si="66"/>
        <v>2026-06</v>
      </c>
      <c r="C2115" s="3">
        <f t="shared" si="67"/>
        <v>12</v>
      </c>
      <c r="D2115" s="4">
        <v>26.41790272291389</v>
      </c>
      <c r="E2115" s="4">
        <v>28.541970756211111</v>
      </c>
      <c r="F2115" s="4">
        <v>29.116172693536111</v>
      </c>
      <c r="G2115" s="4">
        <v>28.9</v>
      </c>
      <c r="H2115" s="5">
        <v>33.024555508805562</v>
      </c>
      <c r="I2115" s="5">
        <v>32.503926275283327</v>
      </c>
      <c r="J2115" s="5">
        <v>45.618352503563891</v>
      </c>
      <c r="K2115" s="5">
        <v>37</v>
      </c>
    </row>
    <row r="2116" spans="1:11" x14ac:dyDescent="0.25">
      <c r="A2116" s="2">
        <v>46185.541666666657</v>
      </c>
      <c r="B2116" t="str">
        <f t="shared" si="66"/>
        <v>2026-06</v>
      </c>
      <c r="C2116" s="3">
        <f t="shared" si="67"/>
        <v>13</v>
      </c>
      <c r="D2116" s="4">
        <v>25.789602840752771</v>
      </c>
      <c r="E2116" s="4">
        <v>27.944349392472219</v>
      </c>
      <c r="F2116" s="4">
        <v>29.15177729886668</v>
      </c>
      <c r="G2116" s="4">
        <v>29.6</v>
      </c>
      <c r="H2116" s="5">
        <v>34.255115126855557</v>
      </c>
      <c r="I2116" s="5">
        <v>32.215324599530547</v>
      </c>
      <c r="J2116" s="5">
        <v>45.126747695955551</v>
      </c>
      <c r="K2116" s="5">
        <v>37</v>
      </c>
    </row>
    <row r="2117" spans="1:11" x14ac:dyDescent="0.25">
      <c r="A2117" s="2">
        <v>46185.583333333343</v>
      </c>
      <c r="B2117" t="str">
        <f t="shared" si="66"/>
        <v>2026-06</v>
      </c>
      <c r="C2117" s="3">
        <f t="shared" si="67"/>
        <v>14</v>
      </c>
      <c r="D2117" s="4">
        <v>25.75098134508611</v>
      </c>
      <c r="E2117" s="4">
        <v>27.80414549530833</v>
      </c>
      <c r="F2117" s="4">
        <v>29.15554588010556</v>
      </c>
      <c r="G2117" s="4">
        <v>29.9</v>
      </c>
      <c r="H2117" s="5">
        <v>36.464974284519442</v>
      </c>
      <c r="I2117" s="5">
        <v>34.532120325402779</v>
      </c>
      <c r="J2117" s="5">
        <v>44.916254539441667</v>
      </c>
      <c r="K2117" s="5">
        <v>35</v>
      </c>
    </row>
    <row r="2118" spans="1:11" x14ac:dyDescent="0.25">
      <c r="A2118" s="2">
        <v>46185.625</v>
      </c>
      <c r="B2118" t="str">
        <f t="shared" si="66"/>
        <v>2026-06</v>
      </c>
      <c r="C2118" s="3">
        <f t="shared" si="67"/>
        <v>15</v>
      </c>
      <c r="D2118" s="4">
        <v>25.66464089285833</v>
      </c>
      <c r="E2118" s="4">
        <v>27.637823395449999</v>
      </c>
      <c r="F2118" s="4">
        <v>29.226160755774998</v>
      </c>
      <c r="G2118" s="4">
        <v>27.6</v>
      </c>
      <c r="H2118" s="5">
        <v>37.299721584691667</v>
      </c>
      <c r="I2118" s="5">
        <v>35.46592868004722</v>
      </c>
      <c r="J2118" s="5">
        <v>45.436271718852787</v>
      </c>
      <c r="K2118" s="5">
        <v>38</v>
      </c>
    </row>
    <row r="2119" spans="1:11" x14ac:dyDescent="0.25">
      <c r="A2119" s="2">
        <v>46185.666666666657</v>
      </c>
      <c r="B2119" t="str">
        <f t="shared" si="66"/>
        <v>2026-06</v>
      </c>
      <c r="C2119" s="3">
        <f t="shared" si="67"/>
        <v>16</v>
      </c>
      <c r="D2119" s="4">
        <v>26.654479879388891</v>
      </c>
      <c r="E2119" s="4">
        <v>28.245348150925</v>
      </c>
      <c r="F2119" s="4">
        <v>29.269046500933332</v>
      </c>
      <c r="G2119" s="4">
        <v>27.3</v>
      </c>
      <c r="H2119" s="5">
        <v>45.612767871475</v>
      </c>
      <c r="I2119" s="5">
        <v>43.17930311798056</v>
      </c>
      <c r="J2119" s="5">
        <v>45.95746219158611</v>
      </c>
      <c r="K2119" s="5">
        <v>42</v>
      </c>
    </row>
    <row r="2120" spans="1:11" x14ac:dyDescent="0.25">
      <c r="A2120" s="2">
        <v>46185.708333333343</v>
      </c>
      <c r="B2120" t="str">
        <f t="shared" si="66"/>
        <v>2026-06</v>
      </c>
      <c r="C2120" s="3">
        <f t="shared" si="67"/>
        <v>17</v>
      </c>
      <c r="D2120" s="4">
        <v>26.112521922969449</v>
      </c>
      <c r="E2120" s="4">
        <v>28.051027350363889</v>
      </c>
      <c r="F2120" s="4">
        <v>29.357358003447221</v>
      </c>
      <c r="G2120" s="4">
        <v>27.3</v>
      </c>
      <c r="H2120" s="5">
        <v>40.598658776205554</v>
      </c>
      <c r="I2120" s="5">
        <v>38.791600467730561</v>
      </c>
      <c r="J2120" s="5">
        <v>46.047961479416671</v>
      </c>
      <c r="K2120" s="5">
        <v>42</v>
      </c>
    </row>
    <row r="2121" spans="1:11" x14ac:dyDescent="0.25">
      <c r="A2121" s="2">
        <v>46185.75</v>
      </c>
      <c r="B2121" t="str">
        <f t="shared" si="66"/>
        <v>2026-06</v>
      </c>
      <c r="C2121" s="3">
        <f t="shared" si="67"/>
        <v>18</v>
      </c>
      <c r="D2121" s="4">
        <v>26.974286760849999</v>
      </c>
      <c r="E2121" s="4">
        <v>28.064995030763889</v>
      </c>
      <c r="F2121" s="4">
        <v>29.410323752022219</v>
      </c>
      <c r="G2121" s="4">
        <v>26.9</v>
      </c>
      <c r="H2121" s="5">
        <v>41.970397804122221</v>
      </c>
      <c r="I2121" s="5">
        <v>40.15386198779445</v>
      </c>
      <c r="J2121" s="5">
        <v>46.047841345097233</v>
      </c>
      <c r="K2121" s="5">
        <v>43</v>
      </c>
    </row>
    <row r="2122" spans="1:11" x14ac:dyDescent="0.25">
      <c r="A2122" s="2">
        <v>46185.791666666657</v>
      </c>
      <c r="B2122" t="str">
        <f t="shared" si="66"/>
        <v>2026-06</v>
      </c>
      <c r="C2122" s="3">
        <f t="shared" si="67"/>
        <v>19</v>
      </c>
      <c r="D2122" s="4">
        <v>27.044733367305561</v>
      </c>
      <c r="E2122" s="4">
        <v>28.008164297069449</v>
      </c>
      <c r="F2122" s="4">
        <v>29.470081071083332</v>
      </c>
      <c r="G2122" s="4">
        <v>26.7</v>
      </c>
      <c r="H2122" s="5">
        <v>44.658093578783337</v>
      </c>
      <c r="I2122" s="5">
        <v>42.849711998433328</v>
      </c>
      <c r="J2122" s="5">
        <v>46.834137769897218</v>
      </c>
      <c r="K2122" s="5">
        <v>43</v>
      </c>
    </row>
    <row r="2123" spans="1:11" x14ac:dyDescent="0.25">
      <c r="A2123" s="2">
        <v>46185.833333333343</v>
      </c>
      <c r="B2123" t="str">
        <f t="shared" si="66"/>
        <v>2026-06</v>
      </c>
      <c r="C2123" s="3">
        <f t="shared" si="67"/>
        <v>20</v>
      </c>
      <c r="D2123" s="4">
        <v>26.52969264607222</v>
      </c>
      <c r="E2123" s="4">
        <v>27.533029420141659</v>
      </c>
      <c r="F2123" s="4">
        <v>29.572389997702771</v>
      </c>
      <c r="G2123" s="4">
        <v>25.9</v>
      </c>
      <c r="H2123" s="5">
        <v>45.292752529961113</v>
      </c>
      <c r="I2123" s="5">
        <v>43.464512696041673</v>
      </c>
      <c r="J2123" s="5">
        <v>47.577699575533337</v>
      </c>
      <c r="K2123" s="5">
        <v>46</v>
      </c>
    </row>
    <row r="2124" spans="1:11" x14ac:dyDescent="0.25">
      <c r="A2124" s="2">
        <v>46185.875</v>
      </c>
      <c r="B2124" t="str">
        <f t="shared" si="66"/>
        <v>2026-06</v>
      </c>
      <c r="C2124" s="3">
        <f t="shared" si="67"/>
        <v>21</v>
      </c>
      <c r="D2124" s="4">
        <v>25.301490472958331</v>
      </c>
      <c r="E2124" s="4">
        <v>27.079279865441659</v>
      </c>
      <c r="F2124" s="4">
        <v>29.51546031226944</v>
      </c>
      <c r="G2124" s="4">
        <v>24.4</v>
      </c>
      <c r="H2124" s="5">
        <v>47.080442590152778</v>
      </c>
      <c r="I2124" s="5">
        <v>43.664853831249992</v>
      </c>
      <c r="J2124" s="5">
        <v>47.724514679211097</v>
      </c>
      <c r="K2124" s="5">
        <v>53</v>
      </c>
    </row>
    <row r="2125" spans="1:11" x14ac:dyDescent="0.25">
      <c r="A2125" s="2">
        <v>46185.916666666657</v>
      </c>
      <c r="B2125" t="str">
        <f t="shared" si="66"/>
        <v>2026-06</v>
      </c>
      <c r="C2125" s="3">
        <f t="shared" si="67"/>
        <v>22</v>
      </c>
      <c r="D2125" s="4">
        <v>25.426956410033331</v>
      </c>
      <c r="E2125" s="4">
        <v>27.300997247072221</v>
      </c>
      <c r="F2125" s="4">
        <v>29.443212500461112</v>
      </c>
      <c r="G2125" s="4">
        <v>23.5</v>
      </c>
      <c r="H2125" s="5">
        <v>44.546773817236108</v>
      </c>
      <c r="I2125" s="5">
        <v>42.552764273377782</v>
      </c>
      <c r="J2125" s="5">
        <v>47.426145060091663</v>
      </c>
      <c r="K2125" s="5">
        <v>62</v>
      </c>
    </row>
    <row r="2126" spans="1:11" x14ac:dyDescent="0.25">
      <c r="A2126" s="2">
        <v>46185.958333333343</v>
      </c>
      <c r="B2126" t="str">
        <f t="shared" si="66"/>
        <v>2026-06</v>
      </c>
      <c r="C2126" s="3">
        <f t="shared" si="67"/>
        <v>23</v>
      </c>
      <c r="D2126" s="4">
        <v>25.778024022377771</v>
      </c>
      <c r="E2126" s="4">
        <v>27.75002999011944</v>
      </c>
      <c r="F2126" s="4">
        <v>29.478238629466659</v>
      </c>
      <c r="G2126" s="4">
        <v>22.6</v>
      </c>
      <c r="H2126" s="5">
        <v>45.079309806174997</v>
      </c>
      <c r="I2126" s="5">
        <v>43.029731589027783</v>
      </c>
      <c r="J2126" s="5">
        <v>47.380546059527781</v>
      </c>
      <c r="K2126" s="5">
        <v>64</v>
      </c>
    </row>
    <row r="2127" spans="1:11" x14ac:dyDescent="0.25">
      <c r="A2127" s="2">
        <v>46186</v>
      </c>
      <c r="B2127" t="str">
        <f t="shared" si="66"/>
        <v>2026-06</v>
      </c>
      <c r="C2127" s="3">
        <f t="shared" si="67"/>
        <v>0</v>
      </c>
      <c r="D2127" s="4">
        <v>25.759878294208331</v>
      </c>
      <c r="E2127" s="4">
        <v>27.852626002000001</v>
      </c>
      <c r="F2127" s="4">
        <v>29.546466300388889</v>
      </c>
      <c r="G2127" s="4">
        <v>21.8</v>
      </c>
      <c r="H2127" s="5">
        <v>45.918024367266668</v>
      </c>
      <c r="I2127" s="5">
        <v>42.679405819222218</v>
      </c>
      <c r="J2127" s="5">
        <v>47.299621640102778</v>
      </c>
      <c r="K2127" s="5">
        <v>67</v>
      </c>
    </row>
    <row r="2128" spans="1:11" x14ac:dyDescent="0.25">
      <c r="A2128" s="2">
        <v>46186.041666666657</v>
      </c>
      <c r="B2128" t="str">
        <f t="shared" si="66"/>
        <v>2026-06</v>
      </c>
      <c r="C2128" s="3">
        <f t="shared" si="67"/>
        <v>1</v>
      </c>
      <c r="D2128" s="4">
        <v>25.836647318536109</v>
      </c>
      <c r="E2128" s="4">
        <v>28.142636799186111</v>
      </c>
      <c r="F2128" s="4">
        <v>29.640764815575</v>
      </c>
      <c r="G2128" s="4">
        <v>21</v>
      </c>
      <c r="H2128" s="5">
        <v>47.3143814417</v>
      </c>
      <c r="I2128" s="5">
        <v>44.221778231380561</v>
      </c>
      <c r="J2128" s="5">
        <v>47.305217471563893</v>
      </c>
      <c r="K2128" s="5">
        <v>71</v>
      </c>
    </row>
    <row r="2129" spans="1:11" x14ac:dyDescent="0.25">
      <c r="A2129" s="2">
        <v>46186.083333333343</v>
      </c>
      <c r="B2129" t="str">
        <f t="shared" si="66"/>
        <v>2026-06</v>
      </c>
      <c r="C2129" s="3">
        <f t="shared" si="67"/>
        <v>2</v>
      </c>
      <c r="D2129" s="4">
        <v>25.158387607097222</v>
      </c>
      <c r="E2129" s="4">
        <v>28.083991486563889</v>
      </c>
      <c r="F2129" s="4">
        <v>29.695665216933332</v>
      </c>
      <c r="G2129" s="4">
        <v>20.6</v>
      </c>
      <c r="H2129" s="5">
        <v>48.864778616827778</v>
      </c>
      <c r="I2129" s="5">
        <v>44.510238410869441</v>
      </c>
      <c r="J2129" s="5">
        <v>47.657544840655547</v>
      </c>
      <c r="K2129" s="5">
        <v>77</v>
      </c>
    </row>
    <row r="2130" spans="1:11" x14ac:dyDescent="0.25">
      <c r="A2130" s="2">
        <v>46186.125</v>
      </c>
      <c r="B2130" t="str">
        <f t="shared" si="66"/>
        <v>2026-06</v>
      </c>
      <c r="C2130" s="3">
        <f t="shared" si="67"/>
        <v>3</v>
      </c>
      <c r="D2130" s="4">
        <v>24.167687676472219</v>
      </c>
      <c r="E2130" s="4">
        <v>27.380995100694449</v>
      </c>
      <c r="F2130" s="4">
        <v>29.689646021047221</v>
      </c>
      <c r="G2130" s="4">
        <v>18.7</v>
      </c>
      <c r="H2130" s="5">
        <v>50.722528717619447</v>
      </c>
      <c r="I2130" s="5">
        <v>44.191844148083327</v>
      </c>
      <c r="J2130" s="5">
        <v>47.563965547905553</v>
      </c>
      <c r="K2130" s="5">
        <v>88</v>
      </c>
    </row>
    <row r="2131" spans="1:11" x14ac:dyDescent="0.25">
      <c r="A2131" s="2">
        <v>46186.166666666657</v>
      </c>
      <c r="B2131" t="str">
        <f t="shared" si="66"/>
        <v>2026-06</v>
      </c>
      <c r="C2131" s="3">
        <f t="shared" si="67"/>
        <v>4</v>
      </c>
      <c r="D2131" s="4">
        <v>23.444505384308329</v>
      </c>
      <c r="E2131" s="4">
        <v>27.308148871699998</v>
      </c>
      <c r="F2131" s="4">
        <v>29.56490741970833</v>
      </c>
      <c r="G2131" s="4">
        <v>18.2</v>
      </c>
      <c r="H2131" s="5">
        <v>52.120886590263893</v>
      </c>
      <c r="I2131" s="5">
        <v>43.737796338805559</v>
      </c>
      <c r="J2131" s="5">
        <v>47.491118642577781</v>
      </c>
      <c r="K2131" s="5">
        <v>89</v>
      </c>
    </row>
    <row r="2132" spans="1:11" x14ac:dyDescent="0.25">
      <c r="A2132" s="2">
        <v>46186.208333333343</v>
      </c>
      <c r="B2132" t="str">
        <f t="shared" si="66"/>
        <v>2026-06</v>
      </c>
      <c r="C2132" s="3">
        <f t="shared" si="67"/>
        <v>5</v>
      </c>
      <c r="D2132" s="4">
        <v>23.99808338875</v>
      </c>
      <c r="E2132" s="4">
        <v>27.28192540009444</v>
      </c>
      <c r="F2132" s="4">
        <v>29.441507915333329</v>
      </c>
      <c r="G2132" s="4">
        <v>18</v>
      </c>
      <c r="H2132" s="5">
        <v>50.862727904616662</v>
      </c>
      <c r="I2132" s="5">
        <v>43.719597896552777</v>
      </c>
      <c r="J2132" s="5">
        <v>47.401311646575003</v>
      </c>
      <c r="K2132" s="5">
        <v>90</v>
      </c>
    </row>
    <row r="2133" spans="1:11" x14ac:dyDescent="0.25">
      <c r="A2133" s="2">
        <v>46186.25</v>
      </c>
      <c r="B2133" t="str">
        <f t="shared" si="66"/>
        <v>2026-06</v>
      </c>
      <c r="C2133" s="3">
        <f t="shared" si="67"/>
        <v>6</v>
      </c>
      <c r="D2133" s="4">
        <v>25.82347785993635</v>
      </c>
      <c r="E2133" s="4">
        <v>27.41862575534325</v>
      </c>
      <c r="F2133" s="4">
        <v>29.33587582438216</v>
      </c>
      <c r="G2133" s="4">
        <v>19</v>
      </c>
      <c r="H2133" s="5">
        <v>47.200188600398398</v>
      </c>
      <c r="I2133" s="5">
        <v>44.834570392214687</v>
      </c>
      <c r="J2133" s="5">
        <v>47.499427230371751</v>
      </c>
      <c r="K2133" s="5">
        <v>86</v>
      </c>
    </row>
    <row r="2134" spans="1:11" x14ac:dyDescent="0.25">
      <c r="A2134" s="2">
        <v>46186.291666666657</v>
      </c>
      <c r="B2134" t="str">
        <f t="shared" si="66"/>
        <v>2026-06</v>
      </c>
      <c r="C2134" s="3">
        <f t="shared" si="67"/>
        <v>7</v>
      </c>
      <c r="D2134" s="4">
        <v>26.566711304816671</v>
      </c>
      <c r="E2134" s="4">
        <v>27.61516321318334</v>
      </c>
      <c r="F2134" s="4">
        <v>29.193798482286109</v>
      </c>
      <c r="G2134" s="4">
        <v>21.1</v>
      </c>
      <c r="H2134" s="5">
        <v>46.432454743347229</v>
      </c>
      <c r="I2134" s="5">
        <v>44.639006581569447</v>
      </c>
      <c r="J2134" s="5">
        <v>47.773012607522219</v>
      </c>
      <c r="K2134" s="5">
        <v>78</v>
      </c>
    </row>
    <row r="2135" spans="1:11" x14ac:dyDescent="0.25">
      <c r="A2135" s="2">
        <v>46186.333333333343</v>
      </c>
      <c r="B2135" t="str">
        <f t="shared" si="66"/>
        <v>2026-06</v>
      </c>
      <c r="C2135" s="3">
        <f t="shared" si="67"/>
        <v>8</v>
      </c>
      <c r="D2135" s="4">
        <v>27.367285551386111</v>
      </c>
      <c r="E2135" s="4">
        <v>27.775627970627781</v>
      </c>
      <c r="F2135" s="4">
        <v>29.063490991325001</v>
      </c>
      <c r="G2135" s="4">
        <v>23.1</v>
      </c>
      <c r="H2135" s="5">
        <v>45.472462339008331</v>
      </c>
      <c r="I2135" s="5">
        <v>44.933879301097221</v>
      </c>
      <c r="J2135" s="5">
        <v>47.986941899222217</v>
      </c>
      <c r="K2135" s="5">
        <v>68</v>
      </c>
    </row>
    <row r="2136" spans="1:11" x14ac:dyDescent="0.25">
      <c r="A2136" s="2">
        <v>46186.375</v>
      </c>
      <c r="B2136" t="str">
        <f t="shared" si="66"/>
        <v>2026-06</v>
      </c>
      <c r="C2136" s="3">
        <f t="shared" si="67"/>
        <v>9</v>
      </c>
      <c r="D2136" s="4">
        <v>29.073048738727781</v>
      </c>
      <c r="E2136" s="4">
        <v>28.374207594388889</v>
      </c>
      <c r="F2136" s="4">
        <v>28.995641321850002</v>
      </c>
      <c r="G2136" s="4">
        <v>24</v>
      </c>
      <c r="H2136" s="5">
        <v>42.916992213908323</v>
      </c>
      <c r="I2136" s="5">
        <v>45.33753161535833</v>
      </c>
      <c r="J2136" s="5">
        <v>47.774878047602783</v>
      </c>
      <c r="K2136" s="5">
        <v>59</v>
      </c>
    </row>
    <row r="2137" spans="1:11" x14ac:dyDescent="0.25">
      <c r="A2137" s="2">
        <v>46186.416666666657</v>
      </c>
      <c r="B2137" t="str">
        <f t="shared" si="66"/>
        <v>2026-06</v>
      </c>
      <c r="C2137" s="3">
        <f t="shared" si="67"/>
        <v>10</v>
      </c>
      <c r="D2137" s="4">
        <v>28.374647968344441</v>
      </c>
      <c r="E2137" s="4">
        <v>28.492582194255561</v>
      </c>
      <c r="F2137" s="4">
        <v>28.970917556777781</v>
      </c>
      <c r="G2137" s="4">
        <v>24.4</v>
      </c>
      <c r="H2137" s="5">
        <v>44.716270563033333</v>
      </c>
      <c r="I2137" s="5">
        <v>45.395422776955563</v>
      </c>
      <c r="J2137" s="5">
        <v>47.718279844999998</v>
      </c>
      <c r="K2137" s="5">
        <v>60</v>
      </c>
    </row>
    <row r="2138" spans="1:11" x14ac:dyDescent="0.25">
      <c r="A2138" s="2">
        <v>46186.458333333343</v>
      </c>
      <c r="B2138" t="str">
        <f t="shared" si="66"/>
        <v>2026-06</v>
      </c>
      <c r="C2138" s="3">
        <f t="shared" si="67"/>
        <v>11</v>
      </c>
      <c r="D2138" s="4"/>
      <c r="E2138" s="4"/>
      <c r="F2138" s="4"/>
      <c r="G2138" s="4">
        <v>25.1</v>
      </c>
      <c r="H2138" s="5"/>
      <c r="I2138" s="5"/>
      <c r="J2138" s="5"/>
      <c r="K2138" s="5">
        <v>59</v>
      </c>
    </row>
    <row r="2139" spans="1:11" x14ac:dyDescent="0.25">
      <c r="A2139" s="2">
        <v>46186.5</v>
      </c>
      <c r="B2139" t="str">
        <f t="shared" si="66"/>
        <v>2026-06</v>
      </c>
      <c r="C2139" s="3">
        <f t="shared" si="67"/>
        <v>12</v>
      </c>
      <c r="D2139" s="4"/>
      <c r="E2139" s="4"/>
      <c r="F2139" s="4"/>
      <c r="G2139" s="4">
        <v>22.4</v>
      </c>
      <c r="H2139" s="5"/>
      <c r="I2139" s="5"/>
      <c r="J2139" s="5"/>
      <c r="K2139" s="5">
        <v>74</v>
      </c>
    </row>
    <row r="2140" spans="1:11" x14ac:dyDescent="0.25">
      <c r="A2140" s="2">
        <v>46186.541666666657</v>
      </c>
      <c r="B2140" t="str">
        <f t="shared" si="66"/>
        <v>2026-06</v>
      </c>
      <c r="C2140" s="3">
        <f t="shared" si="67"/>
        <v>13</v>
      </c>
      <c r="D2140" s="4"/>
      <c r="E2140" s="4"/>
      <c r="F2140" s="4"/>
      <c r="G2140" s="4">
        <v>24</v>
      </c>
      <c r="H2140" s="5"/>
      <c r="I2140" s="5"/>
      <c r="J2140" s="5"/>
      <c r="K2140" s="5">
        <v>68</v>
      </c>
    </row>
    <row r="2141" spans="1:11" x14ac:dyDescent="0.25">
      <c r="A2141" s="2">
        <v>46186.583333333343</v>
      </c>
      <c r="B2141" t="str">
        <f t="shared" si="66"/>
        <v>2026-06</v>
      </c>
      <c r="C2141" s="3">
        <f t="shared" si="67"/>
        <v>14</v>
      </c>
      <c r="D2141" s="4"/>
      <c r="E2141" s="4"/>
      <c r="F2141" s="4"/>
      <c r="G2141" s="4">
        <v>19.8</v>
      </c>
      <c r="H2141" s="5"/>
      <c r="I2141" s="5"/>
      <c r="J2141" s="5"/>
      <c r="K2141" s="5">
        <v>87</v>
      </c>
    </row>
    <row r="2142" spans="1:11" x14ac:dyDescent="0.25">
      <c r="A2142" s="2">
        <v>46186.625</v>
      </c>
      <c r="B2142" t="str">
        <f t="shared" si="66"/>
        <v>2026-06</v>
      </c>
      <c r="C2142" s="3">
        <f t="shared" si="67"/>
        <v>15</v>
      </c>
      <c r="D2142" s="4"/>
      <c r="E2142" s="4"/>
      <c r="F2142" s="4"/>
      <c r="G2142" s="4">
        <v>23.1</v>
      </c>
      <c r="H2142" s="5"/>
      <c r="I2142" s="5"/>
      <c r="J2142" s="5"/>
      <c r="K2142" s="5">
        <v>66</v>
      </c>
    </row>
    <row r="2143" spans="1:11" x14ac:dyDescent="0.25">
      <c r="A2143" s="2">
        <v>46186.666666666657</v>
      </c>
      <c r="B2143" t="str">
        <f t="shared" si="66"/>
        <v>2026-06</v>
      </c>
      <c r="C2143" s="3">
        <f t="shared" si="67"/>
        <v>16</v>
      </c>
      <c r="D2143" s="4"/>
      <c r="E2143" s="4"/>
      <c r="F2143" s="4"/>
      <c r="G2143" s="4">
        <v>21.3</v>
      </c>
      <c r="H2143" s="5"/>
      <c r="I2143" s="5"/>
      <c r="J2143" s="5"/>
      <c r="K2143" s="5">
        <v>78</v>
      </c>
    </row>
    <row r="2144" spans="1:11" x14ac:dyDescent="0.25">
      <c r="A2144" s="2">
        <v>46186.708333333343</v>
      </c>
      <c r="B2144" t="str">
        <f t="shared" si="66"/>
        <v>2026-06</v>
      </c>
      <c r="C2144" s="3">
        <f t="shared" si="67"/>
        <v>17</v>
      </c>
      <c r="D2144" s="4"/>
      <c r="E2144" s="4"/>
      <c r="F2144" s="4"/>
      <c r="G2144" s="4">
        <v>20.100000000000001</v>
      </c>
      <c r="H2144" s="5"/>
      <c r="I2144" s="5"/>
      <c r="J2144" s="5"/>
      <c r="K2144" s="5">
        <v>87</v>
      </c>
    </row>
    <row r="2145" spans="1:11" x14ac:dyDescent="0.25">
      <c r="A2145" s="2">
        <v>46186.75</v>
      </c>
      <c r="B2145" t="str">
        <f t="shared" si="66"/>
        <v>2026-06</v>
      </c>
      <c r="C2145" s="3">
        <f t="shared" si="67"/>
        <v>18</v>
      </c>
      <c r="D2145" s="4"/>
      <c r="E2145" s="4"/>
      <c r="F2145" s="4"/>
      <c r="G2145" s="4">
        <v>20.2</v>
      </c>
      <c r="H2145" s="5"/>
      <c r="I2145" s="5"/>
      <c r="J2145" s="5"/>
      <c r="K2145" s="5">
        <v>85</v>
      </c>
    </row>
    <row r="2146" spans="1:11" x14ac:dyDescent="0.25">
      <c r="A2146" s="2">
        <v>46186.791666666657</v>
      </c>
      <c r="B2146" t="str">
        <f t="shared" si="66"/>
        <v>2026-06</v>
      </c>
      <c r="C2146" s="3">
        <f t="shared" si="67"/>
        <v>19</v>
      </c>
      <c r="D2146" s="4">
        <v>26.234395223114049</v>
      </c>
      <c r="E2146" s="4">
        <v>27.844386021166681</v>
      </c>
      <c r="F2146" s="4">
        <v>28.619883046301009</v>
      </c>
      <c r="G2146" s="4">
        <v>19.600000000000001</v>
      </c>
      <c r="H2146" s="5">
        <v>47.321270667839599</v>
      </c>
      <c r="I2146" s="5">
        <v>45.64346464541682</v>
      </c>
      <c r="J2146" s="5">
        <v>52.740824775213191</v>
      </c>
      <c r="K2146" s="5">
        <v>88</v>
      </c>
    </row>
    <row r="2147" spans="1:11" x14ac:dyDescent="0.25">
      <c r="A2147" s="2">
        <v>46186.833333333343</v>
      </c>
      <c r="B2147" t="str">
        <f t="shared" si="66"/>
        <v>2026-06</v>
      </c>
      <c r="C2147" s="3">
        <f t="shared" si="67"/>
        <v>20</v>
      </c>
      <c r="D2147" s="4">
        <v>25.90564159585</v>
      </c>
      <c r="E2147" s="4">
        <v>27.884082860041669</v>
      </c>
      <c r="F2147" s="4">
        <v>28.891887888797221</v>
      </c>
      <c r="G2147" s="4">
        <v>19.399999999999999</v>
      </c>
      <c r="H2147" s="5">
        <v>46.825069916925003</v>
      </c>
      <c r="I2147" s="5">
        <v>44.548319726780562</v>
      </c>
      <c r="J2147" s="5">
        <v>51.566878620088893</v>
      </c>
      <c r="K2147" s="5">
        <v>85</v>
      </c>
    </row>
    <row r="2148" spans="1:11" x14ac:dyDescent="0.25">
      <c r="A2148" s="2">
        <v>46186.875</v>
      </c>
      <c r="B2148" t="str">
        <f t="shared" si="66"/>
        <v>2026-06</v>
      </c>
      <c r="C2148" s="3">
        <f t="shared" si="67"/>
        <v>21</v>
      </c>
      <c r="D2148" s="4">
        <v>25.00346002858889</v>
      </c>
      <c r="E2148" s="4">
        <v>27.60988498886389</v>
      </c>
      <c r="F2148" s="4">
        <v>28.988027455469449</v>
      </c>
      <c r="G2148" s="4">
        <v>18.100000000000001</v>
      </c>
      <c r="H2148" s="5">
        <v>47.731497378752778</v>
      </c>
      <c r="I2148" s="5">
        <v>44.649217683019451</v>
      </c>
      <c r="J2148" s="5">
        <v>51.476759353566671</v>
      </c>
      <c r="K2148" s="5">
        <v>77</v>
      </c>
    </row>
    <row r="2149" spans="1:11" x14ac:dyDescent="0.25">
      <c r="A2149" s="2">
        <v>46186.916666666657</v>
      </c>
      <c r="B2149" t="str">
        <f t="shared" si="66"/>
        <v>2026-06</v>
      </c>
      <c r="C2149" s="3">
        <f t="shared" si="67"/>
        <v>22</v>
      </c>
      <c r="D2149" s="4">
        <v>24.067955015900001</v>
      </c>
      <c r="E2149" s="4">
        <v>27.121670711944439</v>
      </c>
      <c r="F2149" s="4">
        <v>29.257430505452781</v>
      </c>
      <c r="G2149" s="4">
        <v>17.5</v>
      </c>
      <c r="H2149" s="5">
        <v>47.773460581452781</v>
      </c>
      <c r="I2149" s="5">
        <v>42.78929492534445</v>
      </c>
      <c r="J2149" s="5">
        <v>50.455400731541673</v>
      </c>
      <c r="K2149" s="5">
        <v>76</v>
      </c>
    </row>
    <row r="2150" spans="1:11" x14ac:dyDescent="0.25">
      <c r="A2150" s="2">
        <v>46186.958333333343</v>
      </c>
      <c r="B2150" t="str">
        <f t="shared" si="66"/>
        <v>2026-06</v>
      </c>
      <c r="C2150" s="3">
        <f t="shared" si="67"/>
        <v>23</v>
      </c>
      <c r="D2150" s="4">
        <v>24.766323128050001</v>
      </c>
      <c r="E2150" s="4">
        <v>27.296541153044441</v>
      </c>
      <c r="F2150" s="4">
        <v>29.31239413055</v>
      </c>
      <c r="G2150" s="4">
        <v>17.3</v>
      </c>
      <c r="H2150" s="5">
        <v>45.375589237897223</v>
      </c>
      <c r="I2150" s="5">
        <v>42.542587849302777</v>
      </c>
      <c r="J2150" s="5">
        <v>49.776930962744451</v>
      </c>
      <c r="K2150" s="5">
        <v>74</v>
      </c>
    </row>
    <row r="2151" spans="1:11" x14ac:dyDescent="0.25">
      <c r="A2151" s="2">
        <v>46187</v>
      </c>
      <c r="B2151" t="str">
        <f t="shared" si="66"/>
        <v>2026-06</v>
      </c>
      <c r="C2151" s="3">
        <f t="shared" si="67"/>
        <v>0</v>
      </c>
      <c r="D2151" s="4">
        <v>24.88007858218333</v>
      </c>
      <c r="E2151" s="4">
        <v>27.40422423648889</v>
      </c>
      <c r="F2151" s="4">
        <v>29.276653661019449</v>
      </c>
      <c r="G2151" s="4">
        <v>17.100000000000001</v>
      </c>
      <c r="H2151" s="5">
        <v>44.058734096486113</v>
      </c>
      <c r="I2151" s="5">
        <v>41.631386953688889</v>
      </c>
      <c r="J2151" s="5">
        <v>49.178535630252782</v>
      </c>
      <c r="K2151" s="5">
        <v>74</v>
      </c>
    </row>
    <row r="2152" spans="1:11" x14ac:dyDescent="0.25">
      <c r="A2152" s="2">
        <v>46187.041666666657</v>
      </c>
      <c r="B2152" t="str">
        <f t="shared" si="66"/>
        <v>2026-06</v>
      </c>
      <c r="C2152" s="3">
        <f t="shared" si="67"/>
        <v>1</v>
      </c>
      <c r="D2152" s="4">
        <v>24.31721051238334</v>
      </c>
      <c r="E2152" s="4">
        <v>27.224722115386111</v>
      </c>
      <c r="F2152" s="4">
        <v>29.276403132966671</v>
      </c>
      <c r="G2152" s="4">
        <v>16.8</v>
      </c>
      <c r="H2152" s="5">
        <v>43.846606915472222</v>
      </c>
      <c r="I2152" s="5">
        <v>40.432638579038887</v>
      </c>
      <c r="J2152" s="5">
        <v>48.368468231661119</v>
      </c>
      <c r="K2152" s="5">
        <v>74</v>
      </c>
    </row>
    <row r="2153" spans="1:11" x14ac:dyDescent="0.25">
      <c r="A2153" s="2">
        <v>46187.083333333343</v>
      </c>
      <c r="B2153" t="str">
        <f t="shared" si="66"/>
        <v>2026-06</v>
      </c>
      <c r="C2153" s="3">
        <f t="shared" si="67"/>
        <v>2</v>
      </c>
      <c r="D2153" s="4">
        <v>24.084074982600001</v>
      </c>
      <c r="E2153" s="4">
        <v>26.896906526877771</v>
      </c>
      <c r="F2153" s="4">
        <v>29.406763399338889</v>
      </c>
      <c r="G2153" s="4">
        <v>16.7</v>
      </c>
      <c r="H2153" s="5">
        <v>43.876822194936118</v>
      </c>
      <c r="I2153" s="5">
        <v>39.863411051963887</v>
      </c>
      <c r="J2153" s="5">
        <v>48.130093148622223</v>
      </c>
      <c r="K2153" s="5">
        <v>74</v>
      </c>
    </row>
    <row r="2154" spans="1:11" x14ac:dyDescent="0.25">
      <c r="A2154" s="2">
        <v>46187.125</v>
      </c>
      <c r="B2154" t="str">
        <f t="shared" si="66"/>
        <v>2026-06</v>
      </c>
      <c r="C2154" s="3">
        <f t="shared" si="67"/>
        <v>3</v>
      </c>
      <c r="D2154" s="4">
        <v>22.753919942119438</v>
      </c>
      <c r="E2154" s="4">
        <v>26.754035784758329</v>
      </c>
      <c r="F2154" s="4">
        <v>29.489329355658331</v>
      </c>
      <c r="G2154" s="4">
        <v>15.8</v>
      </c>
      <c r="H2154" s="5">
        <v>47.057904482261122</v>
      </c>
      <c r="I2154" s="5">
        <v>40.535642968747219</v>
      </c>
      <c r="J2154" s="5">
        <v>47.795367057444437</v>
      </c>
      <c r="K2154" s="5">
        <v>77</v>
      </c>
    </row>
    <row r="2155" spans="1:11" x14ac:dyDescent="0.25">
      <c r="A2155" s="2">
        <v>46187.166666666657</v>
      </c>
      <c r="B2155" t="str">
        <f t="shared" si="66"/>
        <v>2026-06</v>
      </c>
      <c r="C2155" s="3">
        <f t="shared" si="67"/>
        <v>4</v>
      </c>
      <c r="D2155" s="4">
        <v>22.047184607108331</v>
      </c>
      <c r="E2155" s="4">
        <v>26.468060850794441</v>
      </c>
      <c r="F2155" s="4">
        <v>29.54477882444445</v>
      </c>
      <c r="G2155" s="4">
        <v>15.4</v>
      </c>
      <c r="H2155" s="5">
        <v>48.202220616041657</v>
      </c>
      <c r="I2155" s="5">
        <v>39.678741819163889</v>
      </c>
      <c r="J2155" s="5">
        <v>47.390768253891672</v>
      </c>
      <c r="K2155" s="5">
        <v>78</v>
      </c>
    </row>
    <row r="2156" spans="1:11" x14ac:dyDescent="0.25">
      <c r="A2156" s="2">
        <v>46187.208333333343</v>
      </c>
      <c r="B2156" t="str">
        <f t="shared" si="66"/>
        <v>2026-06</v>
      </c>
      <c r="C2156" s="3">
        <f t="shared" si="67"/>
        <v>5</v>
      </c>
      <c r="D2156" s="4">
        <v>22.10216648917222</v>
      </c>
      <c r="E2156" s="4">
        <v>26.357919680988889</v>
      </c>
      <c r="F2156" s="4">
        <v>29.566065600588889</v>
      </c>
      <c r="G2156" s="4">
        <v>15</v>
      </c>
      <c r="H2156" s="5">
        <v>47.517415678369453</v>
      </c>
      <c r="I2156" s="5">
        <v>39.149789533305558</v>
      </c>
      <c r="J2156" s="5">
        <v>47.024150261663891</v>
      </c>
      <c r="K2156" s="5">
        <v>80</v>
      </c>
    </row>
    <row r="2157" spans="1:11" x14ac:dyDescent="0.25">
      <c r="A2157" s="2">
        <v>46187.25</v>
      </c>
      <c r="B2157" t="str">
        <f t="shared" si="66"/>
        <v>2026-06</v>
      </c>
      <c r="C2157" s="3">
        <f t="shared" si="67"/>
        <v>6</v>
      </c>
      <c r="D2157" s="4">
        <v>23.721127351669448</v>
      </c>
      <c r="E2157" s="4">
        <v>26.69540720520278</v>
      </c>
      <c r="F2157" s="4">
        <v>29.497431922130559</v>
      </c>
      <c r="G2157" s="4">
        <v>14.9</v>
      </c>
      <c r="H2157" s="5">
        <v>43.077297678211117</v>
      </c>
      <c r="I2157" s="5">
        <v>38.73653534578056</v>
      </c>
      <c r="J2157" s="5">
        <v>46.81153435377778</v>
      </c>
      <c r="K2157" s="5">
        <v>80</v>
      </c>
    </row>
    <row r="2158" spans="1:11" x14ac:dyDescent="0.25">
      <c r="A2158" s="2">
        <v>46187.291666666657</v>
      </c>
      <c r="B2158" t="str">
        <f t="shared" si="66"/>
        <v>2026-06</v>
      </c>
      <c r="C2158" s="3">
        <f t="shared" si="67"/>
        <v>7</v>
      </c>
      <c r="D2158" s="4">
        <v>24.954665004991671</v>
      </c>
      <c r="E2158" s="4">
        <v>27.14205370551112</v>
      </c>
      <c r="F2158" s="4">
        <v>29.454038225533331</v>
      </c>
      <c r="G2158" s="4">
        <v>15</v>
      </c>
      <c r="H2158" s="5">
        <v>39.408783377488888</v>
      </c>
      <c r="I2158" s="5">
        <v>37.950538822280564</v>
      </c>
      <c r="J2158" s="5">
        <v>46.643391592805557</v>
      </c>
      <c r="K2158" s="5">
        <v>79</v>
      </c>
    </row>
    <row r="2159" spans="1:11" x14ac:dyDescent="0.25">
      <c r="A2159" s="2">
        <v>46187.333333333343</v>
      </c>
      <c r="B2159" t="str">
        <f t="shared" si="66"/>
        <v>2026-06</v>
      </c>
      <c r="C2159" s="3">
        <f t="shared" si="67"/>
        <v>8</v>
      </c>
      <c r="D2159" s="4">
        <v>25.826990875069441</v>
      </c>
      <c r="E2159" s="4">
        <v>27.60622444617778</v>
      </c>
      <c r="F2159" s="4">
        <v>29.431155232150001</v>
      </c>
      <c r="G2159" s="4">
        <v>15.4</v>
      </c>
      <c r="H2159" s="5">
        <v>36.030169526650013</v>
      </c>
      <c r="I2159" s="5">
        <v>36.582909597177782</v>
      </c>
      <c r="J2159" s="5">
        <v>46.51884137545278</v>
      </c>
      <c r="K2159" s="5">
        <v>75</v>
      </c>
    </row>
    <row r="2160" spans="1:11" x14ac:dyDescent="0.25">
      <c r="A2160" s="2">
        <v>46187.375</v>
      </c>
      <c r="B2160" t="str">
        <f t="shared" si="66"/>
        <v>2026-06</v>
      </c>
      <c r="C2160" s="3">
        <f t="shared" si="67"/>
        <v>9</v>
      </c>
      <c r="D2160" s="4">
        <v>26.25586998501112</v>
      </c>
      <c r="E2160" s="4">
        <v>27.786271823505551</v>
      </c>
      <c r="F2160" s="4">
        <v>29.423072048652781</v>
      </c>
      <c r="G2160" s="4">
        <v>17</v>
      </c>
      <c r="H2160" s="5">
        <v>34.57722549790833</v>
      </c>
      <c r="I2160" s="5">
        <v>35.66654529613055</v>
      </c>
      <c r="J2160" s="5">
        <v>46.476833568936122</v>
      </c>
      <c r="K2160" s="5">
        <v>68</v>
      </c>
    </row>
    <row r="2161" spans="1:11" x14ac:dyDescent="0.25">
      <c r="A2161" s="2">
        <v>46187.416666666657</v>
      </c>
      <c r="B2161" t="str">
        <f t="shared" si="66"/>
        <v>2026-06</v>
      </c>
      <c r="C2161" s="3">
        <f t="shared" si="67"/>
        <v>10</v>
      </c>
      <c r="D2161" s="4">
        <v>26.384627243358331</v>
      </c>
      <c r="E2161" s="4">
        <v>27.759827504311112</v>
      </c>
      <c r="F2161" s="4">
        <v>29.420455837525001</v>
      </c>
      <c r="G2161" s="4">
        <v>18.5</v>
      </c>
      <c r="H2161" s="5">
        <v>33.863478107005562</v>
      </c>
      <c r="I2161" s="5">
        <v>35.255055442258332</v>
      </c>
      <c r="J2161" s="5">
        <v>46.395580710325</v>
      </c>
      <c r="K2161" s="5">
        <v>60</v>
      </c>
    </row>
    <row r="2162" spans="1:11" x14ac:dyDescent="0.25">
      <c r="A2162" s="2">
        <v>46187.458333333343</v>
      </c>
      <c r="B2162" t="str">
        <f t="shared" si="66"/>
        <v>2026-06</v>
      </c>
      <c r="C2162" s="3">
        <f t="shared" si="67"/>
        <v>11</v>
      </c>
      <c r="D2162" s="4">
        <v>26.694369997458331</v>
      </c>
      <c r="E2162" s="4">
        <v>27.89199897516945</v>
      </c>
      <c r="F2162" s="4">
        <v>29.46961100291389</v>
      </c>
      <c r="G2162" s="4">
        <v>19.399999999999999</v>
      </c>
      <c r="H2162" s="5">
        <v>32.173524847458332</v>
      </c>
      <c r="I2162" s="5">
        <v>35.647296945008328</v>
      </c>
      <c r="J2162" s="5">
        <v>46.187363322722227</v>
      </c>
      <c r="K2162" s="5">
        <v>55</v>
      </c>
    </row>
    <row r="2163" spans="1:11" x14ac:dyDescent="0.25">
      <c r="A2163" s="2">
        <v>46187.5</v>
      </c>
      <c r="B2163" t="str">
        <f t="shared" si="66"/>
        <v>2026-06</v>
      </c>
      <c r="C2163" s="3">
        <f t="shared" si="67"/>
        <v>12</v>
      </c>
      <c r="D2163" s="4">
        <v>26.640849346138889</v>
      </c>
      <c r="E2163" s="4">
        <v>28.267148963583331</v>
      </c>
      <c r="F2163" s="4">
        <v>29.40828900315833</v>
      </c>
      <c r="G2163" s="4">
        <v>20.399999999999999</v>
      </c>
      <c r="H2163" s="5">
        <v>32.031395193597227</v>
      </c>
      <c r="I2163" s="5">
        <v>35.874570299502778</v>
      </c>
      <c r="J2163" s="5">
        <v>46.022227327355559</v>
      </c>
      <c r="K2163" s="5">
        <v>49</v>
      </c>
    </row>
    <row r="2164" spans="1:11" x14ac:dyDescent="0.25">
      <c r="A2164" s="2">
        <v>46187.541666666657</v>
      </c>
      <c r="B2164" t="str">
        <f t="shared" si="66"/>
        <v>2026-06</v>
      </c>
      <c r="C2164" s="3">
        <f t="shared" si="67"/>
        <v>13</v>
      </c>
      <c r="D2164" s="4">
        <v>26.557811056125001</v>
      </c>
      <c r="E2164" s="4">
        <v>28.1481362938</v>
      </c>
      <c r="F2164" s="4">
        <v>29.494936700083329</v>
      </c>
      <c r="G2164" s="4">
        <v>20.8</v>
      </c>
      <c r="H2164" s="5">
        <v>31.468874216169439</v>
      </c>
      <c r="I2164" s="5">
        <v>34.443884667491673</v>
      </c>
      <c r="J2164" s="5">
        <v>45.705952610730563</v>
      </c>
      <c r="K2164" s="5">
        <v>47</v>
      </c>
    </row>
    <row r="2165" spans="1:11" x14ac:dyDescent="0.25">
      <c r="A2165" s="2">
        <v>46187.583333333343</v>
      </c>
      <c r="B2165" t="str">
        <f t="shared" si="66"/>
        <v>2026-06</v>
      </c>
      <c r="C2165" s="3">
        <f t="shared" si="67"/>
        <v>14</v>
      </c>
      <c r="D2165" s="4">
        <v>26.358590175347221</v>
      </c>
      <c r="E2165" s="4">
        <v>27.843207534716669</v>
      </c>
      <c r="F2165" s="4">
        <v>29.60192431837778</v>
      </c>
      <c r="G2165" s="4">
        <v>21.5</v>
      </c>
      <c r="H2165" s="5">
        <v>31.13533545123056</v>
      </c>
      <c r="I2165" s="5">
        <v>34.173555151108332</v>
      </c>
      <c r="J2165" s="5">
        <v>45.048852666586107</v>
      </c>
      <c r="K2165" s="5">
        <v>45</v>
      </c>
    </row>
    <row r="2166" spans="1:11" x14ac:dyDescent="0.25">
      <c r="A2166" s="2">
        <v>46187.625</v>
      </c>
      <c r="B2166" t="str">
        <f t="shared" si="66"/>
        <v>2026-06</v>
      </c>
      <c r="C2166" s="3">
        <f t="shared" si="67"/>
        <v>15</v>
      </c>
      <c r="D2166" s="4">
        <v>26.27933835049167</v>
      </c>
      <c r="E2166" s="4">
        <v>27.754423273524999</v>
      </c>
      <c r="F2166" s="4">
        <v>29.705801290633332</v>
      </c>
      <c r="G2166" s="4">
        <v>22.3</v>
      </c>
      <c r="H2166" s="5">
        <v>31.055636156186111</v>
      </c>
      <c r="I2166" s="5">
        <v>33.093899536563889</v>
      </c>
      <c r="J2166" s="5">
        <v>45.051395821961108</v>
      </c>
      <c r="K2166" s="5">
        <v>47</v>
      </c>
    </row>
    <row r="2167" spans="1:11" x14ac:dyDescent="0.25">
      <c r="A2167" s="2">
        <v>46187.666666666657</v>
      </c>
      <c r="B2167" t="str">
        <f t="shared" si="66"/>
        <v>2026-06</v>
      </c>
      <c r="C2167" s="3">
        <f t="shared" si="67"/>
        <v>16</v>
      </c>
      <c r="D2167" s="4">
        <v>26.484215430150002</v>
      </c>
      <c r="E2167" s="4">
        <v>27.46217061929444</v>
      </c>
      <c r="F2167" s="4">
        <v>29.718593349100001</v>
      </c>
      <c r="G2167" s="4">
        <v>22.4</v>
      </c>
      <c r="H2167" s="5">
        <v>31.093787428441669</v>
      </c>
      <c r="I2167" s="5">
        <v>33.263677394825002</v>
      </c>
      <c r="J2167" s="5">
        <v>44.836528086130564</v>
      </c>
      <c r="K2167" s="5">
        <v>45</v>
      </c>
    </row>
    <row r="2168" spans="1:11" x14ac:dyDescent="0.25">
      <c r="A2168" s="2">
        <v>46187.708333333343</v>
      </c>
      <c r="B2168" t="str">
        <f t="shared" si="66"/>
        <v>2026-06</v>
      </c>
      <c r="C2168" s="3">
        <f t="shared" si="67"/>
        <v>17</v>
      </c>
      <c r="D2168" s="4">
        <v>26.571914256263881</v>
      </c>
      <c r="E2168" s="4">
        <v>27.387929189274999</v>
      </c>
      <c r="F2168" s="4">
        <v>29.658698007086109</v>
      </c>
      <c r="G2168" s="4">
        <v>22.4</v>
      </c>
      <c r="H2168" s="5">
        <v>30.960430298675</v>
      </c>
      <c r="I2168" s="5">
        <v>32.740981887347218</v>
      </c>
      <c r="J2168" s="5">
        <v>44.647779388344439</v>
      </c>
      <c r="K2168" s="5">
        <v>45</v>
      </c>
    </row>
    <row r="2169" spans="1:11" x14ac:dyDescent="0.25">
      <c r="A2169" s="2">
        <v>46187.75</v>
      </c>
      <c r="B2169" t="str">
        <f t="shared" si="66"/>
        <v>2026-06</v>
      </c>
      <c r="C2169" s="3">
        <f t="shared" si="67"/>
        <v>18</v>
      </c>
      <c r="D2169" s="4">
        <v>26.655418604661111</v>
      </c>
      <c r="E2169" s="4">
        <v>27.455894556952771</v>
      </c>
      <c r="F2169" s="4">
        <v>29.587959469986121</v>
      </c>
      <c r="G2169" s="4">
        <v>22.1</v>
      </c>
      <c r="H2169" s="5">
        <v>30.366291777691671</v>
      </c>
      <c r="I2169" s="5">
        <v>33.02687324741111</v>
      </c>
      <c r="J2169" s="5">
        <v>44.43715567680556</v>
      </c>
      <c r="K2169" s="5">
        <v>46</v>
      </c>
    </row>
    <row r="2170" spans="1:11" x14ac:dyDescent="0.25">
      <c r="A2170" s="2">
        <v>46187.791666666657</v>
      </c>
      <c r="B2170" t="str">
        <f t="shared" si="66"/>
        <v>2026-06</v>
      </c>
      <c r="C2170" s="3">
        <f t="shared" si="67"/>
        <v>19</v>
      </c>
      <c r="D2170" s="4">
        <v>26.705327785630558</v>
      </c>
      <c r="E2170" s="4">
        <v>27.467471350091671</v>
      </c>
      <c r="F2170" s="4">
        <v>29.474548392169439</v>
      </c>
      <c r="G2170" s="4">
        <v>21.6</v>
      </c>
      <c r="H2170" s="5">
        <v>31.230132108986108</v>
      </c>
      <c r="I2170" s="5">
        <v>33.273143409063891</v>
      </c>
      <c r="J2170" s="5">
        <v>43.29822871284167</v>
      </c>
      <c r="K2170" s="5">
        <v>49</v>
      </c>
    </row>
    <row r="2171" spans="1:11" x14ac:dyDescent="0.25">
      <c r="A2171" s="2">
        <v>46187.833333333343</v>
      </c>
      <c r="B2171" t="str">
        <f t="shared" si="66"/>
        <v>2026-06</v>
      </c>
      <c r="C2171" s="3">
        <f t="shared" si="67"/>
        <v>20</v>
      </c>
      <c r="D2171" s="4">
        <v>26.258997651725</v>
      </c>
      <c r="E2171" s="4">
        <v>27.353637293999999</v>
      </c>
      <c r="F2171" s="4">
        <v>29.588551640719441</v>
      </c>
      <c r="G2171" s="4">
        <v>20.5</v>
      </c>
      <c r="H2171" s="5">
        <v>32.828220171844443</v>
      </c>
      <c r="I2171" s="5">
        <v>34.59691428078056</v>
      </c>
      <c r="J2171" s="5">
        <v>43.635748138655551</v>
      </c>
      <c r="K2171" s="5">
        <v>62</v>
      </c>
    </row>
    <row r="2172" spans="1:11" x14ac:dyDescent="0.25">
      <c r="A2172" s="2">
        <v>46187.875</v>
      </c>
      <c r="B2172" t="str">
        <f t="shared" si="66"/>
        <v>2026-06</v>
      </c>
      <c r="C2172" s="3">
        <f t="shared" si="67"/>
        <v>21</v>
      </c>
      <c r="D2172" s="4">
        <v>25.59517534538611</v>
      </c>
      <c r="E2172" s="4">
        <v>27.187689818797221</v>
      </c>
      <c r="F2172" s="4">
        <v>29.569376139263891</v>
      </c>
      <c r="G2172" s="4">
        <v>19.7</v>
      </c>
      <c r="H2172" s="5">
        <v>34.295220230588889</v>
      </c>
      <c r="I2172" s="5">
        <v>34.505904010208333</v>
      </c>
      <c r="J2172" s="5">
        <v>43.671091683822233</v>
      </c>
      <c r="K2172" s="5">
        <v>61</v>
      </c>
    </row>
    <row r="2173" spans="1:11" x14ac:dyDescent="0.25">
      <c r="A2173" s="2">
        <v>46187.916666666657</v>
      </c>
      <c r="B2173" t="str">
        <f t="shared" si="66"/>
        <v>2026-06</v>
      </c>
      <c r="C2173" s="3">
        <f t="shared" si="67"/>
        <v>22</v>
      </c>
      <c r="D2173" s="4">
        <v>25.430101413205559</v>
      </c>
      <c r="E2173" s="4">
        <v>27.26958875449445</v>
      </c>
      <c r="F2173" s="4">
        <v>29.44046297301389</v>
      </c>
      <c r="G2173" s="4">
        <v>18.899999999999999</v>
      </c>
      <c r="H2173" s="5">
        <v>34.676292209558333</v>
      </c>
      <c r="I2173" s="5">
        <v>34.441738190566667</v>
      </c>
      <c r="J2173" s="5">
        <v>43.105759050272219</v>
      </c>
      <c r="K2173" s="5">
        <v>65</v>
      </c>
    </row>
    <row r="2174" spans="1:11" x14ac:dyDescent="0.25">
      <c r="A2174" s="2">
        <v>46187.958333333343</v>
      </c>
      <c r="B2174" t="str">
        <f t="shared" si="66"/>
        <v>2026-06</v>
      </c>
      <c r="C2174" s="3">
        <f t="shared" si="67"/>
        <v>23</v>
      </c>
      <c r="D2174" s="4">
        <v>25.491740473844441</v>
      </c>
      <c r="E2174" s="4">
        <v>27.420602782852779</v>
      </c>
      <c r="F2174" s="4">
        <v>29.415571962994441</v>
      </c>
      <c r="G2174" s="4">
        <v>17.8</v>
      </c>
      <c r="H2174" s="5">
        <v>35.675888305275002</v>
      </c>
      <c r="I2174" s="5">
        <v>34.966614171327777</v>
      </c>
      <c r="J2174" s="5">
        <v>43.345002221733331</v>
      </c>
      <c r="K2174" s="5">
        <v>69</v>
      </c>
    </row>
    <row r="2175" spans="1:11" x14ac:dyDescent="0.25">
      <c r="A2175" s="2">
        <v>46188</v>
      </c>
      <c r="B2175" t="str">
        <f t="shared" si="66"/>
        <v>2026-06</v>
      </c>
      <c r="C2175" s="3">
        <f t="shared" si="67"/>
        <v>0</v>
      </c>
      <c r="D2175" s="4">
        <v>25.314493889947219</v>
      </c>
      <c r="E2175" s="4">
        <v>27.346481458608331</v>
      </c>
      <c r="F2175" s="4">
        <v>29.402071938072229</v>
      </c>
      <c r="G2175" s="4">
        <v>17</v>
      </c>
      <c r="H2175" s="5">
        <v>35.207034021197217</v>
      </c>
      <c r="I2175" s="5">
        <v>34.442709853866667</v>
      </c>
      <c r="J2175" s="5">
        <v>43.430391692663903</v>
      </c>
      <c r="K2175" s="5">
        <v>71</v>
      </c>
    </row>
    <row r="2176" spans="1:11" x14ac:dyDescent="0.25">
      <c r="A2176" s="2">
        <v>46188.041666666657</v>
      </c>
      <c r="B2176" t="str">
        <f t="shared" si="66"/>
        <v>2026-06</v>
      </c>
      <c r="C2176" s="3">
        <f t="shared" si="67"/>
        <v>1</v>
      </c>
      <c r="D2176" s="4">
        <v>25.196886920972229</v>
      </c>
      <c r="E2176" s="4">
        <v>27.29529870500556</v>
      </c>
      <c r="F2176" s="4">
        <v>29.084194379225</v>
      </c>
      <c r="G2176" s="4">
        <v>16.399999999999999</v>
      </c>
      <c r="H2176" s="5">
        <v>35.595787697291662</v>
      </c>
      <c r="I2176" s="5">
        <v>34.107803970275</v>
      </c>
      <c r="J2176" s="5">
        <v>42.607957754449998</v>
      </c>
      <c r="K2176" s="5">
        <v>74</v>
      </c>
    </row>
    <row r="2177" spans="1:11" x14ac:dyDescent="0.25">
      <c r="A2177" s="2">
        <v>46188.083333333343</v>
      </c>
      <c r="B2177" t="str">
        <f t="shared" si="66"/>
        <v>2026-06</v>
      </c>
      <c r="C2177" s="3">
        <f t="shared" si="67"/>
        <v>2</v>
      </c>
      <c r="D2177" s="4">
        <v>24.222395410005561</v>
      </c>
      <c r="E2177" s="4">
        <v>26.892970808474999</v>
      </c>
      <c r="F2177" s="4">
        <v>29.121399890083332</v>
      </c>
      <c r="G2177" s="4">
        <v>15.7</v>
      </c>
      <c r="H2177" s="5">
        <v>38.67955271433889</v>
      </c>
      <c r="I2177" s="5">
        <v>36.340589702158333</v>
      </c>
      <c r="J2177" s="5">
        <v>42.931443268394453</v>
      </c>
      <c r="K2177" s="5">
        <v>77</v>
      </c>
    </row>
    <row r="2178" spans="1:11" x14ac:dyDescent="0.25">
      <c r="A2178" s="2">
        <v>46188.125</v>
      </c>
      <c r="B2178" t="str">
        <f t="shared" ref="B2178:B2241" si="68">TEXT(A2178,"yyyy-mm")</f>
        <v>2026-06</v>
      </c>
      <c r="C2178" s="3">
        <f t="shared" ref="C2178:C2241" si="69">HOUR(A2178)</f>
        <v>3</v>
      </c>
      <c r="D2178" s="4">
        <v>24.313972469236109</v>
      </c>
      <c r="E2178" s="4">
        <v>26.654247944563888</v>
      </c>
      <c r="F2178" s="4">
        <v>29.201450792599999</v>
      </c>
      <c r="G2178" s="4">
        <v>15.4</v>
      </c>
      <c r="H2178" s="5">
        <v>39.120184991350001</v>
      </c>
      <c r="I2178" s="5">
        <v>36.939656284013893</v>
      </c>
      <c r="J2178" s="5">
        <v>43.227844285263892</v>
      </c>
      <c r="K2178" s="5">
        <v>79</v>
      </c>
    </row>
    <row r="2179" spans="1:11" x14ac:dyDescent="0.25">
      <c r="A2179" s="2">
        <v>46188.166666666657</v>
      </c>
      <c r="B2179" t="str">
        <f t="shared" si="68"/>
        <v>2026-06</v>
      </c>
      <c r="C2179" s="3">
        <f t="shared" si="69"/>
        <v>4</v>
      </c>
      <c r="D2179" s="4">
        <v>23.790490295011111</v>
      </c>
      <c r="E2179" s="4">
        <v>26.557901158730559</v>
      </c>
      <c r="F2179" s="4">
        <v>29.213333432447229</v>
      </c>
      <c r="G2179" s="4">
        <v>14.9</v>
      </c>
      <c r="H2179" s="5">
        <v>40.898613188602774</v>
      </c>
      <c r="I2179" s="5">
        <v>37.527759928541663</v>
      </c>
      <c r="J2179" s="5">
        <v>43.387710828350002</v>
      </c>
      <c r="K2179" s="5">
        <v>81</v>
      </c>
    </row>
    <row r="2180" spans="1:11" x14ac:dyDescent="0.25">
      <c r="A2180" s="2">
        <v>46188.208333333343</v>
      </c>
      <c r="B2180" t="str">
        <f t="shared" si="68"/>
        <v>2026-06</v>
      </c>
      <c r="C2180" s="3">
        <f t="shared" si="69"/>
        <v>5</v>
      </c>
      <c r="D2180" s="4">
        <v>23.757016320257101</v>
      </c>
      <c r="E2180" s="4">
        <v>26.489034660913891</v>
      </c>
      <c r="F2180" s="4">
        <v>29.207362745763891</v>
      </c>
      <c r="G2180" s="4">
        <v>14.6</v>
      </c>
      <c r="H2180" s="5">
        <v>42.050851318420072</v>
      </c>
      <c r="I2180" s="5">
        <v>38.00203288115555</v>
      </c>
      <c r="J2180" s="5">
        <v>43.518023546525001</v>
      </c>
      <c r="K2180" s="5">
        <v>84</v>
      </c>
    </row>
    <row r="2181" spans="1:11" x14ac:dyDescent="0.25">
      <c r="A2181" s="2">
        <v>46188.25</v>
      </c>
      <c r="B2181" t="str">
        <f t="shared" si="68"/>
        <v>2026-06</v>
      </c>
      <c r="C2181" s="3">
        <f t="shared" si="69"/>
        <v>6</v>
      </c>
      <c r="D2181" s="4">
        <v>24.212976864091669</v>
      </c>
      <c r="E2181" s="4">
        <v>26.506824068088889</v>
      </c>
      <c r="F2181" s="4">
        <v>29.201599743002781</v>
      </c>
      <c r="G2181" s="4">
        <v>15.2</v>
      </c>
      <c r="H2181" s="5">
        <v>43.227851830766667</v>
      </c>
      <c r="I2181" s="5">
        <v>39.154289070808332</v>
      </c>
      <c r="J2181" s="5">
        <v>43.757447964688893</v>
      </c>
      <c r="K2181" s="5">
        <v>86</v>
      </c>
    </row>
    <row r="2182" spans="1:11" x14ac:dyDescent="0.25">
      <c r="A2182" s="2">
        <v>46188.291666666657</v>
      </c>
      <c r="B2182" t="str">
        <f t="shared" si="68"/>
        <v>2026-06</v>
      </c>
      <c r="C2182" s="3">
        <f t="shared" si="69"/>
        <v>7</v>
      </c>
      <c r="D2182" s="4">
        <v>25.589002553827779</v>
      </c>
      <c r="E2182" s="4">
        <v>26.833827736408331</v>
      </c>
      <c r="F2182" s="4">
        <v>29.220545721102781</v>
      </c>
      <c r="G2182" s="4">
        <v>16.3</v>
      </c>
      <c r="H2182" s="5">
        <v>41.034810054941673</v>
      </c>
      <c r="I2182" s="5">
        <v>39.42109804616944</v>
      </c>
      <c r="J2182" s="5">
        <v>44.004768310988887</v>
      </c>
      <c r="K2182" s="5">
        <v>81</v>
      </c>
    </row>
    <row r="2183" spans="1:11" x14ac:dyDescent="0.25">
      <c r="A2183" s="2">
        <v>46188.333333333343</v>
      </c>
      <c r="B2183" t="str">
        <f t="shared" si="68"/>
        <v>2026-06</v>
      </c>
      <c r="C2183" s="3">
        <f t="shared" si="69"/>
        <v>8</v>
      </c>
      <c r="D2183" s="4">
        <v>26.752079227994439</v>
      </c>
      <c r="E2183" s="4">
        <v>27.433369290083331</v>
      </c>
      <c r="F2183" s="4">
        <v>29.270929834769451</v>
      </c>
      <c r="G2183" s="4">
        <v>18</v>
      </c>
      <c r="H2183" s="5">
        <v>39.950269354736122</v>
      </c>
      <c r="I2183" s="5">
        <v>39.154108222511113</v>
      </c>
      <c r="J2183" s="5">
        <v>44.185267023144441</v>
      </c>
      <c r="K2183" s="5">
        <v>74</v>
      </c>
    </row>
    <row r="2184" spans="1:11" x14ac:dyDescent="0.25">
      <c r="A2184" s="2">
        <v>46188.375</v>
      </c>
      <c r="B2184" t="str">
        <f t="shared" si="68"/>
        <v>2026-06</v>
      </c>
      <c r="C2184" s="3">
        <f t="shared" si="69"/>
        <v>9</v>
      </c>
      <c r="D2184" s="4">
        <v>27.256633801675001</v>
      </c>
      <c r="E2184" s="4">
        <v>27.739843789399998</v>
      </c>
      <c r="F2184" s="4">
        <v>29.310545968083328</v>
      </c>
      <c r="G2184" s="4">
        <v>19.600000000000001</v>
      </c>
      <c r="H2184" s="5">
        <v>39.300646543516663</v>
      </c>
      <c r="I2184" s="5">
        <v>39.362166224136111</v>
      </c>
      <c r="J2184" s="5">
        <v>44.340809326636112</v>
      </c>
      <c r="K2184" s="5">
        <v>69</v>
      </c>
    </row>
    <row r="2185" spans="1:11" x14ac:dyDescent="0.25">
      <c r="A2185" s="2">
        <v>46188.416666666657</v>
      </c>
      <c r="B2185" t="str">
        <f t="shared" si="68"/>
        <v>2026-06</v>
      </c>
      <c r="C2185" s="3">
        <f t="shared" si="69"/>
        <v>10</v>
      </c>
      <c r="D2185" s="4">
        <v>26.57857686820833</v>
      </c>
      <c r="E2185" s="4">
        <v>27.75173524712222</v>
      </c>
      <c r="F2185" s="4">
        <v>29.34170600998889</v>
      </c>
      <c r="G2185" s="4">
        <v>20.5</v>
      </c>
      <c r="H2185" s="5">
        <v>40.954553491091673</v>
      </c>
      <c r="I2185" s="5">
        <v>40.29763876481389</v>
      </c>
      <c r="J2185" s="5">
        <v>44.455816024155553</v>
      </c>
      <c r="K2185" s="5">
        <v>63</v>
      </c>
    </row>
    <row r="2186" spans="1:11" x14ac:dyDescent="0.25">
      <c r="A2186" s="2">
        <v>46188.458333333343</v>
      </c>
      <c r="B2186" t="str">
        <f t="shared" si="68"/>
        <v>2026-06</v>
      </c>
      <c r="C2186" s="3">
        <f t="shared" si="69"/>
        <v>11</v>
      </c>
      <c r="D2186" s="4">
        <v>26.02177058633611</v>
      </c>
      <c r="E2186" s="4">
        <v>27.160534878494449</v>
      </c>
      <c r="F2186" s="4">
        <v>29.350849503461109</v>
      </c>
      <c r="G2186" s="4">
        <v>21.6</v>
      </c>
      <c r="H2186" s="5">
        <v>41.663222782880553</v>
      </c>
      <c r="I2186" s="5">
        <v>40.138353824458328</v>
      </c>
      <c r="J2186" s="5">
        <v>44.548130994886122</v>
      </c>
      <c r="K2186" s="5">
        <v>59</v>
      </c>
    </row>
    <row r="2187" spans="1:11" x14ac:dyDescent="0.25">
      <c r="A2187" s="2">
        <v>46188.5</v>
      </c>
      <c r="B2187" t="str">
        <f t="shared" si="68"/>
        <v>2026-06</v>
      </c>
      <c r="C2187" s="3">
        <f t="shared" si="69"/>
        <v>12</v>
      </c>
      <c r="D2187" s="4">
        <v>25.539088407766659</v>
      </c>
      <c r="E2187" s="4">
        <v>26.670695016483339</v>
      </c>
      <c r="F2187" s="4">
        <v>29.318926160061121</v>
      </c>
      <c r="G2187" s="4">
        <v>22.5</v>
      </c>
      <c r="H2187" s="5">
        <v>46.478865630163888</v>
      </c>
      <c r="I2187" s="5">
        <v>43.637208909602784</v>
      </c>
      <c r="J2187" s="5">
        <v>44.865289941644441</v>
      </c>
      <c r="K2187" s="5">
        <v>54</v>
      </c>
    </row>
    <row r="2188" spans="1:11" x14ac:dyDescent="0.25">
      <c r="A2188" s="2">
        <v>46188.541666666657</v>
      </c>
      <c r="B2188" t="str">
        <f t="shared" si="68"/>
        <v>2026-06</v>
      </c>
      <c r="C2188" s="3">
        <f t="shared" si="69"/>
        <v>13</v>
      </c>
      <c r="D2188" s="4">
        <v>25.288553214736108</v>
      </c>
      <c r="E2188" s="4">
        <v>26.71681800401112</v>
      </c>
      <c r="F2188" s="4">
        <v>29.294321851272219</v>
      </c>
      <c r="G2188" s="4">
        <v>21.8</v>
      </c>
      <c r="H2188" s="5">
        <v>48.383031735533343</v>
      </c>
      <c r="I2188" s="5">
        <v>45.078431208052777</v>
      </c>
      <c r="J2188" s="5">
        <v>45.333980866672221</v>
      </c>
      <c r="K2188" s="5">
        <v>55</v>
      </c>
    </row>
    <row r="2189" spans="1:11" x14ac:dyDescent="0.25">
      <c r="A2189" s="2">
        <v>46188.583333333343</v>
      </c>
      <c r="B2189" t="str">
        <f t="shared" si="68"/>
        <v>2026-06</v>
      </c>
      <c r="C2189" s="3">
        <f t="shared" si="69"/>
        <v>14</v>
      </c>
      <c r="D2189" s="4">
        <v>25.010267448066671</v>
      </c>
      <c r="E2189" s="4">
        <v>26.880106330058339</v>
      </c>
      <c r="F2189" s="4">
        <v>29.282727680569451</v>
      </c>
      <c r="G2189" s="4">
        <v>18.5</v>
      </c>
      <c r="H2189" s="5">
        <v>46.48333615949722</v>
      </c>
      <c r="I2189" s="5">
        <v>43.149838058111108</v>
      </c>
      <c r="J2189" s="5">
        <v>45.548378619733327</v>
      </c>
      <c r="K2189" s="5">
        <v>71</v>
      </c>
    </row>
    <row r="2190" spans="1:11" x14ac:dyDescent="0.25">
      <c r="A2190" s="2">
        <v>46188.625</v>
      </c>
      <c r="B2190" t="str">
        <f t="shared" si="68"/>
        <v>2026-06</v>
      </c>
      <c r="C2190" s="3">
        <f t="shared" si="69"/>
        <v>15</v>
      </c>
      <c r="D2190" s="4">
        <v>25.236375102880551</v>
      </c>
      <c r="E2190" s="4">
        <v>27.196494792786108</v>
      </c>
      <c r="F2190" s="4">
        <v>29.273361164074998</v>
      </c>
      <c r="G2190" s="4">
        <v>19.600000000000001</v>
      </c>
      <c r="H2190" s="5">
        <v>42.213264709977778</v>
      </c>
      <c r="I2190" s="5">
        <v>40.507940785375013</v>
      </c>
      <c r="J2190" s="5">
        <v>45.49426488999444</v>
      </c>
      <c r="K2190" s="5">
        <v>67</v>
      </c>
    </row>
    <row r="2191" spans="1:11" x14ac:dyDescent="0.25">
      <c r="A2191" s="2">
        <v>46188.666666666657</v>
      </c>
      <c r="B2191" t="str">
        <f t="shared" si="68"/>
        <v>2026-06</v>
      </c>
      <c r="C2191" s="3">
        <f t="shared" si="69"/>
        <v>16</v>
      </c>
      <c r="D2191" s="4">
        <v>25.259064656366661</v>
      </c>
      <c r="E2191" s="4">
        <v>27.084616632797221</v>
      </c>
      <c r="F2191" s="4">
        <v>29.255254701944452</v>
      </c>
      <c r="G2191" s="4">
        <v>20</v>
      </c>
      <c r="H2191" s="5">
        <v>37.231228031469442</v>
      </c>
      <c r="I2191" s="5">
        <v>37.593180432566662</v>
      </c>
      <c r="J2191" s="5">
        <v>45.146991104777783</v>
      </c>
      <c r="K2191" s="5">
        <v>57</v>
      </c>
    </row>
    <row r="2192" spans="1:11" x14ac:dyDescent="0.25">
      <c r="A2192" s="2">
        <v>46188.708333333343</v>
      </c>
      <c r="B2192" t="str">
        <f t="shared" si="68"/>
        <v>2026-06</v>
      </c>
      <c r="C2192" s="3">
        <f t="shared" si="69"/>
        <v>17</v>
      </c>
      <c r="D2192" s="4">
        <v>24.991183718544441</v>
      </c>
      <c r="E2192" s="4">
        <v>27.01031292731389</v>
      </c>
      <c r="F2192" s="4">
        <v>29.221253920458331</v>
      </c>
      <c r="G2192" s="4">
        <v>20.2</v>
      </c>
      <c r="H2192" s="5">
        <v>35.474238032544442</v>
      </c>
      <c r="I2192" s="5">
        <v>36.039463817194452</v>
      </c>
      <c r="J2192" s="5">
        <v>44.576176797699993</v>
      </c>
      <c r="K2192" s="5">
        <v>53</v>
      </c>
    </row>
    <row r="2193" spans="1:11" x14ac:dyDescent="0.25">
      <c r="A2193" s="2">
        <v>46188.75</v>
      </c>
      <c r="B2193" t="str">
        <f t="shared" si="68"/>
        <v>2026-06</v>
      </c>
      <c r="C2193" s="3">
        <f t="shared" si="69"/>
        <v>18</v>
      </c>
      <c r="D2193" s="4">
        <v>25.420909956641669</v>
      </c>
      <c r="E2193" s="4">
        <v>27.532131144269439</v>
      </c>
      <c r="F2193" s="4">
        <v>28.848192619716659</v>
      </c>
      <c r="G2193" s="4">
        <v>20</v>
      </c>
      <c r="H2193" s="5">
        <v>36.722849645122217</v>
      </c>
      <c r="I2193" s="5">
        <v>37.625890389644439</v>
      </c>
      <c r="J2193" s="5">
        <v>44.248127055344447</v>
      </c>
      <c r="K2193" s="5">
        <v>51</v>
      </c>
    </row>
    <row r="2194" spans="1:11" x14ac:dyDescent="0.25">
      <c r="A2194" s="2">
        <v>46188.791666666657</v>
      </c>
      <c r="B2194" t="str">
        <f t="shared" si="68"/>
        <v>2026-06</v>
      </c>
      <c r="C2194" s="3">
        <f t="shared" si="69"/>
        <v>19</v>
      </c>
      <c r="D2194" s="4">
        <v>25.58303043628889</v>
      </c>
      <c r="E2194" s="4">
        <v>27.612909473024999</v>
      </c>
      <c r="F2194" s="4">
        <v>28.798049453099999</v>
      </c>
      <c r="G2194" s="4">
        <v>19.7</v>
      </c>
      <c r="H2194" s="5">
        <v>35.451820571366667</v>
      </c>
      <c r="I2194" s="5">
        <v>36.573165807499997</v>
      </c>
      <c r="J2194" s="5">
        <v>44.825668163491663</v>
      </c>
      <c r="K2194" s="5">
        <v>49</v>
      </c>
    </row>
    <row r="2195" spans="1:11" x14ac:dyDescent="0.25">
      <c r="A2195" s="2">
        <v>46188.833333333343</v>
      </c>
      <c r="B2195" t="str">
        <f t="shared" si="68"/>
        <v>2026-06</v>
      </c>
      <c r="C2195" s="3">
        <f t="shared" si="69"/>
        <v>20</v>
      </c>
      <c r="D2195" s="4">
        <v>24.775567489761109</v>
      </c>
      <c r="E2195" s="4">
        <v>27.636608224552781</v>
      </c>
      <c r="F2195" s="4">
        <v>29.034474380833331</v>
      </c>
      <c r="G2195" s="4">
        <v>18.899999999999999</v>
      </c>
      <c r="H2195" s="5">
        <v>35.598239435330562</v>
      </c>
      <c r="I2195" s="5">
        <v>32.766694297838889</v>
      </c>
      <c r="J2195" s="5">
        <v>44.232841599397233</v>
      </c>
      <c r="K2195" s="5">
        <v>53</v>
      </c>
    </row>
    <row r="2196" spans="1:11" x14ac:dyDescent="0.25">
      <c r="A2196" s="2">
        <v>46188.875</v>
      </c>
      <c r="B2196" t="str">
        <f t="shared" si="68"/>
        <v>2026-06</v>
      </c>
      <c r="C2196" s="3">
        <f t="shared" si="69"/>
        <v>21</v>
      </c>
      <c r="D2196" s="4">
        <v>24.134447898400001</v>
      </c>
      <c r="E2196" s="4">
        <v>27.78443868911112</v>
      </c>
      <c r="F2196" s="4">
        <v>29.078898757872221</v>
      </c>
      <c r="G2196" s="4">
        <v>17.5</v>
      </c>
      <c r="H2196" s="5">
        <v>39.824021287013892</v>
      </c>
      <c r="I2196" s="5">
        <v>36.141057639613891</v>
      </c>
      <c r="J2196" s="5">
        <v>43.927511882277777</v>
      </c>
      <c r="K2196" s="5">
        <v>60</v>
      </c>
    </row>
    <row r="2197" spans="1:11" x14ac:dyDescent="0.25">
      <c r="A2197" s="2">
        <v>46188.916666666657</v>
      </c>
      <c r="B2197" t="str">
        <f t="shared" si="68"/>
        <v>2026-06</v>
      </c>
      <c r="C2197" s="3">
        <f t="shared" si="69"/>
        <v>22</v>
      </c>
      <c r="D2197" s="4">
        <v>23.500604779619451</v>
      </c>
      <c r="E2197" s="4">
        <v>27.62948527367222</v>
      </c>
      <c r="F2197" s="4">
        <v>29.116511667236111</v>
      </c>
      <c r="G2197" s="4">
        <v>16.399999999999999</v>
      </c>
      <c r="H2197" s="5">
        <v>43.002794326422219</v>
      </c>
      <c r="I2197" s="5">
        <v>40.375884476425</v>
      </c>
      <c r="J2197" s="5">
        <v>44.145713119641663</v>
      </c>
      <c r="K2197" s="5">
        <v>68</v>
      </c>
    </row>
    <row r="2198" spans="1:11" x14ac:dyDescent="0.25">
      <c r="A2198" s="2">
        <v>46188.958333333343</v>
      </c>
      <c r="B2198" t="str">
        <f t="shared" si="68"/>
        <v>2026-06</v>
      </c>
      <c r="C2198" s="3">
        <f t="shared" si="69"/>
        <v>23</v>
      </c>
      <c r="D2198" s="4">
        <v>23.375212736758328</v>
      </c>
      <c r="E2198" s="4">
        <v>26.878192585788891</v>
      </c>
      <c r="F2198" s="4">
        <v>29.107381708424999</v>
      </c>
      <c r="G2198" s="4">
        <v>15.8</v>
      </c>
      <c r="H2198" s="5">
        <v>41.023944114300001</v>
      </c>
      <c r="I2198" s="5">
        <v>36.725679473733329</v>
      </c>
      <c r="J2198" s="5">
        <v>44.022819836958327</v>
      </c>
      <c r="K2198" s="5">
        <v>72</v>
      </c>
    </row>
    <row r="2199" spans="1:11" x14ac:dyDescent="0.25">
      <c r="A2199" s="2">
        <v>46189</v>
      </c>
      <c r="B2199" t="str">
        <f t="shared" si="68"/>
        <v>2026-06</v>
      </c>
      <c r="C2199" s="3">
        <f t="shared" si="69"/>
        <v>0</v>
      </c>
      <c r="D2199" s="4">
        <v>23.20812506905278</v>
      </c>
      <c r="E2199" s="4">
        <v>26.61906075713333</v>
      </c>
      <c r="F2199" s="4">
        <v>29.08821521951111</v>
      </c>
      <c r="G2199" s="4">
        <v>15.2</v>
      </c>
      <c r="H2199" s="5">
        <v>41.641479635363893</v>
      </c>
      <c r="I2199" s="5">
        <v>37.030122010483332</v>
      </c>
      <c r="J2199" s="5">
        <v>43.916189765583333</v>
      </c>
      <c r="K2199" s="5">
        <v>73</v>
      </c>
    </row>
    <row r="2200" spans="1:11" x14ac:dyDescent="0.25">
      <c r="A2200" s="2">
        <v>46189.041666666657</v>
      </c>
      <c r="B2200" t="str">
        <f t="shared" si="68"/>
        <v>2026-06</v>
      </c>
      <c r="C2200" s="3">
        <f t="shared" si="69"/>
        <v>1</v>
      </c>
      <c r="D2200" s="4">
        <v>22.54283401354445</v>
      </c>
      <c r="E2200" s="4">
        <v>26.343243945594448</v>
      </c>
      <c r="F2200" s="4">
        <v>29.040770882225001</v>
      </c>
      <c r="G2200" s="4">
        <v>14.3</v>
      </c>
      <c r="H2200" s="5">
        <v>43.035892263930563</v>
      </c>
      <c r="I2200" s="5">
        <v>36.892285194905547</v>
      </c>
      <c r="J2200" s="5">
        <v>43.845950843822223</v>
      </c>
      <c r="K2200" s="5">
        <v>76</v>
      </c>
    </row>
    <row r="2201" spans="1:11" x14ac:dyDescent="0.25">
      <c r="A2201" s="2">
        <v>46189.083333333343</v>
      </c>
      <c r="B2201" t="str">
        <f t="shared" si="68"/>
        <v>2026-06</v>
      </c>
      <c r="C2201" s="3">
        <f t="shared" si="69"/>
        <v>2</v>
      </c>
      <c r="D2201" s="4">
        <v>22.358409110630561</v>
      </c>
      <c r="E2201" s="4">
        <v>25.71285365809722</v>
      </c>
      <c r="F2201" s="4">
        <v>28.998279954597219</v>
      </c>
      <c r="G2201" s="4">
        <v>13.8</v>
      </c>
      <c r="H2201" s="5">
        <v>43.113217715097221</v>
      </c>
      <c r="I2201" s="5">
        <v>37.603095324113887</v>
      </c>
      <c r="J2201" s="5">
        <v>43.693686972400002</v>
      </c>
      <c r="K2201" s="5">
        <v>78</v>
      </c>
    </row>
    <row r="2202" spans="1:11" x14ac:dyDescent="0.25">
      <c r="A2202" s="2">
        <v>46189.125</v>
      </c>
      <c r="B2202" t="str">
        <f t="shared" si="68"/>
        <v>2026-06</v>
      </c>
      <c r="C2202" s="3">
        <f t="shared" si="69"/>
        <v>3</v>
      </c>
      <c r="D2202" s="4">
        <v>21.53765036138612</v>
      </c>
      <c r="E2202" s="4">
        <v>25.35655686062778</v>
      </c>
      <c r="F2202" s="4">
        <v>28.945687462733328</v>
      </c>
      <c r="G2202" s="4">
        <v>13.8</v>
      </c>
      <c r="H2202" s="5">
        <v>46.359230717569439</v>
      </c>
      <c r="I2202" s="5">
        <v>38.755317071761112</v>
      </c>
      <c r="J2202" s="5">
        <v>43.654978376102783</v>
      </c>
      <c r="K2202" s="5">
        <v>73</v>
      </c>
    </row>
    <row r="2203" spans="1:11" x14ac:dyDescent="0.25">
      <c r="A2203" s="2">
        <v>46189.166666666657</v>
      </c>
      <c r="B2203" t="str">
        <f t="shared" si="68"/>
        <v>2026-06</v>
      </c>
      <c r="C2203" s="3">
        <f t="shared" si="69"/>
        <v>4</v>
      </c>
      <c r="D2203" s="4">
        <v>20.454423716260742</v>
      </c>
      <c r="E2203" s="4">
        <v>25.126225048383329</v>
      </c>
      <c r="F2203" s="4">
        <v>28.91449784045</v>
      </c>
      <c r="G2203" s="4">
        <v>12.9</v>
      </c>
      <c r="H2203" s="5">
        <v>49.000698827653672</v>
      </c>
      <c r="I2203" s="5">
        <v>38.665391966038889</v>
      </c>
      <c r="J2203" s="5">
        <v>43.613192089258327</v>
      </c>
      <c r="K2203" s="5">
        <v>77</v>
      </c>
    </row>
    <row r="2204" spans="1:11" x14ac:dyDescent="0.25">
      <c r="A2204" s="2">
        <v>46189.208333333343</v>
      </c>
      <c r="B2204" t="str">
        <f t="shared" si="68"/>
        <v>2026-06</v>
      </c>
      <c r="C2204" s="3">
        <f t="shared" si="69"/>
        <v>5</v>
      </c>
      <c r="D2204" s="4">
        <v>21.363448139155551</v>
      </c>
      <c r="E2204" s="4">
        <v>25.067017759574998</v>
      </c>
      <c r="F2204" s="4">
        <v>28.86625452606112</v>
      </c>
      <c r="G2204" s="4">
        <v>12.6</v>
      </c>
      <c r="H2204" s="5">
        <v>45.171618155758331</v>
      </c>
      <c r="I2204" s="5">
        <v>38.055814865355558</v>
      </c>
      <c r="J2204" s="5">
        <v>43.536166365902773</v>
      </c>
      <c r="K2204" s="5">
        <v>78</v>
      </c>
    </row>
    <row r="2205" spans="1:11" x14ac:dyDescent="0.25">
      <c r="A2205" s="2">
        <v>46189.25</v>
      </c>
      <c r="B2205" t="str">
        <f t="shared" si="68"/>
        <v>2026-06</v>
      </c>
      <c r="C2205" s="3">
        <f t="shared" si="69"/>
        <v>6</v>
      </c>
      <c r="D2205" s="4">
        <v>23.101507235</v>
      </c>
      <c r="E2205" s="4">
        <v>25.49061786489445</v>
      </c>
      <c r="F2205" s="4">
        <v>28.867534927977779</v>
      </c>
      <c r="G2205" s="4">
        <v>13.5</v>
      </c>
      <c r="H2205" s="5">
        <v>40.202878424638889</v>
      </c>
      <c r="I2205" s="5">
        <v>37.352966736261124</v>
      </c>
      <c r="J2205" s="5">
        <v>43.432721240041673</v>
      </c>
      <c r="K2205" s="5">
        <v>76</v>
      </c>
    </row>
    <row r="2206" spans="1:11" x14ac:dyDescent="0.25">
      <c r="A2206" s="2">
        <v>46189.291666666657</v>
      </c>
      <c r="B2206" t="str">
        <f t="shared" si="68"/>
        <v>2026-06</v>
      </c>
      <c r="C2206" s="3">
        <f t="shared" si="69"/>
        <v>7</v>
      </c>
      <c r="D2206" s="4">
        <v>24.23447909482222</v>
      </c>
      <c r="E2206" s="4">
        <v>26.136622203999998</v>
      </c>
      <c r="F2206" s="4">
        <v>28.90808602365556</v>
      </c>
      <c r="G2206" s="4">
        <v>15</v>
      </c>
      <c r="H2206" s="5">
        <v>38.63762496221667</v>
      </c>
      <c r="I2206" s="5">
        <v>37.394281983908343</v>
      </c>
      <c r="J2206" s="5">
        <v>43.428438145013892</v>
      </c>
      <c r="K2206" s="5">
        <v>71</v>
      </c>
    </row>
    <row r="2207" spans="1:11" x14ac:dyDescent="0.25">
      <c r="A2207" s="2">
        <v>46189.333333333343</v>
      </c>
      <c r="B2207" t="str">
        <f t="shared" si="68"/>
        <v>2026-06</v>
      </c>
      <c r="C2207" s="3">
        <f t="shared" si="69"/>
        <v>8</v>
      </c>
      <c r="D2207" s="4">
        <v>25.20266925994444</v>
      </c>
      <c r="E2207" s="4">
        <v>26.783325848400001</v>
      </c>
      <c r="F2207" s="4">
        <v>28.959741002133331</v>
      </c>
      <c r="G2207" s="4">
        <v>16.8</v>
      </c>
      <c r="H2207" s="5">
        <v>36.41675213632778</v>
      </c>
      <c r="I2207" s="5">
        <v>36.053410967600001</v>
      </c>
      <c r="J2207" s="5">
        <v>43.502979425555559</v>
      </c>
      <c r="K2207" s="5">
        <v>64</v>
      </c>
    </row>
    <row r="2208" spans="1:11" x14ac:dyDescent="0.25">
      <c r="A2208" s="2">
        <v>46189.375</v>
      </c>
      <c r="B2208" t="str">
        <f t="shared" si="68"/>
        <v>2026-06</v>
      </c>
      <c r="C2208" s="3">
        <f t="shared" si="69"/>
        <v>9</v>
      </c>
      <c r="D2208" s="4">
        <v>25.814588091258329</v>
      </c>
      <c r="E2208" s="4">
        <v>27.041835274588891</v>
      </c>
      <c r="F2208" s="4">
        <v>28.998574263169441</v>
      </c>
      <c r="G2208" s="4">
        <v>18.600000000000001</v>
      </c>
      <c r="H2208" s="5">
        <v>33.644210299999997</v>
      </c>
      <c r="I2208" s="5">
        <v>35.098679752027778</v>
      </c>
      <c r="J2208" s="5">
        <v>43.528447151722219</v>
      </c>
      <c r="K2208" s="5">
        <v>57</v>
      </c>
    </row>
    <row r="2209" spans="1:11" x14ac:dyDescent="0.25">
      <c r="A2209" s="2">
        <v>46189.416666666657</v>
      </c>
      <c r="B2209" t="str">
        <f t="shared" si="68"/>
        <v>2026-06</v>
      </c>
      <c r="C2209" s="3">
        <f t="shared" si="69"/>
        <v>10</v>
      </c>
      <c r="D2209" s="4">
        <v>26.098400706219451</v>
      </c>
      <c r="E2209" s="4">
        <v>27.584749548183328</v>
      </c>
      <c r="F2209" s="4">
        <v>29.035145999566659</v>
      </c>
      <c r="G2209" s="4">
        <v>19.600000000000001</v>
      </c>
      <c r="H2209" s="5">
        <v>31.472562506302779</v>
      </c>
      <c r="I2209" s="5">
        <v>36.303513865636113</v>
      </c>
      <c r="J2209" s="5">
        <v>43.545150677888891</v>
      </c>
      <c r="K2209" s="5">
        <v>50</v>
      </c>
    </row>
    <row r="2210" spans="1:11" x14ac:dyDescent="0.25">
      <c r="A2210" s="2">
        <v>46189.458333333343</v>
      </c>
      <c r="B2210" t="str">
        <f t="shared" si="68"/>
        <v>2026-06</v>
      </c>
      <c r="C2210" s="3">
        <f t="shared" si="69"/>
        <v>11</v>
      </c>
      <c r="D2210" s="4">
        <v>25.89649295628611</v>
      </c>
      <c r="E2210" s="4">
        <v>27.357583864763889</v>
      </c>
      <c r="F2210" s="4">
        <v>29.059456147841669</v>
      </c>
      <c r="G2210" s="4">
        <v>20.3</v>
      </c>
      <c r="H2210" s="5">
        <v>30.401257077294449</v>
      </c>
      <c r="I2210" s="5">
        <v>33.939662910761108</v>
      </c>
      <c r="J2210" s="5">
        <v>43.541545466741667</v>
      </c>
      <c r="K2210" s="5">
        <v>46</v>
      </c>
    </row>
    <row r="2211" spans="1:11" x14ac:dyDescent="0.25">
      <c r="A2211" s="2">
        <v>46189.5</v>
      </c>
      <c r="B2211" t="str">
        <f t="shared" si="68"/>
        <v>2026-06</v>
      </c>
      <c r="C2211" s="3">
        <f t="shared" si="69"/>
        <v>12</v>
      </c>
      <c r="D2211" s="4">
        <v>25.84041903829722</v>
      </c>
      <c r="E2211" s="4">
        <v>27.428635818105558</v>
      </c>
      <c r="F2211" s="4">
        <v>29.05237714573612</v>
      </c>
      <c r="G2211" s="4">
        <v>20.9</v>
      </c>
      <c r="H2211" s="5">
        <v>31.041165294477771</v>
      </c>
      <c r="I2211" s="5">
        <v>33.195869056325002</v>
      </c>
      <c r="J2211" s="5">
        <v>43.435004879827773</v>
      </c>
      <c r="K2211" s="5">
        <v>47</v>
      </c>
    </row>
    <row r="2212" spans="1:11" x14ac:dyDescent="0.25">
      <c r="A2212" s="2">
        <v>46189.541666666657</v>
      </c>
      <c r="B2212" t="str">
        <f t="shared" si="68"/>
        <v>2026-06</v>
      </c>
      <c r="C2212" s="3">
        <f t="shared" si="69"/>
        <v>13</v>
      </c>
      <c r="D2212" s="4">
        <v>25.78333644398333</v>
      </c>
      <c r="E2212" s="4">
        <v>27.304917538830551</v>
      </c>
      <c r="F2212" s="4">
        <v>29.047833294916671</v>
      </c>
      <c r="G2212" s="4">
        <v>21.7</v>
      </c>
      <c r="H2212" s="5">
        <v>31.49727370081667</v>
      </c>
      <c r="I2212" s="5">
        <v>32.280185978838887</v>
      </c>
      <c r="J2212" s="5">
        <v>43.340010157302778</v>
      </c>
      <c r="K2212" s="5">
        <v>45</v>
      </c>
    </row>
    <row r="2213" spans="1:11" x14ac:dyDescent="0.25">
      <c r="A2213" s="2">
        <v>46189.583333333343</v>
      </c>
      <c r="B2213" t="str">
        <f t="shared" si="68"/>
        <v>2026-06</v>
      </c>
      <c r="C2213" s="3">
        <f t="shared" si="69"/>
        <v>14</v>
      </c>
      <c r="D2213" s="4">
        <v>25.328443304286111</v>
      </c>
      <c r="E2213" s="4">
        <v>27.023562616100001</v>
      </c>
      <c r="F2213" s="4">
        <v>29.034408951516671</v>
      </c>
      <c r="G2213" s="4">
        <v>21.7</v>
      </c>
      <c r="H2213" s="5">
        <v>33.77812365034444</v>
      </c>
      <c r="I2213" s="5">
        <v>33.06991469830556</v>
      </c>
      <c r="J2213" s="5">
        <v>43.16548924250278</v>
      </c>
      <c r="K2213" s="5">
        <v>45</v>
      </c>
    </row>
    <row r="2214" spans="1:11" x14ac:dyDescent="0.25">
      <c r="A2214" s="2">
        <v>46189.625</v>
      </c>
      <c r="B2214" t="str">
        <f t="shared" si="68"/>
        <v>2026-06</v>
      </c>
      <c r="C2214" s="3">
        <f t="shared" si="69"/>
        <v>15</v>
      </c>
      <c r="D2214" s="4">
        <v>24.721426416955559</v>
      </c>
      <c r="E2214" s="4">
        <v>26.827709601358329</v>
      </c>
      <c r="F2214" s="4">
        <v>28.620927624375</v>
      </c>
      <c r="G2214" s="4">
        <v>20.9</v>
      </c>
      <c r="H2214" s="5">
        <v>36.104496321836109</v>
      </c>
      <c r="I2214" s="5">
        <v>35.68643204987778</v>
      </c>
      <c r="J2214" s="5">
        <v>41.727691808863888</v>
      </c>
      <c r="K2214" s="5">
        <v>46</v>
      </c>
    </row>
    <row r="2215" spans="1:11" x14ac:dyDescent="0.25">
      <c r="A2215" s="2">
        <v>46189.666666666657</v>
      </c>
      <c r="B2215" t="str">
        <f t="shared" si="68"/>
        <v>2026-06</v>
      </c>
      <c r="C2215" s="3">
        <f t="shared" si="69"/>
        <v>16</v>
      </c>
      <c r="D2215" s="4">
        <v>24.603228580561112</v>
      </c>
      <c r="E2215" s="4">
        <v>26.38826096153333</v>
      </c>
      <c r="F2215" s="4">
        <v>28.940536627930559</v>
      </c>
      <c r="G2215" s="4">
        <v>19.2</v>
      </c>
      <c r="H2215" s="5">
        <v>36.32524292285278</v>
      </c>
      <c r="I2215" s="5">
        <v>39.542101388550002</v>
      </c>
      <c r="J2215" s="5">
        <v>42.778049565227782</v>
      </c>
      <c r="K2215" s="5">
        <v>57</v>
      </c>
    </row>
    <row r="2216" spans="1:11" x14ac:dyDescent="0.25">
      <c r="A2216" s="2">
        <v>46189.708333333343</v>
      </c>
      <c r="B2216" t="str">
        <f t="shared" si="68"/>
        <v>2026-06</v>
      </c>
      <c r="C2216" s="3">
        <f t="shared" si="69"/>
        <v>17</v>
      </c>
      <c r="D2216" s="4">
        <v>24.778583972072219</v>
      </c>
      <c r="E2216" s="4">
        <v>26.24084427455556</v>
      </c>
      <c r="F2216" s="4">
        <v>29.132625753883332</v>
      </c>
      <c r="G2216" s="4">
        <v>21</v>
      </c>
      <c r="H2216" s="5">
        <v>35.447472709055553</v>
      </c>
      <c r="I2216" s="5">
        <v>38.675872908694437</v>
      </c>
      <c r="J2216" s="5">
        <v>43.105402809899999</v>
      </c>
      <c r="K2216" s="5">
        <v>43</v>
      </c>
    </row>
    <row r="2217" spans="1:11" x14ac:dyDescent="0.25">
      <c r="A2217" s="2">
        <v>46189.75</v>
      </c>
      <c r="B2217" t="str">
        <f t="shared" si="68"/>
        <v>2026-06</v>
      </c>
      <c r="C2217" s="3">
        <f t="shared" si="69"/>
        <v>18</v>
      </c>
      <c r="D2217" s="4">
        <v>24.827049412725</v>
      </c>
      <c r="E2217" s="4">
        <v>26.451024115961111</v>
      </c>
      <c r="F2217" s="4">
        <v>29.239395990755561</v>
      </c>
      <c r="G2217" s="4">
        <v>21.1</v>
      </c>
      <c r="H2217" s="5">
        <v>37.169681908149997</v>
      </c>
      <c r="I2217" s="5">
        <v>39.491835815397224</v>
      </c>
      <c r="J2217" s="5">
        <v>43.230367632252779</v>
      </c>
      <c r="K2217" s="5">
        <v>41</v>
      </c>
    </row>
    <row r="2218" spans="1:11" x14ac:dyDescent="0.25">
      <c r="A2218" s="2">
        <v>46189.791666666657</v>
      </c>
      <c r="B2218" t="str">
        <f t="shared" si="68"/>
        <v>2026-06</v>
      </c>
      <c r="C2218" s="3">
        <f t="shared" si="69"/>
        <v>19</v>
      </c>
      <c r="D2218" s="4">
        <v>24.715109941988889</v>
      </c>
      <c r="E2218" s="4">
        <v>26.36056572106666</v>
      </c>
      <c r="F2218" s="4">
        <v>29.32688439450277</v>
      </c>
      <c r="G2218" s="4">
        <v>20.6</v>
      </c>
      <c r="H2218" s="5">
        <v>40.370419456972222</v>
      </c>
      <c r="I2218" s="5">
        <v>40.474604070708331</v>
      </c>
      <c r="J2218" s="5">
        <v>43.397490461622233</v>
      </c>
      <c r="K2218" s="5">
        <v>43</v>
      </c>
    </row>
    <row r="2219" spans="1:11" x14ac:dyDescent="0.25">
      <c r="A2219" s="2">
        <v>46189.833333333343</v>
      </c>
      <c r="B2219" t="str">
        <f t="shared" si="68"/>
        <v>2026-06</v>
      </c>
      <c r="C2219" s="3">
        <f t="shared" si="69"/>
        <v>20</v>
      </c>
      <c r="D2219" s="4">
        <v>24.383167239599999</v>
      </c>
      <c r="E2219" s="4">
        <v>26.389753547877781</v>
      </c>
      <c r="F2219" s="4">
        <v>29.39063482949166</v>
      </c>
      <c r="G2219" s="4">
        <v>19.5</v>
      </c>
      <c r="H2219" s="5">
        <v>46.649131962047221</v>
      </c>
      <c r="I2219" s="5">
        <v>43.507870081922221</v>
      </c>
      <c r="J2219" s="5">
        <v>44.025534729061121</v>
      </c>
      <c r="K2219" s="5">
        <v>50</v>
      </c>
    </row>
    <row r="2220" spans="1:11" x14ac:dyDescent="0.25">
      <c r="A2220" s="2">
        <v>46189.875</v>
      </c>
      <c r="B2220" t="str">
        <f t="shared" si="68"/>
        <v>2026-06</v>
      </c>
      <c r="C2220" s="3">
        <f t="shared" si="69"/>
        <v>21</v>
      </c>
      <c r="D2220" s="4">
        <v>23.881632598097219</v>
      </c>
      <c r="E2220" s="4">
        <v>26.361366692116668</v>
      </c>
      <c r="F2220" s="4">
        <v>29.37622272929444</v>
      </c>
      <c r="G2220" s="4">
        <v>18.100000000000001</v>
      </c>
      <c r="H2220" s="5">
        <v>46.126115908802767</v>
      </c>
      <c r="I2220" s="5">
        <v>42.83609839673889</v>
      </c>
      <c r="J2220" s="5">
        <v>44.593405193222232</v>
      </c>
      <c r="K2220" s="5">
        <v>56</v>
      </c>
    </row>
    <row r="2221" spans="1:11" x14ac:dyDescent="0.25">
      <c r="A2221" s="2">
        <v>46189.916666666657</v>
      </c>
      <c r="B2221" t="str">
        <f t="shared" si="68"/>
        <v>2026-06</v>
      </c>
      <c r="C2221" s="3">
        <f t="shared" si="69"/>
        <v>22</v>
      </c>
      <c r="D2221" s="4">
        <v>23.64154740150278</v>
      </c>
      <c r="E2221" s="4">
        <v>26.27379293839445</v>
      </c>
      <c r="F2221" s="4">
        <v>29.361714084130561</v>
      </c>
      <c r="G2221" s="4">
        <v>17.2</v>
      </c>
      <c r="H2221" s="5">
        <v>44.618033328619447</v>
      </c>
      <c r="I2221" s="5">
        <v>41.502123885788883</v>
      </c>
      <c r="J2221" s="5">
        <v>44.808675339830558</v>
      </c>
      <c r="K2221" s="5">
        <v>60</v>
      </c>
    </row>
    <row r="2222" spans="1:11" x14ac:dyDescent="0.25">
      <c r="A2222" s="2">
        <v>46189.958333333343</v>
      </c>
      <c r="B2222" t="str">
        <f t="shared" si="68"/>
        <v>2026-06</v>
      </c>
      <c r="C2222" s="3">
        <f t="shared" si="69"/>
        <v>23</v>
      </c>
      <c r="D2222" s="4">
        <v>24.57150609873889</v>
      </c>
      <c r="E2222" s="4">
        <v>26.193360640658341</v>
      </c>
      <c r="F2222" s="4">
        <v>29.395729835580561</v>
      </c>
      <c r="G2222" s="4">
        <v>16.2</v>
      </c>
      <c r="H2222" s="5">
        <v>45.951435974802777</v>
      </c>
      <c r="I2222" s="5">
        <v>43.452578115575001</v>
      </c>
      <c r="J2222" s="5">
        <v>44.945456117624992</v>
      </c>
      <c r="K2222" s="5">
        <v>65</v>
      </c>
    </row>
    <row r="2223" spans="1:11" x14ac:dyDescent="0.25">
      <c r="A2223" s="2">
        <v>46190</v>
      </c>
      <c r="B2223" t="str">
        <f t="shared" si="68"/>
        <v>2026-06</v>
      </c>
      <c r="C2223" s="3">
        <f t="shared" si="69"/>
        <v>0</v>
      </c>
      <c r="D2223" s="4">
        <v>25.191274994127781</v>
      </c>
      <c r="E2223" s="4">
        <v>26.491799810588891</v>
      </c>
      <c r="F2223" s="4">
        <v>29.39341689008333</v>
      </c>
      <c r="G2223" s="4">
        <v>15.3</v>
      </c>
      <c r="H2223" s="5">
        <v>44.413538368880552</v>
      </c>
      <c r="I2223" s="5">
        <v>43.97123082348611</v>
      </c>
      <c r="J2223" s="5">
        <v>45.024613451980557</v>
      </c>
      <c r="K2223" s="5">
        <v>70</v>
      </c>
    </row>
    <row r="2224" spans="1:11" x14ac:dyDescent="0.25">
      <c r="A2224" s="2">
        <v>46190.041666666657</v>
      </c>
      <c r="B2224" t="str">
        <f t="shared" si="68"/>
        <v>2026-06</v>
      </c>
      <c r="C2224" s="3">
        <f t="shared" si="69"/>
        <v>1</v>
      </c>
      <c r="D2224" s="4">
        <v>25.214080070647221</v>
      </c>
      <c r="E2224" s="4">
        <v>26.284859516766669</v>
      </c>
      <c r="F2224" s="4">
        <v>29.376527475152781</v>
      </c>
      <c r="G2224" s="4">
        <v>14.6</v>
      </c>
      <c r="H2224" s="5">
        <v>43.188840766897222</v>
      </c>
      <c r="I2224" s="5">
        <v>43.09910283206667</v>
      </c>
      <c r="J2224" s="5">
        <v>45.067989199866673</v>
      </c>
      <c r="K2224" s="5">
        <v>73</v>
      </c>
    </row>
    <row r="2225" spans="1:11" x14ac:dyDescent="0.25">
      <c r="A2225" s="2">
        <v>46190.083333333343</v>
      </c>
      <c r="B2225" t="str">
        <f t="shared" si="68"/>
        <v>2026-06</v>
      </c>
      <c r="C2225" s="3">
        <f t="shared" si="69"/>
        <v>2</v>
      </c>
      <c r="D2225" s="4">
        <v>25.223817067958329</v>
      </c>
      <c r="E2225" s="4">
        <v>25.905848720733331</v>
      </c>
      <c r="F2225" s="4">
        <v>29.38157526865556</v>
      </c>
      <c r="G2225" s="4">
        <v>14.2</v>
      </c>
      <c r="H2225" s="5">
        <v>41.136862940025011</v>
      </c>
      <c r="I2225" s="5">
        <v>42.355847672497219</v>
      </c>
      <c r="J2225" s="5">
        <v>44.75000479301945</v>
      </c>
      <c r="K2225" s="5">
        <v>73</v>
      </c>
    </row>
    <row r="2226" spans="1:11" x14ac:dyDescent="0.25">
      <c r="A2226" s="2">
        <v>46190.125</v>
      </c>
      <c r="B2226" t="str">
        <f t="shared" si="68"/>
        <v>2026-06</v>
      </c>
      <c r="C2226" s="3">
        <f t="shared" si="69"/>
        <v>3</v>
      </c>
      <c r="D2226" s="4">
        <v>25.076496778041669</v>
      </c>
      <c r="E2226" s="4">
        <v>25.632841693258332</v>
      </c>
      <c r="F2226" s="4">
        <v>29.435794028480551</v>
      </c>
      <c r="G2226" s="4">
        <v>13.3</v>
      </c>
      <c r="H2226" s="5">
        <v>39.983357388347223</v>
      </c>
      <c r="I2226" s="5">
        <v>41.054255404647222</v>
      </c>
      <c r="J2226" s="5">
        <v>44.268195202719447</v>
      </c>
      <c r="K2226" s="5">
        <v>71</v>
      </c>
    </row>
    <row r="2227" spans="1:11" x14ac:dyDescent="0.25">
      <c r="A2227" s="2">
        <v>46190.166666666657</v>
      </c>
      <c r="B2227" t="str">
        <f t="shared" si="68"/>
        <v>2026-06</v>
      </c>
      <c r="C2227" s="3">
        <f t="shared" si="69"/>
        <v>4</v>
      </c>
      <c r="D2227" s="4">
        <v>24.912711936800001</v>
      </c>
      <c r="E2227" s="4">
        <v>25.36265511665556</v>
      </c>
      <c r="F2227" s="4">
        <v>29.328567618111109</v>
      </c>
      <c r="G2227" s="4">
        <v>12.6</v>
      </c>
      <c r="H2227" s="5">
        <v>39.105479155588888</v>
      </c>
      <c r="I2227" s="5">
        <v>39.974983570569442</v>
      </c>
      <c r="J2227" s="5">
        <v>43.925064717255559</v>
      </c>
      <c r="K2227" s="5">
        <v>77</v>
      </c>
    </row>
    <row r="2228" spans="1:11" x14ac:dyDescent="0.25">
      <c r="A2228" s="2">
        <v>46190.208333333343</v>
      </c>
      <c r="B2228" t="str">
        <f t="shared" si="68"/>
        <v>2026-06</v>
      </c>
      <c r="C2228" s="3">
        <f t="shared" si="69"/>
        <v>5</v>
      </c>
      <c r="D2228" s="4">
        <v>24.947669624247219</v>
      </c>
      <c r="E2228" s="4">
        <v>25.40484621936945</v>
      </c>
      <c r="F2228" s="4">
        <v>29.29422201986111</v>
      </c>
      <c r="G2228" s="4">
        <v>12.3</v>
      </c>
      <c r="H2228" s="5">
        <v>38.670660595375011</v>
      </c>
      <c r="I2228" s="5">
        <v>39.766537660263893</v>
      </c>
      <c r="J2228" s="5">
        <v>43.590043791136111</v>
      </c>
      <c r="K2228" s="5">
        <v>80</v>
      </c>
    </row>
    <row r="2229" spans="1:11" x14ac:dyDescent="0.25">
      <c r="A2229" s="2">
        <v>46190.25</v>
      </c>
      <c r="B2229" t="str">
        <f t="shared" si="68"/>
        <v>2026-06</v>
      </c>
      <c r="C2229" s="3">
        <f t="shared" si="69"/>
        <v>6</v>
      </c>
      <c r="D2229" s="4">
        <v>25.502395650025001</v>
      </c>
      <c r="E2229" s="4">
        <v>25.769490479272221</v>
      </c>
      <c r="F2229" s="4">
        <v>29.290948367955551</v>
      </c>
      <c r="G2229" s="4">
        <v>13.1</v>
      </c>
      <c r="H2229" s="5">
        <v>38.030299418550001</v>
      </c>
      <c r="I2229" s="5">
        <v>40.326603234752767</v>
      </c>
      <c r="J2229" s="5">
        <v>43.725368928380561</v>
      </c>
      <c r="K2229" s="5">
        <v>78</v>
      </c>
    </row>
    <row r="2230" spans="1:11" x14ac:dyDescent="0.25">
      <c r="A2230" s="2">
        <v>46190.291666666657</v>
      </c>
      <c r="B2230" t="str">
        <f t="shared" si="68"/>
        <v>2026-06</v>
      </c>
      <c r="C2230" s="3">
        <f t="shared" si="69"/>
        <v>7</v>
      </c>
      <c r="D2230" s="4">
        <v>26.149816517780561</v>
      </c>
      <c r="E2230" s="4">
        <v>26.379088218372221</v>
      </c>
      <c r="F2230" s="4">
        <v>29.28775004356666</v>
      </c>
      <c r="G2230" s="4">
        <v>14.3</v>
      </c>
      <c r="H2230" s="5">
        <v>37.711187883180557</v>
      </c>
      <c r="I2230" s="5">
        <v>38.840293502527778</v>
      </c>
      <c r="J2230" s="5">
        <v>43.714598996858342</v>
      </c>
      <c r="K2230" s="5">
        <v>73</v>
      </c>
    </row>
    <row r="2231" spans="1:11" x14ac:dyDescent="0.25">
      <c r="A2231" s="2">
        <v>46190.333333333343</v>
      </c>
      <c r="B2231" t="str">
        <f t="shared" si="68"/>
        <v>2026-06</v>
      </c>
      <c r="C2231" s="3">
        <f t="shared" si="69"/>
        <v>8</v>
      </c>
      <c r="D2231" s="4">
        <v>26.935413169561109</v>
      </c>
      <c r="E2231" s="4">
        <v>26.840450327238891</v>
      </c>
      <c r="F2231" s="4">
        <v>29.281067514452779</v>
      </c>
      <c r="G2231" s="4">
        <v>15.9</v>
      </c>
      <c r="H2231" s="5">
        <v>36.813904484416668</v>
      </c>
      <c r="I2231" s="5">
        <v>38.681165899683329</v>
      </c>
      <c r="J2231" s="5">
        <v>43.746297935144447</v>
      </c>
      <c r="K2231" s="5">
        <v>68</v>
      </c>
    </row>
    <row r="2232" spans="1:11" x14ac:dyDescent="0.25">
      <c r="A2232" s="2">
        <v>46190.375</v>
      </c>
      <c r="B2232" t="str">
        <f t="shared" si="68"/>
        <v>2026-06</v>
      </c>
      <c r="C2232" s="3">
        <f t="shared" si="69"/>
        <v>9</v>
      </c>
      <c r="D2232" s="4">
        <v>27.337522118300001</v>
      </c>
      <c r="E2232" s="4">
        <v>27.276562829858332</v>
      </c>
      <c r="F2232" s="4">
        <v>29.311115057799999</v>
      </c>
      <c r="G2232" s="4">
        <v>17.600000000000001</v>
      </c>
      <c r="H2232" s="5">
        <v>36.799399454011123</v>
      </c>
      <c r="I2232" s="5">
        <v>38.286678744580549</v>
      </c>
      <c r="J2232" s="5">
        <v>43.772389166558327</v>
      </c>
      <c r="K2232" s="5">
        <v>61</v>
      </c>
    </row>
    <row r="2233" spans="1:11" x14ac:dyDescent="0.25">
      <c r="A2233" s="2">
        <v>46190.416666666657</v>
      </c>
      <c r="B2233" t="str">
        <f t="shared" si="68"/>
        <v>2026-06</v>
      </c>
      <c r="C2233" s="3">
        <f t="shared" si="69"/>
        <v>10</v>
      </c>
      <c r="D2233" s="4">
        <v>27.147442798608331</v>
      </c>
      <c r="E2233" s="4">
        <v>27.422848923644452</v>
      </c>
      <c r="F2233" s="4">
        <v>29.306801330658331</v>
      </c>
      <c r="G2233" s="4">
        <v>19</v>
      </c>
      <c r="H2233" s="5">
        <v>35.199134604508338</v>
      </c>
      <c r="I2233" s="5">
        <v>37.87536796445</v>
      </c>
      <c r="J2233" s="5">
        <v>43.837702744725</v>
      </c>
      <c r="K2233" s="5">
        <v>53</v>
      </c>
    </row>
    <row r="2234" spans="1:11" x14ac:dyDescent="0.25">
      <c r="A2234" s="2">
        <v>46190.458333333343</v>
      </c>
      <c r="B2234" t="str">
        <f t="shared" si="68"/>
        <v>2026-06</v>
      </c>
      <c r="C2234" s="3">
        <f t="shared" si="69"/>
        <v>11</v>
      </c>
      <c r="D2234" s="4">
        <v>26.440161513477779</v>
      </c>
      <c r="E2234" s="4">
        <v>27.512187835072229</v>
      </c>
      <c r="F2234" s="4">
        <v>28.66806466715833</v>
      </c>
      <c r="G2234" s="4">
        <v>20.100000000000001</v>
      </c>
      <c r="H2234" s="5">
        <v>32.532686030733338</v>
      </c>
      <c r="I2234" s="5">
        <v>36.474033473472232</v>
      </c>
      <c r="J2234" s="5">
        <v>42.67695716424722</v>
      </c>
      <c r="K2234" s="5">
        <v>47</v>
      </c>
    </row>
    <row r="2235" spans="1:11" x14ac:dyDescent="0.25">
      <c r="A2235" s="2">
        <v>46190.5</v>
      </c>
      <c r="B2235" t="str">
        <f t="shared" si="68"/>
        <v>2026-06</v>
      </c>
      <c r="C2235" s="3">
        <f t="shared" si="69"/>
        <v>12</v>
      </c>
      <c r="D2235" s="4">
        <v>26.222421076825</v>
      </c>
      <c r="E2235" s="4">
        <v>27.44875519271945</v>
      </c>
      <c r="F2235" s="4">
        <v>28.345966217327781</v>
      </c>
      <c r="G2235" s="4">
        <v>21</v>
      </c>
      <c r="H2235" s="5">
        <v>31.885112895366671</v>
      </c>
      <c r="I2235" s="5">
        <v>34.551953679516657</v>
      </c>
      <c r="J2235" s="5">
        <v>42.218787515241672</v>
      </c>
      <c r="K2235" s="5">
        <v>42</v>
      </c>
    </row>
    <row r="2236" spans="1:11" x14ac:dyDescent="0.25">
      <c r="A2236" s="2">
        <v>46190.541666666657</v>
      </c>
      <c r="B2236" t="str">
        <f t="shared" si="68"/>
        <v>2026-06</v>
      </c>
      <c r="C2236" s="3">
        <f t="shared" si="69"/>
        <v>13</v>
      </c>
      <c r="D2236" s="4">
        <v>25.860807191180559</v>
      </c>
      <c r="E2236" s="4">
        <v>27.230506362786109</v>
      </c>
      <c r="F2236" s="4">
        <v>28.891458038741661</v>
      </c>
      <c r="G2236" s="4">
        <v>21.8</v>
      </c>
      <c r="H2236" s="5">
        <v>30.062838250405559</v>
      </c>
      <c r="I2236" s="5">
        <v>32.401071450980552</v>
      </c>
      <c r="J2236" s="5">
        <v>42.101635406074998</v>
      </c>
      <c r="K2236" s="5">
        <v>40</v>
      </c>
    </row>
    <row r="2237" spans="1:11" x14ac:dyDescent="0.25">
      <c r="A2237" s="2">
        <v>46190.583333333343</v>
      </c>
      <c r="B2237" t="str">
        <f t="shared" si="68"/>
        <v>2026-06</v>
      </c>
      <c r="C2237" s="3">
        <f t="shared" si="69"/>
        <v>14</v>
      </c>
      <c r="D2237" s="4">
        <v>25.064331249697229</v>
      </c>
      <c r="E2237" s="4">
        <v>27.080107118794441</v>
      </c>
      <c r="F2237" s="4">
        <v>29.018141882452781</v>
      </c>
      <c r="G2237" s="4">
        <v>22</v>
      </c>
      <c r="H2237" s="5">
        <v>34.036267371450002</v>
      </c>
      <c r="I2237" s="5">
        <v>32.945644512338887</v>
      </c>
      <c r="J2237" s="5">
        <v>41.494210432397217</v>
      </c>
      <c r="K2237" s="5">
        <v>40</v>
      </c>
    </row>
    <row r="2238" spans="1:11" x14ac:dyDescent="0.25">
      <c r="A2238" s="2">
        <v>46190.625</v>
      </c>
      <c r="B2238" t="str">
        <f t="shared" si="68"/>
        <v>2026-06</v>
      </c>
      <c r="C2238" s="3">
        <f t="shared" si="69"/>
        <v>15</v>
      </c>
      <c r="D2238" s="4">
        <v>23.890374751500001</v>
      </c>
      <c r="E2238" s="4">
        <v>26.717707386911108</v>
      </c>
      <c r="F2238" s="4">
        <v>29.065351225416659</v>
      </c>
      <c r="G2238" s="4">
        <v>20.3</v>
      </c>
      <c r="H2238" s="5">
        <v>42.377903515877783</v>
      </c>
      <c r="I2238" s="5">
        <v>38.05742367735278</v>
      </c>
      <c r="J2238" s="5">
        <v>42.518139055769453</v>
      </c>
      <c r="K2238" s="5">
        <v>49</v>
      </c>
    </row>
    <row r="2239" spans="1:11" x14ac:dyDescent="0.25">
      <c r="A2239" s="2">
        <v>46190.666666666657</v>
      </c>
      <c r="B2239" t="str">
        <f t="shared" si="68"/>
        <v>2026-06</v>
      </c>
      <c r="C2239" s="3">
        <f t="shared" si="69"/>
        <v>16</v>
      </c>
      <c r="D2239" s="4">
        <v>23.706123852180561</v>
      </c>
      <c r="E2239" s="4">
        <v>26.650276731694451</v>
      </c>
      <c r="F2239" s="4">
        <v>29.20098639291945</v>
      </c>
      <c r="G2239" s="4">
        <v>18.5</v>
      </c>
      <c r="H2239" s="5">
        <v>42.443611052975001</v>
      </c>
      <c r="I2239" s="5">
        <v>39.300907170258327</v>
      </c>
      <c r="J2239" s="5">
        <v>42.826589077430562</v>
      </c>
      <c r="K2239" s="5">
        <v>60</v>
      </c>
    </row>
    <row r="2240" spans="1:11" x14ac:dyDescent="0.25">
      <c r="A2240" s="2">
        <v>46190.708333333343</v>
      </c>
      <c r="B2240" t="str">
        <f t="shared" si="68"/>
        <v>2026-06</v>
      </c>
      <c r="C2240" s="3">
        <f t="shared" si="69"/>
        <v>17</v>
      </c>
      <c r="D2240" s="4">
        <v>24.668590409469449</v>
      </c>
      <c r="E2240" s="4">
        <v>27.07823682615</v>
      </c>
      <c r="F2240" s="4">
        <v>28.326966139349999</v>
      </c>
      <c r="G2240" s="4">
        <v>19.899999999999999</v>
      </c>
      <c r="H2240" s="5">
        <v>40.642161712825001</v>
      </c>
      <c r="I2240" s="5">
        <v>39.39543172966944</v>
      </c>
      <c r="J2240" s="5">
        <v>44.565900676319437</v>
      </c>
      <c r="K2240" s="5">
        <v>56</v>
      </c>
    </row>
    <row r="2241" spans="1:11" x14ac:dyDescent="0.25">
      <c r="A2241" s="2">
        <v>46190.75</v>
      </c>
      <c r="B2241" t="str">
        <f t="shared" si="68"/>
        <v>2026-06</v>
      </c>
      <c r="C2241" s="3">
        <f t="shared" si="69"/>
        <v>18</v>
      </c>
      <c r="D2241" s="4">
        <v>24.72369271459722</v>
      </c>
      <c r="E2241" s="4">
        <v>26.842864225038891</v>
      </c>
      <c r="F2241" s="4">
        <v>27.786663010205551</v>
      </c>
      <c r="G2241" s="4">
        <v>19.899999999999999</v>
      </c>
      <c r="H2241" s="5">
        <v>39.343140364150003</v>
      </c>
      <c r="I2241" s="5">
        <v>39.202566834091662</v>
      </c>
      <c r="J2241" s="5">
        <v>45.002769122586109</v>
      </c>
      <c r="K2241" s="5">
        <v>56</v>
      </c>
    </row>
    <row r="2242" spans="1:11" x14ac:dyDescent="0.25">
      <c r="A2242" s="2">
        <v>46190.791666666657</v>
      </c>
      <c r="B2242" t="str">
        <f t="shared" ref="B2242:B2305" si="70">TEXT(A2242,"yyyy-mm")</f>
        <v>2026-06</v>
      </c>
      <c r="C2242" s="3">
        <f t="shared" ref="C2242:C2305" si="71">HOUR(A2242)</f>
        <v>19</v>
      </c>
      <c r="D2242" s="4">
        <v>24.44744092721945</v>
      </c>
      <c r="E2242" s="4">
        <v>26.578597064469449</v>
      </c>
      <c r="F2242" s="4">
        <v>27.473701154702781</v>
      </c>
      <c r="G2242" s="4">
        <v>19.399999999999999</v>
      </c>
      <c r="H2242" s="5">
        <v>40.364484770736112</v>
      </c>
      <c r="I2242" s="5">
        <v>39.655098357550003</v>
      </c>
      <c r="J2242" s="5">
        <v>45.779901109755549</v>
      </c>
      <c r="K2242" s="5">
        <v>61</v>
      </c>
    </row>
    <row r="2243" spans="1:11" x14ac:dyDescent="0.25">
      <c r="A2243" s="2">
        <v>46190.833333333343</v>
      </c>
      <c r="B2243" t="str">
        <f t="shared" si="70"/>
        <v>2026-06</v>
      </c>
      <c r="C2243" s="3">
        <f t="shared" si="71"/>
        <v>20</v>
      </c>
      <c r="D2243" s="4">
        <v>24.058674138141669</v>
      </c>
      <c r="E2243" s="4">
        <v>26.58171841327778</v>
      </c>
      <c r="F2243" s="4">
        <v>27.747636912536109</v>
      </c>
      <c r="G2243" s="4">
        <v>18.100000000000001</v>
      </c>
      <c r="H2243" s="5">
        <v>41.945873647750012</v>
      </c>
      <c r="I2243" s="5">
        <v>40.145275352633327</v>
      </c>
      <c r="J2243" s="5">
        <v>46.237758375624999</v>
      </c>
      <c r="K2243" s="5">
        <v>72</v>
      </c>
    </row>
    <row r="2244" spans="1:11" x14ac:dyDescent="0.25">
      <c r="A2244" s="2">
        <v>46190.875</v>
      </c>
      <c r="B2244" t="str">
        <f t="shared" si="70"/>
        <v>2026-06</v>
      </c>
      <c r="C2244" s="3">
        <f t="shared" si="71"/>
        <v>21</v>
      </c>
      <c r="D2244" s="4">
        <v>23.95037080704445</v>
      </c>
      <c r="E2244" s="4">
        <v>26.443509522077779</v>
      </c>
      <c r="F2244" s="4">
        <v>28.363799160799999</v>
      </c>
      <c r="G2244" s="4">
        <v>17.2</v>
      </c>
      <c r="H2244" s="5">
        <v>42.730393973200002</v>
      </c>
      <c r="I2244" s="5">
        <v>40.498894872594441</v>
      </c>
      <c r="J2244" s="5">
        <v>45.065208395558336</v>
      </c>
      <c r="K2244" s="5">
        <v>77</v>
      </c>
    </row>
    <row r="2245" spans="1:11" x14ac:dyDescent="0.25">
      <c r="A2245" s="2">
        <v>46190.916666666657</v>
      </c>
      <c r="B2245" t="str">
        <f t="shared" si="70"/>
        <v>2026-06</v>
      </c>
      <c r="C2245" s="3">
        <f t="shared" si="71"/>
        <v>22</v>
      </c>
      <c r="D2245" s="4">
        <v>24.011309919552779</v>
      </c>
      <c r="E2245" s="4">
        <v>26.671844833430551</v>
      </c>
      <c r="F2245" s="4">
        <v>28.603141015827781</v>
      </c>
      <c r="G2245" s="4">
        <v>17</v>
      </c>
      <c r="H2245" s="5">
        <v>43.009558382063886</v>
      </c>
      <c r="I2245" s="5">
        <v>40.612405334872221</v>
      </c>
      <c r="J2245" s="5">
        <v>44.648024452536113</v>
      </c>
      <c r="K2245" s="5">
        <v>79</v>
      </c>
    </row>
    <row r="2246" spans="1:11" x14ac:dyDescent="0.25">
      <c r="A2246" s="2">
        <v>46190.958333333343</v>
      </c>
      <c r="B2246" t="str">
        <f t="shared" si="70"/>
        <v>2026-06</v>
      </c>
      <c r="C2246" s="3">
        <f t="shared" si="71"/>
        <v>23</v>
      </c>
      <c r="D2246" s="4">
        <v>23.759539483947229</v>
      </c>
      <c r="E2246" s="4">
        <v>26.500230789561108</v>
      </c>
      <c r="F2246" s="4">
        <v>28.70692156266389</v>
      </c>
      <c r="G2246" s="4">
        <v>16.399999999999999</v>
      </c>
      <c r="H2246" s="5">
        <v>44.99936069536389</v>
      </c>
      <c r="I2246" s="5">
        <v>41.311509290988887</v>
      </c>
      <c r="J2246" s="5">
        <v>44.649276270172223</v>
      </c>
      <c r="K2246" s="5">
        <v>81</v>
      </c>
    </row>
    <row r="2247" spans="1:11" x14ac:dyDescent="0.25">
      <c r="A2247" s="2">
        <v>46191</v>
      </c>
      <c r="B2247" t="str">
        <f t="shared" si="70"/>
        <v>2026-06</v>
      </c>
      <c r="C2247" s="3">
        <f t="shared" si="71"/>
        <v>0</v>
      </c>
      <c r="D2247" s="4">
        <v>23.954621389625</v>
      </c>
      <c r="E2247" s="4">
        <v>26.133484609647219</v>
      </c>
      <c r="F2247" s="4">
        <v>28.705114777652781</v>
      </c>
      <c r="G2247" s="4">
        <v>15.8</v>
      </c>
      <c r="H2247" s="5">
        <v>45.006780920605557</v>
      </c>
      <c r="I2247" s="5">
        <v>41.933644153241673</v>
      </c>
      <c r="J2247" s="5">
        <v>44.729478024994449</v>
      </c>
      <c r="K2247" s="5">
        <v>85</v>
      </c>
    </row>
    <row r="2248" spans="1:11" x14ac:dyDescent="0.25">
      <c r="A2248" s="2">
        <v>46191.041666666657</v>
      </c>
      <c r="B2248" t="str">
        <f t="shared" si="70"/>
        <v>2026-06</v>
      </c>
      <c r="C2248" s="3">
        <f t="shared" si="71"/>
        <v>1</v>
      </c>
      <c r="D2248" s="4">
        <v>23.417634442705559</v>
      </c>
      <c r="E2248" s="4">
        <v>25.710625085172222</v>
      </c>
      <c r="F2248" s="4">
        <v>28.680117050880561</v>
      </c>
      <c r="G2248" s="4">
        <v>15.2</v>
      </c>
      <c r="H2248" s="5">
        <v>47.57078381783888</v>
      </c>
      <c r="I2248" s="5">
        <v>43.410188571958336</v>
      </c>
      <c r="J2248" s="5">
        <v>44.916590892099997</v>
      </c>
      <c r="K2248" s="5">
        <v>89</v>
      </c>
    </row>
    <row r="2249" spans="1:11" x14ac:dyDescent="0.25">
      <c r="A2249" s="2">
        <v>46191.083333333343</v>
      </c>
      <c r="B2249" t="str">
        <f t="shared" si="70"/>
        <v>2026-06</v>
      </c>
      <c r="C2249" s="3">
        <f t="shared" si="71"/>
        <v>2</v>
      </c>
      <c r="D2249" s="4">
        <v>22.656561406315291</v>
      </c>
      <c r="E2249" s="4">
        <v>25.51613551374167</v>
      </c>
      <c r="F2249" s="4">
        <v>28.645840467794439</v>
      </c>
      <c r="G2249" s="4">
        <v>14.7</v>
      </c>
      <c r="H2249" s="5">
        <v>49.7957506196393</v>
      </c>
      <c r="I2249" s="5">
        <v>43.618273917827793</v>
      </c>
      <c r="J2249" s="5">
        <v>45.129748396263892</v>
      </c>
      <c r="K2249" s="5">
        <v>92</v>
      </c>
    </row>
    <row r="2250" spans="1:11" x14ac:dyDescent="0.25">
      <c r="A2250" s="2">
        <v>46191.125</v>
      </c>
      <c r="B2250" t="str">
        <f t="shared" si="70"/>
        <v>2026-06</v>
      </c>
      <c r="C2250" s="3">
        <f t="shared" si="71"/>
        <v>3</v>
      </c>
      <c r="D2250" s="4">
        <v>21.40540144390885</v>
      </c>
      <c r="E2250" s="4">
        <v>25.420771016208331</v>
      </c>
      <c r="F2250" s="4">
        <v>28.609340438486111</v>
      </c>
      <c r="G2250" s="4">
        <v>14.3</v>
      </c>
      <c r="H2250" s="5">
        <v>53.161083856011061</v>
      </c>
      <c r="I2250" s="5">
        <v>43.499676773286119</v>
      </c>
      <c r="J2250" s="5">
        <v>45.233914957291667</v>
      </c>
      <c r="K2250" s="5">
        <v>90</v>
      </c>
    </row>
    <row r="2251" spans="1:11" x14ac:dyDescent="0.25">
      <c r="A2251" s="2">
        <v>46191.166666666657</v>
      </c>
      <c r="B2251" t="str">
        <f t="shared" si="70"/>
        <v>2026-06</v>
      </c>
      <c r="C2251" s="3">
        <f t="shared" si="71"/>
        <v>4</v>
      </c>
      <c r="D2251" s="4">
        <v>21.516666666666669</v>
      </c>
      <c r="E2251" s="4">
        <v>25.14011043725278</v>
      </c>
      <c r="F2251" s="4">
        <v>28.57280920520278</v>
      </c>
      <c r="G2251" s="4">
        <v>13.9</v>
      </c>
      <c r="H2251" s="5">
        <v>52.876666666666672</v>
      </c>
      <c r="I2251" s="5">
        <v>43.923191762411108</v>
      </c>
      <c r="J2251" s="5">
        <v>45.340503251769441</v>
      </c>
      <c r="K2251" s="5">
        <v>91</v>
      </c>
    </row>
    <row r="2252" spans="1:11" x14ac:dyDescent="0.25">
      <c r="A2252" s="2">
        <v>46191.208333333343</v>
      </c>
      <c r="B2252" t="str">
        <f t="shared" si="70"/>
        <v>2026-06</v>
      </c>
      <c r="C2252" s="3">
        <f t="shared" si="71"/>
        <v>5</v>
      </c>
      <c r="D2252" s="4">
        <v>21.28863483500297</v>
      </c>
      <c r="E2252" s="4">
        <v>25.083034461766669</v>
      </c>
      <c r="F2252" s="4">
        <v>28.55769315321945</v>
      </c>
      <c r="G2252" s="4">
        <v>13.8</v>
      </c>
      <c r="H2252" s="5">
        <v>53.417233539116047</v>
      </c>
      <c r="I2252" s="5">
        <v>43.971403387594449</v>
      </c>
      <c r="J2252" s="5">
        <v>45.377404639819453</v>
      </c>
      <c r="K2252" s="5">
        <v>92</v>
      </c>
    </row>
    <row r="2253" spans="1:11" x14ac:dyDescent="0.25">
      <c r="A2253" s="2">
        <v>46191.25</v>
      </c>
      <c r="B2253" t="str">
        <f t="shared" si="70"/>
        <v>2026-06</v>
      </c>
      <c r="C2253" s="3">
        <f t="shared" si="71"/>
        <v>6</v>
      </c>
      <c r="D2253" s="4">
        <v>23.195203201585741</v>
      </c>
      <c r="E2253" s="4">
        <v>25.43035039842778</v>
      </c>
      <c r="F2253" s="4">
        <v>28.56353639816389</v>
      </c>
      <c r="G2253" s="4">
        <v>14.6</v>
      </c>
      <c r="H2253" s="5">
        <v>48.167435050512843</v>
      </c>
      <c r="I2253" s="5">
        <v>43.781184764555562</v>
      </c>
      <c r="J2253" s="5">
        <v>45.335792415508337</v>
      </c>
      <c r="K2253" s="5">
        <v>89</v>
      </c>
    </row>
    <row r="2254" spans="1:11" x14ac:dyDescent="0.25">
      <c r="A2254" s="2">
        <v>46191.291666666657</v>
      </c>
      <c r="B2254" t="str">
        <f t="shared" si="70"/>
        <v>2026-06</v>
      </c>
      <c r="C2254" s="3">
        <f t="shared" si="71"/>
        <v>7</v>
      </c>
      <c r="D2254" s="4">
        <v>24.59795626695556</v>
      </c>
      <c r="E2254" s="4">
        <v>25.978638164922231</v>
      </c>
      <c r="F2254" s="4">
        <v>28.610767259402781</v>
      </c>
      <c r="G2254" s="4">
        <v>16.2</v>
      </c>
      <c r="H2254" s="5">
        <v>45.056382904452782</v>
      </c>
      <c r="I2254" s="5">
        <v>43.327534702127792</v>
      </c>
      <c r="J2254" s="5">
        <v>45.277015551711123</v>
      </c>
      <c r="K2254" s="5">
        <v>83</v>
      </c>
    </row>
    <row r="2255" spans="1:11" x14ac:dyDescent="0.25">
      <c r="A2255" s="2">
        <v>46191.333333333343</v>
      </c>
      <c r="B2255" t="str">
        <f t="shared" si="70"/>
        <v>2026-06</v>
      </c>
      <c r="C2255" s="3">
        <f t="shared" si="71"/>
        <v>8</v>
      </c>
      <c r="D2255" s="4">
        <v>25.787066104586099</v>
      </c>
      <c r="E2255" s="4">
        <v>26.546584790880559</v>
      </c>
      <c r="F2255" s="4">
        <v>28.666465175027781</v>
      </c>
      <c r="G2255" s="4">
        <v>18.3</v>
      </c>
      <c r="H2255" s="5">
        <v>42.358555711563888</v>
      </c>
      <c r="I2255" s="5">
        <v>41.763206787108338</v>
      </c>
      <c r="J2255" s="5">
        <v>45.270591633841669</v>
      </c>
      <c r="K2255" s="5">
        <v>73</v>
      </c>
    </row>
    <row r="2256" spans="1:11" x14ac:dyDescent="0.25">
      <c r="A2256" s="2">
        <v>46191.375</v>
      </c>
      <c r="B2256" t="str">
        <f t="shared" si="70"/>
        <v>2026-06</v>
      </c>
      <c r="C2256" s="3">
        <f t="shared" si="71"/>
        <v>9</v>
      </c>
      <c r="D2256" s="4">
        <v>26.709643380641669</v>
      </c>
      <c r="E2256" s="4">
        <v>26.975429486236109</v>
      </c>
      <c r="F2256" s="4">
        <v>28.737362858177779</v>
      </c>
      <c r="G2256" s="4">
        <v>20.3</v>
      </c>
      <c r="H2256" s="5">
        <v>41.833418065522217</v>
      </c>
      <c r="I2256" s="5">
        <v>41.502152798747233</v>
      </c>
      <c r="J2256" s="5">
        <v>45.26724127229167</v>
      </c>
      <c r="K2256" s="5">
        <v>60</v>
      </c>
    </row>
    <row r="2257" spans="1:11" x14ac:dyDescent="0.25">
      <c r="A2257" s="2">
        <v>46191.416666666657</v>
      </c>
      <c r="B2257" t="str">
        <f t="shared" si="70"/>
        <v>2026-06</v>
      </c>
      <c r="C2257" s="3">
        <f t="shared" si="71"/>
        <v>10</v>
      </c>
      <c r="D2257" s="4">
        <v>26.8679818522</v>
      </c>
      <c r="E2257" s="4">
        <v>27.501897726333329</v>
      </c>
      <c r="F2257" s="4">
        <v>28.748583286688891</v>
      </c>
      <c r="G2257" s="4">
        <v>21.1</v>
      </c>
      <c r="H2257" s="5">
        <v>40.391043583558343</v>
      </c>
      <c r="I2257" s="5">
        <v>43.758128756561113</v>
      </c>
      <c r="J2257" s="5">
        <v>45.898508644286103</v>
      </c>
      <c r="K2257" s="5">
        <v>55</v>
      </c>
    </row>
    <row r="2258" spans="1:11" x14ac:dyDescent="0.25">
      <c r="A2258" s="2">
        <v>46191.458333333343</v>
      </c>
      <c r="B2258" t="str">
        <f t="shared" si="70"/>
        <v>2026-06</v>
      </c>
      <c r="C2258" s="3">
        <f t="shared" si="71"/>
        <v>11</v>
      </c>
      <c r="D2258" s="4">
        <v>26.60044402383333</v>
      </c>
      <c r="E2258" s="4">
        <v>27.70386540742777</v>
      </c>
      <c r="F2258" s="4">
        <v>28.33130678503889</v>
      </c>
      <c r="G2258" s="4">
        <v>21.8</v>
      </c>
      <c r="H2258" s="5">
        <v>36.55727659107778</v>
      </c>
      <c r="I2258" s="5">
        <v>40.026828177169442</v>
      </c>
      <c r="J2258" s="5">
        <v>46.844120569388878</v>
      </c>
      <c r="K2258" s="5">
        <v>48</v>
      </c>
    </row>
    <row r="2259" spans="1:11" x14ac:dyDescent="0.25">
      <c r="A2259" s="2">
        <v>46191.5</v>
      </c>
      <c r="B2259" t="str">
        <f t="shared" si="70"/>
        <v>2026-06</v>
      </c>
      <c r="C2259" s="3">
        <f t="shared" si="71"/>
        <v>12</v>
      </c>
      <c r="D2259" s="4">
        <v>26.49032157020833</v>
      </c>
      <c r="E2259" s="4">
        <v>27.698773909786109</v>
      </c>
      <c r="F2259" s="4">
        <v>28.24519176049445</v>
      </c>
      <c r="G2259" s="4">
        <v>22.2</v>
      </c>
      <c r="H2259" s="5">
        <v>34.148058242238889</v>
      </c>
      <c r="I2259" s="5">
        <v>36.751377389580561</v>
      </c>
      <c r="J2259" s="5">
        <v>45.089877956458338</v>
      </c>
      <c r="K2259" s="5">
        <v>45</v>
      </c>
    </row>
    <row r="2260" spans="1:11" x14ac:dyDescent="0.25">
      <c r="A2260" s="2">
        <v>46191.541666666657</v>
      </c>
      <c r="B2260" t="str">
        <f t="shared" si="70"/>
        <v>2026-06</v>
      </c>
      <c r="C2260" s="3">
        <f t="shared" si="71"/>
        <v>13</v>
      </c>
      <c r="D2260" s="4">
        <v>26.397235489111111</v>
      </c>
      <c r="E2260" s="4">
        <v>27.333729469950001</v>
      </c>
      <c r="F2260" s="4">
        <v>28.674150009175001</v>
      </c>
      <c r="G2260" s="4">
        <v>22.4</v>
      </c>
      <c r="H2260" s="5">
        <v>34.127209680483332</v>
      </c>
      <c r="I2260" s="5">
        <v>37.21504699846944</v>
      </c>
      <c r="J2260" s="5">
        <v>45.124805005752783</v>
      </c>
      <c r="K2260" s="5">
        <v>42</v>
      </c>
    </row>
    <row r="2261" spans="1:11" x14ac:dyDescent="0.25">
      <c r="A2261" s="2">
        <v>46191.583333333343</v>
      </c>
      <c r="B2261" t="str">
        <f t="shared" si="70"/>
        <v>2026-06</v>
      </c>
      <c r="C2261" s="3">
        <f t="shared" si="71"/>
        <v>14</v>
      </c>
      <c r="D2261" s="4">
        <v>26.453337849977789</v>
      </c>
      <c r="E2261" s="4">
        <v>27.24345775081666</v>
      </c>
      <c r="F2261" s="4">
        <v>28.856742010588889</v>
      </c>
      <c r="G2261" s="4">
        <v>22.9</v>
      </c>
      <c r="H2261" s="5">
        <v>33.505131719933338</v>
      </c>
      <c r="I2261" s="5">
        <v>36.863116510461097</v>
      </c>
      <c r="J2261" s="5">
        <v>44.884779847691682</v>
      </c>
      <c r="K2261" s="5">
        <v>40</v>
      </c>
    </row>
    <row r="2262" spans="1:11" x14ac:dyDescent="0.25">
      <c r="A2262" s="2">
        <v>46191.625</v>
      </c>
      <c r="B2262" t="str">
        <f t="shared" si="70"/>
        <v>2026-06</v>
      </c>
      <c r="C2262" s="3">
        <f t="shared" si="71"/>
        <v>15</v>
      </c>
      <c r="D2262" s="4">
        <v>26.631131515027779</v>
      </c>
      <c r="E2262" s="4">
        <v>27.498086086663889</v>
      </c>
      <c r="F2262" s="4">
        <v>28.96429550734166</v>
      </c>
      <c r="G2262" s="4">
        <v>23.4</v>
      </c>
      <c r="H2262" s="5">
        <v>32.640397656127782</v>
      </c>
      <c r="I2262" s="5">
        <v>35.967333430466667</v>
      </c>
      <c r="J2262" s="5">
        <v>44.813421260133339</v>
      </c>
      <c r="K2262" s="5">
        <v>43</v>
      </c>
    </row>
    <row r="2263" spans="1:11" x14ac:dyDescent="0.25">
      <c r="A2263" s="2">
        <v>46191.666666666657</v>
      </c>
      <c r="B2263" t="str">
        <f t="shared" si="70"/>
        <v>2026-06</v>
      </c>
      <c r="C2263" s="3">
        <f t="shared" si="71"/>
        <v>16</v>
      </c>
      <c r="D2263" s="4">
        <v>26.48097615976944</v>
      </c>
      <c r="E2263" s="4">
        <v>27.173095975950002</v>
      </c>
      <c r="F2263" s="4">
        <v>28.9465792847</v>
      </c>
      <c r="G2263" s="4">
        <v>23.8</v>
      </c>
      <c r="H2263" s="5">
        <v>35.754548035799999</v>
      </c>
      <c r="I2263" s="5">
        <v>36.577383642341672</v>
      </c>
      <c r="J2263" s="5">
        <v>44.568606106416667</v>
      </c>
      <c r="K2263" s="5">
        <v>40</v>
      </c>
    </row>
    <row r="2264" spans="1:11" x14ac:dyDescent="0.25">
      <c r="A2264" s="2">
        <v>46191.708333333343</v>
      </c>
      <c r="B2264" t="str">
        <f t="shared" si="70"/>
        <v>2026-06</v>
      </c>
      <c r="C2264" s="3">
        <f t="shared" si="71"/>
        <v>17</v>
      </c>
      <c r="D2264" s="4">
        <v>26.344358114872222</v>
      </c>
      <c r="E2264" s="4">
        <v>27.273406539880561</v>
      </c>
      <c r="F2264" s="4">
        <v>28.362178877111109</v>
      </c>
      <c r="G2264" s="4">
        <v>23.4</v>
      </c>
      <c r="H2264" s="5">
        <v>37.823695666291663</v>
      </c>
      <c r="I2264" s="5">
        <v>37.758335052299998</v>
      </c>
      <c r="J2264" s="5">
        <v>45.251686700991662</v>
      </c>
      <c r="K2264" s="5">
        <v>39</v>
      </c>
    </row>
    <row r="2265" spans="1:11" x14ac:dyDescent="0.25">
      <c r="A2265" s="2">
        <v>46191.75</v>
      </c>
      <c r="B2265" t="str">
        <f t="shared" si="70"/>
        <v>2026-06</v>
      </c>
      <c r="C2265" s="3">
        <f t="shared" si="71"/>
        <v>18</v>
      </c>
      <c r="D2265" s="4">
        <v>26.410098854649998</v>
      </c>
      <c r="E2265" s="4">
        <v>27.34169954835556</v>
      </c>
      <c r="F2265" s="4">
        <v>28.748677646811121</v>
      </c>
      <c r="G2265" s="4">
        <v>22.9</v>
      </c>
      <c r="H2265" s="5">
        <v>34.881943072827767</v>
      </c>
      <c r="I2265" s="5">
        <v>37.299203852555557</v>
      </c>
      <c r="J2265" s="5">
        <v>44.965367398666658</v>
      </c>
      <c r="K2265" s="5">
        <v>38</v>
      </c>
    </row>
    <row r="2266" spans="1:11" x14ac:dyDescent="0.25">
      <c r="A2266" s="2">
        <v>46191.791666666657</v>
      </c>
      <c r="B2266" t="str">
        <f t="shared" si="70"/>
        <v>2026-06</v>
      </c>
      <c r="C2266" s="3">
        <f t="shared" si="71"/>
        <v>19</v>
      </c>
      <c r="D2266" s="4">
        <v>26.17730335612778</v>
      </c>
      <c r="E2266" s="4">
        <v>27.481420581980561</v>
      </c>
      <c r="F2266" s="4">
        <v>28.900730345766661</v>
      </c>
      <c r="G2266" s="4">
        <v>22.4</v>
      </c>
      <c r="H2266" s="5">
        <v>30.641545990977779</v>
      </c>
      <c r="I2266" s="5">
        <v>35.906504950147223</v>
      </c>
      <c r="J2266" s="5">
        <v>44.256439194980551</v>
      </c>
      <c r="K2266" s="5">
        <v>39</v>
      </c>
    </row>
    <row r="2267" spans="1:11" x14ac:dyDescent="0.25">
      <c r="A2267" s="2">
        <v>46191.833333333343</v>
      </c>
      <c r="B2267" t="str">
        <f t="shared" si="70"/>
        <v>2026-06</v>
      </c>
      <c r="C2267" s="3">
        <f t="shared" si="71"/>
        <v>20</v>
      </c>
      <c r="D2267" s="4">
        <v>25.38496396588333</v>
      </c>
      <c r="E2267" s="4">
        <v>27.15862439163611</v>
      </c>
      <c r="F2267" s="4">
        <v>29.02370323234166</v>
      </c>
      <c r="G2267" s="4">
        <v>21.1</v>
      </c>
      <c r="H2267" s="5">
        <v>31.595620448599998</v>
      </c>
      <c r="I2267" s="5">
        <v>36.482525583388892</v>
      </c>
      <c r="J2267" s="5">
        <v>43.926083568794439</v>
      </c>
      <c r="K2267" s="5">
        <v>46</v>
      </c>
    </row>
    <row r="2268" spans="1:11" x14ac:dyDescent="0.25">
      <c r="A2268" s="2">
        <v>46191.875</v>
      </c>
      <c r="B2268" t="str">
        <f t="shared" si="70"/>
        <v>2026-06</v>
      </c>
      <c r="C2268" s="3">
        <f t="shared" si="71"/>
        <v>21</v>
      </c>
      <c r="D2268" s="4">
        <v>24.456366744080551</v>
      </c>
      <c r="E2268" s="4">
        <v>26.917414241483328</v>
      </c>
      <c r="F2268" s="4">
        <v>29.073946620575001</v>
      </c>
      <c r="G2268" s="4">
        <v>19.899999999999999</v>
      </c>
      <c r="H2268" s="5">
        <v>35.718192103222208</v>
      </c>
      <c r="I2268" s="5">
        <v>35.841645274366662</v>
      </c>
      <c r="J2268" s="5">
        <v>43.435017726611122</v>
      </c>
      <c r="K2268" s="5">
        <v>53</v>
      </c>
    </row>
    <row r="2269" spans="1:11" x14ac:dyDescent="0.25">
      <c r="A2269" s="2">
        <v>46191.916666666657</v>
      </c>
      <c r="B2269" t="str">
        <f t="shared" si="70"/>
        <v>2026-06</v>
      </c>
      <c r="C2269" s="3">
        <f t="shared" si="71"/>
        <v>22</v>
      </c>
      <c r="D2269" s="4">
        <v>25.58466103321944</v>
      </c>
      <c r="E2269" s="4">
        <v>26.87919110052778</v>
      </c>
      <c r="F2269" s="4">
        <v>29.043627598269438</v>
      </c>
      <c r="G2269" s="4">
        <v>18.899999999999999</v>
      </c>
      <c r="H2269" s="5">
        <v>39.384348463094447</v>
      </c>
      <c r="I2269" s="5">
        <v>39.210919057977783</v>
      </c>
      <c r="J2269" s="5">
        <v>43.910479328591663</v>
      </c>
      <c r="K2269" s="5">
        <v>58</v>
      </c>
    </row>
    <row r="2270" spans="1:11" x14ac:dyDescent="0.25">
      <c r="A2270" s="2">
        <v>46191.958333333343</v>
      </c>
      <c r="B2270" t="str">
        <f t="shared" si="70"/>
        <v>2026-06</v>
      </c>
      <c r="C2270" s="3">
        <f t="shared" si="71"/>
        <v>23</v>
      </c>
      <c r="D2270" s="4">
        <v>26.124157870080559</v>
      </c>
      <c r="E2270" s="4">
        <v>27.035206299475</v>
      </c>
      <c r="F2270" s="4">
        <v>29.037996204697219</v>
      </c>
      <c r="G2270" s="4">
        <v>17.899999999999999</v>
      </c>
      <c r="H2270" s="5">
        <v>39.413245273900003</v>
      </c>
      <c r="I2270" s="5">
        <v>39.234732797433331</v>
      </c>
      <c r="J2270" s="5">
        <v>44.354999032727783</v>
      </c>
      <c r="K2270" s="5">
        <v>63</v>
      </c>
    </row>
    <row r="2271" spans="1:11" x14ac:dyDescent="0.25">
      <c r="A2271" s="2">
        <v>46192</v>
      </c>
      <c r="B2271" t="str">
        <f t="shared" si="70"/>
        <v>2026-06</v>
      </c>
      <c r="C2271" s="3">
        <f t="shared" si="71"/>
        <v>0</v>
      </c>
      <c r="D2271" s="4">
        <v>26.259348156077781</v>
      </c>
      <c r="E2271" s="4">
        <v>27.33608855669722</v>
      </c>
      <c r="F2271" s="4">
        <v>29.09926902404445</v>
      </c>
      <c r="G2271" s="4">
        <v>16.7</v>
      </c>
      <c r="H2271" s="5">
        <v>38.439534148180549</v>
      </c>
      <c r="I2271" s="5">
        <v>37.863978166611112</v>
      </c>
      <c r="J2271" s="5">
        <v>44.260047565166673</v>
      </c>
      <c r="K2271" s="5">
        <v>67</v>
      </c>
    </row>
    <row r="2272" spans="1:11" x14ac:dyDescent="0.25">
      <c r="A2272" s="2">
        <v>46192.041666666657</v>
      </c>
      <c r="B2272" t="str">
        <f t="shared" si="70"/>
        <v>2026-06</v>
      </c>
      <c r="C2272" s="3">
        <f t="shared" si="71"/>
        <v>1</v>
      </c>
      <c r="D2272" s="4">
        <v>25.818770837722219</v>
      </c>
      <c r="E2272" s="4">
        <v>27.216909891758331</v>
      </c>
      <c r="F2272" s="4">
        <v>29.042843135352779</v>
      </c>
      <c r="G2272" s="4">
        <v>15.4</v>
      </c>
      <c r="H2272" s="5">
        <v>38.974845185699998</v>
      </c>
      <c r="I2272" s="5">
        <v>39.488727465088893</v>
      </c>
      <c r="J2272" s="5">
        <v>44.269833009625003</v>
      </c>
      <c r="K2272" s="5">
        <v>66</v>
      </c>
    </row>
    <row r="2273" spans="1:11" x14ac:dyDescent="0.25">
      <c r="A2273" s="2">
        <v>46192.083333333343</v>
      </c>
      <c r="B2273" t="str">
        <f t="shared" si="70"/>
        <v>2026-06</v>
      </c>
      <c r="C2273" s="3">
        <f t="shared" si="71"/>
        <v>2</v>
      </c>
      <c r="D2273" s="4">
        <v>22.728305622669438</v>
      </c>
      <c r="E2273" s="4">
        <v>26.367422352652781</v>
      </c>
      <c r="F2273" s="4">
        <v>28.963068453363888</v>
      </c>
      <c r="G2273" s="4">
        <v>14.7</v>
      </c>
      <c r="H2273" s="5">
        <v>44.096149723652779</v>
      </c>
      <c r="I2273" s="5">
        <v>38.528786607577779</v>
      </c>
      <c r="J2273" s="5">
        <v>44.151540802313889</v>
      </c>
      <c r="K2273" s="5">
        <v>65</v>
      </c>
    </row>
    <row r="2274" spans="1:11" x14ac:dyDescent="0.25">
      <c r="A2274" s="2">
        <v>46192.125</v>
      </c>
      <c r="B2274" t="str">
        <f t="shared" si="70"/>
        <v>2026-06</v>
      </c>
      <c r="C2274" s="3">
        <f t="shared" si="71"/>
        <v>3</v>
      </c>
      <c r="D2274" s="4">
        <v>21.830032058177871</v>
      </c>
      <c r="E2274" s="4">
        <v>26.030576365799998</v>
      </c>
      <c r="F2274" s="4">
        <v>28.862561227769451</v>
      </c>
      <c r="G2274" s="4">
        <v>14.4</v>
      </c>
      <c r="H2274" s="5">
        <v>45.854056373836038</v>
      </c>
      <c r="I2274" s="5">
        <v>37.959176913672223</v>
      </c>
      <c r="J2274" s="5">
        <v>43.987736237033339</v>
      </c>
      <c r="K2274" s="5">
        <v>72</v>
      </c>
    </row>
    <row r="2275" spans="1:11" x14ac:dyDescent="0.25">
      <c r="A2275" s="2">
        <v>46192.166666666657</v>
      </c>
      <c r="B2275" t="str">
        <f t="shared" si="70"/>
        <v>2026-06</v>
      </c>
      <c r="C2275" s="3">
        <f t="shared" si="71"/>
        <v>4</v>
      </c>
      <c r="D2275" s="4"/>
      <c r="E2275" s="4">
        <v>25.656310362308329</v>
      </c>
      <c r="F2275" s="4">
        <v>28.767263705911109</v>
      </c>
      <c r="G2275" s="4">
        <v>13.7</v>
      </c>
      <c r="H2275" s="5"/>
      <c r="I2275" s="5">
        <v>37.856193192433331</v>
      </c>
      <c r="J2275" s="5">
        <v>43.78713953300278</v>
      </c>
      <c r="K2275" s="5">
        <v>75</v>
      </c>
    </row>
    <row r="2276" spans="1:11" x14ac:dyDescent="0.25">
      <c r="A2276" s="2">
        <v>46192.208333333343</v>
      </c>
      <c r="B2276" t="str">
        <f t="shared" si="70"/>
        <v>2026-06</v>
      </c>
      <c r="C2276" s="3">
        <f t="shared" si="71"/>
        <v>5</v>
      </c>
      <c r="D2276" s="4">
        <v>23.163581367911441</v>
      </c>
      <c r="E2276" s="4">
        <v>25.74026628230834</v>
      </c>
      <c r="F2276" s="4">
        <v>28.71414056746389</v>
      </c>
      <c r="G2276" s="4">
        <v>13.9</v>
      </c>
      <c r="H2276" s="5">
        <v>41.968776863808642</v>
      </c>
      <c r="I2276" s="5">
        <v>37.632235195191662</v>
      </c>
      <c r="J2276" s="5">
        <v>43.640500440858339</v>
      </c>
      <c r="K2276" s="5">
        <v>74</v>
      </c>
    </row>
    <row r="2277" spans="1:11" x14ac:dyDescent="0.25">
      <c r="A2277" s="2">
        <v>46192.25</v>
      </c>
      <c r="B2277" t="str">
        <f t="shared" si="70"/>
        <v>2026-06</v>
      </c>
      <c r="C2277" s="3">
        <f t="shared" si="71"/>
        <v>6</v>
      </c>
      <c r="D2277" s="4">
        <v>24.201933674508329</v>
      </c>
      <c r="E2277" s="4">
        <v>25.998664969869441</v>
      </c>
      <c r="F2277" s="4">
        <v>28.73491284609166</v>
      </c>
      <c r="G2277" s="4">
        <v>14.9</v>
      </c>
      <c r="H2277" s="5">
        <v>39.234455289786119</v>
      </c>
      <c r="I2277" s="5">
        <v>37.942333518558343</v>
      </c>
      <c r="J2277" s="5">
        <v>43.642378026675011</v>
      </c>
      <c r="K2277" s="5">
        <v>71</v>
      </c>
    </row>
    <row r="2278" spans="1:11" x14ac:dyDescent="0.25">
      <c r="A2278" s="2">
        <v>46192.291666666657</v>
      </c>
      <c r="B2278" t="str">
        <f t="shared" si="70"/>
        <v>2026-06</v>
      </c>
      <c r="C2278" s="3">
        <f t="shared" si="71"/>
        <v>7</v>
      </c>
      <c r="D2278" s="4">
        <v>25.085972470005551</v>
      </c>
      <c r="E2278" s="4">
        <v>26.205728505561112</v>
      </c>
      <c r="F2278" s="4">
        <v>28.73648776947778</v>
      </c>
      <c r="G2278" s="4">
        <v>16.600000000000001</v>
      </c>
      <c r="H2278" s="5">
        <v>37.409011087530551</v>
      </c>
      <c r="I2278" s="5">
        <v>37.556928733786108</v>
      </c>
      <c r="J2278" s="5">
        <v>43.609076859488887</v>
      </c>
      <c r="K2278" s="5">
        <v>66</v>
      </c>
    </row>
    <row r="2279" spans="1:11" x14ac:dyDescent="0.25">
      <c r="A2279" s="2">
        <v>46192.333333333343</v>
      </c>
      <c r="B2279" t="str">
        <f t="shared" si="70"/>
        <v>2026-06</v>
      </c>
      <c r="C2279" s="3">
        <f t="shared" si="71"/>
        <v>8</v>
      </c>
      <c r="D2279" s="4">
        <v>24.642945612894451</v>
      </c>
      <c r="E2279" s="4">
        <v>26.196594300872221</v>
      </c>
      <c r="F2279" s="4">
        <v>28.737123618255549</v>
      </c>
      <c r="G2279" s="4">
        <v>18.3</v>
      </c>
      <c r="H2279" s="5">
        <v>38.208133391938887</v>
      </c>
      <c r="I2279" s="5">
        <v>37.68472518965833</v>
      </c>
      <c r="J2279" s="5">
        <v>43.588514457841661</v>
      </c>
      <c r="K2279" s="5">
        <v>58</v>
      </c>
    </row>
    <row r="2280" spans="1:11" x14ac:dyDescent="0.25">
      <c r="A2280" s="2">
        <v>46192.375</v>
      </c>
      <c r="B2280" t="str">
        <f t="shared" si="70"/>
        <v>2026-06</v>
      </c>
      <c r="C2280" s="3">
        <f t="shared" si="71"/>
        <v>9</v>
      </c>
      <c r="D2280" s="4">
        <v>25.134810668597229</v>
      </c>
      <c r="E2280" s="4">
        <v>26.314511583452781</v>
      </c>
      <c r="F2280" s="4">
        <v>28.732580965080562</v>
      </c>
      <c r="G2280" s="4">
        <v>20</v>
      </c>
      <c r="H2280" s="5">
        <v>37.614733658400013</v>
      </c>
      <c r="I2280" s="5">
        <v>37.925259308002772</v>
      </c>
      <c r="J2280" s="5">
        <v>43.58128883695278</v>
      </c>
      <c r="K2280" s="5">
        <v>50</v>
      </c>
    </row>
    <row r="2281" spans="1:11" x14ac:dyDescent="0.25">
      <c r="A2281" s="2">
        <v>46192.416666666657</v>
      </c>
      <c r="B2281" t="str">
        <f t="shared" si="70"/>
        <v>2026-06</v>
      </c>
      <c r="C2281" s="3">
        <f t="shared" si="71"/>
        <v>10</v>
      </c>
      <c r="D2281" s="4">
        <v>25.780350756738891</v>
      </c>
      <c r="E2281" s="4">
        <v>26.65163484804722</v>
      </c>
      <c r="F2281" s="4">
        <v>28.751608269288891</v>
      </c>
      <c r="G2281" s="4">
        <v>20.9</v>
      </c>
      <c r="H2281" s="5">
        <v>36.903442980016671</v>
      </c>
      <c r="I2281" s="5">
        <v>39.485160272569438</v>
      </c>
      <c r="J2281" s="5">
        <v>43.613576884688889</v>
      </c>
      <c r="K2281" s="5">
        <v>46</v>
      </c>
    </row>
    <row r="2282" spans="1:11" x14ac:dyDescent="0.25">
      <c r="A2282" s="2">
        <v>46192.458333333343</v>
      </c>
      <c r="B2282" t="str">
        <f t="shared" si="70"/>
        <v>2026-06</v>
      </c>
      <c r="C2282" s="3">
        <f t="shared" si="71"/>
        <v>11</v>
      </c>
      <c r="D2282" s="4">
        <v>25.966792503227779</v>
      </c>
      <c r="E2282" s="4">
        <v>26.849262798805551</v>
      </c>
      <c r="F2282" s="4">
        <v>28.77002536336667</v>
      </c>
      <c r="G2282" s="4">
        <v>22.6</v>
      </c>
      <c r="H2282" s="5">
        <v>36.521968461236114</v>
      </c>
      <c r="I2282" s="5">
        <v>40.213502816694451</v>
      </c>
      <c r="J2282" s="5">
        <v>43.65771520817222</v>
      </c>
      <c r="K2282" s="5">
        <v>41</v>
      </c>
    </row>
    <row r="2283" spans="1:11" x14ac:dyDescent="0.25">
      <c r="A2283" s="2">
        <v>46192.5</v>
      </c>
      <c r="B2283" t="str">
        <f t="shared" si="70"/>
        <v>2026-06</v>
      </c>
      <c r="C2283" s="3">
        <f t="shared" si="71"/>
        <v>12</v>
      </c>
      <c r="D2283" s="4">
        <v>25.949425927527781</v>
      </c>
      <c r="E2283" s="4">
        <v>26.685166576016659</v>
      </c>
      <c r="F2283" s="4">
        <v>28.787969969161111</v>
      </c>
      <c r="G2283" s="4">
        <v>22.6</v>
      </c>
      <c r="H2283" s="5">
        <v>36.162112880980551</v>
      </c>
      <c r="I2283" s="5">
        <v>38.330912248138887</v>
      </c>
      <c r="J2283" s="5">
        <v>43.679009886991672</v>
      </c>
      <c r="K2283" s="5">
        <v>42</v>
      </c>
    </row>
    <row r="2284" spans="1:11" x14ac:dyDescent="0.25">
      <c r="A2284" s="2">
        <v>46192.541666666657</v>
      </c>
      <c r="B2284" t="str">
        <f t="shared" si="70"/>
        <v>2026-06</v>
      </c>
      <c r="C2284" s="3">
        <f t="shared" si="71"/>
        <v>13</v>
      </c>
      <c r="D2284" s="4">
        <v>26.14049788516667</v>
      </c>
      <c r="E2284" s="4">
        <v>26.614861521733332</v>
      </c>
      <c r="F2284" s="4">
        <v>28.784348482150001</v>
      </c>
      <c r="G2284" s="4">
        <v>22.5</v>
      </c>
      <c r="H2284" s="5">
        <v>35.465302663711107</v>
      </c>
      <c r="I2284" s="5">
        <v>37.128575312063887</v>
      </c>
      <c r="J2284" s="5">
        <v>43.664440828719442</v>
      </c>
      <c r="K2284" s="5">
        <v>42</v>
      </c>
    </row>
    <row r="2285" spans="1:11" x14ac:dyDescent="0.25">
      <c r="A2285" s="2">
        <v>46192.583333333343</v>
      </c>
      <c r="B2285" t="str">
        <f t="shared" si="70"/>
        <v>2026-06</v>
      </c>
      <c r="C2285" s="3">
        <f t="shared" si="71"/>
        <v>14</v>
      </c>
      <c r="D2285" s="4">
        <v>26.43492073518334</v>
      </c>
      <c r="E2285" s="4">
        <v>26.807348627077779</v>
      </c>
      <c r="F2285" s="4">
        <v>28.867299110572219</v>
      </c>
      <c r="G2285" s="4">
        <v>23</v>
      </c>
      <c r="H2285" s="5">
        <v>33.470125046238891</v>
      </c>
      <c r="I2285" s="5">
        <v>36.347399628866668</v>
      </c>
      <c r="J2285" s="5">
        <v>43.62584460885833</v>
      </c>
      <c r="K2285" s="5">
        <v>41</v>
      </c>
    </row>
    <row r="2286" spans="1:11" x14ac:dyDescent="0.25">
      <c r="A2286" s="2">
        <v>46192.625</v>
      </c>
      <c r="B2286" t="str">
        <f t="shared" si="70"/>
        <v>2026-06</v>
      </c>
      <c r="C2286" s="3">
        <f t="shared" si="71"/>
        <v>15</v>
      </c>
      <c r="D2286" s="4">
        <v>26.240939225144441</v>
      </c>
      <c r="E2286" s="4">
        <v>27.049762500175</v>
      </c>
      <c r="F2286" s="4">
        <v>28.853403741997219</v>
      </c>
      <c r="G2286" s="4">
        <v>23.6</v>
      </c>
      <c r="H2286" s="5">
        <v>34.672001234050001</v>
      </c>
      <c r="I2286" s="5">
        <v>37.004343153950003</v>
      </c>
      <c r="J2286" s="5">
        <v>43.73574810097778</v>
      </c>
      <c r="K2286" s="5">
        <v>41</v>
      </c>
    </row>
    <row r="2287" spans="1:11" x14ac:dyDescent="0.25">
      <c r="A2287" s="2">
        <v>46192.666666666657</v>
      </c>
      <c r="B2287" t="str">
        <f t="shared" si="70"/>
        <v>2026-06</v>
      </c>
      <c r="C2287" s="3">
        <f t="shared" si="71"/>
        <v>16</v>
      </c>
      <c r="D2287" s="4">
        <v>25.93042170647222</v>
      </c>
      <c r="E2287" s="4">
        <v>27.39698415521389</v>
      </c>
      <c r="F2287" s="4">
        <v>29.020121313002772</v>
      </c>
      <c r="G2287" s="4">
        <v>23.4</v>
      </c>
      <c r="H2287" s="5">
        <v>35.55080028202778</v>
      </c>
      <c r="I2287" s="5">
        <v>39.674768523624998</v>
      </c>
      <c r="J2287" s="5">
        <v>43.570699332827779</v>
      </c>
      <c r="K2287" s="5">
        <v>41</v>
      </c>
    </row>
    <row r="2288" spans="1:11" x14ac:dyDescent="0.25">
      <c r="A2288" s="2">
        <v>46192.708333333343</v>
      </c>
      <c r="B2288" t="str">
        <f t="shared" si="70"/>
        <v>2026-06</v>
      </c>
      <c r="C2288" s="3">
        <f t="shared" si="71"/>
        <v>17</v>
      </c>
      <c r="D2288" s="4">
        <v>26.212188087286108</v>
      </c>
      <c r="E2288" s="4">
        <v>27.608319517908331</v>
      </c>
      <c r="F2288" s="4">
        <v>29.106955156213889</v>
      </c>
      <c r="G2288" s="4">
        <v>23.6</v>
      </c>
      <c r="H2288" s="5">
        <v>34.635821567233343</v>
      </c>
      <c r="I2288" s="5">
        <v>38.35315773219444</v>
      </c>
      <c r="J2288" s="5">
        <v>43.498602912208327</v>
      </c>
      <c r="K2288" s="5">
        <v>40</v>
      </c>
    </row>
    <row r="2289" spans="1:11" x14ac:dyDescent="0.25">
      <c r="A2289" s="2">
        <v>46192.75</v>
      </c>
      <c r="B2289" t="str">
        <f t="shared" si="70"/>
        <v>2026-06</v>
      </c>
      <c r="C2289" s="3">
        <f t="shared" si="71"/>
        <v>18</v>
      </c>
      <c r="D2289" s="4">
        <v>26.16865996412222</v>
      </c>
      <c r="E2289" s="4">
        <v>27.519732211133331</v>
      </c>
      <c r="F2289" s="4">
        <v>29.215640214927781</v>
      </c>
      <c r="G2289" s="4">
        <v>23.7</v>
      </c>
      <c r="H2289" s="5">
        <v>34.502629657441673</v>
      </c>
      <c r="I2289" s="5">
        <v>36.158645143866657</v>
      </c>
      <c r="J2289" s="5">
        <v>43.291659635983329</v>
      </c>
      <c r="K2289" s="5">
        <v>39</v>
      </c>
    </row>
    <row r="2290" spans="1:11" x14ac:dyDescent="0.25">
      <c r="A2290" s="2">
        <v>46192.791666666657</v>
      </c>
      <c r="B2290" t="str">
        <f t="shared" si="70"/>
        <v>2026-06</v>
      </c>
      <c r="C2290" s="3">
        <f t="shared" si="71"/>
        <v>19</v>
      </c>
      <c r="D2290" s="4">
        <v>26.054575679261109</v>
      </c>
      <c r="E2290" s="4">
        <v>27.15998730464722</v>
      </c>
      <c r="F2290" s="4">
        <v>29.238192371191669</v>
      </c>
      <c r="G2290" s="4">
        <v>23.5</v>
      </c>
      <c r="H2290" s="5">
        <v>34.927409524288883</v>
      </c>
      <c r="I2290" s="5">
        <v>38.012501112169453</v>
      </c>
      <c r="J2290" s="5">
        <v>43.20775766773334</v>
      </c>
      <c r="K2290" s="5">
        <v>39</v>
      </c>
    </row>
    <row r="2291" spans="1:11" x14ac:dyDescent="0.25">
      <c r="A2291" s="2">
        <v>46192.833333333343</v>
      </c>
      <c r="B2291" t="str">
        <f t="shared" si="70"/>
        <v>2026-06</v>
      </c>
      <c r="C2291" s="3">
        <f t="shared" si="71"/>
        <v>20</v>
      </c>
      <c r="D2291" s="4">
        <v>25.56226229238333</v>
      </c>
      <c r="E2291" s="4">
        <v>26.800465083122219</v>
      </c>
      <c r="F2291" s="4">
        <v>29.13361369635556</v>
      </c>
      <c r="G2291" s="4">
        <v>22.8</v>
      </c>
      <c r="H2291" s="5">
        <v>36.64657558365834</v>
      </c>
      <c r="I2291" s="5">
        <v>37.134574983950003</v>
      </c>
      <c r="J2291" s="5">
        <v>43.053169969922223</v>
      </c>
      <c r="K2291" s="5">
        <v>44</v>
      </c>
    </row>
    <row r="2292" spans="1:11" x14ac:dyDescent="0.25">
      <c r="A2292" s="2">
        <v>46192.875</v>
      </c>
      <c r="B2292" t="str">
        <f t="shared" si="70"/>
        <v>2026-06</v>
      </c>
      <c r="C2292" s="3">
        <f t="shared" si="71"/>
        <v>21</v>
      </c>
      <c r="D2292" s="4">
        <v>25.143894689875001</v>
      </c>
      <c r="E2292" s="4">
        <v>26.55750060651112</v>
      </c>
      <c r="F2292" s="4">
        <v>29.03002605453889</v>
      </c>
      <c r="G2292" s="4">
        <v>21.1</v>
      </c>
      <c r="H2292" s="5">
        <v>37.570756765250003</v>
      </c>
      <c r="I2292" s="5">
        <v>37.397216850591668</v>
      </c>
      <c r="J2292" s="5">
        <v>43.081130236936112</v>
      </c>
      <c r="K2292" s="5">
        <v>50</v>
      </c>
    </row>
    <row r="2293" spans="1:11" x14ac:dyDescent="0.25">
      <c r="A2293" s="2">
        <v>46192.916666666657</v>
      </c>
      <c r="B2293" t="str">
        <f t="shared" si="70"/>
        <v>2026-06</v>
      </c>
      <c r="C2293" s="3">
        <f t="shared" si="71"/>
        <v>22</v>
      </c>
      <c r="D2293" s="4">
        <v>24.763425408349999</v>
      </c>
      <c r="E2293" s="4">
        <v>26.285958230922219</v>
      </c>
      <c r="F2293" s="4">
        <v>28.949927635747219</v>
      </c>
      <c r="G2293" s="4">
        <v>19.899999999999999</v>
      </c>
      <c r="H2293" s="5">
        <v>38.697834926286113</v>
      </c>
      <c r="I2293" s="5">
        <v>37.976445848911112</v>
      </c>
      <c r="J2293" s="5">
        <v>43.077590383199997</v>
      </c>
      <c r="K2293" s="5">
        <v>54</v>
      </c>
    </row>
    <row r="2294" spans="1:11" x14ac:dyDescent="0.25">
      <c r="A2294" s="2">
        <v>46192.958333333343</v>
      </c>
      <c r="B2294" t="str">
        <f t="shared" si="70"/>
        <v>2026-06</v>
      </c>
      <c r="C2294" s="3">
        <f t="shared" si="71"/>
        <v>23</v>
      </c>
      <c r="D2294" s="4">
        <v>24.035633825588889</v>
      </c>
      <c r="E2294" s="4">
        <v>26.747304288758329</v>
      </c>
      <c r="F2294" s="4">
        <v>28.856046801655559</v>
      </c>
      <c r="G2294" s="4">
        <v>18.899999999999999</v>
      </c>
      <c r="H2294" s="5">
        <v>41.804115069769438</v>
      </c>
      <c r="I2294" s="5">
        <v>40.355208633938886</v>
      </c>
      <c r="J2294" s="5">
        <v>43.341424817636103</v>
      </c>
      <c r="K2294" s="5">
        <v>61</v>
      </c>
    </row>
    <row r="2295" spans="1:11" x14ac:dyDescent="0.25">
      <c r="A2295" s="2">
        <v>46193</v>
      </c>
      <c r="B2295" t="str">
        <f t="shared" si="70"/>
        <v>2026-06</v>
      </c>
      <c r="C2295" s="3">
        <f t="shared" si="71"/>
        <v>0</v>
      </c>
      <c r="D2295" s="4">
        <v>23.443901003197219</v>
      </c>
      <c r="E2295" s="4">
        <v>27.05339263676666</v>
      </c>
      <c r="F2295" s="4">
        <v>28.88063606575</v>
      </c>
      <c r="G2295" s="4">
        <v>18.2</v>
      </c>
      <c r="H2295" s="5">
        <v>43.407019582402768</v>
      </c>
      <c r="I2295" s="5">
        <v>39.758045574327767</v>
      </c>
      <c r="J2295" s="5">
        <v>43.424560609561112</v>
      </c>
      <c r="K2295" s="5">
        <v>67</v>
      </c>
    </row>
    <row r="2296" spans="1:11" x14ac:dyDescent="0.25">
      <c r="A2296" s="2">
        <v>46193.041666666657</v>
      </c>
      <c r="B2296" t="str">
        <f t="shared" si="70"/>
        <v>2026-06</v>
      </c>
      <c r="C2296" s="3">
        <f t="shared" si="71"/>
        <v>1</v>
      </c>
      <c r="D2296" s="4">
        <v>23.503259276077781</v>
      </c>
      <c r="E2296" s="4">
        <v>26.902425776702781</v>
      </c>
      <c r="F2296" s="4">
        <v>28.86650560587778</v>
      </c>
      <c r="G2296" s="4">
        <v>17.7</v>
      </c>
      <c r="H2296" s="5">
        <v>43.503530134694451</v>
      </c>
      <c r="I2296" s="5">
        <v>39.829962839986123</v>
      </c>
      <c r="J2296" s="5">
        <v>43.526036302044453</v>
      </c>
      <c r="K2296" s="5">
        <v>69</v>
      </c>
    </row>
    <row r="2297" spans="1:11" x14ac:dyDescent="0.25">
      <c r="A2297" s="2">
        <v>46193.083333333343</v>
      </c>
      <c r="B2297" t="str">
        <f t="shared" si="70"/>
        <v>2026-06</v>
      </c>
      <c r="C2297" s="3">
        <f t="shared" si="71"/>
        <v>2</v>
      </c>
      <c r="D2297" s="4">
        <v>22.972864747966671</v>
      </c>
      <c r="E2297" s="4">
        <v>26.438920900211109</v>
      </c>
      <c r="F2297" s="4">
        <v>28.823142124961109</v>
      </c>
      <c r="G2297" s="4">
        <v>16.7</v>
      </c>
      <c r="H2297" s="5">
        <v>45.608246496905558</v>
      </c>
      <c r="I2297" s="5">
        <v>40.168774437713893</v>
      </c>
      <c r="J2297" s="5">
        <v>43.876856489747219</v>
      </c>
      <c r="K2297" s="5">
        <v>72</v>
      </c>
    </row>
    <row r="2298" spans="1:11" x14ac:dyDescent="0.25">
      <c r="A2298" s="2">
        <v>46193.125</v>
      </c>
      <c r="B2298" t="str">
        <f t="shared" si="70"/>
        <v>2026-06</v>
      </c>
      <c r="C2298" s="3">
        <f t="shared" si="71"/>
        <v>3</v>
      </c>
      <c r="D2298" s="4">
        <v>22.730564000102781</v>
      </c>
      <c r="E2298" s="4">
        <v>26.14496162418056</v>
      </c>
      <c r="F2298" s="4">
        <v>28.858850103147219</v>
      </c>
      <c r="G2298" s="4">
        <v>16</v>
      </c>
      <c r="H2298" s="5">
        <v>46.572919458083327</v>
      </c>
      <c r="I2298" s="5">
        <v>39.919472774022232</v>
      </c>
      <c r="J2298" s="5">
        <v>44.006709138505563</v>
      </c>
      <c r="K2298" s="5">
        <v>76</v>
      </c>
    </row>
    <row r="2299" spans="1:11" x14ac:dyDescent="0.25">
      <c r="A2299" s="2">
        <v>46193.166666666657</v>
      </c>
      <c r="B2299" t="str">
        <f t="shared" si="70"/>
        <v>2026-06</v>
      </c>
      <c r="C2299" s="3">
        <f t="shared" si="71"/>
        <v>4</v>
      </c>
      <c r="D2299" s="4">
        <v>22.42806210995278</v>
      </c>
      <c r="E2299" s="4">
        <v>25.929616326872221</v>
      </c>
      <c r="F2299" s="4">
        <v>28.929782606141671</v>
      </c>
      <c r="G2299" s="4">
        <v>15.2</v>
      </c>
      <c r="H2299" s="5">
        <v>47.881213321688882</v>
      </c>
      <c r="I2299" s="5">
        <v>40.735674775430553</v>
      </c>
      <c r="J2299" s="5">
        <v>44.147665594530558</v>
      </c>
      <c r="K2299" s="5">
        <v>79</v>
      </c>
    </row>
    <row r="2300" spans="1:11" x14ac:dyDescent="0.25">
      <c r="A2300" s="2">
        <v>46193.208333333343</v>
      </c>
      <c r="B2300" t="str">
        <f t="shared" si="70"/>
        <v>2026-06</v>
      </c>
      <c r="C2300" s="3">
        <f t="shared" si="71"/>
        <v>5</v>
      </c>
      <c r="D2300" s="4">
        <v>22.709818081986111</v>
      </c>
      <c r="E2300" s="4">
        <v>25.87213214820833</v>
      </c>
      <c r="F2300" s="4">
        <v>28.979699076377781</v>
      </c>
      <c r="G2300" s="4">
        <v>14.9</v>
      </c>
      <c r="H2300" s="5">
        <v>46.395438335361114</v>
      </c>
      <c r="I2300" s="5">
        <v>40.275250181463903</v>
      </c>
      <c r="J2300" s="5">
        <v>44.118290629483333</v>
      </c>
      <c r="K2300" s="5">
        <v>79</v>
      </c>
    </row>
    <row r="2301" spans="1:11" x14ac:dyDescent="0.25">
      <c r="A2301" s="2">
        <v>46193.25</v>
      </c>
      <c r="B2301" t="str">
        <f t="shared" si="70"/>
        <v>2026-06</v>
      </c>
      <c r="C2301" s="3">
        <f t="shared" si="71"/>
        <v>6</v>
      </c>
      <c r="D2301" s="4">
        <v>24.416373910444449</v>
      </c>
      <c r="E2301" s="4">
        <v>26.236386074558339</v>
      </c>
      <c r="F2301" s="4">
        <v>29.041926662041661</v>
      </c>
      <c r="G2301" s="4">
        <v>16.3</v>
      </c>
      <c r="H2301" s="5">
        <v>41.534718799250001</v>
      </c>
      <c r="I2301" s="5">
        <v>40.468273183191663</v>
      </c>
      <c r="J2301" s="5">
        <v>44.085482029208329</v>
      </c>
      <c r="K2301" s="5">
        <v>68</v>
      </c>
    </row>
    <row r="2302" spans="1:11" x14ac:dyDescent="0.25">
      <c r="A2302" s="2">
        <v>46193.291666666657</v>
      </c>
      <c r="B2302" t="str">
        <f t="shared" si="70"/>
        <v>2026-06</v>
      </c>
      <c r="C2302" s="3">
        <f t="shared" si="71"/>
        <v>7</v>
      </c>
      <c r="D2302" s="4">
        <v>25.605150205541669</v>
      </c>
      <c r="E2302" s="4">
        <v>26.813967212872221</v>
      </c>
      <c r="F2302" s="4">
        <v>29.038697163583329</v>
      </c>
      <c r="G2302" s="4">
        <v>18.600000000000001</v>
      </c>
      <c r="H2302" s="5">
        <v>38.039228712008331</v>
      </c>
      <c r="I2302" s="5">
        <v>38.217388889588889</v>
      </c>
      <c r="J2302" s="5">
        <v>43.920436341941667</v>
      </c>
      <c r="K2302" s="5">
        <v>57</v>
      </c>
    </row>
    <row r="2303" spans="1:11" x14ac:dyDescent="0.25">
      <c r="A2303" s="2">
        <v>46193.333333333343</v>
      </c>
      <c r="B2303" t="str">
        <f t="shared" si="70"/>
        <v>2026-06</v>
      </c>
      <c r="C2303" s="3">
        <f t="shared" si="71"/>
        <v>8</v>
      </c>
      <c r="D2303" s="4">
        <v>26.17171668732778</v>
      </c>
      <c r="E2303" s="4">
        <v>27.23259036376389</v>
      </c>
      <c r="F2303" s="4">
        <v>29.043711871569439</v>
      </c>
      <c r="G2303" s="4">
        <v>21.1</v>
      </c>
      <c r="H2303" s="5">
        <v>37.497088118474998</v>
      </c>
      <c r="I2303" s="5">
        <v>37.859293578138882</v>
      </c>
      <c r="J2303" s="5">
        <v>43.825230610669443</v>
      </c>
      <c r="K2303" s="5">
        <v>47</v>
      </c>
    </row>
    <row r="2304" spans="1:11" x14ac:dyDescent="0.25">
      <c r="A2304" s="2">
        <v>46193.375</v>
      </c>
      <c r="B2304" t="str">
        <f t="shared" si="70"/>
        <v>2026-06</v>
      </c>
      <c r="C2304" s="3">
        <f t="shared" si="71"/>
        <v>9</v>
      </c>
      <c r="D2304" s="4">
        <v>26.55320337754166</v>
      </c>
      <c r="E2304" s="4">
        <v>27.29600433940556</v>
      </c>
      <c r="F2304" s="4">
        <v>29.01483602908889</v>
      </c>
      <c r="G2304" s="4">
        <v>23.5</v>
      </c>
      <c r="H2304" s="5">
        <v>38.596545927122222</v>
      </c>
      <c r="I2304" s="5">
        <v>37.882196098236122</v>
      </c>
      <c r="J2304" s="5">
        <v>43.835908410738888</v>
      </c>
      <c r="K2304" s="5">
        <v>40</v>
      </c>
    </row>
    <row r="2305" spans="1:11" x14ac:dyDescent="0.25">
      <c r="A2305" s="2">
        <v>46193.416666666657</v>
      </c>
      <c r="B2305" t="str">
        <f t="shared" si="70"/>
        <v>2026-06</v>
      </c>
      <c r="C2305" s="3">
        <f t="shared" si="71"/>
        <v>10</v>
      </c>
      <c r="D2305" s="4">
        <v>26.711943064216669</v>
      </c>
      <c r="E2305" s="4">
        <v>27.358161342622221</v>
      </c>
      <c r="F2305" s="4">
        <v>28.98982108581389</v>
      </c>
      <c r="G2305" s="4">
        <v>24.4</v>
      </c>
      <c r="H2305" s="5">
        <v>37.7219437627</v>
      </c>
      <c r="I2305" s="5">
        <v>37.936500846347222</v>
      </c>
      <c r="J2305" s="5">
        <v>43.900372408572217</v>
      </c>
      <c r="K2305" s="5">
        <v>39</v>
      </c>
    </row>
    <row r="2306" spans="1:11" x14ac:dyDescent="0.25">
      <c r="A2306" s="2">
        <v>46193.458333333343</v>
      </c>
      <c r="B2306" t="str">
        <f t="shared" ref="B2306:B2369" si="72">TEXT(A2306,"yyyy-mm")</f>
        <v>2026-06</v>
      </c>
      <c r="C2306" s="3">
        <f t="shared" ref="C2306:C2369" si="73">HOUR(A2306)</f>
        <v>11</v>
      </c>
      <c r="D2306" s="4">
        <v>26.87705855153056</v>
      </c>
      <c r="E2306" s="4">
        <v>27.52782913571389</v>
      </c>
      <c r="F2306" s="4">
        <v>28.982152599791661</v>
      </c>
      <c r="G2306" s="4">
        <v>25.3</v>
      </c>
      <c r="H2306" s="5">
        <v>37.060432064002782</v>
      </c>
      <c r="I2306" s="5">
        <v>36.992502768094447</v>
      </c>
      <c r="J2306" s="5">
        <v>43.903077437641663</v>
      </c>
      <c r="K2306" s="5">
        <v>35</v>
      </c>
    </row>
    <row r="2307" spans="1:11" x14ac:dyDescent="0.25">
      <c r="A2307" s="2">
        <v>46193.5</v>
      </c>
      <c r="B2307" t="str">
        <f t="shared" si="72"/>
        <v>2026-06</v>
      </c>
      <c r="C2307" s="3">
        <f t="shared" si="73"/>
        <v>12</v>
      </c>
      <c r="D2307" s="4">
        <v>26.816788720194442</v>
      </c>
      <c r="E2307" s="4">
        <v>27.540404703280551</v>
      </c>
      <c r="F2307" s="4">
        <v>28.96500316003333</v>
      </c>
      <c r="G2307" s="4">
        <v>25.6</v>
      </c>
      <c r="H2307" s="5">
        <v>35.253380985761112</v>
      </c>
      <c r="I2307" s="5">
        <v>37.513187742538889</v>
      </c>
      <c r="J2307" s="5">
        <v>43.921846319105562</v>
      </c>
      <c r="K2307" s="5">
        <v>34</v>
      </c>
    </row>
    <row r="2308" spans="1:11" x14ac:dyDescent="0.25">
      <c r="A2308" s="2">
        <v>46193.541666666657</v>
      </c>
      <c r="B2308" t="str">
        <f t="shared" si="72"/>
        <v>2026-06</v>
      </c>
      <c r="C2308" s="3">
        <f t="shared" si="73"/>
        <v>13</v>
      </c>
      <c r="D2308" s="4">
        <v>26.76477895944722</v>
      </c>
      <c r="E2308" s="4">
        <v>27.919577167344439</v>
      </c>
      <c r="F2308" s="4">
        <v>28.777835409261112</v>
      </c>
      <c r="G2308" s="4">
        <v>25.6</v>
      </c>
      <c r="H2308" s="5">
        <v>34.970075125872221</v>
      </c>
      <c r="I2308" s="5">
        <v>38.248136979955547</v>
      </c>
      <c r="J2308" s="5">
        <v>44.674877772333332</v>
      </c>
      <c r="K2308" s="5">
        <v>36</v>
      </c>
    </row>
    <row r="2309" spans="1:11" x14ac:dyDescent="0.25">
      <c r="A2309" s="2">
        <v>46193.583333333343</v>
      </c>
      <c r="B2309" t="str">
        <f t="shared" si="72"/>
        <v>2026-06</v>
      </c>
      <c r="C2309" s="3">
        <f t="shared" si="73"/>
        <v>14</v>
      </c>
      <c r="D2309" s="4">
        <v>26.724341275594441</v>
      </c>
      <c r="E2309" s="4">
        <v>27.97537375927222</v>
      </c>
      <c r="F2309" s="4">
        <v>28.355411242236109</v>
      </c>
      <c r="G2309" s="4">
        <v>25.7</v>
      </c>
      <c r="H2309" s="5">
        <v>35.482567390286107</v>
      </c>
      <c r="I2309" s="5">
        <v>38.575032564336112</v>
      </c>
      <c r="J2309" s="5">
        <v>45.563040004375011</v>
      </c>
      <c r="K2309" s="5">
        <v>37</v>
      </c>
    </row>
    <row r="2310" spans="1:11" x14ac:dyDescent="0.25">
      <c r="A2310" s="2">
        <v>46193.625</v>
      </c>
      <c r="B2310" t="str">
        <f t="shared" si="72"/>
        <v>2026-06</v>
      </c>
      <c r="C2310" s="3">
        <f t="shared" si="73"/>
        <v>15</v>
      </c>
      <c r="D2310" s="4">
        <v>26.779308884527779</v>
      </c>
      <c r="E2310" s="4">
        <v>27.61400816058611</v>
      </c>
      <c r="F2310" s="4">
        <v>28.53435807370278</v>
      </c>
      <c r="G2310" s="4">
        <v>26</v>
      </c>
      <c r="H2310" s="5">
        <v>34.935396492902782</v>
      </c>
      <c r="I2310" s="5">
        <v>38.145243584230563</v>
      </c>
      <c r="J2310" s="5">
        <v>45.523515577449992</v>
      </c>
      <c r="K2310" s="5">
        <v>38</v>
      </c>
    </row>
    <row r="2311" spans="1:11" x14ac:dyDescent="0.25">
      <c r="A2311" s="2">
        <v>46193.666666666657</v>
      </c>
      <c r="B2311" t="str">
        <f t="shared" si="72"/>
        <v>2026-06</v>
      </c>
      <c r="C2311" s="3">
        <f t="shared" si="73"/>
        <v>16</v>
      </c>
      <c r="D2311" s="4">
        <v>26.870347572566669</v>
      </c>
      <c r="E2311" s="4">
        <v>27.813853415880551</v>
      </c>
      <c r="F2311" s="4">
        <v>28.657829589616671</v>
      </c>
      <c r="G2311" s="4">
        <v>25.9</v>
      </c>
      <c r="H2311" s="5">
        <v>33.537703155297223</v>
      </c>
      <c r="I2311" s="5">
        <v>37.433588518061107</v>
      </c>
      <c r="J2311" s="5">
        <v>46.366170425447223</v>
      </c>
      <c r="K2311" s="5">
        <v>36</v>
      </c>
    </row>
    <row r="2312" spans="1:11" x14ac:dyDescent="0.25">
      <c r="A2312" s="2">
        <v>46193.708333333343</v>
      </c>
      <c r="B2312" t="str">
        <f t="shared" si="72"/>
        <v>2026-06</v>
      </c>
      <c r="C2312" s="3">
        <f t="shared" si="73"/>
        <v>17</v>
      </c>
      <c r="D2312" s="4">
        <v>26.941897552563891</v>
      </c>
      <c r="E2312" s="4">
        <v>28.024993430666669</v>
      </c>
      <c r="F2312" s="4">
        <v>28.69565465399722</v>
      </c>
      <c r="G2312" s="4">
        <v>25.8</v>
      </c>
      <c r="H2312" s="5">
        <v>34.769682507463891</v>
      </c>
      <c r="I2312" s="5">
        <v>37.449620443330559</v>
      </c>
      <c r="J2312" s="5">
        <v>46.759545328102782</v>
      </c>
      <c r="K2312" s="5">
        <v>35</v>
      </c>
    </row>
    <row r="2313" spans="1:11" x14ac:dyDescent="0.25">
      <c r="A2313" s="2">
        <v>46193.75</v>
      </c>
      <c r="B2313" t="str">
        <f t="shared" si="72"/>
        <v>2026-06</v>
      </c>
      <c r="C2313" s="3">
        <f t="shared" si="73"/>
        <v>18</v>
      </c>
      <c r="D2313" s="4">
        <v>26.727222773763891</v>
      </c>
      <c r="E2313" s="4">
        <v>28.092126514375</v>
      </c>
      <c r="F2313" s="4">
        <v>28.92115486185277</v>
      </c>
      <c r="G2313" s="4">
        <v>25.2</v>
      </c>
      <c r="H2313" s="5">
        <v>35.371988632086108</v>
      </c>
      <c r="I2313" s="5">
        <v>37.449446794116668</v>
      </c>
      <c r="J2313" s="5">
        <v>45.718791510941656</v>
      </c>
      <c r="K2313" s="5">
        <v>37</v>
      </c>
    </row>
    <row r="2314" spans="1:11" x14ac:dyDescent="0.25">
      <c r="A2314" s="2">
        <v>46193.791666666657</v>
      </c>
      <c r="B2314" t="str">
        <f t="shared" si="72"/>
        <v>2026-06</v>
      </c>
      <c r="C2314" s="3">
        <f t="shared" si="73"/>
        <v>19</v>
      </c>
      <c r="D2314" s="4">
        <v>26.57160232730833</v>
      </c>
      <c r="E2314" s="4">
        <v>28.125790171102778</v>
      </c>
      <c r="F2314" s="4">
        <v>28.707822904372222</v>
      </c>
      <c r="G2314" s="4">
        <v>24.5</v>
      </c>
      <c r="H2314" s="5">
        <v>36.465766098269448</v>
      </c>
      <c r="I2314" s="5">
        <v>37.954697853738892</v>
      </c>
      <c r="J2314" s="5">
        <v>45.589715488086107</v>
      </c>
      <c r="K2314" s="5">
        <v>39</v>
      </c>
    </row>
    <row r="2315" spans="1:11" x14ac:dyDescent="0.25">
      <c r="A2315" s="2">
        <v>46193.833333333343</v>
      </c>
      <c r="B2315" t="str">
        <f t="shared" si="72"/>
        <v>2026-06</v>
      </c>
      <c r="C2315" s="3">
        <f t="shared" si="73"/>
        <v>20</v>
      </c>
      <c r="D2315" s="4">
        <v>25.998975584488889</v>
      </c>
      <c r="E2315" s="4">
        <v>28.142540099261112</v>
      </c>
      <c r="F2315" s="4">
        <v>28.554948021844449</v>
      </c>
      <c r="G2315" s="4">
        <v>23.4</v>
      </c>
      <c r="H2315" s="5">
        <v>38.146418848449997</v>
      </c>
      <c r="I2315" s="5">
        <v>38.029404854186112</v>
      </c>
      <c r="J2315" s="5">
        <v>45.421034739163893</v>
      </c>
      <c r="K2315" s="5">
        <v>43</v>
      </c>
    </row>
    <row r="2316" spans="1:11" x14ac:dyDescent="0.25">
      <c r="A2316" s="2">
        <v>46193.875</v>
      </c>
      <c r="B2316" t="str">
        <f t="shared" si="72"/>
        <v>2026-06</v>
      </c>
      <c r="C2316" s="3">
        <f t="shared" si="73"/>
        <v>21</v>
      </c>
      <c r="D2316" s="4">
        <v>25.51737802374722</v>
      </c>
      <c r="E2316" s="4">
        <v>28.182706450013889</v>
      </c>
      <c r="F2316" s="4">
        <v>28.530948414205561</v>
      </c>
      <c r="G2316" s="4">
        <v>22.2</v>
      </c>
      <c r="H2316" s="5">
        <v>39.765150591455559</v>
      </c>
      <c r="I2316" s="5">
        <v>39.406212353686108</v>
      </c>
      <c r="J2316" s="5">
        <v>45.615681582775011</v>
      </c>
      <c r="K2316" s="5">
        <v>48</v>
      </c>
    </row>
    <row r="2317" spans="1:11" x14ac:dyDescent="0.25">
      <c r="A2317" s="2">
        <v>46193.916666666657</v>
      </c>
      <c r="B2317" t="str">
        <f t="shared" si="72"/>
        <v>2026-06</v>
      </c>
      <c r="C2317" s="3">
        <f t="shared" si="73"/>
        <v>22</v>
      </c>
      <c r="D2317" s="4">
        <v>25.13326080341945</v>
      </c>
      <c r="E2317" s="4">
        <v>28.053884289374999</v>
      </c>
      <c r="F2317" s="4">
        <v>28.725836331850001</v>
      </c>
      <c r="G2317" s="4">
        <v>21.1</v>
      </c>
      <c r="H2317" s="5">
        <v>40.624397385416657</v>
      </c>
      <c r="I2317" s="5">
        <v>39.84897129623333</v>
      </c>
      <c r="J2317" s="5">
        <v>45.545284827477779</v>
      </c>
      <c r="K2317" s="5">
        <v>52</v>
      </c>
    </row>
    <row r="2318" spans="1:11" x14ac:dyDescent="0.25">
      <c r="A2318" s="2">
        <v>46193.958333333343</v>
      </c>
      <c r="B2318" t="str">
        <f t="shared" si="72"/>
        <v>2026-06</v>
      </c>
      <c r="C2318" s="3">
        <f t="shared" si="73"/>
        <v>23</v>
      </c>
      <c r="D2318" s="4">
        <v>24.838789532183331</v>
      </c>
      <c r="E2318" s="4">
        <v>27.974195905852781</v>
      </c>
      <c r="F2318" s="4">
        <v>28.832437159291668</v>
      </c>
      <c r="G2318" s="4">
        <v>20.100000000000001</v>
      </c>
      <c r="H2318" s="5">
        <v>40.479902970111112</v>
      </c>
      <c r="I2318" s="5">
        <v>40.779324080836112</v>
      </c>
      <c r="J2318" s="5">
        <v>45.284733175619436</v>
      </c>
      <c r="K2318" s="5">
        <v>55</v>
      </c>
    </row>
    <row r="2319" spans="1:11" x14ac:dyDescent="0.25">
      <c r="A2319" s="2">
        <v>46194</v>
      </c>
      <c r="B2319" t="str">
        <f t="shared" si="72"/>
        <v>2026-06</v>
      </c>
      <c r="C2319" s="3">
        <f t="shared" si="73"/>
        <v>0</v>
      </c>
      <c r="D2319" s="4">
        <v>24.493434737880559</v>
      </c>
      <c r="E2319" s="4">
        <v>27.62832844139167</v>
      </c>
      <c r="F2319" s="4">
        <v>28.85976300024722</v>
      </c>
      <c r="G2319" s="4">
        <v>19.399999999999999</v>
      </c>
      <c r="H2319" s="5">
        <v>41.177877709694442</v>
      </c>
      <c r="I2319" s="5">
        <v>40.11953779958889</v>
      </c>
      <c r="J2319" s="5">
        <v>45.101092508424998</v>
      </c>
      <c r="K2319" s="5">
        <v>56</v>
      </c>
    </row>
    <row r="2320" spans="1:11" x14ac:dyDescent="0.25">
      <c r="A2320" s="2">
        <v>46194.041666666657</v>
      </c>
      <c r="B2320" t="str">
        <f t="shared" si="72"/>
        <v>2026-06</v>
      </c>
      <c r="C2320" s="3">
        <f t="shared" si="73"/>
        <v>1</v>
      </c>
      <c r="D2320" s="4">
        <v>24.14630807804722</v>
      </c>
      <c r="E2320" s="4">
        <v>27.542231564383329</v>
      </c>
      <c r="F2320" s="4">
        <v>28.86355802984167</v>
      </c>
      <c r="G2320" s="4">
        <v>18.399999999999999</v>
      </c>
      <c r="H2320" s="5">
        <v>42.179776533047217</v>
      </c>
      <c r="I2320" s="5">
        <v>40.129212168480556</v>
      </c>
      <c r="J2320" s="5">
        <v>44.980855669827783</v>
      </c>
      <c r="K2320" s="5">
        <v>60</v>
      </c>
    </row>
    <row r="2321" spans="1:11" x14ac:dyDescent="0.25">
      <c r="A2321" s="2">
        <v>46194.083333333343</v>
      </c>
      <c r="B2321" t="str">
        <f t="shared" si="72"/>
        <v>2026-06</v>
      </c>
      <c r="C2321" s="3">
        <f t="shared" si="73"/>
        <v>2</v>
      </c>
      <c r="D2321" s="4">
        <v>23.704395326344439</v>
      </c>
      <c r="E2321" s="4">
        <v>27.486615681705551</v>
      </c>
      <c r="F2321" s="4">
        <v>28.858942149324999</v>
      </c>
      <c r="G2321" s="4">
        <v>17.600000000000001</v>
      </c>
      <c r="H2321" s="5">
        <v>42.548097674458333</v>
      </c>
      <c r="I2321" s="5">
        <v>38.269991440369452</v>
      </c>
      <c r="J2321" s="5">
        <v>44.881848499355563</v>
      </c>
      <c r="K2321" s="5">
        <v>64</v>
      </c>
    </row>
    <row r="2322" spans="1:11" x14ac:dyDescent="0.25">
      <c r="A2322" s="2">
        <v>46194.125</v>
      </c>
      <c r="B2322" t="str">
        <f t="shared" si="72"/>
        <v>2026-06</v>
      </c>
      <c r="C2322" s="3">
        <f t="shared" si="73"/>
        <v>3</v>
      </c>
      <c r="D2322" s="4">
        <v>23.205313353697221</v>
      </c>
      <c r="E2322" s="4">
        <v>27.291439117725002</v>
      </c>
      <c r="F2322" s="4">
        <v>28.851489293280551</v>
      </c>
      <c r="G2322" s="4">
        <v>16.5</v>
      </c>
      <c r="H2322" s="5">
        <v>42.851741940466667</v>
      </c>
      <c r="I2322" s="5">
        <v>37.081020249363888</v>
      </c>
      <c r="J2322" s="5">
        <v>44.715078473005562</v>
      </c>
      <c r="K2322" s="5">
        <v>66</v>
      </c>
    </row>
    <row r="2323" spans="1:11" x14ac:dyDescent="0.25">
      <c r="A2323" s="2">
        <v>46194.166666666657</v>
      </c>
      <c r="B2323" t="str">
        <f t="shared" si="72"/>
        <v>2026-06</v>
      </c>
      <c r="C2323" s="3">
        <f t="shared" si="73"/>
        <v>4</v>
      </c>
      <c r="D2323" s="4">
        <v>22.922502696707031</v>
      </c>
      <c r="E2323" s="4">
        <v>26.685762375402781</v>
      </c>
      <c r="F2323" s="4">
        <v>28.805534550263889</v>
      </c>
      <c r="G2323" s="4">
        <v>15.7</v>
      </c>
      <c r="H2323" s="5">
        <v>43.47524670772134</v>
      </c>
      <c r="I2323" s="5">
        <v>36.675234462138889</v>
      </c>
      <c r="J2323" s="5">
        <v>44.55408341482778</v>
      </c>
      <c r="K2323" s="5">
        <v>68</v>
      </c>
    </row>
    <row r="2324" spans="1:11" x14ac:dyDescent="0.25">
      <c r="A2324" s="2">
        <v>46194.208333333343</v>
      </c>
      <c r="B2324" t="str">
        <f t="shared" si="72"/>
        <v>2026-06</v>
      </c>
      <c r="C2324" s="3">
        <f t="shared" si="73"/>
        <v>5</v>
      </c>
      <c r="D2324" s="4">
        <v>23.676885243904319</v>
      </c>
      <c r="E2324" s="4">
        <v>26.466368920641671</v>
      </c>
      <c r="F2324" s="4">
        <v>28.76697423812778</v>
      </c>
      <c r="G2324" s="4">
        <v>15.3</v>
      </c>
      <c r="H2324" s="5">
        <v>41.086714244982858</v>
      </c>
      <c r="I2324" s="5">
        <v>36.691078165916657</v>
      </c>
      <c r="J2324" s="5">
        <v>44.397459924672233</v>
      </c>
      <c r="K2324" s="5">
        <v>68</v>
      </c>
    </row>
    <row r="2325" spans="1:11" x14ac:dyDescent="0.25">
      <c r="A2325" s="2">
        <v>46194.25</v>
      </c>
      <c r="B2325" t="str">
        <f t="shared" si="72"/>
        <v>2026-06</v>
      </c>
      <c r="C2325" s="3">
        <f t="shared" si="73"/>
        <v>6</v>
      </c>
      <c r="D2325" s="4">
        <v>24.592052054063888</v>
      </c>
      <c r="E2325" s="4">
        <v>26.779698787266671</v>
      </c>
      <c r="F2325" s="4">
        <v>28.776137118794448</v>
      </c>
      <c r="G2325" s="4">
        <v>16</v>
      </c>
      <c r="H2325" s="5">
        <v>38.786643715777778</v>
      </c>
      <c r="I2325" s="5">
        <v>36.485920006336109</v>
      </c>
      <c r="J2325" s="5">
        <v>44.283652542344441</v>
      </c>
      <c r="K2325" s="5">
        <v>66</v>
      </c>
    </row>
    <row r="2326" spans="1:11" x14ac:dyDescent="0.25">
      <c r="A2326" s="2">
        <v>46194.291666666657</v>
      </c>
      <c r="B2326" t="str">
        <f t="shared" si="72"/>
        <v>2026-06</v>
      </c>
      <c r="C2326" s="3">
        <f t="shared" si="73"/>
        <v>7</v>
      </c>
      <c r="D2326" s="4">
        <v>26.028192988730559</v>
      </c>
      <c r="E2326" s="4">
        <v>27.090949007461109</v>
      </c>
      <c r="F2326" s="4">
        <v>28.795231354163889</v>
      </c>
      <c r="G2326" s="4">
        <v>17.399999999999999</v>
      </c>
      <c r="H2326" s="5">
        <v>36.276159839213882</v>
      </c>
      <c r="I2326" s="5">
        <v>35.66039959874167</v>
      </c>
      <c r="J2326" s="5">
        <v>44.20262419908611</v>
      </c>
      <c r="K2326" s="5">
        <v>61</v>
      </c>
    </row>
    <row r="2327" spans="1:11" x14ac:dyDescent="0.25">
      <c r="A2327" s="2">
        <v>46194.333333333343</v>
      </c>
      <c r="B2327" t="str">
        <f t="shared" si="72"/>
        <v>2026-06</v>
      </c>
      <c r="C2327" s="3">
        <f t="shared" si="73"/>
        <v>8</v>
      </c>
      <c r="D2327" s="4">
        <v>27.220627062925001</v>
      </c>
      <c r="E2327" s="4">
        <v>27.46976025578612</v>
      </c>
      <c r="F2327" s="4">
        <v>28.816762875766671</v>
      </c>
      <c r="G2327" s="4">
        <v>19.2</v>
      </c>
      <c r="H2327" s="5">
        <v>34.415943162550001</v>
      </c>
      <c r="I2327" s="5">
        <v>35.349308734961113</v>
      </c>
      <c r="J2327" s="5">
        <v>44.132365453672207</v>
      </c>
      <c r="K2327" s="5">
        <v>55</v>
      </c>
    </row>
    <row r="2328" spans="1:11" x14ac:dyDescent="0.25">
      <c r="A2328" s="2">
        <v>46194.375</v>
      </c>
      <c r="B2328" t="str">
        <f t="shared" si="72"/>
        <v>2026-06</v>
      </c>
      <c r="C2328" s="3">
        <f t="shared" si="73"/>
        <v>9</v>
      </c>
      <c r="D2328" s="4">
        <v>28.530144411805551</v>
      </c>
      <c r="E2328" s="4">
        <v>27.781873183808329</v>
      </c>
      <c r="F2328" s="4">
        <v>28.841623657802781</v>
      </c>
      <c r="G2328" s="4">
        <v>21.4</v>
      </c>
      <c r="H2328" s="5">
        <v>31.305747786927778</v>
      </c>
      <c r="I2328" s="5">
        <v>34.939990854836111</v>
      </c>
      <c r="J2328" s="5">
        <v>44.105499156477777</v>
      </c>
      <c r="K2328" s="5">
        <v>46</v>
      </c>
    </row>
    <row r="2329" spans="1:11" x14ac:dyDescent="0.25">
      <c r="A2329" s="2">
        <v>46194.416666666657</v>
      </c>
      <c r="B2329" t="str">
        <f t="shared" si="72"/>
        <v>2026-06</v>
      </c>
      <c r="C2329" s="3">
        <f t="shared" si="73"/>
        <v>10</v>
      </c>
      <c r="D2329" s="4">
        <v>27.464611057488892</v>
      </c>
      <c r="E2329" s="4">
        <v>27.734421660230559</v>
      </c>
      <c r="F2329" s="4">
        <v>28.859929390313891</v>
      </c>
      <c r="G2329" s="4">
        <v>22.7</v>
      </c>
      <c r="H2329" s="5">
        <v>32.792009030916667</v>
      </c>
      <c r="I2329" s="5">
        <v>34.271560716263878</v>
      </c>
      <c r="J2329" s="5">
        <v>44.042984729516661</v>
      </c>
      <c r="K2329" s="5">
        <v>41</v>
      </c>
    </row>
    <row r="2330" spans="1:11" x14ac:dyDescent="0.25">
      <c r="A2330" s="2">
        <v>46194.458333333343</v>
      </c>
      <c r="B2330" t="str">
        <f t="shared" si="72"/>
        <v>2026-06</v>
      </c>
      <c r="C2330" s="3">
        <f t="shared" si="73"/>
        <v>11</v>
      </c>
      <c r="D2330" s="4">
        <v>27.23842488247778</v>
      </c>
      <c r="E2330" s="4">
        <v>27.54702923493889</v>
      </c>
      <c r="F2330" s="4">
        <v>28.86183535993333</v>
      </c>
      <c r="G2330" s="4">
        <v>23.5</v>
      </c>
      <c r="H2330" s="5">
        <v>32.369069111155547</v>
      </c>
      <c r="I2330" s="5">
        <v>34.050612377027782</v>
      </c>
      <c r="J2330" s="5">
        <v>43.944095877483328</v>
      </c>
      <c r="K2330" s="5">
        <v>35</v>
      </c>
    </row>
    <row r="2331" spans="1:11" x14ac:dyDescent="0.25">
      <c r="A2331" s="2">
        <v>46194.5</v>
      </c>
      <c r="B2331" t="str">
        <f t="shared" si="72"/>
        <v>2026-06</v>
      </c>
      <c r="C2331" s="3">
        <f t="shared" si="73"/>
        <v>12</v>
      </c>
      <c r="D2331" s="4">
        <v>26.882230182363891</v>
      </c>
      <c r="E2331" s="4">
        <v>27.537582727219441</v>
      </c>
      <c r="F2331" s="4">
        <v>28.859098074655549</v>
      </c>
      <c r="G2331" s="4">
        <v>24.5</v>
      </c>
      <c r="H2331" s="5">
        <v>30.942858333136119</v>
      </c>
      <c r="I2331" s="5">
        <v>33.94949482117778</v>
      </c>
      <c r="J2331" s="5">
        <v>43.843410152305559</v>
      </c>
      <c r="K2331" s="5">
        <v>31</v>
      </c>
    </row>
    <row r="2332" spans="1:11" x14ac:dyDescent="0.25">
      <c r="A2332" s="2">
        <v>46194.541666666657</v>
      </c>
      <c r="B2332" t="str">
        <f t="shared" si="72"/>
        <v>2026-06</v>
      </c>
      <c r="C2332" s="3">
        <f t="shared" si="73"/>
        <v>13</v>
      </c>
      <c r="D2332" s="4">
        <v>26.79330942513333</v>
      </c>
      <c r="E2332" s="4">
        <v>27.613615831013892</v>
      </c>
      <c r="F2332" s="4">
        <v>28.854194566530559</v>
      </c>
      <c r="G2332" s="4">
        <v>25.1</v>
      </c>
      <c r="H2332" s="5">
        <v>30.956803158338889</v>
      </c>
      <c r="I2332" s="5">
        <v>33.245686970558332</v>
      </c>
      <c r="J2332" s="5">
        <v>43.718604463072218</v>
      </c>
      <c r="K2332" s="5">
        <v>28</v>
      </c>
    </row>
    <row r="2333" spans="1:11" x14ac:dyDescent="0.25">
      <c r="A2333" s="2">
        <v>46194.583333333343</v>
      </c>
      <c r="B2333" t="str">
        <f t="shared" si="72"/>
        <v>2026-06</v>
      </c>
      <c r="C2333" s="3">
        <f t="shared" si="73"/>
        <v>14</v>
      </c>
      <c r="D2333" s="4">
        <v>26.806884240508332</v>
      </c>
      <c r="E2333" s="4">
        <v>27.702025181680561</v>
      </c>
      <c r="F2333" s="4">
        <v>28.507456452900001</v>
      </c>
      <c r="G2333" s="4">
        <v>25.7</v>
      </c>
      <c r="H2333" s="5">
        <v>31.380268343711109</v>
      </c>
      <c r="I2333" s="5">
        <v>33.132714573816664</v>
      </c>
      <c r="J2333" s="5">
        <v>42.86321907653889</v>
      </c>
      <c r="K2333" s="5">
        <v>26</v>
      </c>
    </row>
    <row r="2334" spans="1:11" x14ac:dyDescent="0.25">
      <c r="A2334" s="2">
        <v>46194.625</v>
      </c>
      <c r="B2334" t="str">
        <f t="shared" si="72"/>
        <v>2026-06</v>
      </c>
      <c r="C2334" s="3">
        <f t="shared" si="73"/>
        <v>15</v>
      </c>
      <c r="D2334" s="4">
        <v>26.851347685813892</v>
      </c>
      <c r="E2334" s="4">
        <v>27.90721890855556</v>
      </c>
      <c r="F2334" s="4">
        <v>28.645089457538891</v>
      </c>
      <c r="G2334" s="4">
        <v>25.2</v>
      </c>
      <c r="H2334" s="5">
        <v>30.154032977616659</v>
      </c>
      <c r="I2334" s="5">
        <v>33.406143914136109</v>
      </c>
      <c r="J2334" s="5">
        <v>43.139987466002772</v>
      </c>
      <c r="K2334" s="5">
        <v>32</v>
      </c>
    </row>
    <row r="2335" spans="1:11" x14ac:dyDescent="0.25">
      <c r="A2335" s="2">
        <v>46194.666666666657</v>
      </c>
      <c r="B2335" t="str">
        <f t="shared" si="72"/>
        <v>2026-06</v>
      </c>
      <c r="C2335" s="3">
        <f t="shared" si="73"/>
        <v>16</v>
      </c>
      <c r="D2335" s="4">
        <v>27.002394363058329</v>
      </c>
      <c r="E2335" s="4">
        <v>28.05743938299722</v>
      </c>
      <c r="F2335" s="4">
        <v>28.887932149163891</v>
      </c>
      <c r="G2335" s="4">
        <v>24.8</v>
      </c>
      <c r="H2335" s="5">
        <v>30.001306856005559</v>
      </c>
      <c r="I2335" s="5">
        <v>32.846595061619453</v>
      </c>
      <c r="J2335" s="5">
        <v>43.237476203424997</v>
      </c>
      <c r="K2335" s="5">
        <v>34</v>
      </c>
    </row>
    <row r="2336" spans="1:11" x14ac:dyDescent="0.25">
      <c r="A2336" s="2">
        <v>46194.708333333343</v>
      </c>
      <c r="B2336" t="str">
        <f t="shared" si="72"/>
        <v>2026-06</v>
      </c>
      <c r="C2336" s="3">
        <f t="shared" si="73"/>
        <v>17</v>
      </c>
      <c r="D2336" s="4">
        <v>26.96521830195833</v>
      </c>
      <c r="E2336" s="4">
        <v>27.334608904466659</v>
      </c>
      <c r="F2336" s="4">
        <v>28.948192272724999</v>
      </c>
      <c r="G2336" s="4">
        <v>24.7</v>
      </c>
      <c r="H2336" s="5">
        <v>30.13856879595</v>
      </c>
      <c r="I2336" s="5">
        <v>32.121024248866668</v>
      </c>
      <c r="J2336" s="5">
        <v>43.112212513905547</v>
      </c>
      <c r="K2336" s="5">
        <v>35</v>
      </c>
    </row>
    <row r="2337" spans="1:11" x14ac:dyDescent="0.25">
      <c r="A2337" s="2">
        <v>46194.75</v>
      </c>
      <c r="B2337" t="str">
        <f t="shared" si="72"/>
        <v>2026-06</v>
      </c>
      <c r="C2337" s="3">
        <f t="shared" si="73"/>
        <v>18</v>
      </c>
      <c r="D2337" s="4">
        <v>26.93558355916112</v>
      </c>
      <c r="E2337" s="4">
        <v>27.498394605411111</v>
      </c>
      <c r="F2337" s="4">
        <v>28.943501633622219</v>
      </c>
      <c r="G2337" s="4">
        <v>24.3</v>
      </c>
      <c r="H2337" s="5">
        <v>30.7539573205</v>
      </c>
      <c r="I2337" s="5">
        <v>32.974682652991667</v>
      </c>
      <c r="J2337" s="5">
        <v>43.094398288897217</v>
      </c>
      <c r="K2337" s="5">
        <v>36</v>
      </c>
    </row>
    <row r="2338" spans="1:11" x14ac:dyDescent="0.25">
      <c r="A2338" s="2">
        <v>46194.791666666657</v>
      </c>
      <c r="B2338" t="str">
        <f t="shared" si="72"/>
        <v>2026-06</v>
      </c>
      <c r="C2338" s="3">
        <f t="shared" si="73"/>
        <v>19</v>
      </c>
      <c r="D2338" s="4">
        <v>26.984523210500001</v>
      </c>
      <c r="E2338" s="4">
        <v>27.679143429080561</v>
      </c>
      <c r="F2338" s="4">
        <v>28.805994324591669</v>
      </c>
      <c r="G2338" s="4">
        <v>23.8</v>
      </c>
      <c r="H2338" s="5">
        <v>31.345528126361099</v>
      </c>
      <c r="I2338" s="5">
        <v>33.304702485550003</v>
      </c>
      <c r="J2338" s="5">
        <v>42.295296166088889</v>
      </c>
      <c r="K2338" s="5">
        <v>38</v>
      </c>
    </row>
    <row r="2339" spans="1:11" x14ac:dyDescent="0.25">
      <c r="A2339" s="2">
        <v>46194.833333333343</v>
      </c>
      <c r="B2339" t="str">
        <f t="shared" si="72"/>
        <v>2026-06</v>
      </c>
      <c r="C2339" s="3">
        <f t="shared" si="73"/>
        <v>20</v>
      </c>
      <c r="D2339" s="4">
        <v>26.48030095070833</v>
      </c>
      <c r="E2339" s="4">
        <v>27.43081766766112</v>
      </c>
      <c r="F2339" s="4">
        <v>28.888201769011111</v>
      </c>
      <c r="G2339" s="4">
        <v>22.9</v>
      </c>
      <c r="H2339" s="5">
        <v>32.876880905375003</v>
      </c>
      <c r="I2339" s="5">
        <v>34.573369769186108</v>
      </c>
      <c r="J2339" s="5">
        <v>42.817626619266669</v>
      </c>
      <c r="K2339" s="5">
        <v>42</v>
      </c>
    </row>
    <row r="2340" spans="1:11" x14ac:dyDescent="0.25">
      <c r="A2340" s="2">
        <v>46194.875</v>
      </c>
      <c r="B2340" t="str">
        <f t="shared" si="72"/>
        <v>2026-06</v>
      </c>
      <c r="C2340" s="3">
        <f t="shared" si="73"/>
        <v>21</v>
      </c>
      <c r="D2340" s="4">
        <v>26.284932298183332</v>
      </c>
      <c r="E2340" s="4">
        <v>27.525396194702779</v>
      </c>
      <c r="F2340" s="4">
        <v>28.832449073080561</v>
      </c>
      <c r="G2340" s="4">
        <v>21.9</v>
      </c>
      <c r="H2340" s="5">
        <v>35.639361553824997</v>
      </c>
      <c r="I2340" s="5">
        <v>36.352294650780557</v>
      </c>
      <c r="J2340" s="5">
        <v>43.374469759199997</v>
      </c>
      <c r="K2340" s="5">
        <v>47</v>
      </c>
    </row>
    <row r="2341" spans="1:11" x14ac:dyDescent="0.25">
      <c r="A2341" s="2">
        <v>46194.916666666657</v>
      </c>
      <c r="B2341" t="str">
        <f t="shared" si="72"/>
        <v>2026-06</v>
      </c>
      <c r="C2341" s="3">
        <f t="shared" si="73"/>
        <v>22</v>
      </c>
      <c r="D2341" s="4">
        <v>26.014978874797219</v>
      </c>
      <c r="E2341" s="4">
        <v>27.7089055203</v>
      </c>
      <c r="F2341" s="4">
        <v>28.625925168763889</v>
      </c>
      <c r="G2341" s="4">
        <v>21.1</v>
      </c>
      <c r="H2341" s="5">
        <v>35.619712005099998</v>
      </c>
      <c r="I2341" s="5">
        <v>37.782933039813891</v>
      </c>
      <c r="J2341" s="5">
        <v>44.033362770111097</v>
      </c>
      <c r="K2341" s="5">
        <v>50</v>
      </c>
    </row>
    <row r="2342" spans="1:11" x14ac:dyDescent="0.25">
      <c r="A2342" s="2">
        <v>46194.958333333343</v>
      </c>
      <c r="B2342" t="str">
        <f t="shared" si="72"/>
        <v>2026-06</v>
      </c>
      <c r="C2342" s="3">
        <f t="shared" si="73"/>
        <v>23</v>
      </c>
      <c r="D2342" s="4">
        <v>25.488795903572221</v>
      </c>
      <c r="E2342" s="4">
        <v>27.815045521811111</v>
      </c>
      <c r="F2342" s="4">
        <v>28.880408616644441</v>
      </c>
      <c r="G2342" s="4">
        <v>20.3</v>
      </c>
      <c r="H2342" s="5">
        <v>35.67619472423889</v>
      </c>
      <c r="I2342" s="5">
        <v>37.109600184980557</v>
      </c>
      <c r="J2342" s="5">
        <v>43.685855270841671</v>
      </c>
      <c r="K2342" s="5">
        <v>54</v>
      </c>
    </row>
    <row r="2343" spans="1:11" x14ac:dyDescent="0.25">
      <c r="A2343" s="2">
        <v>46195</v>
      </c>
      <c r="B2343" t="str">
        <f t="shared" si="72"/>
        <v>2026-06</v>
      </c>
      <c r="C2343" s="3">
        <f t="shared" si="73"/>
        <v>0</v>
      </c>
      <c r="D2343" s="4">
        <v>25.23402285775833</v>
      </c>
      <c r="E2343" s="4">
        <v>27.841881075997222</v>
      </c>
      <c r="F2343" s="4">
        <v>28.877309405824999</v>
      </c>
      <c r="G2343" s="4">
        <v>19.5</v>
      </c>
      <c r="H2343" s="5">
        <v>37.097915341294453</v>
      </c>
      <c r="I2343" s="5">
        <v>36.341763358194441</v>
      </c>
      <c r="J2343" s="5">
        <v>43.435785703858343</v>
      </c>
      <c r="K2343" s="5">
        <v>57</v>
      </c>
    </row>
    <row r="2344" spans="1:11" x14ac:dyDescent="0.25">
      <c r="A2344" s="2">
        <v>46195.041666666657</v>
      </c>
      <c r="B2344" t="str">
        <f t="shared" si="72"/>
        <v>2026-06</v>
      </c>
      <c r="C2344" s="3">
        <f t="shared" si="73"/>
        <v>1</v>
      </c>
      <c r="D2344" s="4">
        <v>24.734508018255561</v>
      </c>
      <c r="E2344" s="4">
        <v>27.71910739500278</v>
      </c>
      <c r="F2344" s="4">
        <v>28.835525939483329</v>
      </c>
      <c r="G2344" s="4">
        <v>18.7</v>
      </c>
      <c r="H2344" s="5">
        <v>39.465819880577783</v>
      </c>
      <c r="I2344" s="5">
        <v>36.588809141991668</v>
      </c>
      <c r="J2344" s="5">
        <v>43.445289507333342</v>
      </c>
      <c r="K2344" s="5">
        <v>60</v>
      </c>
    </row>
    <row r="2345" spans="1:11" x14ac:dyDescent="0.25">
      <c r="A2345" s="2">
        <v>46195.083333333343</v>
      </c>
      <c r="B2345" t="str">
        <f t="shared" si="72"/>
        <v>2026-06</v>
      </c>
      <c r="C2345" s="3">
        <f t="shared" si="73"/>
        <v>2</v>
      </c>
      <c r="D2345" s="4">
        <v>23.774291539527781</v>
      </c>
      <c r="E2345" s="4">
        <v>27.334341036538891</v>
      </c>
      <c r="F2345" s="4">
        <v>28.460473410122219</v>
      </c>
      <c r="G2345" s="4">
        <v>18.2</v>
      </c>
      <c r="H2345" s="5">
        <v>42.093178266097219</v>
      </c>
      <c r="I2345" s="5">
        <v>36.815008218655557</v>
      </c>
      <c r="J2345" s="5">
        <v>43.999334819730556</v>
      </c>
      <c r="K2345" s="5">
        <v>62</v>
      </c>
    </row>
    <row r="2346" spans="1:11" x14ac:dyDescent="0.25">
      <c r="A2346" s="2">
        <v>46195.125</v>
      </c>
      <c r="B2346" t="str">
        <f t="shared" si="72"/>
        <v>2026-06</v>
      </c>
      <c r="C2346" s="3">
        <f t="shared" si="73"/>
        <v>3</v>
      </c>
      <c r="D2346" s="4">
        <v>23.149402309825</v>
      </c>
      <c r="E2346" s="4">
        <v>26.875898543394442</v>
      </c>
      <c r="F2346" s="4">
        <v>28.780159031255561</v>
      </c>
      <c r="G2346" s="4">
        <v>17.600000000000001</v>
      </c>
      <c r="H2346" s="5">
        <v>44.290929450577778</v>
      </c>
      <c r="I2346" s="5">
        <v>37.782109893466668</v>
      </c>
      <c r="J2346" s="5">
        <v>43.750434219497222</v>
      </c>
      <c r="K2346" s="5">
        <v>65</v>
      </c>
    </row>
    <row r="2347" spans="1:11" x14ac:dyDescent="0.25">
      <c r="A2347" s="2">
        <v>46195.166666666657</v>
      </c>
      <c r="B2347" t="str">
        <f t="shared" si="72"/>
        <v>2026-06</v>
      </c>
      <c r="C2347" s="3">
        <f t="shared" si="73"/>
        <v>4</v>
      </c>
      <c r="D2347" s="4">
        <v>23.003700892752381</v>
      </c>
      <c r="E2347" s="4">
        <v>26.643380796111121</v>
      </c>
      <c r="F2347" s="4">
        <v>28.79090592503611</v>
      </c>
      <c r="G2347" s="4">
        <v>17.2</v>
      </c>
      <c r="H2347" s="5">
        <v>44.883604033300003</v>
      </c>
      <c r="I2347" s="5">
        <v>38.289142121588888</v>
      </c>
      <c r="J2347" s="5">
        <v>43.766438368780562</v>
      </c>
      <c r="K2347" s="5">
        <v>68</v>
      </c>
    </row>
    <row r="2348" spans="1:11" x14ac:dyDescent="0.25">
      <c r="A2348" s="2">
        <v>46195.208333333343</v>
      </c>
      <c r="B2348" t="str">
        <f t="shared" si="72"/>
        <v>2026-06</v>
      </c>
      <c r="C2348" s="3">
        <f t="shared" si="73"/>
        <v>5</v>
      </c>
      <c r="D2348" s="4">
        <v>24.173751191459889</v>
      </c>
      <c r="E2348" s="4">
        <v>26.558353614358332</v>
      </c>
      <c r="F2348" s="4">
        <v>28.775944232577789</v>
      </c>
      <c r="G2348" s="4">
        <v>16.899999999999999</v>
      </c>
      <c r="H2348" s="5">
        <v>43.177595830146082</v>
      </c>
      <c r="I2348" s="5">
        <v>39.159645612141667</v>
      </c>
      <c r="J2348" s="5">
        <v>43.846248199947219</v>
      </c>
      <c r="K2348" s="5">
        <v>70</v>
      </c>
    </row>
    <row r="2349" spans="1:11" x14ac:dyDescent="0.25">
      <c r="A2349" s="2">
        <v>46195.25</v>
      </c>
      <c r="B2349" t="str">
        <f t="shared" si="72"/>
        <v>2026-06</v>
      </c>
      <c r="C2349" s="3">
        <f t="shared" si="73"/>
        <v>6</v>
      </c>
      <c r="D2349" s="4">
        <v>25.339184257405549</v>
      </c>
      <c r="E2349" s="4">
        <v>26.933803000172219</v>
      </c>
      <c r="F2349" s="4">
        <v>28.804329323508341</v>
      </c>
      <c r="G2349" s="4">
        <v>17.8</v>
      </c>
      <c r="H2349" s="5">
        <v>40.229690754622219</v>
      </c>
      <c r="I2349" s="5">
        <v>38.93278532494444</v>
      </c>
      <c r="J2349" s="5">
        <v>43.885557748544443</v>
      </c>
      <c r="K2349" s="5">
        <v>67</v>
      </c>
    </row>
    <row r="2350" spans="1:11" x14ac:dyDescent="0.25">
      <c r="A2350" s="2">
        <v>46195.291666666657</v>
      </c>
      <c r="B2350" t="str">
        <f t="shared" si="72"/>
        <v>2026-06</v>
      </c>
      <c r="C2350" s="3">
        <f t="shared" si="73"/>
        <v>7</v>
      </c>
      <c r="D2350" s="4">
        <v>26.628021066069451</v>
      </c>
      <c r="E2350" s="4">
        <v>27.541529972986108</v>
      </c>
      <c r="F2350" s="4">
        <v>28.846925742658328</v>
      </c>
      <c r="G2350" s="4">
        <v>19.399999999999999</v>
      </c>
      <c r="H2350" s="5">
        <v>37.836604400336107</v>
      </c>
      <c r="I2350" s="5">
        <v>37.44345211023056</v>
      </c>
      <c r="J2350" s="5">
        <v>43.887013012152778</v>
      </c>
      <c r="K2350" s="5">
        <v>62</v>
      </c>
    </row>
    <row r="2351" spans="1:11" x14ac:dyDescent="0.25">
      <c r="A2351" s="2">
        <v>46195.333333333343</v>
      </c>
      <c r="B2351" t="str">
        <f t="shared" si="72"/>
        <v>2026-06</v>
      </c>
      <c r="C2351" s="3">
        <f t="shared" si="73"/>
        <v>8</v>
      </c>
      <c r="D2351" s="4">
        <v>27.871450105091672</v>
      </c>
      <c r="E2351" s="4">
        <v>28.164409805775001</v>
      </c>
      <c r="F2351" s="4">
        <v>28.89814832425278</v>
      </c>
      <c r="G2351" s="4">
        <v>21.7</v>
      </c>
      <c r="H2351" s="5">
        <v>36.620715680883329</v>
      </c>
      <c r="I2351" s="5">
        <v>36.523358569750002</v>
      </c>
      <c r="J2351" s="5">
        <v>43.891749680575003</v>
      </c>
      <c r="K2351" s="5">
        <v>55</v>
      </c>
    </row>
    <row r="2352" spans="1:11" x14ac:dyDescent="0.25">
      <c r="A2352" s="2">
        <v>46195.375</v>
      </c>
      <c r="B2352" t="str">
        <f t="shared" si="72"/>
        <v>2026-06</v>
      </c>
      <c r="C2352" s="3">
        <f t="shared" si="73"/>
        <v>9</v>
      </c>
      <c r="D2352" s="4">
        <v>29.370973775872219</v>
      </c>
      <c r="E2352" s="4">
        <v>28.76120606349167</v>
      </c>
      <c r="F2352" s="4">
        <v>28.992835301041669</v>
      </c>
      <c r="G2352" s="4">
        <v>24.7</v>
      </c>
      <c r="H2352" s="5">
        <v>33.702298110100003</v>
      </c>
      <c r="I2352" s="5">
        <v>36.829797230824987</v>
      </c>
      <c r="J2352" s="5">
        <v>44.276041212030563</v>
      </c>
      <c r="K2352" s="5">
        <v>45</v>
      </c>
    </row>
    <row r="2353" spans="1:11" x14ac:dyDescent="0.25">
      <c r="A2353" s="2">
        <v>46195.416666666657</v>
      </c>
      <c r="B2353" t="str">
        <f t="shared" si="72"/>
        <v>2026-06</v>
      </c>
      <c r="C2353" s="3">
        <f t="shared" si="73"/>
        <v>10</v>
      </c>
      <c r="D2353" s="4">
        <v>28.428239196130558</v>
      </c>
      <c r="E2353" s="4">
        <v>29.228488253327779</v>
      </c>
      <c r="F2353" s="4">
        <v>29.091420415580551</v>
      </c>
      <c r="G2353" s="4">
        <v>26.4</v>
      </c>
      <c r="H2353" s="5">
        <v>35.640613090686109</v>
      </c>
      <c r="I2353" s="5">
        <v>37.112306180683333</v>
      </c>
      <c r="J2353" s="5">
        <v>44.71862106166666</v>
      </c>
      <c r="K2353" s="5">
        <v>38</v>
      </c>
    </row>
    <row r="2354" spans="1:11" x14ac:dyDescent="0.25">
      <c r="A2354" s="2">
        <v>46195.458333333343</v>
      </c>
      <c r="B2354" t="str">
        <f t="shared" si="72"/>
        <v>2026-06</v>
      </c>
      <c r="C2354" s="3">
        <f t="shared" si="73"/>
        <v>11</v>
      </c>
      <c r="D2354" s="4">
        <v>26.425376502002781</v>
      </c>
      <c r="E2354" s="4">
        <v>28.459788840383339</v>
      </c>
      <c r="F2354" s="4">
        <v>29.07110715203611</v>
      </c>
      <c r="G2354" s="4">
        <v>27.1</v>
      </c>
      <c r="H2354" s="5">
        <v>32.757161410180558</v>
      </c>
      <c r="I2354" s="5">
        <v>33.335461866988886</v>
      </c>
      <c r="J2354" s="5">
        <v>43.673089926086107</v>
      </c>
      <c r="K2354" s="5">
        <v>37</v>
      </c>
    </row>
    <row r="2355" spans="1:11" x14ac:dyDescent="0.25">
      <c r="A2355" s="2">
        <v>46195.5</v>
      </c>
      <c r="B2355" t="str">
        <f t="shared" si="72"/>
        <v>2026-06</v>
      </c>
      <c r="C2355" s="3">
        <f t="shared" si="73"/>
        <v>12</v>
      </c>
      <c r="D2355" s="4">
        <v>27.09092674478612</v>
      </c>
      <c r="E2355" s="4">
        <v>28.82223932946944</v>
      </c>
      <c r="F2355" s="4">
        <v>29.072992509097219</v>
      </c>
      <c r="G2355" s="4">
        <v>27.8</v>
      </c>
      <c r="H2355" s="5">
        <v>36.682491651841673</v>
      </c>
      <c r="I2355" s="5">
        <v>35.095735881783327</v>
      </c>
      <c r="J2355" s="5">
        <v>43.87269493506944</v>
      </c>
      <c r="K2355" s="5">
        <v>37</v>
      </c>
    </row>
    <row r="2356" spans="1:11" x14ac:dyDescent="0.25">
      <c r="A2356" s="2">
        <v>46195.541666666657</v>
      </c>
      <c r="B2356" t="str">
        <f t="shared" si="72"/>
        <v>2026-06</v>
      </c>
      <c r="C2356" s="3">
        <f t="shared" si="73"/>
        <v>13</v>
      </c>
      <c r="D2356" s="4">
        <v>25.822442432252771</v>
      </c>
      <c r="E2356" s="4">
        <v>27.82383095316111</v>
      </c>
      <c r="F2356" s="4">
        <v>29.107933732708329</v>
      </c>
      <c r="G2356" s="4">
        <v>28.6</v>
      </c>
      <c r="H2356" s="5">
        <v>33.782098432916669</v>
      </c>
      <c r="I2356" s="5">
        <v>33.22790244948056</v>
      </c>
      <c r="J2356" s="5">
        <v>43.733628928163888</v>
      </c>
      <c r="K2356" s="5">
        <v>36</v>
      </c>
    </row>
    <row r="2357" spans="1:11" x14ac:dyDescent="0.25">
      <c r="A2357" s="2">
        <v>46195.583333333343</v>
      </c>
      <c r="B2357" t="str">
        <f t="shared" si="72"/>
        <v>2026-06</v>
      </c>
      <c r="C2357" s="3">
        <f t="shared" si="73"/>
        <v>14</v>
      </c>
      <c r="D2357" s="4">
        <v>26.352998034086109</v>
      </c>
      <c r="E2357" s="4">
        <v>27.97049356293056</v>
      </c>
      <c r="F2357" s="4">
        <v>29.076536641916661</v>
      </c>
      <c r="G2357" s="4">
        <v>29.3</v>
      </c>
      <c r="H2357" s="5">
        <v>35.828834531588889</v>
      </c>
      <c r="I2357" s="5">
        <v>34.482844461591661</v>
      </c>
      <c r="J2357" s="5">
        <v>42.88404310899444</v>
      </c>
      <c r="K2357" s="5">
        <v>36</v>
      </c>
    </row>
    <row r="2358" spans="1:11" x14ac:dyDescent="0.25">
      <c r="A2358" s="2">
        <v>46195.625</v>
      </c>
      <c r="B2358" t="str">
        <f t="shared" si="72"/>
        <v>2026-06</v>
      </c>
      <c r="C2358" s="3">
        <f t="shared" si="73"/>
        <v>15</v>
      </c>
      <c r="D2358" s="4">
        <v>27.340448026261111</v>
      </c>
      <c r="E2358" s="4">
        <v>28.277146994522219</v>
      </c>
      <c r="F2358" s="4">
        <v>29.222445264802779</v>
      </c>
      <c r="G2358" s="4">
        <v>29.5</v>
      </c>
      <c r="H2358" s="5">
        <v>38.36528376985833</v>
      </c>
      <c r="I2358" s="5">
        <v>37.331333305688887</v>
      </c>
      <c r="J2358" s="5">
        <v>43.989337108552768</v>
      </c>
      <c r="K2358" s="5">
        <v>36</v>
      </c>
    </row>
    <row r="2359" spans="1:11" x14ac:dyDescent="0.25">
      <c r="A2359" s="2">
        <v>46195.666666666657</v>
      </c>
      <c r="B2359" t="str">
        <f t="shared" si="72"/>
        <v>2026-06</v>
      </c>
      <c r="C2359" s="3">
        <f t="shared" si="73"/>
        <v>16</v>
      </c>
      <c r="D2359" s="4">
        <v>27.764730351227779</v>
      </c>
      <c r="E2359" s="4">
        <v>28.624522199061111</v>
      </c>
      <c r="F2359" s="4">
        <v>29.310622733063891</v>
      </c>
      <c r="G2359" s="4">
        <v>23.7</v>
      </c>
      <c r="H2359" s="5">
        <v>40.05316468480278</v>
      </c>
      <c r="I2359" s="5">
        <v>40.083535287463882</v>
      </c>
      <c r="J2359" s="5">
        <v>45.620617176766658</v>
      </c>
      <c r="K2359" s="5">
        <v>65</v>
      </c>
    </row>
    <row r="2360" spans="1:11" x14ac:dyDescent="0.25">
      <c r="A2360" s="2">
        <v>46195.708333333343</v>
      </c>
      <c r="B2360" t="str">
        <f t="shared" si="72"/>
        <v>2026-06</v>
      </c>
      <c r="C2360" s="3">
        <f t="shared" si="73"/>
        <v>17</v>
      </c>
      <c r="D2360" s="4">
        <v>27.189981122155551</v>
      </c>
      <c r="E2360" s="4">
        <v>28.544818028925</v>
      </c>
      <c r="F2360" s="4">
        <v>29.247781187002779</v>
      </c>
      <c r="G2360" s="4">
        <v>26</v>
      </c>
      <c r="H2360" s="5">
        <v>41.664920255558343</v>
      </c>
      <c r="I2360" s="5">
        <v>43.058723528916673</v>
      </c>
      <c r="J2360" s="5">
        <v>46.934821717555558</v>
      </c>
      <c r="K2360" s="5">
        <v>52</v>
      </c>
    </row>
    <row r="2361" spans="1:11" x14ac:dyDescent="0.25">
      <c r="A2361" s="2">
        <v>46195.75</v>
      </c>
      <c r="B2361" t="str">
        <f t="shared" si="72"/>
        <v>2026-06</v>
      </c>
      <c r="C2361" s="3">
        <f t="shared" si="73"/>
        <v>18</v>
      </c>
      <c r="D2361" s="4">
        <v>26.09224155938611</v>
      </c>
      <c r="E2361" s="4">
        <v>27.993620056525</v>
      </c>
      <c r="F2361" s="4">
        <v>29.274975872950002</v>
      </c>
      <c r="G2361" s="4">
        <v>26.4</v>
      </c>
      <c r="H2361" s="5">
        <v>37.244978831808332</v>
      </c>
      <c r="I2361" s="5">
        <v>36.182980666383337</v>
      </c>
      <c r="J2361" s="5">
        <v>45.415284672738892</v>
      </c>
      <c r="K2361" s="5">
        <v>52</v>
      </c>
    </row>
    <row r="2362" spans="1:11" x14ac:dyDescent="0.25">
      <c r="A2362" s="2">
        <v>46195.791666666657</v>
      </c>
      <c r="B2362" t="str">
        <f t="shared" si="72"/>
        <v>2026-06</v>
      </c>
      <c r="C2362" s="3">
        <f t="shared" si="73"/>
        <v>19</v>
      </c>
      <c r="D2362" s="4">
        <v>25.349389006300001</v>
      </c>
      <c r="E2362" s="4">
        <v>27.559165927113892</v>
      </c>
      <c r="F2362" s="4">
        <v>29.206273076247211</v>
      </c>
      <c r="G2362" s="4">
        <v>25.5</v>
      </c>
      <c r="H2362" s="5">
        <v>34.095689613677777</v>
      </c>
      <c r="I2362" s="5">
        <v>32.920985963091667</v>
      </c>
      <c r="J2362" s="5">
        <v>44.33822314290277</v>
      </c>
      <c r="K2362" s="5">
        <v>58</v>
      </c>
    </row>
    <row r="2363" spans="1:11" x14ac:dyDescent="0.25">
      <c r="A2363" s="2">
        <v>46195.833333333343</v>
      </c>
      <c r="B2363" t="str">
        <f t="shared" si="72"/>
        <v>2026-06</v>
      </c>
      <c r="C2363" s="3">
        <f t="shared" si="73"/>
        <v>20</v>
      </c>
      <c r="D2363" s="4">
        <v>25.688635443730561</v>
      </c>
      <c r="E2363" s="4">
        <v>27.607486466644449</v>
      </c>
      <c r="F2363" s="4">
        <v>29.142905253916659</v>
      </c>
      <c r="G2363" s="4">
        <v>22.1</v>
      </c>
      <c r="H2363" s="5">
        <v>35.042415762683333</v>
      </c>
      <c r="I2363" s="5">
        <v>34.706690394566671</v>
      </c>
      <c r="J2363" s="5">
        <v>43.849595563983343</v>
      </c>
      <c r="K2363" s="5">
        <v>76</v>
      </c>
    </row>
    <row r="2364" spans="1:11" x14ac:dyDescent="0.25">
      <c r="A2364" s="2">
        <v>46195.875</v>
      </c>
      <c r="B2364" t="str">
        <f t="shared" si="72"/>
        <v>2026-06</v>
      </c>
      <c r="C2364" s="3">
        <f t="shared" si="73"/>
        <v>21</v>
      </c>
      <c r="D2364" s="4">
        <v>25.640494182380561</v>
      </c>
      <c r="E2364" s="4">
        <v>27.496195399633329</v>
      </c>
      <c r="F2364" s="4">
        <v>29.082890432349998</v>
      </c>
      <c r="G2364" s="4">
        <v>21.9</v>
      </c>
      <c r="H2364" s="5">
        <v>35.113211098219438</v>
      </c>
      <c r="I2364" s="5">
        <v>33.848061867922233</v>
      </c>
      <c r="J2364" s="5">
        <v>43.481497301488893</v>
      </c>
      <c r="K2364" s="5">
        <v>78</v>
      </c>
    </row>
    <row r="2365" spans="1:11" x14ac:dyDescent="0.25">
      <c r="A2365" s="2">
        <v>46195.916666666657</v>
      </c>
      <c r="B2365" t="str">
        <f t="shared" si="72"/>
        <v>2026-06</v>
      </c>
      <c r="C2365" s="3">
        <f t="shared" si="73"/>
        <v>22</v>
      </c>
      <c r="D2365" s="4">
        <v>26.839927457913891</v>
      </c>
      <c r="E2365" s="4">
        <v>28.19487722698889</v>
      </c>
      <c r="F2365" s="4">
        <v>29.16033013746944</v>
      </c>
      <c r="G2365" s="4">
        <v>21.1</v>
      </c>
      <c r="H2365" s="5">
        <v>40.961471677122233</v>
      </c>
      <c r="I2365" s="5">
        <v>41.265426293608343</v>
      </c>
      <c r="J2365" s="5">
        <v>44.375329637911108</v>
      </c>
      <c r="K2365" s="5">
        <v>83</v>
      </c>
    </row>
    <row r="2366" spans="1:11" x14ac:dyDescent="0.25">
      <c r="A2366" s="2">
        <v>46195.958333333343</v>
      </c>
      <c r="B2366" t="str">
        <f t="shared" si="72"/>
        <v>2026-06</v>
      </c>
      <c r="C2366" s="3">
        <f t="shared" si="73"/>
        <v>23</v>
      </c>
      <c r="D2366" s="4">
        <v>27.15028402295</v>
      </c>
      <c r="E2366" s="4">
        <v>28.471489210044439</v>
      </c>
      <c r="F2366" s="4">
        <v>29.08647886421112</v>
      </c>
      <c r="G2366" s="4">
        <v>20.3</v>
      </c>
      <c r="H2366" s="5">
        <v>44.033423508641668</v>
      </c>
      <c r="I2366" s="5">
        <v>44.169498465875002</v>
      </c>
      <c r="J2366" s="5">
        <v>47.594957669533329</v>
      </c>
      <c r="K2366" s="5">
        <v>84</v>
      </c>
    </row>
    <row r="2367" spans="1:11" x14ac:dyDescent="0.25">
      <c r="A2367" s="2">
        <v>46196</v>
      </c>
      <c r="B2367" t="str">
        <f t="shared" si="72"/>
        <v>2026-06</v>
      </c>
      <c r="C2367" s="3">
        <f t="shared" si="73"/>
        <v>0</v>
      </c>
      <c r="D2367" s="4">
        <v>27.16812913243611</v>
      </c>
      <c r="E2367" s="4">
        <v>28.143365086755551</v>
      </c>
      <c r="F2367" s="4">
        <v>29.29587384825</v>
      </c>
      <c r="G2367" s="4">
        <v>19.899999999999999</v>
      </c>
      <c r="H2367" s="5">
        <v>45.233273306133327</v>
      </c>
      <c r="I2367" s="5">
        <v>44.249792944613887</v>
      </c>
      <c r="J2367" s="5">
        <v>46.485967281863893</v>
      </c>
      <c r="K2367" s="5">
        <v>84</v>
      </c>
    </row>
    <row r="2368" spans="1:11" x14ac:dyDescent="0.25">
      <c r="A2368" s="2">
        <v>46196.041666666657</v>
      </c>
      <c r="B2368" t="str">
        <f t="shared" si="72"/>
        <v>2026-06</v>
      </c>
      <c r="C2368" s="3">
        <f t="shared" si="73"/>
        <v>1</v>
      </c>
      <c r="D2368" s="4">
        <v>26.615501782961111</v>
      </c>
      <c r="E2368" s="4">
        <v>27.93521040295278</v>
      </c>
      <c r="F2368" s="4">
        <v>29.33948016979722</v>
      </c>
      <c r="G2368" s="4">
        <v>19.7</v>
      </c>
      <c r="H2368" s="5">
        <v>46.802963161413892</v>
      </c>
      <c r="I2368" s="5">
        <v>44.421014123558336</v>
      </c>
      <c r="J2368" s="5">
        <v>48.369268352472233</v>
      </c>
      <c r="K2368" s="5">
        <v>85</v>
      </c>
    </row>
    <row r="2369" spans="1:11" x14ac:dyDescent="0.25">
      <c r="A2369" s="2">
        <v>46196.083333333343</v>
      </c>
      <c r="B2369" t="str">
        <f t="shared" si="72"/>
        <v>2026-06</v>
      </c>
      <c r="C2369" s="3">
        <f t="shared" si="73"/>
        <v>2</v>
      </c>
      <c r="D2369" s="4">
        <v>25.667422532427778</v>
      </c>
      <c r="E2369" s="4">
        <v>27.75565224747222</v>
      </c>
      <c r="F2369" s="4">
        <v>29.265478270058331</v>
      </c>
      <c r="G2369" s="4">
        <v>19.399999999999999</v>
      </c>
      <c r="H2369" s="5">
        <v>49.864392729108317</v>
      </c>
      <c r="I2369" s="5">
        <v>44.666336652605558</v>
      </c>
      <c r="J2369" s="5">
        <v>47.389523223591659</v>
      </c>
      <c r="K2369" s="5">
        <v>87</v>
      </c>
    </row>
    <row r="2370" spans="1:11" x14ac:dyDescent="0.25">
      <c r="A2370" s="2">
        <v>46196.125</v>
      </c>
      <c r="B2370" t="str">
        <f t="shared" ref="B2370:B2433" si="74">TEXT(A2370,"yyyy-mm")</f>
        <v>2026-06</v>
      </c>
      <c r="C2370" s="3">
        <f t="shared" ref="C2370:C2433" si="75">HOUR(A2370)</f>
        <v>3</v>
      </c>
      <c r="D2370" s="4">
        <v>25.21018694006111</v>
      </c>
      <c r="E2370" s="4">
        <v>27.478446814861108</v>
      </c>
      <c r="F2370" s="4">
        <v>29.20812882695278</v>
      </c>
      <c r="G2370" s="4">
        <v>18.600000000000001</v>
      </c>
      <c r="H2370" s="5">
        <v>50.514764688749999</v>
      </c>
      <c r="I2370" s="5">
        <v>44.788364528341667</v>
      </c>
      <c r="J2370" s="5">
        <v>47.325654886599999</v>
      </c>
      <c r="K2370" s="5">
        <v>91</v>
      </c>
    </row>
    <row r="2371" spans="1:11" x14ac:dyDescent="0.25">
      <c r="A2371" s="2">
        <v>46196.166666666657</v>
      </c>
      <c r="B2371" t="str">
        <f t="shared" si="74"/>
        <v>2026-06</v>
      </c>
      <c r="C2371" s="3">
        <f t="shared" si="75"/>
        <v>4</v>
      </c>
      <c r="D2371" s="4">
        <v>24.829477734891672</v>
      </c>
      <c r="E2371" s="4">
        <v>27.333847655011109</v>
      </c>
      <c r="F2371" s="4">
        <v>29.151711780063891</v>
      </c>
      <c r="G2371" s="4">
        <v>18</v>
      </c>
      <c r="H2371" s="5">
        <v>51.468001368466673</v>
      </c>
      <c r="I2371" s="5">
        <v>44.771390982063878</v>
      </c>
      <c r="J2371" s="5">
        <v>47.350054015155557</v>
      </c>
      <c r="K2371" s="5">
        <v>93</v>
      </c>
    </row>
    <row r="2372" spans="1:11" x14ac:dyDescent="0.25">
      <c r="A2372" s="2">
        <v>46196.208333333343</v>
      </c>
      <c r="B2372" t="str">
        <f t="shared" si="74"/>
        <v>2026-06</v>
      </c>
      <c r="C2372" s="3">
        <f t="shared" si="75"/>
        <v>5</v>
      </c>
      <c r="D2372" s="4">
        <v>25.22993186294444</v>
      </c>
      <c r="E2372" s="4">
        <v>27.360715266580559</v>
      </c>
      <c r="F2372" s="4">
        <v>29.114875593450002</v>
      </c>
      <c r="G2372" s="4">
        <v>17.600000000000001</v>
      </c>
      <c r="H2372" s="5">
        <v>50.692783081183329</v>
      </c>
      <c r="I2372" s="5">
        <v>45.232557548769449</v>
      </c>
      <c r="J2372" s="5">
        <v>47.407598174619437</v>
      </c>
      <c r="K2372" s="5">
        <v>94</v>
      </c>
    </row>
    <row r="2373" spans="1:11" x14ac:dyDescent="0.25">
      <c r="A2373" s="2">
        <v>46196.25</v>
      </c>
      <c r="B2373" t="str">
        <f t="shared" si="74"/>
        <v>2026-06</v>
      </c>
      <c r="C2373" s="3">
        <f t="shared" si="75"/>
        <v>6</v>
      </c>
      <c r="D2373" s="4">
        <v>26.228331410197221</v>
      </c>
      <c r="E2373" s="4">
        <v>27.436700720705559</v>
      </c>
      <c r="F2373" s="4">
        <v>29.121107715322221</v>
      </c>
      <c r="G2373" s="4">
        <v>18.399999999999999</v>
      </c>
      <c r="H2373" s="5">
        <v>48.038897508086109</v>
      </c>
      <c r="I2373" s="5">
        <v>45.374301402636107</v>
      </c>
      <c r="J2373" s="5">
        <v>47.228759008791663</v>
      </c>
      <c r="K2373" s="5">
        <v>89</v>
      </c>
    </row>
    <row r="2374" spans="1:11" x14ac:dyDescent="0.25">
      <c r="A2374" s="2">
        <v>46196.291666666657</v>
      </c>
      <c r="B2374" t="str">
        <f t="shared" si="74"/>
        <v>2026-06</v>
      </c>
      <c r="C2374" s="3">
        <f t="shared" si="75"/>
        <v>7</v>
      </c>
      <c r="D2374" s="4">
        <v>27.324634325361121</v>
      </c>
      <c r="E2374" s="4">
        <v>28.042519943258331</v>
      </c>
      <c r="F2374" s="4">
        <v>29.171719283405551</v>
      </c>
      <c r="G2374" s="4">
        <v>19.899999999999999</v>
      </c>
      <c r="H2374" s="5">
        <v>45.865055669991669</v>
      </c>
      <c r="I2374" s="5">
        <v>44.442824019069441</v>
      </c>
      <c r="J2374" s="5">
        <v>46.94008016189445</v>
      </c>
      <c r="K2374" s="5">
        <v>82</v>
      </c>
    </row>
    <row r="2375" spans="1:11" x14ac:dyDescent="0.25">
      <c r="A2375" s="2">
        <v>46196.333333333343</v>
      </c>
      <c r="B2375" t="str">
        <f t="shared" si="74"/>
        <v>2026-06</v>
      </c>
      <c r="C2375" s="3">
        <f t="shared" si="75"/>
        <v>8</v>
      </c>
      <c r="D2375" s="4">
        <v>27.99581295966389</v>
      </c>
      <c r="E2375" s="4">
        <v>28.627476619252779</v>
      </c>
      <c r="F2375" s="4">
        <v>29.191957580163891</v>
      </c>
      <c r="G2375" s="4">
        <v>21.6</v>
      </c>
      <c r="H2375" s="5">
        <v>43.614492647694448</v>
      </c>
      <c r="I2375" s="5">
        <v>43.890888172486108</v>
      </c>
      <c r="J2375" s="5">
        <v>46.715346449658327</v>
      </c>
      <c r="K2375" s="5">
        <v>71</v>
      </c>
    </row>
    <row r="2376" spans="1:11" x14ac:dyDescent="0.25">
      <c r="A2376" s="2">
        <v>46196.375</v>
      </c>
      <c r="B2376" t="str">
        <f t="shared" si="74"/>
        <v>2026-06</v>
      </c>
      <c r="C2376" s="3">
        <f t="shared" si="75"/>
        <v>9</v>
      </c>
      <c r="D2376" s="4">
        <v>26.367048077505562</v>
      </c>
      <c r="E2376" s="4">
        <v>28.33524758453056</v>
      </c>
      <c r="F2376" s="4">
        <v>29.183600228330558</v>
      </c>
      <c r="G2376" s="4">
        <v>22.4</v>
      </c>
      <c r="H2376" s="5">
        <v>36.541771813527781</v>
      </c>
      <c r="I2376" s="5">
        <v>36.379084400538893</v>
      </c>
      <c r="J2376" s="5">
        <v>46.348680301491662</v>
      </c>
      <c r="K2376" s="5">
        <v>67</v>
      </c>
    </row>
    <row r="2377" spans="1:11" x14ac:dyDescent="0.25">
      <c r="A2377" s="2">
        <v>46196.416666666657</v>
      </c>
      <c r="B2377" t="str">
        <f t="shared" si="74"/>
        <v>2026-06</v>
      </c>
      <c r="C2377" s="3">
        <f t="shared" si="75"/>
        <v>10</v>
      </c>
      <c r="D2377" s="4">
        <v>25.986309372547229</v>
      </c>
      <c r="E2377" s="4">
        <v>27.83938168312222</v>
      </c>
      <c r="F2377" s="4">
        <v>29.125752632899999</v>
      </c>
      <c r="G2377" s="4">
        <v>23.2</v>
      </c>
      <c r="H2377" s="5">
        <v>36.002295490013893</v>
      </c>
      <c r="I2377" s="5">
        <v>34.760839512547221</v>
      </c>
      <c r="J2377" s="5">
        <v>45.805607121041668</v>
      </c>
      <c r="K2377" s="5">
        <v>63</v>
      </c>
    </row>
    <row r="2378" spans="1:11" x14ac:dyDescent="0.25">
      <c r="A2378" s="2">
        <v>46196.458333333343</v>
      </c>
      <c r="B2378" t="str">
        <f t="shared" si="74"/>
        <v>2026-06</v>
      </c>
      <c r="C2378" s="3">
        <f t="shared" si="75"/>
        <v>11</v>
      </c>
      <c r="D2378" s="4">
        <v>26.06537102815556</v>
      </c>
      <c r="E2378" s="4">
        <v>27.958541638619451</v>
      </c>
      <c r="F2378" s="4">
        <v>29.084159430275001</v>
      </c>
      <c r="G2378" s="4">
        <v>24.8</v>
      </c>
      <c r="H2378" s="5">
        <v>38.243241640377782</v>
      </c>
      <c r="I2378" s="5">
        <v>36.530128034108337</v>
      </c>
      <c r="J2378" s="5">
        <v>45.547497561130562</v>
      </c>
      <c r="K2378" s="5">
        <v>57</v>
      </c>
    </row>
    <row r="2379" spans="1:11" x14ac:dyDescent="0.25">
      <c r="A2379" s="2">
        <v>46196.5</v>
      </c>
      <c r="B2379" t="str">
        <f t="shared" si="74"/>
        <v>2026-06</v>
      </c>
      <c r="C2379" s="3">
        <f t="shared" si="75"/>
        <v>12</v>
      </c>
      <c r="D2379" s="4">
        <v>26.021931256319441</v>
      </c>
      <c r="E2379" s="4">
        <v>27.751623633499999</v>
      </c>
      <c r="F2379" s="4">
        <v>29.015373092766669</v>
      </c>
      <c r="G2379" s="4">
        <v>25.9</v>
      </c>
      <c r="H2379" s="5">
        <v>41.407762022680551</v>
      </c>
      <c r="I2379" s="5">
        <v>38.114256101330561</v>
      </c>
      <c r="J2379" s="5">
        <v>45.924701152416667</v>
      </c>
      <c r="K2379" s="5">
        <v>51</v>
      </c>
    </row>
    <row r="2380" spans="1:11" x14ac:dyDescent="0.25">
      <c r="A2380" s="2">
        <v>46196.541666666657</v>
      </c>
      <c r="B2380" t="str">
        <f t="shared" si="74"/>
        <v>2026-06</v>
      </c>
      <c r="C2380" s="3">
        <f t="shared" si="75"/>
        <v>13</v>
      </c>
      <c r="D2380" s="4">
        <v>27.109946454208341</v>
      </c>
      <c r="E2380" s="4">
        <v>27.948056987363891</v>
      </c>
      <c r="F2380" s="4">
        <v>29.189344988472229</v>
      </c>
      <c r="G2380" s="4">
        <v>26.8</v>
      </c>
      <c r="H2380" s="5">
        <v>45.789073712777771</v>
      </c>
      <c r="I2380" s="5">
        <v>43.149131098961107</v>
      </c>
      <c r="J2380" s="5">
        <v>46.528605562830563</v>
      </c>
      <c r="K2380" s="5">
        <v>48</v>
      </c>
    </row>
    <row r="2381" spans="1:11" x14ac:dyDescent="0.25">
      <c r="A2381" s="2">
        <v>46196.583333333343</v>
      </c>
      <c r="B2381" t="str">
        <f t="shared" si="74"/>
        <v>2026-06</v>
      </c>
      <c r="C2381" s="3">
        <f t="shared" si="75"/>
        <v>14</v>
      </c>
      <c r="D2381" s="4">
        <v>26.724989547658328</v>
      </c>
      <c r="E2381" s="4">
        <v>27.899977050127781</v>
      </c>
      <c r="F2381" s="4">
        <v>29.21796135020556</v>
      </c>
      <c r="G2381" s="4">
        <v>27.4</v>
      </c>
      <c r="H2381" s="5">
        <v>44.399848574661121</v>
      </c>
      <c r="I2381" s="5">
        <v>41.831582083547232</v>
      </c>
      <c r="J2381" s="5">
        <v>47.235000080230563</v>
      </c>
      <c r="K2381" s="5">
        <v>44</v>
      </c>
    </row>
    <row r="2382" spans="1:11" x14ac:dyDescent="0.25">
      <c r="A2382" s="2">
        <v>46196.625</v>
      </c>
      <c r="B2382" t="str">
        <f t="shared" si="74"/>
        <v>2026-06</v>
      </c>
      <c r="C2382" s="3">
        <f t="shared" si="75"/>
        <v>15</v>
      </c>
      <c r="D2382" s="4">
        <v>26.04064199669444</v>
      </c>
      <c r="E2382" s="4">
        <v>27.67013354541389</v>
      </c>
      <c r="F2382" s="4">
        <v>28.898362528216669</v>
      </c>
      <c r="G2382" s="4">
        <v>28</v>
      </c>
      <c r="H2382" s="5">
        <v>39.485194387438888</v>
      </c>
      <c r="I2382" s="5">
        <v>37.480688144716659</v>
      </c>
      <c r="J2382" s="5">
        <v>45.569632983097222</v>
      </c>
      <c r="K2382" s="5">
        <v>42</v>
      </c>
    </row>
    <row r="2383" spans="1:11" x14ac:dyDescent="0.25">
      <c r="A2383" s="2">
        <v>46196.666666666657</v>
      </c>
      <c r="B2383" t="str">
        <f t="shared" si="74"/>
        <v>2026-06</v>
      </c>
      <c r="C2383" s="3">
        <f t="shared" si="75"/>
        <v>16</v>
      </c>
      <c r="D2383" s="4">
        <v>27.23773639631667</v>
      </c>
      <c r="E2383" s="4">
        <v>28.12355122753889</v>
      </c>
      <c r="F2383" s="4">
        <v>29.209552486094442</v>
      </c>
      <c r="G2383" s="4">
        <v>28.1</v>
      </c>
      <c r="H2383" s="5">
        <v>41.631203231577778</v>
      </c>
      <c r="I2383" s="5">
        <v>39.663549765494452</v>
      </c>
      <c r="J2383" s="5">
        <v>45.829669405861097</v>
      </c>
      <c r="K2383" s="5">
        <v>40</v>
      </c>
    </row>
    <row r="2384" spans="1:11" x14ac:dyDescent="0.25">
      <c r="A2384" s="2">
        <v>46196.708333333343</v>
      </c>
      <c r="B2384" t="str">
        <f t="shared" si="74"/>
        <v>2026-06</v>
      </c>
      <c r="C2384" s="3">
        <f t="shared" si="75"/>
        <v>17</v>
      </c>
      <c r="D2384" s="4">
        <v>26.103424950938891</v>
      </c>
      <c r="E2384" s="4">
        <v>27.80736904998334</v>
      </c>
      <c r="F2384" s="4">
        <v>29.323849088144438</v>
      </c>
      <c r="G2384" s="4">
        <v>28</v>
      </c>
      <c r="H2384" s="5">
        <v>36.886749927197222</v>
      </c>
      <c r="I2384" s="5">
        <v>36.029106378808329</v>
      </c>
      <c r="J2384" s="5">
        <v>45.49250693495555</v>
      </c>
      <c r="K2384" s="5">
        <v>39</v>
      </c>
    </row>
    <row r="2385" spans="1:11" x14ac:dyDescent="0.25">
      <c r="A2385" s="2">
        <v>46196.75</v>
      </c>
      <c r="B2385" t="str">
        <f t="shared" si="74"/>
        <v>2026-06</v>
      </c>
      <c r="C2385" s="3">
        <f t="shared" si="75"/>
        <v>18</v>
      </c>
      <c r="D2385" s="4">
        <v>26.709250747877771</v>
      </c>
      <c r="E2385" s="4">
        <v>27.746302567041671</v>
      </c>
      <c r="F2385" s="4">
        <v>29.294609541691671</v>
      </c>
      <c r="G2385" s="4">
        <v>27.6</v>
      </c>
      <c r="H2385" s="5">
        <v>36.993077934569442</v>
      </c>
      <c r="I2385" s="5">
        <v>36.027123699316668</v>
      </c>
      <c r="J2385" s="5">
        <v>44.966071551786122</v>
      </c>
      <c r="K2385" s="5">
        <v>41</v>
      </c>
    </row>
    <row r="2386" spans="1:11" x14ac:dyDescent="0.25">
      <c r="A2386" s="2">
        <v>46196.791666666657</v>
      </c>
      <c r="B2386" t="str">
        <f t="shared" si="74"/>
        <v>2026-06</v>
      </c>
      <c r="C2386" s="3">
        <f t="shared" si="75"/>
        <v>19</v>
      </c>
      <c r="D2386" s="4">
        <v>26.640360270691669</v>
      </c>
      <c r="E2386" s="4">
        <v>27.886772823141669</v>
      </c>
      <c r="F2386" s="4">
        <v>29.272171006383331</v>
      </c>
      <c r="G2386" s="4">
        <v>26.6</v>
      </c>
      <c r="H2386" s="5">
        <v>37.467000335127778</v>
      </c>
      <c r="I2386" s="5">
        <v>37.648312230475</v>
      </c>
      <c r="J2386" s="5">
        <v>45.028310569855563</v>
      </c>
      <c r="K2386" s="5">
        <v>44</v>
      </c>
    </row>
    <row r="2387" spans="1:11" x14ac:dyDescent="0.25">
      <c r="A2387" s="2">
        <v>46196.833333333343</v>
      </c>
      <c r="B2387" t="str">
        <f t="shared" si="74"/>
        <v>2026-06</v>
      </c>
      <c r="C2387" s="3">
        <f t="shared" si="75"/>
        <v>20</v>
      </c>
      <c r="D2387" s="4">
        <v>24.90267260790278</v>
      </c>
      <c r="E2387" s="4">
        <v>26.992728378974999</v>
      </c>
      <c r="F2387" s="4">
        <v>29.006639772505551</v>
      </c>
      <c r="G2387" s="4">
        <v>25.6</v>
      </c>
      <c r="H2387" s="5">
        <v>34.953631748566671</v>
      </c>
      <c r="I2387" s="5">
        <v>33.283816078733338</v>
      </c>
      <c r="J2387" s="5">
        <v>43.116253607480559</v>
      </c>
      <c r="K2387" s="5">
        <v>49</v>
      </c>
    </row>
    <row r="2388" spans="1:11" x14ac:dyDescent="0.25">
      <c r="A2388" s="2">
        <v>46196.875</v>
      </c>
      <c r="B2388" t="str">
        <f t="shared" si="74"/>
        <v>2026-06</v>
      </c>
      <c r="C2388" s="3">
        <f t="shared" si="75"/>
        <v>21</v>
      </c>
      <c r="D2388" s="4">
        <v>26.246078958930561</v>
      </c>
      <c r="E2388" s="4">
        <v>27.102478001811111</v>
      </c>
      <c r="F2388" s="4">
        <v>29.131490845891669</v>
      </c>
      <c r="G2388" s="4">
        <v>24.6</v>
      </c>
      <c r="H2388" s="5">
        <v>38.964317361249996</v>
      </c>
      <c r="I2388" s="5">
        <v>37.707077095661113</v>
      </c>
      <c r="J2388" s="5">
        <v>43.655136462702778</v>
      </c>
      <c r="K2388" s="5">
        <v>54</v>
      </c>
    </row>
    <row r="2389" spans="1:11" x14ac:dyDescent="0.25">
      <c r="A2389" s="2">
        <v>46196.916666666657</v>
      </c>
      <c r="B2389" t="str">
        <f t="shared" si="74"/>
        <v>2026-06</v>
      </c>
      <c r="C2389" s="3">
        <f t="shared" si="75"/>
        <v>22</v>
      </c>
      <c r="D2389" s="4">
        <v>25.932837471936111</v>
      </c>
      <c r="E2389" s="4">
        <v>27.22913652422778</v>
      </c>
      <c r="F2389" s="4">
        <v>29.121285614925</v>
      </c>
      <c r="G2389" s="4">
        <v>23.8</v>
      </c>
      <c r="H2389" s="5">
        <v>39.05189577863333</v>
      </c>
      <c r="I2389" s="5">
        <v>37.63832004115833</v>
      </c>
      <c r="J2389" s="5">
        <v>43.836001117252778</v>
      </c>
      <c r="K2389" s="5">
        <v>58</v>
      </c>
    </row>
    <row r="2390" spans="1:11" x14ac:dyDescent="0.25">
      <c r="A2390" s="2">
        <v>46196.958333333343</v>
      </c>
      <c r="B2390" t="str">
        <f t="shared" si="74"/>
        <v>2026-06</v>
      </c>
      <c r="C2390" s="3">
        <f t="shared" si="75"/>
        <v>23</v>
      </c>
      <c r="D2390" s="4">
        <v>25.41215237194444</v>
      </c>
      <c r="E2390" s="4">
        <v>27.147129438166669</v>
      </c>
      <c r="F2390" s="4">
        <v>28.23673553268889</v>
      </c>
      <c r="G2390" s="4">
        <v>22.7</v>
      </c>
      <c r="H2390" s="5">
        <v>37.344071923605561</v>
      </c>
      <c r="I2390" s="5">
        <v>36.594452882141667</v>
      </c>
      <c r="J2390" s="5">
        <v>42.624404270266673</v>
      </c>
      <c r="K2390" s="5">
        <v>61</v>
      </c>
    </row>
    <row r="2391" spans="1:11" x14ac:dyDescent="0.25">
      <c r="A2391" s="2">
        <v>46197</v>
      </c>
      <c r="B2391" t="str">
        <f t="shared" si="74"/>
        <v>2026-06</v>
      </c>
      <c r="C2391" s="3">
        <f t="shared" si="75"/>
        <v>0</v>
      </c>
      <c r="D2391" s="4">
        <v>25.392683111783331</v>
      </c>
      <c r="E2391" s="4">
        <v>26.75200962778889</v>
      </c>
      <c r="F2391" s="4">
        <v>28.701815506283332</v>
      </c>
      <c r="G2391" s="4">
        <v>22</v>
      </c>
      <c r="H2391" s="5">
        <v>37.924450860933327</v>
      </c>
      <c r="I2391" s="5">
        <v>37.327579094683337</v>
      </c>
      <c r="J2391" s="5">
        <v>43.803475210847218</v>
      </c>
      <c r="K2391" s="5">
        <v>61</v>
      </c>
    </row>
    <row r="2392" spans="1:11" x14ac:dyDescent="0.25">
      <c r="A2392" s="2">
        <v>46197.041666666657</v>
      </c>
      <c r="B2392" t="str">
        <f t="shared" si="74"/>
        <v>2026-06</v>
      </c>
      <c r="C2392" s="3">
        <f t="shared" si="75"/>
        <v>1</v>
      </c>
      <c r="D2392" s="4">
        <v>24.51388518841944</v>
      </c>
      <c r="E2392" s="4">
        <v>26.35760654077778</v>
      </c>
      <c r="F2392" s="4">
        <v>28.84291358226389</v>
      </c>
      <c r="G2392" s="4">
        <v>21.2</v>
      </c>
      <c r="H2392" s="5">
        <v>34.932837908283339</v>
      </c>
      <c r="I2392" s="5">
        <v>33.603391724886109</v>
      </c>
      <c r="J2392" s="5">
        <v>42.865753769236107</v>
      </c>
      <c r="K2392" s="5">
        <v>58</v>
      </c>
    </row>
    <row r="2393" spans="1:11" x14ac:dyDescent="0.25">
      <c r="A2393" s="2">
        <v>46197.083333333343</v>
      </c>
      <c r="B2393" t="str">
        <f t="shared" si="74"/>
        <v>2026-06</v>
      </c>
      <c r="C2393" s="3">
        <f t="shared" si="75"/>
        <v>2</v>
      </c>
      <c r="D2393" s="4">
        <v>25.903364930383329</v>
      </c>
      <c r="E2393" s="4">
        <v>26.72834771300278</v>
      </c>
      <c r="F2393" s="4">
        <v>29.03347839358333</v>
      </c>
      <c r="G2393" s="4">
        <v>20.2</v>
      </c>
      <c r="H2393" s="5">
        <v>38.58672298669444</v>
      </c>
      <c r="I2393" s="5">
        <v>37.239981580227777</v>
      </c>
      <c r="J2393" s="5">
        <v>43.293228818836113</v>
      </c>
      <c r="K2393" s="5">
        <v>53</v>
      </c>
    </row>
    <row r="2394" spans="1:11" x14ac:dyDescent="0.25">
      <c r="A2394" s="2">
        <v>46197.125</v>
      </c>
      <c r="B2394" t="str">
        <f t="shared" si="74"/>
        <v>2026-06</v>
      </c>
      <c r="C2394" s="3">
        <f t="shared" si="75"/>
        <v>3</v>
      </c>
      <c r="D2394" s="4">
        <v>26.363495520138891</v>
      </c>
      <c r="E2394" s="4">
        <v>26.910879051944441</v>
      </c>
      <c r="F2394" s="4">
        <v>29.089109794363889</v>
      </c>
      <c r="G2394" s="4">
        <v>18.899999999999999</v>
      </c>
      <c r="H2394" s="5">
        <v>37.585773782522217</v>
      </c>
      <c r="I2394" s="5">
        <v>37.314475249422223</v>
      </c>
      <c r="J2394" s="5">
        <v>43.533702038408343</v>
      </c>
      <c r="K2394" s="5">
        <v>56</v>
      </c>
    </row>
    <row r="2395" spans="1:11" x14ac:dyDescent="0.25">
      <c r="A2395" s="2">
        <v>46197.166666666657</v>
      </c>
      <c r="B2395" t="str">
        <f t="shared" si="74"/>
        <v>2026-06</v>
      </c>
      <c r="C2395" s="3">
        <f t="shared" si="75"/>
        <v>4</v>
      </c>
      <c r="D2395" s="4">
        <v>26.420542489288891</v>
      </c>
      <c r="E2395" s="4">
        <v>26.91911308672778</v>
      </c>
      <c r="F2395" s="4">
        <v>29.101192153241669</v>
      </c>
      <c r="G2395" s="4">
        <v>18</v>
      </c>
      <c r="H2395" s="5">
        <v>36.104894574163893</v>
      </c>
      <c r="I2395" s="5">
        <v>36.618892273811113</v>
      </c>
      <c r="J2395" s="5">
        <v>43.590535220222222</v>
      </c>
      <c r="K2395" s="5">
        <v>56</v>
      </c>
    </row>
    <row r="2396" spans="1:11" x14ac:dyDescent="0.25">
      <c r="A2396" s="2">
        <v>46197.208333333343</v>
      </c>
      <c r="B2396" t="str">
        <f t="shared" si="74"/>
        <v>2026-06</v>
      </c>
      <c r="C2396" s="3">
        <f t="shared" si="75"/>
        <v>5</v>
      </c>
      <c r="D2396" s="4">
        <v>26.579094158922221</v>
      </c>
      <c r="E2396" s="4">
        <v>27.093147069425001</v>
      </c>
      <c r="F2396" s="4">
        <v>29.105346770324999</v>
      </c>
      <c r="G2396" s="4">
        <v>17.3</v>
      </c>
      <c r="H2396" s="5">
        <v>35.520220940119437</v>
      </c>
      <c r="I2396" s="5">
        <v>36.368210409272223</v>
      </c>
      <c r="J2396" s="5">
        <v>43.673967475016667</v>
      </c>
      <c r="K2396" s="5">
        <v>57</v>
      </c>
    </row>
    <row r="2397" spans="1:11" x14ac:dyDescent="0.25">
      <c r="A2397" s="2">
        <v>46197.25</v>
      </c>
      <c r="B2397" t="str">
        <f t="shared" si="74"/>
        <v>2026-06</v>
      </c>
      <c r="C2397" s="3">
        <f t="shared" si="75"/>
        <v>6</v>
      </c>
      <c r="D2397" s="4">
        <v>27.064836825436121</v>
      </c>
      <c r="E2397" s="4">
        <v>27.446668447480558</v>
      </c>
      <c r="F2397" s="4">
        <v>29.13299903488333</v>
      </c>
      <c r="G2397" s="4">
        <v>18</v>
      </c>
      <c r="H2397" s="5">
        <v>34.864452821855558</v>
      </c>
      <c r="I2397" s="5">
        <v>36.197341103697227</v>
      </c>
      <c r="J2397" s="5">
        <v>43.722458351238892</v>
      </c>
      <c r="K2397" s="5">
        <v>55</v>
      </c>
    </row>
    <row r="2398" spans="1:11" x14ac:dyDescent="0.25">
      <c r="A2398" s="2">
        <v>46197.291666666657</v>
      </c>
      <c r="B2398" t="str">
        <f t="shared" si="74"/>
        <v>2026-06</v>
      </c>
      <c r="C2398" s="3">
        <f t="shared" si="75"/>
        <v>7</v>
      </c>
      <c r="D2398" s="4">
        <v>27.66949450058333</v>
      </c>
      <c r="E2398" s="4">
        <v>28.224188763669439</v>
      </c>
      <c r="F2398" s="4">
        <v>29.163191365519442</v>
      </c>
      <c r="G2398" s="4">
        <v>19.399999999999999</v>
      </c>
      <c r="H2398" s="5">
        <v>34.113408040622232</v>
      </c>
      <c r="I2398" s="5">
        <v>34.780477738452781</v>
      </c>
      <c r="J2398" s="5">
        <v>43.70259650660833</v>
      </c>
      <c r="K2398" s="5">
        <v>50</v>
      </c>
    </row>
    <row r="2399" spans="1:11" x14ac:dyDescent="0.25">
      <c r="A2399" s="2">
        <v>46197.333333333343</v>
      </c>
      <c r="B2399" t="str">
        <f t="shared" si="74"/>
        <v>2026-06</v>
      </c>
      <c r="C2399" s="3">
        <f t="shared" si="75"/>
        <v>8</v>
      </c>
      <c r="D2399" s="4">
        <v>28.448612736008339</v>
      </c>
      <c r="E2399" s="4">
        <v>28.798508144519449</v>
      </c>
      <c r="F2399" s="4">
        <v>29.217649729363892</v>
      </c>
      <c r="G2399" s="4">
        <v>21.6</v>
      </c>
      <c r="H2399" s="5">
        <v>34.200083741411113</v>
      </c>
      <c r="I2399" s="5">
        <v>33.397539696674997</v>
      </c>
      <c r="J2399" s="5">
        <v>43.764287179941668</v>
      </c>
      <c r="K2399" s="5">
        <v>41</v>
      </c>
    </row>
    <row r="2400" spans="1:11" x14ac:dyDescent="0.25">
      <c r="A2400" s="2">
        <v>46197.375</v>
      </c>
      <c r="B2400" t="str">
        <f t="shared" si="74"/>
        <v>2026-06</v>
      </c>
      <c r="C2400" s="3">
        <f t="shared" si="75"/>
        <v>9</v>
      </c>
      <c r="D2400" s="4">
        <v>29.510618890483329</v>
      </c>
      <c r="E2400" s="4">
        <v>29.138008635252781</v>
      </c>
      <c r="F2400" s="4">
        <v>29.28189773573056</v>
      </c>
      <c r="G2400" s="4">
        <v>23.9</v>
      </c>
      <c r="H2400" s="5">
        <v>32.700078469563891</v>
      </c>
      <c r="I2400" s="5">
        <v>32.236025680483337</v>
      </c>
      <c r="J2400" s="5">
        <v>43.806334496619449</v>
      </c>
      <c r="K2400" s="5">
        <v>33</v>
      </c>
    </row>
    <row r="2401" spans="1:11" x14ac:dyDescent="0.25">
      <c r="A2401" s="2">
        <v>46197.416666666657</v>
      </c>
      <c r="B2401" t="str">
        <f t="shared" si="74"/>
        <v>2026-06</v>
      </c>
      <c r="C2401" s="3">
        <f t="shared" si="75"/>
        <v>10</v>
      </c>
      <c r="D2401" s="4">
        <v>28.767970755022219</v>
      </c>
      <c r="E2401" s="4">
        <v>29.354721776733331</v>
      </c>
      <c r="F2401" s="4">
        <v>29.318485351280561</v>
      </c>
      <c r="G2401" s="4">
        <v>25.2</v>
      </c>
      <c r="H2401" s="5">
        <v>33.902702101405559</v>
      </c>
      <c r="I2401" s="5">
        <v>31.506013552197221</v>
      </c>
      <c r="J2401" s="5">
        <v>43.830094797133327</v>
      </c>
      <c r="K2401" s="5">
        <v>30</v>
      </c>
    </row>
    <row r="2402" spans="1:11" x14ac:dyDescent="0.25">
      <c r="A2402" s="2">
        <v>46197.458333333343</v>
      </c>
      <c r="B2402" t="str">
        <f t="shared" si="74"/>
        <v>2026-06</v>
      </c>
      <c r="C2402" s="3">
        <f t="shared" si="75"/>
        <v>11</v>
      </c>
      <c r="D2402" s="4">
        <v>27.325197254863891</v>
      </c>
      <c r="E2402" s="4">
        <v>28.953612242230559</v>
      </c>
      <c r="F2402" s="4">
        <v>29.313724930002781</v>
      </c>
      <c r="G2402" s="4">
        <v>26.2</v>
      </c>
      <c r="H2402" s="5">
        <v>31.501873891491659</v>
      </c>
      <c r="I2402" s="5">
        <v>31.079456277722219</v>
      </c>
      <c r="J2402" s="5">
        <v>43.478304134727779</v>
      </c>
      <c r="K2402" s="5">
        <v>29</v>
      </c>
    </row>
    <row r="2403" spans="1:11" x14ac:dyDescent="0.25">
      <c r="A2403" s="2">
        <v>46197.5</v>
      </c>
      <c r="B2403" t="str">
        <f t="shared" si="74"/>
        <v>2026-06</v>
      </c>
      <c r="C2403" s="3">
        <f t="shared" si="75"/>
        <v>12</v>
      </c>
      <c r="D2403" s="4">
        <v>26.545515533349999</v>
      </c>
      <c r="E2403" s="4">
        <v>28.687460009980551</v>
      </c>
      <c r="F2403" s="4">
        <v>29.255528808936109</v>
      </c>
      <c r="G2403" s="4">
        <v>27</v>
      </c>
      <c r="H2403" s="5">
        <v>31.299556666936109</v>
      </c>
      <c r="I2403" s="5">
        <v>29.245041160866659</v>
      </c>
      <c r="J2403" s="5">
        <v>43.040842765883333</v>
      </c>
      <c r="K2403" s="5">
        <v>28</v>
      </c>
    </row>
    <row r="2404" spans="1:11" x14ac:dyDescent="0.25">
      <c r="A2404" s="2">
        <v>46197.541666666657</v>
      </c>
      <c r="B2404" t="str">
        <f t="shared" si="74"/>
        <v>2026-06</v>
      </c>
      <c r="C2404" s="3">
        <f t="shared" si="75"/>
        <v>13</v>
      </c>
      <c r="D2404" s="4">
        <v>27.58183904137222</v>
      </c>
      <c r="E2404" s="4">
        <v>28.866485222111109</v>
      </c>
      <c r="F2404" s="4">
        <v>29.27759718762222</v>
      </c>
      <c r="G2404" s="4">
        <v>27</v>
      </c>
      <c r="H2404" s="5">
        <v>35.324102840833334</v>
      </c>
      <c r="I2404" s="5">
        <v>34.047003224697221</v>
      </c>
      <c r="J2404" s="5">
        <v>43.333815360769442</v>
      </c>
      <c r="K2404" s="5">
        <v>29</v>
      </c>
    </row>
    <row r="2405" spans="1:11" x14ac:dyDescent="0.25">
      <c r="A2405" s="2">
        <v>46197.583333333343</v>
      </c>
      <c r="B2405" t="str">
        <f t="shared" si="74"/>
        <v>2026-06</v>
      </c>
      <c r="C2405" s="3">
        <f t="shared" si="75"/>
        <v>14</v>
      </c>
      <c r="D2405" s="4">
        <v>27.161494108866659</v>
      </c>
      <c r="E2405" s="4">
        <v>28.451836494430559</v>
      </c>
      <c r="F2405" s="4">
        <v>29.29976482601667</v>
      </c>
      <c r="G2405" s="4">
        <v>26.8</v>
      </c>
      <c r="H2405" s="5">
        <v>34.102035976949999</v>
      </c>
      <c r="I2405" s="5">
        <v>33.299871192049999</v>
      </c>
      <c r="J2405" s="5">
        <v>43.459910112724998</v>
      </c>
      <c r="K2405" s="5">
        <v>30</v>
      </c>
    </row>
    <row r="2406" spans="1:11" x14ac:dyDescent="0.25">
      <c r="A2406" s="2">
        <v>46197.625</v>
      </c>
      <c r="B2406" t="str">
        <f t="shared" si="74"/>
        <v>2026-06</v>
      </c>
      <c r="C2406" s="3">
        <f t="shared" si="75"/>
        <v>15</v>
      </c>
      <c r="D2406" s="4">
        <v>25.350915359013889</v>
      </c>
      <c r="E2406" s="4">
        <v>27.82399620887778</v>
      </c>
      <c r="F2406" s="4">
        <v>28.89826409000278</v>
      </c>
      <c r="G2406" s="4">
        <v>27.5</v>
      </c>
      <c r="H2406" s="5">
        <v>32.528373618694452</v>
      </c>
      <c r="I2406" s="5">
        <v>31.04498136094444</v>
      </c>
      <c r="J2406" s="5">
        <v>41.563083700216659</v>
      </c>
      <c r="K2406" s="5">
        <v>29</v>
      </c>
    </row>
    <row r="2407" spans="1:11" x14ac:dyDescent="0.25">
      <c r="A2407" s="2">
        <v>46197.666666666657</v>
      </c>
      <c r="B2407" t="str">
        <f t="shared" si="74"/>
        <v>2026-06</v>
      </c>
      <c r="C2407" s="3">
        <f t="shared" si="75"/>
        <v>16</v>
      </c>
      <c r="D2407" s="4">
        <v>25.48414622136389</v>
      </c>
      <c r="E2407" s="4">
        <v>27.884415499291659</v>
      </c>
      <c r="F2407" s="4">
        <v>28.996906664527771</v>
      </c>
      <c r="G2407" s="4">
        <v>27.5</v>
      </c>
      <c r="H2407" s="5">
        <v>33.708827555708332</v>
      </c>
      <c r="I2407" s="5">
        <v>31.81748490326666</v>
      </c>
      <c r="J2407" s="5">
        <v>41.72697488431389</v>
      </c>
      <c r="K2407" s="5">
        <v>29</v>
      </c>
    </row>
    <row r="2408" spans="1:11" x14ac:dyDescent="0.25">
      <c r="A2408" s="2">
        <v>46197.708333333343</v>
      </c>
      <c r="B2408" t="str">
        <f t="shared" si="74"/>
        <v>2026-06</v>
      </c>
      <c r="C2408" s="3">
        <f t="shared" si="75"/>
        <v>17</v>
      </c>
      <c r="D2408" s="4">
        <v>25.747983422177779</v>
      </c>
      <c r="E2408" s="4">
        <v>27.884276975738889</v>
      </c>
      <c r="F2408" s="4">
        <v>29.152779199297221</v>
      </c>
      <c r="G2408" s="4">
        <v>27.3</v>
      </c>
      <c r="H2408" s="5">
        <v>33.69800407799444</v>
      </c>
      <c r="I2408" s="5">
        <v>32.154720370213887</v>
      </c>
      <c r="J2408" s="5">
        <v>41.255636298266673</v>
      </c>
      <c r="K2408" s="5">
        <v>30</v>
      </c>
    </row>
    <row r="2409" spans="1:11" x14ac:dyDescent="0.25">
      <c r="A2409" s="2">
        <v>46197.75</v>
      </c>
      <c r="B2409" t="str">
        <f t="shared" si="74"/>
        <v>2026-06</v>
      </c>
      <c r="C2409" s="3">
        <f t="shared" si="75"/>
        <v>18</v>
      </c>
      <c r="D2409" s="4">
        <v>26.063975892275</v>
      </c>
      <c r="E2409" s="4">
        <v>27.70175313009722</v>
      </c>
      <c r="F2409" s="4">
        <v>29.10550811114167</v>
      </c>
      <c r="G2409" s="4">
        <v>27</v>
      </c>
      <c r="H2409" s="5">
        <v>34.719565562594447</v>
      </c>
      <c r="I2409" s="5">
        <v>33.810164680708333</v>
      </c>
      <c r="J2409" s="5">
        <v>41.50583354206389</v>
      </c>
      <c r="K2409" s="5">
        <v>30</v>
      </c>
    </row>
    <row r="2410" spans="1:11" x14ac:dyDescent="0.25">
      <c r="A2410" s="2">
        <v>46197.791666666657</v>
      </c>
      <c r="B2410" t="str">
        <f t="shared" si="74"/>
        <v>2026-06</v>
      </c>
      <c r="C2410" s="3">
        <f t="shared" si="75"/>
        <v>19</v>
      </c>
      <c r="D2410" s="4">
        <v>25.963794446338891</v>
      </c>
      <c r="E2410" s="4">
        <v>27.46841994303611</v>
      </c>
      <c r="F2410" s="4">
        <v>29.142406423638889</v>
      </c>
      <c r="G2410" s="4">
        <v>26.5</v>
      </c>
      <c r="H2410" s="5">
        <v>37.982300424347223</v>
      </c>
      <c r="I2410" s="5">
        <v>35.970555266894451</v>
      </c>
      <c r="J2410" s="5">
        <v>41.880060397466657</v>
      </c>
      <c r="K2410" s="5">
        <v>32</v>
      </c>
    </row>
    <row r="2411" spans="1:11" x14ac:dyDescent="0.25">
      <c r="A2411" s="2">
        <v>46197.833333333343</v>
      </c>
      <c r="B2411" t="str">
        <f t="shared" si="74"/>
        <v>2026-06</v>
      </c>
      <c r="C2411" s="3">
        <f t="shared" si="75"/>
        <v>20</v>
      </c>
      <c r="D2411" s="4">
        <v>25.399428761766671</v>
      </c>
      <c r="E2411" s="4">
        <v>27.36948857754167</v>
      </c>
      <c r="F2411" s="4">
        <v>29.25191040046111</v>
      </c>
      <c r="G2411" s="4">
        <v>25.9</v>
      </c>
      <c r="H2411" s="5">
        <v>38.261772038355552</v>
      </c>
      <c r="I2411" s="5">
        <v>37.022772548341663</v>
      </c>
      <c r="J2411" s="5">
        <v>43.368726644166657</v>
      </c>
      <c r="K2411" s="5">
        <v>34</v>
      </c>
    </row>
    <row r="2412" spans="1:11" x14ac:dyDescent="0.25">
      <c r="A2412" s="2">
        <v>46197.875</v>
      </c>
      <c r="B2412" t="str">
        <f t="shared" si="74"/>
        <v>2026-06</v>
      </c>
      <c r="C2412" s="3">
        <f t="shared" si="75"/>
        <v>21</v>
      </c>
      <c r="D2412" s="4">
        <v>25.286933023349999</v>
      </c>
      <c r="E2412" s="4">
        <v>27.121404626255561</v>
      </c>
      <c r="F2412" s="4">
        <v>29.14582797415833</v>
      </c>
      <c r="G2412" s="4">
        <v>25.1</v>
      </c>
      <c r="H2412" s="5">
        <v>39.565492742591672</v>
      </c>
      <c r="I2412" s="5">
        <v>38.074856570836111</v>
      </c>
      <c r="J2412" s="5">
        <v>42.535485464966662</v>
      </c>
      <c r="K2412" s="5">
        <v>35</v>
      </c>
    </row>
    <row r="2413" spans="1:11" x14ac:dyDescent="0.25">
      <c r="A2413" s="2">
        <v>46197.916666666657</v>
      </c>
      <c r="B2413" t="str">
        <f t="shared" si="74"/>
        <v>2026-06</v>
      </c>
      <c r="C2413" s="3">
        <f t="shared" si="75"/>
        <v>22</v>
      </c>
      <c r="D2413" s="4">
        <v>26.632944346883331</v>
      </c>
      <c r="E2413" s="4">
        <v>27.743887657827781</v>
      </c>
      <c r="F2413" s="4">
        <v>29.172825420058331</v>
      </c>
      <c r="G2413" s="4">
        <v>24.6</v>
      </c>
      <c r="H2413" s="5">
        <v>42.328851522163887</v>
      </c>
      <c r="I2413" s="5">
        <v>41.118408367325003</v>
      </c>
      <c r="J2413" s="5">
        <v>44.278032325252767</v>
      </c>
      <c r="K2413" s="5">
        <v>43</v>
      </c>
    </row>
    <row r="2414" spans="1:11" x14ac:dyDescent="0.25">
      <c r="A2414" s="2">
        <v>46197.958333333343</v>
      </c>
      <c r="B2414" t="str">
        <f t="shared" si="74"/>
        <v>2026-06</v>
      </c>
      <c r="C2414" s="3">
        <f t="shared" si="75"/>
        <v>23</v>
      </c>
      <c r="D2414" s="4">
        <v>27.038335288075</v>
      </c>
      <c r="E2414" s="4">
        <v>27.700358394677771</v>
      </c>
      <c r="F2414" s="4">
        <v>29.199283705091659</v>
      </c>
      <c r="G2414" s="4">
        <v>24.1</v>
      </c>
      <c r="H2414" s="5">
        <v>43.268776379663883</v>
      </c>
      <c r="I2414" s="5">
        <v>43.166211618588903</v>
      </c>
      <c r="J2414" s="5">
        <v>44.820913560344451</v>
      </c>
      <c r="K2414" s="5">
        <v>42</v>
      </c>
    </row>
    <row r="2415" spans="1:11" x14ac:dyDescent="0.25">
      <c r="A2415" s="2">
        <v>46198</v>
      </c>
      <c r="B2415" t="str">
        <f t="shared" si="74"/>
        <v>2026-06</v>
      </c>
      <c r="C2415" s="3">
        <f t="shared" si="75"/>
        <v>0</v>
      </c>
      <c r="D2415" s="4">
        <v>27.122337100733329</v>
      </c>
      <c r="E2415" s="4">
        <v>27.641382468833331</v>
      </c>
      <c r="F2415" s="4">
        <v>29.33642551660278</v>
      </c>
      <c r="G2415" s="4">
        <v>23.2</v>
      </c>
      <c r="H2415" s="5">
        <v>42.724082171500008</v>
      </c>
      <c r="I2415" s="5">
        <v>43.831751028749999</v>
      </c>
      <c r="J2415" s="5">
        <v>44.484578272802771</v>
      </c>
      <c r="K2415" s="5">
        <v>44</v>
      </c>
    </row>
    <row r="2416" spans="1:11" x14ac:dyDescent="0.25">
      <c r="A2416" s="2">
        <v>46198.041666666657</v>
      </c>
      <c r="B2416" t="str">
        <f t="shared" si="74"/>
        <v>2026-06</v>
      </c>
      <c r="C2416" s="3">
        <f t="shared" si="75"/>
        <v>1</v>
      </c>
      <c r="D2416" s="4">
        <v>26.94400663458055</v>
      </c>
      <c r="E2416" s="4">
        <v>27.834346933733329</v>
      </c>
      <c r="F2416" s="4">
        <v>29.309850181455559</v>
      </c>
      <c r="G2416" s="4">
        <v>21.9</v>
      </c>
      <c r="H2416" s="5">
        <v>41.483223467052767</v>
      </c>
      <c r="I2416" s="5">
        <v>42.29869564006389</v>
      </c>
      <c r="J2416" s="5">
        <v>44.535283318216671</v>
      </c>
      <c r="K2416" s="5">
        <v>46</v>
      </c>
    </row>
    <row r="2417" spans="1:11" x14ac:dyDescent="0.25">
      <c r="A2417" s="2">
        <v>46198.083333333343</v>
      </c>
      <c r="B2417" t="str">
        <f t="shared" si="74"/>
        <v>2026-06</v>
      </c>
      <c r="C2417" s="3">
        <f t="shared" si="75"/>
        <v>2</v>
      </c>
      <c r="D2417" s="4">
        <v>25.354908466933331</v>
      </c>
      <c r="E2417" s="4">
        <v>27.512813991725</v>
      </c>
      <c r="F2417" s="4">
        <v>29.280653462802778</v>
      </c>
      <c r="G2417" s="4">
        <v>21.1</v>
      </c>
      <c r="H2417" s="5">
        <v>44.135441895688892</v>
      </c>
      <c r="I2417" s="5">
        <v>41.538875089952768</v>
      </c>
      <c r="J2417" s="5">
        <v>44.61253548882501</v>
      </c>
      <c r="K2417" s="5">
        <v>49</v>
      </c>
    </row>
    <row r="2418" spans="1:11" x14ac:dyDescent="0.25">
      <c r="A2418" s="2">
        <v>46198.125</v>
      </c>
      <c r="B2418" t="str">
        <f t="shared" si="74"/>
        <v>2026-06</v>
      </c>
      <c r="C2418" s="3">
        <f t="shared" si="75"/>
        <v>3</v>
      </c>
      <c r="D2418" s="4">
        <v>24.331534537900001</v>
      </c>
      <c r="E2418" s="4">
        <v>27.162296061177781</v>
      </c>
      <c r="F2418" s="4">
        <v>29.26762619811667</v>
      </c>
      <c r="G2418" s="4">
        <v>20.8</v>
      </c>
      <c r="H2418" s="5">
        <v>51.388165573458338</v>
      </c>
      <c r="I2418" s="5">
        <v>44.148740795225002</v>
      </c>
      <c r="J2418" s="5">
        <v>44.949420407669443</v>
      </c>
      <c r="K2418" s="5">
        <v>56</v>
      </c>
    </row>
    <row r="2419" spans="1:11" x14ac:dyDescent="0.25">
      <c r="A2419" s="2">
        <v>46198.166666666657</v>
      </c>
      <c r="B2419" t="str">
        <f t="shared" si="74"/>
        <v>2026-06</v>
      </c>
      <c r="C2419" s="3">
        <f t="shared" si="75"/>
        <v>4</v>
      </c>
      <c r="D2419" s="4">
        <v>24.078060457869441</v>
      </c>
      <c r="E2419" s="4">
        <v>27.03444501764444</v>
      </c>
      <c r="F2419" s="4">
        <v>29.238874827480551</v>
      </c>
      <c r="G2419" s="4">
        <v>20.2</v>
      </c>
      <c r="H2419" s="5">
        <v>53.252743592705549</v>
      </c>
      <c r="I2419" s="5">
        <v>45.261428507183332</v>
      </c>
      <c r="J2419" s="5">
        <v>45.563433315138887</v>
      </c>
      <c r="K2419" s="5">
        <v>58</v>
      </c>
    </row>
    <row r="2420" spans="1:11" x14ac:dyDescent="0.25">
      <c r="A2420" s="2">
        <v>46198.208333333343</v>
      </c>
      <c r="B2420" t="str">
        <f t="shared" si="74"/>
        <v>2026-06</v>
      </c>
      <c r="C2420" s="3">
        <f t="shared" si="75"/>
        <v>5</v>
      </c>
      <c r="D2420" s="4">
        <v>24.18548232270556</v>
      </c>
      <c r="E2420" s="4">
        <v>26.905229558244439</v>
      </c>
      <c r="F2420" s="4">
        <v>29.227638622505559</v>
      </c>
      <c r="G2420" s="4">
        <v>19.2</v>
      </c>
      <c r="H2420" s="5">
        <v>54.342669797888881</v>
      </c>
      <c r="I2420" s="5">
        <v>46.176661741416673</v>
      </c>
      <c r="J2420" s="5">
        <v>45.897731061736117</v>
      </c>
      <c r="K2420" s="5">
        <v>63</v>
      </c>
    </row>
    <row r="2421" spans="1:11" x14ac:dyDescent="0.25">
      <c r="A2421" s="2">
        <v>46198.25</v>
      </c>
      <c r="B2421" t="str">
        <f t="shared" si="74"/>
        <v>2026-06</v>
      </c>
      <c r="C2421" s="3">
        <f t="shared" si="75"/>
        <v>6</v>
      </c>
      <c r="D2421" s="4">
        <v>24.19326098875834</v>
      </c>
      <c r="E2421" s="4">
        <v>26.871858460375002</v>
      </c>
      <c r="F2421" s="4">
        <v>29.247639050627779</v>
      </c>
      <c r="G2421" s="4">
        <v>19.600000000000001</v>
      </c>
      <c r="H2421" s="5">
        <v>55.706622583138888</v>
      </c>
      <c r="I2421" s="5">
        <v>47.328230387752782</v>
      </c>
      <c r="J2421" s="5">
        <v>46.126027723738893</v>
      </c>
      <c r="K2421" s="5">
        <v>63</v>
      </c>
    </row>
    <row r="2422" spans="1:11" x14ac:dyDescent="0.25">
      <c r="A2422" s="2">
        <v>46198.291666666657</v>
      </c>
      <c r="B2422" t="str">
        <f t="shared" si="74"/>
        <v>2026-06</v>
      </c>
      <c r="C2422" s="3">
        <f t="shared" si="75"/>
        <v>7</v>
      </c>
      <c r="D2422" s="4">
        <v>24.349982935530559</v>
      </c>
      <c r="E2422" s="4">
        <v>27.018467665491659</v>
      </c>
      <c r="F2422" s="4">
        <v>29.237499803138888</v>
      </c>
      <c r="G2422" s="4">
        <v>20.2</v>
      </c>
      <c r="H2422" s="5">
        <v>54.906853358041673</v>
      </c>
      <c r="I2422" s="5">
        <v>47.126934415594441</v>
      </c>
      <c r="J2422" s="5">
        <v>46.441984822341681</v>
      </c>
      <c r="K2422" s="5">
        <v>61</v>
      </c>
    </row>
    <row r="2423" spans="1:11" x14ac:dyDescent="0.25">
      <c r="A2423" s="2">
        <v>46198.333333333343</v>
      </c>
      <c r="B2423" t="str">
        <f t="shared" si="74"/>
        <v>2026-06</v>
      </c>
      <c r="C2423" s="3">
        <f t="shared" si="75"/>
        <v>8</v>
      </c>
      <c r="D2423" s="4">
        <v>24.494720965433331</v>
      </c>
      <c r="E2423" s="4">
        <v>27.24558335886389</v>
      </c>
      <c r="F2423" s="4">
        <v>29.223917762766671</v>
      </c>
      <c r="G2423" s="4">
        <v>20</v>
      </c>
      <c r="H2423" s="5">
        <v>49.693620471647222</v>
      </c>
      <c r="I2423" s="5">
        <v>43.894213580986097</v>
      </c>
      <c r="J2423" s="5">
        <v>46.340743012702767</v>
      </c>
      <c r="K2423" s="5">
        <v>63</v>
      </c>
    </row>
    <row r="2424" spans="1:11" x14ac:dyDescent="0.25">
      <c r="A2424" s="2">
        <v>46198.375</v>
      </c>
      <c r="B2424" t="str">
        <f t="shared" si="74"/>
        <v>2026-06</v>
      </c>
      <c r="C2424" s="3">
        <f t="shared" si="75"/>
        <v>9</v>
      </c>
      <c r="D2424" s="4">
        <v>24.895301350391659</v>
      </c>
      <c r="E2424" s="4">
        <v>27.121497228900001</v>
      </c>
      <c r="F2424" s="4">
        <v>29.227652646627771</v>
      </c>
      <c r="G2424" s="4">
        <v>21.8</v>
      </c>
      <c r="H2424" s="5">
        <v>48.235534930177778</v>
      </c>
      <c r="I2424" s="5">
        <v>43.650450359427772</v>
      </c>
      <c r="J2424" s="5">
        <v>46.02957852743333</v>
      </c>
      <c r="K2424" s="5">
        <v>56</v>
      </c>
    </row>
    <row r="2425" spans="1:11" x14ac:dyDescent="0.25">
      <c r="A2425" s="2">
        <v>46198.416666666657</v>
      </c>
      <c r="B2425" t="str">
        <f t="shared" si="74"/>
        <v>2026-06</v>
      </c>
      <c r="C2425" s="3">
        <f t="shared" si="75"/>
        <v>10</v>
      </c>
      <c r="D2425" s="4">
        <v>25.243211290866661</v>
      </c>
      <c r="E2425" s="4">
        <v>27.192209174049999</v>
      </c>
      <c r="F2425" s="4">
        <v>29.22031951341944</v>
      </c>
      <c r="G2425" s="4">
        <v>23.4</v>
      </c>
      <c r="H2425" s="5">
        <v>46.202154838980562</v>
      </c>
      <c r="I2425" s="5">
        <v>42.834530486961121</v>
      </c>
      <c r="J2425" s="5">
        <v>45.876114959663887</v>
      </c>
      <c r="K2425" s="5">
        <v>48</v>
      </c>
    </row>
    <row r="2426" spans="1:11" x14ac:dyDescent="0.25">
      <c r="A2426" s="2">
        <v>46198.458333333343</v>
      </c>
      <c r="B2426" t="str">
        <f t="shared" si="74"/>
        <v>2026-06</v>
      </c>
      <c r="C2426" s="3">
        <f t="shared" si="75"/>
        <v>11</v>
      </c>
      <c r="D2426" s="4">
        <v>26.179230529158328</v>
      </c>
      <c r="E2426" s="4">
        <v>27.819659445483332</v>
      </c>
      <c r="F2426" s="4">
        <v>29.22802656487778</v>
      </c>
      <c r="G2426" s="4">
        <v>21.5</v>
      </c>
      <c r="H2426" s="5">
        <v>43.657763480486118</v>
      </c>
      <c r="I2426" s="5">
        <v>42.398622179797222</v>
      </c>
      <c r="J2426" s="5">
        <v>45.813585357508337</v>
      </c>
      <c r="K2426" s="5">
        <v>52</v>
      </c>
    </row>
    <row r="2427" spans="1:11" x14ac:dyDescent="0.25">
      <c r="A2427" s="2">
        <v>46198.5</v>
      </c>
      <c r="B2427" t="str">
        <f t="shared" si="74"/>
        <v>2026-06</v>
      </c>
      <c r="C2427" s="3">
        <f t="shared" si="75"/>
        <v>12</v>
      </c>
      <c r="D2427" s="4">
        <v>26.831751513975</v>
      </c>
      <c r="E2427" s="4">
        <v>28.098310048649999</v>
      </c>
      <c r="F2427" s="4">
        <v>29.246944443033328</v>
      </c>
      <c r="G2427" s="4">
        <v>23.9</v>
      </c>
      <c r="H2427" s="5">
        <v>40.932502561638891</v>
      </c>
      <c r="I2427" s="5">
        <v>41.380224421497218</v>
      </c>
      <c r="J2427" s="5">
        <v>45.818146952536118</v>
      </c>
      <c r="K2427" s="5">
        <v>41</v>
      </c>
    </row>
    <row r="2428" spans="1:11" x14ac:dyDescent="0.25">
      <c r="A2428" s="2">
        <v>46198.541666666657</v>
      </c>
      <c r="B2428" t="str">
        <f t="shared" si="74"/>
        <v>2026-06</v>
      </c>
      <c r="C2428" s="3">
        <f t="shared" si="75"/>
        <v>13</v>
      </c>
      <c r="D2428" s="4">
        <v>27.022259514891669</v>
      </c>
      <c r="E2428" s="4">
        <v>28.158497303033329</v>
      </c>
      <c r="F2428" s="4">
        <v>29.266111126249999</v>
      </c>
      <c r="G2428" s="4">
        <v>23.7</v>
      </c>
      <c r="H2428" s="5">
        <v>38.226071555919447</v>
      </c>
      <c r="I2428" s="5">
        <v>40.235018905350003</v>
      </c>
      <c r="J2428" s="5">
        <v>45.749786124597222</v>
      </c>
      <c r="K2428" s="5">
        <v>44</v>
      </c>
    </row>
    <row r="2429" spans="1:11" x14ac:dyDescent="0.25">
      <c r="A2429" s="2">
        <v>46198.583333333343</v>
      </c>
      <c r="B2429" t="str">
        <f t="shared" si="74"/>
        <v>2026-06</v>
      </c>
      <c r="C2429" s="3">
        <f t="shared" si="75"/>
        <v>14</v>
      </c>
      <c r="D2429" s="4">
        <v>26.955893317091672</v>
      </c>
      <c r="E2429" s="4">
        <v>28.14944722177778</v>
      </c>
      <c r="F2429" s="4">
        <v>29.25949229548889</v>
      </c>
      <c r="G2429" s="4">
        <v>24.5</v>
      </c>
      <c r="H2429" s="5">
        <v>34.601400051561107</v>
      </c>
      <c r="I2429" s="5">
        <v>38.120344317716658</v>
      </c>
      <c r="J2429" s="5">
        <v>45.320822254936111</v>
      </c>
      <c r="K2429" s="5">
        <v>44</v>
      </c>
    </row>
    <row r="2430" spans="1:11" x14ac:dyDescent="0.25">
      <c r="A2430" s="2">
        <v>46198.625</v>
      </c>
      <c r="B2430" t="str">
        <f t="shared" si="74"/>
        <v>2026-06</v>
      </c>
      <c r="C2430" s="3">
        <f t="shared" si="75"/>
        <v>15</v>
      </c>
      <c r="D2430" s="4">
        <v>27.036274029194441</v>
      </c>
      <c r="E2430" s="4">
        <v>28.342494689199999</v>
      </c>
      <c r="F2430" s="4">
        <v>29.206768129075002</v>
      </c>
      <c r="G2430" s="4">
        <v>24.9</v>
      </c>
      <c r="H2430" s="5">
        <v>33.510874635261111</v>
      </c>
      <c r="I2430" s="5">
        <v>38.134309624325013</v>
      </c>
      <c r="J2430" s="5">
        <v>44.50171068588611</v>
      </c>
      <c r="K2430" s="5">
        <v>43</v>
      </c>
    </row>
    <row r="2431" spans="1:11" x14ac:dyDescent="0.25">
      <c r="A2431" s="2">
        <v>46198.666666666657</v>
      </c>
      <c r="B2431" t="str">
        <f t="shared" si="74"/>
        <v>2026-06</v>
      </c>
      <c r="C2431" s="3">
        <f t="shared" si="75"/>
        <v>16</v>
      </c>
      <c r="D2431" s="4">
        <v>27.156059173961111</v>
      </c>
      <c r="E2431" s="4">
        <v>28.362034811825001</v>
      </c>
      <c r="F2431" s="4">
        <v>29.32033406945278</v>
      </c>
      <c r="G2431" s="4">
        <v>25</v>
      </c>
      <c r="H2431" s="5">
        <v>32.625704398458332</v>
      </c>
      <c r="I2431" s="5">
        <v>36.703292141049999</v>
      </c>
      <c r="J2431" s="5">
        <v>44.231245771897221</v>
      </c>
      <c r="K2431" s="5">
        <v>40</v>
      </c>
    </row>
    <row r="2432" spans="1:11" x14ac:dyDescent="0.25">
      <c r="A2432" s="2">
        <v>46198.708333333343</v>
      </c>
      <c r="B2432" t="str">
        <f t="shared" si="74"/>
        <v>2026-06</v>
      </c>
      <c r="C2432" s="3">
        <f t="shared" si="75"/>
        <v>17</v>
      </c>
      <c r="D2432" s="4">
        <v>27.217947575322221</v>
      </c>
      <c r="E2432" s="4">
        <v>28.47560773453889</v>
      </c>
      <c r="F2432" s="4">
        <v>29.34674943643612</v>
      </c>
      <c r="G2432" s="4">
        <v>25.3</v>
      </c>
      <c r="H2432" s="5">
        <v>33.082245289905558</v>
      </c>
      <c r="I2432" s="5">
        <v>36.585193105158332</v>
      </c>
      <c r="J2432" s="5">
        <v>44.170348835455549</v>
      </c>
      <c r="K2432" s="5">
        <v>35</v>
      </c>
    </row>
    <row r="2433" spans="1:11" x14ac:dyDescent="0.25">
      <c r="A2433" s="2">
        <v>46198.75</v>
      </c>
      <c r="B2433" t="str">
        <f t="shared" si="74"/>
        <v>2026-06</v>
      </c>
      <c r="C2433" s="3">
        <f t="shared" si="75"/>
        <v>18</v>
      </c>
      <c r="D2433" s="4">
        <v>27.037416827111109</v>
      </c>
      <c r="E2433" s="4">
        <v>28.505002781691669</v>
      </c>
      <c r="F2433" s="4">
        <v>29.04175395922778</v>
      </c>
      <c r="G2433" s="4">
        <v>24.9</v>
      </c>
      <c r="H2433" s="5">
        <v>34.562725122674998</v>
      </c>
      <c r="I2433" s="5">
        <v>36.118178115077782</v>
      </c>
      <c r="J2433" s="5">
        <v>43.756604297591672</v>
      </c>
      <c r="K2433" s="5">
        <v>35</v>
      </c>
    </row>
    <row r="2434" spans="1:11" x14ac:dyDescent="0.25">
      <c r="A2434" s="2">
        <v>46198.791666666657</v>
      </c>
      <c r="B2434" t="str">
        <f t="shared" ref="B2434:B2497" si="76">TEXT(A2434,"yyyy-mm")</f>
        <v>2026-06</v>
      </c>
      <c r="C2434" s="3">
        <f t="shared" ref="C2434:C2497" si="77">HOUR(A2434)</f>
        <v>19</v>
      </c>
      <c r="D2434" s="4">
        <v>27.225885706308329</v>
      </c>
      <c r="E2434" s="4">
        <v>28.588184786291659</v>
      </c>
      <c r="F2434" s="4">
        <v>28.87323649433333</v>
      </c>
      <c r="G2434" s="4">
        <v>24</v>
      </c>
      <c r="H2434" s="5">
        <v>37.163078793058339</v>
      </c>
      <c r="I2434" s="5">
        <v>38.800032354622232</v>
      </c>
      <c r="J2434" s="5">
        <v>45.322930595275011</v>
      </c>
      <c r="K2434" s="5">
        <v>38</v>
      </c>
    </row>
    <row r="2435" spans="1:11" x14ac:dyDescent="0.25">
      <c r="A2435" s="2">
        <v>46198.833333333343</v>
      </c>
      <c r="B2435" t="str">
        <f t="shared" si="76"/>
        <v>2026-06</v>
      </c>
      <c r="C2435" s="3">
        <f t="shared" si="77"/>
        <v>20</v>
      </c>
      <c r="D2435" s="4">
        <v>26.98681832802778</v>
      </c>
      <c r="E2435" s="4">
        <v>28.623481836724999</v>
      </c>
      <c r="F2435" s="4">
        <v>28.838584585433331</v>
      </c>
      <c r="G2435" s="4">
        <v>23.1</v>
      </c>
      <c r="H2435" s="5">
        <v>39.090609952752779</v>
      </c>
      <c r="I2435" s="5">
        <v>40.452040226119443</v>
      </c>
      <c r="J2435" s="5">
        <v>46.295711395375008</v>
      </c>
      <c r="K2435" s="5">
        <v>41</v>
      </c>
    </row>
    <row r="2436" spans="1:11" x14ac:dyDescent="0.25">
      <c r="A2436" s="2">
        <v>46198.875</v>
      </c>
      <c r="B2436" t="str">
        <f t="shared" si="76"/>
        <v>2026-06</v>
      </c>
      <c r="C2436" s="3">
        <f t="shared" si="77"/>
        <v>21</v>
      </c>
      <c r="D2436" s="4">
        <v>26.721769846419441</v>
      </c>
      <c r="E2436" s="4">
        <v>28.645118931999999</v>
      </c>
      <c r="F2436" s="4">
        <v>29.02150337399722</v>
      </c>
      <c r="G2436" s="4">
        <v>22.5</v>
      </c>
      <c r="H2436" s="5">
        <v>40.704810457063893</v>
      </c>
      <c r="I2436" s="5">
        <v>41.162882415716673</v>
      </c>
      <c r="J2436" s="5">
        <v>46.609439807219452</v>
      </c>
      <c r="K2436" s="5">
        <v>45</v>
      </c>
    </row>
    <row r="2437" spans="1:11" x14ac:dyDescent="0.25">
      <c r="A2437" s="2">
        <v>46198.916666666657</v>
      </c>
      <c r="B2437" t="str">
        <f t="shared" si="76"/>
        <v>2026-06</v>
      </c>
      <c r="C2437" s="3">
        <f t="shared" si="77"/>
        <v>22</v>
      </c>
      <c r="D2437" s="4">
        <v>26.777045882025</v>
      </c>
      <c r="E2437" s="4"/>
      <c r="F2437" s="4">
        <v>29.160080577188889</v>
      </c>
      <c r="G2437" s="4">
        <v>21.8</v>
      </c>
      <c r="H2437" s="5">
        <v>41.409540358555553</v>
      </c>
      <c r="I2437" s="5"/>
      <c r="J2437" s="5">
        <v>46.019253727755562</v>
      </c>
      <c r="K2437" s="5">
        <v>49</v>
      </c>
    </row>
    <row r="2438" spans="1:11" x14ac:dyDescent="0.25">
      <c r="A2438" s="2">
        <v>46198.958333333343</v>
      </c>
      <c r="B2438" t="str">
        <f t="shared" si="76"/>
        <v>2026-06</v>
      </c>
      <c r="C2438" s="3">
        <f t="shared" si="77"/>
        <v>23</v>
      </c>
      <c r="D2438" s="4">
        <v>26.688491104655551</v>
      </c>
      <c r="E2438" s="4"/>
      <c r="F2438" s="4">
        <v>29.222054533824998</v>
      </c>
      <c r="G2438" s="4">
        <v>20.8</v>
      </c>
      <c r="H2438" s="5">
        <v>43.809619318838891</v>
      </c>
      <c r="I2438" s="5"/>
      <c r="J2438" s="5">
        <v>46.036470773058333</v>
      </c>
      <c r="K2438" s="5">
        <v>53</v>
      </c>
    </row>
    <row r="2439" spans="1:11" x14ac:dyDescent="0.25">
      <c r="A2439" s="2">
        <v>46199</v>
      </c>
      <c r="B2439" t="str">
        <f t="shared" si="76"/>
        <v>2026-06</v>
      </c>
      <c r="C2439" s="3">
        <f t="shared" si="77"/>
        <v>0</v>
      </c>
      <c r="D2439" s="4">
        <v>26.451717576019441</v>
      </c>
      <c r="E2439" s="4"/>
      <c r="F2439" s="4">
        <v>29.248126101255551</v>
      </c>
      <c r="G2439" s="4">
        <v>19.899999999999999</v>
      </c>
      <c r="H2439" s="5">
        <v>43.94368148861389</v>
      </c>
      <c r="I2439" s="5"/>
      <c r="J2439" s="5">
        <v>47.0221787754</v>
      </c>
      <c r="K2439" s="5">
        <v>58</v>
      </c>
    </row>
    <row r="2440" spans="1:11" x14ac:dyDescent="0.25">
      <c r="A2440" s="2">
        <v>46199.041666666657</v>
      </c>
      <c r="B2440" t="str">
        <f t="shared" si="76"/>
        <v>2026-06</v>
      </c>
      <c r="C2440" s="3">
        <f t="shared" si="77"/>
        <v>1</v>
      </c>
      <c r="D2440" s="4">
        <v>25.557365518580561</v>
      </c>
      <c r="E2440" s="4"/>
      <c r="F2440" s="4">
        <v>29.28503764538333</v>
      </c>
      <c r="G2440" s="4">
        <v>19</v>
      </c>
      <c r="H2440" s="5">
        <v>47.202164391525002</v>
      </c>
      <c r="I2440" s="5"/>
      <c r="J2440" s="5">
        <v>48.053034418597207</v>
      </c>
      <c r="K2440" s="5">
        <v>63</v>
      </c>
    </row>
    <row r="2441" spans="1:11" x14ac:dyDescent="0.25">
      <c r="A2441" s="2">
        <v>46199.083333333343</v>
      </c>
      <c r="B2441" t="str">
        <f t="shared" si="76"/>
        <v>2026-06</v>
      </c>
      <c r="C2441" s="3">
        <f t="shared" si="77"/>
        <v>2</v>
      </c>
      <c r="D2441" s="4">
        <v>24.250831350313891</v>
      </c>
      <c r="E2441" s="4"/>
      <c r="F2441" s="4">
        <v>29.35419424549444</v>
      </c>
      <c r="G2441" s="4">
        <v>17.899999999999999</v>
      </c>
      <c r="H2441" s="5">
        <v>49.960467654650003</v>
      </c>
      <c r="I2441" s="5"/>
      <c r="J2441" s="5">
        <v>47.337363863488889</v>
      </c>
      <c r="K2441" s="5">
        <v>70</v>
      </c>
    </row>
    <row r="2442" spans="1:11" x14ac:dyDescent="0.25">
      <c r="A2442" s="2">
        <v>46199.125</v>
      </c>
      <c r="B2442" t="str">
        <f t="shared" si="76"/>
        <v>2026-06</v>
      </c>
      <c r="C2442" s="3">
        <f t="shared" si="77"/>
        <v>3</v>
      </c>
      <c r="D2442" s="4">
        <v>23.89349731151944</v>
      </c>
      <c r="E2442" s="4"/>
      <c r="F2442" s="4">
        <v>29.32611214335833</v>
      </c>
      <c r="G2442" s="4">
        <v>16.5</v>
      </c>
      <c r="H2442" s="5">
        <v>50.253047798975011</v>
      </c>
      <c r="I2442" s="5"/>
      <c r="J2442" s="5">
        <v>46.909952377038877</v>
      </c>
      <c r="K2442" s="5">
        <v>80</v>
      </c>
    </row>
    <row r="2443" spans="1:11" x14ac:dyDescent="0.25">
      <c r="A2443" s="2">
        <v>46199.166666666657</v>
      </c>
      <c r="B2443" t="str">
        <f t="shared" si="76"/>
        <v>2026-06</v>
      </c>
      <c r="C2443" s="3">
        <f t="shared" si="77"/>
        <v>4</v>
      </c>
      <c r="D2443" s="4">
        <v>23.688166019730559</v>
      </c>
      <c r="E2443" s="4"/>
      <c r="F2443" s="4">
        <v>29.311916823813888</v>
      </c>
      <c r="G2443" s="4">
        <v>16</v>
      </c>
      <c r="H2443" s="5">
        <v>50.364718489491658</v>
      </c>
      <c r="I2443" s="5"/>
      <c r="J2443" s="5">
        <v>46.653883344050001</v>
      </c>
      <c r="K2443" s="5">
        <v>85</v>
      </c>
    </row>
    <row r="2444" spans="1:11" x14ac:dyDescent="0.25">
      <c r="A2444" s="2">
        <v>46199.208333333343</v>
      </c>
      <c r="B2444" t="str">
        <f t="shared" si="76"/>
        <v>2026-06</v>
      </c>
      <c r="C2444" s="3">
        <f t="shared" si="77"/>
        <v>5</v>
      </c>
      <c r="D2444" s="4">
        <v>24.299081738352779</v>
      </c>
      <c r="E2444" s="4"/>
      <c r="F2444" s="4">
        <v>29.300305115499999</v>
      </c>
      <c r="G2444" s="4">
        <v>15.5</v>
      </c>
      <c r="H2444" s="5">
        <v>48.722313033622221</v>
      </c>
      <c r="I2444" s="5"/>
      <c r="J2444" s="5">
        <v>46.424517909708342</v>
      </c>
      <c r="K2444" s="5">
        <v>87</v>
      </c>
    </row>
    <row r="2445" spans="1:11" x14ac:dyDescent="0.25">
      <c r="A2445" s="2">
        <v>46199.25</v>
      </c>
      <c r="B2445" t="str">
        <f t="shared" si="76"/>
        <v>2026-06</v>
      </c>
      <c r="C2445" s="3">
        <f t="shared" si="77"/>
        <v>6</v>
      </c>
      <c r="D2445" s="4">
        <v>25.852364031355549</v>
      </c>
      <c r="E2445" s="4"/>
      <c r="F2445" s="4">
        <v>29.306860419480561</v>
      </c>
      <c r="G2445" s="4">
        <v>16.100000000000001</v>
      </c>
      <c r="H2445" s="5">
        <v>45.212480212775013</v>
      </c>
      <c r="I2445" s="5"/>
      <c r="J2445" s="5">
        <v>46.221187501416672</v>
      </c>
      <c r="K2445" s="5">
        <v>83</v>
      </c>
    </row>
    <row r="2446" spans="1:11" x14ac:dyDescent="0.25">
      <c r="A2446" s="2">
        <v>46199.291666666657</v>
      </c>
      <c r="B2446" t="str">
        <f t="shared" si="76"/>
        <v>2026-06</v>
      </c>
      <c r="C2446" s="3">
        <f t="shared" si="77"/>
        <v>7</v>
      </c>
      <c r="D2446" s="4">
        <v>26.71499099007222</v>
      </c>
      <c r="E2446" s="4"/>
      <c r="F2446" s="4">
        <v>29.31850030087778</v>
      </c>
      <c r="G2446" s="4">
        <v>17.3</v>
      </c>
      <c r="H2446" s="5">
        <v>43.495646517177782</v>
      </c>
      <c r="I2446" s="5"/>
      <c r="J2446" s="5">
        <v>46.079738479494438</v>
      </c>
      <c r="K2446" s="5">
        <v>76</v>
      </c>
    </row>
    <row r="2447" spans="1:11" x14ac:dyDescent="0.25">
      <c r="A2447" s="2">
        <v>46199.333333333343</v>
      </c>
      <c r="B2447" t="str">
        <f t="shared" si="76"/>
        <v>2026-06</v>
      </c>
      <c r="C2447" s="3">
        <f t="shared" si="77"/>
        <v>8</v>
      </c>
      <c r="D2447" s="4">
        <v>27.116045383052779</v>
      </c>
      <c r="E2447" s="4"/>
      <c r="F2447" s="4">
        <v>29.335427825561109</v>
      </c>
      <c r="G2447" s="4">
        <v>18.899999999999999</v>
      </c>
      <c r="H2447" s="5">
        <v>43.031077921786107</v>
      </c>
      <c r="I2447" s="5"/>
      <c r="J2447" s="5">
        <v>45.988836122024999</v>
      </c>
      <c r="K2447" s="5">
        <v>67</v>
      </c>
    </row>
    <row r="2448" spans="1:11" x14ac:dyDescent="0.25">
      <c r="A2448" s="2">
        <v>46199.375</v>
      </c>
      <c r="B2448" t="str">
        <f t="shared" si="76"/>
        <v>2026-06</v>
      </c>
      <c r="C2448" s="3">
        <f t="shared" si="77"/>
        <v>9</v>
      </c>
      <c r="D2448" s="4">
        <v>27.419239692925</v>
      </c>
      <c r="E2448" s="4"/>
      <c r="F2448" s="4">
        <v>29.358152743024998</v>
      </c>
      <c r="G2448" s="4">
        <v>20.399999999999999</v>
      </c>
      <c r="H2448" s="5">
        <v>41.59812014706111</v>
      </c>
      <c r="I2448" s="5"/>
      <c r="J2448" s="5">
        <v>45.84156035815834</v>
      </c>
      <c r="K2448" s="5">
        <v>59</v>
      </c>
    </row>
    <row r="2449" spans="1:11" x14ac:dyDescent="0.25">
      <c r="A2449" s="2">
        <v>46199.416666666657</v>
      </c>
      <c r="B2449" t="str">
        <f t="shared" si="76"/>
        <v>2026-06</v>
      </c>
      <c r="C2449" s="3">
        <f t="shared" si="77"/>
        <v>10</v>
      </c>
      <c r="D2449" s="4">
        <v>27.859490647661119</v>
      </c>
      <c r="E2449" s="4"/>
      <c r="F2449" s="4">
        <v>29.36947201936389</v>
      </c>
      <c r="G2449" s="4">
        <v>20.9</v>
      </c>
      <c r="H2449" s="5">
        <v>40.052077536133332</v>
      </c>
      <c r="I2449" s="5"/>
      <c r="J2449" s="5">
        <v>45.711737586783329</v>
      </c>
      <c r="K2449" s="5">
        <v>56</v>
      </c>
    </row>
    <row r="2450" spans="1:11" x14ac:dyDescent="0.25">
      <c r="A2450" s="2">
        <v>46199.458333333343</v>
      </c>
      <c r="B2450" t="str">
        <f t="shared" si="76"/>
        <v>2026-06</v>
      </c>
      <c r="C2450" s="3">
        <f t="shared" si="77"/>
        <v>11</v>
      </c>
      <c r="D2450" s="4">
        <v>27.920925443005562</v>
      </c>
      <c r="E2450" s="4"/>
      <c r="F2450" s="4">
        <v>29.389304772791661</v>
      </c>
      <c r="G2450" s="4">
        <v>22</v>
      </c>
      <c r="H2450" s="5">
        <v>38.266485594350002</v>
      </c>
      <c r="I2450" s="5"/>
      <c r="J2450" s="5">
        <v>45.625335787983339</v>
      </c>
      <c r="K2450" s="5">
        <v>52</v>
      </c>
    </row>
    <row r="2451" spans="1:11" x14ac:dyDescent="0.25">
      <c r="A2451" s="2">
        <v>46199.5</v>
      </c>
      <c r="B2451" t="str">
        <f t="shared" si="76"/>
        <v>2026-06</v>
      </c>
      <c r="C2451" s="3">
        <f t="shared" si="77"/>
        <v>12</v>
      </c>
      <c r="D2451" s="4">
        <v>27.968221612111108</v>
      </c>
      <c r="E2451" s="4"/>
      <c r="F2451" s="4">
        <v>29.415012647477781</v>
      </c>
      <c r="G2451" s="4">
        <v>22.7</v>
      </c>
      <c r="H2451" s="5">
        <v>38.015104892763887</v>
      </c>
      <c r="I2451" s="5"/>
      <c r="J2451" s="5">
        <v>45.885970318266658</v>
      </c>
      <c r="K2451" s="5">
        <v>49</v>
      </c>
    </row>
    <row r="2452" spans="1:11" x14ac:dyDescent="0.25">
      <c r="A2452" s="2">
        <v>46199.541666666657</v>
      </c>
      <c r="B2452" t="str">
        <f t="shared" si="76"/>
        <v>2026-06</v>
      </c>
      <c r="C2452" s="3">
        <f t="shared" si="77"/>
        <v>13</v>
      </c>
      <c r="D2452" s="4">
        <v>27.762181601013889</v>
      </c>
      <c r="E2452" s="4"/>
      <c r="F2452" s="4">
        <v>29.48684484149722</v>
      </c>
      <c r="G2452" s="4">
        <v>23.2</v>
      </c>
      <c r="H2452" s="5">
        <v>37.985727400033333</v>
      </c>
      <c r="I2452" s="5"/>
      <c r="J2452" s="5">
        <v>46.716826258305552</v>
      </c>
      <c r="K2452" s="5">
        <v>47</v>
      </c>
    </row>
    <row r="2453" spans="1:11" x14ac:dyDescent="0.25">
      <c r="A2453" s="2">
        <v>46199.583333333343</v>
      </c>
      <c r="B2453" t="str">
        <f t="shared" si="76"/>
        <v>2026-06</v>
      </c>
      <c r="C2453" s="3">
        <f t="shared" si="77"/>
        <v>14</v>
      </c>
      <c r="D2453" s="4">
        <v>27.492864912741659</v>
      </c>
      <c r="E2453" s="4"/>
      <c r="F2453" s="4">
        <v>29.577706017400001</v>
      </c>
      <c r="G2453" s="4">
        <v>23.3</v>
      </c>
      <c r="H2453" s="5">
        <v>38.295187434436109</v>
      </c>
      <c r="I2453" s="5"/>
      <c r="J2453" s="5">
        <v>46.191982225538887</v>
      </c>
      <c r="K2453" s="5">
        <v>45</v>
      </c>
    </row>
    <row r="2454" spans="1:11" x14ac:dyDescent="0.25">
      <c r="A2454" s="2">
        <v>46199.625</v>
      </c>
      <c r="B2454" t="str">
        <f t="shared" si="76"/>
        <v>2026-06</v>
      </c>
      <c r="C2454" s="3">
        <f t="shared" si="77"/>
        <v>15</v>
      </c>
      <c r="D2454" s="4">
        <v>25.949856009177779</v>
      </c>
      <c r="E2454" s="4"/>
      <c r="F2454" s="4">
        <v>29.606446030133341</v>
      </c>
      <c r="G2454" s="4">
        <v>23.2</v>
      </c>
      <c r="H2454" s="5">
        <v>35.778061601497221</v>
      </c>
      <c r="I2454" s="5"/>
      <c r="J2454" s="5">
        <v>45.647611915761111</v>
      </c>
      <c r="K2454" s="5">
        <v>45</v>
      </c>
    </row>
    <row r="2455" spans="1:11" x14ac:dyDescent="0.25">
      <c r="A2455" s="2">
        <v>46199.666666666657</v>
      </c>
      <c r="B2455" t="str">
        <f t="shared" si="76"/>
        <v>2026-06</v>
      </c>
      <c r="C2455" s="3">
        <f t="shared" si="77"/>
        <v>16</v>
      </c>
      <c r="D2455" s="4">
        <v>26.49398144138889</v>
      </c>
      <c r="E2455" s="4"/>
      <c r="F2455" s="4">
        <v>29.43740331960834</v>
      </c>
      <c r="G2455" s="4">
        <v>22.9</v>
      </c>
      <c r="H2455" s="5">
        <v>38.178359664927783</v>
      </c>
      <c r="I2455" s="5"/>
      <c r="J2455" s="5">
        <v>44.56340030549444</v>
      </c>
      <c r="K2455" s="5">
        <v>45</v>
      </c>
    </row>
    <row r="2456" spans="1:11" x14ac:dyDescent="0.25">
      <c r="A2456" s="2">
        <v>46199.708333333343</v>
      </c>
      <c r="B2456" t="str">
        <f t="shared" si="76"/>
        <v>2026-06</v>
      </c>
      <c r="C2456" s="3">
        <f t="shared" si="77"/>
        <v>17</v>
      </c>
      <c r="D2456" s="4">
        <v>26.44019204615833</v>
      </c>
      <c r="E2456" s="4"/>
      <c r="F2456" s="4">
        <v>29.593123902430559</v>
      </c>
      <c r="G2456" s="4">
        <v>22.7</v>
      </c>
      <c r="H2456" s="5">
        <v>38.241580652819437</v>
      </c>
      <c r="I2456" s="5"/>
      <c r="J2456" s="5">
        <v>44.95657062626389</v>
      </c>
      <c r="K2456" s="5">
        <v>41</v>
      </c>
    </row>
    <row r="2457" spans="1:11" x14ac:dyDescent="0.25">
      <c r="A2457" s="2">
        <v>46199.75</v>
      </c>
      <c r="B2457" t="str">
        <f t="shared" si="76"/>
        <v>2026-06</v>
      </c>
      <c r="C2457" s="3">
        <f t="shared" si="77"/>
        <v>18</v>
      </c>
      <c r="D2457" s="4">
        <v>26.892832438591672</v>
      </c>
      <c r="E2457" s="4"/>
      <c r="F2457" s="4">
        <v>29.689401227491668</v>
      </c>
      <c r="G2457" s="4">
        <v>22.4</v>
      </c>
      <c r="H2457" s="5">
        <v>36.355108525780558</v>
      </c>
      <c r="I2457" s="5"/>
      <c r="J2457" s="5">
        <v>44.910274948516673</v>
      </c>
      <c r="K2457" s="5">
        <v>40</v>
      </c>
    </row>
    <row r="2458" spans="1:11" x14ac:dyDescent="0.25">
      <c r="A2458" s="2">
        <v>46199.791666666657</v>
      </c>
      <c r="B2458" t="str">
        <f t="shared" si="76"/>
        <v>2026-06</v>
      </c>
      <c r="C2458" s="3">
        <f t="shared" si="77"/>
        <v>19</v>
      </c>
      <c r="D2458" s="4">
        <v>26.35236532421667</v>
      </c>
      <c r="E2458" s="4"/>
      <c r="F2458" s="4">
        <v>29.73006965366945</v>
      </c>
      <c r="G2458" s="4">
        <v>21.9</v>
      </c>
      <c r="H2458" s="5">
        <v>36.460393277297221</v>
      </c>
      <c r="I2458" s="5"/>
      <c r="J2458" s="5">
        <v>44.448498432988892</v>
      </c>
      <c r="K2458" s="5">
        <v>40</v>
      </c>
    </row>
    <row r="2459" spans="1:11" x14ac:dyDescent="0.25">
      <c r="A2459" s="2">
        <v>46199.833333333343</v>
      </c>
      <c r="B2459" t="str">
        <f t="shared" si="76"/>
        <v>2026-06</v>
      </c>
      <c r="C2459" s="3">
        <f t="shared" si="77"/>
        <v>20</v>
      </c>
      <c r="D2459" s="4">
        <v>25.53516745859444</v>
      </c>
      <c r="E2459" s="4"/>
      <c r="F2459" s="4">
        <v>29.70954184735556</v>
      </c>
      <c r="G2459" s="4">
        <v>21.2</v>
      </c>
      <c r="H2459" s="5">
        <v>37.884737808733327</v>
      </c>
      <c r="I2459" s="5"/>
      <c r="J2459" s="5">
        <v>44.355305854558331</v>
      </c>
      <c r="K2459" s="5">
        <v>42</v>
      </c>
    </row>
    <row r="2460" spans="1:11" x14ac:dyDescent="0.25">
      <c r="A2460" s="2">
        <v>46199.875</v>
      </c>
      <c r="B2460" t="str">
        <f t="shared" si="76"/>
        <v>2026-06</v>
      </c>
      <c r="C2460" s="3">
        <f t="shared" si="77"/>
        <v>21</v>
      </c>
      <c r="D2460" s="4">
        <v>25.920207312722219</v>
      </c>
      <c r="E2460" s="4"/>
      <c r="F2460" s="4">
        <v>29.652250993041669</v>
      </c>
      <c r="G2460" s="4">
        <v>20.100000000000001</v>
      </c>
      <c r="H2460" s="5">
        <v>38.18595062747778</v>
      </c>
      <c r="I2460" s="5"/>
      <c r="J2460" s="5">
        <v>44.310845791788893</v>
      </c>
      <c r="K2460" s="5">
        <v>46</v>
      </c>
    </row>
    <row r="2461" spans="1:11" x14ac:dyDescent="0.25">
      <c r="A2461" s="2">
        <v>46199.916666666657</v>
      </c>
      <c r="B2461" t="str">
        <f t="shared" si="76"/>
        <v>2026-06</v>
      </c>
      <c r="C2461" s="3">
        <f t="shared" si="77"/>
        <v>22</v>
      </c>
      <c r="D2461" s="4">
        <v>25.248297712838891</v>
      </c>
      <c r="E2461" s="4"/>
      <c r="F2461" s="4">
        <v>29.440794731519439</v>
      </c>
      <c r="G2461" s="4">
        <v>19.399999999999999</v>
      </c>
      <c r="H2461" s="5">
        <v>36.494462696141667</v>
      </c>
      <c r="I2461" s="5"/>
      <c r="J2461" s="5">
        <v>43.100173538602768</v>
      </c>
      <c r="K2461" s="5">
        <v>48</v>
      </c>
    </row>
    <row r="2462" spans="1:11" x14ac:dyDescent="0.25">
      <c r="A2462" s="2">
        <v>46199.958333333343</v>
      </c>
      <c r="B2462" t="str">
        <f t="shared" si="76"/>
        <v>2026-06</v>
      </c>
      <c r="C2462" s="3">
        <f t="shared" si="77"/>
        <v>23</v>
      </c>
      <c r="D2462" s="4">
        <v>24.632466725899999</v>
      </c>
      <c r="E2462" s="4"/>
      <c r="F2462" s="4">
        <v>29.531787857699999</v>
      </c>
      <c r="G2462" s="4">
        <v>18.3</v>
      </c>
      <c r="H2462" s="5">
        <v>36.151503084738877</v>
      </c>
      <c r="I2462" s="5"/>
      <c r="J2462" s="5">
        <v>43.235925748163893</v>
      </c>
      <c r="K2462" s="5">
        <v>53</v>
      </c>
    </row>
    <row r="2463" spans="1:11" x14ac:dyDescent="0.25">
      <c r="A2463" s="2">
        <v>46200</v>
      </c>
      <c r="B2463" t="str">
        <f t="shared" si="76"/>
        <v>2026-06</v>
      </c>
      <c r="C2463" s="3">
        <f t="shared" si="77"/>
        <v>0</v>
      </c>
      <c r="D2463" s="4">
        <v>24.375278785075</v>
      </c>
      <c r="E2463" s="4"/>
      <c r="F2463" s="4">
        <v>29.581621640611111</v>
      </c>
      <c r="G2463" s="4">
        <v>17.600000000000001</v>
      </c>
      <c r="H2463" s="5">
        <v>36.686829721852781</v>
      </c>
      <c r="I2463" s="5"/>
      <c r="J2463" s="5">
        <v>42.789564240088893</v>
      </c>
      <c r="K2463" s="5">
        <v>56</v>
      </c>
    </row>
    <row r="2464" spans="1:11" x14ac:dyDescent="0.25">
      <c r="A2464" s="2">
        <v>46200.041666666657</v>
      </c>
      <c r="B2464" t="str">
        <f t="shared" si="76"/>
        <v>2026-06</v>
      </c>
      <c r="C2464" s="3">
        <f t="shared" si="77"/>
        <v>1</v>
      </c>
      <c r="D2464" s="4">
        <v>23.795560101524998</v>
      </c>
      <c r="E2464" s="4"/>
      <c r="F2464" s="4">
        <v>29.175825645602771</v>
      </c>
      <c r="G2464" s="4">
        <v>17</v>
      </c>
      <c r="H2464" s="5">
        <v>38.844451286647221</v>
      </c>
      <c r="I2464" s="5"/>
      <c r="J2464" s="5">
        <v>41.786735191525011</v>
      </c>
      <c r="K2464" s="5">
        <v>57</v>
      </c>
    </row>
    <row r="2465" spans="1:11" x14ac:dyDescent="0.25">
      <c r="A2465" s="2">
        <v>46200.083333333343</v>
      </c>
      <c r="B2465" t="str">
        <f t="shared" si="76"/>
        <v>2026-06</v>
      </c>
      <c r="C2465" s="3">
        <f t="shared" si="77"/>
        <v>2</v>
      </c>
      <c r="D2465" s="4">
        <v>23.126168275541669</v>
      </c>
      <c r="E2465" s="4"/>
      <c r="F2465" s="4">
        <v>29.486194067311111</v>
      </c>
      <c r="G2465" s="4">
        <v>16.399999999999999</v>
      </c>
      <c r="H2465" s="5">
        <v>39.029097832286112</v>
      </c>
      <c r="I2465" s="5"/>
      <c r="J2465" s="5">
        <v>42.371526112749997</v>
      </c>
      <c r="K2465" s="5">
        <v>60</v>
      </c>
    </row>
    <row r="2466" spans="1:11" x14ac:dyDescent="0.25">
      <c r="A2466" s="2">
        <v>46200.125</v>
      </c>
      <c r="B2466" t="str">
        <f t="shared" si="76"/>
        <v>2026-06</v>
      </c>
      <c r="C2466" s="3">
        <f t="shared" si="77"/>
        <v>3</v>
      </c>
      <c r="D2466" s="4">
        <v>22.78630978255833</v>
      </c>
      <c r="E2466" s="4"/>
      <c r="F2466" s="4">
        <v>29.450707584822229</v>
      </c>
      <c r="G2466" s="4">
        <v>15.3</v>
      </c>
      <c r="H2466" s="5">
        <v>39.723635554261122</v>
      </c>
      <c r="I2466" s="5"/>
      <c r="J2466" s="5">
        <v>42.106875139536108</v>
      </c>
      <c r="K2466" s="5">
        <v>65</v>
      </c>
    </row>
    <row r="2467" spans="1:11" x14ac:dyDescent="0.25">
      <c r="A2467" s="2">
        <v>46200.166666666657</v>
      </c>
      <c r="B2467" t="str">
        <f t="shared" si="76"/>
        <v>2026-06</v>
      </c>
      <c r="C2467" s="3">
        <f t="shared" si="77"/>
        <v>4</v>
      </c>
      <c r="D2467" s="4">
        <v>22.4709992178962</v>
      </c>
      <c r="E2467" s="4"/>
      <c r="F2467" s="4">
        <v>29.37426534286389</v>
      </c>
      <c r="G2467" s="4">
        <v>14.7</v>
      </c>
      <c r="H2467" s="5">
        <v>40.348459696626037</v>
      </c>
      <c r="I2467" s="5"/>
      <c r="J2467" s="5">
        <v>41.876534940172228</v>
      </c>
      <c r="K2467" s="5">
        <v>69</v>
      </c>
    </row>
    <row r="2468" spans="1:11" x14ac:dyDescent="0.25">
      <c r="A2468" s="2">
        <v>46200.208333333343</v>
      </c>
      <c r="B2468" t="str">
        <f t="shared" si="76"/>
        <v>2026-06</v>
      </c>
      <c r="C2468" s="3">
        <f t="shared" si="77"/>
        <v>5</v>
      </c>
      <c r="D2468" s="4">
        <v>23.632048789397391</v>
      </c>
      <c r="E2468" s="4"/>
      <c r="F2468" s="4">
        <v>29.333930594144441</v>
      </c>
      <c r="G2468" s="4">
        <v>14.4</v>
      </c>
      <c r="H2468" s="5">
        <v>38.616458113836103</v>
      </c>
      <c r="I2468" s="5"/>
      <c r="J2468" s="5">
        <v>41.844562304044437</v>
      </c>
      <c r="K2468" s="5">
        <v>70</v>
      </c>
    </row>
    <row r="2469" spans="1:11" x14ac:dyDescent="0.25">
      <c r="A2469" s="2">
        <v>46200.25</v>
      </c>
      <c r="B2469" t="str">
        <f t="shared" si="76"/>
        <v>2026-06</v>
      </c>
      <c r="C2469" s="3">
        <f t="shared" si="77"/>
        <v>6</v>
      </c>
      <c r="D2469" s="4">
        <v>24.24022188306111</v>
      </c>
      <c r="E2469" s="4"/>
      <c r="F2469" s="4">
        <v>29.331043019605559</v>
      </c>
      <c r="G2469" s="4">
        <v>15.3</v>
      </c>
      <c r="H2469" s="5">
        <v>37.687537901647232</v>
      </c>
      <c r="I2469" s="5"/>
      <c r="J2469" s="5">
        <v>42.00063008666389</v>
      </c>
      <c r="K2469" s="5">
        <v>68</v>
      </c>
    </row>
    <row r="2470" spans="1:11" x14ac:dyDescent="0.25">
      <c r="A2470" s="2">
        <v>46200.291666666657</v>
      </c>
      <c r="B2470" t="str">
        <f t="shared" si="76"/>
        <v>2026-06</v>
      </c>
      <c r="C2470" s="3">
        <f t="shared" si="77"/>
        <v>7</v>
      </c>
      <c r="D2470" s="4">
        <v>25.701556844566671</v>
      </c>
      <c r="E2470" s="4"/>
      <c r="F2470" s="4">
        <v>29.335763308183331</v>
      </c>
      <c r="G2470" s="4">
        <v>17</v>
      </c>
      <c r="H2470" s="5">
        <v>35.628923276041668</v>
      </c>
      <c r="I2470" s="5"/>
      <c r="J2470" s="5">
        <v>42.184344194783343</v>
      </c>
      <c r="K2470" s="5">
        <v>62</v>
      </c>
    </row>
    <row r="2471" spans="1:11" x14ac:dyDescent="0.25">
      <c r="A2471" s="2">
        <v>46200.333333333343</v>
      </c>
      <c r="B2471" t="str">
        <f t="shared" si="76"/>
        <v>2026-06</v>
      </c>
      <c r="C2471" s="3">
        <f t="shared" si="77"/>
        <v>8</v>
      </c>
      <c r="D2471" s="4">
        <v>27.324262246347221</v>
      </c>
      <c r="E2471" s="4"/>
      <c r="F2471" s="4">
        <v>29.374346941294451</v>
      </c>
      <c r="G2471" s="4">
        <v>19.5</v>
      </c>
      <c r="H2471" s="5">
        <v>34.088715960194442</v>
      </c>
      <c r="I2471" s="5"/>
      <c r="J2471" s="5">
        <v>42.399761747530562</v>
      </c>
      <c r="K2471" s="5">
        <v>52</v>
      </c>
    </row>
    <row r="2472" spans="1:11" x14ac:dyDescent="0.25">
      <c r="A2472" s="2">
        <v>46200.375</v>
      </c>
      <c r="B2472" t="str">
        <f t="shared" si="76"/>
        <v>2026-06</v>
      </c>
      <c r="C2472" s="3">
        <f t="shared" si="77"/>
        <v>9</v>
      </c>
      <c r="D2472" s="4">
        <v>27.85305249039445</v>
      </c>
      <c r="E2472" s="4"/>
      <c r="F2472" s="4">
        <v>29.41654117388056</v>
      </c>
      <c r="G2472" s="4">
        <v>21.7</v>
      </c>
      <c r="H2472" s="5">
        <v>33.063505113516669</v>
      </c>
      <c r="I2472" s="5"/>
      <c r="J2472" s="5">
        <v>42.593736462169453</v>
      </c>
      <c r="K2472" s="5">
        <v>42</v>
      </c>
    </row>
    <row r="2473" spans="1:11" x14ac:dyDescent="0.25">
      <c r="A2473" s="2">
        <v>46200.416666666657</v>
      </c>
      <c r="B2473" t="str">
        <f t="shared" si="76"/>
        <v>2026-06</v>
      </c>
      <c r="C2473" s="3">
        <f t="shared" si="77"/>
        <v>10</v>
      </c>
      <c r="D2473" s="4">
        <v>27.696229117566659</v>
      </c>
      <c r="E2473" s="4"/>
      <c r="F2473" s="4">
        <v>29.438958196908331</v>
      </c>
      <c r="G2473" s="4">
        <v>22.6</v>
      </c>
      <c r="H2473" s="5">
        <v>32.278413551338893</v>
      </c>
      <c r="I2473" s="5"/>
      <c r="J2473" s="5">
        <v>42.844623076766673</v>
      </c>
      <c r="K2473" s="5">
        <v>40</v>
      </c>
    </row>
    <row r="2474" spans="1:11" x14ac:dyDescent="0.25">
      <c r="A2474" s="2">
        <v>46200.458333333343</v>
      </c>
      <c r="B2474" t="str">
        <f t="shared" si="76"/>
        <v>2026-06</v>
      </c>
      <c r="C2474" s="3">
        <f t="shared" si="77"/>
        <v>11</v>
      </c>
      <c r="D2474" s="4">
        <v>27.546232024138892</v>
      </c>
      <c r="E2474" s="4"/>
      <c r="F2474" s="4">
        <v>29.443957859833329</v>
      </c>
      <c r="G2474" s="4">
        <v>23</v>
      </c>
      <c r="H2474" s="5">
        <v>33.205984097349997</v>
      </c>
      <c r="I2474" s="5"/>
      <c r="J2474" s="5">
        <v>42.950305521397219</v>
      </c>
      <c r="K2474" s="5">
        <v>39</v>
      </c>
    </row>
    <row r="2475" spans="1:11" x14ac:dyDescent="0.25">
      <c r="A2475" s="2">
        <v>46200.5</v>
      </c>
      <c r="B2475" t="str">
        <f t="shared" si="76"/>
        <v>2026-06</v>
      </c>
      <c r="C2475" s="3">
        <f t="shared" si="77"/>
        <v>12</v>
      </c>
      <c r="D2475" s="4">
        <v>27.46535440078889</v>
      </c>
      <c r="E2475" s="4"/>
      <c r="F2475" s="4">
        <v>29.45306946841389</v>
      </c>
      <c r="G2475" s="4">
        <v>23.8</v>
      </c>
      <c r="H2475" s="5">
        <v>33.00569460025833</v>
      </c>
      <c r="I2475" s="5"/>
      <c r="J2475" s="5">
        <v>43.001805243622222</v>
      </c>
      <c r="K2475" s="5">
        <v>39</v>
      </c>
    </row>
    <row r="2476" spans="1:11" x14ac:dyDescent="0.25">
      <c r="A2476" s="2">
        <v>46200.541666666657</v>
      </c>
      <c r="B2476" t="str">
        <f t="shared" si="76"/>
        <v>2026-06</v>
      </c>
      <c r="C2476" s="3">
        <f t="shared" si="77"/>
        <v>13</v>
      </c>
      <c r="D2476" s="4">
        <v>27.665275415530559</v>
      </c>
      <c r="E2476" s="4"/>
      <c r="F2476" s="4">
        <v>29.460624893847221</v>
      </c>
      <c r="G2476" s="4">
        <v>25.1</v>
      </c>
      <c r="H2476" s="5">
        <v>32.715333891722217</v>
      </c>
      <c r="I2476" s="5"/>
      <c r="J2476" s="5">
        <v>43.071069118747218</v>
      </c>
      <c r="K2476" s="5">
        <v>37</v>
      </c>
    </row>
    <row r="2477" spans="1:11" x14ac:dyDescent="0.25">
      <c r="A2477" s="2">
        <v>46200.583333333343</v>
      </c>
      <c r="B2477" t="str">
        <f t="shared" si="76"/>
        <v>2026-06</v>
      </c>
      <c r="C2477" s="3">
        <f t="shared" si="77"/>
        <v>14</v>
      </c>
      <c r="D2477" s="4">
        <v>27.936804876483329</v>
      </c>
      <c r="E2477" s="4"/>
      <c r="F2477" s="4">
        <v>29.465208205377781</v>
      </c>
      <c r="G2477" s="4">
        <v>25.5</v>
      </c>
      <c r="H2477" s="5">
        <v>33.444769565294443</v>
      </c>
      <c r="I2477" s="5"/>
      <c r="J2477" s="5">
        <v>43.165787420311112</v>
      </c>
      <c r="K2477" s="5">
        <v>37</v>
      </c>
    </row>
    <row r="2478" spans="1:11" x14ac:dyDescent="0.25">
      <c r="A2478" s="2">
        <v>46200.625</v>
      </c>
      <c r="B2478" t="str">
        <f t="shared" si="76"/>
        <v>2026-06</v>
      </c>
      <c r="C2478" s="3">
        <f t="shared" si="77"/>
        <v>15</v>
      </c>
      <c r="D2478" s="4">
        <v>28.124515392433331</v>
      </c>
      <c r="E2478" s="4"/>
      <c r="F2478" s="4">
        <v>29.47974951348889</v>
      </c>
      <c r="G2478" s="4">
        <v>25.2</v>
      </c>
      <c r="H2478" s="5">
        <v>33.553894081758337</v>
      </c>
      <c r="I2478" s="5"/>
      <c r="J2478" s="5">
        <v>44.353348416108332</v>
      </c>
      <c r="K2478" s="5">
        <v>41</v>
      </c>
    </row>
    <row r="2479" spans="1:11" x14ac:dyDescent="0.25">
      <c r="A2479" s="2">
        <v>46200.666666666657</v>
      </c>
      <c r="B2479" t="str">
        <f t="shared" si="76"/>
        <v>2026-06</v>
      </c>
      <c r="C2479" s="3">
        <f t="shared" si="77"/>
        <v>16</v>
      </c>
      <c r="D2479" s="4">
        <v>27.044780390755559</v>
      </c>
      <c r="E2479" s="4"/>
      <c r="F2479" s="4">
        <v>29.51068023737778</v>
      </c>
      <c r="G2479" s="4">
        <v>25.2</v>
      </c>
      <c r="H2479" s="5">
        <v>39.497814524283328</v>
      </c>
      <c r="I2479" s="5"/>
      <c r="J2479" s="5">
        <v>44.535379914111111</v>
      </c>
      <c r="K2479" s="5">
        <v>41</v>
      </c>
    </row>
    <row r="2480" spans="1:11" x14ac:dyDescent="0.25">
      <c r="A2480" s="2">
        <v>46200.708333333343</v>
      </c>
      <c r="B2480" t="str">
        <f t="shared" si="76"/>
        <v>2026-06</v>
      </c>
      <c r="C2480" s="3">
        <f t="shared" si="77"/>
        <v>17</v>
      </c>
      <c r="D2480" s="4">
        <v>26.29462843220556</v>
      </c>
      <c r="E2480" s="4"/>
      <c r="F2480" s="4">
        <v>29.497972597288889</v>
      </c>
      <c r="G2480" s="4">
        <v>24</v>
      </c>
      <c r="H2480" s="5">
        <v>44.759885752180558</v>
      </c>
      <c r="I2480" s="5"/>
      <c r="J2480" s="5">
        <v>44.361345440894439</v>
      </c>
      <c r="K2480" s="5">
        <v>45</v>
      </c>
    </row>
    <row r="2481" spans="1:11" x14ac:dyDescent="0.25">
      <c r="A2481" s="2">
        <v>46200.75</v>
      </c>
      <c r="B2481" t="str">
        <f t="shared" si="76"/>
        <v>2026-06</v>
      </c>
      <c r="C2481" s="3">
        <f t="shared" si="77"/>
        <v>18</v>
      </c>
      <c r="D2481" s="4">
        <v>26.564612409566671</v>
      </c>
      <c r="E2481" s="4"/>
      <c r="F2481" s="4">
        <v>29.482777744397222</v>
      </c>
      <c r="G2481" s="4">
        <v>23.6</v>
      </c>
      <c r="H2481" s="5">
        <v>43.717136911861111</v>
      </c>
      <c r="I2481" s="5"/>
      <c r="J2481" s="5">
        <v>44.576859420888887</v>
      </c>
      <c r="K2481" s="5">
        <v>47</v>
      </c>
    </row>
    <row r="2482" spans="1:11" x14ac:dyDescent="0.25">
      <c r="A2482" s="2">
        <v>46200.791666666657</v>
      </c>
      <c r="B2482" t="str">
        <f t="shared" si="76"/>
        <v>2026-06</v>
      </c>
      <c r="C2482" s="3">
        <f t="shared" si="77"/>
        <v>19</v>
      </c>
      <c r="D2482" s="4">
        <v>26.237931975024999</v>
      </c>
      <c r="E2482" s="4"/>
      <c r="F2482" s="4">
        <v>29.472471825930551</v>
      </c>
      <c r="G2482" s="4">
        <v>22.5</v>
      </c>
      <c r="H2482" s="5">
        <v>46.825000861730558</v>
      </c>
      <c r="I2482" s="5"/>
      <c r="J2482" s="5">
        <v>44.752203993605562</v>
      </c>
      <c r="K2482" s="5">
        <v>57</v>
      </c>
    </row>
    <row r="2483" spans="1:11" x14ac:dyDescent="0.25">
      <c r="A2483" s="2">
        <v>46200.833333333343</v>
      </c>
      <c r="B2483" t="str">
        <f t="shared" si="76"/>
        <v>2026-06</v>
      </c>
      <c r="C2483" s="3">
        <f t="shared" si="77"/>
        <v>20</v>
      </c>
      <c r="D2483" s="4">
        <v>26.051761612480561</v>
      </c>
      <c r="E2483" s="4"/>
      <c r="F2483" s="4">
        <v>29.467611158377778</v>
      </c>
      <c r="G2483" s="4">
        <v>21.6</v>
      </c>
      <c r="H2483" s="5">
        <v>48.012622234958343</v>
      </c>
      <c r="I2483" s="5"/>
      <c r="J2483" s="5">
        <v>45.044751009430549</v>
      </c>
      <c r="K2483" s="5">
        <v>63</v>
      </c>
    </row>
    <row r="2484" spans="1:11" x14ac:dyDescent="0.25">
      <c r="A2484" s="2">
        <v>46200.875</v>
      </c>
      <c r="B2484" t="str">
        <f t="shared" si="76"/>
        <v>2026-06</v>
      </c>
      <c r="C2484" s="3">
        <f t="shared" si="77"/>
        <v>21</v>
      </c>
      <c r="D2484" s="4">
        <v>26.059927259786111</v>
      </c>
      <c r="E2484" s="4"/>
      <c r="F2484" s="4">
        <v>29.464347074325001</v>
      </c>
      <c r="G2484" s="4">
        <v>21</v>
      </c>
      <c r="H2484" s="5">
        <v>48.152269509777767</v>
      </c>
      <c r="I2484" s="5"/>
      <c r="J2484" s="5">
        <v>45.353289079441659</v>
      </c>
      <c r="K2484" s="5">
        <v>70</v>
      </c>
    </row>
    <row r="2485" spans="1:11" x14ac:dyDescent="0.25">
      <c r="A2485" s="2">
        <v>46200.916666666657</v>
      </c>
      <c r="B2485" t="str">
        <f t="shared" si="76"/>
        <v>2026-06</v>
      </c>
      <c r="C2485" s="3">
        <f t="shared" si="77"/>
        <v>22</v>
      </c>
      <c r="D2485" s="4">
        <v>25.700912126719441</v>
      </c>
      <c r="E2485" s="4"/>
      <c r="F2485" s="4">
        <v>29.46041640013889</v>
      </c>
      <c r="G2485" s="4">
        <v>20.399999999999999</v>
      </c>
      <c r="H2485" s="5">
        <v>49.453043198088892</v>
      </c>
      <c r="I2485" s="5"/>
      <c r="J2485" s="5">
        <v>45.583752083661103</v>
      </c>
      <c r="K2485" s="5">
        <v>74</v>
      </c>
    </row>
    <row r="2486" spans="1:11" x14ac:dyDescent="0.25">
      <c r="A2486" s="2">
        <v>46200.958333333343</v>
      </c>
      <c r="B2486" t="str">
        <f t="shared" si="76"/>
        <v>2026-06</v>
      </c>
      <c r="C2486" s="3">
        <f t="shared" si="77"/>
        <v>23</v>
      </c>
      <c r="D2486" s="4">
        <v>25.776528254005559</v>
      </c>
      <c r="E2486" s="4"/>
      <c r="F2486" s="4">
        <v>29.469875535486111</v>
      </c>
      <c r="G2486" s="4">
        <v>19.899999999999999</v>
      </c>
      <c r="H2486" s="5">
        <v>49.436383815691663</v>
      </c>
      <c r="I2486" s="5"/>
      <c r="J2486" s="5">
        <v>45.790342848536113</v>
      </c>
      <c r="K2486" s="5">
        <v>77</v>
      </c>
    </row>
    <row r="2487" spans="1:11" x14ac:dyDescent="0.25">
      <c r="A2487" s="2">
        <v>46201</v>
      </c>
      <c r="B2487" t="str">
        <f t="shared" si="76"/>
        <v>2026-06</v>
      </c>
      <c r="C2487" s="3">
        <f t="shared" si="77"/>
        <v>0</v>
      </c>
      <c r="D2487" s="4">
        <v>25.563745197597221</v>
      </c>
      <c r="E2487" s="4"/>
      <c r="F2487" s="4">
        <v>29.464515572894442</v>
      </c>
      <c r="G2487" s="4">
        <v>19.2</v>
      </c>
      <c r="H2487" s="5">
        <v>50.014314392800003</v>
      </c>
      <c r="I2487" s="5"/>
      <c r="J2487" s="5">
        <v>45.973864504669443</v>
      </c>
      <c r="K2487" s="5">
        <v>81</v>
      </c>
    </row>
    <row r="2488" spans="1:11" x14ac:dyDescent="0.25">
      <c r="A2488" s="2">
        <v>46201.041666666657</v>
      </c>
      <c r="B2488" t="str">
        <f t="shared" si="76"/>
        <v>2026-06</v>
      </c>
      <c r="C2488" s="3">
        <f t="shared" si="77"/>
        <v>1</v>
      </c>
      <c r="D2488" s="4">
        <v>24.75347199881389</v>
      </c>
      <c r="E2488" s="4"/>
      <c r="F2488" s="4">
        <v>29.458264046094449</v>
      </c>
      <c r="G2488" s="4">
        <v>18.899999999999999</v>
      </c>
      <c r="H2488" s="5">
        <v>52.158244713138878</v>
      </c>
      <c r="I2488" s="5"/>
      <c r="J2488" s="5">
        <v>46.145502161552777</v>
      </c>
      <c r="K2488" s="5">
        <v>84</v>
      </c>
    </row>
    <row r="2489" spans="1:11" x14ac:dyDescent="0.25">
      <c r="A2489" s="2">
        <v>46201.083333333343</v>
      </c>
      <c r="B2489" t="str">
        <f t="shared" si="76"/>
        <v>2026-06</v>
      </c>
      <c r="C2489" s="3">
        <f t="shared" si="77"/>
        <v>2</v>
      </c>
      <c r="D2489" s="4">
        <v>24.637155080280561</v>
      </c>
      <c r="E2489" s="4"/>
      <c r="F2489" s="4">
        <v>29.429569504691671</v>
      </c>
      <c r="G2489" s="4">
        <v>18.899999999999999</v>
      </c>
      <c r="H2489" s="5">
        <v>51.236251940552783</v>
      </c>
      <c r="I2489" s="5"/>
      <c r="J2489" s="5">
        <v>46.331122639419448</v>
      </c>
      <c r="K2489" s="5">
        <v>82</v>
      </c>
    </row>
    <row r="2490" spans="1:11" x14ac:dyDescent="0.25">
      <c r="A2490" s="2">
        <v>46201.125</v>
      </c>
      <c r="B2490" t="str">
        <f t="shared" si="76"/>
        <v>2026-06</v>
      </c>
      <c r="C2490" s="3">
        <f t="shared" si="77"/>
        <v>3</v>
      </c>
      <c r="D2490" s="4">
        <v>24.300008961549999</v>
      </c>
      <c r="E2490" s="4"/>
      <c r="F2490" s="4">
        <v>29.391861358524999</v>
      </c>
      <c r="G2490" s="4">
        <v>18.399999999999999</v>
      </c>
      <c r="H2490" s="5">
        <v>51.316917389458332</v>
      </c>
      <c r="I2490" s="5"/>
      <c r="J2490" s="5">
        <v>46.410901963752771</v>
      </c>
      <c r="K2490" s="5">
        <v>83</v>
      </c>
    </row>
    <row r="2491" spans="1:11" x14ac:dyDescent="0.25">
      <c r="A2491" s="2">
        <v>46201.166666666657</v>
      </c>
      <c r="B2491" t="str">
        <f t="shared" si="76"/>
        <v>2026-06</v>
      </c>
      <c r="C2491" s="3">
        <f t="shared" si="77"/>
        <v>4</v>
      </c>
      <c r="D2491" s="4">
        <v>24.24382750146944</v>
      </c>
      <c r="E2491" s="4"/>
      <c r="F2491" s="4">
        <v>29.381484448019449</v>
      </c>
      <c r="G2491" s="4">
        <v>18.2</v>
      </c>
      <c r="H2491" s="5">
        <v>49.019687757508343</v>
      </c>
      <c r="I2491" s="5"/>
      <c r="J2491" s="5">
        <v>46.281110911894451</v>
      </c>
      <c r="K2491" s="5">
        <v>82</v>
      </c>
    </row>
    <row r="2492" spans="1:11" x14ac:dyDescent="0.25">
      <c r="A2492" s="2">
        <v>46201.208333333343</v>
      </c>
      <c r="B2492" t="str">
        <f t="shared" si="76"/>
        <v>2026-06</v>
      </c>
      <c r="C2492" s="3">
        <f t="shared" si="77"/>
        <v>5</v>
      </c>
      <c r="D2492" s="4">
        <v>24.29260362542222</v>
      </c>
      <c r="E2492" s="4"/>
      <c r="F2492" s="4">
        <v>29.325861069624999</v>
      </c>
      <c r="G2492" s="4">
        <v>18.100000000000001</v>
      </c>
      <c r="H2492" s="5">
        <v>48.474815025808333</v>
      </c>
      <c r="I2492" s="5"/>
      <c r="J2492" s="5">
        <v>46.171361002808332</v>
      </c>
      <c r="K2492" s="5">
        <v>78</v>
      </c>
    </row>
    <row r="2493" spans="1:11" x14ac:dyDescent="0.25">
      <c r="A2493" s="2">
        <v>46201.25</v>
      </c>
      <c r="B2493" t="str">
        <f t="shared" si="76"/>
        <v>2026-06</v>
      </c>
      <c r="C2493" s="3">
        <f t="shared" si="77"/>
        <v>6</v>
      </c>
      <c r="D2493" s="4">
        <v>24.909903581958329</v>
      </c>
      <c r="E2493" s="4"/>
      <c r="F2493" s="4">
        <v>29.30933343738889</v>
      </c>
      <c r="G2493" s="4">
        <v>18.3</v>
      </c>
      <c r="H2493" s="5">
        <v>47.104958106922219</v>
      </c>
      <c r="I2493" s="5"/>
      <c r="J2493" s="5">
        <v>46.123637536955563</v>
      </c>
      <c r="K2493" s="5">
        <v>77</v>
      </c>
    </row>
    <row r="2494" spans="1:11" x14ac:dyDescent="0.25">
      <c r="A2494" s="2">
        <v>46201.291666666657</v>
      </c>
      <c r="B2494" t="str">
        <f t="shared" si="76"/>
        <v>2026-06</v>
      </c>
      <c r="C2494" s="3">
        <f t="shared" si="77"/>
        <v>7</v>
      </c>
      <c r="D2494" s="4">
        <v>26.44165375710833</v>
      </c>
      <c r="E2494" s="4"/>
      <c r="F2494" s="4">
        <v>29.322777941786111</v>
      </c>
      <c r="G2494" s="4">
        <v>19.3</v>
      </c>
      <c r="H2494" s="5">
        <v>43.535089414086123</v>
      </c>
      <c r="I2494" s="5"/>
      <c r="J2494" s="5">
        <v>46.043582541661102</v>
      </c>
      <c r="K2494" s="5">
        <v>72</v>
      </c>
    </row>
    <row r="2495" spans="1:11" x14ac:dyDescent="0.25">
      <c r="A2495" s="2">
        <v>46201.333333333343</v>
      </c>
      <c r="B2495" t="str">
        <f t="shared" si="76"/>
        <v>2026-06</v>
      </c>
      <c r="C2495" s="3">
        <f t="shared" si="77"/>
        <v>8</v>
      </c>
      <c r="D2495" s="4">
        <v>26.971568936777771</v>
      </c>
      <c r="E2495" s="4"/>
      <c r="F2495" s="4">
        <v>29.342166706450001</v>
      </c>
      <c r="G2495" s="4">
        <v>20.399999999999999</v>
      </c>
      <c r="H2495" s="5">
        <v>42.819169872708329</v>
      </c>
      <c r="I2495" s="5"/>
      <c r="J2495" s="5">
        <v>45.936472256627781</v>
      </c>
      <c r="K2495" s="5">
        <v>67</v>
      </c>
    </row>
    <row r="2496" spans="1:11" x14ac:dyDescent="0.25">
      <c r="A2496" s="2">
        <v>46201.375</v>
      </c>
      <c r="B2496" t="str">
        <f t="shared" si="76"/>
        <v>2026-06</v>
      </c>
      <c r="C2496" s="3">
        <f t="shared" si="77"/>
        <v>9</v>
      </c>
      <c r="D2496" s="4">
        <v>27.478492448674999</v>
      </c>
      <c r="E2496" s="4"/>
      <c r="F2496" s="4">
        <v>29.370666564188891</v>
      </c>
      <c r="G2496" s="4">
        <v>21.5</v>
      </c>
      <c r="H2496" s="5">
        <v>40.987300776769452</v>
      </c>
      <c r="I2496" s="5"/>
      <c r="J2496" s="5">
        <v>45.802874803969438</v>
      </c>
      <c r="K2496" s="5">
        <v>61</v>
      </c>
    </row>
    <row r="2497" spans="1:11" x14ac:dyDescent="0.25">
      <c r="A2497" s="2">
        <v>46201.416666666657</v>
      </c>
      <c r="B2497" t="str">
        <f t="shared" si="76"/>
        <v>2026-06</v>
      </c>
      <c r="C2497" s="3">
        <f t="shared" si="77"/>
        <v>10</v>
      </c>
      <c r="D2497" s="4">
        <v>27.04869234063333</v>
      </c>
      <c r="E2497" s="4"/>
      <c r="F2497" s="4">
        <v>29.390069897775</v>
      </c>
      <c r="G2497" s="4">
        <v>22.7</v>
      </c>
      <c r="H2497" s="5">
        <v>41.229642671286108</v>
      </c>
      <c r="I2497" s="5"/>
      <c r="J2497" s="5">
        <v>45.75451635296389</v>
      </c>
      <c r="K2497" s="5">
        <v>53</v>
      </c>
    </row>
    <row r="2498" spans="1:11" x14ac:dyDescent="0.25">
      <c r="A2498" s="2">
        <v>46201.458333333343</v>
      </c>
      <c r="B2498" t="str">
        <f t="shared" ref="B2498:B2561" si="78">TEXT(A2498,"yyyy-mm")</f>
        <v>2026-06</v>
      </c>
      <c r="C2498" s="3">
        <f t="shared" ref="C2498:C2561" si="79">HOUR(A2498)</f>
        <v>11</v>
      </c>
      <c r="D2498" s="4">
        <v>26.991111439944451</v>
      </c>
      <c r="E2498" s="4"/>
      <c r="F2498" s="4">
        <v>29.421220497841659</v>
      </c>
      <c r="G2498" s="4">
        <v>23.9</v>
      </c>
      <c r="H2498" s="5">
        <v>40.828257195527783</v>
      </c>
      <c r="I2498" s="5"/>
      <c r="J2498" s="5">
        <v>45.599523068674991</v>
      </c>
      <c r="K2498" s="5">
        <v>47</v>
      </c>
    </row>
    <row r="2499" spans="1:11" x14ac:dyDescent="0.25">
      <c r="A2499" s="2">
        <v>46201.5</v>
      </c>
      <c r="B2499" t="str">
        <f t="shared" si="78"/>
        <v>2026-06</v>
      </c>
      <c r="C2499" s="3">
        <f t="shared" si="79"/>
        <v>12</v>
      </c>
      <c r="D2499" s="4">
        <v>27.130484749008328</v>
      </c>
      <c r="E2499" s="4"/>
      <c r="F2499" s="4">
        <v>29.38655532867778</v>
      </c>
      <c r="G2499" s="4">
        <v>24.8</v>
      </c>
      <c r="H2499" s="5">
        <v>39.524594860069449</v>
      </c>
      <c r="I2499" s="5"/>
      <c r="J2499" s="5">
        <v>45.550392116316672</v>
      </c>
      <c r="K2499" s="5">
        <v>43</v>
      </c>
    </row>
    <row r="2500" spans="1:11" x14ac:dyDescent="0.25">
      <c r="A2500" s="2">
        <v>46201.541666666657</v>
      </c>
      <c r="B2500" t="str">
        <f t="shared" si="78"/>
        <v>2026-06</v>
      </c>
      <c r="C2500" s="3">
        <f t="shared" si="79"/>
        <v>13</v>
      </c>
      <c r="D2500" s="4">
        <v>27.369593560686109</v>
      </c>
      <c r="E2500" s="4"/>
      <c r="F2500" s="4">
        <v>29.17672394979445</v>
      </c>
      <c r="G2500" s="4">
        <v>25.9</v>
      </c>
      <c r="H2500" s="5">
        <v>38.087500634836111</v>
      </c>
      <c r="I2500" s="5"/>
      <c r="J2500" s="5">
        <v>46.790113202255547</v>
      </c>
      <c r="K2500" s="5">
        <v>37</v>
      </c>
    </row>
    <row r="2501" spans="1:11" x14ac:dyDescent="0.25">
      <c r="A2501" s="2">
        <v>46201.583333333343</v>
      </c>
      <c r="B2501" t="str">
        <f t="shared" si="78"/>
        <v>2026-06</v>
      </c>
      <c r="C2501" s="3">
        <f t="shared" si="79"/>
        <v>14</v>
      </c>
      <c r="D2501" s="4">
        <v>27.44872709197222</v>
      </c>
      <c r="E2501" s="4"/>
      <c r="F2501" s="4">
        <v>29.315917364197219</v>
      </c>
      <c r="G2501" s="4">
        <v>26</v>
      </c>
      <c r="H2501" s="5">
        <v>37.927240349474999</v>
      </c>
      <c r="I2501" s="5"/>
      <c r="J2501" s="5">
        <v>46.456167344216659</v>
      </c>
      <c r="K2501" s="5">
        <v>37</v>
      </c>
    </row>
    <row r="2502" spans="1:11" x14ac:dyDescent="0.25">
      <c r="A2502" s="2">
        <v>46201.625</v>
      </c>
      <c r="B2502" t="str">
        <f t="shared" si="78"/>
        <v>2026-06</v>
      </c>
      <c r="C2502" s="3">
        <f t="shared" si="79"/>
        <v>15</v>
      </c>
      <c r="D2502" s="4">
        <v>27.7573941118</v>
      </c>
      <c r="E2502" s="4"/>
      <c r="F2502" s="4">
        <v>29.413777831899999</v>
      </c>
      <c r="G2502" s="4">
        <v>26.1</v>
      </c>
      <c r="H2502" s="5">
        <v>36.478441282699997</v>
      </c>
      <c r="I2502" s="5"/>
      <c r="J2502" s="5">
        <v>46.714576099061112</v>
      </c>
      <c r="K2502" s="5">
        <v>37</v>
      </c>
    </row>
    <row r="2503" spans="1:11" x14ac:dyDescent="0.25">
      <c r="A2503" s="2">
        <v>46201.666666666657</v>
      </c>
      <c r="B2503" t="str">
        <f t="shared" si="78"/>
        <v>2026-06</v>
      </c>
      <c r="C2503" s="3">
        <f t="shared" si="79"/>
        <v>16</v>
      </c>
      <c r="D2503" s="4">
        <v>27.961821786013889</v>
      </c>
      <c r="E2503" s="4"/>
      <c r="F2503" s="4">
        <v>29.530431260724999</v>
      </c>
      <c r="G2503" s="4">
        <v>26</v>
      </c>
      <c r="H2503" s="5">
        <v>35.483936712238886</v>
      </c>
      <c r="I2503" s="5"/>
      <c r="J2503" s="5">
        <v>46.276288632202778</v>
      </c>
      <c r="K2503" s="5">
        <v>40</v>
      </c>
    </row>
    <row r="2504" spans="1:11" x14ac:dyDescent="0.25">
      <c r="A2504" s="2">
        <v>46201.708333333343</v>
      </c>
      <c r="B2504" t="str">
        <f t="shared" si="78"/>
        <v>2026-06</v>
      </c>
      <c r="C2504" s="3">
        <f t="shared" si="79"/>
        <v>17</v>
      </c>
      <c r="D2504" s="4">
        <v>27.664950065380559</v>
      </c>
      <c r="E2504" s="4"/>
      <c r="F2504" s="4">
        <v>29.580470828033331</v>
      </c>
      <c r="G2504" s="4">
        <v>25.8</v>
      </c>
      <c r="H2504" s="5">
        <v>39.111748864644447</v>
      </c>
      <c r="I2504" s="5"/>
      <c r="J2504" s="5">
        <v>46.665264207416669</v>
      </c>
      <c r="K2504" s="5">
        <v>40</v>
      </c>
    </row>
    <row r="2505" spans="1:11" x14ac:dyDescent="0.25">
      <c r="A2505" s="2">
        <v>46201.75</v>
      </c>
      <c r="B2505" t="str">
        <f t="shared" si="78"/>
        <v>2026-06</v>
      </c>
      <c r="C2505" s="3">
        <f t="shared" si="79"/>
        <v>18</v>
      </c>
      <c r="D2505" s="4">
        <v>27.454093769191669</v>
      </c>
      <c r="E2505" s="4"/>
      <c r="F2505" s="4">
        <v>29.144343668699999</v>
      </c>
      <c r="G2505" s="4">
        <v>25.4</v>
      </c>
      <c r="H2505" s="5">
        <v>38.496204856825003</v>
      </c>
      <c r="I2505" s="5"/>
      <c r="J2505" s="5">
        <v>48.032741349116669</v>
      </c>
      <c r="K2505" s="5">
        <v>41</v>
      </c>
    </row>
    <row r="2506" spans="1:11" x14ac:dyDescent="0.25">
      <c r="A2506" s="2">
        <v>46201.791666666657</v>
      </c>
      <c r="B2506" t="str">
        <f t="shared" si="78"/>
        <v>2026-06</v>
      </c>
      <c r="C2506" s="3">
        <f t="shared" si="79"/>
        <v>19</v>
      </c>
      <c r="D2506" s="4">
        <v>26.944396518994449</v>
      </c>
      <c r="E2506" s="4"/>
      <c r="F2506" s="4">
        <v>28.838043304961111</v>
      </c>
      <c r="G2506" s="4">
        <v>24.5</v>
      </c>
      <c r="H2506" s="5">
        <v>37.691507487119438</v>
      </c>
      <c r="I2506" s="5"/>
      <c r="J2506" s="5">
        <v>46.05544962668889</v>
      </c>
      <c r="K2506" s="5">
        <v>45</v>
      </c>
    </row>
    <row r="2507" spans="1:11" x14ac:dyDescent="0.25">
      <c r="A2507" s="2">
        <v>46201.833333333343</v>
      </c>
      <c r="B2507" t="str">
        <f t="shared" si="78"/>
        <v>2026-06</v>
      </c>
      <c r="C2507" s="3">
        <f t="shared" si="79"/>
        <v>20</v>
      </c>
      <c r="D2507" s="4">
        <v>26.479150393280559</v>
      </c>
      <c r="E2507" s="4"/>
      <c r="F2507" s="4">
        <v>28.56477763002778</v>
      </c>
      <c r="G2507" s="4">
        <v>23.7</v>
      </c>
      <c r="H2507" s="5">
        <v>39.231582886102778</v>
      </c>
      <c r="I2507" s="5"/>
      <c r="J2507" s="5">
        <v>46.33513002351944</v>
      </c>
      <c r="K2507" s="5">
        <v>48</v>
      </c>
    </row>
    <row r="2508" spans="1:11" x14ac:dyDescent="0.25">
      <c r="A2508" s="2">
        <v>46201.875</v>
      </c>
      <c r="B2508" t="str">
        <f t="shared" si="78"/>
        <v>2026-06</v>
      </c>
      <c r="C2508" s="3">
        <f t="shared" si="79"/>
        <v>21</v>
      </c>
      <c r="D2508" s="4">
        <v>26.123584835175009</v>
      </c>
      <c r="E2508" s="4"/>
      <c r="F2508" s="4">
        <v>28.451821926480559</v>
      </c>
      <c r="G2508" s="4">
        <v>22.8</v>
      </c>
      <c r="H2508" s="5">
        <v>40.649367588227783</v>
      </c>
      <c r="I2508" s="5"/>
      <c r="J2508" s="5">
        <v>47.110465707599992</v>
      </c>
      <c r="K2508" s="5">
        <v>52</v>
      </c>
    </row>
    <row r="2509" spans="1:11" x14ac:dyDescent="0.25">
      <c r="A2509" s="2">
        <v>46201.916666666657</v>
      </c>
      <c r="B2509" t="str">
        <f t="shared" si="78"/>
        <v>2026-06</v>
      </c>
      <c r="C2509" s="3">
        <f t="shared" si="79"/>
        <v>22</v>
      </c>
      <c r="D2509" s="4">
        <v>25.819678759486109</v>
      </c>
      <c r="E2509" s="4"/>
      <c r="F2509" s="4">
        <v>28.775850210877781</v>
      </c>
      <c r="G2509" s="4">
        <v>22.2</v>
      </c>
      <c r="H2509" s="5">
        <v>41.790011440702777</v>
      </c>
      <c r="I2509" s="5"/>
      <c r="J2509" s="5">
        <v>46.722716204805558</v>
      </c>
      <c r="K2509" s="5">
        <v>55</v>
      </c>
    </row>
    <row r="2510" spans="1:11" x14ac:dyDescent="0.25">
      <c r="A2510" s="2">
        <v>46201.958333333343</v>
      </c>
      <c r="B2510" t="str">
        <f t="shared" si="78"/>
        <v>2026-06</v>
      </c>
      <c r="C2510" s="3">
        <f t="shared" si="79"/>
        <v>23</v>
      </c>
      <c r="D2510" s="4">
        <v>25.576085474700001</v>
      </c>
      <c r="E2510" s="4"/>
      <c r="F2510" s="4">
        <v>28.989891572400001</v>
      </c>
      <c r="G2510" s="4">
        <v>21.2</v>
      </c>
      <c r="H2510" s="5">
        <v>42.309283978627782</v>
      </c>
      <c r="I2510" s="5"/>
      <c r="J2510" s="5">
        <v>46.496204137786123</v>
      </c>
      <c r="K2510" s="5">
        <v>59</v>
      </c>
    </row>
    <row r="2511" spans="1:11" x14ac:dyDescent="0.25">
      <c r="A2511" s="2">
        <v>46202</v>
      </c>
      <c r="B2511" t="str">
        <f t="shared" si="78"/>
        <v>2026-06</v>
      </c>
      <c r="C2511" s="3">
        <f t="shared" si="79"/>
        <v>0</v>
      </c>
      <c r="D2511" s="4">
        <v>25.146980884375001</v>
      </c>
      <c r="E2511" s="4"/>
      <c r="F2511" s="4">
        <v>29.206794039741659</v>
      </c>
      <c r="G2511" s="4">
        <v>20.399999999999999</v>
      </c>
      <c r="H2511" s="5">
        <v>43.134591093588888</v>
      </c>
      <c r="I2511" s="5"/>
      <c r="J2511" s="5">
        <v>46.33060667548056</v>
      </c>
      <c r="K2511" s="5">
        <v>61</v>
      </c>
    </row>
    <row r="2512" spans="1:11" x14ac:dyDescent="0.25">
      <c r="A2512" s="2">
        <v>46202.041666666657</v>
      </c>
      <c r="B2512" t="str">
        <f t="shared" si="78"/>
        <v>2026-06</v>
      </c>
      <c r="C2512" s="3">
        <f t="shared" si="79"/>
        <v>1</v>
      </c>
      <c r="D2512" s="4">
        <v>24.763708162625001</v>
      </c>
      <c r="E2512" s="4"/>
      <c r="F2512" s="4">
        <v>29.322820855483329</v>
      </c>
      <c r="G2512" s="4">
        <v>19.600000000000001</v>
      </c>
      <c r="H2512" s="5">
        <v>43.547672528947217</v>
      </c>
      <c r="I2512" s="5"/>
      <c r="J2512" s="5">
        <v>46.091191156841667</v>
      </c>
      <c r="K2512" s="5">
        <v>65</v>
      </c>
    </row>
    <row r="2513" spans="1:11" x14ac:dyDescent="0.25">
      <c r="A2513" s="2">
        <v>46202.083333333343</v>
      </c>
      <c r="B2513" t="str">
        <f t="shared" si="78"/>
        <v>2026-06</v>
      </c>
      <c r="C2513" s="3">
        <f t="shared" si="79"/>
        <v>2</v>
      </c>
      <c r="D2513" s="4">
        <v>24.33867178048612</v>
      </c>
      <c r="E2513" s="4"/>
      <c r="F2513" s="4">
        <v>29.32863888235833</v>
      </c>
      <c r="G2513" s="4">
        <v>18.7</v>
      </c>
      <c r="H2513" s="5">
        <v>44.118697628272223</v>
      </c>
      <c r="I2513" s="5"/>
      <c r="J2513" s="5">
        <v>45.8173283904</v>
      </c>
      <c r="K2513" s="5">
        <v>69</v>
      </c>
    </row>
    <row r="2514" spans="1:11" x14ac:dyDescent="0.25">
      <c r="A2514" s="2">
        <v>46202.125</v>
      </c>
      <c r="B2514" t="str">
        <f t="shared" si="78"/>
        <v>2026-06</v>
      </c>
      <c r="C2514" s="3">
        <f t="shared" si="79"/>
        <v>3</v>
      </c>
      <c r="D2514" s="4">
        <v>23.96107116018333</v>
      </c>
      <c r="E2514" s="4"/>
      <c r="F2514" s="4">
        <v>29.29416615165</v>
      </c>
      <c r="G2514" s="4">
        <v>17.2</v>
      </c>
      <c r="H2514" s="5">
        <v>44.612736771058337</v>
      </c>
      <c r="I2514" s="5"/>
      <c r="J2514" s="5">
        <v>45.550675955894441</v>
      </c>
      <c r="K2514" s="5">
        <v>77</v>
      </c>
    </row>
    <row r="2515" spans="1:11" x14ac:dyDescent="0.25">
      <c r="A2515" s="2">
        <v>46202.166666666657</v>
      </c>
      <c r="B2515" t="str">
        <f t="shared" si="78"/>
        <v>2026-06</v>
      </c>
      <c r="C2515" s="3">
        <f t="shared" si="79"/>
        <v>4</v>
      </c>
      <c r="D2515" s="4">
        <v>23.641873008347229</v>
      </c>
      <c r="E2515" s="4"/>
      <c r="F2515" s="4">
        <v>29.243637571136109</v>
      </c>
      <c r="G2515" s="4">
        <v>16.399999999999999</v>
      </c>
      <c r="H2515" s="5">
        <v>45.015559222222223</v>
      </c>
      <c r="I2515" s="5"/>
      <c r="J2515" s="5">
        <v>45.366277550013898</v>
      </c>
      <c r="K2515" s="5">
        <v>82</v>
      </c>
    </row>
    <row r="2516" spans="1:11" x14ac:dyDescent="0.25">
      <c r="A2516" s="2">
        <v>46202.208333333343</v>
      </c>
      <c r="B2516" t="str">
        <f t="shared" si="78"/>
        <v>2026-06</v>
      </c>
      <c r="C2516" s="3">
        <f t="shared" si="79"/>
        <v>5</v>
      </c>
      <c r="D2516" s="4">
        <v>24.495609301211111</v>
      </c>
      <c r="E2516" s="4"/>
      <c r="F2516" s="4">
        <v>29.210540946733332</v>
      </c>
      <c r="G2516" s="4">
        <v>16</v>
      </c>
      <c r="H2516" s="5">
        <v>43.345262790011112</v>
      </c>
      <c r="I2516" s="5"/>
      <c r="J2516" s="5">
        <v>45.237290470411118</v>
      </c>
      <c r="K2516" s="5">
        <v>83</v>
      </c>
    </row>
    <row r="2517" spans="1:11" x14ac:dyDescent="0.25">
      <c r="A2517" s="2">
        <v>46202.25</v>
      </c>
      <c r="B2517" t="str">
        <f t="shared" si="78"/>
        <v>2026-06</v>
      </c>
      <c r="C2517" s="3">
        <f t="shared" si="79"/>
        <v>6</v>
      </c>
      <c r="D2517" s="4">
        <v>26.03445743527222</v>
      </c>
      <c r="E2517" s="4"/>
      <c r="F2517" s="4">
        <v>29.205055997411112</v>
      </c>
      <c r="G2517" s="4">
        <v>16.7</v>
      </c>
      <c r="H2517" s="5">
        <v>40.444552174980558</v>
      </c>
      <c r="I2517" s="5"/>
      <c r="J2517" s="5">
        <v>45.193679725002767</v>
      </c>
      <c r="K2517" s="5">
        <v>79</v>
      </c>
    </row>
    <row r="2518" spans="1:11" x14ac:dyDescent="0.25">
      <c r="A2518" s="2">
        <v>46202.291666666657</v>
      </c>
      <c r="B2518" t="str">
        <f t="shared" si="78"/>
        <v>2026-06</v>
      </c>
      <c r="C2518" s="3">
        <f t="shared" si="79"/>
        <v>7</v>
      </c>
      <c r="D2518" s="4">
        <v>27.08459459089444</v>
      </c>
      <c r="E2518" s="4"/>
      <c r="F2518" s="4">
        <v>29.220083843369451</v>
      </c>
      <c r="G2518" s="4">
        <v>18.2</v>
      </c>
      <c r="H2518" s="5">
        <v>38.776914207977782</v>
      </c>
      <c r="I2518" s="5"/>
      <c r="J2518" s="5">
        <v>45.187222381897222</v>
      </c>
      <c r="K2518" s="5">
        <v>71</v>
      </c>
    </row>
    <row r="2519" spans="1:11" x14ac:dyDescent="0.25">
      <c r="A2519" s="2">
        <v>46202.333333333343</v>
      </c>
      <c r="B2519" t="str">
        <f t="shared" si="78"/>
        <v>2026-06</v>
      </c>
      <c r="C2519" s="3">
        <f t="shared" si="79"/>
        <v>8</v>
      </c>
      <c r="D2519" s="4">
        <v>28.181964950408329</v>
      </c>
      <c r="E2519" s="4"/>
      <c r="F2519" s="4">
        <v>29.241417507747219</v>
      </c>
      <c r="G2519" s="4">
        <v>20.2</v>
      </c>
      <c r="H2519" s="5">
        <v>37.303234175288893</v>
      </c>
      <c r="I2519" s="5"/>
      <c r="J2519" s="5">
        <v>45.192097310063893</v>
      </c>
      <c r="K2519" s="5">
        <v>61</v>
      </c>
    </row>
    <row r="2520" spans="1:11" x14ac:dyDescent="0.25">
      <c r="A2520" s="2">
        <v>46202.375</v>
      </c>
      <c r="B2520" t="str">
        <f t="shared" si="78"/>
        <v>2026-06</v>
      </c>
      <c r="C2520" s="3">
        <f t="shared" si="79"/>
        <v>9</v>
      </c>
      <c r="D2520" s="4">
        <v>28.781853120000001</v>
      </c>
      <c r="E2520" s="4"/>
      <c r="F2520" s="4">
        <v>29.272014506805561</v>
      </c>
      <c r="G2520" s="4">
        <v>22.4</v>
      </c>
      <c r="H2520" s="5">
        <v>35.401779690983332</v>
      </c>
      <c r="I2520" s="5"/>
      <c r="J2520" s="5">
        <v>45.173137824286108</v>
      </c>
      <c r="K2520" s="5">
        <v>50</v>
      </c>
    </row>
    <row r="2521" spans="1:11" x14ac:dyDescent="0.25">
      <c r="A2521" s="2">
        <v>46202.416666666657</v>
      </c>
      <c r="B2521" t="str">
        <f t="shared" si="78"/>
        <v>2026-06</v>
      </c>
      <c r="C2521" s="3">
        <f t="shared" si="79"/>
        <v>10</v>
      </c>
      <c r="D2521" s="4">
        <v>28.798122311141672</v>
      </c>
      <c r="E2521" s="4"/>
      <c r="F2521" s="4">
        <v>29.316403799650001</v>
      </c>
      <c r="G2521" s="4">
        <v>23.7</v>
      </c>
      <c r="H2521" s="5">
        <v>34.847438258005553</v>
      </c>
      <c r="I2521" s="5"/>
      <c r="J2521" s="5">
        <v>45.219325392080563</v>
      </c>
      <c r="K2521" s="5">
        <v>44</v>
      </c>
    </row>
    <row r="2522" spans="1:11" x14ac:dyDescent="0.25">
      <c r="A2522" s="2">
        <v>46202.458333333343</v>
      </c>
      <c r="B2522" t="str">
        <f t="shared" si="78"/>
        <v>2026-06</v>
      </c>
      <c r="C2522" s="3">
        <f t="shared" si="79"/>
        <v>11</v>
      </c>
      <c r="D2522" s="4">
        <v>28.762826955525</v>
      </c>
      <c r="E2522" s="4"/>
      <c r="F2522" s="4">
        <v>29.423363390463891</v>
      </c>
      <c r="G2522" s="4">
        <v>25.2</v>
      </c>
      <c r="H2522" s="5">
        <v>33.616340979527777</v>
      </c>
      <c r="I2522" s="5"/>
      <c r="J2522" s="5">
        <v>45.481080371633333</v>
      </c>
      <c r="K2522" s="5">
        <v>38</v>
      </c>
    </row>
    <row r="2523" spans="1:11" x14ac:dyDescent="0.25">
      <c r="A2523" s="2">
        <v>46202.5</v>
      </c>
      <c r="B2523" t="str">
        <f t="shared" si="78"/>
        <v>2026-06</v>
      </c>
      <c r="C2523" s="3">
        <f t="shared" si="79"/>
        <v>12</v>
      </c>
      <c r="D2523" s="4">
        <v>28.670815217116669</v>
      </c>
      <c r="E2523" s="4"/>
      <c r="F2523" s="4">
        <v>29.578781096724999</v>
      </c>
      <c r="G2523" s="4">
        <v>26.2</v>
      </c>
      <c r="H2523" s="5">
        <v>33.593557375205563</v>
      </c>
      <c r="I2523" s="5"/>
      <c r="J2523" s="5">
        <v>45.330650026450002</v>
      </c>
      <c r="K2523" s="5">
        <v>35</v>
      </c>
    </row>
    <row r="2524" spans="1:11" x14ac:dyDescent="0.25">
      <c r="A2524" s="2">
        <v>46202.541666666657</v>
      </c>
      <c r="B2524" t="str">
        <f t="shared" si="78"/>
        <v>2026-06</v>
      </c>
      <c r="C2524" s="3">
        <f t="shared" si="79"/>
        <v>13</v>
      </c>
      <c r="D2524" s="4">
        <v>28.54783804617222</v>
      </c>
      <c r="E2524" s="4"/>
      <c r="F2524" s="4">
        <v>29.675931627924999</v>
      </c>
      <c r="G2524" s="4">
        <v>26.4</v>
      </c>
      <c r="H2524" s="5">
        <v>33.466399460391663</v>
      </c>
      <c r="I2524" s="5"/>
      <c r="J2524" s="5">
        <v>45.26652670843611</v>
      </c>
      <c r="K2524" s="5">
        <v>37</v>
      </c>
    </row>
    <row r="2525" spans="1:11" x14ac:dyDescent="0.25">
      <c r="A2525" s="2">
        <v>46202.583333333343</v>
      </c>
      <c r="B2525" t="str">
        <f t="shared" si="78"/>
        <v>2026-06</v>
      </c>
      <c r="C2525" s="3">
        <f t="shared" si="79"/>
        <v>14</v>
      </c>
      <c r="D2525" s="4">
        <v>28.473544881063891</v>
      </c>
      <c r="E2525" s="4"/>
      <c r="F2525" s="4">
        <v>29.684332663058331</v>
      </c>
      <c r="G2525" s="4">
        <v>26.6</v>
      </c>
      <c r="H2525" s="5">
        <v>33.099350218386107</v>
      </c>
      <c r="I2525" s="5"/>
      <c r="J2525" s="5">
        <v>45.050827780216672</v>
      </c>
      <c r="K2525" s="5">
        <v>38</v>
      </c>
    </row>
    <row r="2526" spans="1:11" x14ac:dyDescent="0.25">
      <c r="A2526" s="2">
        <v>46202.625</v>
      </c>
      <c r="B2526" t="str">
        <f t="shared" si="78"/>
        <v>2026-06</v>
      </c>
      <c r="C2526" s="3">
        <f t="shared" si="79"/>
        <v>15</v>
      </c>
      <c r="D2526" s="4">
        <v>28.364863318855559</v>
      </c>
      <c r="E2526" s="4"/>
      <c r="F2526" s="4">
        <v>29.638666170730559</v>
      </c>
      <c r="G2526" s="4">
        <v>27</v>
      </c>
      <c r="H2526" s="5">
        <v>33.306355576613889</v>
      </c>
      <c r="I2526" s="5"/>
      <c r="J2526" s="5">
        <v>44.910719314808333</v>
      </c>
      <c r="K2526" s="5">
        <v>38</v>
      </c>
    </row>
    <row r="2527" spans="1:11" x14ac:dyDescent="0.25">
      <c r="A2527" s="2">
        <v>46202.666666666657</v>
      </c>
      <c r="B2527" t="str">
        <f t="shared" si="78"/>
        <v>2026-06</v>
      </c>
      <c r="C2527" s="3">
        <f t="shared" si="79"/>
        <v>16</v>
      </c>
      <c r="D2527" s="4">
        <v>28.37660978435278</v>
      </c>
      <c r="E2527" s="4"/>
      <c r="F2527" s="4">
        <v>29.456323804694449</v>
      </c>
      <c r="G2527" s="4">
        <v>27.2</v>
      </c>
      <c r="H2527" s="5">
        <v>36.018103443727767</v>
      </c>
      <c r="I2527" s="5"/>
      <c r="J2527" s="5">
        <v>45.775571440625008</v>
      </c>
      <c r="K2527" s="5">
        <v>39</v>
      </c>
    </row>
    <row r="2528" spans="1:11" x14ac:dyDescent="0.25">
      <c r="A2528" s="2">
        <v>46202.708333333343</v>
      </c>
      <c r="B2528" t="str">
        <f t="shared" si="78"/>
        <v>2026-06</v>
      </c>
      <c r="C2528" s="3">
        <f t="shared" si="79"/>
        <v>17</v>
      </c>
      <c r="D2528" s="4">
        <v>28.37842636395834</v>
      </c>
      <c r="E2528" s="4"/>
      <c r="F2528" s="4">
        <v>29.259516789033331</v>
      </c>
      <c r="G2528" s="4">
        <v>27.1</v>
      </c>
      <c r="H2528" s="5">
        <v>34.867233068519447</v>
      </c>
      <c r="I2528" s="5"/>
      <c r="J2528" s="5">
        <v>45.992356295188891</v>
      </c>
      <c r="K2528" s="5">
        <v>40</v>
      </c>
    </row>
    <row r="2529" spans="1:11" x14ac:dyDescent="0.25">
      <c r="A2529" s="2">
        <v>46202.75</v>
      </c>
      <c r="B2529" t="str">
        <f t="shared" si="78"/>
        <v>2026-06</v>
      </c>
      <c r="C2529" s="3">
        <f t="shared" si="79"/>
        <v>18</v>
      </c>
      <c r="D2529" s="4">
        <v>28.22335995815833</v>
      </c>
      <c r="E2529" s="4"/>
      <c r="F2529" s="4">
        <v>29.447823009166669</v>
      </c>
      <c r="G2529" s="4">
        <v>26.7</v>
      </c>
      <c r="H2529" s="5">
        <v>35.995164231286111</v>
      </c>
      <c r="I2529" s="5"/>
      <c r="J2529" s="5">
        <v>45.460300571283327</v>
      </c>
      <c r="K2529" s="5">
        <v>41</v>
      </c>
    </row>
    <row r="2530" spans="1:11" x14ac:dyDescent="0.25">
      <c r="A2530" s="2">
        <v>46202.791666666657</v>
      </c>
      <c r="B2530" t="str">
        <f t="shared" si="78"/>
        <v>2026-06</v>
      </c>
      <c r="C2530" s="3">
        <f t="shared" si="79"/>
        <v>19</v>
      </c>
      <c r="D2530" s="4">
        <v>28.105026798730549</v>
      </c>
      <c r="E2530" s="4"/>
      <c r="F2530" s="4">
        <v>29.513527995202779</v>
      </c>
      <c r="G2530" s="4">
        <v>26.1</v>
      </c>
      <c r="H2530" s="5">
        <v>36.631717636047227</v>
      </c>
      <c r="I2530" s="5"/>
      <c r="J2530" s="5">
        <v>45.34241525125833</v>
      </c>
      <c r="K2530" s="5">
        <v>42</v>
      </c>
    </row>
    <row r="2531" spans="1:11" x14ac:dyDescent="0.25">
      <c r="A2531" s="2">
        <v>46202.833333333343</v>
      </c>
      <c r="B2531" t="str">
        <f t="shared" si="78"/>
        <v>2026-06</v>
      </c>
      <c r="C2531" s="3">
        <f t="shared" si="79"/>
        <v>20</v>
      </c>
      <c r="D2531" s="4">
        <v>27.778294611172221</v>
      </c>
      <c r="E2531" s="4"/>
      <c r="F2531" s="4">
        <v>29.37402143483056</v>
      </c>
      <c r="G2531" s="4">
        <v>25.4</v>
      </c>
      <c r="H2531" s="5">
        <v>38.716273595499999</v>
      </c>
      <c r="I2531" s="5"/>
      <c r="J2531" s="5">
        <v>46.121600281238891</v>
      </c>
      <c r="K2531" s="5">
        <v>45</v>
      </c>
    </row>
    <row r="2532" spans="1:11" x14ac:dyDescent="0.25">
      <c r="A2532" s="2">
        <v>46202.875</v>
      </c>
      <c r="B2532" t="str">
        <f t="shared" si="78"/>
        <v>2026-06</v>
      </c>
      <c r="C2532" s="3">
        <f t="shared" si="79"/>
        <v>21</v>
      </c>
      <c r="D2532" s="4">
        <v>27.556306537163891</v>
      </c>
      <c r="E2532" s="4"/>
      <c r="F2532" s="4">
        <v>29.280659178480558</v>
      </c>
      <c r="G2532" s="4">
        <v>24.9</v>
      </c>
      <c r="H2532" s="5">
        <v>39.207738740213891</v>
      </c>
      <c r="I2532" s="5"/>
      <c r="J2532" s="5">
        <v>47.032231170766657</v>
      </c>
      <c r="K2532" s="5">
        <v>48</v>
      </c>
    </row>
    <row r="2533" spans="1:11" x14ac:dyDescent="0.25">
      <c r="A2533" s="2">
        <v>46202.916666666657</v>
      </c>
      <c r="B2533" t="str">
        <f t="shared" si="78"/>
        <v>2026-06</v>
      </c>
      <c r="C2533" s="3">
        <f t="shared" si="79"/>
        <v>22</v>
      </c>
      <c r="D2533" s="4">
        <v>26.362941791030561</v>
      </c>
      <c r="E2533" s="4"/>
      <c r="F2533" s="4">
        <v>29.486405327511111</v>
      </c>
      <c r="G2533" s="4">
        <v>24</v>
      </c>
      <c r="H2533" s="5">
        <v>42.206328194677774</v>
      </c>
      <c r="I2533" s="5"/>
      <c r="J2533" s="5">
        <v>46.304306811224997</v>
      </c>
      <c r="K2533" s="5">
        <v>53</v>
      </c>
    </row>
    <row r="2534" spans="1:11" x14ac:dyDescent="0.25">
      <c r="A2534" s="2">
        <v>46202.958333333343</v>
      </c>
      <c r="B2534" t="str">
        <f t="shared" si="78"/>
        <v>2026-06</v>
      </c>
      <c r="C2534" s="3">
        <f t="shared" si="79"/>
        <v>23</v>
      </c>
      <c r="D2534" s="4">
        <v>25.455062408780549</v>
      </c>
      <c r="E2534" s="4"/>
      <c r="F2534" s="4">
        <v>29.011226766425001</v>
      </c>
      <c r="G2534" s="4">
        <v>23.2</v>
      </c>
      <c r="H2534" s="5">
        <v>46.911818233936117</v>
      </c>
      <c r="I2534" s="5"/>
      <c r="J2534" s="5">
        <v>48.631342556108343</v>
      </c>
      <c r="K2534" s="5">
        <v>56</v>
      </c>
    </row>
    <row r="2535" spans="1:11" x14ac:dyDescent="0.25">
      <c r="A2535" s="2">
        <v>46203</v>
      </c>
      <c r="B2535" t="str">
        <f t="shared" si="78"/>
        <v>2026-06</v>
      </c>
      <c r="C2535" s="3">
        <f t="shared" si="79"/>
        <v>0</v>
      </c>
      <c r="D2535" s="4">
        <v>26.349297761677771</v>
      </c>
      <c r="E2535" s="4"/>
      <c r="F2535" s="4">
        <v>28.698050866500001</v>
      </c>
      <c r="G2535" s="4">
        <v>22.1</v>
      </c>
      <c r="H2535" s="5">
        <v>46.197649447252793</v>
      </c>
      <c r="I2535" s="5"/>
      <c r="J2535" s="5">
        <v>50.054346243969441</v>
      </c>
      <c r="K2535" s="5">
        <v>61</v>
      </c>
    </row>
    <row r="2536" spans="1:11" x14ac:dyDescent="0.25">
      <c r="A2536" s="2">
        <v>46203.041666666657</v>
      </c>
      <c r="B2536" t="str">
        <f t="shared" si="78"/>
        <v>2026-06</v>
      </c>
      <c r="C2536" s="3">
        <f t="shared" si="79"/>
        <v>1</v>
      </c>
      <c r="D2536" s="4">
        <v>26.458973894413891</v>
      </c>
      <c r="E2536" s="4"/>
      <c r="F2536" s="4">
        <v>29.200119198916671</v>
      </c>
      <c r="G2536" s="4">
        <v>21.2</v>
      </c>
      <c r="H2536" s="5">
        <v>45.636981088236112</v>
      </c>
      <c r="I2536" s="5"/>
      <c r="J2536" s="5">
        <v>48.336505891583329</v>
      </c>
      <c r="K2536" s="5">
        <v>65</v>
      </c>
    </row>
    <row r="2537" spans="1:11" x14ac:dyDescent="0.25">
      <c r="A2537" s="2">
        <v>46203.083333333343</v>
      </c>
      <c r="B2537" t="str">
        <f t="shared" si="78"/>
        <v>2026-06</v>
      </c>
      <c r="C2537" s="3">
        <f t="shared" si="79"/>
        <v>2</v>
      </c>
      <c r="D2537" s="4">
        <v>26.230671660488891</v>
      </c>
      <c r="E2537" s="4"/>
      <c r="F2537" s="4">
        <v>29.396046467744441</v>
      </c>
      <c r="G2537" s="4">
        <v>20.399999999999999</v>
      </c>
      <c r="H2537" s="5">
        <v>44.888733966188887</v>
      </c>
      <c r="I2537" s="5"/>
      <c r="J2537" s="5">
        <v>47.715514878261111</v>
      </c>
      <c r="K2537" s="5">
        <v>69</v>
      </c>
    </row>
    <row r="2538" spans="1:11" x14ac:dyDescent="0.25">
      <c r="A2538" s="2">
        <v>46203.125</v>
      </c>
      <c r="B2538" t="str">
        <f t="shared" si="78"/>
        <v>2026-06</v>
      </c>
      <c r="C2538" s="3">
        <f t="shared" si="79"/>
        <v>3</v>
      </c>
      <c r="D2538" s="4">
        <v>24.149547685400002</v>
      </c>
      <c r="E2538" s="4"/>
      <c r="F2538" s="4">
        <v>29.513085041286111</v>
      </c>
      <c r="G2538" s="4">
        <v>19.7</v>
      </c>
      <c r="H2538" s="5">
        <v>52.745492054736111</v>
      </c>
      <c r="I2538" s="5"/>
      <c r="J2538" s="5">
        <v>47.482920787822223</v>
      </c>
      <c r="K2538" s="5">
        <v>73</v>
      </c>
    </row>
    <row r="2539" spans="1:11" x14ac:dyDescent="0.25">
      <c r="A2539" s="2">
        <v>46203.166666666657</v>
      </c>
      <c r="B2539" t="str">
        <f t="shared" si="78"/>
        <v>2026-06</v>
      </c>
      <c r="C2539" s="3">
        <f t="shared" si="79"/>
        <v>4</v>
      </c>
      <c r="D2539" s="4">
        <v>22.816949342625001</v>
      </c>
      <c r="E2539" s="4"/>
      <c r="F2539" s="4">
        <v>29.49287215973056</v>
      </c>
      <c r="G2539" s="4">
        <v>19.3</v>
      </c>
      <c r="H2539" s="5">
        <v>55.093386339275007</v>
      </c>
      <c r="I2539" s="5"/>
      <c r="J2539" s="5">
        <v>47.57787971756111</v>
      </c>
      <c r="K2539" s="5">
        <v>77</v>
      </c>
    </row>
    <row r="2540" spans="1:11" x14ac:dyDescent="0.25">
      <c r="A2540" s="2">
        <v>46203.208333333343</v>
      </c>
      <c r="B2540" t="str">
        <f t="shared" si="78"/>
        <v>2026-06</v>
      </c>
      <c r="C2540" s="3">
        <f t="shared" si="79"/>
        <v>5</v>
      </c>
      <c r="D2540" s="4">
        <v>23.341722778163891</v>
      </c>
      <c r="E2540" s="4"/>
      <c r="F2540" s="4">
        <v>29.407137071902781</v>
      </c>
      <c r="G2540" s="4">
        <v>19</v>
      </c>
      <c r="H2540" s="5">
        <v>52.737017207113887</v>
      </c>
      <c r="I2540" s="5"/>
      <c r="J2540" s="5">
        <v>47.272923483033331</v>
      </c>
      <c r="K2540" s="5">
        <v>80</v>
      </c>
    </row>
    <row r="2541" spans="1:11" x14ac:dyDescent="0.25">
      <c r="A2541" s="2">
        <v>46203.25</v>
      </c>
      <c r="B2541" t="str">
        <f t="shared" si="78"/>
        <v>2026-06</v>
      </c>
      <c r="C2541" s="3">
        <f t="shared" si="79"/>
        <v>6</v>
      </c>
      <c r="D2541" s="4">
        <v>24.496389388391659</v>
      </c>
      <c r="E2541" s="4"/>
      <c r="F2541" s="4">
        <v>29.368039248497219</v>
      </c>
      <c r="G2541" s="4">
        <v>19</v>
      </c>
      <c r="H2541" s="5">
        <v>49.83882325973056</v>
      </c>
      <c r="I2541" s="5"/>
      <c r="J2541" s="5">
        <v>47.107237851063893</v>
      </c>
      <c r="K2541" s="5">
        <v>77</v>
      </c>
    </row>
    <row r="2542" spans="1:11" x14ac:dyDescent="0.25">
      <c r="A2542" s="2">
        <v>46203.291666666657</v>
      </c>
      <c r="B2542" t="str">
        <f t="shared" si="78"/>
        <v>2026-06</v>
      </c>
      <c r="C2542" s="3">
        <f t="shared" si="79"/>
        <v>7</v>
      </c>
      <c r="D2542" s="4">
        <v>25.830531976344449</v>
      </c>
      <c r="E2542" s="4"/>
      <c r="F2542" s="4">
        <v>29.343513587058339</v>
      </c>
      <c r="G2542" s="4">
        <v>19.8</v>
      </c>
      <c r="H2542" s="5">
        <v>47.040502253444437</v>
      </c>
      <c r="I2542" s="5"/>
      <c r="J2542" s="5">
        <v>47.11955634117222</v>
      </c>
      <c r="K2542" s="5">
        <v>72</v>
      </c>
    </row>
    <row r="2543" spans="1:11" x14ac:dyDescent="0.25">
      <c r="A2543" s="2">
        <v>46203.333333333343</v>
      </c>
      <c r="B2543" t="str">
        <f t="shared" si="78"/>
        <v>2026-06</v>
      </c>
      <c r="C2543" s="3">
        <f t="shared" si="79"/>
        <v>8</v>
      </c>
      <c r="D2543" s="4">
        <v>26.815371584552778</v>
      </c>
      <c r="E2543" s="4"/>
      <c r="F2543" s="4">
        <v>29.348111822869441</v>
      </c>
      <c r="G2543" s="4">
        <v>21.4</v>
      </c>
      <c r="H2543" s="5">
        <v>45.86432345785834</v>
      </c>
      <c r="I2543" s="5"/>
      <c r="J2543" s="5">
        <v>47.244004612744448</v>
      </c>
      <c r="K2543" s="5">
        <v>65</v>
      </c>
    </row>
    <row r="2544" spans="1:11" x14ac:dyDescent="0.25">
      <c r="A2544" s="2">
        <v>46203.375</v>
      </c>
      <c r="B2544" t="str">
        <f t="shared" si="78"/>
        <v>2026-06</v>
      </c>
      <c r="C2544" s="3">
        <f t="shared" si="79"/>
        <v>9</v>
      </c>
      <c r="D2544" s="4">
        <v>27.297663368272222</v>
      </c>
      <c r="E2544" s="4"/>
      <c r="F2544" s="4">
        <v>29.339180258380551</v>
      </c>
      <c r="G2544" s="4">
        <v>23.2</v>
      </c>
      <c r="H2544" s="5">
        <v>44.034065256158343</v>
      </c>
      <c r="I2544" s="5"/>
      <c r="J2544" s="5">
        <v>47.87965909922778</v>
      </c>
      <c r="K2544" s="5">
        <v>59</v>
      </c>
    </row>
    <row r="2545" spans="1:11" x14ac:dyDescent="0.25">
      <c r="A2545" s="2">
        <v>46203.416666666657</v>
      </c>
      <c r="B2545" t="str">
        <f t="shared" si="78"/>
        <v>2026-06</v>
      </c>
      <c r="C2545" s="3">
        <f t="shared" si="79"/>
        <v>10</v>
      </c>
      <c r="D2545" s="4">
        <v>27.761744059861108</v>
      </c>
      <c r="E2545" s="4"/>
      <c r="F2545" s="4">
        <v>29.364473230000002</v>
      </c>
      <c r="G2545" s="4">
        <v>24.9</v>
      </c>
      <c r="H2545" s="5">
        <v>42.486885941944443</v>
      </c>
      <c r="I2545" s="5"/>
      <c r="J2545" s="5">
        <v>47.869533294450001</v>
      </c>
      <c r="K2545" s="5">
        <v>54</v>
      </c>
    </row>
    <row r="2546" spans="1:11" x14ac:dyDescent="0.25">
      <c r="A2546" s="2">
        <v>46203.458333333343</v>
      </c>
      <c r="B2546" t="str">
        <f t="shared" si="78"/>
        <v>2026-06</v>
      </c>
      <c r="C2546" s="3">
        <f t="shared" si="79"/>
        <v>11</v>
      </c>
      <c r="D2546" s="4">
        <v>27.974810462105559</v>
      </c>
      <c r="E2546" s="4"/>
      <c r="F2546" s="4">
        <v>29.404903494713889</v>
      </c>
      <c r="G2546" s="4">
        <v>26.6</v>
      </c>
      <c r="H2546" s="5">
        <v>42.751857329630553</v>
      </c>
      <c r="I2546" s="5"/>
      <c r="J2546" s="5">
        <v>47.784795286052777</v>
      </c>
      <c r="K2546" s="5">
        <v>49</v>
      </c>
    </row>
    <row r="2547" spans="1:11" x14ac:dyDescent="0.25">
      <c r="A2547" s="2">
        <v>46203.5</v>
      </c>
      <c r="B2547" t="str">
        <f t="shared" si="78"/>
        <v>2026-06</v>
      </c>
      <c r="C2547" s="3">
        <f t="shared" si="79"/>
        <v>12</v>
      </c>
      <c r="D2547" s="4">
        <v>27.99635954875</v>
      </c>
      <c r="E2547" s="4"/>
      <c r="F2547" s="4">
        <v>29.427667349733341</v>
      </c>
      <c r="G2547" s="4">
        <v>28.1</v>
      </c>
      <c r="H2547" s="5">
        <v>42.413358479925002</v>
      </c>
      <c r="I2547" s="5"/>
      <c r="J2547" s="5">
        <v>47.930902263913893</v>
      </c>
      <c r="K2547" s="5">
        <v>45</v>
      </c>
    </row>
    <row r="2548" spans="1:11" x14ac:dyDescent="0.25">
      <c r="A2548" s="2">
        <v>46203.541666666657</v>
      </c>
      <c r="B2548" t="str">
        <f t="shared" si="78"/>
        <v>2026-06</v>
      </c>
      <c r="C2548" s="3">
        <f t="shared" si="79"/>
        <v>13</v>
      </c>
      <c r="D2548" s="4">
        <v>28.075522751291668</v>
      </c>
      <c r="E2548" s="4"/>
      <c r="F2548" s="4">
        <v>29.44344268115</v>
      </c>
      <c r="G2548" s="4">
        <v>27.1</v>
      </c>
      <c r="H2548" s="5">
        <v>43.799970183647218</v>
      </c>
      <c r="I2548" s="5"/>
      <c r="J2548" s="5">
        <v>47.946928754408333</v>
      </c>
      <c r="K2548" s="5">
        <v>48</v>
      </c>
    </row>
    <row r="2549" spans="1:11" x14ac:dyDescent="0.25">
      <c r="A2549" s="2">
        <v>46203.583333333343</v>
      </c>
      <c r="B2549" t="str">
        <f t="shared" si="78"/>
        <v>2026-06</v>
      </c>
      <c r="C2549" s="3">
        <f t="shared" si="79"/>
        <v>14</v>
      </c>
      <c r="D2549" s="4">
        <v>28.08560744649445</v>
      </c>
      <c r="E2549" s="4"/>
      <c r="F2549" s="4">
        <v>29.449541782902781</v>
      </c>
      <c r="G2549" s="4">
        <v>27.4</v>
      </c>
      <c r="H2549" s="5">
        <v>43.536866460874997</v>
      </c>
      <c r="I2549" s="5"/>
      <c r="J2549" s="5">
        <v>47.847496109280549</v>
      </c>
      <c r="K2549" s="5">
        <v>47</v>
      </c>
    </row>
    <row r="2550" spans="1:11" x14ac:dyDescent="0.25">
      <c r="A2550" s="2">
        <v>46203.625</v>
      </c>
      <c r="B2550" t="str">
        <f t="shared" si="78"/>
        <v>2026-06</v>
      </c>
      <c r="C2550" s="3">
        <f t="shared" si="79"/>
        <v>15</v>
      </c>
      <c r="D2550" s="4">
        <v>28.239801103211111</v>
      </c>
      <c r="E2550" s="4"/>
      <c r="F2550" s="4">
        <v>29.450888576258329</v>
      </c>
      <c r="G2550" s="4">
        <v>28.4</v>
      </c>
      <c r="H2550" s="5">
        <v>43.069289110897223</v>
      </c>
      <c r="I2550" s="5"/>
      <c r="J2550" s="5">
        <v>47.598906165966667</v>
      </c>
      <c r="K2550" s="5">
        <v>44</v>
      </c>
    </row>
    <row r="2551" spans="1:11" x14ac:dyDescent="0.25">
      <c r="A2551" s="2">
        <v>46203.666666666657</v>
      </c>
      <c r="B2551" t="str">
        <f t="shared" si="78"/>
        <v>2026-06</v>
      </c>
      <c r="C2551" s="3">
        <f t="shared" si="79"/>
        <v>16</v>
      </c>
      <c r="D2551" s="4">
        <v>27.718447952725001</v>
      </c>
      <c r="E2551" s="4"/>
      <c r="F2551" s="4">
        <v>29.46041612319722</v>
      </c>
      <c r="G2551" s="4">
        <v>28.2</v>
      </c>
      <c r="H2551" s="5">
        <v>41.073639240616657</v>
      </c>
      <c r="I2551" s="5"/>
      <c r="J2551" s="5">
        <v>47.314946876527777</v>
      </c>
      <c r="K2551" s="5">
        <v>45</v>
      </c>
    </row>
    <row r="2552" spans="1:11" x14ac:dyDescent="0.25">
      <c r="A2552" s="2">
        <v>46203.708333333343</v>
      </c>
      <c r="B2552" t="str">
        <f t="shared" si="78"/>
        <v>2026-06</v>
      </c>
      <c r="C2552" s="3">
        <f t="shared" si="79"/>
        <v>17</v>
      </c>
      <c r="D2552" s="4">
        <v>27.702289963158339</v>
      </c>
      <c r="E2552" s="4"/>
      <c r="F2552" s="4">
        <v>29.444763572808341</v>
      </c>
      <c r="G2552" s="4">
        <v>27.6</v>
      </c>
      <c r="H2552" s="5">
        <v>40.520074879277779</v>
      </c>
      <c r="I2552" s="5"/>
      <c r="J2552" s="5">
        <v>46.957337634741663</v>
      </c>
      <c r="K2552" s="5">
        <v>46</v>
      </c>
    </row>
    <row r="2553" spans="1:11" x14ac:dyDescent="0.25">
      <c r="A2553" s="2">
        <v>46203.75</v>
      </c>
      <c r="B2553" t="str">
        <f t="shared" si="78"/>
        <v>2026-06</v>
      </c>
      <c r="C2553" s="3">
        <f t="shared" si="79"/>
        <v>18</v>
      </c>
      <c r="D2553" s="4">
        <v>28.385134101644439</v>
      </c>
      <c r="E2553" s="4"/>
      <c r="F2553" s="4">
        <v>29.455445606538891</v>
      </c>
      <c r="G2553" s="4">
        <v>27.3</v>
      </c>
      <c r="H2553" s="5">
        <v>42.410138375191671</v>
      </c>
      <c r="I2553" s="5"/>
      <c r="J2553" s="5">
        <v>46.838329826727779</v>
      </c>
      <c r="K2553" s="5">
        <v>46</v>
      </c>
    </row>
    <row r="2554" spans="1:11" x14ac:dyDescent="0.25">
      <c r="A2554" s="2">
        <v>46203.791666666657</v>
      </c>
      <c r="B2554" t="str">
        <f t="shared" si="78"/>
        <v>2026-06</v>
      </c>
      <c r="C2554" s="3">
        <f t="shared" si="79"/>
        <v>19</v>
      </c>
      <c r="D2554" s="4">
        <v>28.640332504524999</v>
      </c>
      <c r="E2554" s="4"/>
      <c r="F2554" s="4">
        <v>29.473305992722221</v>
      </c>
      <c r="G2554" s="4">
        <v>26.7</v>
      </c>
      <c r="H2554" s="5">
        <v>44.227557268644439</v>
      </c>
      <c r="I2554" s="5"/>
      <c r="J2554" s="5">
        <v>46.744082230005553</v>
      </c>
      <c r="K2554" s="5">
        <v>47</v>
      </c>
    </row>
    <row r="2555" spans="1:11" x14ac:dyDescent="0.25">
      <c r="A2555" s="2">
        <v>46203.833333333343</v>
      </c>
      <c r="B2555" t="str">
        <f t="shared" si="78"/>
        <v>2026-06</v>
      </c>
      <c r="C2555" s="3">
        <f t="shared" si="79"/>
        <v>20</v>
      </c>
      <c r="D2555" s="4">
        <v>28.489442838888891</v>
      </c>
      <c r="E2555" s="4"/>
      <c r="F2555" s="4">
        <v>29.480611026613889</v>
      </c>
      <c r="G2555" s="4">
        <v>26</v>
      </c>
      <c r="H2555" s="5">
        <v>43.631198378374997</v>
      </c>
      <c r="I2555" s="5"/>
      <c r="J2555" s="5">
        <v>46.730194521138877</v>
      </c>
      <c r="K2555" s="5">
        <v>49</v>
      </c>
    </row>
    <row r="2556" spans="1:11" x14ac:dyDescent="0.25">
      <c r="A2556" s="2">
        <v>46203.875</v>
      </c>
      <c r="B2556" t="str">
        <f t="shared" si="78"/>
        <v>2026-06</v>
      </c>
      <c r="C2556" s="3">
        <f t="shared" si="79"/>
        <v>21</v>
      </c>
      <c r="D2556" s="4">
        <v>26.783553444116659</v>
      </c>
      <c r="E2556" s="4"/>
      <c r="F2556" s="4">
        <v>29.443286564922222</v>
      </c>
      <c r="G2556" s="4">
        <v>25.1</v>
      </c>
      <c r="H2556" s="5">
        <v>40.099714138858339</v>
      </c>
      <c r="I2556" s="5"/>
      <c r="J2556" s="5">
        <v>46.462034039994442</v>
      </c>
      <c r="K2556" s="5">
        <v>52</v>
      </c>
    </row>
    <row r="2557" spans="1:11" x14ac:dyDescent="0.25">
      <c r="A2557" s="2">
        <v>46203.916666666657</v>
      </c>
      <c r="B2557" t="str">
        <f t="shared" si="78"/>
        <v>2026-06</v>
      </c>
      <c r="C2557" s="3">
        <f t="shared" si="79"/>
        <v>22</v>
      </c>
      <c r="D2557" s="4">
        <v>24.868927852083331</v>
      </c>
      <c r="E2557" s="4"/>
      <c r="F2557" s="4">
        <v>29.051909632061111</v>
      </c>
      <c r="G2557" s="4">
        <v>23.8</v>
      </c>
      <c r="H2557" s="5">
        <v>36.648813697308327</v>
      </c>
      <c r="I2557" s="5"/>
      <c r="J2557" s="5">
        <v>44.068651570286107</v>
      </c>
      <c r="K2557" s="5">
        <v>58</v>
      </c>
    </row>
    <row r="2558" spans="1:11" x14ac:dyDescent="0.25">
      <c r="A2558" s="2">
        <v>46203.958333333343</v>
      </c>
      <c r="B2558" t="str">
        <f t="shared" si="78"/>
        <v>2026-06</v>
      </c>
      <c r="C2558" s="3">
        <f t="shared" si="79"/>
        <v>23</v>
      </c>
      <c r="D2558" s="4">
        <v>24.383488098972219</v>
      </c>
      <c r="E2558" s="4"/>
      <c r="F2558" s="4">
        <v>28.979735381175001</v>
      </c>
      <c r="G2558" s="4">
        <v>22.7</v>
      </c>
      <c r="H2558" s="5">
        <v>38.025542543227779</v>
      </c>
      <c r="I2558" s="5"/>
      <c r="J2558" s="5">
        <v>43.614391107811123</v>
      </c>
      <c r="K2558" s="5">
        <v>63</v>
      </c>
    </row>
    <row r="2559" spans="1:11" x14ac:dyDescent="0.25">
      <c r="A2559" s="2">
        <v>46204</v>
      </c>
      <c r="B2559" t="str">
        <f t="shared" si="78"/>
        <v>2026-07</v>
      </c>
      <c r="C2559" s="3">
        <f t="shared" si="79"/>
        <v>0</v>
      </c>
      <c r="D2559" s="4">
        <v>23.971434424861108</v>
      </c>
      <c r="E2559" s="4"/>
      <c r="F2559" s="4">
        <v>29.097774766061111</v>
      </c>
      <c r="G2559" s="4">
        <v>21.9</v>
      </c>
      <c r="H2559" s="5">
        <v>38.665764572063893</v>
      </c>
      <c r="I2559" s="5"/>
      <c r="J2559" s="5">
        <v>43.795099431461118</v>
      </c>
      <c r="K2559" s="5">
        <v>64</v>
      </c>
    </row>
    <row r="2560" spans="1:11" x14ac:dyDescent="0.25">
      <c r="A2560" s="2">
        <v>46204.041666666657</v>
      </c>
      <c r="B2560" t="str">
        <f t="shared" si="78"/>
        <v>2026-07</v>
      </c>
      <c r="C2560" s="3">
        <f t="shared" si="79"/>
        <v>1</v>
      </c>
      <c r="D2560" s="4">
        <v>25.70864861196111</v>
      </c>
      <c r="E2560" s="4"/>
      <c r="F2560" s="4">
        <v>29.163743638322231</v>
      </c>
      <c r="G2560" s="4">
        <v>21.2</v>
      </c>
      <c r="H2560" s="5">
        <v>43.978677773547219</v>
      </c>
      <c r="I2560" s="5"/>
      <c r="J2560" s="5">
        <v>44.086460504380561</v>
      </c>
      <c r="K2560" s="5">
        <v>64</v>
      </c>
    </row>
    <row r="2561" spans="1:11" x14ac:dyDescent="0.25">
      <c r="A2561" s="2">
        <v>46204.083333333343</v>
      </c>
      <c r="B2561" t="str">
        <f t="shared" si="78"/>
        <v>2026-07</v>
      </c>
      <c r="C2561" s="3">
        <f t="shared" si="79"/>
        <v>2</v>
      </c>
      <c r="D2561" s="4">
        <v>26.522854820025</v>
      </c>
      <c r="E2561" s="4"/>
      <c r="F2561" s="4">
        <v>29.329753596105551</v>
      </c>
      <c r="G2561" s="4">
        <v>20.6</v>
      </c>
      <c r="H2561" s="5">
        <v>46.737149124005562</v>
      </c>
      <c r="I2561" s="5"/>
      <c r="J2561" s="5">
        <v>45.301359101677782</v>
      </c>
      <c r="K2561" s="5">
        <v>64</v>
      </c>
    </row>
    <row r="2562" spans="1:11" x14ac:dyDescent="0.25">
      <c r="A2562" s="2">
        <v>46204.125</v>
      </c>
      <c r="B2562" t="str">
        <f t="shared" ref="B2562:B2625" si="80">TEXT(A2562,"yyyy-mm")</f>
        <v>2026-07</v>
      </c>
      <c r="C2562" s="3">
        <f t="shared" ref="C2562:C2625" si="81">HOUR(A2562)</f>
        <v>3</v>
      </c>
      <c r="D2562" s="4">
        <v>26.65263786201945</v>
      </c>
      <c r="E2562" s="4"/>
      <c r="F2562" s="4">
        <v>29.445530676833329</v>
      </c>
      <c r="G2562" s="4">
        <v>19.3</v>
      </c>
      <c r="H2562" s="5">
        <v>46.63169903410833</v>
      </c>
      <c r="I2562" s="5"/>
      <c r="J2562" s="5">
        <v>45.91673707848333</v>
      </c>
      <c r="K2562" s="5">
        <v>72</v>
      </c>
    </row>
    <row r="2563" spans="1:11" x14ac:dyDescent="0.25">
      <c r="A2563" s="2">
        <v>46204.166666666657</v>
      </c>
      <c r="B2563" t="str">
        <f t="shared" si="80"/>
        <v>2026-07</v>
      </c>
      <c r="C2563" s="3">
        <f t="shared" si="81"/>
        <v>4</v>
      </c>
      <c r="D2563" s="4">
        <v>26.657086687986109</v>
      </c>
      <c r="E2563" s="4"/>
      <c r="F2563" s="4">
        <v>29.472861439925001</v>
      </c>
      <c r="G2563" s="4">
        <v>18.600000000000001</v>
      </c>
      <c r="H2563" s="5">
        <v>46.269748395458329</v>
      </c>
      <c r="I2563" s="5"/>
      <c r="J2563" s="5">
        <v>46.100352447458327</v>
      </c>
      <c r="K2563" s="5">
        <v>76</v>
      </c>
    </row>
    <row r="2564" spans="1:11" x14ac:dyDescent="0.25">
      <c r="A2564" s="2">
        <v>46204.208333333343</v>
      </c>
      <c r="B2564" t="str">
        <f t="shared" si="80"/>
        <v>2026-07</v>
      </c>
      <c r="C2564" s="3">
        <f t="shared" si="81"/>
        <v>5</v>
      </c>
      <c r="D2564" s="4">
        <v>26.83097411013334</v>
      </c>
      <c r="E2564" s="4"/>
      <c r="F2564" s="4">
        <v>29.460249135908331</v>
      </c>
      <c r="G2564" s="4">
        <v>18.2</v>
      </c>
      <c r="H2564" s="5">
        <v>45.993689651574996</v>
      </c>
      <c r="I2564" s="5"/>
      <c r="J2564" s="5">
        <v>46.165083449874999</v>
      </c>
      <c r="K2564" s="5">
        <v>77</v>
      </c>
    </row>
    <row r="2565" spans="1:11" x14ac:dyDescent="0.25">
      <c r="A2565" s="2">
        <v>46204.25</v>
      </c>
      <c r="B2565" t="str">
        <f t="shared" si="80"/>
        <v>2026-07</v>
      </c>
      <c r="C2565" s="3">
        <f t="shared" si="81"/>
        <v>6</v>
      </c>
      <c r="D2565" s="4">
        <v>27.379505044536121</v>
      </c>
      <c r="E2565" s="4"/>
      <c r="F2565" s="4">
        <v>29.445346770172229</v>
      </c>
      <c r="G2565" s="4">
        <v>18.899999999999999</v>
      </c>
      <c r="H2565" s="5">
        <v>45.503534110494449</v>
      </c>
      <c r="I2565" s="5"/>
      <c r="J2565" s="5">
        <v>46.153748357730557</v>
      </c>
      <c r="K2565" s="5">
        <v>75</v>
      </c>
    </row>
    <row r="2566" spans="1:11" x14ac:dyDescent="0.25">
      <c r="A2566" s="2">
        <v>46204.291666666657</v>
      </c>
      <c r="B2566" t="str">
        <f t="shared" si="80"/>
        <v>2026-07</v>
      </c>
      <c r="C2566" s="3">
        <f t="shared" si="81"/>
        <v>7</v>
      </c>
      <c r="D2566" s="4">
        <v>28.015401396102771</v>
      </c>
      <c r="E2566" s="4"/>
      <c r="F2566" s="4">
        <v>29.442138643022229</v>
      </c>
      <c r="G2566" s="4">
        <v>20.399999999999999</v>
      </c>
      <c r="H2566" s="5">
        <v>45.078646688958337</v>
      </c>
      <c r="I2566" s="5"/>
      <c r="J2566" s="5">
        <v>46.117290155241669</v>
      </c>
      <c r="K2566" s="5">
        <v>70</v>
      </c>
    </row>
    <row r="2567" spans="1:11" x14ac:dyDescent="0.25">
      <c r="A2567" s="2">
        <v>46204.333333333343</v>
      </c>
      <c r="B2567" t="str">
        <f t="shared" si="80"/>
        <v>2026-07</v>
      </c>
      <c r="C2567" s="3">
        <f t="shared" si="81"/>
        <v>8</v>
      </c>
      <c r="D2567" s="4">
        <v>28.683125553802778</v>
      </c>
      <c r="E2567" s="4"/>
      <c r="F2567" s="4">
        <v>29.455876725233331</v>
      </c>
      <c r="G2567" s="4">
        <v>22.5</v>
      </c>
      <c r="H2567" s="5">
        <v>44.453006456261122</v>
      </c>
      <c r="I2567" s="5"/>
      <c r="J2567" s="5">
        <v>46.124532349755562</v>
      </c>
      <c r="K2567" s="5">
        <v>62</v>
      </c>
    </row>
    <row r="2568" spans="1:11" x14ac:dyDescent="0.25">
      <c r="A2568" s="2">
        <v>46204.375</v>
      </c>
      <c r="B2568" t="str">
        <f t="shared" si="80"/>
        <v>2026-07</v>
      </c>
      <c r="C2568" s="3">
        <f t="shared" si="81"/>
        <v>9</v>
      </c>
      <c r="D2568" s="4">
        <v>29.182781926680558</v>
      </c>
      <c r="E2568" s="4"/>
      <c r="F2568" s="4">
        <v>29.496974061366672</v>
      </c>
      <c r="G2568" s="4">
        <v>25.1</v>
      </c>
      <c r="H2568" s="5">
        <v>43.901817629999996</v>
      </c>
      <c r="I2568" s="5"/>
      <c r="J2568" s="5">
        <v>46.211415979200012</v>
      </c>
      <c r="K2568" s="5">
        <v>53</v>
      </c>
    </row>
    <row r="2569" spans="1:11" x14ac:dyDescent="0.25">
      <c r="A2569" s="2">
        <v>46204.416666666657</v>
      </c>
      <c r="B2569" t="str">
        <f t="shared" si="80"/>
        <v>2026-07</v>
      </c>
      <c r="C2569" s="3">
        <f t="shared" si="81"/>
        <v>10</v>
      </c>
      <c r="D2569" s="4">
        <v>28.315884656474999</v>
      </c>
      <c r="E2569" s="4"/>
      <c r="F2569" s="4">
        <v>29.62710285627222</v>
      </c>
      <c r="G2569" s="4">
        <v>26.4</v>
      </c>
      <c r="H2569" s="5">
        <v>38.313823478136122</v>
      </c>
      <c r="I2569" s="5"/>
      <c r="J2569" s="5">
        <v>48.010237389813881</v>
      </c>
      <c r="K2569" s="5">
        <v>47</v>
      </c>
    </row>
    <row r="2570" spans="1:11" x14ac:dyDescent="0.25">
      <c r="A2570" s="2">
        <v>46204.458333333343</v>
      </c>
      <c r="B2570" t="str">
        <f t="shared" si="80"/>
        <v>2026-07</v>
      </c>
      <c r="C2570" s="3">
        <f t="shared" si="81"/>
        <v>11</v>
      </c>
      <c r="D2570" s="4">
        <v>26.529599671380559</v>
      </c>
      <c r="E2570" s="4"/>
      <c r="F2570" s="4">
        <v>29.626475377422221</v>
      </c>
      <c r="G2570" s="4">
        <v>27.5</v>
      </c>
      <c r="H2570" s="5">
        <v>34.570948414802778</v>
      </c>
      <c r="I2570" s="5"/>
      <c r="J2570" s="5">
        <v>45.899129608244444</v>
      </c>
      <c r="K2570" s="5">
        <v>42</v>
      </c>
    </row>
    <row r="2571" spans="1:11" x14ac:dyDescent="0.25">
      <c r="A2571" s="2">
        <v>46204.5</v>
      </c>
      <c r="B2571" t="str">
        <f t="shared" si="80"/>
        <v>2026-07</v>
      </c>
      <c r="C2571" s="3">
        <f t="shared" si="81"/>
        <v>12</v>
      </c>
      <c r="D2571" s="4">
        <v>25.891145834813891</v>
      </c>
      <c r="E2571" s="4"/>
      <c r="F2571" s="4">
        <v>29.662042215216669</v>
      </c>
      <c r="G2571" s="4">
        <v>28.4</v>
      </c>
      <c r="H2571" s="5">
        <v>34.937425470347222</v>
      </c>
      <c r="I2571" s="5"/>
      <c r="J2571" s="5">
        <v>45.129684672052782</v>
      </c>
      <c r="K2571" s="5">
        <v>39</v>
      </c>
    </row>
    <row r="2572" spans="1:11" x14ac:dyDescent="0.25">
      <c r="A2572" s="2">
        <v>46204.541666666657</v>
      </c>
      <c r="B2572" t="str">
        <f t="shared" si="80"/>
        <v>2026-07</v>
      </c>
      <c r="C2572" s="3">
        <f t="shared" si="81"/>
        <v>13</v>
      </c>
      <c r="D2572" s="4">
        <v>25.95214725489722</v>
      </c>
      <c r="E2572" s="4"/>
      <c r="F2572" s="4">
        <v>29.559077288988892</v>
      </c>
      <c r="G2572" s="4">
        <v>29.2</v>
      </c>
      <c r="H2572" s="5">
        <v>37.178810527316656</v>
      </c>
      <c r="I2572" s="5"/>
      <c r="J2572" s="5">
        <v>44.453361886672219</v>
      </c>
      <c r="K2572" s="5">
        <v>36</v>
      </c>
    </row>
    <row r="2573" spans="1:11" x14ac:dyDescent="0.25">
      <c r="A2573" s="2">
        <v>46204.583333333343</v>
      </c>
      <c r="B2573" t="str">
        <f t="shared" si="80"/>
        <v>2026-07</v>
      </c>
      <c r="C2573" s="3">
        <f t="shared" si="81"/>
        <v>14</v>
      </c>
      <c r="D2573" s="4">
        <v>26.144689729241659</v>
      </c>
      <c r="E2573" s="4"/>
      <c r="F2573" s="4">
        <v>28.99450765541944</v>
      </c>
      <c r="G2573" s="4">
        <v>29.8</v>
      </c>
      <c r="H2573" s="5">
        <v>40.672380262941672</v>
      </c>
      <c r="I2573" s="5"/>
      <c r="J2573" s="5">
        <v>45.802808387669437</v>
      </c>
      <c r="K2573" s="5">
        <v>34</v>
      </c>
    </row>
    <row r="2574" spans="1:11" x14ac:dyDescent="0.25">
      <c r="A2574" s="2">
        <v>46204.625</v>
      </c>
      <c r="B2574" t="str">
        <f t="shared" si="80"/>
        <v>2026-07</v>
      </c>
      <c r="C2574" s="3">
        <f t="shared" si="81"/>
        <v>15</v>
      </c>
      <c r="D2574" s="4">
        <v>26.08164819851666</v>
      </c>
      <c r="E2574" s="4"/>
      <c r="F2574" s="4">
        <v>28.30166236011112</v>
      </c>
      <c r="G2574" s="4">
        <v>30.5</v>
      </c>
      <c r="H2574" s="5">
        <v>39.146686533230557</v>
      </c>
      <c r="I2574" s="5"/>
      <c r="J2574" s="5">
        <v>45.919672897213893</v>
      </c>
      <c r="K2574" s="5">
        <v>33</v>
      </c>
    </row>
    <row r="2575" spans="1:11" x14ac:dyDescent="0.25">
      <c r="A2575" s="2">
        <v>46204.666666666657</v>
      </c>
      <c r="B2575" t="str">
        <f t="shared" si="80"/>
        <v>2026-07</v>
      </c>
      <c r="C2575" s="3">
        <f t="shared" si="81"/>
        <v>16</v>
      </c>
      <c r="D2575" s="4">
        <v>25.991279373002779</v>
      </c>
      <c r="E2575" s="4"/>
      <c r="F2575" s="4">
        <v>28.176416706808329</v>
      </c>
      <c r="G2575" s="4">
        <v>30.5</v>
      </c>
      <c r="H2575" s="5">
        <v>41.407172276352767</v>
      </c>
      <c r="I2575" s="5"/>
      <c r="J2575" s="5">
        <v>48.048702238594451</v>
      </c>
      <c r="K2575" s="5">
        <v>32</v>
      </c>
    </row>
    <row r="2576" spans="1:11" x14ac:dyDescent="0.25">
      <c r="A2576" s="2">
        <v>46204.708333333343</v>
      </c>
      <c r="B2576" t="str">
        <f t="shared" si="80"/>
        <v>2026-07</v>
      </c>
      <c r="C2576" s="3">
        <f t="shared" si="81"/>
        <v>17</v>
      </c>
      <c r="D2576" s="4">
        <v>26.042794913674999</v>
      </c>
      <c r="E2576" s="4"/>
      <c r="F2576" s="4">
        <v>28.03567530731112</v>
      </c>
      <c r="G2576" s="4">
        <v>30.2</v>
      </c>
      <c r="H2576" s="5">
        <v>41.82638671358611</v>
      </c>
      <c r="I2576" s="5"/>
      <c r="J2576" s="5">
        <v>48.897429098213898</v>
      </c>
      <c r="K2576" s="5">
        <v>34</v>
      </c>
    </row>
    <row r="2577" spans="1:11" x14ac:dyDescent="0.25">
      <c r="A2577" s="2">
        <v>46204.75</v>
      </c>
      <c r="B2577" t="str">
        <f t="shared" si="80"/>
        <v>2026-07</v>
      </c>
      <c r="C2577" s="3">
        <f t="shared" si="81"/>
        <v>18</v>
      </c>
      <c r="D2577" s="4">
        <v>25.877927611772229</v>
      </c>
      <c r="E2577" s="4"/>
      <c r="F2577" s="4">
        <v>28.43141533438056</v>
      </c>
      <c r="G2577" s="4">
        <v>29.8</v>
      </c>
      <c r="H2577" s="5">
        <v>41.457120763786122</v>
      </c>
      <c r="I2577" s="5"/>
      <c r="J2577" s="5">
        <v>47.447525393638891</v>
      </c>
      <c r="K2577" s="5">
        <v>35</v>
      </c>
    </row>
    <row r="2578" spans="1:11" x14ac:dyDescent="0.25">
      <c r="A2578" s="2">
        <v>46204.791666666657</v>
      </c>
      <c r="B2578" t="str">
        <f t="shared" si="80"/>
        <v>2026-07</v>
      </c>
      <c r="C2578" s="3">
        <f t="shared" si="81"/>
        <v>19</v>
      </c>
      <c r="D2578" s="4">
        <v>24.923307189402781</v>
      </c>
      <c r="E2578" s="4"/>
      <c r="F2578" s="4">
        <v>28.85967744301945</v>
      </c>
      <c r="G2578" s="4">
        <v>29.4</v>
      </c>
      <c r="H2578" s="5">
        <v>37.031498015241667</v>
      </c>
      <c r="I2578" s="5"/>
      <c r="J2578" s="5">
        <v>46.317011103500001</v>
      </c>
      <c r="K2578" s="5">
        <v>36</v>
      </c>
    </row>
    <row r="2579" spans="1:11" x14ac:dyDescent="0.25">
      <c r="A2579" s="2">
        <v>46204.833333333343</v>
      </c>
      <c r="B2579" t="str">
        <f t="shared" si="80"/>
        <v>2026-07</v>
      </c>
      <c r="C2579" s="3">
        <f t="shared" si="81"/>
        <v>20</v>
      </c>
      <c r="D2579" s="4">
        <v>25.036516417666661</v>
      </c>
      <c r="E2579" s="4"/>
      <c r="F2579" s="4">
        <v>29.012896555569441</v>
      </c>
      <c r="G2579" s="4">
        <v>28.7</v>
      </c>
      <c r="H2579" s="5">
        <v>43.953249482280548</v>
      </c>
      <c r="I2579" s="5"/>
      <c r="J2579" s="5">
        <v>46.018568082691672</v>
      </c>
      <c r="K2579" s="5">
        <v>38</v>
      </c>
    </row>
    <row r="2580" spans="1:11" x14ac:dyDescent="0.25">
      <c r="A2580" s="2">
        <v>46204.875</v>
      </c>
      <c r="B2580" t="str">
        <f t="shared" si="80"/>
        <v>2026-07</v>
      </c>
      <c r="C2580" s="3">
        <f t="shared" si="81"/>
        <v>21</v>
      </c>
      <c r="D2580" s="4">
        <v>25.828761628252771</v>
      </c>
      <c r="E2580" s="4"/>
      <c r="F2580" s="4">
        <v>29.110739173158329</v>
      </c>
      <c r="G2580" s="4">
        <v>27.6</v>
      </c>
      <c r="H2580" s="5">
        <v>46.925049597388877</v>
      </c>
      <c r="I2580" s="5"/>
      <c r="J2580" s="5">
        <v>46.177727648788881</v>
      </c>
      <c r="K2580" s="5">
        <v>41</v>
      </c>
    </row>
    <row r="2581" spans="1:11" x14ac:dyDescent="0.25">
      <c r="A2581" s="2">
        <v>46204.916666666657</v>
      </c>
      <c r="B2581" t="str">
        <f t="shared" si="80"/>
        <v>2026-07</v>
      </c>
      <c r="C2581" s="3">
        <f t="shared" si="81"/>
        <v>22</v>
      </c>
      <c r="D2581" s="4">
        <v>26.791763923872221</v>
      </c>
      <c r="E2581" s="4"/>
      <c r="F2581" s="4">
        <v>29.02928538066945</v>
      </c>
      <c r="G2581" s="4">
        <v>26.7</v>
      </c>
      <c r="H2581" s="5">
        <v>46.754555221608342</v>
      </c>
      <c r="I2581" s="5"/>
      <c r="J2581" s="5">
        <v>49.744400392719449</v>
      </c>
      <c r="K2581" s="5">
        <v>45</v>
      </c>
    </row>
    <row r="2582" spans="1:11" x14ac:dyDescent="0.25">
      <c r="A2582" s="2">
        <v>46204.958333333343</v>
      </c>
      <c r="B2582" t="str">
        <f t="shared" si="80"/>
        <v>2026-07</v>
      </c>
      <c r="C2582" s="3">
        <f t="shared" si="81"/>
        <v>23</v>
      </c>
      <c r="D2582" s="4">
        <v>24.784020454327781</v>
      </c>
      <c r="E2582" s="4"/>
      <c r="F2582" s="4">
        <v>27.749992046472219</v>
      </c>
      <c r="G2582" s="4">
        <v>25.6</v>
      </c>
      <c r="H2582" s="5">
        <v>39.656937071494447</v>
      </c>
      <c r="I2582" s="5"/>
      <c r="J2582" s="5">
        <v>45.627415525797232</v>
      </c>
      <c r="K2582" s="5">
        <v>51</v>
      </c>
    </row>
    <row r="2583" spans="1:11" x14ac:dyDescent="0.25">
      <c r="A2583" s="2">
        <v>46205</v>
      </c>
      <c r="B2583" t="str">
        <f t="shared" si="80"/>
        <v>2026-07</v>
      </c>
      <c r="C2583" s="3">
        <f t="shared" si="81"/>
        <v>0</v>
      </c>
      <c r="D2583" s="4">
        <v>24.306673524933331</v>
      </c>
      <c r="E2583" s="4"/>
      <c r="F2583" s="4">
        <v>28.28473199236112</v>
      </c>
      <c r="G2583" s="4">
        <v>24.1</v>
      </c>
      <c r="H2583" s="5">
        <v>38.256417358438888</v>
      </c>
      <c r="I2583" s="5"/>
      <c r="J2583" s="5">
        <v>45.101660622452783</v>
      </c>
      <c r="K2583" s="5">
        <v>60</v>
      </c>
    </row>
    <row r="2584" spans="1:11" x14ac:dyDescent="0.25">
      <c r="A2584" s="2">
        <v>46205.041666666657</v>
      </c>
      <c r="B2584" t="str">
        <f t="shared" si="80"/>
        <v>2026-07</v>
      </c>
      <c r="C2584" s="3">
        <f t="shared" si="81"/>
        <v>1</v>
      </c>
      <c r="D2584" s="4">
        <v>24.86322713718889</v>
      </c>
      <c r="E2584" s="4"/>
      <c r="F2584" s="4">
        <v>28.672069892802771</v>
      </c>
      <c r="G2584" s="4">
        <v>23.2</v>
      </c>
      <c r="H2584" s="5">
        <v>40.344719522652767</v>
      </c>
      <c r="I2584" s="5"/>
      <c r="J2584" s="5">
        <v>44.836975279199997</v>
      </c>
      <c r="K2584" s="5">
        <v>64</v>
      </c>
    </row>
    <row r="2585" spans="1:11" x14ac:dyDescent="0.25">
      <c r="A2585" s="2">
        <v>46205.083333333343</v>
      </c>
      <c r="B2585" t="str">
        <f t="shared" si="80"/>
        <v>2026-07</v>
      </c>
      <c r="C2585" s="3">
        <f t="shared" si="81"/>
        <v>2</v>
      </c>
      <c r="D2585" s="4">
        <v>26.36503855846945</v>
      </c>
      <c r="E2585" s="4"/>
      <c r="F2585" s="4">
        <v>28.87462204740833</v>
      </c>
      <c r="G2585" s="4">
        <v>22.6</v>
      </c>
      <c r="H2585" s="5">
        <v>46.218107121933343</v>
      </c>
      <c r="I2585" s="5"/>
      <c r="J2585" s="5">
        <v>45.529232862066657</v>
      </c>
      <c r="K2585" s="5">
        <v>64</v>
      </c>
    </row>
    <row r="2586" spans="1:11" x14ac:dyDescent="0.25">
      <c r="A2586" s="2">
        <v>46205.125</v>
      </c>
      <c r="B2586" t="str">
        <f t="shared" si="80"/>
        <v>2026-07</v>
      </c>
      <c r="C2586" s="3">
        <f t="shared" si="81"/>
        <v>3</v>
      </c>
      <c r="D2586" s="4">
        <v>26.783327213688889</v>
      </c>
      <c r="E2586" s="4"/>
      <c r="F2586" s="4">
        <v>29.018699814013889</v>
      </c>
      <c r="G2586" s="4">
        <v>21.6</v>
      </c>
      <c r="H2586" s="5">
        <v>45.945349559269438</v>
      </c>
      <c r="I2586" s="5"/>
      <c r="J2586" s="5">
        <v>46.241213455936112</v>
      </c>
      <c r="K2586" s="5">
        <v>70</v>
      </c>
    </row>
    <row r="2587" spans="1:11" x14ac:dyDescent="0.25">
      <c r="A2587" s="2">
        <v>46205.166666666657</v>
      </c>
      <c r="B2587" t="str">
        <f t="shared" si="80"/>
        <v>2026-07</v>
      </c>
      <c r="C2587" s="3">
        <f t="shared" si="81"/>
        <v>4</v>
      </c>
      <c r="D2587" s="4">
        <v>26.999829348997221</v>
      </c>
      <c r="E2587" s="4"/>
      <c r="F2587" s="4">
        <v>29.098490344630559</v>
      </c>
      <c r="G2587" s="4">
        <v>21</v>
      </c>
      <c r="H2587" s="5">
        <v>45.598515223861121</v>
      </c>
      <c r="I2587" s="5"/>
      <c r="J2587" s="5">
        <v>46.604664569905559</v>
      </c>
      <c r="K2587" s="5">
        <v>70</v>
      </c>
    </row>
    <row r="2588" spans="1:11" x14ac:dyDescent="0.25">
      <c r="A2588" s="2">
        <v>46205.208333333343</v>
      </c>
      <c r="B2588" t="str">
        <f t="shared" si="80"/>
        <v>2026-07</v>
      </c>
      <c r="C2588" s="3">
        <f t="shared" si="81"/>
        <v>5</v>
      </c>
      <c r="D2588" s="4">
        <v>27.200786365308328</v>
      </c>
      <c r="E2588" s="4"/>
      <c r="F2588" s="4">
        <v>29.156975895322219</v>
      </c>
      <c r="G2588" s="4">
        <v>20.5</v>
      </c>
      <c r="H2588" s="5">
        <v>45.297969254422213</v>
      </c>
      <c r="I2588" s="5"/>
      <c r="J2588" s="5">
        <v>46.726659366597232</v>
      </c>
      <c r="K2588" s="5">
        <v>71</v>
      </c>
    </row>
    <row r="2589" spans="1:11" x14ac:dyDescent="0.25">
      <c r="A2589" s="2">
        <v>46205.25</v>
      </c>
      <c r="B2589" t="str">
        <f t="shared" si="80"/>
        <v>2026-07</v>
      </c>
      <c r="C2589" s="3">
        <f t="shared" si="81"/>
        <v>6</v>
      </c>
      <c r="D2589" s="4">
        <v>27.543799051605561</v>
      </c>
      <c r="E2589" s="4"/>
      <c r="F2589" s="4">
        <v>29.21141919566389</v>
      </c>
      <c r="G2589" s="4">
        <v>21.2</v>
      </c>
      <c r="H2589" s="5">
        <v>45.794278113591673</v>
      </c>
      <c r="I2589" s="5"/>
      <c r="J2589" s="5">
        <v>46.800909324577781</v>
      </c>
      <c r="K2589" s="5">
        <v>69</v>
      </c>
    </row>
    <row r="2590" spans="1:11" x14ac:dyDescent="0.25">
      <c r="A2590" s="2">
        <v>46205.291666666657</v>
      </c>
      <c r="B2590" t="str">
        <f t="shared" si="80"/>
        <v>2026-07</v>
      </c>
      <c r="C2590" s="3">
        <f t="shared" si="81"/>
        <v>7</v>
      </c>
      <c r="D2590" s="4">
        <v>27.971380761513888</v>
      </c>
      <c r="E2590" s="4"/>
      <c r="F2590" s="4">
        <v>29.262823658516659</v>
      </c>
      <c r="G2590" s="4">
        <v>22.9</v>
      </c>
      <c r="H2590" s="5">
        <v>46.155226583588892</v>
      </c>
      <c r="I2590" s="5"/>
      <c r="J2590" s="5">
        <v>47.042924341502783</v>
      </c>
      <c r="K2590" s="5">
        <v>62</v>
      </c>
    </row>
    <row r="2591" spans="1:11" x14ac:dyDescent="0.25">
      <c r="A2591" s="2">
        <v>46205.333333333343</v>
      </c>
      <c r="B2591" t="str">
        <f t="shared" si="80"/>
        <v>2026-07</v>
      </c>
      <c r="C2591" s="3">
        <f t="shared" si="81"/>
        <v>8</v>
      </c>
      <c r="D2591" s="4">
        <v>27.593801695613891</v>
      </c>
      <c r="E2591" s="4"/>
      <c r="F2591" s="4">
        <v>29.316460553938889</v>
      </c>
      <c r="G2591" s="4">
        <v>25.5</v>
      </c>
      <c r="H2591" s="5">
        <v>42.752939525072229</v>
      </c>
      <c r="I2591" s="5"/>
      <c r="J2591" s="5">
        <v>47.259894302611109</v>
      </c>
      <c r="K2591" s="5">
        <v>51</v>
      </c>
    </row>
    <row r="2592" spans="1:11" x14ac:dyDescent="0.25">
      <c r="A2592" s="2">
        <v>46205.375</v>
      </c>
      <c r="B2592" t="str">
        <f t="shared" si="80"/>
        <v>2026-07</v>
      </c>
      <c r="C2592" s="3">
        <f t="shared" si="81"/>
        <v>9</v>
      </c>
      <c r="D2592" s="4">
        <v>25.991932507305549</v>
      </c>
      <c r="E2592" s="4"/>
      <c r="F2592" s="4">
        <v>29.313831135691672</v>
      </c>
      <c r="G2592" s="4">
        <v>28.1</v>
      </c>
      <c r="H2592" s="5">
        <v>35.222490964808337</v>
      </c>
      <c r="I2592" s="5"/>
      <c r="J2592" s="5">
        <v>46.471779620594447</v>
      </c>
      <c r="K2592" s="5">
        <v>43</v>
      </c>
    </row>
    <row r="2593" spans="1:11" x14ac:dyDescent="0.25">
      <c r="A2593" s="2">
        <v>46205.416666666657</v>
      </c>
      <c r="B2593" t="str">
        <f t="shared" si="80"/>
        <v>2026-07</v>
      </c>
      <c r="C2593" s="3">
        <f t="shared" si="81"/>
        <v>10</v>
      </c>
      <c r="D2593" s="4">
        <v>25.43992211728612</v>
      </c>
      <c r="E2593" s="4"/>
      <c r="F2593" s="4">
        <v>29.279775310755561</v>
      </c>
      <c r="G2593" s="4">
        <v>29.5</v>
      </c>
      <c r="H2593" s="5">
        <v>33.819641922099997</v>
      </c>
      <c r="I2593" s="5"/>
      <c r="J2593" s="5">
        <v>45.305946309272223</v>
      </c>
      <c r="K2593" s="5">
        <v>37</v>
      </c>
    </row>
    <row r="2594" spans="1:11" x14ac:dyDescent="0.25">
      <c r="A2594" s="2">
        <v>46205.458333333343</v>
      </c>
      <c r="B2594" t="str">
        <f t="shared" si="80"/>
        <v>2026-07</v>
      </c>
      <c r="C2594" s="3">
        <f t="shared" si="81"/>
        <v>11</v>
      </c>
      <c r="D2594" s="4">
        <v>25.133740594861109</v>
      </c>
      <c r="E2594" s="4"/>
      <c r="F2594" s="4">
        <v>29.239762830775</v>
      </c>
      <c r="G2594" s="4">
        <v>30.4</v>
      </c>
      <c r="H2594" s="5">
        <v>33.578200333375001</v>
      </c>
      <c r="I2594" s="5"/>
      <c r="J2594" s="5">
        <v>44.415489716736111</v>
      </c>
      <c r="K2594" s="5">
        <v>34</v>
      </c>
    </row>
    <row r="2595" spans="1:11" x14ac:dyDescent="0.25">
      <c r="A2595" s="2">
        <v>46205.5</v>
      </c>
      <c r="B2595" t="str">
        <f t="shared" si="80"/>
        <v>2026-07</v>
      </c>
      <c r="C2595" s="3">
        <f t="shared" si="81"/>
        <v>12</v>
      </c>
      <c r="D2595" s="4">
        <v>25.07133345902222</v>
      </c>
      <c r="E2595" s="4"/>
      <c r="F2595" s="4">
        <v>29.21919467888333</v>
      </c>
      <c r="G2595" s="4">
        <v>31.1</v>
      </c>
      <c r="H2595" s="5">
        <v>34.071123797211108</v>
      </c>
      <c r="I2595" s="5"/>
      <c r="J2595" s="5">
        <v>43.844274911902779</v>
      </c>
      <c r="K2595" s="5">
        <v>33</v>
      </c>
    </row>
    <row r="2596" spans="1:11" x14ac:dyDescent="0.25">
      <c r="A2596" s="2">
        <v>46205.541666666657</v>
      </c>
      <c r="B2596" t="str">
        <f t="shared" si="80"/>
        <v>2026-07</v>
      </c>
      <c r="C2596" s="3">
        <f t="shared" si="81"/>
        <v>13</v>
      </c>
      <c r="D2596" s="4">
        <v>25.160241842416671</v>
      </c>
      <c r="E2596" s="4"/>
      <c r="F2596" s="4">
        <v>28.43048685620278</v>
      </c>
      <c r="G2596" s="4">
        <v>32.1</v>
      </c>
      <c r="H2596" s="5">
        <v>35.690947248269453</v>
      </c>
      <c r="I2596" s="5"/>
      <c r="J2596" s="5">
        <v>42.035519338847223</v>
      </c>
      <c r="K2596" s="5">
        <v>30</v>
      </c>
    </row>
    <row r="2597" spans="1:11" x14ac:dyDescent="0.25">
      <c r="A2597" s="2">
        <v>46205.583333333343</v>
      </c>
      <c r="B2597" t="str">
        <f t="shared" si="80"/>
        <v>2026-07</v>
      </c>
      <c r="C2597" s="3">
        <f t="shared" si="81"/>
        <v>14</v>
      </c>
      <c r="D2597" s="4">
        <v>25.645189739805559</v>
      </c>
      <c r="E2597" s="4"/>
      <c r="F2597" s="4">
        <v>27.948681808044441</v>
      </c>
      <c r="G2597" s="4">
        <v>32.6</v>
      </c>
      <c r="H2597" s="5">
        <v>39.540695096269452</v>
      </c>
      <c r="I2597" s="5"/>
      <c r="J2597" s="5">
        <v>44.841566437213892</v>
      </c>
      <c r="K2597" s="5">
        <v>28</v>
      </c>
    </row>
    <row r="2598" spans="1:11" x14ac:dyDescent="0.25">
      <c r="A2598" s="2">
        <v>46205.625</v>
      </c>
      <c r="B2598" t="str">
        <f t="shared" si="80"/>
        <v>2026-07</v>
      </c>
      <c r="C2598" s="3">
        <f t="shared" si="81"/>
        <v>15</v>
      </c>
      <c r="D2598" s="4">
        <v>25.796233256897221</v>
      </c>
      <c r="E2598" s="4"/>
      <c r="F2598" s="4">
        <v>27.876416136177781</v>
      </c>
      <c r="G2598" s="4">
        <v>33.5</v>
      </c>
      <c r="H2598" s="5">
        <v>38.813951105797223</v>
      </c>
      <c r="I2598" s="5"/>
      <c r="J2598" s="5">
        <v>45.573906552472224</v>
      </c>
      <c r="K2598" s="5">
        <v>27</v>
      </c>
    </row>
    <row r="2599" spans="1:11" x14ac:dyDescent="0.25">
      <c r="A2599" s="2">
        <v>46205.666666666657</v>
      </c>
      <c r="B2599" t="str">
        <f t="shared" si="80"/>
        <v>2026-07</v>
      </c>
      <c r="C2599" s="3">
        <f t="shared" si="81"/>
        <v>16</v>
      </c>
      <c r="D2599" s="4">
        <v>25.89539821767778</v>
      </c>
      <c r="E2599" s="4"/>
      <c r="F2599" s="4">
        <v>27.834687828366668</v>
      </c>
      <c r="G2599" s="4">
        <v>33.5</v>
      </c>
      <c r="H2599" s="5">
        <v>40.120040395575003</v>
      </c>
      <c r="I2599" s="5"/>
      <c r="J2599" s="5">
        <v>46.113398247786108</v>
      </c>
      <c r="K2599" s="5">
        <v>27</v>
      </c>
    </row>
    <row r="2600" spans="1:11" x14ac:dyDescent="0.25">
      <c r="A2600" s="2">
        <v>46205.708333333343</v>
      </c>
      <c r="B2600" t="str">
        <f t="shared" si="80"/>
        <v>2026-07</v>
      </c>
      <c r="C2600" s="3">
        <f t="shared" si="81"/>
        <v>17</v>
      </c>
      <c r="D2600" s="4">
        <v>25.82774205991667</v>
      </c>
      <c r="E2600" s="4"/>
      <c r="F2600" s="4">
        <v>27.821921675791671</v>
      </c>
      <c r="G2600" s="4">
        <v>32.799999999999997</v>
      </c>
      <c r="H2600" s="5">
        <v>38.932710283613893</v>
      </c>
      <c r="I2600" s="5"/>
      <c r="J2600" s="5">
        <v>45.852718579230562</v>
      </c>
      <c r="K2600" s="5">
        <v>30</v>
      </c>
    </row>
    <row r="2601" spans="1:11" x14ac:dyDescent="0.25">
      <c r="A2601" s="2">
        <v>46205.75</v>
      </c>
      <c r="B2601" t="str">
        <f t="shared" si="80"/>
        <v>2026-07</v>
      </c>
      <c r="C2601" s="3">
        <f t="shared" si="81"/>
        <v>18</v>
      </c>
      <c r="D2601" s="4">
        <v>25.922934304325</v>
      </c>
      <c r="E2601" s="4"/>
      <c r="F2601" s="4">
        <v>27.84193886035834</v>
      </c>
      <c r="G2601" s="4">
        <v>31.8</v>
      </c>
      <c r="H2601" s="5">
        <v>40.875098391622217</v>
      </c>
      <c r="I2601" s="5"/>
      <c r="J2601" s="5">
        <v>46.611889653349998</v>
      </c>
      <c r="K2601" s="5">
        <v>32</v>
      </c>
    </row>
    <row r="2602" spans="1:11" x14ac:dyDescent="0.25">
      <c r="A2602" s="2">
        <v>46205.791666666657</v>
      </c>
      <c r="B2602" t="str">
        <f t="shared" si="80"/>
        <v>2026-07</v>
      </c>
      <c r="C2602" s="3">
        <f t="shared" si="81"/>
        <v>19</v>
      </c>
      <c r="D2602" s="4">
        <v>25.62196868059722</v>
      </c>
      <c r="E2602" s="4"/>
      <c r="F2602" s="4">
        <v>28.250417199502781</v>
      </c>
      <c r="G2602" s="4">
        <v>31.5</v>
      </c>
      <c r="H2602" s="5">
        <v>39.042865165358329</v>
      </c>
      <c r="I2602" s="5"/>
      <c r="J2602" s="5">
        <v>46.491578432802783</v>
      </c>
      <c r="K2602" s="5">
        <v>31</v>
      </c>
    </row>
    <row r="2603" spans="1:11" x14ac:dyDescent="0.25">
      <c r="A2603" s="2">
        <v>46205.833333333343</v>
      </c>
      <c r="B2603" t="str">
        <f t="shared" si="80"/>
        <v>2026-07</v>
      </c>
      <c r="C2603" s="3">
        <f t="shared" si="81"/>
        <v>20</v>
      </c>
      <c r="D2603" s="4">
        <v>26.14542029771944</v>
      </c>
      <c r="E2603" s="4"/>
      <c r="F2603" s="4">
        <v>28.589252780108328</v>
      </c>
      <c r="G2603" s="4">
        <v>31</v>
      </c>
      <c r="H2603" s="5">
        <v>42.482174801933333</v>
      </c>
      <c r="I2603" s="5"/>
      <c r="J2603" s="5">
        <v>45.576141036886114</v>
      </c>
      <c r="K2603" s="5">
        <v>30</v>
      </c>
    </row>
    <row r="2604" spans="1:11" x14ac:dyDescent="0.25">
      <c r="A2604" s="2">
        <v>46205.875</v>
      </c>
      <c r="B2604" t="str">
        <f t="shared" si="80"/>
        <v>2026-07</v>
      </c>
      <c r="C2604" s="3">
        <f t="shared" si="81"/>
        <v>21</v>
      </c>
      <c r="D2604" s="4">
        <v>27.221835935380561</v>
      </c>
      <c r="E2604" s="4"/>
      <c r="F2604" s="4">
        <v>28.793249639483331</v>
      </c>
      <c r="G2604" s="4">
        <v>30</v>
      </c>
      <c r="H2604" s="5">
        <v>43.665478591533343</v>
      </c>
      <c r="I2604" s="5"/>
      <c r="J2604" s="5">
        <v>45.706121321563892</v>
      </c>
      <c r="K2604" s="5">
        <v>33</v>
      </c>
    </row>
    <row r="2605" spans="1:11" x14ac:dyDescent="0.25">
      <c r="A2605" s="2">
        <v>46205.916666666657</v>
      </c>
      <c r="B2605" t="str">
        <f t="shared" si="80"/>
        <v>2026-07</v>
      </c>
      <c r="C2605" s="3">
        <f t="shared" si="81"/>
        <v>22</v>
      </c>
      <c r="D2605" s="4">
        <v>25.882220679591668</v>
      </c>
      <c r="E2605" s="4"/>
      <c r="F2605" s="4">
        <v>28.928687560875002</v>
      </c>
      <c r="G2605" s="4">
        <v>29</v>
      </c>
      <c r="H2605" s="5">
        <v>40.833614865611111</v>
      </c>
      <c r="I2605" s="5"/>
      <c r="J2605" s="5">
        <v>45.762039558219442</v>
      </c>
      <c r="K2605" s="5">
        <v>37</v>
      </c>
    </row>
    <row r="2606" spans="1:11" x14ac:dyDescent="0.25">
      <c r="A2606" s="2">
        <v>46205.958333333343</v>
      </c>
      <c r="B2606" t="str">
        <f t="shared" si="80"/>
        <v>2026-07</v>
      </c>
      <c r="C2606" s="3">
        <f t="shared" si="81"/>
        <v>23</v>
      </c>
      <c r="D2606" s="4">
        <v>25.995601186927772</v>
      </c>
      <c r="E2606" s="4"/>
      <c r="F2606" s="4">
        <v>28.94087801792778</v>
      </c>
      <c r="G2606" s="4">
        <v>28</v>
      </c>
      <c r="H2606" s="5">
        <v>42.211157849244451</v>
      </c>
      <c r="I2606" s="5"/>
      <c r="J2606" s="5">
        <v>45.287273660380563</v>
      </c>
      <c r="K2606" s="5">
        <v>41</v>
      </c>
    </row>
    <row r="2607" spans="1:11" x14ac:dyDescent="0.25">
      <c r="A2607" s="2">
        <v>46206</v>
      </c>
      <c r="B2607" t="str">
        <f t="shared" si="80"/>
        <v>2026-07</v>
      </c>
      <c r="C2607" s="3">
        <f t="shared" si="81"/>
        <v>0</v>
      </c>
      <c r="D2607" s="4">
        <v>25.718359361769441</v>
      </c>
      <c r="E2607" s="4"/>
      <c r="F2607" s="4">
        <v>29.02451782927778</v>
      </c>
      <c r="G2607" s="4">
        <v>27.1</v>
      </c>
      <c r="H2607" s="5">
        <v>36.291529224619453</v>
      </c>
      <c r="I2607" s="5"/>
      <c r="J2607" s="5">
        <v>45.198251934663887</v>
      </c>
      <c r="K2607" s="5">
        <v>43</v>
      </c>
    </row>
    <row r="2608" spans="1:11" x14ac:dyDescent="0.25">
      <c r="A2608" s="2">
        <v>46206.041666666657</v>
      </c>
      <c r="B2608" t="str">
        <f t="shared" si="80"/>
        <v>2026-07</v>
      </c>
      <c r="C2608" s="3">
        <f t="shared" si="81"/>
        <v>1</v>
      </c>
      <c r="D2608" s="4">
        <v>25.239078236927771</v>
      </c>
      <c r="E2608" s="4"/>
      <c r="F2608" s="4">
        <v>29.04834803680556</v>
      </c>
      <c r="G2608" s="4">
        <v>26.3</v>
      </c>
      <c r="H2608" s="5">
        <v>36.520449673283331</v>
      </c>
      <c r="I2608" s="5"/>
      <c r="J2608" s="5">
        <v>44.561204537019442</v>
      </c>
      <c r="K2608" s="5">
        <v>47</v>
      </c>
    </row>
    <row r="2609" spans="1:11" x14ac:dyDescent="0.25">
      <c r="A2609" s="2">
        <v>46206.083333333343</v>
      </c>
      <c r="B2609" t="str">
        <f t="shared" si="80"/>
        <v>2026-07</v>
      </c>
      <c r="C2609" s="3">
        <f t="shared" si="81"/>
        <v>2</v>
      </c>
      <c r="D2609" s="4">
        <v>25.277086278525001</v>
      </c>
      <c r="E2609" s="4"/>
      <c r="F2609" s="4">
        <v>29.057903843661109</v>
      </c>
      <c r="G2609" s="4">
        <v>25.4</v>
      </c>
      <c r="H2609" s="5">
        <v>37.483878876905557</v>
      </c>
      <c r="I2609" s="5"/>
      <c r="J2609" s="5">
        <v>44.288120856288892</v>
      </c>
      <c r="K2609" s="5">
        <v>51</v>
      </c>
    </row>
    <row r="2610" spans="1:11" x14ac:dyDescent="0.25">
      <c r="A2610" s="2">
        <v>46206.125</v>
      </c>
      <c r="B2610" t="str">
        <f t="shared" si="80"/>
        <v>2026-07</v>
      </c>
      <c r="C2610" s="3">
        <f t="shared" si="81"/>
        <v>3</v>
      </c>
      <c r="D2610" s="4">
        <v>26.709043412716671</v>
      </c>
      <c r="E2610" s="4"/>
      <c r="F2610" s="4">
        <v>29.091836246441659</v>
      </c>
      <c r="G2610" s="4">
        <v>23.9</v>
      </c>
      <c r="H2610" s="5">
        <v>40.782332383252772</v>
      </c>
      <c r="I2610" s="5"/>
      <c r="J2610" s="5">
        <v>44.352812564802782</v>
      </c>
      <c r="K2610" s="5">
        <v>57</v>
      </c>
    </row>
    <row r="2611" spans="1:11" x14ac:dyDescent="0.25">
      <c r="A2611" s="2">
        <v>46206.166666666657</v>
      </c>
      <c r="B2611" t="str">
        <f t="shared" si="80"/>
        <v>2026-07</v>
      </c>
      <c r="C2611" s="3">
        <f t="shared" si="81"/>
        <v>4</v>
      </c>
      <c r="D2611" s="4">
        <v>27.318764180858331</v>
      </c>
      <c r="E2611" s="4"/>
      <c r="F2611" s="4">
        <v>29.151227384102778</v>
      </c>
      <c r="G2611" s="4">
        <v>23.2</v>
      </c>
      <c r="H2611" s="5">
        <v>43.890965422658333</v>
      </c>
      <c r="I2611" s="5"/>
      <c r="J2611" s="5">
        <v>44.991515606016669</v>
      </c>
      <c r="K2611" s="5">
        <v>62</v>
      </c>
    </row>
    <row r="2612" spans="1:11" x14ac:dyDescent="0.25">
      <c r="A2612" s="2">
        <v>46206.208333333343</v>
      </c>
      <c r="B2612" t="str">
        <f t="shared" si="80"/>
        <v>2026-07</v>
      </c>
      <c r="C2612" s="3">
        <f t="shared" si="81"/>
        <v>5</v>
      </c>
      <c r="D2612" s="4">
        <v>27.721721977005561</v>
      </c>
      <c r="E2612" s="4"/>
      <c r="F2612" s="4">
        <v>29.198988792255552</v>
      </c>
      <c r="G2612" s="4">
        <v>22.5</v>
      </c>
      <c r="H2612" s="5">
        <v>44.92158481490555</v>
      </c>
      <c r="I2612" s="5"/>
      <c r="J2612" s="5">
        <v>45.547123637280563</v>
      </c>
      <c r="K2612" s="5">
        <v>66</v>
      </c>
    </row>
    <row r="2613" spans="1:11" x14ac:dyDescent="0.25">
      <c r="A2613" s="2">
        <v>46206.25</v>
      </c>
      <c r="B2613" t="str">
        <f t="shared" si="80"/>
        <v>2026-07</v>
      </c>
      <c r="C2613" s="3">
        <f t="shared" si="81"/>
        <v>6</v>
      </c>
      <c r="D2613" s="4">
        <v>27.976286426486109</v>
      </c>
      <c r="E2613" s="4"/>
      <c r="F2613" s="4">
        <v>29.246558659613889</v>
      </c>
      <c r="G2613" s="4">
        <v>23</v>
      </c>
      <c r="H2613" s="5">
        <v>44.666564300224998</v>
      </c>
      <c r="I2613" s="5"/>
      <c r="J2613" s="5">
        <v>45.879932564786117</v>
      </c>
      <c r="K2613" s="5">
        <v>65</v>
      </c>
    </row>
    <row r="2614" spans="1:11" x14ac:dyDescent="0.25">
      <c r="A2614" s="2">
        <v>46206.291666666657</v>
      </c>
      <c r="B2614" t="str">
        <f t="shared" si="80"/>
        <v>2026-07</v>
      </c>
      <c r="C2614" s="3">
        <f t="shared" si="81"/>
        <v>7</v>
      </c>
      <c r="D2614" s="4">
        <v>28.482068962833331</v>
      </c>
      <c r="E2614" s="4"/>
      <c r="F2614" s="4">
        <v>29.287253463030559</v>
      </c>
      <c r="G2614" s="4">
        <v>24.6</v>
      </c>
      <c r="H2614" s="5">
        <v>44.631136268519441</v>
      </c>
      <c r="I2614" s="5"/>
      <c r="J2614" s="5">
        <v>46.222474691397217</v>
      </c>
      <c r="K2614" s="5">
        <v>59</v>
      </c>
    </row>
    <row r="2615" spans="1:11" x14ac:dyDescent="0.25">
      <c r="A2615" s="2">
        <v>46206.333333333343</v>
      </c>
      <c r="B2615" t="str">
        <f t="shared" si="80"/>
        <v>2026-07</v>
      </c>
      <c r="C2615" s="3">
        <f t="shared" si="81"/>
        <v>8</v>
      </c>
      <c r="D2615" s="4">
        <v>28.82969571996389</v>
      </c>
      <c r="E2615" s="4"/>
      <c r="F2615" s="4">
        <v>29.34247722833333</v>
      </c>
      <c r="G2615" s="4">
        <v>26.8</v>
      </c>
      <c r="H2615" s="5">
        <v>42.740847676566673</v>
      </c>
      <c r="I2615" s="5"/>
      <c r="J2615" s="5">
        <v>46.540722763122233</v>
      </c>
      <c r="K2615" s="5">
        <v>51</v>
      </c>
    </row>
    <row r="2616" spans="1:11" x14ac:dyDescent="0.25">
      <c r="A2616" s="2">
        <v>46206.375</v>
      </c>
      <c r="B2616" t="str">
        <f t="shared" si="80"/>
        <v>2026-07</v>
      </c>
      <c r="C2616" s="3">
        <f t="shared" si="81"/>
        <v>9</v>
      </c>
      <c r="D2616" s="4">
        <v>27.297190701083331</v>
      </c>
      <c r="E2616" s="4"/>
      <c r="F2616" s="4">
        <v>29.361122559908331</v>
      </c>
      <c r="G2616" s="4">
        <v>29.1</v>
      </c>
      <c r="H2616" s="5">
        <v>33.423945007599997</v>
      </c>
      <c r="I2616" s="5"/>
      <c r="J2616" s="5">
        <v>46.009485588463889</v>
      </c>
      <c r="K2616" s="5">
        <v>43</v>
      </c>
    </row>
    <row r="2617" spans="1:11" x14ac:dyDescent="0.25">
      <c r="A2617" s="2">
        <v>46206.416666666657</v>
      </c>
      <c r="B2617" t="str">
        <f t="shared" si="80"/>
        <v>2026-07</v>
      </c>
      <c r="C2617" s="3">
        <f t="shared" si="81"/>
        <v>10</v>
      </c>
      <c r="D2617" s="4">
        <v>26.749549458216659</v>
      </c>
      <c r="E2617" s="4"/>
      <c r="F2617" s="4">
        <v>29.333497069383331</v>
      </c>
      <c r="G2617" s="4">
        <v>31.2</v>
      </c>
      <c r="H2617" s="5">
        <v>33.547415405022228</v>
      </c>
      <c r="I2617" s="5"/>
      <c r="J2617" s="5">
        <v>45.046881498802783</v>
      </c>
      <c r="K2617" s="5">
        <v>34</v>
      </c>
    </row>
    <row r="2618" spans="1:11" x14ac:dyDescent="0.25">
      <c r="A2618" s="2">
        <v>46206.458333333343</v>
      </c>
      <c r="B2618" t="str">
        <f t="shared" si="80"/>
        <v>2026-07</v>
      </c>
      <c r="C2618" s="3">
        <f t="shared" si="81"/>
        <v>11</v>
      </c>
      <c r="D2618" s="4">
        <v>28.315570651561121</v>
      </c>
      <c r="E2618" s="4"/>
      <c r="F2618" s="4">
        <v>29.35064367247778</v>
      </c>
      <c r="G2618" s="4">
        <v>32.1</v>
      </c>
      <c r="H2618" s="5">
        <v>37.948592630477783</v>
      </c>
      <c r="I2618" s="5"/>
      <c r="J2618" s="5">
        <v>45.002439473227781</v>
      </c>
      <c r="K2618" s="5">
        <v>28</v>
      </c>
    </row>
    <row r="2619" spans="1:11" x14ac:dyDescent="0.25">
      <c r="A2619" s="2">
        <v>46206.5</v>
      </c>
      <c r="B2619" t="str">
        <f t="shared" si="80"/>
        <v>2026-07</v>
      </c>
      <c r="C2619" s="3">
        <f t="shared" si="81"/>
        <v>12</v>
      </c>
      <c r="D2619" s="4">
        <v>28.85636952979166</v>
      </c>
      <c r="E2619" s="4"/>
      <c r="F2619" s="4">
        <v>29.41672688816389</v>
      </c>
      <c r="G2619" s="4">
        <v>32.4</v>
      </c>
      <c r="H2619" s="5">
        <v>38.047358160958332</v>
      </c>
      <c r="I2619" s="5"/>
      <c r="J2619" s="5">
        <v>45.593848071069438</v>
      </c>
      <c r="K2619" s="5">
        <v>28</v>
      </c>
    </row>
    <row r="2620" spans="1:11" x14ac:dyDescent="0.25">
      <c r="A2620" s="2">
        <v>46206.541666666657</v>
      </c>
      <c r="B2620" t="str">
        <f t="shared" si="80"/>
        <v>2026-07</v>
      </c>
      <c r="C2620" s="3">
        <f t="shared" si="81"/>
        <v>13</v>
      </c>
      <c r="D2620" s="4">
        <v>26.973498758097222</v>
      </c>
      <c r="E2620" s="4"/>
      <c r="F2620" s="4">
        <v>29.439901954166672</v>
      </c>
      <c r="G2620" s="4">
        <v>33.1</v>
      </c>
      <c r="H2620" s="5">
        <v>32.95252332839722</v>
      </c>
      <c r="I2620" s="5"/>
      <c r="J2620" s="5">
        <v>45.302132549180563</v>
      </c>
      <c r="K2620" s="5">
        <v>26</v>
      </c>
    </row>
    <row r="2621" spans="1:11" x14ac:dyDescent="0.25">
      <c r="A2621" s="2">
        <v>46206.583333333343</v>
      </c>
      <c r="B2621" t="str">
        <f t="shared" si="80"/>
        <v>2026-07</v>
      </c>
      <c r="C2621" s="3">
        <f t="shared" si="81"/>
        <v>14</v>
      </c>
      <c r="D2621" s="4">
        <v>26.168237144241669</v>
      </c>
      <c r="E2621" s="4"/>
      <c r="F2621" s="4">
        <v>29.41415041504445</v>
      </c>
      <c r="G2621" s="4">
        <v>33.799999999999997</v>
      </c>
      <c r="H2621" s="5">
        <v>32.704350856147222</v>
      </c>
      <c r="I2621" s="5"/>
      <c r="J2621" s="5">
        <v>44.564386082086124</v>
      </c>
      <c r="K2621" s="5">
        <v>25</v>
      </c>
    </row>
    <row r="2622" spans="1:11" x14ac:dyDescent="0.25">
      <c r="A2622" s="2">
        <v>46206.625</v>
      </c>
      <c r="B2622" t="str">
        <f t="shared" si="80"/>
        <v>2026-07</v>
      </c>
      <c r="C2622" s="3">
        <f t="shared" si="81"/>
        <v>15</v>
      </c>
      <c r="D2622" s="4">
        <v>26.349838596841671</v>
      </c>
      <c r="E2622" s="4"/>
      <c r="F2622" s="4">
        <v>29.401444513177779</v>
      </c>
      <c r="G2622" s="4">
        <v>33.700000000000003</v>
      </c>
      <c r="H2622" s="5">
        <v>34.686318467077783</v>
      </c>
      <c r="I2622" s="5"/>
      <c r="J2622" s="5">
        <v>44.259649949372232</v>
      </c>
      <c r="K2622" s="5">
        <v>25</v>
      </c>
    </row>
    <row r="2623" spans="1:11" x14ac:dyDescent="0.25">
      <c r="A2623" s="2">
        <v>46206.666666666657</v>
      </c>
      <c r="B2623" t="str">
        <f t="shared" si="80"/>
        <v>2026-07</v>
      </c>
      <c r="C2623" s="3">
        <f t="shared" si="81"/>
        <v>16</v>
      </c>
      <c r="D2623" s="4">
        <v>26.347107756313889</v>
      </c>
      <c r="E2623" s="4"/>
      <c r="F2623" s="4">
        <v>29.397624292838891</v>
      </c>
      <c r="G2623" s="4">
        <v>33.299999999999997</v>
      </c>
      <c r="H2623" s="5">
        <v>34.898542341877778</v>
      </c>
      <c r="I2623" s="5"/>
      <c r="J2623" s="5">
        <v>44.051636206116683</v>
      </c>
      <c r="K2623" s="5">
        <v>26</v>
      </c>
    </row>
    <row r="2624" spans="1:11" x14ac:dyDescent="0.25">
      <c r="A2624" s="2">
        <v>46206.708333333343</v>
      </c>
      <c r="B2624" t="str">
        <f t="shared" si="80"/>
        <v>2026-07</v>
      </c>
      <c r="C2624" s="3">
        <f t="shared" si="81"/>
        <v>17</v>
      </c>
      <c r="D2624" s="4">
        <v>26.206551054727779</v>
      </c>
      <c r="E2624" s="4"/>
      <c r="F2624" s="4">
        <v>29.389944462955551</v>
      </c>
      <c r="G2624" s="4">
        <v>33</v>
      </c>
      <c r="H2624" s="5">
        <v>35.741877524516667</v>
      </c>
      <c r="I2624" s="5"/>
      <c r="J2624" s="5">
        <v>43.766025327469443</v>
      </c>
      <c r="K2624" s="5">
        <v>26</v>
      </c>
    </row>
    <row r="2625" spans="1:11" x14ac:dyDescent="0.25">
      <c r="A2625" s="2">
        <v>46206.75</v>
      </c>
      <c r="B2625" t="str">
        <f t="shared" si="80"/>
        <v>2026-07</v>
      </c>
      <c r="C2625" s="3">
        <f t="shared" si="81"/>
        <v>18</v>
      </c>
      <c r="D2625" s="4">
        <v>26.095456318891671</v>
      </c>
      <c r="E2625" s="4"/>
      <c r="F2625" s="4">
        <v>29.394279623374999</v>
      </c>
      <c r="G2625" s="4">
        <v>32.299999999999997</v>
      </c>
      <c r="H2625" s="5">
        <v>35.629742636961112</v>
      </c>
      <c r="I2625" s="5"/>
      <c r="J2625" s="5">
        <v>43.74690747703611</v>
      </c>
      <c r="K2625" s="5">
        <v>27</v>
      </c>
    </row>
    <row r="2626" spans="1:11" x14ac:dyDescent="0.25">
      <c r="A2626" s="2">
        <v>46206.791666666657</v>
      </c>
      <c r="B2626" t="str">
        <f t="shared" ref="B2626:B2689" si="82">TEXT(A2626,"yyyy-mm")</f>
        <v>2026-07</v>
      </c>
      <c r="C2626" s="3">
        <f t="shared" ref="C2626:C2689" si="83">HOUR(A2626)</f>
        <v>19</v>
      </c>
      <c r="D2626" s="4">
        <v>25.777692623775</v>
      </c>
      <c r="E2626" s="4"/>
      <c r="F2626" s="4">
        <v>29.40538958171944</v>
      </c>
      <c r="G2626" s="4">
        <v>31.9</v>
      </c>
      <c r="H2626" s="5">
        <v>35.721030716430548</v>
      </c>
      <c r="I2626" s="5"/>
      <c r="J2626" s="5">
        <v>43.57488720561944</v>
      </c>
      <c r="K2626" s="5">
        <v>27</v>
      </c>
    </row>
    <row r="2627" spans="1:11" x14ac:dyDescent="0.25">
      <c r="A2627" s="2">
        <v>46206.833333333343</v>
      </c>
      <c r="B2627" t="str">
        <f t="shared" si="82"/>
        <v>2026-07</v>
      </c>
      <c r="C2627" s="3">
        <f t="shared" si="83"/>
        <v>20</v>
      </c>
      <c r="D2627" s="4">
        <v>26.105247005508328</v>
      </c>
      <c r="E2627" s="4"/>
      <c r="F2627" s="4">
        <v>29.420478784577771</v>
      </c>
      <c r="G2627" s="4">
        <v>31.3</v>
      </c>
      <c r="H2627" s="5">
        <v>39.030505214711113</v>
      </c>
      <c r="I2627" s="5"/>
      <c r="J2627" s="5">
        <v>43.614411896466663</v>
      </c>
      <c r="K2627" s="5">
        <v>28</v>
      </c>
    </row>
    <row r="2628" spans="1:11" x14ac:dyDescent="0.25">
      <c r="A2628" s="2">
        <v>46206.875</v>
      </c>
      <c r="B2628" t="str">
        <f t="shared" si="82"/>
        <v>2026-07</v>
      </c>
      <c r="C2628" s="3">
        <f t="shared" si="83"/>
        <v>21</v>
      </c>
      <c r="D2628" s="4">
        <v>25.834422878777779</v>
      </c>
      <c r="E2628" s="4"/>
      <c r="F2628" s="4">
        <v>29.42188873432778</v>
      </c>
      <c r="G2628" s="4">
        <v>30.8</v>
      </c>
      <c r="H2628" s="5">
        <v>33.877861220280558</v>
      </c>
      <c r="I2628" s="5"/>
      <c r="J2628" s="5">
        <v>43.458869361430551</v>
      </c>
      <c r="K2628" s="5">
        <v>30</v>
      </c>
    </row>
    <row r="2629" spans="1:11" x14ac:dyDescent="0.25">
      <c r="A2629" s="2">
        <v>46206.916666666657</v>
      </c>
      <c r="B2629" t="str">
        <f t="shared" si="82"/>
        <v>2026-07</v>
      </c>
      <c r="C2629" s="3">
        <f t="shared" si="83"/>
        <v>22</v>
      </c>
      <c r="D2629" s="4">
        <v>25.745790795722218</v>
      </c>
      <c r="E2629" s="4"/>
      <c r="F2629" s="4">
        <v>29.41639258453889</v>
      </c>
      <c r="G2629" s="4">
        <v>30.2</v>
      </c>
      <c r="H2629" s="5">
        <v>34.185545192827782</v>
      </c>
      <c r="I2629" s="5"/>
      <c r="J2629" s="5">
        <v>43.109694823700003</v>
      </c>
      <c r="K2629" s="5">
        <v>29</v>
      </c>
    </row>
    <row r="2630" spans="1:11" x14ac:dyDescent="0.25">
      <c r="A2630" s="2">
        <v>46206.958333333343</v>
      </c>
      <c r="B2630" t="str">
        <f t="shared" si="82"/>
        <v>2026-07</v>
      </c>
      <c r="C2630" s="3">
        <f t="shared" si="83"/>
        <v>23</v>
      </c>
      <c r="D2630" s="4">
        <v>26.80864526985</v>
      </c>
      <c r="E2630" s="4"/>
      <c r="F2630" s="4">
        <v>29.425711886738888</v>
      </c>
      <c r="G2630" s="4">
        <v>28.9</v>
      </c>
      <c r="H2630" s="5">
        <v>38.120604011277777</v>
      </c>
      <c r="I2630" s="5"/>
      <c r="J2630" s="5">
        <v>43.089914127727781</v>
      </c>
      <c r="K2630" s="5">
        <v>32</v>
      </c>
    </row>
    <row r="2631" spans="1:11" x14ac:dyDescent="0.25">
      <c r="A2631" s="2">
        <v>46207</v>
      </c>
      <c r="B2631" t="str">
        <f t="shared" si="82"/>
        <v>2026-07</v>
      </c>
      <c r="C2631" s="3">
        <f t="shared" si="83"/>
        <v>0</v>
      </c>
      <c r="D2631" s="4">
        <v>27.288696513605551</v>
      </c>
      <c r="E2631" s="4"/>
      <c r="F2631" s="4">
        <v>29.470066304774999</v>
      </c>
      <c r="G2631" s="4">
        <v>27.6</v>
      </c>
      <c r="H2631" s="5">
        <v>39.728925065947223</v>
      </c>
      <c r="I2631" s="5"/>
      <c r="J2631" s="5">
        <v>43.692118851280561</v>
      </c>
      <c r="K2631" s="5">
        <v>36</v>
      </c>
    </row>
    <row r="2632" spans="1:11" x14ac:dyDescent="0.25">
      <c r="A2632" s="2">
        <v>46207.041666666657</v>
      </c>
      <c r="B2632" t="str">
        <f t="shared" si="82"/>
        <v>2026-07</v>
      </c>
      <c r="C2632" s="3">
        <f t="shared" si="83"/>
        <v>1</v>
      </c>
      <c r="D2632" s="4">
        <v>27.161346314319449</v>
      </c>
      <c r="E2632" s="4"/>
      <c r="F2632" s="4">
        <v>29.52595907670278</v>
      </c>
      <c r="G2632" s="4">
        <v>26.2</v>
      </c>
      <c r="H2632" s="5">
        <v>40.080487864202787</v>
      </c>
      <c r="I2632" s="5"/>
      <c r="J2632" s="5">
        <v>44.543832495272227</v>
      </c>
      <c r="K2632" s="5">
        <v>41</v>
      </c>
    </row>
    <row r="2633" spans="1:11" x14ac:dyDescent="0.25">
      <c r="A2633" s="2">
        <v>46207.083333333343</v>
      </c>
      <c r="B2633" t="str">
        <f t="shared" si="82"/>
        <v>2026-07</v>
      </c>
      <c r="C2633" s="3">
        <f t="shared" si="83"/>
        <v>2</v>
      </c>
      <c r="D2633" s="4">
        <v>27.147608182866669</v>
      </c>
      <c r="E2633" s="4"/>
      <c r="F2633" s="4">
        <v>29.537215753188889</v>
      </c>
      <c r="G2633" s="4">
        <v>25.4</v>
      </c>
      <c r="H2633" s="5">
        <v>40.918541788522219</v>
      </c>
      <c r="I2633" s="5"/>
      <c r="J2633" s="5">
        <v>44.951701373308332</v>
      </c>
      <c r="K2633" s="5">
        <v>45</v>
      </c>
    </row>
    <row r="2634" spans="1:11" x14ac:dyDescent="0.25">
      <c r="A2634" s="2">
        <v>46207.125</v>
      </c>
      <c r="B2634" t="str">
        <f t="shared" si="82"/>
        <v>2026-07</v>
      </c>
      <c r="C2634" s="3">
        <f t="shared" si="83"/>
        <v>3</v>
      </c>
      <c r="D2634" s="4">
        <v>27.015009440111111</v>
      </c>
      <c r="E2634" s="4"/>
      <c r="F2634" s="4">
        <v>29.546135555936111</v>
      </c>
      <c r="G2634" s="4">
        <v>24</v>
      </c>
      <c r="H2634" s="5">
        <v>40.776970263700001</v>
      </c>
      <c r="I2634" s="5"/>
      <c r="J2634" s="5">
        <v>45.04322971901945</v>
      </c>
      <c r="K2634" s="5">
        <v>52</v>
      </c>
    </row>
    <row r="2635" spans="1:11" x14ac:dyDescent="0.25">
      <c r="A2635" s="2">
        <v>46207.166666666657</v>
      </c>
      <c r="B2635" t="str">
        <f t="shared" si="82"/>
        <v>2026-07</v>
      </c>
      <c r="C2635" s="3">
        <f t="shared" si="83"/>
        <v>4</v>
      </c>
      <c r="D2635" s="4">
        <v>26.680791638961111</v>
      </c>
      <c r="E2635" s="4"/>
      <c r="F2635" s="4">
        <v>29.547913363088881</v>
      </c>
      <c r="G2635" s="4">
        <v>23.1</v>
      </c>
      <c r="H2635" s="5">
        <v>43.253629531380561</v>
      </c>
      <c r="I2635" s="5"/>
      <c r="J2635" s="5">
        <v>45.035636934280561</v>
      </c>
      <c r="K2635" s="5">
        <v>55</v>
      </c>
    </row>
    <row r="2636" spans="1:11" x14ac:dyDescent="0.25">
      <c r="A2636" s="2">
        <v>46207.208333333343</v>
      </c>
      <c r="B2636" t="str">
        <f t="shared" si="82"/>
        <v>2026-07</v>
      </c>
      <c r="C2636" s="3">
        <f t="shared" si="83"/>
        <v>5</v>
      </c>
      <c r="D2636" s="4">
        <v>25.896478328250002</v>
      </c>
      <c r="E2636" s="4"/>
      <c r="F2636" s="4">
        <v>29.56116666279722</v>
      </c>
      <c r="G2636" s="4">
        <v>22.8</v>
      </c>
      <c r="H2636" s="5">
        <v>49.534328565922223</v>
      </c>
      <c r="I2636" s="5"/>
      <c r="J2636" s="5">
        <v>45.308614174425003</v>
      </c>
      <c r="K2636" s="5">
        <v>58</v>
      </c>
    </row>
    <row r="2637" spans="1:11" x14ac:dyDescent="0.25">
      <c r="A2637" s="2">
        <v>46207.25</v>
      </c>
      <c r="B2637" t="str">
        <f t="shared" si="82"/>
        <v>2026-07</v>
      </c>
      <c r="C2637" s="3">
        <f t="shared" si="83"/>
        <v>6</v>
      </c>
      <c r="D2637" s="4">
        <v>25.508213163263889</v>
      </c>
      <c r="E2637" s="4"/>
      <c r="F2637" s="4">
        <v>29.570465603897219</v>
      </c>
      <c r="G2637" s="4">
        <v>23.4</v>
      </c>
      <c r="H2637" s="5">
        <v>51.877896262552781</v>
      </c>
      <c r="I2637" s="5"/>
      <c r="J2637" s="5">
        <v>45.585470639563887</v>
      </c>
      <c r="K2637" s="5">
        <v>55</v>
      </c>
    </row>
    <row r="2638" spans="1:11" x14ac:dyDescent="0.25">
      <c r="A2638" s="2">
        <v>46207.291666666657</v>
      </c>
      <c r="B2638" t="str">
        <f t="shared" si="82"/>
        <v>2026-07</v>
      </c>
      <c r="C2638" s="3">
        <f t="shared" si="83"/>
        <v>7</v>
      </c>
      <c r="D2638" s="4">
        <v>26.306709209833329</v>
      </c>
      <c r="E2638" s="4"/>
      <c r="F2638" s="4">
        <v>29.581468576441669</v>
      </c>
      <c r="G2638" s="4">
        <v>24.6</v>
      </c>
      <c r="H2638" s="5">
        <v>50.290104672758332</v>
      </c>
      <c r="I2638" s="5"/>
      <c r="J2638" s="5">
        <v>45.694347955866668</v>
      </c>
      <c r="K2638" s="5">
        <v>51</v>
      </c>
    </row>
    <row r="2639" spans="1:11" x14ac:dyDescent="0.25">
      <c r="A2639" s="2">
        <v>46207.333333333343</v>
      </c>
      <c r="B2639" t="str">
        <f t="shared" si="82"/>
        <v>2026-07</v>
      </c>
      <c r="C2639" s="3">
        <f t="shared" si="83"/>
        <v>8</v>
      </c>
      <c r="D2639" s="4">
        <v>27.033223956763891</v>
      </c>
      <c r="E2639" s="4"/>
      <c r="F2639" s="4">
        <v>29.605708890427781</v>
      </c>
      <c r="G2639" s="4">
        <v>25.1</v>
      </c>
      <c r="H2639" s="5">
        <v>48.790408625844442</v>
      </c>
      <c r="I2639" s="5"/>
      <c r="J2639" s="5">
        <v>45.985171684830561</v>
      </c>
      <c r="K2639" s="5">
        <v>52</v>
      </c>
    </row>
    <row r="2640" spans="1:11" x14ac:dyDescent="0.25">
      <c r="A2640" s="2">
        <v>46207.375</v>
      </c>
      <c r="B2640" t="str">
        <f t="shared" si="82"/>
        <v>2026-07</v>
      </c>
      <c r="C2640" s="3">
        <f t="shared" si="83"/>
        <v>9</v>
      </c>
      <c r="D2640" s="4">
        <v>27.907703930511111</v>
      </c>
      <c r="E2640" s="4"/>
      <c r="F2640" s="4">
        <v>29.622499619491659</v>
      </c>
      <c r="G2640" s="4">
        <v>24.3</v>
      </c>
      <c r="H2640" s="5">
        <v>45.86422985610556</v>
      </c>
      <c r="I2640" s="5"/>
      <c r="J2640" s="5">
        <v>46.037387407038892</v>
      </c>
      <c r="K2640" s="5">
        <v>60</v>
      </c>
    </row>
    <row r="2641" spans="1:11" x14ac:dyDescent="0.25">
      <c r="A2641" s="2">
        <v>46207.416666666657</v>
      </c>
      <c r="B2641" t="str">
        <f t="shared" si="82"/>
        <v>2026-07</v>
      </c>
      <c r="C2641" s="3">
        <f t="shared" si="83"/>
        <v>10</v>
      </c>
      <c r="D2641" s="4">
        <v>28.281009707877772</v>
      </c>
      <c r="E2641" s="4"/>
      <c r="F2641" s="4">
        <v>29.648320278244441</v>
      </c>
      <c r="G2641" s="4">
        <v>24.7</v>
      </c>
      <c r="H2641" s="5">
        <v>43.821442368116656</v>
      </c>
      <c r="I2641" s="5"/>
      <c r="J2641" s="5">
        <v>46.044144846338888</v>
      </c>
      <c r="K2641" s="5">
        <v>59</v>
      </c>
    </row>
    <row r="2642" spans="1:11" x14ac:dyDescent="0.25">
      <c r="A2642" s="2">
        <v>46207.458333333343</v>
      </c>
      <c r="B2642" t="str">
        <f t="shared" si="82"/>
        <v>2026-07</v>
      </c>
      <c r="C2642" s="3">
        <f t="shared" si="83"/>
        <v>11</v>
      </c>
      <c r="D2642" s="4">
        <v>28.544632270936109</v>
      </c>
      <c r="E2642" s="4"/>
      <c r="F2642" s="4">
        <v>29.685962365394449</v>
      </c>
      <c r="G2642" s="4">
        <v>26.6</v>
      </c>
      <c r="H2642" s="5">
        <v>43.881676407999997</v>
      </c>
      <c r="I2642" s="5"/>
      <c r="J2642" s="5">
        <v>46.285572273797221</v>
      </c>
      <c r="K2642" s="5">
        <v>49</v>
      </c>
    </row>
    <row r="2643" spans="1:11" x14ac:dyDescent="0.25">
      <c r="A2643" s="2">
        <v>46207.5</v>
      </c>
      <c r="B2643" t="str">
        <f t="shared" si="82"/>
        <v>2026-07</v>
      </c>
      <c r="C2643" s="3">
        <f t="shared" si="83"/>
        <v>12</v>
      </c>
      <c r="D2643" s="4">
        <v>28.520127005063891</v>
      </c>
      <c r="E2643" s="4"/>
      <c r="F2643" s="4">
        <v>29.778529259283331</v>
      </c>
      <c r="G2643" s="4">
        <v>26.5</v>
      </c>
      <c r="H2643" s="5">
        <v>45.988827953394441</v>
      </c>
      <c r="I2643" s="5"/>
      <c r="J2643" s="5">
        <v>49.590056545297223</v>
      </c>
      <c r="K2643" s="5">
        <v>52</v>
      </c>
    </row>
    <row r="2644" spans="1:11" x14ac:dyDescent="0.25">
      <c r="A2644" s="2">
        <v>46207.541666666657</v>
      </c>
      <c r="B2644" t="str">
        <f t="shared" si="82"/>
        <v>2026-07</v>
      </c>
      <c r="C2644" s="3">
        <f t="shared" si="83"/>
        <v>13</v>
      </c>
      <c r="D2644" s="4">
        <v>28.004184646658331</v>
      </c>
      <c r="E2644" s="4"/>
      <c r="F2644" s="4">
        <v>29.768388361027771</v>
      </c>
      <c r="G2644" s="4">
        <v>27.4</v>
      </c>
      <c r="H2644" s="5">
        <v>49.327256743905558</v>
      </c>
      <c r="I2644" s="5"/>
      <c r="J2644" s="5">
        <v>52.127582574463887</v>
      </c>
      <c r="K2644" s="5">
        <v>50</v>
      </c>
    </row>
    <row r="2645" spans="1:11" x14ac:dyDescent="0.25">
      <c r="A2645" s="2">
        <v>46207.583333333343</v>
      </c>
      <c r="B2645" t="str">
        <f t="shared" si="82"/>
        <v>2026-07</v>
      </c>
      <c r="C2645" s="3">
        <f t="shared" si="83"/>
        <v>14</v>
      </c>
      <c r="D2645" s="4">
        <v>27.699305059524999</v>
      </c>
      <c r="E2645" s="4"/>
      <c r="F2645" s="4">
        <v>29.798236461569442</v>
      </c>
      <c r="G2645" s="4">
        <v>26.8</v>
      </c>
      <c r="H2645" s="5">
        <v>48.090671914066661</v>
      </c>
      <c r="I2645" s="5"/>
      <c r="J2645" s="5">
        <v>49.853680726883333</v>
      </c>
      <c r="K2645" s="5">
        <v>52</v>
      </c>
    </row>
    <row r="2646" spans="1:11" x14ac:dyDescent="0.25">
      <c r="A2646" s="2">
        <v>46207.625</v>
      </c>
      <c r="B2646" t="str">
        <f t="shared" si="82"/>
        <v>2026-07</v>
      </c>
      <c r="C2646" s="3">
        <f t="shared" si="83"/>
        <v>15</v>
      </c>
      <c r="D2646" s="4">
        <v>27.46050803911389</v>
      </c>
      <c r="E2646" s="4"/>
      <c r="F2646" s="4">
        <v>29.818848448911108</v>
      </c>
      <c r="G2646" s="4">
        <v>24.2</v>
      </c>
      <c r="H2646" s="5">
        <v>50.395591644494452</v>
      </c>
      <c r="I2646" s="5"/>
      <c r="J2646" s="5">
        <v>49.930623291183338</v>
      </c>
      <c r="K2646" s="5">
        <v>63</v>
      </c>
    </row>
    <row r="2647" spans="1:11" x14ac:dyDescent="0.25">
      <c r="A2647" s="2">
        <v>46207.666666666657</v>
      </c>
      <c r="B2647" t="str">
        <f t="shared" si="82"/>
        <v>2026-07</v>
      </c>
      <c r="C2647" s="3">
        <f t="shared" si="83"/>
        <v>16</v>
      </c>
      <c r="D2647" s="4">
        <v>27.58019692571111</v>
      </c>
      <c r="E2647" s="4"/>
      <c r="F2647" s="4">
        <v>29.848034415338891</v>
      </c>
      <c r="G2647" s="4">
        <v>21.7</v>
      </c>
      <c r="H2647" s="5">
        <v>49.359812775280552</v>
      </c>
      <c r="I2647" s="5"/>
      <c r="J2647" s="5">
        <v>50.561860529480562</v>
      </c>
      <c r="K2647" s="5">
        <v>75</v>
      </c>
    </row>
    <row r="2648" spans="1:11" x14ac:dyDescent="0.25">
      <c r="A2648" s="2">
        <v>46207.708333333343</v>
      </c>
      <c r="B2648" t="str">
        <f t="shared" si="82"/>
        <v>2026-07</v>
      </c>
      <c r="C2648" s="3">
        <f t="shared" si="83"/>
        <v>17</v>
      </c>
      <c r="D2648" s="4">
        <v>27.255739651966671</v>
      </c>
      <c r="E2648" s="4"/>
      <c r="F2648" s="4">
        <v>29.83745088464444</v>
      </c>
      <c r="G2648" s="4">
        <v>22.1</v>
      </c>
      <c r="H2648" s="5">
        <v>46.051281403574997</v>
      </c>
      <c r="I2648" s="5"/>
      <c r="J2648" s="5">
        <v>49.627997855358331</v>
      </c>
      <c r="K2648" s="5">
        <v>71</v>
      </c>
    </row>
    <row r="2649" spans="1:11" x14ac:dyDescent="0.25">
      <c r="A2649" s="2">
        <v>46207.75</v>
      </c>
      <c r="B2649" t="str">
        <f t="shared" si="82"/>
        <v>2026-07</v>
      </c>
      <c r="C2649" s="3">
        <f t="shared" si="83"/>
        <v>18</v>
      </c>
      <c r="D2649" s="4">
        <v>26.388826680602779</v>
      </c>
      <c r="E2649" s="4"/>
      <c r="F2649" s="4">
        <v>29.825027650441669</v>
      </c>
      <c r="G2649" s="4">
        <v>22</v>
      </c>
      <c r="H2649" s="5">
        <v>46.822779986788888</v>
      </c>
      <c r="I2649" s="5"/>
      <c r="J2649" s="5">
        <v>49.042034124311108</v>
      </c>
      <c r="K2649" s="5">
        <v>69</v>
      </c>
    </row>
    <row r="2650" spans="1:11" x14ac:dyDescent="0.25">
      <c r="A2650" s="2">
        <v>46207.791666666657</v>
      </c>
      <c r="B2650" t="str">
        <f t="shared" si="82"/>
        <v>2026-07</v>
      </c>
      <c r="C2650" s="3">
        <f t="shared" si="83"/>
        <v>19</v>
      </c>
      <c r="D2650" s="4">
        <v>25.572018686180559</v>
      </c>
      <c r="E2650" s="4"/>
      <c r="F2650" s="4">
        <v>29.810006467916661</v>
      </c>
      <c r="G2650" s="4">
        <v>21.5</v>
      </c>
      <c r="H2650" s="5">
        <v>47.763499823830557</v>
      </c>
      <c r="I2650" s="5"/>
      <c r="J2650" s="5">
        <v>48.563576429891668</v>
      </c>
      <c r="K2650" s="5">
        <v>67</v>
      </c>
    </row>
    <row r="2651" spans="1:11" x14ac:dyDescent="0.25">
      <c r="A2651" s="2">
        <v>46207.833333333343</v>
      </c>
      <c r="B2651" t="str">
        <f t="shared" si="82"/>
        <v>2026-07</v>
      </c>
      <c r="C2651" s="3">
        <f t="shared" si="83"/>
        <v>20</v>
      </c>
      <c r="D2651" s="4">
        <v>25.04246740363611</v>
      </c>
      <c r="E2651" s="4"/>
      <c r="F2651" s="4">
        <v>29.78895108323611</v>
      </c>
      <c r="G2651" s="4">
        <v>20.3</v>
      </c>
      <c r="H2651" s="5">
        <v>52.163282879152767</v>
      </c>
      <c r="I2651" s="5"/>
      <c r="J2651" s="5">
        <v>48.316465738061112</v>
      </c>
      <c r="K2651" s="5">
        <v>72</v>
      </c>
    </row>
    <row r="2652" spans="1:11" x14ac:dyDescent="0.25">
      <c r="A2652" s="2">
        <v>46207.875</v>
      </c>
      <c r="B2652" t="str">
        <f t="shared" si="82"/>
        <v>2026-07</v>
      </c>
      <c r="C2652" s="3">
        <f t="shared" si="83"/>
        <v>21</v>
      </c>
      <c r="D2652" s="4">
        <v>25.921099835475001</v>
      </c>
      <c r="E2652" s="4"/>
      <c r="F2652" s="4">
        <v>29.778669747191671</v>
      </c>
      <c r="G2652" s="4">
        <v>19</v>
      </c>
      <c r="H2652" s="5">
        <v>51.481985539961109</v>
      </c>
      <c r="I2652" s="5"/>
      <c r="J2652" s="5">
        <v>48.178117120880557</v>
      </c>
      <c r="K2652" s="5">
        <v>82</v>
      </c>
    </row>
    <row r="2653" spans="1:11" x14ac:dyDescent="0.25">
      <c r="A2653" s="2">
        <v>46207.916666666657</v>
      </c>
      <c r="B2653" t="str">
        <f t="shared" si="82"/>
        <v>2026-07</v>
      </c>
      <c r="C2653" s="3">
        <f t="shared" si="83"/>
        <v>22</v>
      </c>
      <c r="D2653" s="4">
        <v>24.385864048980551</v>
      </c>
      <c r="E2653" s="4"/>
      <c r="F2653" s="4">
        <v>29.782940983608331</v>
      </c>
      <c r="G2653" s="4">
        <v>18.5</v>
      </c>
      <c r="H2653" s="5">
        <v>55.249440696430561</v>
      </c>
      <c r="I2653" s="5"/>
      <c r="J2653" s="5">
        <v>48.232817440583339</v>
      </c>
      <c r="K2653" s="5">
        <v>85</v>
      </c>
    </row>
    <row r="2654" spans="1:11" x14ac:dyDescent="0.25">
      <c r="A2654" s="2">
        <v>46207.958333333343</v>
      </c>
      <c r="B2654" t="str">
        <f t="shared" si="82"/>
        <v>2026-07</v>
      </c>
      <c r="C2654" s="3">
        <f t="shared" si="83"/>
        <v>23</v>
      </c>
      <c r="D2654" s="4">
        <v>24.233144732622229</v>
      </c>
      <c r="E2654" s="4"/>
      <c r="F2654" s="4">
        <v>29.516427701172219</v>
      </c>
      <c r="G2654" s="4">
        <v>18.2</v>
      </c>
      <c r="H2654" s="5">
        <v>55.309747688327768</v>
      </c>
      <c r="I2654" s="5"/>
      <c r="J2654" s="5">
        <v>49.571732387255558</v>
      </c>
      <c r="K2654" s="5">
        <v>85</v>
      </c>
    </row>
    <row r="2655" spans="1:11" x14ac:dyDescent="0.25">
      <c r="A2655" s="2">
        <v>46208</v>
      </c>
      <c r="B2655" t="str">
        <f t="shared" si="82"/>
        <v>2026-07</v>
      </c>
      <c r="C2655" s="3">
        <f t="shared" si="83"/>
        <v>0</v>
      </c>
      <c r="D2655" s="4">
        <v>24.22199064308333</v>
      </c>
      <c r="E2655" s="4"/>
      <c r="F2655" s="4">
        <v>29.633286626827779</v>
      </c>
      <c r="G2655" s="4">
        <v>18</v>
      </c>
      <c r="H2655" s="5">
        <v>55.345330689394451</v>
      </c>
      <c r="I2655" s="5"/>
      <c r="J2655" s="5">
        <v>49.210010011072221</v>
      </c>
      <c r="K2655" s="5">
        <v>86</v>
      </c>
    </row>
    <row r="2656" spans="1:11" x14ac:dyDescent="0.25">
      <c r="A2656" s="2">
        <v>46208.041666666657</v>
      </c>
      <c r="B2656" t="str">
        <f t="shared" si="82"/>
        <v>2026-07</v>
      </c>
      <c r="C2656" s="3">
        <f t="shared" si="83"/>
        <v>1</v>
      </c>
      <c r="D2656" s="4">
        <v>23.919604464138889</v>
      </c>
      <c r="E2656" s="4"/>
      <c r="F2656" s="4">
        <v>29.742354737602781</v>
      </c>
      <c r="G2656" s="4">
        <v>17.899999999999999</v>
      </c>
      <c r="H2656" s="5">
        <v>55.515135744380558</v>
      </c>
      <c r="I2656" s="5"/>
      <c r="J2656" s="5">
        <v>48.616406429986107</v>
      </c>
      <c r="K2656" s="5">
        <v>85</v>
      </c>
    </row>
    <row r="2657" spans="1:11" x14ac:dyDescent="0.25">
      <c r="A2657" s="2">
        <v>46208.083333333343</v>
      </c>
      <c r="B2657" t="str">
        <f t="shared" si="82"/>
        <v>2026-07</v>
      </c>
      <c r="C2657" s="3">
        <f t="shared" si="83"/>
        <v>2</v>
      </c>
      <c r="D2657" s="4">
        <v>23.86332032023056</v>
      </c>
      <c r="E2657" s="4"/>
      <c r="F2657" s="4">
        <v>29.693849506408331</v>
      </c>
      <c r="G2657" s="4">
        <v>17.8</v>
      </c>
      <c r="H2657" s="5">
        <v>55.874131037399998</v>
      </c>
      <c r="I2657" s="5"/>
      <c r="J2657" s="5">
        <v>48.490197857441672</v>
      </c>
      <c r="K2657" s="5">
        <v>85</v>
      </c>
    </row>
    <row r="2658" spans="1:11" x14ac:dyDescent="0.25">
      <c r="A2658" s="2">
        <v>46208.125</v>
      </c>
      <c r="B2658" t="str">
        <f t="shared" si="82"/>
        <v>2026-07</v>
      </c>
      <c r="C2658" s="3">
        <f t="shared" si="83"/>
        <v>3</v>
      </c>
      <c r="D2658" s="4">
        <v>24.005869112572221</v>
      </c>
      <c r="E2658" s="4"/>
      <c r="F2658" s="4">
        <v>29.684031158555559</v>
      </c>
      <c r="G2658" s="4">
        <v>16.899999999999999</v>
      </c>
      <c r="H2658" s="5">
        <v>56.605687995011117</v>
      </c>
      <c r="I2658" s="5"/>
      <c r="J2658" s="5">
        <v>48.521498920352776</v>
      </c>
      <c r="K2658" s="5">
        <v>89</v>
      </c>
    </row>
    <row r="2659" spans="1:11" x14ac:dyDescent="0.25">
      <c r="A2659" s="2">
        <v>46208.166666666657</v>
      </c>
      <c r="B2659" t="str">
        <f t="shared" si="82"/>
        <v>2026-07</v>
      </c>
      <c r="C2659" s="3">
        <f t="shared" si="83"/>
        <v>4</v>
      </c>
      <c r="D2659" s="4">
        <v>23.824711358369441</v>
      </c>
      <c r="E2659" s="4"/>
      <c r="F2659" s="4">
        <v>29.683527747811109</v>
      </c>
      <c r="G2659" s="4">
        <v>16.7</v>
      </c>
      <c r="H2659" s="5">
        <v>54.114218116833342</v>
      </c>
      <c r="I2659" s="5"/>
      <c r="J2659" s="5">
        <v>48.492950299277773</v>
      </c>
      <c r="K2659" s="5">
        <v>88</v>
      </c>
    </row>
    <row r="2660" spans="1:11" x14ac:dyDescent="0.25">
      <c r="A2660" s="2">
        <v>46208.208333333343</v>
      </c>
      <c r="B2660" t="str">
        <f t="shared" si="82"/>
        <v>2026-07</v>
      </c>
      <c r="C2660" s="3">
        <f t="shared" si="83"/>
        <v>5</v>
      </c>
      <c r="D2660" s="4">
        <v>23.184403712024999</v>
      </c>
      <c r="E2660" s="4"/>
      <c r="F2660" s="4">
        <v>29.663315222994441</v>
      </c>
      <c r="G2660" s="4">
        <v>16.3</v>
      </c>
      <c r="H2660" s="5">
        <v>51.679566370344453</v>
      </c>
      <c r="I2660" s="5"/>
      <c r="J2660" s="5">
        <v>48.159586028666673</v>
      </c>
      <c r="K2660" s="5">
        <v>85</v>
      </c>
    </row>
    <row r="2661" spans="1:11" x14ac:dyDescent="0.25">
      <c r="A2661" s="2">
        <v>46208.25</v>
      </c>
      <c r="B2661" t="str">
        <f t="shared" si="82"/>
        <v>2026-07</v>
      </c>
      <c r="C2661" s="3">
        <f t="shared" si="83"/>
        <v>6</v>
      </c>
      <c r="D2661" s="4">
        <v>23.702217774455558</v>
      </c>
      <c r="E2661" s="4"/>
      <c r="F2661" s="4">
        <v>29.642672960827781</v>
      </c>
      <c r="G2661" s="4">
        <v>16</v>
      </c>
      <c r="H2661" s="5">
        <v>48.556131199616672</v>
      </c>
      <c r="I2661" s="5"/>
      <c r="J2661" s="5">
        <v>47.692662871863888</v>
      </c>
      <c r="K2661" s="5">
        <v>82</v>
      </c>
    </row>
    <row r="2662" spans="1:11" x14ac:dyDescent="0.25">
      <c r="A2662" s="2">
        <v>46208.291666666657</v>
      </c>
      <c r="B2662" t="str">
        <f t="shared" si="82"/>
        <v>2026-07</v>
      </c>
      <c r="C2662" s="3">
        <f t="shared" si="83"/>
        <v>7</v>
      </c>
      <c r="D2662" s="4">
        <v>25.756107895663892</v>
      </c>
      <c r="E2662" s="4"/>
      <c r="F2662" s="4">
        <v>29.637635489208328</v>
      </c>
      <c r="G2662" s="4">
        <v>16.600000000000001</v>
      </c>
      <c r="H2662" s="5">
        <v>42.964212399463889</v>
      </c>
      <c r="I2662" s="5"/>
      <c r="J2662" s="5">
        <v>47.400088802174999</v>
      </c>
      <c r="K2662" s="5">
        <v>75</v>
      </c>
    </row>
    <row r="2663" spans="1:11" x14ac:dyDescent="0.25">
      <c r="A2663" s="2">
        <v>46208.333333333343</v>
      </c>
      <c r="B2663" t="str">
        <f t="shared" si="82"/>
        <v>2026-07</v>
      </c>
      <c r="C2663" s="3">
        <f t="shared" si="83"/>
        <v>8</v>
      </c>
      <c r="D2663" s="4">
        <v>26.922184228733329</v>
      </c>
      <c r="E2663" s="4"/>
      <c r="F2663" s="4">
        <v>29.656243708113891</v>
      </c>
      <c r="G2663" s="4">
        <v>17.7</v>
      </c>
      <c r="H2663" s="5">
        <v>40.047402197094449</v>
      </c>
      <c r="I2663" s="5"/>
      <c r="J2663" s="5">
        <v>47.240569431133331</v>
      </c>
      <c r="K2663" s="5">
        <v>72</v>
      </c>
    </row>
    <row r="2664" spans="1:11" x14ac:dyDescent="0.25">
      <c r="A2664" s="2">
        <v>46208.375</v>
      </c>
      <c r="B2664" t="str">
        <f t="shared" si="82"/>
        <v>2026-07</v>
      </c>
      <c r="C2664" s="3">
        <f t="shared" si="83"/>
        <v>9</v>
      </c>
      <c r="D2664" s="4">
        <v>28.126207996866661</v>
      </c>
      <c r="E2664" s="4"/>
      <c r="F2664" s="4">
        <v>29.68751487996667</v>
      </c>
      <c r="G2664" s="4">
        <v>19.3</v>
      </c>
      <c r="H2664" s="5">
        <v>37.58700977099722</v>
      </c>
      <c r="I2664" s="5"/>
      <c r="J2664" s="5">
        <v>47.160800266113888</v>
      </c>
      <c r="K2664" s="5">
        <v>65</v>
      </c>
    </row>
    <row r="2665" spans="1:11" x14ac:dyDescent="0.25">
      <c r="A2665" s="2">
        <v>46208.416666666657</v>
      </c>
      <c r="B2665" t="str">
        <f t="shared" si="82"/>
        <v>2026-07</v>
      </c>
      <c r="C2665" s="3">
        <f t="shared" si="83"/>
        <v>10</v>
      </c>
      <c r="D2665" s="4">
        <v>27.663753283794449</v>
      </c>
      <c r="E2665" s="4"/>
      <c r="F2665" s="4">
        <v>29.715685047175</v>
      </c>
      <c r="G2665" s="4">
        <v>20.100000000000001</v>
      </c>
      <c r="H2665" s="5">
        <v>37.417886514180559</v>
      </c>
      <c r="I2665" s="5"/>
      <c r="J2665" s="5">
        <v>47.077525399058338</v>
      </c>
      <c r="K2665" s="5">
        <v>59</v>
      </c>
    </row>
    <row r="2666" spans="1:11" x14ac:dyDescent="0.25">
      <c r="A2666" s="2">
        <v>46208.458333333343</v>
      </c>
      <c r="B2666" t="str">
        <f t="shared" si="82"/>
        <v>2026-07</v>
      </c>
      <c r="C2666" s="3">
        <f t="shared" si="83"/>
        <v>11</v>
      </c>
      <c r="D2666" s="4">
        <v>27.248951339897221</v>
      </c>
      <c r="E2666" s="4"/>
      <c r="F2666" s="4">
        <v>29.739003322702771</v>
      </c>
      <c r="G2666" s="4">
        <v>20.6</v>
      </c>
      <c r="H2666" s="5">
        <v>36.527995966091673</v>
      </c>
      <c r="I2666" s="5"/>
      <c r="J2666" s="5">
        <v>46.934426258727783</v>
      </c>
      <c r="K2666" s="5">
        <v>55</v>
      </c>
    </row>
    <row r="2667" spans="1:11" x14ac:dyDescent="0.25">
      <c r="A2667" s="2">
        <v>46208.5</v>
      </c>
      <c r="B2667" t="str">
        <f t="shared" si="82"/>
        <v>2026-07</v>
      </c>
      <c r="C2667" s="3">
        <f t="shared" si="83"/>
        <v>12</v>
      </c>
      <c r="D2667" s="4">
        <v>26.962090676202781</v>
      </c>
      <c r="E2667" s="4"/>
      <c r="F2667" s="4">
        <v>29.775350579947219</v>
      </c>
      <c r="G2667" s="4">
        <v>21.6</v>
      </c>
      <c r="H2667" s="5">
        <v>35.852668767991673</v>
      </c>
      <c r="I2667" s="5"/>
      <c r="J2667" s="5">
        <v>46.610947503755561</v>
      </c>
      <c r="K2667" s="5">
        <v>55</v>
      </c>
    </row>
    <row r="2668" spans="1:11" x14ac:dyDescent="0.25">
      <c r="A2668" s="2">
        <v>46208.541666666657</v>
      </c>
      <c r="B2668" t="str">
        <f t="shared" si="82"/>
        <v>2026-07</v>
      </c>
      <c r="C2668" s="3">
        <f t="shared" si="83"/>
        <v>13</v>
      </c>
      <c r="D2668" s="4">
        <v>27.35327595862222</v>
      </c>
      <c r="E2668" s="4"/>
      <c r="F2668" s="4">
        <v>29.918976613325</v>
      </c>
      <c r="G2668" s="4">
        <v>18.7</v>
      </c>
      <c r="H2668" s="5">
        <v>35.354376917549992</v>
      </c>
      <c r="I2668" s="5"/>
      <c r="J2668" s="5">
        <v>46.477827883716657</v>
      </c>
      <c r="K2668" s="5">
        <v>66</v>
      </c>
    </row>
    <row r="2669" spans="1:11" x14ac:dyDescent="0.25">
      <c r="A2669" s="2">
        <v>46208.583333333343</v>
      </c>
      <c r="B2669" t="str">
        <f t="shared" si="82"/>
        <v>2026-07</v>
      </c>
      <c r="C2669" s="3">
        <f t="shared" si="83"/>
        <v>14</v>
      </c>
      <c r="D2669" s="4">
        <v>27.364138021994449</v>
      </c>
      <c r="E2669" s="4"/>
      <c r="F2669" s="4">
        <v>29.948564169588892</v>
      </c>
      <c r="G2669" s="4">
        <v>19.899999999999999</v>
      </c>
      <c r="H2669" s="5">
        <v>34.725808468686111</v>
      </c>
      <c r="I2669" s="5"/>
      <c r="J2669" s="5">
        <v>45.851373466075003</v>
      </c>
      <c r="K2669" s="5">
        <v>61</v>
      </c>
    </row>
    <row r="2670" spans="1:11" x14ac:dyDescent="0.25">
      <c r="A2670" s="2">
        <v>46208.625</v>
      </c>
      <c r="B2670" t="str">
        <f t="shared" si="82"/>
        <v>2026-07</v>
      </c>
      <c r="C2670" s="3">
        <f t="shared" si="83"/>
        <v>15</v>
      </c>
      <c r="D2670" s="4">
        <v>26.75712005346389</v>
      </c>
      <c r="E2670" s="4"/>
      <c r="F2670" s="4">
        <v>29.969077024274998</v>
      </c>
      <c r="G2670" s="4">
        <v>17.899999999999999</v>
      </c>
      <c r="H2670" s="5">
        <v>36.932526119730561</v>
      </c>
      <c r="I2670" s="5"/>
      <c r="J2670" s="5">
        <v>45.447219108144438</v>
      </c>
      <c r="K2670" s="5">
        <v>77</v>
      </c>
    </row>
    <row r="2671" spans="1:11" x14ac:dyDescent="0.25">
      <c r="A2671" s="2">
        <v>46208.666666666657</v>
      </c>
      <c r="B2671" t="str">
        <f t="shared" si="82"/>
        <v>2026-07</v>
      </c>
      <c r="C2671" s="3">
        <f t="shared" si="83"/>
        <v>16</v>
      </c>
      <c r="D2671" s="4">
        <v>26.375862298516669</v>
      </c>
      <c r="E2671" s="4"/>
      <c r="F2671" s="4">
        <v>29.817287012074999</v>
      </c>
      <c r="G2671" s="4">
        <v>19.399999999999999</v>
      </c>
      <c r="H2671" s="5">
        <v>36.772052895175001</v>
      </c>
      <c r="I2671" s="5"/>
      <c r="J2671" s="5">
        <v>44.635782626327767</v>
      </c>
      <c r="K2671" s="5">
        <v>68</v>
      </c>
    </row>
    <row r="2672" spans="1:11" x14ac:dyDescent="0.25">
      <c r="A2672" s="2">
        <v>46208.708333333343</v>
      </c>
      <c r="B2672" t="str">
        <f t="shared" si="82"/>
        <v>2026-07</v>
      </c>
      <c r="C2672" s="3">
        <f t="shared" si="83"/>
        <v>17</v>
      </c>
      <c r="D2672" s="4">
        <v>25.38420147775</v>
      </c>
      <c r="E2672" s="4"/>
      <c r="F2672" s="4">
        <v>29.844277757758331</v>
      </c>
      <c r="G2672" s="4">
        <v>20.3</v>
      </c>
      <c r="H2672" s="5">
        <v>42.523680764083331</v>
      </c>
      <c r="I2672" s="5"/>
      <c r="J2672" s="5">
        <v>44.463037665763892</v>
      </c>
      <c r="K2672" s="5">
        <v>62</v>
      </c>
    </row>
    <row r="2673" spans="1:11" x14ac:dyDescent="0.25">
      <c r="A2673" s="2">
        <v>46208.75</v>
      </c>
      <c r="B2673" t="str">
        <f t="shared" si="82"/>
        <v>2026-07</v>
      </c>
      <c r="C2673" s="3">
        <f t="shared" si="83"/>
        <v>18</v>
      </c>
      <c r="D2673" s="4">
        <v>25.447606492933328</v>
      </c>
      <c r="E2673" s="4"/>
      <c r="F2673" s="4">
        <v>29.910436548330551</v>
      </c>
      <c r="G2673" s="4">
        <v>19.3</v>
      </c>
      <c r="H2673" s="5">
        <v>42.242277116033328</v>
      </c>
      <c r="I2673" s="5"/>
      <c r="J2673" s="5">
        <v>45.102745645244447</v>
      </c>
      <c r="K2673" s="5">
        <v>65</v>
      </c>
    </row>
    <row r="2674" spans="1:11" x14ac:dyDescent="0.25">
      <c r="A2674" s="2">
        <v>46208.791666666657</v>
      </c>
      <c r="B2674" t="str">
        <f t="shared" si="82"/>
        <v>2026-07</v>
      </c>
      <c r="C2674" s="3">
        <f t="shared" si="83"/>
        <v>19</v>
      </c>
      <c r="D2674" s="4">
        <v>25.085088775780559</v>
      </c>
      <c r="E2674" s="4"/>
      <c r="F2674" s="4">
        <v>30.053156620097219</v>
      </c>
      <c r="G2674" s="4">
        <v>18.899999999999999</v>
      </c>
      <c r="H2674" s="5">
        <v>42.320694504091669</v>
      </c>
      <c r="I2674" s="5"/>
      <c r="J2674" s="5">
        <v>45.207713543875002</v>
      </c>
      <c r="K2674" s="5">
        <v>68</v>
      </c>
    </row>
    <row r="2675" spans="1:11" x14ac:dyDescent="0.25">
      <c r="A2675" s="2">
        <v>46208.833333333343</v>
      </c>
      <c r="B2675" t="str">
        <f t="shared" si="82"/>
        <v>2026-07</v>
      </c>
      <c r="C2675" s="3">
        <f t="shared" si="83"/>
        <v>20</v>
      </c>
      <c r="D2675" s="4">
        <v>24.86977421801944</v>
      </c>
      <c r="E2675" s="4"/>
      <c r="F2675" s="4">
        <v>30.11471891256112</v>
      </c>
      <c r="G2675" s="4">
        <v>18</v>
      </c>
      <c r="H2675" s="5">
        <v>43.660113389913903</v>
      </c>
      <c r="I2675" s="5"/>
      <c r="J2675" s="5">
        <v>45.084172598822221</v>
      </c>
      <c r="K2675" s="5">
        <v>72</v>
      </c>
    </row>
    <row r="2676" spans="1:11" x14ac:dyDescent="0.25">
      <c r="A2676" s="2">
        <v>46208.875</v>
      </c>
      <c r="B2676" t="str">
        <f t="shared" si="82"/>
        <v>2026-07</v>
      </c>
      <c r="C2676" s="3">
        <f t="shared" si="83"/>
        <v>21</v>
      </c>
      <c r="D2676" s="4">
        <v>25.267947199316669</v>
      </c>
      <c r="E2676" s="4"/>
      <c r="F2676" s="4">
        <v>30.040133657422221</v>
      </c>
      <c r="G2676" s="4">
        <v>17</v>
      </c>
      <c r="H2676" s="5">
        <v>43.924770909661113</v>
      </c>
      <c r="I2676" s="5"/>
      <c r="J2676" s="5">
        <v>45.234498205469443</v>
      </c>
      <c r="K2676" s="5">
        <v>77</v>
      </c>
    </row>
    <row r="2677" spans="1:11" x14ac:dyDescent="0.25">
      <c r="A2677" s="2">
        <v>46208.916666666657</v>
      </c>
      <c r="B2677" t="str">
        <f t="shared" si="82"/>
        <v>2026-07</v>
      </c>
      <c r="C2677" s="3">
        <f t="shared" si="83"/>
        <v>22</v>
      </c>
      <c r="D2677" s="4">
        <v>25.133101464422221</v>
      </c>
      <c r="E2677" s="4"/>
      <c r="F2677" s="4">
        <v>30.01640149738056</v>
      </c>
      <c r="G2677" s="4">
        <v>16.399999999999999</v>
      </c>
      <c r="H2677" s="5">
        <v>44.103567852013889</v>
      </c>
      <c r="I2677" s="5"/>
      <c r="J2677" s="5">
        <v>45.302268797661107</v>
      </c>
      <c r="K2677" s="5">
        <v>81</v>
      </c>
    </row>
    <row r="2678" spans="1:11" x14ac:dyDescent="0.25">
      <c r="A2678" s="2">
        <v>46208.958333333343</v>
      </c>
      <c r="B2678" t="str">
        <f t="shared" si="82"/>
        <v>2026-07</v>
      </c>
      <c r="C2678" s="3">
        <f t="shared" si="83"/>
        <v>23</v>
      </c>
      <c r="D2678" s="4">
        <v>24.470128635550001</v>
      </c>
      <c r="E2678" s="4"/>
      <c r="F2678" s="4">
        <v>29.950518807611111</v>
      </c>
      <c r="G2678" s="4">
        <v>15.9</v>
      </c>
      <c r="H2678" s="5">
        <v>45.906316315597223</v>
      </c>
      <c r="I2678" s="5"/>
      <c r="J2678" s="5">
        <v>45.399177308116663</v>
      </c>
      <c r="K2678" s="5">
        <v>83</v>
      </c>
    </row>
    <row r="2679" spans="1:11" x14ac:dyDescent="0.25">
      <c r="A2679" s="2">
        <v>46209</v>
      </c>
      <c r="B2679" t="str">
        <f t="shared" si="82"/>
        <v>2026-07</v>
      </c>
      <c r="C2679" s="3">
        <f t="shared" si="83"/>
        <v>0</v>
      </c>
      <c r="D2679" s="4">
        <v>23.276206274500002</v>
      </c>
      <c r="E2679" s="4"/>
      <c r="F2679" s="4">
        <v>29.920857955702768</v>
      </c>
      <c r="G2679" s="4">
        <v>15.4</v>
      </c>
      <c r="H2679" s="5">
        <v>48.616653290730547</v>
      </c>
      <c r="I2679" s="5"/>
      <c r="J2679" s="5">
        <v>45.700824778983332</v>
      </c>
      <c r="K2679" s="5">
        <v>87</v>
      </c>
    </row>
    <row r="2680" spans="1:11" x14ac:dyDescent="0.25">
      <c r="A2680" s="2">
        <v>46209.041666666657</v>
      </c>
      <c r="B2680" t="str">
        <f t="shared" si="82"/>
        <v>2026-07</v>
      </c>
      <c r="C2680" s="3">
        <f t="shared" si="83"/>
        <v>1</v>
      </c>
      <c r="D2680" s="4">
        <v>22.588648767686109</v>
      </c>
      <c r="E2680" s="4"/>
      <c r="F2680" s="4">
        <v>29.92665456416389</v>
      </c>
      <c r="G2680" s="4">
        <v>15.1</v>
      </c>
      <c r="H2680" s="5">
        <v>49.497896391324993</v>
      </c>
      <c r="I2680" s="5"/>
      <c r="J2680" s="5">
        <v>45.424912208811122</v>
      </c>
      <c r="K2680" s="5">
        <v>88</v>
      </c>
    </row>
    <row r="2681" spans="1:11" x14ac:dyDescent="0.25">
      <c r="A2681" s="2">
        <v>46209.083333333343</v>
      </c>
      <c r="B2681" t="str">
        <f t="shared" si="82"/>
        <v>2026-07</v>
      </c>
      <c r="C2681" s="3">
        <f t="shared" si="83"/>
        <v>2</v>
      </c>
      <c r="D2681" s="4">
        <v>21.723418628180561</v>
      </c>
      <c r="E2681" s="4"/>
      <c r="F2681" s="4">
        <v>29.881206977249999</v>
      </c>
      <c r="G2681" s="4">
        <v>14.7</v>
      </c>
      <c r="H2681" s="5">
        <v>50.938680299497229</v>
      </c>
      <c r="I2681" s="5"/>
      <c r="J2681" s="5">
        <v>45.205705084208333</v>
      </c>
      <c r="K2681" s="5">
        <v>89</v>
      </c>
    </row>
    <row r="2682" spans="1:11" x14ac:dyDescent="0.25">
      <c r="A2682" s="2">
        <v>46209.125</v>
      </c>
      <c r="B2682" t="str">
        <f t="shared" si="82"/>
        <v>2026-07</v>
      </c>
      <c r="C2682" s="3">
        <f t="shared" si="83"/>
        <v>3</v>
      </c>
      <c r="D2682" s="4">
        <v>21.350466327625</v>
      </c>
      <c r="E2682" s="4"/>
      <c r="F2682" s="4">
        <v>29.831265867186119</v>
      </c>
      <c r="G2682" s="4">
        <v>13.8</v>
      </c>
      <c r="H2682" s="5">
        <v>50.870525750702782</v>
      </c>
      <c r="I2682" s="5"/>
      <c r="J2682" s="5">
        <v>44.995418746447221</v>
      </c>
      <c r="K2682" s="5">
        <v>90</v>
      </c>
    </row>
    <row r="2683" spans="1:11" x14ac:dyDescent="0.25">
      <c r="A2683" s="2">
        <v>46209.166666666657</v>
      </c>
      <c r="B2683" t="str">
        <f t="shared" si="82"/>
        <v>2026-07</v>
      </c>
      <c r="C2683" s="3">
        <f t="shared" si="83"/>
        <v>4</v>
      </c>
      <c r="D2683" s="4">
        <v>21.26755098258889</v>
      </c>
      <c r="E2683" s="4"/>
      <c r="F2683" s="4">
        <v>29.77802177660833</v>
      </c>
      <c r="G2683" s="4">
        <v>13.5</v>
      </c>
      <c r="H2683" s="5">
        <v>50.505762379836113</v>
      </c>
      <c r="I2683" s="5"/>
      <c r="J2683" s="5">
        <v>44.778778363008342</v>
      </c>
      <c r="K2683" s="5">
        <v>90</v>
      </c>
    </row>
    <row r="2684" spans="1:11" x14ac:dyDescent="0.25">
      <c r="A2684" s="2">
        <v>46209.208333333343</v>
      </c>
      <c r="B2684" t="str">
        <f t="shared" si="82"/>
        <v>2026-07</v>
      </c>
      <c r="C2684" s="3">
        <f t="shared" si="83"/>
        <v>5</v>
      </c>
      <c r="D2684" s="4">
        <v>22.238662485950002</v>
      </c>
      <c r="E2684" s="4"/>
      <c r="F2684" s="4">
        <v>29.72581819230556</v>
      </c>
      <c r="G2684" s="4">
        <v>13.3</v>
      </c>
      <c r="H2684" s="5">
        <v>47.35000193155556</v>
      </c>
      <c r="I2684" s="5"/>
      <c r="J2684" s="5">
        <v>44.618889429177777</v>
      </c>
      <c r="K2684" s="5">
        <v>89</v>
      </c>
    </row>
    <row r="2685" spans="1:11" x14ac:dyDescent="0.25">
      <c r="A2685" s="2">
        <v>46209.25</v>
      </c>
      <c r="B2685" t="str">
        <f t="shared" si="82"/>
        <v>2026-07</v>
      </c>
      <c r="C2685" s="3">
        <f t="shared" si="83"/>
        <v>6</v>
      </c>
      <c r="D2685" s="4">
        <v>24.005565803352781</v>
      </c>
      <c r="E2685" s="4"/>
      <c r="F2685" s="4">
        <v>29.707024622166671</v>
      </c>
      <c r="G2685" s="4">
        <v>14.2</v>
      </c>
      <c r="H2685" s="5">
        <v>42.715580379547227</v>
      </c>
      <c r="I2685" s="5"/>
      <c r="J2685" s="5">
        <v>44.53406493781111</v>
      </c>
      <c r="K2685" s="5">
        <v>87</v>
      </c>
    </row>
    <row r="2686" spans="1:11" x14ac:dyDescent="0.25">
      <c r="A2686" s="2">
        <v>46209.291666666657</v>
      </c>
      <c r="B2686" t="str">
        <f t="shared" si="82"/>
        <v>2026-07</v>
      </c>
      <c r="C2686" s="3">
        <f t="shared" si="83"/>
        <v>7</v>
      </c>
      <c r="D2686" s="4">
        <v>25.609832799469441</v>
      </c>
      <c r="E2686" s="4"/>
      <c r="F2686" s="4">
        <v>29.710052484411111</v>
      </c>
      <c r="G2686" s="4">
        <v>15.9</v>
      </c>
      <c r="H2686" s="5">
        <v>40.016732362461113</v>
      </c>
      <c r="I2686" s="5"/>
      <c r="J2686" s="5">
        <v>44.571842711933343</v>
      </c>
      <c r="K2686" s="5">
        <v>80</v>
      </c>
    </row>
    <row r="2687" spans="1:11" x14ac:dyDescent="0.25">
      <c r="A2687" s="2">
        <v>46209.333333333343</v>
      </c>
      <c r="B2687" t="str">
        <f t="shared" si="82"/>
        <v>2026-07</v>
      </c>
      <c r="C2687" s="3">
        <f t="shared" si="83"/>
        <v>8</v>
      </c>
      <c r="D2687" s="4">
        <v>26.803057155727771</v>
      </c>
      <c r="E2687" s="4"/>
      <c r="F2687" s="4">
        <v>29.727965911391671</v>
      </c>
      <c r="G2687" s="4">
        <v>18.100000000000001</v>
      </c>
      <c r="H2687" s="5">
        <v>39.577595781213887</v>
      </c>
      <c r="I2687" s="5"/>
      <c r="J2687" s="5">
        <v>44.676162872594453</v>
      </c>
      <c r="K2687" s="5">
        <v>71</v>
      </c>
    </row>
    <row r="2688" spans="1:11" x14ac:dyDescent="0.25">
      <c r="A2688" s="2">
        <v>46209.375</v>
      </c>
      <c r="B2688" t="str">
        <f t="shared" si="82"/>
        <v>2026-07</v>
      </c>
      <c r="C2688" s="3">
        <f t="shared" si="83"/>
        <v>9</v>
      </c>
      <c r="D2688" s="4">
        <v>27.544043857344441</v>
      </c>
      <c r="E2688" s="4"/>
      <c r="F2688" s="4">
        <v>29.75515429355</v>
      </c>
      <c r="G2688" s="4">
        <v>20.399999999999999</v>
      </c>
      <c r="H2688" s="5">
        <v>37.683824825800002</v>
      </c>
      <c r="I2688" s="5"/>
      <c r="J2688" s="5">
        <v>44.858762145455557</v>
      </c>
      <c r="K2688" s="5">
        <v>63</v>
      </c>
    </row>
    <row r="2689" spans="1:11" x14ac:dyDescent="0.25">
      <c r="A2689" s="2">
        <v>46209.416666666657</v>
      </c>
      <c r="B2689" t="str">
        <f t="shared" si="82"/>
        <v>2026-07</v>
      </c>
      <c r="C2689" s="3">
        <f t="shared" si="83"/>
        <v>10</v>
      </c>
      <c r="D2689" s="4">
        <v>27.671531812249999</v>
      </c>
      <c r="E2689" s="4"/>
      <c r="F2689" s="4">
        <v>29.792654818238891</v>
      </c>
      <c r="G2689" s="4">
        <v>22</v>
      </c>
      <c r="H2689" s="5">
        <v>34.759941395822217</v>
      </c>
      <c r="I2689" s="5"/>
      <c r="J2689" s="5">
        <v>44.976054816841668</v>
      </c>
      <c r="K2689" s="5">
        <v>49</v>
      </c>
    </row>
    <row r="2690" spans="1:11" x14ac:dyDescent="0.25">
      <c r="A2690" s="2">
        <v>46209.458333333343</v>
      </c>
      <c r="B2690" t="str">
        <f t="shared" ref="B2690:B2753" si="84">TEXT(A2690,"yyyy-mm")</f>
        <v>2026-07</v>
      </c>
      <c r="C2690" s="3">
        <f t="shared" ref="C2690:C2753" si="85">HOUR(A2690)</f>
        <v>11</v>
      </c>
      <c r="D2690" s="4">
        <v>27.522479155483332</v>
      </c>
      <c r="E2690" s="4"/>
      <c r="F2690" s="4">
        <v>29.809169684991659</v>
      </c>
      <c r="G2690" s="4">
        <v>22.5</v>
      </c>
      <c r="H2690" s="5">
        <v>32.957929925108331</v>
      </c>
      <c r="I2690" s="5"/>
      <c r="J2690" s="5">
        <v>44.971040029811121</v>
      </c>
      <c r="K2690" s="5">
        <v>47</v>
      </c>
    </row>
    <row r="2691" spans="1:11" x14ac:dyDescent="0.25">
      <c r="A2691" s="2">
        <v>46209.5</v>
      </c>
      <c r="B2691" t="str">
        <f t="shared" si="84"/>
        <v>2026-07</v>
      </c>
      <c r="C2691" s="3">
        <f t="shared" si="85"/>
        <v>12</v>
      </c>
      <c r="D2691" s="4">
        <v>27.424393410561109</v>
      </c>
      <c r="E2691" s="4"/>
      <c r="F2691" s="4">
        <v>29.808972405702772</v>
      </c>
      <c r="G2691" s="4">
        <v>22.8</v>
      </c>
      <c r="H2691" s="5">
        <v>32.830971038358342</v>
      </c>
      <c r="I2691" s="5"/>
      <c r="J2691" s="5">
        <v>44.88440748038056</v>
      </c>
      <c r="K2691" s="5">
        <v>48</v>
      </c>
    </row>
    <row r="2692" spans="1:11" x14ac:dyDescent="0.25">
      <c r="A2692" s="2">
        <v>46209.541666666657</v>
      </c>
      <c r="B2692" t="str">
        <f t="shared" si="84"/>
        <v>2026-07</v>
      </c>
      <c r="C2692" s="3">
        <f t="shared" si="85"/>
        <v>13</v>
      </c>
      <c r="D2692" s="4">
        <v>26.65678712968333</v>
      </c>
      <c r="E2692" s="4"/>
      <c r="F2692" s="4">
        <v>29.71117014363611</v>
      </c>
      <c r="G2692" s="4">
        <v>23.7</v>
      </c>
      <c r="H2692" s="5">
        <v>35.630948744005558</v>
      </c>
      <c r="I2692" s="5"/>
      <c r="J2692" s="5">
        <v>44.315829299024998</v>
      </c>
      <c r="K2692" s="5">
        <v>44</v>
      </c>
    </row>
    <row r="2693" spans="1:11" x14ac:dyDescent="0.25">
      <c r="A2693" s="2">
        <v>46209.583333333343</v>
      </c>
      <c r="B2693" t="str">
        <f t="shared" si="84"/>
        <v>2026-07</v>
      </c>
      <c r="C2693" s="3">
        <f t="shared" si="85"/>
        <v>14</v>
      </c>
      <c r="D2693" s="4">
        <v>26.528920459730561</v>
      </c>
      <c r="E2693" s="4"/>
      <c r="F2693" s="4">
        <v>29.667266377297221</v>
      </c>
      <c r="G2693" s="4">
        <v>19.100000000000001</v>
      </c>
      <c r="H2693" s="5">
        <v>38.046573189275001</v>
      </c>
      <c r="I2693" s="5"/>
      <c r="J2693" s="5">
        <v>44.784989125266662</v>
      </c>
      <c r="K2693" s="5">
        <v>74</v>
      </c>
    </row>
    <row r="2694" spans="1:11" x14ac:dyDescent="0.25">
      <c r="A2694" s="2">
        <v>46209.625</v>
      </c>
      <c r="B2694" t="str">
        <f t="shared" si="84"/>
        <v>2026-07</v>
      </c>
      <c r="C2694" s="3">
        <f t="shared" si="85"/>
        <v>15</v>
      </c>
      <c r="D2694" s="4">
        <v>26.550101405825</v>
      </c>
      <c r="E2694" s="4"/>
      <c r="F2694" s="4">
        <v>29.595738010800002</v>
      </c>
      <c r="G2694" s="4">
        <v>21.3</v>
      </c>
      <c r="H2694" s="5">
        <v>37.983636451852767</v>
      </c>
      <c r="I2694" s="5"/>
      <c r="J2694" s="5">
        <v>45.927601169644447</v>
      </c>
      <c r="K2694" s="5">
        <v>59</v>
      </c>
    </row>
    <row r="2695" spans="1:11" x14ac:dyDescent="0.25">
      <c r="A2695" s="2">
        <v>46209.666666666657</v>
      </c>
      <c r="B2695" t="str">
        <f t="shared" si="84"/>
        <v>2026-07</v>
      </c>
      <c r="C2695" s="3">
        <f t="shared" si="85"/>
        <v>16</v>
      </c>
      <c r="D2695" s="4">
        <v>26.078600254977779</v>
      </c>
      <c r="E2695" s="4"/>
      <c r="F2695" s="4">
        <v>29.69295037908612</v>
      </c>
      <c r="G2695" s="4">
        <v>21.2</v>
      </c>
      <c r="H2695" s="5">
        <v>39.711500147241672</v>
      </c>
      <c r="I2695" s="5"/>
      <c r="J2695" s="5">
        <v>45.643926697536109</v>
      </c>
      <c r="K2695" s="5">
        <v>63</v>
      </c>
    </row>
    <row r="2696" spans="1:11" x14ac:dyDescent="0.25">
      <c r="A2696" s="2">
        <v>46209.708333333343</v>
      </c>
      <c r="B2696" t="str">
        <f t="shared" si="84"/>
        <v>2026-07</v>
      </c>
      <c r="C2696" s="3">
        <f t="shared" si="85"/>
        <v>17</v>
      </c>
      <c r="D2696" s="4">
        <v>25.312927653675001</v>
      </c>
      <c r="E2696" s="4"/>
      <c r="F2696" s="4">
        <v>29.295206935313889</v>
      </c>
      <c r="G2696" s="4">
        <v>17.600000000000001</v>
      </c>
      <c r="H2696" s="5">
        <v>46.114762147877776</v>
      </c>
      <c r="I2696" s="5"/>
      <c r="J2696" s="5">
        <v>47.072901111363883</v>
      </c>
      <c r="K2696" s="5">
        <v>79</v>
      </c>
    </row>
    <row r="2697" spans="1:11" x14ac:dyDescent="0.25">
      <c r="A2697" s="2">
        <v>46209.75</v>
      </c>
      <c r="B2697" t="str">
        <f t="shared" si="84"/>
        <v>2026-07</v>
      </c>
      <c r="C2697" s="3">
        <f t="shared" si="85"/>
        <v>18</v>
      </c>
      <c r="D2697" s="4">
        <v>24.877123470261111</v>
      </c>
      <c r="E2697" s="4"/>
      <c r="F2697" s="4">
        <v>29.609895226550002</v>
      </c>
      <c r="G2697" s="4">
        <v>18.2</v>
      </c>
      <c r="H2697" s="5">
        <v>48.136201433722221</v>
      </c>
      <c r="I2697" s="5"/>
      <c r="J2697" s="5">
        <v>46.220187616661121</v>
      </c>
      <c r="K2697" s="5">
        <v>82</v>
      </c>
    </row>
    <row r="2698" spans="1:11" x14ac:dyDescent="0.25">
      <c r="A2698" s="2">
        <v>46209.791666666657</v>
      </c>
      <c r="B2698" t="str">
        <f t="shared" si="84"/>
        <v>2026-07</v>
      </c>
      <c r="C2698" s="3">
        <f t="shared" si="85"/>
        <v>19</v>
      </c>
      <c r="D2698" s="4">
        <v>24.695818804408329</v>
      </c>
      <c r="E2698" s="4"/>
      <c r="F2698" s="4">
        <v>29.669679088194439</v>
      </c>
      <c r="G2698" s="4">
        <v>19</v>
      </c>
      <c r="H2698" s="5">
        <v>48.918003198877777</v>
      </c>
      <c r="I2698" s="5"/>
      <c r="J2698" s="5">
        <v>46.168037192819448</v>
      </c>
      <c r="K2698" s="5">
        <v>77</v>
      </c>
    </row>
    <row r="2699" spans="1:11" x14ac:dyDescent="0.25">
      <c r="A2699" s="2">
        <v>46209.833333333343</v>
      </c>
      <c r="B2699" t="str">
        <f t="shared" si="84"/>
        <v>2026-07</v>
      </c>
      <c r="C2699" s="3">
        <f t="shared" si="85"/>
        <v>20</v>
      </c>
      <c r="D2699" s="4">
        <v>24.447618269136111</v>
      </c>
      <c r="E2699" s="4"/>
      <c r="F2699" s="4">
        <v>29.69236101813889</v>
      </c>
      <c r="G2699" s="4">
        <v>18.5</v>
      </c>
      <c r="H2699" s="5">
        <v>49.993103916727783</v>
      </c>
      <c r="I2699" s="5"/>
      <c r="J2699" s="5">
        <v>46.213568248336109</v>
      </c>
      <c r="K2699" s="5">
        <v>79</v>
      </c>
    </row>
    <row r="2700" spans="1:11" x14ac:dyDescent="0.25">
      <c r="A2700" s="2">
        <v>46209.875</v>
      </c>
      <c r="B2700" t="str">
        <f t="shared" si="84"/>
        <v>2026-07</v>
      </c>
      <c r="C2700" s="3">
        <f t="shared" si="85"/>
        <v>21</v>
      </c>
      <c r="D2700" s="4">
        <v>24.16295589035278</v>
      </c>
      <c r="E2700" s="4"/>
      <c r="F2700" s="4">
        <v>29.667314857727771</v>
      </c>
      <c r="G2700" s="4">
        <v>17.399999999999999</v>
      </c>
      <c r="H2700" s="5">
        <v>51.01119642105278</v>
      </c>
      <c r="I2700" s="5"/>
      <c r="J2700" s="5">
        <v>46.492696186855561</v>
      </c>
      <c r="K2700" s="5">
        <v>81</v>
      </c>
    </row>
    <row r="2701" spans="1:11" x14ac:dyDescent="0.25">
      <c r="A2701" s="2">
        <v>46209.916666666657</v>
      </c>
      <c r="B2701" t="str">
        <f t="shared" si="84"/>
        <v>2026-07</v>
      </c>
      <c r="C2701" s="3">
        <f t="shared" si="85"/>
        <v>22</v>
      </c>
      <c r="D2701" s="4">
        <v>24.647976486891672</v>
      </c>
      <c r="E2701" s="4"/>
      <c r="F2701" s="4">
        <v>29.664413434933341</v>
      </c>
      <c r="G2701" s="4">
        <v>16.7</v>
      </c>
      <c r="H2701" s="5">
        <v>50.095521371422223</v>
      </c>
      <c r="I2701" s="5"/>
      <c r="J2701" s="5">
        <v>46.633214543036111</v>
      </c>
      <c r="K2701" s="5">
        <v>85</v>
      </c>
    </row>
    <row r="2702" spans="1:11" x14ac:dyDescent="0.25">
      <c r="A2702" s="2">
        <v>46209.958333333343</v>
      </c>
      <c r="B2702" t="str">
        <f t="shared" si="84"/>
        <v>2026-07</v>
      </c>
      <c r="C2702" s="3">
        <f t="shared" si="85"/>
        <v>23</v>
      </c>
      <c r="D2702" s="4">
        <v>24.369515511063881</v>
      </c>
      <c r="E2702" s="4"/>
      <c r="F2702" s="4">
        <v>29.662669558491672</v>
      </c>
      <c r="G2702" s="4">
        <v>16.100000000000001</v>
      </c>
      <c r="H2702" s="5">
        <v>50.294687448244453</v>
      </c>
      <c r="I2702" s="5"/>
      <c r="J2702" s="5">
        <v>46.559358382944453</v>
      </c>
      <c r="K2702" s="5">
        <v>86</v>
      </c>
    </row>
    <row r="2703" spans="1:11" x14ac:dyDescent="0.25">
      <c r="A2703" s="2">
        <v>46210</v>
      </c>
      <c r="B2703" t="str">
        <f t="shared" si="84"/>
        <v>2026-07</v>
      </c>
      <c r="C2703" s="3">
        <f t="shared" si="85"/>
        <v>0</v>
      </c>
      <c r="D2703" s="4">
        <v>24.101467050075001</v>
      </c>
      <c r="E2703" s="4"/>
      <c r="F2703" s="4">
        <v>29.64978406701389</v>
      </c>
      <c r="G2703" s="4">
        <v>15.6</v>
      </c>
      <c r="H2703" s="5">
        <v>50.451145364794449</v>
      </c>
      <c r="I2703" s="5"/>
      <c r="J2703" s="5">
        <v>46.519909033561113</v>
      </c>
      <c r="K2703" s="5">
        <v>84</v>
      </c>
    </row>
    <row r="2704" spans="1:11" x14ac:dyDescent="0.25">
      <c r="A2704" s="2">
        <v>46210.041666666657</v>
      </c>
      <c r="B2704" t="str">
        <f t="shared" si="84"/>
        <v>2026-07</v>
      </c>
      <c r="C2704" s="3">
        <f t="shared" si="85"/>
        <v>1</v>
      </c>
      <c r="D2704" s="4">
        <v>23.241578237827781</v>
      </c>
      <c r="E2704" s="4"/>
      <c r="F2704" s="4">
        <v>29.634009091974999</v>
      </c>
      <c r="G2704" s="4">
        <v>15</v>
      </c>
      <c r="H2704" s="5">
        <v>50.433436733766683</v>
      </c>
      <c r="I2704" s="5"/>
      <c r="J2704" s="5">
        <v>46.401582384308327</v>
      </c>
      <c r="K2704" s="5">
        <v>83</v>
      </c>
    </row>
    <row r="2705" spans="1:11" x14ac:dyDescent="0.25">
      <c r="A2705" s="2">
        <v>46210.083333333343</v>
      </c>
      <c r="B2705" t="str">
        <f t="shared" si="84"/>
        <v>2026-07</v>
      </c>
      <c r="C2705" s="3">
        <f t="shared" si="85"/>
        <v>2</v>
      </c>
      <c r="D2705" s="4">
        <v>21.89275127426389</v>
      </c>
      <c r="E2705" s="4"/>
      <c r="F2705" s="4">
        <v>29.59084851806945</v>
      </c>
      <c r="G2705" s="4">
        <v>14.6</v>
      </c>
      <c r="H2705" s="5">
        <v>51.342675151122222</v>
      </c>
      <c r="I2705" s="5"/>
      <c r="J2705" s="5">
        <v>46.063961937249992</v>
      </c>
      <c r="K2705" s="5">
        <v>84</v>
      </c>
    </row>
    <row r="2706" spans="1:11" x14ac:dyDescent="0.25">
      <c r="A2706" s="2">
        <v>46210.125</v>
      </c>
      <c r="B2706" t="str">
        <f t="shared" si="84"/>
        <v>2026-07</v>
      </c>
      <c r="C2706" s="3">
        <f t="shared" si="85"/>
        <v>3</v>
      </c>
      <c r="D2706" s="4">
        <v>21.224978506155551</v>
      </c>
      <c r="E2706" s="4"/>
      <c r="F2706" s="4">
        <v>29.540518137286121</v>
      </c>
      <c r="G2706" s="4">
        <v>13.8</v>
      </c>
      <c r="H2706" s="5">
        <v>50.493520610224998</v>
      </c>
      <c r="I2706" s="5"/>
      <c r="J2706" s="5">
        <v>45.491582744986111</v>
      </c>
      <c r="K2706" s="5">
        <v>83</v>
      </c>
    </row>
    <row r="2707" spans="1:11" x14ac:dyDescent="0.25">
      <c r="A2707" s="2">
        <v>46210.166666666657</v>
      </c>
      <c r="B2707" t="str">
        <f t="shared" si="84"/>
        <v>2026-07</v>
      </c>
      <c r="C2707" s="3">
        <f t="shared" si="85"/>
        <v>4</v>
      </c>
      <c r="D2707" s="4">
        <v>20.981497015991671</v>
      </c>
      <c r="E2707" s="4"/>
      <c r="F2707" s="4">
        <v>29.465990539111111</v>
      </c>
      <c r="G2707" s="4">
        <v>13.4</v>
      </c>
      <c r="H2707" s="5">
        <v>50.198595523052767</v>
      </c>
      <c r="I2707" s="5"/>
      <c r="J2707" s="5">
        <v>44.880737009491668</v>
      </c>
      <c r="K2707" s="5">
        <v>81</v>
      </c>
    </row>
    <row r="2708" spans="1:11" x14ac:dyDescent="0.25">
      <c r="A2708" s="2">
        <v>46210.208333333343</v>
      </c>
      <c r="B2708" t="str">
        <f t="shared" si="84"/>
        <v>2026-07</v>
      </c>
      <c r="C2708" s="3">
        <f t="shared" si="85"/>
        <v>5</v>
      </c>
      <c r="D2708" s="4">
        <v>21.302839437038891</v>
      </c>
      <c r="E2708" s="4"/>
      <c r="F2708" s="4">
        <v>29.420870268975001</v>
      </c>
      <c r="G2708" s="4">
        <v>13.1</v>
      </c>
      <c r="H2708" s="5">
        <v>48.264261769263889</v>
      </c>
      <c r="I2708" s="5"/>
      <c r="J2708" s="5">
        <v>44.538445294194453</v>
      </c>
      <c r="K2708" s="5">
        <v>79</v>
      </c>
    </row>
    <row r="2709" spans="1:11" x14ac:dyDescent="0.25">
      <c r="A2709" s="2">
        <v>46210.25</v>
      </c>
      <c r="B2709" t="str">
        <f t="shared" si="84"/>
        <v>2026-07</v>
      </c>
      <c r="C2709" s="3">
        <f t="shared" si="85"/>
        <v>6</v>
      </c>
      <c r="D2709" s="4">
        <v>22.928689137500001</v>
      </c>
      <c r="E2709" s="4"/>
      <c r="F2709" s="4">
        <v>29.40641664111666</v>
      </c>
      <c r="G2709" s="4">
        <v>13.9</v>
      </c>
      <c r="H2709" s="5">
        <v>42.753017614427783</v>
      </c>
      <c r="I2709" s="5"/>
      <c r="J2709" s="5">
        <v>44.406407573227767</v>
      </c>
      <c r="K2709" s="5">
        <v>77</v>
      </c>
    </row>
    <row r="2710" spans="1:11" x14ac:dyDescent="0.25">
      <c r="A2710" s="2">
        <v>46210.291666666657</v>
      </c>
      <c r="B2710" t="str">
        <f t="shared" si="84"/>
        <v>2026-07</v>
      </c>
      <c r="C2710" s="3">
        <f t="shared" si="85"/>
        <v>7</v>
      </c>
      <c r="D2710" s="4">
        <v>24.336169167333331</v>
      </c>
      <c r="E2710" s="4"/>
      <c r="F2710" s="4">
        <v>29.417552483358332</v>
      </c>
      <c r="G2710" s="4">
        <v>15.4</v>
      </c>
      <c r="H2710" s="5">
        <v>38.301468874033333</v>
      </c>
      <c r="I2710" s="5"/>
      <c r="J2710" s="5">
        <v>44.235640218130563</v>
      </c>
      <c r="K2710" s="5">
        <v>74</v>
      </c>
    </row>
    <row r="2711" spans="1:11" x14ac:dyDescent="0.25">
      <c r="A2711" s="2">
        <v>46210.333333333343</v>
      </c>
      <c r="B2711" t="str">
        <f t="shared" si="84"/>
        <v>2026-07</v>
      </c>
      <c r="C2711" s="3">
        <f t="shared" si="85"/>
        <v>8</v>
      </c>
      <c r="D2711" s="4">
        <v>25.570380882461109</v>
      </c>
      <c r="E2711" s="4"/>
      <c r="F2711" s="4">
        <v>29.433987965202778</v>
      </c>
      <c r="G2711" s="4">
        <v>17.3</v>
      </c>
      <c r="H2711" s="5">
        <v>35.614845291622217</v>
      </c>
      <c r="I2711" s="5"/>
      <c r="J2711" s="5">
        <v>44.205071282522233</v>
      </c>
      <c r="K2711" s="5">
        <v>68</v>
      </c>
    </row>
    <row r="2712" spans="1:11" x14ac:dyDescent="0.25">
      <c r="A2712" s="2">
        <v>46210.375</v>
      </c>
      <c r="B2712" t="str">
        <f t="shared" si="84"/>
        <v>2026-07</v>
      </c>
      <c r="C2712" s="3">
        <f t="shared" si="85"/>
        <v>9</v>
      </c>
      <c r="D2712" s="4">
        <v>26.503259485358331</v>
      </c>
      <c r="E2712" s="4"/>
      <c r="F2712" s="4">
        <v>29.464882897858331</v>
      </c>
      <c r="G2712" s="4">
        <v>19.5</v>
      </c>
      <c r="H2712" s="5">
        <v>33.143616668508344</v>
      </c>
      <c r="I2712" s="5"/>
      <c r="J2712" s="5">
        <v>44.213360872416672</v>
      </c>
      <c r="K2712" s="5">
        <v>59</v>
      </c>
    </row>
    <row r="2713" spans="1:11" x14ac:dyDescent="0.25">
      <c r="A2713" s="2">
        <v>46210.416666666657</v>
      </c>
      <c r="B2713" t="str">
        <f t="shared" si="84"/>
        <v>2026-07</v>
      </c>
      <c r="C2713" s="3">
        <f t="shared" si="85"/>
        <v>10</v>
      </c>
      <c r="D2713" s="4">
        <v>26.760216349349999</v>
      </c>
      <c r="E2713" s="4"/>
      <c r="F2713" s="4">
        <v>29.49701860571945</v>
      </c>
      <c r="G2713" s="4">
        <v>21.2</v>
      </c>
      <c r="H2713" s="5">
        <v>32.212069204872222</v>
      </c>
      <c r="I2713" s="5"/>
      <c r="J2713" s="5">
        <v>44.154625875122228</v>
      </c>
      <c r="K2713" s="5">
        <v>50</v>
      </c>
    </row>
    <row r="2714" spans="1:11" x14ac:dyDescent="0.25">
      <c r="A2714" s="2">
        <v>46210.458333333343</v>
      </c>
      <c r="B2714" t="str">
        <f t="shared" si="84"/>
        <v>2026-07</v>
      </c>
      <c r="C2714" s="3">
        <f t="shared" si="85"/>
        <v>11</v>
      </c>
      <c r="D2714" s="4">
        <v>26.656979457388889</v>
      </c>
      <c r="E2714" s="4"/>
      <c r="F2714" s="4">
        <v>29.53054663026667</v>
      </c>
      <c r="G2714" s="4">
        <v>22.3</v>
      </c>
      <c r="H2714" s="5">
        <v>29.753150522188889</v>
      </c>
      <c r="I2714" s="5"/>
      <c r="J2714" s="5">
        <v>44.175786710575011</v>
      </c>
      <c r="K2714" s="5">
        <v>42</v>
      </c>
    </row>
    <row r="2715" spans="1:11" x14ac:dyDescent="0.25">
      <c r="A2715" s="2">
        <v>46210.5</v>
      </c>
      <c r="B2715" t="str">
        <f t="shared" si="84"/>
        <v>2026-07</v>
      </c>
      <c r="C2715" s="3">
        <f t="shared" si="85"/>
        <v>12</v>
      </c>
      <c r="D2715" s="4">
        <v>26.566087305583331</v>
      </c>
      <c r="E2715" s="4"/>
      <c r="F2715" s="4">
        <v>29.481864116922221</v>
      </c>
      <c r="G2715" s="4">
        <v>23.3</v>
      </c>
      <c r="H2715" s="5">
        <v>27.805392779005551</v>
      </c>
      <c r="I2715" s="5"/>
      <c r="J2715" s="5">
        <v>42.618202339416669</v>
      </c>
      <c r="K2715" s="5">
        <v>38</v>
      </c>
    </row>
    <row r="2716" spans="1:11" x14ac:dyDescent="0.25">
      <c r="A2716" s="2">
        <v>46210.541666666657</v>
      </c>
      <c r="B2716" t="str">
        <f t="shared" si="84"/>
        <v>2026-07</v>
      </c>
      <c r="C2716" s="3">
        <f t="shared" si="85"/>
        <v>13</v>
      </c>
      <c r="D2716" s="4">
        <v>26.54565870926389</v>
      </c>
      <c r="E2716" s="4"/>
      <c r="F2716" s="4">
        <v>28.685605233433339</v>
      </c>
      <c r="G2716" s="4">
        <v>23.2</v>
      </c>
      <c r="H2716" s="5">
        <v>27.175319958941671</v>
      </c>
      <c r="I2716" s="5"/>
      <c r="J2716" s="5">
        <v>37.277109940766671</v>
      </c>
      <c r="K2716" s="5">
        <v>37</v>
      </c>
    </row>
    <row r="2717" spans="1:11" x14ac:dyDescent="0.25">
      <c r="A2717" s="2">
        <v>46210.583333333343</v>
      </c>
      <c r="B2717" t="str">
        <f t="shared" si="84"/>
        <v>2026-07</v>
      </c>
      <c r="C2717" s="3">
        <f t="shared" si="85"/>
        <v>14</v>
      </c>
      <c r="D2717" s="4">
        <v>26.521934272138889</v>
      </c>
      <c r="E2717" s="4"/>
      <c r="F2717" s="4">
        <v>29.022627592444451</v>
      </c>
      <c r="G2717" s="4">
        <v>24</v>
      </c>
      <c r="H2717" s="5">
        <v>27.055105063308329</v>
      </c>
      <c r="I2717" s="5"/>
      <c r="J2717" s="5">
        <v>39.719720016722221</v>
      </c>
      <c r="K2717" s="5">
        <v>35</v>
      </c>
    </row>
    <row r="2718" spans="1:11" x14ac:dyDescent="0.25">
      <c r="A2718" s="2">
        <v>46210.625</v>
      </c>
      <c r="B2718" t="str">
        <f t="shared" si="84"/>
        <v>2026-07</v>
      </c>
      <c r="C2718" s="3">
        <f t="shared" si="85"/>
        <v>15</v>
      </c>
      <c r="D2718" s="4">
        <v>26.610929661094449</v>
      </c>
      <c r="E2718" s="4"/>
      <c r="F2718" s="4">
        <v>29.302927850511111</v>
      </c>
      <c r="G2718" s="4">
        <v>24.3</v>
      </c>
      <c r="H2718" s="5">
        <v>27.293105211724999</v>
      </c>
      <c r="I2718" s="5"/>
      <c r="J2718" s="5">
        <v>41.140592285541672</v>
      </c>
      <c r="K2718" s="5">
        <v>36</v>
      </c>
    </row>
    <row r="2719" spans="1:11" x14ac:dyDescent="0.25">
      <c r="A2719" s="2">
        <v>46210.666666666657</v>
      </c>
      <c r="B2719" t="str">
        <f t="shared" si="84"/>
        <v>2026-07</v>
      </c>
      <c r="C2719" s="3">
        <f t="shared" si="85"/>
        <v>16</v>
      </c>
      <c r="D2719" s="4">
        <v>26.658940011194449</v>
      </c>
      <c r="E2719" s="4"/>
      <c r="F2719" s="4">
        <v>29.3954236049</v>
      </c>
      <c r="G2719" s="4">
        <v>24.9</v>
      </c>
      <c r="H2719" s="5">
        <v>27.812264838836111</v>
      </c>
      <c r="I2719" s="5"/>
      <c r="J2719" s="5">
        <v>41.675471024125002</v>
      </c>
      <c r="K2719" s="5">
        <v>35</v>
      </c>
    </row>
    <row r="2720" spans="1:11" x14ac:dyDescent="0.25">
      <c r="A2720" s="2">
        <v>46210.708333333343</v>
      </c>
      <c r="B2720" t="str">
        <f t="shared" si="84"/>
        <v>2026-07</v>
      </c>
      <c r="C2720" s="3">
        <f t="shared" si="85"/>
        <v>17</v>
      </c>
      <c r="D2720" s="4">
        <v>26.817375740680561</v>
      </c>
      <c r="E2720" s="4"/>
      <c r="F2720" s="4">
        <v>29.452796638113892</v>
      </c>
      <c r="G2720" s="4">
        <v>24.8</v>
      </c>
      <c r="H2720" s="5">
        <v>28.055138402794441</v>
      </c>
      <c r="I2720" s="5"/>
      <c r="J2720" s="5">
        <v>41.98790459833333</v>
      </c>
      <c r="K2720" s="5">
        <v>35</v>
      </c>
    </row>
    <row r="2721" spans="1:11" x14ac:dyDescent="0.25">
      <c r="A2721" s="2">
        <v>46210.75</v>
      </c>
      <c r="B2721" t="str">
        <f t="shared" si="84"/>
        <v>2026-07</v>
      </c>
      <c r="C2721" s="3">
        <f t="shared" si="85"/>
        <v>18</v>
      </c>
      <c r="D2721" s="4">
        <v>26.787006477738888</v>
      </c>
      <c r="E2721" s="4"/>
      <c r="F2721" s="4">
        <v>29.48587699271112</v>
      </c>
      <c r="G2721" s="4">
        <v>24.6</v>
      </c>
      <c r="H2721" s="5">
        <v>27.885551723647222</v>
      </c>
      <c r="I2721" s="5"/>
      <c r="J2721" s="5">
        <v>42.17748511987778</v>
      </c>
      <c r="K2721" s="5">
        <v>37</v>
      </c>
    </row>
    <row r="2722" spans="1:11" x14ac:dyDescent="0.25">
      <c r="A2722" s="2">
        <v>46210.791666666657</v>
      </c>
      <c r="B2722" t="str">
        <f t="shared" si="84"/>
        <v>2026-07</v>
      </c>
      <c r="C2722" s="3">
        <f t="shared" si="85"/>
        <v>19</v>
      </c>
      <c r="D2722" s="4">
        <v>26.74870138072222</v>
      </c>
      <c r="E2722" s="4"/>
      <c r="F2722" s="4">
        <v>29.509382811283331</v>
      </c>
      <c r="G2722" s="4">
        <v>23.8</v>
      </c>
      <c r="H2722" s="5">
        <v>30.38258259003889</v>
      </c>
      <c r="I2722" s="5"/>
      <c r="J2722" s="5">
        <v>42.428929558669452</v>
      </c>
      <c r="K2722" s="5">
        <v>45</v>
      </c>
    </row>
    <row r="2723" spans="1:11" x14ac:dyDescent="0.25">
      <c r="A2723" s="2">
        <v>46210.833333333343</v>
      </c>
      <c r="B2723" t="str">
        <f t="shared" si="84"/>
        <v>2026-07</v>
      </c>
      <c r="C2723" s="3">
        <f t="shared" si="85"/>
        <v>20</v>
      </c>
      <c r="D2723" s="4">
        <v>26.666065958172229</v>
      </c>
      <c r="E2723" s="4"/>
      <c r="F2723" s="4">
        <v>29.534605297230559</v>
      </c>
      <c r="G2723" s="4">
        <v>22.1</v>
      </c>
      <c r="H2723" s="5">
        <v>33.275455651441668</v>
      </c>
      <c r="I2723" s="5"/>
      <c r="J2723" s="5">
        <v>42.544002584647217</v>
      </c>
      <c r="K2723" s="5">
        <v>53</v>
      </c>
    </row>
    <row r="2724" spans="1:11" x14ac:dyDescent="0.25">
      <c r="A2724" s="2">
        <v>46210.875</v>
      </c>
      <c r="B2724" t="str">
        <f t="shared" si="84"/>
        <v>2026-07</v>
      </c>
      <c r="C2724" s="3">
        <f t="shared" si="85"/>
        <v>21</v>
      </c>
      <c r="D2724" s="4">
        <v>26.389047587044441</v>
      </c>
      <c r="E2724" s="4"/>
      <c r="F2724" s="4">
        <v>29.53461675948612</v>
      </c>
      <c r="G2724" s="4">
        <v>20.9</v>
      </c>
      <c r="H2724" s="5">
        <v>32.518577923080557</v>
      </c>
      <c r="I2724" s="5"/>
      <c r="J2724" s="5">
        <v>42.500356832119436</v>
      </c>
      <c r="K2724" s="5">
        <v>57</v>
      </c>
    </row>
    <row r="2725" spans="1:11" x14ac:dyDescent="0.25">
      <c r="A2725" s="2">
        <v>46210.916666666657</v>
      </c>
      <c r="B2725" t="str">
        <f t="shared" si="84"/>
        <v>2026-07</v>
      </c>
      <c r="C2725" s="3">
        <f t="shared" si="85"/>
        <v>22</v>
      </c>
      <c r="D2725" s="4">
        <v>26.125179424663891</v>
      </c>
      <c r="E2725" s="4"/>
      <c r="F2725" s="4">
        <v>29.522197768513891</v>
      </c>
      <c r="G2725" s="4">
        <v>20.100000000000001</v>
      </c>
      <c r="H2725" s="5">
        <v>31.907983123522229</v>
      </c>
      <c r="I2725" s="5"/>
      <c r="J2725" s="5">
        <v>42.35059225495278</v>
      </c>
      <c r="K2725" s="5">
        <v>59</v>
      </c>
    </row>
    <row r="2726" spans="1:11" x14ac:dyDescent="0.25">
      <c r="A2726" s="2">
        <v>46210.958333333343</v>
      </c>
      <c r="B2726" t="str">
        <f t="shared" si="84"/>
        <v>2026-07</v>
      </c>
      <c r="C2726" s="3">
        <f t="shared" si="85"/>
        <v>23</v>
      </c>
      <c r="D2726" s="4">
        <v>25.682961029594441</v>
      </c>
      <c r="E2726" s="4"/>
      <c r="F2726" s="4">
        <v>29.49637262443056</v>
      </c>
      <c r="G2726" s="4">
        <v>20.100000000000001</v>
      </c>
      <c r="H2726" s="5">
        <v>32.296711323830557</v>
      </c>
      <c r="I2726" s="5"/>
      <c r="J2726" s="5">
        <v>42.111990744922217</v>
      </c>
      <c r="K2726" s="5">
        <v>55</v>
      </c>
    </row>
    <row r="2727" spans="1:11" x14ac:dyDescent="0.25">
      <c r="A2727" s="2">
        <v>46211</v>
      </c>
      <c r="B2727" t="str">
        <f t="shared" si="84"/>
        <v>2026-07</v>
      </c>
      <c r="C2727" s="3">
        <f t="shared" si="85"/>
        <v>0</v>
      </c>
      <c r="D2727" s="4">
        <v>25.39601730131389</v>
      </c>
      <c r="E2727" s="4"/>
      <c r="F2727" s="4">
        <v>29.471972348638889</v>
      </c>
      <c r="G2727" s="4">
        <v>19.399999999999999</v>
      </c>
      <c r="H2727" s="5">
        <v>32.430121080583334</v>
      </c>
      <c r="I2727" s="5"/>
      <c r="J2727" s="5">
        <v>42.026278735497222</v>
      </c>
      <c r="K2727" s="5">
        <v>53</v>
      </c>
    </row>
    <row r="2728" spans="1:11" x14ac:dyDescent="0.25">
      <c r="A2728" s="2">
        <v>46211.041666666657</v>
      </c>
      <c r="B2728" t="str">
        <f t="shared" si="84"/>
        <v>2026-07</v>
      </c>
      <c r="C2728" s="3">
        <f t="shared" si="85"/>
        <v>1</v>
      </c>
      <c r="D2728" s="4">
        <v>25.228508946575001</v>
      </c>
      <c r="E2728" s="4"/>
      <c r="F2728" s="4">
        <v>29.459033548825001</v>
      </c>
      <c r="G2728" s="4">
        <v>18.8</v>
      </c>
      <c r="H2728" s="5">
        <v>30.947771338661109</v>
      </c>
      <c r="I2728" s="5"/>
      <c r="J2728" s="5">
        <v>41.835342799838891</v>
      </c>
      <c r="K2728" s="5">
        <v>51</v>
      </c>
    </row>
    <row r="2729" spans="1:11" x14ac:dyDescent="0.25">
      <c r="A2729" s="2">
        <v>46211.083333333343</v>
      </c>
      <c r="B2729" t="str">
        <f t="shared" si="84"/>
        <v>2026-07</v>
      </c>
      <c r="C2729" s="3">
        <f t="shared" si="85"/>
        <v>2</v>
      </c>
      <c r="D2729" s="4">
        <v>25.171870337274999</v>
      </c>
      <c r="E2729" s="4"/>
      <c r="F2729" s="4">
        <v>29.42082002525834</v>
      </c>
      <c r="G2729" s="4">
        <v>19.100000000000001</v>
      </c>
      <c r="H2729" s="5">
        <v>30.103295340858331</v>
      </c>
      <c r="I2729" s="5"/>
      <c r="J2729" s="5">
        <v>41.41873564979722</v>
      </c>
      <c r="K2729" s="5">
        <v>48</v>
      </c>
    </row>
    <row r="2730" spans="1:11" x14ac:dyDescent="0.25">
      <c r="A2730" s="2">
        <v>46211.125</v>
      </c>
      <c r="B2730" t="str">
        <f t="shared" si="84"/>
        <v>2026-07</v>
      </c>
      <c r="C2730" s="3">
        <f t="shared" si="85"/>
        <v>3</v>
      </c>
      <c r="D2730" s="4">
        <v>24.996922746766671</v>
      </c>
      <c r="E2730" s="4"/>
      <c r="F2730" s="4">
        <v>29.38870324399722</v>
      </c>
      <c r="G2730" s="4">
        <v>18.3</v>
      </c>
      <c r="H2730" s="5">
        <v>29.904834603102771</v>
      </c>
      <c r="I2730" s="5"/>
      <c r="J2730" s="5">
        <v>41.020975235002773</v>
      </c>
      <c r="K2730" s="5">
        <v>50</v>
      </c>
    </row>
    <row r="2731" spans="1:11" x14ac:dyDescent="0.25">
      <c r="A2731" s="2">
        <v>46211.166666666657</v>
      </c>
      <c r="B2731" t="str">
        <f t="shared" si="84"/>
        <v>2026-07</v>
      </c>
      <c r="C2731" s="3">
        <f t="shared" si="85"/>
        <v>4</v>
      </c>
      <c r="D2731" s="4">
        <v>25.068868272391668</v>
      </c>
      <c r="E2731" s="4"/>
      <c r="F2731" s="4">
        <v>29.35275873523333</v>
      </c>
      <c r="G2731" s="4">
        <v>18</v>
      </c>
      <c r="H2731" s="5">
        <v>28.948623006822221</v>
      </c>
      <c r="I2731" s="5"/>
      <c r="J2731" s="5">
        <v>40.530836142075003</v>
      </c>
      <c r="K2731" s="5">
        <v>52</v>
      </c>
    </row>
    <row r="2732" spans="1:11" x14ac:dyDescent="0.25">
      <c r="A2732" s="2">
        <v>46211.208333333343</v>
      </c>
      <c r="B2732" t="str">
        <f t="shared" si="84"/>
        <v>2026-07</v>
      </c>
      <c r="C2732" s="3">
        <f t="shared" si="85"/>
        <v>5</v>
      </c>
      <c r="D2732" s="4">
        <v>25.048873911380561</v>
      </c>
      <c r="E2732" s="4"/>
      <c r="F2732" s="4">
        <v>29.324369658102778</v>
      </c>
      <c r="G2732" s="4">
        <v>17.600000000000001</v>
      </c>
      <c r="H2732" s="5">
        <v>29.29630431835556</v>
      </c>
      <c r="I2732" s="5"/>
      <c r="J2732" s="5">
        <v>40.226018010055547</v>
      </c>
      <c r="K2732" s="5">
        <v>54</v>
      </c>
    </row>
    <row r="2733" spans="1:11" x14ac:dyDescent="0.25">
      <c r="A2733" s="2">
        <v>46211.25</v>
      </c>
      <c r="B2733" t="str">
        <f t="shared" si="84"/>
        <v>2026-07</v>
      </c>
      <c r="C2733" s="3">
        <f t="shared" si="85"/>
        <v>6</v>
      </c>
      <c r="D2733" s="4">
        <v>25.46562896440556</v>
      </c>
      <c r="E2733" s="4"/>
      <c r="F2733" s="4">
        <v>29.308583522436109</v>
      </c>
      <c r="G2733" s="4">
        <v>17.600000000000001</v>
      </c>
      <c r="H2733" s="5">
        <v>29.651924098855559</v>
      </c>
      <c r="I2733" s="5"/>
      <c r="J2733" s="5">
        <v>40.226026787052781</v>
      </c>
      <c r="K2733" s="5">
        <v>57</v>
      </c>
    </row>
    <row r="2734" spans="1:11" x14ac:dyDescent="0.25">
      <c r="A2734" s="2">
        <v>46211.291666666657</v>
      </c>
      <c r="B2734" t="str">
        <f t="shared" si="84"/>
        <v>2026-07</v>
      </c>
      <c r="C2734" s="3">
        <f t="shared" si="85"/>
        <v>7</v>
      </c>
      <c r="D2734" s="4">
        <v>25.691860578983331</v>
      </c>
      <c r="E2734" s="4"/>
      <c r="F2734" s="4">
        <v>29.313861016099999</v>
      </c>
      <c r="G2734" s="4">
        <v>18.8</v>
      </c>
      <c r="H2734" s="5">
        <v>31.520603801225</v>
      </c>
      <c r="I2734" s="5"/>
      <c r="J2734" s="5">
        <v>40.319565253474998</v>
      </c>
      <c r="K2734" s="5">
        <v>57</v>
      </c>
    </row>
    <row r="2735" spans="1:11" x14ac:dyDescent="0.25">
      <c r="A2735" s="2">
        <v>46211.333333333343</v>
      </c>
      <c r="B2735" t="str">
        <f t="shared" si="84"/>
        <v>2026-07</v>
      </c>
      <c r="C2735" s="3">
        <f t="shared" si="85"/>
        <v>8</v>
      </c>
      <c r="D2735" s="4">
        <v>26.552641347994442</v>
      </c>
      <c r="E2735" s="4"/>
      <c r="F2735" s="4">
        <v>29.328071786397221</v>
      </c>
      <c r="G2735" s="4">
        <v>20.3</v>
      </c>
      <c r="H2735" s="5">
        <v>34.181670284638891</v>
      </c>
      <c r="I2735" s="5"/>
      <c r="J2735" s="5">
        <v>40.639432449138887</v>
      </c>
      <c r="K2735" s="5">
        <v>56</v>
      </c>
    </row>
    <row r="2736" spans="1:11" x14ac:dyDescent="0.25">
      <c r="A2736" s="2">
        <v>46211.375</v>
      </c>
      <c r="B2736" t="str">
        <f t="shared" si="84"/>
        <v>2026-07</v>
      </c>
      <c r="C2736" s="3">
        <f t="shared" si="85"/>
        <v>9</v>
      </c>
      <c r="D2736" s="4">
        <v>27.226555445700001</v>
      </c>
      <c r="E2736" s="4"/>
      <c r="F2736" s="4">
        <v>29.373097360963889</v>
      </c>
      <c r="G2736" s="4">
        <v>22.5</v>
      </c>
      <c r="H2736" s="5">
        <v>36.170404428430558</v>
      </c>
      <c r="I2736" s="5"/>
      <c r="J2736" s="5">
        <v>41.106162646241671</v>
      </c>
      <c r="K2736" s="5">
        <v>57</v>
      </c>
    </row>
    <row r="2737" spans="1:11" x14ac:dyDescent="0.25">
      <c r="A2737" s="2">
        <v>46211.416666666657</v>
      </c>
      <c r="B2737" t="str">
        <f t="shared" si="84"/>
        <v>2026-07</v>
      </c>
      <c r="C2737" s="3">
        <f t="shared" si="85"/>
        <v>10</v>
      </c>
      <c r="D2737" s="4">
        <v>27.334435915033328</v>
      </c>
      <c r="E2737" s="4"/>
      <c r="F2737" s="4">
        <v>29.428430223263891</v>
      </c>
      <c r="G2737" s="4">
        <v>24.3</v>
      </c>
      <c r="H2737" s="5">
        <v>37.875365526477779</v>
      </c>
      <c r="I2737" s="5"/>
      <c r="J2737" s="5">
        <v>41.564552510927783</v>
      </c>
      <c r="K2737" s="5">
        <v>58</v>
      </c>
    </row>
    <row r="2738" spans="1:11" x14ac:dyDescent="0.25">
      <c r="A2738" s="2">
        <v>46211.458333333343</v>
      </c>
      <c r="B2738" t="str">
        <f t="shared" si="84"/>
        <v>2026-07</v>
      </c>
      <c r="C2738" s="3">
        <f t="shared" si="85"/>
        <v>11</v>
      </c>
      <c r="D2738" s="4">
        <v>27.52713822536111</v>
      </c>
      <c r="E2738" s="4"/>
      <c r="F2738" s="4">
        <v>29.47345198695556</v>
      </c>
      <c r="G2738" s="4">
        <v>25.8</v>
      </c>
      <c r="H2738" s="5">
        <v>38.074453457666671</v>
      </c>
      <c r="I2738" s="5"/>
      <c r="J2738" s="5">
        <v>42.330555032083332</v>
      </c>
      <c r="K2738" s="5">
        <v>53</v>
      </c>
    </row>
    <row r="2739" spans="1:11" x14ac:dyDescent="0.25">
      <c r="A2739" s="2">
        <v>46211.5</v>
      </c>
      <c r="B2739" t="str">
        <f t="shared" si="84"/>
        <v>2026-07</v>
      </c>
      <c r="C2739" s="3">
        <f t="shared" si="85"/>
        <v>12</v>
      </c>
      <c r="D2739" s="4">
        <v>27.4563952052</v>
      </c>
      <c r="E2739" s="4"/>
      <c r="F2739" s="4">
        <v>29.554843996563889</v>
      </c>
      <c r="G2739" s="4">
        <v>26.4</v>
      </c>
      <c r="H2739" s="5">
        <v>38.283823576680561</v>
      </c>
      <c r="I2739" s="5"/>
      <c r="J2739" s="5">
        <v>42.551585193497218</v>
      </c>
      <c r="K2739" s="5">
        <v>50</v>
      </c>
    </row>
    <row r="2740" spans="1:11" x14ac:dyDescent="0.25">
      <c r="A2740" s="2">
        <v>46211.541666666657</v>
      </c>
      <c r="B2740" t="str">
        <f t="shared" si="84"/>
        <v>2026-07</v>
      </c>
      <c r="C2740" s="3">
        <f t="shared" si="85"/>
        <v>13</v>
      </c>
      <c r="D2740" s="4">
        <v>27.59098174006667</v>
      </c>
      <c r="E2740" s="4"/>
      <c r="F2740" s="4">
        <v>29.428061569536109</v>
      </c>
      <c r="G2740" s="4">
        <v>27.4</v>
      </c>
      <c r="H2740" s="5">
        <v>37.895848275030552</v>
      </c>
      <c r="I2740" s="5"/>
      <c r="J2740" s="5">
        <v>43.97237863082222</v>
      </c>
      <c r="K2740" s="5">
        <v>48</v>
      </c>
    </row>
    <row r="2741" spans="1:11" x14ac:dyDescent="0.25">
      <c r="A2741" s="2">
        <v>46211.583333333343</v>
      </c>
      <c r="B2741" t="str">
        <f t="shared" si="84"/>
        <v>2026-07</v>
      </c>
      <c r="C2741" s="3">
        <f t="shared" si="85"/>
        <v>14</v>
      </c>
      <c r="D2741" s="4">
        <v>26.631803456625001</v>
      </c>
      <c r="E2741" s="4"/>
      <c r="F2741" s="4">
        <v>28.637898479175</v>
      </c>
      <c r="G2741" s="4">
        <v>26.9</v>
      </c>
      <c r="H2741" s="5">
        <v>46.151411977308342</v>
      </c>
      <c r="I2741" s="5"/>
      <c r="J2741" s="5">
        <v>50.152372604472227</v>
      </c>
      <c r="K2741" s="5">
        <v>48</v>
      </c>
    </row>
    <row r="2742" spans="1:11" x14ac:dyDescent="0.25">
      <c r="A2742" s="2">
        <v>46211.625</v>
      </c>
      <c r="B2742" t="str">
        <f t="shared" si="84"/>
        <v>2026-07</v>
      </c>
      <c r="C2742" s="3">
        <f t="shared" si="85"/>
        <v>15</v>
      </c>
      <c r="D2742" s="4">
        <v>25.436430394466669</v>
      </c>
      <c r="E2742" s="4"/>
      <c r="F2742" s="4">
        <v>28.256681212844441</v>
      </c>
      <c r="G2742" s="4">
        <v>20.100000000000001</v>
      </c>
      <c r="H2742" s="5">
        <v>51.041422393366673</v>
      </c>
      <c r="I2742" s="5"/>
      <c r="J2742" s="5">
        <v>53.174066269424998</v>
      </c>
      <c r="K2742" s="5">
        <v>86</v>
      </c>
    </row>
    <row r="2743" spans="1:11" x14ac:dyDescent="0.25">
      <c r="A2743" s="2">
        <v>46211.666666666657</v>
      </c>
      <c r="B2743" t="str">
        <f t="shared" si="84"/>
        <v>2026-07</v>
      </c>
      <c r="C2743" s="3">
        <f t="shared" si="85"/>
        <v>16</v>
      </c>
      <c r="D2743" s="4">
        <v>25.715836947666659</v>
      </c>
      <c r="E2743" s="4"/>
      <c r="F2743" s="4">
        <v>28.142376123599998</v>
      </c>
      <c r="G2743" s="4">
        <v>21.6</v>
      </c>
      <c r="H2743" s="5">
        <v>50.764515592166667</v>
      </c>
      <c r="I2743" s="5"/>
      <c r="J2743" s="5">
        <v>53.34888991500555</v>
      </c>
      <c r="K2743" s="5">
        <v>76</v>
      </c>
    </row>
    <row r="2744" spans="1:11" x14ac:dyDescent="0.25">
      <c r="A2744" s="2">
        <v>46211.708333333343</v>
      </c>
      <c r="B2744" t="str">
        <f t="shared" si="84"/>
        <v>2026-07</v>
      </c>
      <c r="C2744" s="3">
        <f t="shared" si="85"/>
        <v>17</v>
      </c>
      <c r="D2744" s="4">
        <v>25.667109832813889</v>
      </c>
      <c r="E2744" s="4"/>
      <c r="F2744" s="4">
        <v>27.801707003619441</v>
      </c>
      <c r="G2744" s="4">
        <v>22.5</v>
      </c>
      <c r="H2744" s="5">
        <v>52.464152036222217</v>
      </c>
      <c r="I2744" s="5"/>
      <c r="J2744" s="5">
        <v>55.425514053572222</v>
      </c>
      <c r="K2744" s="5">
        <v>72</v>
      </c>
    </row>
    <row r="2745" spans="1:11" x14ac:dyDescent="0.25">
      <c r="A2745" s="2">
        <v>46211.75</v>
      </c>
      <c r="B2745" t="str">
        <f t="shared" si="84"/>
        <v>2026-07</v>
      </c>
      <c r="C2745" s="3">
        <f t="shared" si="85"/>
        <v>18</v>
      </c>
      <c r="D2745" s="4">
        <v>25.543345393291659</v>
      </c>
      <c r="E2745" s="4"/>
      <c r="F2745" s="4">
        <v>27.541900829749999</v>
      </c>
      <c r="G2745" s="4">
        <v>22.9</v>
      </c>
      <c r="H2745" s="5">
        <v>53.542389983677793</v>
      </c>
      <c r="I2745" s="5"/>
      <c r="J2745" s="5">
        <v>56.607192552438903</v>
      </c>
      <c r="K2745" s="5">
        <v>69</v>
      </c>
    </row>
    <row r="2746" spans="1:11" x14ac:dyDescent="0.25">
      <c r="A2746" s="2">
        <v>46211.791666666657</v>
      </c>
      <c r="B2746" t="str">
        <f t="shared" si="84"/>
        <v>2026-07</v>
      </c>
      <c r="C2746" s="3">
        <f t="shared" si="85"/>
        <v>19</v>
      </c>
      <c r="D2746" s="4">
        <v>25.205588993477779</v>
      </c>
      <c r="E2746" s="4"/>
      <c r="F2746" s="4">
        <v>27.659370245786111</v>
      </c>
      <c r="G2746" s="4">
        <v>22.8</v>
      </c>
      <c r="H2746" s="5">
        <v>53.80098834092778</v>
      </c>
      <c r="I2746" s="5"/>
      <c r="J2746" s="5">
        <v>55.719848038099997</v>
      </c>
      <c r="K2746" s="5">
        <v>68</v>
      </c>
    </row>
    <row r="2747" spans="1:11" x14ac:dyDescent="0.25">
      <c r="A2747" s="2">
        <v>46211.833333333343</v>
      </c>
      <c r="B2747" t="str">
        <f t="shared" si="84"/>
        <v>2026-07</v>
      </c>
      <c r="C2747" s="3">
        <f t="shared" si="85"/>
        <v>20</v>
      </c>
      <c r="D2747" s="4">
        <v>25.017785442263889</v>
      </c>
      <c r="E2747" s="4"/>
      <c r="F2747" s="4">
        <v>28.393182141686111</v>
      </c>
      <c r="G2747" s="4">
        <v>21.8</v>
      </c>
      <c r="H2747" s="5">
        <v>53.561403612836109</v>
      </c>
      <c r="I2747" s="5"/>
      <c r="J2747" s="5">
        <v>51.958656633383328</v>
      </c>
      <c r="K2747" s="5">
        <v>73</v>
      </c>
    </row>
    <row r="2748" spans="1:11" x14ac:dyDescent="0.25">
      <c r="A2748" s="2">
        <v>46211.875</v>
      </c>
      <c r="B2748" t="str">
        <f t="shared" si="84"/>
        <v>2026-07</v>
      </c>
      <c r="C2748" s="3">
        <f t="shared" si="85"/>
        <v>21</v>
      </c>
      <c r="D2748" s="4">
        <v>24.921868534066661</v>
      </c>
      <c r="E2748" s="4"/>
      <c r="F2748" s="4">
        <v>28.701833289544439</v>
      </c>
      <c r="G2748" s="4">
        <v>20.100000000000001</v>
      </c>
      <c r="H2748" s="5">
        <v>53.528206625813887</v>
      </c>
      <c r="I2748" s="5"/>
      <c r="J2748" s="5">
        <v>50.694750586477767</v>
      </c>
      <c r="K2748" s="5">
        <v>77</v>
      </c>
    </row>
    <row r="2749" spans="1:11" x14ac:dyDescent="0.25">
      <c r="A2749" s="2">
        <v>46211.916666666657</v>
      </c>
      <c r="B2749" t="str">
        <f t="shared" si="84"/>
        <v>2026-07</v>
      </c>
      <c r="C2749" s="3">
        <f t="shared" si="85"/>
        <v>22</v>
      </c>
      <c r="D2749" s="4">
        <v>24.856760073505551</v>
      </c>
      <c r="E2749" s="4"/>
      <c r="F2749" s="4">
        <v>28.81225025073056</v>
      </c>
      <c r="G2749" s="4">
        <v>19.2</v>
      </c>
      <c r="H2749" s="5">
        <v>53.844382182197222</v>
      </c>
      <c r="I2749" s="5"/>
      <c r="J2749" s="5">
        <v>50.625102538900002</v>
      </c>
      <c r="K2749" s="5">
        <v>78</v>
      </c>
    </row>
    <row r="2750" spans="1:11" x14ac:dyDescent="0.25">
      <c r="A2750" s="2">
        <v>46211.958333333343</v>
      </c>
      <c r="B2750" t="str">
        <f t="shared" si="84"/>
        <v>2026-07</v>
      </c>
      <c r="C2750" s="3">
        <f t="shared" si="85"/>
        <v>23</v>
      </c>
      <c r="D2750" s="4">
        <v>24.768081560830559</v>
      </c>
      <c r="E2750" s="4"/>
      <c r="F2750" s="4">
        <v>28.878925237716668</v>
      </c>
      <c r="G2750" s="4">
        <v>18.8</v>
      </c>
      <c r="H2750" s="5">
        <v>53.230191512144451</v>
      </c>
      <c r="I2750" s="5"/>
      <c r="J2750" s="5">
        <v>50.081306734683331</v>
      </c>
      <c r="K2750" s="5">
        <v>79</v>
      </c>
    </row>
    <row r="2751" spans="1:11" x14ac:dyDescent="0.25">
      <c r="A2751" s="2">
        <v>46212</v>
      </c>
      <c r="B2751" t="str">
        <f t="shared" si="84"/>
        <v>2026-07</v>
      </c>
      <c r="C2751" s="3">
        <f t="shared" si="85"/>
        <v>0</v>
      </c>
      <c r="D2751" s="4">
        <v>24.506668577174999</v>
      </c>
      <c r="E2751" s="4"/>
      <c r="F2751" s="4">
        <v>28.988180682572221</v>
      </c>
      <c r="G2751" s="4">
        <v>18.3</v>
      </c>
      <c r="H2751" s="5">
        <v>53.500119461624998</v>
      </c>
      <c r="I2751" s="5"/>
      <c r="J2751" s="5">
        <v>49.517824187508332</v>
      </c>
      <c r="K2751" s="5">
        <v>81</v>
      </c>
    </row>
    <row r="2752" spans="1:11" x14ac:dyDescent="0.25">
      <c r="A2752" s="2">
        <v>46212.041666666657</v>
      </c>
      <c r="B2752" t="str">
        <f t="shared" si="84"/>
        <v>2026-07</v>
      </c>
      <c r="C2752" s="3">
        <f t="shared" si="85"/>
        <v>1</v>
      </c>
      <c r="D2752" s="4">
        <v>23.829438557586109</v>
      </c>
      <c r="E2752" s="4"/>
      <c r="F2752" s="4">
        <v>29.021466860052779</v>
      </c>
      <c r="G2752" s="4">
        <v>17.8</v>
      </c>
      <c r="H2752" s="5">
        <v>55.782341424208333</v>
      </c>
      <c r="I2752" s="5"/>
      <c r="J2752" s="5">
        <v>49.229804696125001</v>
      </c>
      <c r="K2752" s="5">
        <v>83</v>
      </c>
    </row>
    <row r="2753" spans="1:11" x14ac:dyDescent="0.25">
      <c r="A2753" s="2">
        <v>46212.083333333343</v>
      </c>
      <c r="B2753" t="str">
        <f t="shared" si="84"/>
        <v>2026-07</v>
      </c>
      <c r="C2753" s="3">
        <f t="shared" si="85"/>
        <v>2</v>
      </c>
      <c r="D2753" s="4">
        <v>23.321054611469449</v>
      </c>
      <c r="E2753" s="4"/>
      <c r="F2753" s="4">
        <v>29.040108287741671</v>
      </c>
      <c r="G2753" s="4">
        <v>17.3</v>
      </c>
      <c r="H2753" s="5">
        <v>57.181387763624997</v>
      </c>
      <c r="I2753" s="5"/>
      <c r="J2753" s="5">
        <v>49.06179113730834</v>
      </c>
      <c r="K2753" s="5">
        <v>86</v>
      </c>
    </row>
    <row r="2754" spans="1:11" x14ac:dyDescent="0.25">
      <c r="A2754" s="2">
        <v>46212.125</v>
      </c>
      <c r="B2754" t="str">
        <f t="shared" ref="B2754:B2817" si="86">TEXT(A2754,"yyyy-mm")</f>
        <v>2026-07</v>
      </c>
      <c r="C2754" s="3">
        <f t="shared" ref="C2754:C2817" si="87">HOUR(A2754)</f>
        <v>3</v>
      </c>
      <c r="D2754" s="4">
        <v>23.49635218709167</v>
      </c>
      <c r="E2754" s="4"/>
      <c r="F2754" s="4">
        <v>29.055577885641672</v>
      </c>
      <c r="G2754" s="4">
        <v>16.399999999999999</v>
      </c>
      <c r="H2754" s="5">
        <v>56.382870272591667</v>
      </c>
      <c r="I2754" s="5"/>
      <c r="J2754" s="5">
        <v>48.889457385988891</v>
      </c>
      <c r="K2754" s="5">
        <v>95</v>
      </c>
    </row>
    <row r="2755" spans="1:11" x14ac:dyDescent="0.25">
      <c r="A2755" s="2">
        <v>46212.166666666657</v>
      </c>
      <c r="B2755" t="str">
        <f t="shared" si="86"/>
        <v>2026-07</v>
      </c>
      <c r="C2755" s="3">
        <f t="shared" si="87"/>
        <v>4</v>
      </c>
      <c r="D2755" s="4">
        <v>23.84700706161945</v>
      </c>
      <c r="E2755" s="4"/>
      <c r="F2755" s="4">
        <v>29.057613743391659</v>
      </c>
      <c r="G2755" s="4">
        <v>16.3</v>
      </c>
      <c r="H2755" s="5">
        <v>55.289103988305563</v>
      </c>
      <c r="I2755" s="5"/>
      <c r="J2755" s="5">
        <v>48.780024715155562</v>
      </c>
      <c r="K2755" s="5">
        <v>95</v>
      </c>
    </row>
    <row r="2756" spans="1:11" x14ac:dyDescent="0.25">
      <c r="A2756" s="2">
        <v>46212.208333333343</v>
      </c>
      <c r="B2756" t="str">
        <f t="shared" si="86"/>
        <v>2026-07</v>
      </c>
      <c r="C2756" s="3">
        <f t="shared" si="87"/>
        <v>5</v>
      </c>
      <c r="D2756" s="4">
        <v>24.107994330386109</v>
      </c>
      <c r="E2756" s="4"/>
      <c r="F2756" s="4">
        <v>29.051166724455559</v>
      </c>
      <c r="G2756" s="4">
        <v>16.3</v>
      </c>
      <c r="H2756" s="5">
        <v>54.76367539304723</v>
      </c>
      <c r="I2756" s="5"/>
      <c r="J2756" s="5">
        <v>48.704710343058331</v>
      </c>
      <c r="K2756" s="5">
        <v>96</v>
      </c>
    </row>
    <row r="2757" spans="1:11" x14ac:dyDescent="0.25">
      <c r="A2757" s="2">
        <v>46212.25</v>
      </c>
      <c r="B2757" t="str">
        <f t="shared" si="86"/>
        <v>2026-07</v>
      </c>
      <c r="C2757" s="3">
        <f t="shared" si="87"/>
        <v>6</v>
      </c>
      <c r="D2757" s="4">
        <v>25.360012422975</v>
      </c>
      <c r="E2757" s="4"/>
      <c r="F2757" s="4">
        <v>29.065936376877779</v>
      </c>
      <c r="G2757" s="4">
        <v>16.7</v>
      </c>
      <c r="H2757" s="5">
        <v>51.91620937442778</v>
      </c>
      <c r="I2757" s="5"/>
      <c r="J2757" s="5">
        <v>48.651911235227779</v>
      </c>
      <c r="K2757" s="5">
        <v>95</v>
      </c>
    </row>
    <row r="2758" spans="1:11" x14ac:dyDescent="0.25">
      <c r="A2758" s="2">
        <v>46212.291666666657</v>
      </c>
      <c r="B2758" t="str">
        <f t="shared" si="86"/>
        <v>2026-07</v>
      </c>
      <c r="C2758" s="3">
        <f t="shared" si="87"/>
        <v>7</v>
      </c>
      <c r="D2758" s="4">
        <v>25.80474529523056</v>
      </c>
      <c r="E2758" s="4"/>
      <c r="F2758" s="4">
        <v>29.091605508919439</v>
      </c>
      <c r="G2758" s="4">
        <v>17.3</v>
      </c>
      <c r="H2758" s="5">
        <v>51.039556447805552</v>
      </c>
      <c r="I2758" s="5"/>
      <c r="J2758" s="5">
        <v>48.71031082155833</v>
      </c>
      <c r="K2758" s="5">
        <v>94</v>
      </c>
    </row>
    <row r="2759" spans="1:11" x14ac:dyDescent="0.25">
      <c r="A2759" s="2">
        <v>46212.333333333343</v>
      </c>
      <c r="B2759" t="str">
        <f t="shared" si="86"/>
        <v>2026-07</v>
      </c>
      <c r="C2759" s="3">
        <f t="shared" si="87"/>
        <v>8</v>
      </c>
      <c r="D2759" s="4">
        <v>25.972695457874998</v>
      </c>
      <c r="E2759" s="4"/>
      <c r="F2759" s="4">
        <v>29.110466824247229</v>
      </c>
      <c r="G2759" s="4">
        <v>17.899999999999999</v>
      </c>
      <c r="H2759" s="5">
        <v>50.523597734958337</v>
      </c>
      <c r="I2759" s="5"/>
      <c r="J2759" s="5">
        <v>48.693214056975002</v>
      </c>
      <c r="K2759" s="5">
        <v>91</v>
      </c>
    </row>
    <row r="2760" spans="1:11" x14ac:dyDescent="0.25">
      <c r="A2760" s="2">
        <v>46212.375</v>
      </c>
      <c r="B2760" t="str">
        <f t="shared" si="86"/>
        <v>2026-07</v>
      </c>
      <c r="C2760" s="3">
        <f t="shared" si="87"/>
        <v>9</v>
      </c>
      <c r="D2760" s="4">
        <v>26.092630387425</v>
      </c>
      <c r="E2760" s="4"/>
      <c r="F2760" s="4">
        <v>29.128105917680561</v>
      </c>
      <c r="G2760" s="4">
        <v>18.899999999999999</v>
      </c>
      <c r="H2760" s="5">
        <v>50.329209472255563</v>
      </c>
      <c r="I2760" s="5"/>
      <c r="J2760" s="5">
        <v>48.677380098050001</v>
      </c>
      <c r="K2760" s="5">
        <v>87</v>
      </c>
    </row>
    <row r="2761" spans="1:11" x14ac:dyDescent="0.25">
      <c r="A2761" s="2">
        <v>46212.416666666657</v>
      </c>
      <c r="B2761" t="str">
        <f t="shared" si="86"/>
        <v>2026-07</v>
      </c>
      <c r="C2761" s="3">
        <f t="shared" si="87"/>
        <v>10</v>
      </c>
      <c r="D2761" s="4">
        <v>26.159383962444441</v>
      </c>
      <c r="E2761" s="4"/>
      <c r="F2761" s="4">
        <v>29.150358353800002</v>
      </c>
      <c r="G2761" s="4">
        <v>19.600000000000001</v>
      </c>
      <c r="H2761" s="5">
        <v>49.923205931611122</v>
      </c>
      <c r="I2761" s="5"/>
      <c r="J2761" s="5">
        <v>48.639427492247222</v>
      </c>
      <c r="K2761" s="5">
        <v>82</v>
      </c>
    </row>
    <row r="2762" spans="1:11" x14ac:dyDescent="0.25">
      <c r="A2762" s="2">
        <v>46212.458333333343</v>
      </c>
      <c r="B2762" t="str">
        <f t="shared" si="86"/>
        <v>2026-07</v>
      </c>
      <c r="C2762" s="3">
        <f t="shared" si="87"/>
        <v>11</v>
      </c>
      <c r="D2762" s="4">
        <v>26.185104558266669</v>
      </c>
      <c r="E2762" s="4"/>
      <c r="F2762" s="4">
        <v>29.15691394581944</v>
      </c>
      <c r="G2762" s="4">
        <v>20.100000000000001</v>
      </c>
      <c r="H2762" s="5">
        <v>49.411604548991669</v>
      </c>
      <c r="I2762" s="5"/>
      <c r="J2762" s="5">
        <v>48.597502562877771</v>
      </c>
      <c r="K2762" s="5">
        <v>80</v>
      </c>
    </row>
    <row r="2763" spans="1:11" x14ac:dyDescent="0.25">
      <c r="A2763" s="2">
        <v>46212.5</v>
      </c>
      <c r="B2763" t="str">
        <f t="shared" si="86"/>
        <v>2026-07</v>
      </c>
      <c r="C2763" s="3">
        <f t="shared" si="87"/>
        <v>12</v>
      </c>
      <c r="D2763" s="4">
        <v>26.226453054530559</v>
      </c>
      <c r="E2763" s="4"/>
      <c r="F2763" s="4">
        <v>29.160858485786111</v>
      </c>
      <c r="G2763" s="4">
        <v>21</v>
      </c>
      <c r="H2763" s="5">
        <v>49.196731079322227</v>
      </c>
      <c r="I2763" s="5"/>
      <c r="J2763" s="5">
        <v>48.564193387486107</v>
      </c>
      <c r="K2763" s="5">
        <v>78</v>
      </c>
    </row>
    <row r="2764" spans="1:11" x14ac:dyDescent="0.25">
      <c r="A2764" s="2">
        <v>46212.541666666657</v>
      </c>
      <c r="B2764" t="str">
        <f t="shared" si="86"/>
        <v>2026-07</v>
      </c>
      <c r="C2764" s="3">
        <f t="shared" si="87"/>
        <v>13</v>
      </c>
      <c r="D2764" s="4">
        <v>26.360308446208329</v>
      </c>
      <c r="E2764" s="4"/>
      <c r="F2764" s="4">
        <v>29.17155540345</v>
      </c>
      <c r="G2764" s="4">
        <v>21.9</v>
      </c>
      <c r="H2764" s="5">
        <v>48.929282598452779</v>
      </c>
      <c r="I2764" s="5"/>
      <c r="J2764" s="5">
        <v>48.462133039602783</v>
      </c>
      <c r="K2764" s="5">
        <v>75</v>
      </c>
    </row>
    <row r="2765" spans="1:11" x14ac:dyDescent="0.25">
      <c r="A2765" s="2">
        <v>46212.583333333343</v>
      </c>
      <c r="B2765" t="str">
        <f t="shared" si="86"/>
        <v>2026-07</v>
      </c>
      <c r="C2765" s="3">
        <f t="shared" si="87"/>
        <v>14</v>
      </c>
      <c r="D2765" s="4">
        <v>26.410600273294449</v>
      </c>
      <c r="E2765" s="4"/>
      <c r="F2765" s="4">
        <v>29.179219748405561</v>
      </c>
      <c r="G2765" s="4">
        <v>23.1</v>
      </c>
      <c r="H2765" s="5">
        <v>48.834966825483328</v>
      </c>
      <c r="I2765" s="5"/>
      <c r="J2765" s="5">
        <v>48.357415434727777</v>
      </c>
      <c r="K2765" s="5">
        <v>71</v>
      </c>
    </row>
    <row r="2766" spans="1:11" x14ac:dyDescent="0.25">
      <c r="A2766" s="2">
        <v>46212.625</v>
      </c>
      <c r="B2766" t="str">
        <f t="shared" si="86"/>
        <v>2026-07</v>
      </c>
      <c r="C2766" s="3">
        <f t="shared" si="87"/>
        <v>15</v>
      </c>
      <c r="D2766" s="4">
        <v>26.42786092048334</v>
      </c>
      <c r="E2766" s="4"/>
      <c r="F2766" s="4">
        <v>29.18993673994445</v>
      </c>
      <c r="G2766" s="4">
        <v>19.5</v>
      </c>
      <c r="H2766" s="5">
        <v>48.783756254163883</v>
      </c>
      <c r="I2766" s="5"/>
      <c r="J2766" s="5">
        <v>48.226154064133333</v>
      </c>
      <c r="K2766" s="5">
        <v>87</v>
      </c>
    </row>
    <row r="2767" spans="1:11" x14ac:dyDescent="0.25">
      <c r="A2767" s="2">
        <v>46212.666666666657</v>
      </c>
      <c r="B2767" t="str">
        <f t="shared" si="86"/>
        <v>2026-07</v>
      </c>
      <c r="C2767" s="3">
        <f t="shared" si="87"/>
        <v>16</v>
      </c>
      <c r="D2767" s="4">
        <v>26.435517497305561</v>
      </c>
      <c r="E2767" s="4"/>
      <c r="F2767" s="4">
        <v>29.20175279927777</v>
      </c>
      <c r="G2767" s="4">
        <v>20.2</v>
      </c>
      <c r="H2767" s="5">
        <v>48.733937911936117</v>
      </c>
      <c r="I2767" s="5"/>
      <c r="J2767" s="5">
        <v>48.214459104944453</v>
      </c>
      <c r="K2767" s="5">
        <v>82</v>
      </c>
    </row>
    <row r="2768" spans="1:11" x14ac:dyDescent="0.25">
      <c r="A2768" s="2">
        <v>46212.708333333343</v>
      </c>
      <c r="B2768" t="str">
        <f t="shared" si="86"/>
        <v>2026-07</v>
      </c>
      <c r="C2768" s="3">
        <f t="shared" si="87"/>
        <v>17</v>
      </c>
      <c r="D2768" s="4">
        <v>26.416564832922219</v>
      </c>
      <c r="E2768" s="4"/>
      <c r="F2768" s="4">
        <v>29.199886368980561</v>
      </c>
      <c r="G2768" s="4">
        <v>21.4</v>
      </c>
      <c r="H2768" s="5">
        <v>48.44645703496667</v>
      </c>
      <c r="I2768" s="5"/>
      <c r="J2768" s="5">
        <v>48.161326804158342</v>
      </c>
      <c r="K2768" s="5">
        <v>75</v>
      </c>
    </row>
    <row r="2769" spans="1:11" x14ac:dyDescent="0.25">
      <c r="A2769" s="2">
        <v>46212.75</v>
      </c>
      <c r="B2769" t="str">
        <f t="shared" si="86"/>
        <v>2026-07</v>
      </c>
      <c r="C2769" s="3">
        <f t="shared" si="87"/>
        <v>18</v>
      </c>
      <c r="D2769" s="4">
        <v>26.346426983238889</v>
      </c>
      <c r="E2769" s="4"/>
      <c r="F2769" s="4">
        <v>29.199783184711109</v>
      </c>
      <c r="G2769" s="4">
        <v>21.1</v>
      </c>
      <c r="H2769" s="5">
        <v>47.986484170399997</v>
      </c>
      <c r="I2769" s="5"/>
      <c r="J2769" s="5">
        <v>48.032070463577767</v>
      </c>
      <c r="K2769" s="5">
        <v>76</v>
      </c>
    </row>
    <row r="2770" spans="1:11" x14ac:dyDescent="0.25">
      <c r="A2770" s="2">
        <v>46212.791666666657</v>
      </c>
      <c r="B2770" t="str">
        <f t="shared" si="86"/>
        <v>2026-07</v>
      </c>
      <c r="C2770" s="3">
        <f t="shared" si="87"/>
        <v>19</v>
      </c>
      <c r="D2770" s="4">
        <v>26.266112330155561</v>
      </c>
      <c r="E2770" s="4"/>
      <c r="F2770" s="4">
        <v>29.196936656291669</v>
      </c>
      <c r="G2770" s="4">
        <v>20.5</v>
      </c>
      <c r="H2770" s="5">
        <v>48.138488296261109</v>
      </c>
      <c r="I2770" s="5"/>
      <c r="J2770" s="5">
        <v>47.886351011391667</v>
      </c>
      <c r="K2770" s="5">
        <v>79</v>
      </c>
    </row>
    <row r="2771" spans="1:11" x14ac:dyDescent="0.25">
      <c r="A2771" s="2">
        <v>46212.833333333343</v>
      </c>
      <c r="B2771" t="str">
        <f t="shared" si="86"/>
        <v>2026-07</v>
      </c>
      <c r="C2771" s="3">
        <f t="shared" si="87"/>
        <v>20</v>
      </c>
      <c r="D2771" s="4">
        <v>26.186009421938891</v>
      </c>
      <c r="E2771" s="4"/>
      <c r="F2771" s="4">
        <v>29.214810380438891</v>
      </c>
      <c r="G2771" s="4">
        <v>19.899999999999999</v>
      </c>
      <c r="H2771" s="5">
        <v>48.181410433650001</v>
      </c>
      <c r="I2771" s="5"/>
      <c r="J2771" s="5">
        <v>47.767183428630553</v>
      </c>
      <c r="K2771" s="5">
        <v>84</v>
      </c>
    </row>
    <row r="2772" spans="1:11" x14ac:dyDescent="0.25">
      <c r="A2772" s="2">
        <v>46212.875</v>
      </c>
      <c r="B2772" t="str">
        <f t="shared" si="86"/>
        <v>2026-07</v>
      </c>
      <c r="C2772" s="3">
        <f t="shared" si="87"/>
        <v>21</v>
      </c>
      <c r="D2772" s="4">
        <v>26.098230073802771</v>
      </c>
      <c r="E2772" s="4"/>
      <c r="F2772" s="4">
        <v>29.194613413705561</v>
      </c>
      <c r="G2772" s="4">
        <v>19.3</v>
      </c>
      <c r="H2772" s="5">
        <v>48.322603115591669</v>
      </c>
      <c r="I2772" s="5"/>
      <c r="J2772" s="5">
        <v>47.75560106811389</v>
      </c>
      <c r="K2772" s="5">
        <v>87</v>
      </c>
    </row>
    <row r="2773" spans="1:11" x14ac:dyDescent="0.25">
      <c r="A2773" s="2">
        <v>46212.916666666657</v>
      </c>
      <c r="B2773" t="str">
        <f t="shared" si="86"/>
        <v>2026-07</v>
      </c>
      <c r="C2773" s="3">
        <f t="shared" si="87"/>
        <v>22</v>
      </c>
      <c r="D2773" s="4">
        <v>26.01678426026389</v>
      </c>
      <c r="E2773" s="4"/>
      <c r="F2773" s="4">
        <v>29.191194356333341</v>
      </c>
      <c r="G2773" s="4">
        <v>19.2</v>
      </c>
      <c r="H2773" s="5">
        <v>49.039053142447223</v>
      </c>
      <c r="I2773" s="5"/>
      <c r="J2773" s="5">
        <v>47.83065745041111</v>
      </c>
      <c r="K2773" s="5">
        <v>88</v>
      </c>
    </row>
    <row r="2774" spans="1:11" x14ac:dyDescent="0.25">
      <c r="A2774" s="2">
        <v>46212.958333333343</v>
      </c>
      <c r="B2774" t="str">
        <f t="shared" si="86"/>
        <v>2026-07</v>
      </c>
      <c r="C2774" s="3">
        <f t="shared" si="87"/>
        <v>23</v>
      </c>
      <c r="D2774" s="4">
        <v>25.940267058463888</v>
      </c>
      <c r="E2774" s="4"/>
      <c r="F2774" s="4">
        <v>29.182224883597229</v>
      </c>
      <c r="G2774" s="4">
        <v>18.8</v>
      </c>
      <c r="H2774" s="5">
        <v>50.05629964085</v>
      </c>
      <c r="I2774" s="5"/>
      <c r="J2774" s="5">
        <v>48.019779508777781</v>
      </c>
      <c r="K2774" s="5">
        <v>90</v>
      </c>
    </row>
    <row r="2775" spans="1:11" x14ac:dyDescent="0.25">
      <c r="A2775" s="2">
        <v>46213</v>
      </c>
      <c r="B2775" t="str">
        <f t="shared" si="86"/>
        <v>2026-07</v>
      </c>
      <c r="C2775" s="3">
        <f t="shared" si="87"/>
        <v>0</v>
      </c>
      <c r="D2775" s="4">
        <v>25.894740716102781</v>
      </c>
      <c r="E2775" s="4"/>
      <c r="F2775" s="4">
        <v>29.173699933841661</v>
      </c>
      <c r="G2775" s="4">
        <v>18.5</v>
      </c>
      <c r="H2775" s="5">
        <v>50.381837020038887</v>
      </c>
      <c r="I2775" s="5"/>
      <c r="J2775" s="5">
        <v>48.029664668466673</v>
      </c>
      <c r="K2775" s="5">
        <v>90</v>
      </c>
    </row>
    <row r="2776" spans="1:11" x14ac:dyDescent="0.25">
      <c r="A2776" s="2">
        <v>46213.041666666657</v>
      </c>
      <c r="B2776" t="str">
        <f t="shared" si="86"/>
        <v>2026-07</v>
      </c>
      <c r="C2776" s="3">
        <f t="shared" si="87"/>
        <v>1</v>
      </c>
      <c r="D2776" s="4">
        <v>25.855933890708329</v>
      </c>
      <c r="E2776" s="4"/>
      <c r="F2776" s="4">
        <v>29.167247444580561</v>
      </c>
      <c r="G2776" s="4">
        <v>18</v>
      </c>
      <c r="H2776" s="5">
        <v>50.520339696402779</v>
      </c>
      <c r="I2776" s="5"/>
      <c r="J2776" s="5">
        <v>48.003096240977783</v>
      </c>
      <c r="K2776" s="5">
        <v>92</v>
      </c>
    </row>
    <row r="2777" spans="1:11" x14ac:dyDescent="0.25">
      <c r="A2777" s="2">
        <v>46213.083333333343</v>
      </c>
      <c r="B2777" t="str">
        <f t="shared" si="86"/>
        <v>2026-07</v>
      </c>
      <c r="C2777" s="3">
        <f t="shared" si="87"/>
        <v>2</v>
      </c>
      <c r="D2777" s="4">
        <v>25.81844319023056</v>
      </c>
      <c r="E2777" s="4"/>
      <c r="F2777" s="4">
        <v>29.163392305405559</v>
      </c>
      <c r="G2777" s="4">
        <v>17.8</v>
      </c>
      <c r="H2777" s="5">
        <v>50.658573208397222</v>
      </c>
      <c r="I2777" s="5"/>
      <c r="J2777" s="5">
        <v>48.005592790569438</v>
      </c>
      <c r="K2777" s="5">
        <v>91</v>
      </c>
    </row>
    <row r="2778" spans="1:11" x14ac:dyDescent="0.25">
      <c r="A2778" s="2">
        <v>46213.125</v>
      </c>
      <c r="B2778" t="str">
        <f t="shared" si="86"/>
        <v>2026-07</v>
      </c>
      <c r="C2778" s="3">
        <f t="shared" si="87"/>
        <v>3</v>
      </c>
      <c r="D2778" s="4">
        <v>25.784895640477771</v>
      </c>
      <c r="E2778" s="4"/>
      <c r="F2778" s="4">
        <v>29.155469707352779</v>
      </c>
      <c r="G2778" s="4">
        <v>17.100000000000001</v>
      </c>
      <c r="H2778" s="5">
        <v>50.865776810799993</v>
      </c>
      <c r="I2778" s="5"/>
      <c r="J2778" s="5">
        <v>48.119855194800003</v>
      </c>
      <c r="K2778" s="5">
        <v>96</v>
      </c>
    </row>
    <row r="2779" spans="1:11" x14ac:dyDescent="0.25">
      <c r="A2779" s="2">
        <v>46213.166666666657</v>
      </c>
      <c r="B2779" t="str">
        <f t="shared" si="86"/>
        <v>2026-07</v>
      </c>
      <c r="C2779" s="3">
        <f t="shared" si="87"/>
        <v>4</v>
      </c>
      <c r="D2779" s="4">
        <v>25.76091497257778</v>
      </c>
      <c r="E2779" s="4"/>
      <c r="F2779" s="4">
        <v>29.152027888158329</v>
      </c>
      <c r="G2779" s="4">
        <v>17</v>
      </c>
      <c r="H2779" s="5">
        <v>50.995133660936112</v>
      </c>
      <c r="I2779" s="5"/>
      <c r="J2779" s="5">
        <v>48.246110145652779</v>
      </c>
      <c r="K2779" s="5">
        <v>96</v>
      </c>
    </row>
    <row r="2780" spans="1:11" x14ac:dyDescent="0.25">
      <c r="A2780" s="2">
        <v>46213.208333333343</v>
      </c>
      <c r="B2780" t="str">
        <f t="shared" si="86"/>
        <v>2026-07</v>
      </c>
      <c r="C2780" s="3">
        <f t="shared" si="87"/>
        <v>5</v>
      </c>
      <c r="D2780" s="4">
        <v>25.75718608955</v>
      </c>
      <c r="E2780" s="4"/>
      <c r="F2780" s="4">
        <v>29.149422208213888</v>
      </c>
      <c r="G2780" s="4">
        <v>16.7</v>
      </c>
      <c r="H2780" s="5">
        <v>51.118679872655562</v>
      </c>
      <c r="I2780" s="5"/>
      <c r="J2780" s="5">
        <v>48.32978453931667</v>
      </c>
      <c r="K2780" s="5">
        <v>97</v>
      </c>
    </row>
    <row r="2781" spans="1:11" x14ac:dyDescent="0.25">
      <c r="A2781" s="2">
        <v>46213.25</v>
      </c>
      <c r="B2781" t="str">
        <f t="shared" si="86"/>
        <v>2026-07</v>
      </c>
      <c r="C2781" s="3">
        <f t="shared" si="87"/>
        <v>6</v>
      </c>
      <c r="D2781" s="4">
        <v>25.81757546751389</v>
      </c>
      <c r="E2781" s="4"/>
      <c r="F2781" s="4">
        <v>29.14008337710834</v>
      </c>
      <c r="G2781" s="4">
        <v>17</v>
      </c>
      <c r="H2781" s="5">
        <v>51.249218195630561</v>
      </c>
      <c r="I2781" s="5"/>
      <c r="J2781" s="5">
        <v>48.392459066591663</v>
      </c>
      <c r="K2781" s="5">
        <v>97</v>
      </c>
    </row>
    <row r="2782" spans="1:11" x14ac:dyDescent="0.25">
      <c r="A2782" s="2">
        <v>46213.291666666657</v>
      </c>
      <c r="B2782" t="str">
        <f t="shared" si="86"/>
        <v>2026-07</v>
      </c>
      <c r="C2782" s="3">
        <f t="shared" si="87"/>
        <v>7</v>
      </c>
      <c r="D2782" s="4">
        <v>25.959501961166669</v>
      </c>
      <c r="E2782" s="4"/>
      <c r="F2782" s="4">
        <v>29.141333597494452</v>
      </c>
      <c r="G2782" s="4">
        <v>17.3</v>
      </c>
      <c r="H2782" s="5">
        <v>51.013770158272223</v>
      </c>
      <c r="I2782" s="5"/>
      <c r="J2782" s="5">
        <v>48.439206705388891</v>
      </c>
      <c r="K2782" s="5">
        <v>96</v>
      </c>
    </row>
    <row r="2783" spans="1:11" x14ac:dyDescent="0.25">
      <c r="A2783" s="2">
        <v>46213.333333333343</v>
      </c>
      <c r="B2783" t="str">
        <f t="shared" si="86"/>
        <v>2026-07</v>
      </c>
      <c r="C2783" s="3">
        <f t="shared" si="87"/>
        <v>8</v>
      </c>
      <c r="D2783" s="4">
        <v>26.046280659086111</v>
      </c>
      <c r="E2783" s="4"/>
      <c r="F2783" s="4">
        <v>29.145472355561111</v>
      </c>
      <c r="G2783" s="4">
        <v>18.600000000000001</v>
      </c>
      <c r="H2783" s="5">
        <v>50.782584132736112</v>
      </c>
      <c r="I2783" s="5"/>
      <c r="J2783" s="5">
        <v>48.462691166519448</v>
      </c>
      <c r="K2783" s="5">
        <v>90</v>
      </c>
    </row>
    <row r="2784" spans="1:11" x14ac:dyDescent="0.25">
      <c r="A2784" s="2">
        <v>46213.375</v>
      </c>
      <c r="B2784" t="str">
        <f t="shared" si="86"/>
        <v>2026-07</v>
      </c>
      <c r="C2784" s="3">
        <f t="shared" si="87"/>
        <v>9</v>
      </c>
      <c r="D2784" s="4">
        <v>26.09788521837222</v>
      </c>
      <c r="E2784" s="4"/>
      <c r="F2784" s="4">
        <v>29.14033308517222</v>
      </c>
      <c r="G2784" s="4">
        <v>19.7</v>
      </c>
      <c r="H2784" s="5">
        <v>50.580746826616668</v>
      </c>
      <c r="I2784" s="5"/>
      <c r="J2784" s="5">
        <v>48.451103637958333</v>
      </c>
      <c r="K2784" s="5">
        <v>84</v>
      </c>
    </row>
    <row r="2785" spans="1:11" x14ac:dyDescent="0.25">
      <c r="A2785" s="2">
        <v>46213.416666666657</v>
      </c>
      <c r="B2785" t="str">
        <f t="shared" si="86"/>
        <v>2026-07</v>
      </c>
      <c r="C2785" s="3">
        <f t="shared" si="87"/>
        <v>10</v>
      </c>
      <c r="D2785" s="4">
        <v>26.077279998544441</v>
      </c>
      <c r="E2785" s="4"/>
      <c r="F2785" s="4">
        <v>29.136055531958331</v>
      </c>
      <c r="G2785" s="4">
        <v>20</v>
      </c>
      <c r="H2785" s="5">
        <v>50.568557995513878</v>
      </c>
      <c r="I2785" s="5"/>
      <c r="J2785" s="5">
        <v>48.494055081727772</v>
      </c>
      <c r="K2785" s="5">
        <v>83</v>
      </c>
    </row>
    <row r="2786" spans="1:11" x14ac:dyDescent="0.25">
      <c r="A2786" s="2">
        <v>46213.458333333343</v>
      </c>
      <c r="B2786" t="str">
        <f t="shared" si="86"/>
        <v>2026-07</v>
      </c>
      <c r="C2786" s="3">
        <f t="shared" si="87"/>
        <v>11</v>
      </c>
      <c r="D2786" s="4">
        <v>26.022506384250001</v>
      </c>
      <c r="E2786" s="4"/>
      <c r="F2786" s="4">
        <v>29.135775004949998</v>
      </c>
      <c r="G2786" s="4">
        <v>20.399999999999999</v>
      </c>
      <c r="H2786" s="5">
        <v>51.446728343641666</v>
      </c>
      <c r="I2786" s="5"/>
      <c r="J2786" s="5">
        <v>48.698736812816669</v>
      </c>
      <c r="K2786" s="5">
        <v>79</v>
      </c>
    </row>
    <row r="2787" spans="1:11" x14ac:dyDescent="0.25">
      <c r="A2787" s="2">
        <v>46213.5</v>
      </c>
      <c r="B2787" t="str">
        <f t="shared" si="86"/>
        <v>2026-07</v>
      </c>
      <c r="C2787" s="3">
        <f t="shared" si="87"/>
        <v>12</v>
      </c>
      <c r="D2787" s="4">
        <v>26.014128865086111</v>
      </c>
      <c r="E2787" s="4"/>
      <c r="F2787" s="4">
        <v>29.137113619091661</v>
      </c>
      <c r="G2787" s="4">
        <v>19.5</v>
      </c>
      <c r="H2787" s="5">
        <v>51.784435710863903</v>
      </c>
      <c r="I2787" s="5"/>
      <c r="J2787" s="5">
        <v>48.87923893015833</v>
      </c>
      <c r="K2787" s="5">
        <v>91</v>
      </c>
    </row>
    <row r="2788" spans="1:11" x14ac:dyDescent="0.25">
      <c r="A2788" s="2">
        <v>46213.541666666657</v>
      </c>
      <c r="B2788" t="str">
        <f t="shared" si="86"/>
        <v>2026-07</v>
      </c>
      <c r="C2788" s="3">
        <f t="shared" si="87"/>
        <v>13</v>
      </c>
      <c r="D2788" s="4">
        <v>26.020094349563891</v>
      </c>
      <c r="E2788" s="4"/>
      <c r="F2788" s="4">
        <v>29.14078044149722</v>
      </c>
      <c r="G2788" s="4">
        <v>19.100000000000001</v>
      </c>
      <c r="H2788" s="5">
        <v>52.19466593125</v>
      </c>
      <c r="I2788" s="5"/>
      <c r="J2788" s="5">
        <v>49.047029994280557</v>
      </c>
      <c r="K2788" s="5">
        <v>90</v>
      </c>
    </row>
    <row r="2789" spans="1:11" x14ac:dyDescent="0.25">
      <c r="A2789" s="2">
        <v>46213.583333333343</v>
      </c>
      <c r="B2789" t="str">
        <f t="shared" si="86"/>
        <v>2026-07</v>
      </c>
      <c r="C2789" s="3">
        <f t="shared" si="87"/>
        <v>14</v>
      </c>
      <c r="D2789" s="4">
        <v>26.020073545313888</v>
      </c>
      <c r="E2789" s="4"/>
      <c r="F2789" s="4">
        <v>29.135502473272229</v>
      </c>
      <c r="G2789" s="4">
        <v>20.3</v>
      </c>
      <c r="H2789" s="5">
        <v>53.117592974855548</v>
      </c>
      <c r="I2789" s="5"/>
      <c r="J2789" s="5">
        <v>49.368214502572222</v>
      </c>
      <c r="K2789" s="5">
        <v>83</v>
      </c>
    </row>
    <row r="2790" spans="1:11" x14ac:dyDescent="0.25">
      <c r="A2790" s="2">
        <v>46213.625</v>
      </c>
      <c r="B2790" t="str">
        <f t="shared" si="86"/>
        <v>2026-07</v>
      </c>
      <c r="C2790" s="3">
        <f t="shared" si="87"/>
        <v>15</v>
      </c>
      <c r="D2790" s="4">
        <v>25.994096552858331</v>
      </c>
      <c r="E2790" s="4"/>
      <c r="F2790" s="4">
        <v>29.137606220452781</v>
      </c>
      <c r="G2790" s="4">
        <v>18.2</v>
      </c>
      <c r="H2790" s="5">
        <v>53.767565029455561</v>
      </c>
      <c r="I2790" s="5"/>
      <c r="J2790" s="5">
        <v>49.733772316944453</v>
      </c>
      <c r="K2790" s="5">
        <v>92</v>
      </c>
    </row>
    <row r="2791" spans="1:11" x14ac:dyDescent="0.25">
      <c r="A2791" s="2">
        <v>46213.666666666657</v>
      </c>
      <c r="B2791" t="str">
        <f t="shared" si="86"/>
        <v>2026-07</v>
      </c>
      <c r="C2791" s="3">
        <f t="shared" si="87"/>
        <v>16</v>
      </c>
      <c r="D2791" s="4">
        <v>25.916646074163889</v>
      </c>
      <c r="E2791" s="4"/>
      <c r="F2791" s="4">
        <v>29.134277824902771</v>
      </c>
      <c r="G2791" s="4">
        <v>18.5</v>
      </c>
      <c r="H2791" s="5">
        <v>53.826467838266673</v>
      </c>
      <c r="I2791" s="5"/>
      <c r="J2791" s="5">
        <v>49.967179629786109</v>
      </c>
      <c r="K2791" s="5">
        <v>92</v>
      </c>
    </row>
    <row r="2792" spans="1:11" x14ac:dyDescent="0.25">
      <c r="A2792" s="2">
        <v>46213.708333333343</v>
      </c>
      <c r="B2792" t="str">
        <f t="shared" si="86"/>
        <v>2026-07</v>
      </c>
      <c r="C2792" s="3">
        <f t="shared" si="87"/>
        <v>17</v>
      </c>
      <c r="D2792" s="4">
        <v>25.856571585894439</v>
      </c>
      <c r="E2792" s="4"/>
      <c r="F2792" s="4">
        <v>29.122254935572229</v>
      </c>
      <c r="G2792" s="4">
        <v>18.8</v>
      </c>
      <c r="H2792" s="5">
        <v>53.755902194361113</v>
      </c>
      <c r="I2792" s="5"/>
      <c r="J2792" s="5">
        <v>50.039708947377783</v>
      </c>
      <c r="K2792" s="5">
        <v>91</v>
      </c>
    </row>
    <row r="2793" spans="1:11" x14ac:dyDescent="0.25">
      <c r="A2793" s="2">
        <v>46213.75</v>
      </c>
      <c r="B2793" t="str">
        <f t="shared" si="86"/>
        <v>2026-07</v>
      </c>
      <c r="C2793" s="3">
        <f t="shared" si="87"/>
        <v>18</v>
      </c>
      <c r="D2793" s="4">
        <v>25.836721774952771</v>
      </c>
      <c r="E2793" s="4"/>
      <c r="F2793" s="4">
        <v>29.113060591094442</v>
      </c>
      <c r="G2793" s="4">
        <v>19.100000000000001</v>
      </c>
      <c r="H2793" s="5">
        <v>53.379111452500013</v>
      </c>
      <c r="I2793" s="5"/>
      <c r="J2793" s="5">
        <v>49.880123119666671</v>
      </c>
      <c r="K2793" s="5">
        <v>91</v>
      </c>
    </row>
    <row r="2794" spans="1:11" x14ac:dyDescent="0.25">
      <c r="A2794" s="2">
        <v>46213.791666666657</v>
      </c>
      <c r="B2794" t="str">
        <f t="shared" si="86"/>
        <v>2026-07</v>
      </c>
      <c r="C2794" s="3">
        <f t="shared" si="87"/>
        <v>19</v>
      </c>
      <c r="D2794" s="4">
        <v>25.785726506991669</v>
      </c>
      <c r="E2794" s="4"/>
      <c r="F2794" s="4">
        <v>29.10183071817222</v>
      </c>
      <c r="G2794" s="4">
        <v>18.7</v>
      </c>
      <c r="H2794" s="5">
        <v>53.115492944730562</v>
      </c>
      <c r="I2794" s="5"/>
      <c r="J2794" s="5">
        <v>49.789543317327777</v>
      </c>
      <c r="K2794" s="5">
        <v>92</v>
      </c>
    </row>
    <row r="2795" spans="1:11" x14ac:dyDescent="0.25">
      <c r="A2795" s="2">
        <v>46213.833333333343</v>
      </c>
      <c r="B2795" t="str">
        <f t="shared" si="86"/>
        <v>2026-07</v>
      </c>
      <c r="C2795" s="3">
        <f t="shared" si="87"/>
        <v>20</v>
      </c>
      <c r="D2795" s="4">
        <v>25.67635928981667</v>
      </c>
      <c r="E2795" s="4"/>
      <c r="F2795" s="4">
        <v>29.107671444797219</v>
      </c>
      <c r="G2795" s="4">
        <v>17.600000000000001</v>
      </c>
      <c r="H2795" s="5">
        <v>52.840836184586117</v>
      </c>
      <c r="I2795" s="5"/>
      <c r="J2795" s="5">
        <v>49.70108953017499</v>
      </c>
      <c r="K2795" s="5">
        <v>95</v>
      </c>
    </row>
    <row r="2796" spans="1:11" x14ac:dyDescent="0.25">
      <c r="A2796" s="2">
        <v>46213.875</v>
      </c>
      <c r="B2796" t="str">
        <f t="shared" si="86"/>
        <v>2026-07</v>
      </c>
      <c r="C2796" s="3">
        <f t="shared" si="87"/>
        <v>21</v>
      </c>
      <c r="D2796" s="4">
        <v>25.590237200788891</v>
      </c>
      <c r="E2796" s="4"/>
      <c r="F2796" s="4">
        <v>29.084310513908331</v>
      </c>
      <c r="G2796" s="4">
        <v>16.600000000000001</v>
      </c>
      <c r="H2796" s="5">
        <v>52.304819531561122</v>
      </c>
      <c r="I2796" s="5"/>
      <c r="J2796" s="5">
        <v>49.603100709541671</v>
      </c>
      <c r="K2796" s="5">
        <v>96</v>
      </c>
    </row>
    <row r="2797" spans="1:11" x14ac:dyDescent="0.25">
      <c r="A2797" s="2">
        <v>46213.916666666657</v>
      </c>
      <c r="B2797" t="str">
        <f t="shared" si="86"/>
        <v>2026-07</v>
      </c>
      <c r="C2797" s="3">
        <f t="shared" si="87"/>
        <v>22</v>
      </c>
      <c r="D2797" s="4">
        <v>25.529347875341671</v>
      </c>
      <c r="E2797" s="4"/>
      <c r="F2797" s="4">
        <v>29.06147480495278</v>
      </c>
      <c r="G2797" s="4">
        <v>16.2</v>
      </c>
      <c r="H2797" s="5">
        <v>51.937304237627778</v>
      </c>
      <c r="I2797" s="5"/>
      <c r="J2797" s="5">
        <v>49.504671341525011</v>
      </c>
      <c r="K2797" s="5">
        <v>97</v>
      </c>
    </row>
    <row r="2798" spans="1:11" x14ac:dyDescent="0.25">
      <c r="A2798" s="2">
        <v>46213.958333333343</v>
      </c>
      <c r="B2798" t="str">
        <f t="shared" si="86"/>
        <v>2026-07</v>
      </c>
      <c r="C2798" s="3">
        <f t="shared" si="87"/>
        <v>23</v>
      </c>
      <c r="D2798" s="4">
        <v>25.463335863702781</v>
      </c>
      <c r="E2798" s="4"/>
      <c r="F2798" s="4">
        <v>29.045424016083331</v>
      </c>
      <c r="G2798" s="4">
        <v>15.6</v>
      </c>
      <c r="H2798" s="5">
        <v>51.603551253474997</v>
      </c>
      <c r="I2798" s="5"/>
      <c r="J2798" s="5">
        <v>49.395411134244448</v>
      </c>
      <c r="K2798" s="5">
        <v>97</v>
      </c>
    </row>
    <row r="2799" spans="1:11" x14ac:dyDescent="0.25">
      <c r="A2799" s="2">
        <v>46214</v>
      </c>
      <c r="B2799" t="str">
        <f t="shared" si="86"/>
        <v>2026-07</v>
      </c>
      <c r="C2799" s="3">
        <f t="shared" si="87"/>
        <v>0</v>
      </c>
      <c r="D2799" s="4">
        <v>25.403018522186109</v>
      </c>
      <c r="E2799" s="4"/>
      <c r="F2799" s="4">
        <v>29.032474828791671</v>
      </c>
      <c r="G2799" s="4">
        <v>15.1</v>
      </c>
      <c r="H2799" s="5">
        <v>51.224635961436107</v>
      </c>
      <c r="I2799" s="5"/>
      <c r="J2799" s="5">
        <v>49.304135885158331</v>
      </c>
      <c r="K2799" s="5">
        <v>98</v>
      </c>
    </row>
    <row r="2800" spans="1:11" x14ac:dyDescent="0.25">
      <c r="A2800" s="2">
        <v>46214.041666666657</v>
      </c>
      <c r="B2800" t="str">
        <f t="shared" si="86"/>
        <v>2026-07</v>
      </c>
      <c r="C2800" s="3">
        <f t="shared" si="87"/>
        <v>1</v>
      </c>
      <c r="D2800" s="4">
        <v>25.332718150266668</v>
      </c>
      <c r="E2800" s="4"/>
      <c r="F2800" s="4">
        <v>29.014752514344451</v>
      </c>
      <c r="G2800" s="4">
        <v>14.6</v>
      </c>
      <c r="H2800" s="5">
        <v>50.776066522636107</v>
      </c>
      <c r="I2800" s="5"/>
      <c r="J2800" s="5">
        <v>49.182622411674998</v>
      </c>
      <c r="K2800" s="5">
        <v>98</v>
      </c>
    </row>
    <row r="2801" spans="1:11" x14ac:dyDescent="0.25">
      <c r="A2801" s="2">
        <v>46214.083333333343</v>
      </c>
      <c r="B2801" t="str">
        <f t="shared" si="86"/>
        <v>2026-07</v>
      </c>
      <c r="C2801" s="3">
        <f t="shared" si="87"/>
        <v>2</v>
      </c>
      <c r="D2801" s="4">
        <v>25.27376178997778</v>
      </c>
      <c r="E2801" s="4"/>
      <c r="F2801" s="4">
        <v>28.998588356336111</v>
      </c>
      <c r="G2801" s="4">
        <v>14.1</v>
      </c>
      <c r="H2801" s="5">
        <v>50.241674489469439</v>
      </c>
      <c r="I2801" s="5"/>
      <c r="J2801" s="5">
        <v>49.041474082258333</v>
      </c>
      <c r="K2801" s="5">
        <v>97</v>
      </c>
    </row>
    <row r="2802" spans="1:11" x14ac:dyDescent="0.25">
      <c r="A2802" s="2">
        <v>46214.125</v>
      </c>
      <c r="B2802" t="str">
        <f t="shared" si="86"/>
        <v>2026-07</v>
      </c>
      <c r="C2802" s="3">
        <f t="shared" si="87"/>
        <v>3</v>
      </c>
      <c r="D2802" s="4">
        <v>25.228935818091671</v>
      </c>
      <c r="E2802" s="4"/>
      <c r="F2802" s="4">
        <v>28.97422709115833</v>
      </c>
      <c r="G2802" s="4">
        <v>13.7</v>
      </c>
      <c r="H2802" s="5">
        <v>49.787948965247232</v>
      </c>
      <c r="I2802" s="5"/>
      <c r="J2802" s="5">
        <v>48.930360529911113</v>
      </c>
      <c r="K2802" s="5">
        <v>97</v>
      </c>
    </row>
    <row r="2803" spans="1:11" x14ac:dyDescent="0.25">
      <c r="A2803" s="2">
        <v>46214.166666666657</v>
      </c>
      <c r="B2803" t="str">
        <f t="shared" si="86"/>
        <v>2026-07</v>
      </c>
      <c r="C2803" s="3">
        <f t="shared" si="87"/>
        <v>4</v>
      </c>
      <c r="D2803" s="4">
        <v>25.185975426386111</v>
      </c>
      <c r="E2803" s="4"/>
      <c r="F2803" s="4">
        <v>28.962365914652779</v>
      </c>
      <c r="G2803" s="4">
        <v>13.3</v>
      </c>
      <c r="H2803" s="5">
        <v>49.388241403236101</v>
      </c>
      <c r="I2803" s="5"/>
      <c r="J2803" s="5">
        <v>48.791509032819448</v>
      </c>
      <c r="K2803" s="5">
        <v>98</v>
      </c>
    </row>
    <row r="2804" spans="1:11" x14ac:dyDescent="0.25">
      <c r="A2804" s="2">
        <v>46214.208333333343</v>
      </c>
      <c r="B2804" t="str">
        <f t="shared" si="86"/>
        <v>2026-07</v>
      </c>
      <c r="C2804" s="3">
        <f t="shared" si="87"/>
        <v>5</v>
      </c>
      <c r="D2804" s="4">
        <v>25.322234318977781</v>
      </c>
      <c r="E2804" s="4"/>
      <c r="F2804" s="4">
        <v>28.95397218418611</v>
      </c>
      <c r="G2804" s="4">
        <v>12.9</v>
      </c>
      <c r="H2804" s="5">
        <v>48.647836395841672</v>
      </c>
      <c r="I2804" s="5"/>
      <c r="J2804" s="5">
        <v>48.645337007836098</v>
      </c>
      <c r="K2804" s="5">
        <v>98</v>
      </c>
    </row>
    <row r="2805" spans="1:11" x14ac:dyDescent="0.25">
      <c r="A2805" s="2">
        <v>46214.25</v>
      </c>
      <c r="B2805" t="str">
        <f t="shared" si="86"/>
        <v>2026-07</v>
      </c>
      <c r="C2805" s="3">
        <f t="shared" si="87"/>
        <v>6</v>
      </c>
      <c r="D2805" s="4">
        <v>25.349114383119449</v>
      </c>
      <c r="E2805" s="4"/>
      <c r="F2805" s="4">
        <v>28.94014376326945</v>
      </c>
      <c r="G2805" s="4">
        <v>13.4</v>
      </c>
      <c r="H2805" s="5">
        <v>48.00046315760833</v>
      </c>
      <c r="I2805" s="5"/>
      <c r="J2805" s="5">
        <v>48.517531054991672</v>
      </c>
      <c r="K2805" s="5">
        <v>98</v>
      </c>
    </row>
    <row r="2806" spans="1:11" x14ac:dyDescent="0.25">
      <c r="A2806" s="2">
        <v>46214.291666666657</v>
      </c>
      <c r="B2806" t="str">
        <f t="shared" si="86"/>
        <v>2026-07</v>
      </c>
      <c r="C2806" s="3">
        <f t="shared" si="87"/>
        <v>7</v>
      </c>
      <c r="D2806" s="4">
        <v>25.513410526575001</v>
      </c>
      <c r="E2806" s="4"/>
      <c r="F2806" s="4">
        <v>28.929638882011108</v>
      </c>
      <c r="G2806" s="4">
        <v>14.8</v>
      </c>
      <c r="H2806" s="5">
        <v>46.903733774536107</v>
      </c>
      <c r="I2806" s="5"/>
      <c r="J2806" s="5">
        <v>48.392890442269447</v>
      </c>
      <c r="K2806" s="5">
        <v>92</v>
      </c>
    </row>
    <row r="2807" spans="1:11" x14ac:dyDescent="0.25">
      <c r="A2807" s="2">
        <v>46214.333333333343</v>
      </c>
      <c r="B2807" t="str">
        <f t="shared" si="86"/>
        <v>2026-07</v>
      </c>
      <c r="C2807" s="3">
        <f t="shared" si="87"/>
        <v>8</v>
      </c>
      <c r="D2807" s="4">
        <v>26.26245960878612</v>
      </c>
      <c r="E2807" s="4"/>
      <c r="F2807" s="4">
        <v>28.929555467516671</v>
      </c>
      <c r="G2807" s="4">
        <v>16.2</v>
      </c>
      <c r="H2807" s="5">
        <v>45.582767703594442</v>
      </c>
      <c r="I2807" s="5"/>
      <c r="J2807" s="5">
        <v>48.329562855847229</v>
      </c>
      <c r="K2807" s="5">
        <v>85</v>
      </c>
    </row>
    <row r="2808" spans="1:11" x14ac:dyDescent="0.25">
      <c r="A2808" s="2">
        <v>46214.375</v>
      </c>
      <c r="B2808" t="str">
        <f t="shared" si="86"/>
        <v>2026-07</v>
      </c>
      <c r="C2808" s="3">
        <f t="shared" si="87"/>
        <v>9</v>
      </c>
      <c r="D2808" s="4">
        <v>26.94804506481389</v>
      </c>
      <c r="E2808" s="4"/>
      <c r="F2808" s="4">
        <v>28.949488414480559</v>
      </c>
      <c r="G2808" s="4">
        <v>17.399999999999999</v>
      </c>
      <c r="H2808" s="5">
        <v>44.720063355519443</v>
      </c>
      <c r="I2808" s="5"/>
      <c r="J2808" s="5">
        <v>48.268271931199997</v>
      </c>
      <c r="K2808" s="5">
        <v>77</v>
      </c>
    </row>
    <row r="2809" spans="1:11" x14ac:dyDescent="0.25">
      <c r="A2809" s="2">
        <v>46214.416666666657</v>
      </c>
      <c r="B2809" t="str">
        <f t="shared" si="86"/>
        <v>2026-07</v>
      </c>
      <c r="C2809" s="3">
        <f t="shared" si="87"/>
        <v>10</v>
      </c>
      <c r="D2809" s="4">
        <v>26.91631714324722</v>
      </c>
      <c r="E2809" s="4"/>
      <c r="F2809" s="4">
        <v>28.978467595891669</v>
      </c>
      <c r="G2809" s="4">
        <v>18.8</v>
      </c>
      <c r="H2809" s="5">
        <v>45.032286129222221</v>
      </c>
      <c r="I2809" s="5"/>
      <c r="J2809" s="5">
        <v>48.173105183330563</v>
      </c>
      <c r="K2809" s="5">
        <v>67</v>
      </c>
    </row>
    <row r="2810" spans="1:11" x14ac:dyDescent="0.25">
      <c r="A2810" s="2">
        <v>46214.458333333343</v>
      </c>
      <c r="B2810" t="str">
        <f t="shared" si="86"/>
        <v>2026-07</v>
      </c>
      <c r="C2810" s="3">
        <f t="shared" si="87"/>
        <v>11</v>
      </c>
      <c r="D2810" s="4">
        <v>26.797590264342858</v>
      </c>
      <c r="E2810" s="4"/>
      <c r="F2810" s="4">
        <v>29.000900145685709</v>
      </c>
      <c r="G2810" s="4">
        <v>20.100000000000001</v>
      </c>
      <c r="H2810" s="5">
        <v>45.099751329566658</v>
      </c>
      <c r="I2810" s="5"/>
      <c r="J2810" s="5">
        <v>48.108433420600008</v>
      </c>
      <c r="K2810" s="5">
        <v>60</v>
      </c>
    </row>
    <row r="2811" spans="1:11" x14ac:dyDescent="0.25">
      <c r="A2811" s="2">
        <v>46214.5</v>
      </c>
      <c r="B2811" t="str">
        <f t="shared" si="86"/>
        <v>2026-07</v>
      </c>
      <c r="C2811" s="3">
        <f t="shared" si="87"/>
        <v>12</v>
      </c>
      <c r="D2811" s="4"/>
      <c r="E2811" s="4"/>
      <c r="F2811" s="4"/>
      <c r="G2811" s="4">
        <v>20.6</v>
      </c>
      <c r="H2811" s="5"/>
      <c r="I2811" s="5"/>
      <c r="J2811" s="5"/>
      <c r="K2811" s="5">
        <v>58</v>
      </c>
    </row>
    <row r="2812" spans="1:11" x14ac:dyDescent="0.25">
      <c r="A2812" s="2">
        <v>46214.541666666657</v>
      </c>
      <c r="B2812" t="str">
        <f t="shared" si="86"/>
        <v>2026-07</v>
      </c>
      <c r="C2812" s="3">
        <f t="shared" si="87"/>
        <v>13</v>
      </c>
      <c r="D2812" s="4"/>
      <c r="E2812" s="4"/>
      <c r="F2812" s="4"/>
      <c r="G2812" s="4">
        <v>21.5</v>
      </c>
      <c r="H2812" s="5"/>
      <c r="I2812" s="5"/>
      <c r="J2812" s="5"/>
      <c r="K2812" s="5">
        <v>61</v>
      </c>
    </row>
    <row r="2813" spans="1:11" x14ac:dyDescent="0.25">
      <c r="A2813" s="2">
        <v>46214.583333333343</v>
      </c>
      <c r="B2813" t="str">
        <f t="shared" si="86"/>
        <v>2026-07</v>
      </c>
      <c r="C2813" s="3">
        <f t="shared" si="87"/>
        <v>14</v>
      </c>
      <c r="D2813" s="4"/>
      <c r="E2813" s="4"/>
      <c r="F2813" s="4"/>
      <c r="G2813" s="4">
        <v>21.7</v>
      </c>
      <c r="H2813" s="5"/>
      <c r="I2813" s="5"/>
      <c r="J2813" s="5"/>
      <c r="K2813" s="5">
        <v>60</v>
      </c>
    </row>
    <row r="2814" spans="1:11" x14ac:dyDescent="0.25">
      <c r="A2814" s="2">
        <v>46214.625</v>
      </c>
      <c r="B2814" t="str">
        <f t="shared" si="86"/>
        <v>2026-07</v>
      </c>
      <c r="C2814" s="3">
        <f t="shared" si="87"/>
        <v>15</v>
      </c>
      <c r="D2814" s="4"/>
      <c r="E2814" s="4"/>
      <c r="F2814" s="4"/>
      <c r="G2814" s="4">
        <v>20</v>
      </c>
      <c r="H2814" s="5"/>
      <c r="I2814" s="5"/>
      <c r="J2814" s="5"/>
      <c r="K2814" s="5">
        <v>67</v>
      </c>
    </row>
    <row r="2815" spans="1:11" x14ac:dyDescent="0.25">
      <c r="A2815" s="2">
        <v>46214.666666666657</v>
      </c>
      <c r="B2815" t="str">
        <f t="shared" si="86"/>
        <v>2026-07</v>
      </c>
      <c r="C2815" s="3">
        <f t="shared" si="87"/>
        <v>16</v>
      </c>
      <c r="D2815" s="4"/>
      <c r="E2815" s="4"/>
      <c r="F2815" s="4"/>
      <c r="G2815" s="4">
        <v>17.100000000000001</v>
      </c>
      <c r="H2815" s="5"/>
      <c r="I2815" s="5"/>
      <c r="J2815" s="5"/>
      <c r="K2815" s="5">
        <v>87</v>
      </c>
    </row>
    <row r="2816" spans="1:11" x14ac:dyDescent="0.25">
      <c r="A2816" s="2">
        <v>46214.708333333343</v>
      </c>
      <c r="B2816" t="str">
        <f t="shared" si="86"/>
        <v>2026-07</v>
      </c>
      <c r="C2816" s="3">
        <f t="shared" si="87"/>
        <v>17</v>
      </c>
      <c r="D2816" s="4">
        <v>26.00011487984052</v>
      </c>
      <c r="E2816" s="4"/>
      <c r="F2816" s="4">
        <v>27.582452612930521</v>
      </c>
      <c r="G2816" s="4">
        <v>18.399999999999999</v>
      </c>
      <c r="H2816" s="5">
        <v>44.146752062202061</v>
      </c>
      <c r="I2816" s="5"/>
      <c r="J2816" s="5">
        <v>49.573114423003162</v>
      </c>
      <c r="K2816" s="5">
        <v>82</v>
      </c>
    </row>
    <row r="2817" spans="1:11" x14ac:dyDescent="0.25">
      <c r="A2817" s="2">
        <v>46214.75</v>
      </c>
      <c r="B2817" t="str">
        <f t="shared" si="86"/>
        <v>2026-07</v>
      </c>
      <c r="C2817" s="3">
        <f t="shared" si="87"/>
        <v>18</v>
      </c>
      <c r="D2817" s="4">
        <v>26.055369856122219</v>
      </c>
      <c r="E2817" s="4"/>
      <c r="F2817" s="4">
        <v>28.001143123133328</v>
      </c>
      <c r="G2817" s="4">
        <v>18.899999999999999</v>
      </c>
      <c r="H2817" s="5">
        <v>43.557423283672222</v>
      </c>
      <c r="I2817" s="5"/>
      <c r="J2817" s="5">
        <v>48.50656853434166</v>
      </c>
      <c r="K2817" s="5">
        <v>75</v>
      </c>
    </row>
    <row r="2818" spans="1:11" x14ac:dyDescent="0.25">
      <c r="A2818" s="2">
        <v>46214.791666666657</v>
      </c>
      <c r="B2818" t="str">
        <f t="shared" ref="B2818:B2881" si="88">TEXT(A2818,"yyyy-mm")</f>
        <v>2026-07</v>
      </c>
      <c r="C2818" s="3">
        <f t="shared" ref="C2818:C2881" si="89">HOUR(A2818)</f>
        <v>19</v>
      </c>
      <c r="D2818" s="4">
        <v>26.075900336638892</v>
      </c>
      <c r="E2818" s="4"/>
      <c r="F2818" s="4">
        <v>28.11606783795834</v>
      </c>
      <c r="G2818" s="4">
        <v>18.899999999999999</v>
      </c>
      <c r="H2818" s="5">
        <v>43.236083572508328</v>
      </c>
      <c r="I2818" s="5"/>
      <c r="J2818" s="5">
        <v>48.120341405961113</v>
      </c>
      <c r="K2818" s="5">
        <v>75</v>
      </c>
    </row>
    <row r="2819" spans="1:11" x14ac:dyDescent="0.25">
      <c r="A2819" s="2">
        <v>46214.833333333343</v>
      </c>
      <c r="B2819" t="str">
        <f t="shared" si="88"/>
        <v>2026-07</v>
      </c>
      <c r="C2819" s="3">
        <f t="shared" si="89"/>
        <v>20</v>
      </c>
      <c r="D2819" s="4">
        <v>25.99098133231945</v>
      </c>
      <c r="E2819" s="4"/>
      <c r="F2819" s="4">
        <v>28.177204706927778</v>
      </c>
      <c r="G2819" s="4">
        <v>18.3</v>
      </c>
      <c r="H2819" s="5">
        <v>43.902226773586108</v>
      </c>
      <c r="I2819" s="5"/>
      <c r="J2819" s="5">
        <v>47.981130184252777</v>
      </c>
      <c r="K2819" s="5">
        <v>80</v>
      </c>
    </row>
    <row r="2820" spans="1:11" x14ac:dyDescent="0.25">
      <c r="A2820" s="2">
        <v>46214.875</v>
      </c>
      <c r="B2820" t="str">
        <f t="shared" si="88"/>
        <v>2026-07</v>
      </c>
      <c r="C2820" s="3">
        <f t="shared" si="89"/>
        <v>21</v>
      </c>
      <c r="D2820" s="4">
        <v>25.795515588233329</v>
      </c>
      <c r="E2820" s="4"/>
      <c r="F2820" s="4">
        <v>28.209383423636108</v>
      </c>
      <c r="G2820" s="4">
        <v>17.3</v>
      </c>
      <c r="H2820" s="5">
        <v>44.030758548272232</v>
      </c>
      <c r="I2820" s="5"/>
      <c r="J2820" s="5">
        <v>47.895066248958329</v>
      </c>
      <c r="K2820" s="5">
        <v>83</v>
      </c>
    </row>
    <row r="2821" spans="1:11" x14ac:dyDescent="0.25">
      <c r="A2821" s="2">
        <v>46214.916666666657</v>
      </c>
      <c r="B2821" t="str">
        <f t="shared" si="88"/>
        <v>2026-07</v>
      </c>
      <c r="C2821" s="3">
        <f t="shared" si="89"/>
        <v>22</v>
      </c>
      <c r="D2821" s="4">
        <v>25.65197314616389</v>
      </c>
      <c r="E2821" s="4"/>
      <c r="F2821" s="4">
        <v>28.19904138344722</v>
      </c>
      <c r="G2821" s="4">
        <v>16.600000000000001</v>
      </c>
      <c r="H2821" s="5">
        <v>44.141537946177777</v>
      </c>
      <c r="I2821" s="5"/>
      <c r="J2821" s="5">
        <v>47.862000648436123</v>
      </c>
      <c r="K2821" s="5">
        <v>85</v>
      </c>
    </row>
    <row r="2822" spans="1:11" x14ac:dyDescent="0.25">
      <c r="A2822" s="2">
        <v>46214.958333333343</v>
      </c>
      <c r="B2822" t="str">
        <f t="shared" si="88"/>
        <v>2026-07</v>
      </c>
      <c r="C2822" s="3">
        <f t="shared" si="89"/>
        <v>23</v>
      </c>
      <c r="D2822" s="4">
        <v>25.55060159640556</v>
      </c>
      <c r="E2822" s="4"/>
      <c r="F2822" s="4">
        <v>28.167477055574999</v>
      </c>
      <c r="G2822" s="4">
        <v>15.9</v>
      </c>
      <c r="H2822" s="5">
        <v>44.027854944605558</v>
      </c>
      <c r="I2822" s="5"/>
      <c r="J2822" s="5">
        <v>47.833125906361111</v>
      </c>
      <c r="K2822" s="5">
        <v>86</v>
      </c>
    </row>
    <row r="2823" spans="1:11" x14ac:dyDescent="0.25">
      <c r="A2823" s="2">
        <v>46215</v>
      </c>
      <c r="B2823" t="str">
        <f t="shared" si="88"/>
        <v>2026-07</v>
      </c>
      <c r="C2823" s="3">
        <f t="shared" si="89"/>
        <v>0</v>
      </c>
      <c r="D2823" s="4">
        <v>25.45697195296389</v>
      </c>
      <c r="E2823" s="4"/>
      <c r="F2823" s="4">
        <v>28.15000258431667</v>
      </c>
      <c r="G2823" s="4">
        <v>15.2</v>
      </c>
      <c r="H2823" s="5">
        <v>44.156619470450003</v>
      </c>
      <c r="I2823" s="5"/>
      <c r="J2823" s="5">
        <v>47.797590769149998</v>
      </c>
      <c r="K2823" s="5">
        <v>89</v>
      </c>
    </row>
    <row r="2824" spans="1:11" x14ac:dyDescent="0.25">
      <c r="A2824" s="2">
        <v>46215.041666666657</v>
      </c>
      <c r="B2824" t="str">
        <f t="shared" si="88"/>
        <v>2026-07</v>
      </c>
      <c r="C2824" s="3">
        <f t="shared" si="89"/>
        <v>1</v>
      </c>
      <c r="D2824" s="4">
        <v>25.372037920572222</v>
      </c>
      <c r="E2824" s="4"/>
      <c r="F2824" s="4">
        <v>28.135586085116671</v>
      </c>
      <c r="G2824" s="4">
        <v>14.6</v>
      </c>
      <c r="H2824" s="5">
        <v>44.15699457057223</v>
      </c>
      <c r="I2824" s="5"/>
      <c r="J2824" s="5">
        <v>47.739601526494447</v>
      </c>
      <c r="K2824" s="5">
        <v>91</v>
      </c>
    </row>
    <row r="2825" spans="1:11" x14ac:dyDescent="0.25">
      <c r="A2825" s="2">
        <v>46215.083333333343</v>
      </c>
      <c r="B2825" t="str">
        <f t="shared" si="88"/>
        <v>2026-07</v>
      </c>
      <c r="C2825" s="3">
        <f t="shared" si="89"/>
        <v>2</v>
      </c>
      <c r="D2825" s="4">
        <v>25.304248277094441</v>
      </c>
      <c r="E2825" s="4"/>
      <c r="F2825" s="4">
        <v>28.121282486647221</v>
      </c>
      <c r="G2825" s="4">
        <v>14.2</v>
      </c>
      <c r="H2825" s="5">
        <v>44.286544893955558</v>
      </c>
      <c r="I2825" s="5"/>
      <c r="J2825" s="5">
        <v>47.702946296402793</v>
      </c>
      <c r="K2825" s="5">
        <v>92</v>
      </c>
    </row>
    <row r="2826" spans="1:11" x14ac:dyDescent="0.25">
      <c r="A2826" s="2">
        <v>46215.125</v>
      </c>
      <c r="B2826" t="str">
        <f t="shared" si="88"/>
        <v>2026-07</v>
      </c>
      <c r="C2826" s="3">
        <f t="shared" si="89"/>
        <v>3</v>
      </c>
      <c r="D2826" s="4">
        <v>25.23707885209722</v>
      </c>
      <c r="E2826" s="4"/>
      <c r="F2826" s="4">
        <v>28.102724866730551</v>
      </c>
      <c r="G2826" s="4">
        <v>13.8</v>
      </c>
      <c r="H2826" s="5">
        <v>44.214232029100003</v>
      </c>
      <c r="I2826" s="5"/>
      <c r="J2826" s="5">
        <v>47.667598409741672</v>
      </c>
      <c r="K2826" s="5">
        <v>92</v>
      </c>
    </row>
    <row r="2827" spans="1:11" x14ac:dyDescent="0.25">
      <c r="A2827" s="2">
        <v>46215.166666666657</v>
      </c>
      <c r="B2827" t="str">
        <f t="shared" si="88"/>
        <v>2026-07</v>
      </c>
      <c r="C2827" s="3">
        <f t="shared" si="89"/>
        <v>4</v>
      </c>
      <c r="D2827" s="4">
        <v>25.20522105144444</v>
      </c>
      <c r="E2827" s="4"/>
      <c r="F2827" s="4">
        <v>28.089893928569438</v>
      </c>
      <c r="G2827" s="4">
        <v>13.7</v>
      </c>
      <c r="H2827" s="5">
        <v>43.855878635238888</v>
      </c>
      <c r="I2827" s="5"/>
      <c r="J2827" s="5">
        <v>47.589689598061113</v>
      </c>
      <c r="K2827" s="5">
        <v>92</v>
      </c>
    </row>
    <row r="2828" spans="1:11" x14ac:dyDescent="0.25">
      <c r="A2828" s="2">
        <v>46215.208333333343</v>
      </c>
      <c r="B2828" t="str">
        <f t="shared" si="88"/>
        <v>2026-07</v>
      </c>
      <c r="C2828" s="3">
        <f t="shared" si="89"/>
        <v>5</v>
      </c>
      <c r="D2828" s="4">
        <v>25.210455650027779</v>
      </c>
      <c r="E2828" s="4"/>
      <c r="F2828" s="4">
        <v>28.074613535455551</v>
      </c>
      <c r="G2828" s="4">
        <v>13.6</v>
      </c>
      <c r="H2828" s="5">
        <v>43.800501120936111</v>
      </c>
      <c r="I2828" s="5"/>
      <c r="J2828" s="5">
        <v>47.531785099961112</v>
      </c>
      <c r="K2828" s="5">
        <v>92</v>
      </c>
    </row>
    <row r="2829" spans="1:11" x14ac:dyDescent="0.25">
      <c r="A2829" s="2">
        <v>46215.25</v>
      </c>
      <c r="B2829" t="str">
        <f t="shared" si="88"/>
        <v>2026-07</v>
      </c>
      <c r="C2829" s="3">
        <f t="shared" si="89"/>
        <v>6</v>
      </c>
      <c r="D2829" s="4">
        <v>25.16943529532222</v>
      </c>
      <c r="E2829" s="4"/>
      <c r="F2829" s="4">
        <v>28.058394169586109</v>
      </c>
      <c r="G2829" s="4">
        <v>14.1</v>
      </c>
      <c r="H2829" s="5">
        <v>44.187085498400002</v>
      </c>
      <c r="I2829" s="5"/>
      <c r="J2829" s="5">
        <v>47.528858630952783</v>
      </c>
      <c r="K2829" s="5">
        <v>91</v>
      </c>
    </row>
    <row r="2830" spans="1:11" x14ac:dyDescent="0.25">
      <c r="A2830" s="2">
        <v>46215.291666666657</v>
      </c>
      <c r="B2830" t="str">
        <f t="shared" si="88"/>
        <v>2026-07</v>
      </c>
      <c r="C2830" s="3">
        <f t="shared" si="89"/>
        <v>7</v>
      </c>
      <c r="D2830" s="4">
        <v>25.097377291139189</v>
      </c>
      <c r="E2830" s="4"/>
      <c r="F2830" s="4">
        <v>27.922646593471441</v>
      </c>
      <c r="G2830" s="4">
        <v>14.3</v>
      </c>
      <c r="H2830" s="5">
        <v>44.844194195327503</v>
      </c>
      <c r="I2830" s="5"/>
      <c r="J2830" s="5">
        <v>47.789986406104838</v>
      </c>
      <c r="K2830" s="5">
        <v>93</v>
      </c>
    </row>
    <row r="2831" spans="1:11" x14ac:dyDescent="0.25">
      <c r="A2831" s="2">
        <v>46215.333333333343</v>
      </c>
      <c r="B2831" t="str">
        <f t="shared" si="88"/>
        <v>2026-07</v>
      </c>
      <c r="C2831" s="3">
        <f t="shared" si="89"/>
        <v>8</v>
      </c>
      <c r="D2831" s="4">
        <v>25.32434876693889</v>
      </c>
      <c r="E2831" s="4"/>
      <c r="F2831" s="4">
        <v>27.97155095973611</v>
      </c>
      <c r="G2831" s="4">
        <v>14.9</v>
      </c>
      <c r="H2831" s="5">
        <v>44.559329398483328</v>
      </c>
      <c r="I2831" s="5"/>
      <c r="J2831" s="5">
        <v>47.703445283675002</v>
      </c>
      <c r="K2831" s="5">
        <v>94</v>
      </c>
    </row>
    <row r="2832" spans="1:11" x14ac:dyDescent="0.25">
      <c r="A2832" s="2">
        <v>46215.375</v>
      </c>
      <c r="B2832" t="str">
        <f t="shared" si="88"/>
        <v>2026-07</v>
      </c>
      <c r="C2832" s="3">
        <f t="shared" si="89"/>
        <v>9</v>
      </c>
      <c r="D2832" s="4">
        <v>26.42423281014722</v>
      </c>
      <c r="E2832" s="4"/>
      <c r="F2832" s="4">
        <v>28.021354505550001</v>
      </c>
      <c r="G2832" s="4">
        <v>15.9</v>
      </c>
      <c r="H2832" s="5">
        <v>42.693250757891668</v>
      </c>
      <c r="I2832" s="5"/>
      <c r="J2832" s="5">
        <v>47.563464137413888</v>
      </c>
      <c r="K2832" s="5">
        <v>87</v>
      </c>
    </row>
    <row r="2833" spans="1:11" x14ac:dyDescent="0.25">
      <c r="A2833" s="2">
        <v>46215.416666666657</v>
      </c>
      <c r="B2833" t="str">
        <f t="shared" si="88"/>
        <v>2026-07</v>
      </c>
      <c r="C2833" s="3">
        <f t="shared" si="89"/>
        <v>10</v>
      </c>
      <c r="D2833" s="4">
        <v>26.587429529554161</v>
      </c>
      <c r="E2833" s="4"/>
      <c r="F2833" s="4">
        <v>28.043760964324999</v>
      </c>
      <c r="G2833" s="4">
        <v>17.399999999999999</v>
      </c>
      <c r="H2833" s="5">
        <v>43.127433631208334</v>
      </c>
      <c r="I2833" s="5"/>
      <c r="J2833" s="5">
        <v>47.567510738466673</v>
      </c>
      <c r="K2833" s="5">
        <v>80</v>
      </c>
    </row>
    <row r="2834" spans="1:11" x14ac:dyDescent="0.25">
      <c r="A2834" s="2">
        <v>46215.458333333343</v>
      </c>
      <c r="B2834" t="str">
        <f t="shared" si="88"/>
        <v>2026-07</v>
      </c>
      <c r="C2834" s="3">
        <f t="shared" si="89"/>
        <v>11</v>
      </c>
      <c r="D2834" s="4"/>
      <c r="E2834" s="4"/>
      <c r="F2834" s="4"/>
      <c r="G2834" s="4">
        <v>18.8</v>
      </c>
      <c r="H2834" s="5"/>
      <c r="I2834" s="5"/>
      <c r="J2834" s="5"/>
      <c r="K2834" s="5">
        <v>76</v>
      </c>
    </row>
    <row r="2835" spans="1:11" x14ac:dyDescent="0.25">
      <c r="A2835" s="2">
        <v>46215.5</v>
      </c>
      <c r="B2835" t="str">
        <f t="shared" si="88"/>
        <v>2026-07</v>
      </c>
      <c r="C2835" s="3">
        <f t="shared" si="89"/>
        <v>12</v>
      </c>
      <c r="D2835" s="4"/>
      <c r="E2835" s="4"/>
      <c r="F2835" s="4"/>
      <c r="G2835" s="4">
        <v>20.100000000000001</v>
      </c>
      <c r="H2835" s="5"/>
      <c r="I2835" s="5"/>
      <c r="J2835" s="5"/>
      <c r="K2835" s="5">
        <v>67</v>
      </c>
    </row>
    <row r="2836" spans="1:11" x14ac:dyDescent="0.25">
      <c r="A2836" s="2">
        <v>46215.541666666657</v>
      </c>
      <c r="B2836" t="str">
        <f t="shared" si="88"/>
        <v>2026-07</v>
      </c>
      <c r="C2836" s="3">
        <f t="shared" si="89"/>
        <v>13</v>
      </c>
      <c r="D2836" s="4"/>
      <c r="E2836" s="4"/>
      <c r="F2836" s="4"/>
      <c r="G2836" s="4">
        <v>19.899999999999999</v>
      </c>
      <c r="H2836" s="5"/>
      <c r="I2836" s="5"/>
      <c r="J2836" s="5"/>
      <c r="K2836" s="5">
        <v>64</v>
      </c>
    </row>
    <row r="2837" spans="1:11" x14ac:dyDescent="0.25">
      <c r="A2837" s="2">
        <v>46215.583333333343</v>
      </c>
      <c r="B2837" t="str">
        <f t="shared" si="88"/>
        <v>2026-07</v>
      </c>
      <c r="C2837" s="3">
        <f t="shared" si="89"/>
        <v>14</v>
      </c>
      <c r="D2837" s="4"/>
      <c r="E2837" s="4"/>
      <c r="F2837" s="4"/>
      <c r="G2837" s="4">
        <v>20.9</v>
      </c>
      <c r="H2837" s="5"/>
      <c r="I2837" s="5"/>
      <c r="J2837" s="5"/>
      <c r="K2837" s="5">
        <v>60</v>
      </c>
    </row>
    <row r="2838" spans="1:11" x14ac:dyDescent="0.25">
      <c r="A2838" s="2">
        <v>46215.625</v>
      </c>
      <c r="B2838" t="str">
        <f t="shared" si="88"/>
        <v>2026-07</v>
      </c>
      <c r="C2838" s="3">
        <f t="shared" si="89"/>
        <v>15</v>
      </c>
      <c r="D2838" s="4"/>
      <c r="E2838" s="4"/>
      <c r="F2838" s="4"/>
      <c r="G2838" s="4">
        <v>21.1</v>
      </c>
      <c r="H2838" s="5"/>
      <c r="I2838" s="5"/>
      <c r="J2838" s="5"/>
      <c r="K2838" s="5">
        <v>61</v>
      </c>
    </row>
    <row r="2839" spans="1:11" x14ac:dyDescent="0.25">
      <c r="A2839" s="2">
        <v>46215.666666666657</v>
      </c>
      <c r="B2839" t="str">
        <f t="shared" si="88"/>
        <v>2026-07</v>
      </c>
      <c r="C2839" s="3">
        <f t="shared" si="89"/>
        <v>16</v>
      </c>
      <c r="D2839" s="4"/>
      <c r="E2839" s="4"/>
      <c r="F2839" s="4"/>
      <c r="G2839" s="4">
        <v>21.3</v>
      </c>
      <c r="H2839" s="5"/>
      <c r="I2839" s="5"/>
      <c r="J2839" s="5"/>
      <c r="K2839" s="5">
        <v>56</v>
      </c>
    </row>
    <row r="2840" spans="1:11" x14ac:dyDescent="0.25">
      <c r="A2840" s="2">
        <v>46215.708333333343</v>
      </c>
      <c r="B2840" t="str">
        <f t="shared" si="88"/>
        <v>2026-07</v>
      </c>
      <c r="C2840" s="3">
        <f t="shared" si="89"/>
        <v>17</v>
      </c>
      <c r="D2840" s="4"/>
      <c r="E2840" s="4"/>
      <c r="F2840" s="4"/>
      <c r="G2840" s="4">
        <v>21.4</v>
      </c>
      <c r="H2840" s="5"/>
      <c r="I2840" s="5"/>
      <c r="J2840" s="5"/>
      <c r="K2840" s="5">
        <v>55</v>
      </c>
    </row>
    <row r="2841" spans="1:11" x14ac:dyDescent="0.25">
      <c r="A2841" s="2">
        <v>46215.75</v>
      </c>
      <c r="B2841" t="str">
        <f t="shared" si="88"/>
        <v>2026-07</v>
      </c>
      <c r="C2841" s="3">
        <f t="shared" si="89"/>
        <v>18</v>
      </c>
      <c r="D2841" s="4">
        <v>25.860067933364931</v>
      </c>
      <c r="E2841" s="4"/>
      <c r="F2841" s="4">
        <v>27.56941418694861</v>
      </c>
      <c r="G2841" s="4">
        <v>20.9</v>
      </c>
      <c r="H2841" s="5">
        <v>43.105744517499261</v>
      </c>
      <c r="I2841" s="5"/>
      <c r="J2841" s="5">
        <v>47.982843638182068</v>
      </c>
      <c r="K2841" s="5">
        <v>58</v>
      </c>
    </row>
    <row r="2842" spans="1:11" x14ac:dyDescent="0.25">
      <c r="A2842" s="2">
        <v>46215.791666666657</v>
      </c>
      <c r="B2842" t="str">
        <f t="shared" si="88"/>
        <v>2026-07</v>
      </c>
      <c r="C2842" s="3">
        <f t="shared" si="89"/>
        <v>19</v>
      </c>
      <c r="D2842" s="4">
        <v>25.923806163375001</v>
      </c>
      <c r="E2842" s="4"/>
      <c r="F2842" s="4">
        <v>27.712240996894451</v>
      </c>
      <c r="G2842" s="4">
        <v>20.2</v>
      </c>
      <c r="H2842" s="5">
        <v>42.578897984450002</v>
      </c>
      <c r="I2842" s="5"/>
      <c r="J2842" s="5">
        <v>47.695874024022217</v>
      </c>
      <c r="K2842" s="5">
        <v>65</v>
      </c>
    </row>
    <row r="2843" spans="1:11" x14ac:dyDescent="0.25">
      <c r="A2843" s="2">
        <v>46215.833333333343</v>
      </c>
      <c r="B2843" t="str">
        <f t="shared" si="88"/>
        <v>2026-07</v>
      </c>
      <c r="C2843" s="3">
        <f t="shared" si="89"/>
        <v>20</v>
      </c>
      <c r="D2843" s="4">
        <v>25.861860351388891</v>
      </c>
      <c r="E2843" s="4"/>
      <c r="F2843" s="4">
        <v>27.75565136039722</v>
      </c>
      <c r="G2843" s="4">
        <v>19</v>
      </c>
      <c r="H2843" s="5">
        <v>42.914673286813887</v>
      </c>
      <c r="I2843" s="5"/>
      <c r="J2843" s="5">
        <v>47.652209791919439</v>
      </c>
      <c r="K2843" s="5">
        <v>72</v>
      </c>
    </row>
    <row r="2844" spans="1:11" x14ac:dyDescent="0.25">
      <c r="A2844" s="2">
        <v>46215.875</v>
      </c>
      <c r="B2844" t="str">
        <f t="shared" si="88"/>
        <v>2026-07</v>
      </c>
      <c r="C2844" s="3">
        <f t="shared" si="89"/>
        <v>21</v>
      </c>
      <c r="D2844" s="4">
        <v>25.671444988036111</v>
      </c>
      <c r="E2844" s="4"/>
      <c r="F2844" s="4">
        <v>27.784961926019449</v>
      </c>
      <c r="G2844" s="4">
        <v>18</v>
      </c>
      <c r="H2844" s="5">
        <v>43.603922471861118</v>
      </c>
      <c r="I2844" s="5"/>
      <c r="J2844" s="5">
        <v>47.634128310219452</v>
      </c>
      <c r="K2844" s="5">
        <v>76</v>
      </c>
    </row>
    <row r="2845" spans="1:11" x14ac:dyDescent="0.25">
      <c r="A2845" s="2">
        <v>46215.916666666657</v>
      </c>
      <c r="B2845" t="str">
        <f t="shared" si="88"/>
        <v>2026-07</v>
      </c>
      <c r="C2845" s="3">
        <f t="shared" si="89"/>
        <v>22</v>
      </c>
      <c r="D2845" s="4">
        <v>25.498518501536111</v>
      </c>
      <c r="E2845" s="4"/>
      <c r="F2845" s="4">
        <v>27.806272835175001</v>
      </c>
      <c r="G2845" s="4">
        <v>17.100000000000001</v>
      </c>
      <c r="H2845" s="5">
        <v>43.939152423555562</v>
      </c>
      <c r="I2845" s="5"/>
      <c r="J2845" s="5">
        <v>47.603064878950001</v>
      </c>
      <c r="K2845" s="5">
        <v>82</v>
      </c>
    </row>
    <row r="2846" spans="1:11" x14ac:dyDescent="0.25">
      <c r="A2846" s="2">
        <v>46215.958333333343</v>
      </c>
      <c r="B2846" t="str">
        <f t="shared" si="88"/>
        <v>2026-07</v>
      </c>
      <c r="C2846" s="3">
        <f t="shared" si="89"/>
        <v>23</v>
      </c>
      <c r="D2846" s="4">
        <v>25.37130496619444</v>
      </c>
      <c r="E2846" s="4"/>
      <c r="F2846" s="4">
        <v>27.81913742309445</v>
      </c>
      <c r="G2846" s="4">
        <v>16.5</v>
      </c>
      <c r="H2846" s="5">
        <v>43.950654146861112</v>
      </c>
      <c r="I2846" s="5"/>
      <c r="J2846" s="5">
        <v>47.56866360974167</v>
      </c>
      <c r="K2846" s="5">
        <v>85</v>
      </c>
    </row>
    <row r="2847" spans="1:11" x14ac:dyDescent="0.25">
      <c r="A2847" s="2">
        <v>46216</v>
      </c>
      <c r="B2847" t="str">
        <f t="shared" si="88"/>
        <v>2026-07</v>
      </c>
      <c r="C2847" s="3">
        <f t="shared" si="89"/>
        <v>0</v>
      </c>
      <c r="D2847" s="4">
        <v>25.265485827233331</v>
      </c>
      <c r="E2847" s="4"/>
      <c r="F2847" s="4">
        <v>27.826361697797221</v>
      </c>
      <c r="G2847" s="4">
        <v>16</v>
      </c>
      <c r="H2847" s="5">
        <v>44.30142344868333</v>
      </c>
      <c r="I2847" s="5"/>
      <c r="J2847" s="5">
        <v>47.561861742577783</v>
      </c>
      <c r="K2847" s="5">
        <v>86</v>
      </c>
    </row>
    <row r="2848" spans="1:11" x14ac:dyDescent="0.25">
      <c r="A2848" s="2">
        <v>46216.041666666657</v>
      </c>
      <c r="B2848" t="str">
        <f t="shared" si="88"/>
        <v>2026-07</v>
      </c>
      <c r="C2848" s="3">
        <f t="shared" si="89"/>
        <v>1</v>
      </c>
      <c r="D2848" s="4">
        <v>25.182063445975</v>
      </c>
      <c r="E2848" s="4"/>
      <c r="F2848" s="4">
        <v>27.83323899469444</v>
      </c>
      <c r="G2848" s="4">
        <v>15.6</v>
      </c>
      <c r="H2848" s="5">
        <v>44.612078341991662</v>
      </c>
      <c r="I2848" s="5"/>
      <c r="J2848" s="5">
        <v>47.546345141572232</v>
      </c>
      <c r="K2848" s="5">
        <v>86</v>
      </c>
    </row>
    <row r="2849" spans="1:11" x14ac:dyDescent="0.25">
      <c r="A2849" s="2">
        <v>46216.083333333343</v>
      </c>
      <c r="B2849" t="str">
        <f t="shared" si="88"/>
        <v>2026-07</v>
      </c>
      <c r="C2849" s="3">
        <f t="shared" si="89"/>
        <v>2</v>
      </c>
      <c r="D2849" s="4">
        <v>25.099938490238891</v>
      </c>
      <c r="E2849" s="4"/>
      <c r="F2849" s="4">
        <v>27.83516605980833</v>
      </c>
      <c r="G2849" s="4">
        <v>15.3</v>
      </c>
      <c r="H2849" s="5">
        <v>44.807829037099999</v>
      </c>
      <c r="I2849" s="5"/>
      <c r="J2849" s="5">
        <v>47.536006067625003</v>
      </c>
      <c r="K2849" s="5">
        <v>87</v>
      </c>
    </row>
    <row r="2850" spans="1:11" x14ac:dyDescent="0.25">
      <c r="A2850" s="2">
        <v>46216.125</v>
      </c>
      <c r="B2850" t="str">
        <f t="shared" si="88"/>
        <v>2026-07</v>
      </c>
      <c r="C2850" s="3">
        <f t="shared" si="89"/>
        <v>3</v>
      </c>
      <c r="D2850" s="4">
        <v>25.028346366758331</v>
      </c>
      <c r="E2850" s="4"/>
      <c r="F2850" s="4">
        <v>27.83269434738056</v>
      </c>
      <c r="G2850" s="4">
        <v>15.2</v>
      </c>
      <c r="H2850" s="5">
        <v>44.851883293666667</v>
      </c>
      <c r="I2850" s="5"/>
      <c r="J2850" s="5">
        <v>47.51495867594722</v>
      </c>
      <c r="K2850" s="5">
        <v>87</v>
      </c>
    </row>
    <row r="2851" spans="1:11" x14ac:dyDescent="0.25">
      <c r="A2851" s="2">
        <v>46216.166666666657</v>
      </c>
      <c r="B2851" t="str">
        <f t="shared" si="88"/>
        <v>2026-07</v>
      </c>
      <c r="C2851" s="3">
        <f t="shared" si="89"/>
        <v>4</v>
      </c>
      <c r="D2851" s="4">
        <v>24.95620911430278</v>
      </c>
      <c r="E2851" s="4"/>
      <c r="F2851" s="4">
        <v>27.820648190827779</v>
      </c>
      <c r="G2851" s="4">
        <v>15.2</v>
      </c>
      <c r="H2851" s="5">
        <v>44.817309263522219</v>
      </c>
      <c r="I2851" s="5"/>
      <c r="J2851" s="5">
        <v>47.502268787222221</v>
      </c>
      <c r="K2851" s="5">
        <v>88</v>
      </c>
    </row>
    <row r="2852" spans="1:11" x14ac:dyDescent="0.25">
      <c r="A2852" s="2">
        <v>46216.208333333343</v>
      </c>
      <c r="B2852" t="str">
        <f t="shared" si="88"/>
        <v>2026-07</v>
      </c>
      <c r="C2852" s="3">
        <f t="shared" si="89"/>
        <v>5</v>
      </c>
      <c r="D2852" s="4">
        <v>25.103867042125</v>
      </c>
      <c r="E2852" s="4"/>
      <c r="F2852" s="4">
        <v>27.807882492225001</v>
      </c>
      <c r="G2852" s="4">
        <v>15.1</v>
      </c>
      <c r="H2852" s="5">
        <v>44.358777345197218</v>
      </c>
      <c r="I2852" s="5"/>
      <c r="J2852" s="5">
        <v>47.511696914366667</v>
      </c>
      <c r="K2852" s="5">
        <v>88</v>
      </c>
    </row>
    <row r="2853" spans="1:11" x14ac:dyDescent="0.25">
      <c r="A2853" s="2">
        <v>46216.25</v>
      </c>
      <c r="B2853" t="str">
        <f t="shared" si="88"/>
        <v>2026-07</v>
      </c>
      <c r="C2853" s="3">
        <f t="shared" si="89"/>
        <v>6</v>
      </c>
      <c r="D2853" s="4">
        <v>25.66267674334722</v>
      </c>
      <c r="E2853" s="4"/>
      <c r="F2853" s="4">
        <v>27.79564957497222</v>
      </c>
      <c r="G2853" s="4">
        <v>15.8</v>
      </c>
      <c r="H2853" s="5">
        <v>43.015928781161108</v>
      </c>
      <c r="I2853" s="5"/>
      <c r="J2853" s="5">
        <v>47.544327440655557</v>
      </c>
      <c r="K2853" s="5">
        <v>84</v>
      </c>
    </row>
    <row r="2854" spans="1:11" x14ac:dyDescent="0.25">
      <c r="A2854" s="2">
        <v>46216.291666666657</v>
      </c>
      <c r="B2854" t="str">
        <f t="shared" si="88"/>
        <v>2026-07</v>
      </c>
      <c r="C2854" s="3">
        <f t="shared" si="89"/>
        <v>7</v>
      </c>
      <c r="D2854" s="4">
        <v>26.219871762061111</v>
      </c>
      <c r="E2854" s="4"/>
      <c r="F2854" s="4">
        <v>27.789111418988892</v>
      </c>
      <c r="G2854" s="4">
        <v>17</v>
      </c>
      <c r="H2854" s="5">
        <v>42.302244940061108</v>
      </c>
      <c r="I2854" s="5"/>
      <c r="J2854" s="5">
        <v>47.557117575722224</v>
      </c>
      <c r="K2854" s="5">
        <v>81</v>
      </c>
    </row>
    <row r="2855" spans="1:11" x14ac:dyDescent="0.25">
      <c r="A2855" s="2">
        <v>46216.333333333343</v>
      </c>
      <c r="B2855" t="str">
        <f t="shared" si="88"/>
        <v>2026-07</v>
      </c>
      <c r="C2855" s="3">
        <f t="shared" si="89"/>
        <v>8</v>
      </c>
      <c r="D2855" s="4">
        <v>26.840642661511112</v>
      </c>
      <c r="E2855" s="4"/>
      <c r="F2855" s="4">
        <v>27.799572979361109</v>
      </c>
      <c r="G2855" s="4">
        <v>18.399999999999999</v>
      </c>
      <c r="H2855" s="5">
        <v>41.684450035508341</v>
      </c>
      <c r="I2855" s="5"/>
      <c r="J2855" s="5">
        <v>47.572190938608337</v>
      </c>
      <c r="K2855" s="5">
        <v>76</v>
      </c>
    </row>
    <row r="2856" spans="1:11" x14ac:dyDescent="0.25">
      <c r="A2856" s="2">
        <v>46216.375</v>
      </c>
      <c r="B2856" t="str">
        <f t="shared" si="88"/>
        <v>2026-07</v>
      </c>
      <c r="C2856" s="3">
        <f t="shared" si="89"/>
        <v>9</v>
      </c>
      <c r="D2856" s="4">
        <v>26.920877364550002</v>
      </c>
      <c r="E2856" s="4"/>
      <c r="F2856" s="4">
        <v>27.817413843050002</v>
      </c>
      <c r="G2856" s="4">
        <v>20.100000000000001</v>
      </c>
      <c r="H2856" s="5">
        <v>41.925480185788892</v>
      </c>
      <c r="I2856" s="5"/>
      <c r="J2856" s="5">
        <v>47.566278419197218</v>
      </c>
      <c r="K2856" s="5">
        <v>70</v>
      </c>
    </row>
    <row r="2857" spans="1:11" x14ac:dyDescent="0.25">
      <c r="A2857" s="2">
        <v>46216.416666666657</v>
      </c>
      <c r="B2857" t="str">
        <f t="shared" si="88"/>
        <v>2026-07</v>
      </c>
      <c r="C2857" s="3">
        <f t="shared" si="89"/>
        <v>10</v>
      </c>
      <c r="D2857" s="4">
        <v>26.572394776277768</v>
      </c>
      <c r="E2857" s="4"/>
      <c r="F2857" s="4">
        <v>27.80938481739722</v>
      </c>
      <c r="G2857" s="4">
        <v>20</v>
      </c>
      <c r="H2857" s="5">
        <v>42.591945474911121</v>
      </c>
      <c r="I2857" s="5"/>
      <c r="J2857" s="5">
        <v>47.578388908566673</v>
      </c>
      <c r="K2857" s="5">
        <v>67</v>
      </c>
    </row>
    <row r="2858" spans="1:11" x14ac:dyDescent="0.25">
      <c r="A2858" s="2">
        <v>46216.458333333343</v>
      </c>
      <c r="B2858" t="str">
        <f t="shared" si="88"/>
        <v>2026-07</v>
      </c>
      <c r="C2858" s="3">
        <f t="shared" si="89"/>
        <v>11</v>
      </c>
      <c r="D2858" s="4">
        <v>26.4138963959</v>
      </c>
      <c r="E2858" s="4"/>
      <c r="F2858" s="4">
        <v>27.814543552419451</v>
      </c>
      <c r="G2858" s="4">
        <v>21.3</v>
      </c>
      <c r="H2858" s="5">
        <v>42.782722407513887</v>
      </c>
      <c r="I2858" s="5"/>
      <c r="J2858" s="5">
        <v>47.5500278612</v>
      </c>
      <c r="K2858" s="5">
        <v>60</v>
      </c>
    </row>
    <row r="2859" spans="1:11" x14ac:dyDescent="0.25">
      <c r="A2859" s="2">
        <v>46216.5</v>
      </c>
      <c r="B2859" t="str">
        <f t="shared" si="88"/>
        <v>2026-07</v>
      </c>
      <c r="C2859" s="3">
        <f t="shared" si="89"/>
        <v>12</v>
      </c>
      <c r="D2859" s="4">
        <v>26.293547072563889</v>
      </c>
      <c r="E2859" s="4"/>
      <c r="F2859" s="4">
        <v>27.809178270558331</v>
      </c>
      <c r="G2859" s="4">
        <v>21.7</v>
      </c>
      <c r="H2859" s="5">
        <v>43.161147099475002</v>
      </c>
      <c r="I2859" s="5"/>
      <c r="J2859" s="5">
        <v>47.56233321013611</v>
      </c>
      <c r="K2859" s="5">
        <v>63</v>
      </c>
    </row>
    <row r="2860" spans="1:11" x14ac:dyDescent="0.25">
      <c r="A2860" s="2">
        <v>46216.541666666657</v>
      </c>
      <c r="B2860" t="str">
        <f t="shared" si="88"/>
        <v>2026-07</v>
      </c>
      <c r="C2860" s="3">
        <f t="shared" si="89"/>
        <v>13</v>
      </c>
      <c r="D2860" s="4">
        <v>26.197483513975001</v>
      </c>
      <c r="E2860" s="4"/>
      <c r="F2860" s="4">
        <v>27.798749989661111</v>
      </c>
      <c r="G2860" s="4">
        <v>21.3</v>
      </c>
      <c r="H2860" s="5">
        <v>43.569424796363883</v>
      </c>
      <c r="I2860" s="5"/>
      <c r="J2860" s="5">
        <v>47.562000150047218</v>
      </c>
      <c r="K2860" s="5">
        <v>67</v>
      </c>
    </row>
    <row r="2861" spans="1:11" x14ac:dyDescent="0.25">
      <c r="A2861" s="2">
        <v>46216.583333333343</v>
      </c>
      <c r="B2861" t="str">
        <f t="shared" si="88"/>
        <v>2026-07</v>
      </c>
      <c r="C2861" s="3">
        <f t="shared" si="89"/>
        <v>14</v>
      </c>
      <c r="D2861" s="4">
        <v>26.116926136658339</v>
      </c>
      <c r="E2861" s="4"/>
      <c r="F2861" s="4">
        <v>27.795305478749999</v>
      </c>
      <c r="G2861" s="4">
        <v>22</v>
      </c>
      <c r="H2861" s="5">
        <v>43.981952675283331</v>
      </c>
      <c r="I2861" s="5"/>
      <c r="J2861" s="5">
        <v>47.580595832602768</v>
      </c>
      <c r="K2861" s="5">
        <v>67</v>
      </c>
    </row>
    <row r="2862" spans="1:11" x14ac:dyDescent="0.25">
      <c r="A2862" s="2">
        <v>46216.625</v>
      </c>
      <c r="B2862" t="str">
        <f t="shared" si="88"/>
        <v>2026-07</v>
      </c>
      <c r="C2862" s="3">
        <f t="shared" si="89"/>
        <v>15</v>
      </c>
      <c r="D2862" s="4">
        <v>26.062662757511109</v>
      </c>
      <c r="E2862" s="4"/>
      <c r="F2862" s="4">
        <v>27.78857916770556</v>
      </c>
      <c r="G2862" s="4">
        <v>21.7</v>
      </c>
      <c r="H2862" s="5">
        <v>45.190307996513887</v>
      </c>
      <c r="I2862" s="5"/>
      <c r="J2862" s="5">
        <v>47.678207717755562</v>
      </c>
      <c r="K2862" s="5">
        <v>70</v>
      </c>
    </row>
    <row r="2863" spans="1:11" x14ac:dyDescent="0.25">
      <c r="A2863" s="2">
        <v>46216.666666666657</v>
      </c>
      <c r="B2863" t="str">
        <f t="shared" si="88"/>
        <v>2026-07</v>
      </c>
      <c r="C2863" s="3">
        <f t="shared" si="89"/>
        <v>16</v>
      </c>
      <c r="D2863" s="4">
        <v>26.024724937424999</v>
      </c>
      <c r="E2863" s="4"/>
      <c r="F2863" s="4">
        <v>27.793738262291669</v>
      </c>
      <c r="G2863" s="4">
        <v>21.5</v>
      </c>
      <c r="H2863" s="5">
        <v>46.614722731111108</v>
      </c>
      <c r="I2863" s="5"/>
      <c r="J2863" s="5">
        <v>47.777005086936107</v>
      </c>
      <c r="K2863" s="5">
        <v>69</v>
      </c>
    </row>
    <row r="2864" spans="1:11" x14ac:dyDescent="0.25">
      <c r="A2864" s="2">
        <v>46216.708333333343</v>
      </c>
      <c r="B2864" t="str">
        <f t="shared" si="88"/>
        <v>2026-07</v>
      </c>
      <c r="C2864" s="3">
        <f t="shared" si="89"/>
        <v>17</v>
      </c>
      <c r="D2864" s="4">
        <v>25.979566387558329</v>
      </c>
      <c r="E2864" s="4"/>
      <c r="F2864" s="4">
        <v>27.805858685763891</v>
      </c>
      <c r="G2864" s="4">
        <v>22.3</v>
      </c>
      <c r="H2864" s="5">
        <v>47.538067715352767</v>
      </c>
      <c r="I2864" s="5"/>
      <c r="J2864" s="5">
        <v>47.898221910488893</v>
      </c>
      <c r="K2864" s="5">
        <v>70</v>
      </c>
    </row>
    <row r="2865" spans="1:11" x14ac:dyDescent="0.25">
      <c r="A2865" s="2">
        <v>46216.75</v>
      </c>
      <c r="B2865" t="str">
        <f t="shared" si="88"/>
        <v>2026-07</v>
      </c>
      <c r="C2865" s="3">
        <f t="shared" si="89"/>
        <v>18</v>
      </c>
      <c r="D2865" s="4">
        <v>25.96333118896111</v>
      </c>
      <c r="E2865" s="4"/>
      <c r="F2865" s="4">
        <v>27.78331580447222</v>
      </c>
      <c r="G2865" s="4">
        <v>22.4</v>
      </c>
      <c r="H2865" s="5">
        <v>49.007544548722223</v>
      </c>
      <c r="I2865" s="5"/>
      <c r="J2865" s="5">
        <v>48.065656758244451</v>
      </c>
      <c r="K2865" s="5">
        <v>69</v>
      </c>
    </row>
    <row r="2866" spans="1:11" x14ac:dyDescent="0.25">
      <c r="A2866" s="2">
        <v>46216.791666666657</v>
      </c>
      <c r="B2866" t="str">
        <f t="shared" si="88"/>
        <v>2026-07</v>
      </c>
      <c r="C2866" s="3">
        <f t="shared" si="89"/>
        <v>19</v>
      </c>
      <c r="D2866" s="4">
        <v>25.921682976713889</v>
      </c>
      <c r="E2866" s="4"/>
      <c r="F2866" s="4">
        <v>27.777095894794449</v>
      </c>
      <c r="G2866" s="4">
        <v>21.9</v>
      </c>
      <c r="H2866" s="5">
        <v>49.683209199138894</v>
      </c>
      <c r="I2866" s="5"/>
      <c r="J2866" s="5">
        <v>48.131245159619453</v>
      </c>
      <c r="K2866" s="5">
        <v>75</v>
      </c>
    </row>
    <row r="2867" spans="1:11" x14ac:dyDescent="0.25">
      <c r="A2867" s="2">
        <v>46216.833333333343</v>
      </c>
      <c r="B2867" t="str">
        <f t="shared" si="88"/>
        <v>2026-07</v>
      </c>
      <c r="C2867" s="3">
        <f t="shared" si="89"/>
        <v>20</v>
      </c>
      <c r="D2867" s="4">
        <v>25.787976501263891</v>
      </c>
      <c r="E2867" s="4"/>
      <c r="F2867" s="4">
        <v>27.769888994544441</v>
      </c>
      <c r="G2867" s="4">
        <v>21</v>
      </c>
      <c r="H2867" s="5">
        <v>50.171054133677778</v>
      </c>
      <c r="I2867" s="5"/>
      <c r="J2867" s="5">
        <v>48.278859195280553</v>
      </c>
      <c r="K2867" s="5">
        <v>79</v>
      </c>
    </row>
    <row r="2868" spans="1:11" x14ac:dyDescent="0.25">
      <c r="A2868" s="2">
        <v>46216.875</v>
      </c>
      <c r="B2868" t="str">
        <f t="shared" si="88"/>
        <v>2026-07</v>
      </c>
      <c r="C2868" s="3">
        <f t="shared" si="89"/>
        <v>21</v>
      </c>
      <c r="D2868" s="4">
        <v>25.639142994633328</v>
      </c>
      <c r="E2868" s="4"/>
      <c r="F2868" s="4">
        <v>27.755747337599999</v>
      </c>
      <c r="G2868" s="4">
        <v>19.600000000000001</v>
      </c>
      <c r="H2868" s="5">
        <v>50.687801240366667</v>
      </c>
      <c r="I2868" s="5"/>
      <c r="J2868" s="5">
        <v>48.452835803066669</v>
      </c>
      <c r="K2868" s="5">
        <v>84</v>
      </c>
    </row>
    <row r="2869" spans="1:11" x14ac:dyDescent="0.25">
      <c r="A2869" s="2">
        <v>46216.916666666657</v>
      </c>
      <c r="B2869" t="str">
        <f t="shared" si="88"/>
        <v>2026-07</v>
      </c>
      <c r="C2869" s="3">
        <f t="shared" si="89"/>
        <v>22</v>
      </c>
      <c r="D2869" s="4">
        <v>25.511340330100001</v>
      </c>
      <c r="E2869" s="4"/>
      <c r="F2869" s="4">
        <v>27.746762652655558</v>
      </c>
      <c r="G2869" s="4">
        <v>19.2</v>
      </c>
      <c r="H2869" s="5">
        <v>51.150747449747222</v>
      </c>
      <c r="I2869" s="5"/>
      <c r="J2869" s="5">
        <v>48.560798177669447</v>
      </c>
      <c r="K2869" s="5">
        <v>87</v>
      </c>
    </row>
    <row r="2870" spans="1:11" x14ac:dyDescent="0.25">
      <c r="A2870" s="2">
        <v>46216.958333333343</v>
      </c>
      <c r="B2870" t="str">
        <f t="shared" si="88"/>
        <v>2026-07</v>
      </c>
      <c r="C2870" s="3">
        <f t="shared" si="89"/>
        <v>23</v>
      </c>
      <c r="D2870" s="4">
        <v>25.41419718124444</v>
      </c>
      <c r="E2870" s="4"/>
      <c r="F2870" s="4">
        <v>27.740277950172221</v>
      </c>
      <c r="G2870" s="4">
        <v>18.5</v>
      </c>
      <c r="H2870" s="5">
        <v>51.483368960900002</v>
      </c>
      <c r="I2870" s="5"/>
      <c r="J2870" s="5">
        <v>48.556101489508343</v>
      </c>
      <c r="K2870" s="5">
        <v>92</v>
      </c>
    </row>
    <row r="2871" spans="1:11" x14ac:dyDescent="0.25">
      <c r="A2871" s="2">
        <v>46217</v>
      </c>
      <c r="B2871" t="str">
        <f t="shared" si="88"/>
        <v>2026-07</v>
      </c>
      <c r="C2871" s="3">
        <f t="shared" si="89"/>
        <v>0</v>
      </c>
      <c r="D2871" s="4">
        <v>25.350738579369441</v>
      </c>
      <c r="E2871" s="4"/>
      <c r="F2871" s="4">
        <v>27.741762507905559</v>
      </c>
      <c r="G2871" s="4">
        <v>18.100000000000001</v>
      </c>
      <c r="H2871" s="5">
        <v>51.763300864955561</v>
      </c>
      <c r="I2871" s="5"/>
      <c r="J2871" s="5">
        <v>48.686955805447219</v>
      </c>
      <c r="K2871" s="5">
        <v>93</v>
      </c>
    </row>
    <row r="2872" spans="1:11" x14ac:dyDescent="0.25">
      <c r="A2872" s="2">
        <v>46217.041666666657</v>
      </c>
      <c r="B2872" t="str">
        <f t="shared" si="88"/>
        <v>2026-07</v>
      </c>
      <c r="C2872" s="3">
        <f t="shared" si="89"/>
        <v>1</v>
      </c>
      <c r="D2872" s="4">
        <v>25.287988218166671</v>
      </c>
      <c r="E2872" s="4"/>
      <c r="F2872" s="4">
        <v>27.74031831235277</v>
      </c>
      <c r="G2872" s="4">
        <v>17.7</v>
      </c>
      <c r="H2872" s="5">
        <v>51.855366969263891</v>
      </c>
      <c r="I2872" s="5"/>
      <c r="J2872" s="5">
        <v>48.834254669422222</v>
      </c>
      <c r="K2872" s="5">
        <v>95</v>
      </c>
    </row>
    <row r="2873" spans="1:11" x14ac:dyDescent="0.25">
      <c r="A2873" s="2">
        <v>46217.083333333343</v>
      </c>
      <c r="B2873" t="str">
        <f t="shared" si="88"/>
        <v>2026-07</v>
      </c>
      <c r="C2873" s="3">
        <f t="shared" si="89"/>
        <v>2</v>
      </c>
      <c r="D2873" s="4">
        <v>25.22729379279167</v>
      </c>
      <c r="E2873" s="4"/>
      <c r="F2873" s="4">
        <v>27.7219041717</v>
      </c>
      <c r="G2873" s="4">
        <v>17.100000000000001</v>
      </c>
      <c r="H2873" s="5">
        <v>51.784450649783338</v>
      </c>
      <c r="I2873" s="5"/>
      <c r="J2873" s="5">
        <v>48.919650527061123</v>
      </c>
      <c r="K2873" s="5">
        <v>97</v>
      </c>
    </row>
    <row r="2874" spans="1:11" x14ac:dyDescent="0.25">
      <c r="A2874" s="2">
        <v>46217.125</v>
      </c>
      <c r="B2874" t="str">
        <f t="shared" si="88"/>
        <v>2026-07</v>
      </c>
      <c r="C2874" s="3">
        <f t="shared" si="89"/>
        <v>3</v>
      </c>
      <c r="D2874" s="4">
        <v>25.172503706433329</v>
      </c>
      <c r="E2874" s="4"/>
      <c r="F2874" s="4">
        <v>27.72852587090556</v>
      </c>
      <c r="G2874" s="4">
        <v>17</v>
      </c>
      <c r="H2874" s="5">
        <v>51.677636090716668</v>
      </c>
      <c r="I2874" s="5"/>
      <c r="J2874" s="5">
        <v>48.907255164002777</v>
      </c>
      <c r="K2874" s="5">
        <v>97</v>
      </c>
    </row>
    <row r="2875" spans="1:11" x14ac:dyDescent="0.25">
      <c r="A2875" s="2">
        <v>46217.166666666657</v>
      </c>
      <c r="B2875" t="str">
        <f t="shared" si="88"/>
        <v>2026-07</v>
      </c>
      <c r="C2875" s="3">
        <f t="shared" si="89"/>
        <v>4</v>
      </c>
      <c r="D2875" s="4">
        <v>25.13409539912778</v>
      </c>
      <c r="E2875" s="4"/>
      <c r="F2875" s="4">
        <v>27.70569186048056</v>
      </c>
      <c r="G2875" s="4">
        <v>16.600000000000001</v>
      </c>
      <c r="H2875" s="5">
        <v>51.661344966347222</v>
      </c>
      <c r="I2875" s="5"/>
      <c r="J2875" s="5">
        <v>48.97669491558333</v>
      </c>
      <c r="K2875" s="5">
        <v>97</v>
      </c>
    </row>
    <row r="2876" spans="1:11" x14ac:dyDescent="0.25">
      <c r="A2876" s="2">
        <v>46217.208333333343</v>
      </c>
      <c r="B2876" t="str">
        <f t="shared" si="88"/>
        <v>2026-07</v>
      </c>
      <c r="C2876" s="3">
        <f t="shared" si="89"/>
        <v>5</v>
      </c>
      <c r="D2876" s="4">
        <v>25.340767862566661</v>
      </c>
      <c r="E2876" s="4"/>
      <c r="F2876" s="4">
        <v>27.688472052897222</v>
      </c>
      <c r="G2876" s="4">
        <v>16.100000000000001</v>
      </c>
      <c r="H2876" s="5">
        <v>51.337126902413893</v>
      </c>
      <c r="I2876" s="5"/>
      <c r="J2876" s="5">
        <v>49.024234512602767</v>
      </c>
      <c r="K2876" s="5">
        <v>99</v>
      </c>
    </row>
    <row r="2877" spans="1:11" x14ac:dyDescent="0.25">
      <c r="A2877" s="2">
        <v>46217.25</v>
      </c>
      <c r="B2877" t="str">
        <f t="shared" si="88"/>
        <v>2026-07</v>
      </c>
      <c r="C2877" s="3">
        <f t="shared" si="89"/>
        <v>6</v>
      </c>
      <c r="D2877" s="4">
        <v>25.569502754550001</v>
      </c>
      <c r="E2877" s="4"/>
      <c r="F2877" s="4">
        <v>27.671358355963889</v>
      </c>
      <c r="G2877" s="4">
        <v>16.7</v>
      </c>
      <c r="H2877" s="5">
        <v>50.723622350655553</v>
      </c>
      <c r="I2877" s="5"/>
      <c r="J2877" s="5">
        <v>49.036852178430557</v>
      </c>
      <c r="K2877" s="5">
        <v>98</v>
      </c>
    </row>
    <row r="2878" spans="1:11" x14ac:dyDescent="0.25">
      <c r="A2878" s="2">
        <v>46217.291666666657</v>
      </c>
      <c r="B2878" t="str">
        <f t="shared" si="88"/>
        <v>2026-07</v>
      </c>
      <c r="C2878" s="3">
        <f t="shared" si="89"/>
        <v>7</v>
      </c>
      <c r="D2878" s="4">
        <v>25.851856418605561</v>
      </c>
      <c r="E2878" s="4"/>
      <c r="F2878" s="4">
        <v>27.669861184369449</v>
      </c>
      <c r="G2878" s="4">
        <v>17.7</v>
      </c>
      <c r="H2878" s="5">
        <v>50.641363174647218</v>
      </c>
      <c r="I2878" s="5"/>
      <c r="J2878" s="5">
        <v>49.07546026824167</v>
      </c>
      <c r="K2878" s="5">
        <v>95</v>
      </c>
    </row>
    <row r="2879" spans="1:11" x14ac:dyDescent="0.25">
      <c r="A2879" s="2">
        <v>46217.333333333343</v>
      </c>
      <c r="B2879" t="str">
        <f t="shared" si="88"/>
        <v>2026-07</v>
      </c>
      <c r="C2879" s="3">
        <f t="shared" si="89"/>
        <v>8</v>
      </c>
      <c r="D2879" s="4">
        <v>26.618007307925001</v>
      </c>
      <c r="E2879" s="4"/>
      <c r="F2879" s="4">
        <v>27.680141838938891</v>
      </c>
      <c r="G2879" s="4">
        <v>19.2</v>
      </c>
      <c r="H2879" s="5">
        <v>49.449551100502781</v>
      </c>
      <c r="I2879" s="5"/>
      <c r="J2879" s="5">
        <v>49.015597137763883</v>
      </c>
      <c r="K2879" s="5">
        <v>89</v>
      </c>
    </row>
    <row r="2880" spans="1:11" x14ac:dyDescent="0.25">
      <c r="A2880" s="2">
        <v>46217.375</v>
      </c>
      <c r="B2880" t="str">
        <f t="shared" si="88"/>
        <v>2026-07</v>
      </c>
      <c r="C2880" s="3">
        <f t="shared" si="89"/>
        <v>9</v>
      </c>
      <c r="D2880" s="4">
        <v>27.095006984983328</v>
      </c>
      <c r="E2880" s="4"/>
      <c r="F2880" s="4">
        <v>27.696444936163889</v>
      </c>
      <c r="G2880" s="4">
        <v>20.9</v>
      </c>
      <c r="H2880" s="5">
        <v>49.702009593361112</v>
      </c>
      <c r="I2880" s="5"/>
      <c r="J2880" s="5">
        <v>49.189656765747223</v>
      </c>
      <c r="K2880" s="5">
        <v>85</v>
      </c>
    </row>
    <row r="2881" spans="1:11" x14ac:dyDescent="0.25">
      <c r="A2881" s="2">
        <v>46217.416666666657</v>
      </c>
      <c r="B2881" t="str">
        <f t="shared" si="88"/>
        <v>2026-07</v>
      </c>
      <c r="C2881" s="3">
        <f t="shared" si="89"/>
        <v>10</v>
      </c>
      <c r="D2881" s="4">
        <v>26.97380684166944</v>
      </c>
      <c r="E2881" s="4"/>
      <c r="F2881" s="4">
        <v>27.691638807727781</v>
      </c>
      <c r="G2881" s="4">
        <v>23</v>
      </c>
      <c r="H2881" s="5">
        <v>50.913886971863889</v>
      </c>
      <c r="I2881" s="5"/>
      <c r="J2881" s="5">
        <v>49.530139312811123</v>
      </c>
      <c r="K2881" s="5">
        <v>74</v>
      </c>
    </row>
    <row r="2882" spans="1:11" x14ac:dyDescent="0.25">
      <c r="A2882" s="2">
        <v>46217.458333333343</v>
      </c>
      <c r="B2882" t="str">
        <f t="shared" ref="B2882:B2945" si="90">TEXT(A2882,"yyyy-mm")</f>
        <v>2026-07</v>
      </c>
      <c r="C2882" s="3">
        <f t="shared" ref="C2882:C2945" si="91">HOUR(A2882)</f>
        <v>11</v>
      </c>
      <c r="D2882" s="4">
        <v>26.69066142294167</v>
      </c>
      <c r="E2882" s="4"/>
      <c r="F2882" s="4">
        <v>27.70037637004722</v>
      </c>
      <c r="G2882" s="4">
        <v>24.4</v>
      </c>
      <c r="H2882" s="5">
        <v>51.467482260588888</v>
      </c>
      <c r="I2882" s="5"/>
      <c r="J2882" s="5">
        <v>49.578866629572218</v>
      </c>
      <c r="K2882" s="5">
        <v>69</v>
      </c>
    </row>
    <row r="2883" spans="1:11" x14ac:dyDescent="0.25">
      <c r="A2883" s="2">
        <v>46217.5</v>
      </c>
      <c r="B2883" t="str">
        <f t="shared" si="90"/>
        <v>2026-07</v>
      </c>
      <c r="C2883" s="3">
        <f t="shared" si="91"/>
        <v>12</v>
      </c>
      <c r="D2883" s="4">
        <v>26.42139971378333</v>
      </c>
      <c r="E2883" s="4"/>
      <c r="F2883" s="4">
        <v>27.69534585778889</v>
      </c>
      <c r="G2883" s="4">
        <v>25.2</v>
      </c>
      <c r="H2883" s="5">
        <v>51.638194748488893</v>
      </c>
      <c r="I2883" s="5"/>
      <c r="J2883" s="5">
        <v>49.305135425397218</v>
      </c>
      <c r="K2883" s="5">
        <v>65</v>
      </c>
    </row>
    <row r="2884" spans="1:11" x14ac:dyDescent="0.25">
      <c r="A2884" s="2">
        <v>46217.541666666657</v>
      </c>
      <c r="B2884" t="str">
        <f t="shared" si="90"/>
        <v>2026-07</v>
      </c>
      <c r="C2884" s="3">
        <f t="shared" si="91"/>
        <v>13</v>
      </c>
      <c r="D2884" s="4">
        <v>26.325020105088889</v>
      </c>
      <c r="E2884" s="4"/>
      <c r="F2884" s="4">
        <v>27.688694483497219</v>
      </c>
      <c r="G2884" s="4">
        <v>25.9</v>
      </c>
      <c r="H2884" s="5">
        <v>52.110653466763893</v>
      </c>
      <c r="I2884" s="5"/>
      <c r="J2884" s="5">
        <v>49.189284178997219</v>
      </c>
      <c r="K2884" s="5">
        <v>61</v>
      </c>
    </row>
    <row r="2885" spans="1:11" x14ac:dyDescent="0.25">
      <c r="A2885" s="2">
        <v>46217.583333333343</v>
      </c>
      <c r="B2885" t="str">
        <f t="shared" si="90"/>
        <v>2026-07</v>
      </c>
      <c r="C2885" s="3">
        <f t="shared" si="91"/>
        <v>14</v>
      </c>
      <c r="D2885" s="4">
        <v>26.220359312841669</v>
      </c>
      <c r="E2885" s="4"/>
      <c r="F2885" s="4">
        <v>27.68837354896111</v>
      </c>
      <c r="G2885" s="4">
        <v>26.2</v>
      </c>
      <c r="H2885" s="5">
        <v>52.776217534741669</v>
      </c>
      <c r="I2885" s="5"/>
      <c r="J2885" s="5">
        <v>49.082053136533339</v>
      </c>
      <c r="K2885" s="5">
        <v>58</v>
      </c>
    </row>
    <row r="2886" spans="1:11" x14ac:dyDescent="0.25">
      <c r="A2886" s="2">
        <v>46217.625</v>
      </c>
      <c r="B2886" t="str">
        <f t="shared" si="90"/>
        <v>2026-07</v>
      </c>
      <c r="C2886" s="3">
        <f t="shared" si="91"/>
        <v>15</v>
      </c>
      <c r="D2886" s="4">
        <v>26.173064476874998</v>
      </c>
      <c r="E2886" s="4"/>
      <c r="F2886" s="4">
        <v>27.67804011108333</v>
      </c>
      <c r="G2886" s="4">
        <v>26.3</v>
      </c>
      <c r="H2886" s="5">
        <v>52.996700972366661</v>
      </c>
      <c r="I2886" s="5"/>
      <c r="J2886" s="5">
        <v>49.051975055227778</v>
      </c>
      <c r="K2886" s="5">
        <v>57</v>
      </c>
    </row>
    <row r="2887" spans="1:11" x14ac:dyDescent="0.25">
      <c r="A2887" s="2">
        <v>46217.666666666657</v>
      </c>
      <c r="B2887" t="str">
        <f t="shared" si="90"/>
        <v>2026-07</v>
      </c>
      <c r="C2887" s="3">
        <f t="shared" si="91"/>
        <v>16</v>
      </c>
      <c r="D2887" s="4">
        <v>26.121475963655559</v>
      </c>
      <c r="E2887" s="4"/>
      <c r="F2887" s="4">
        <v>27.668777681155561</v>
      </c>
      <c r="G2887" s="4">
        <v>21.8</v>
      </c>
      <c r="H2887" s="5">
        <v>53.26174818342222</v>
      </c>
      <c r="I2887" s="5"/>
      <c r="J2887" s="5">
        <v>49.028008034494441</v>
      </c>
      <c r="K2887" s="5">
        <v>81</v>
      </c>
    </row>
    <row r="2888" spans="1:11" x14ac:dyDescent="0.25">
      <c r="A2888" s="2">
        <v>46217.708333333343</v>
      </c>
      <c r="B2888" t="str">
        <f t="shared" si="90"/>
        <v>2026-07</v>
      </c>
      <c r="C2888" s="3">
        <f t="shared" si="91"/>
        <v>17</v>
      </c>
      <c r="D2888" s="4">
        <v>26.10186497705277</v>
      </c>
      <c r="E2888" s="4"/>
      <c r="F2888" s="4">
        <v>27.663012343855559</v>
      </c>
      <c r="G2888" s="4">
        <v>22.8</v>
      </c>
      <c r="H2888" s="5">
        <v>53.298301323747218</v>
      </c>
      <c r="I2888" s="5"/>
      <c r="J2888" s="5">
        <v>49.089894692072221</v>
      </c>
      <c r="K2888" s="5">
        <v>74</v>
      </c>
    </row>
    <row r="2889" spans="1:11" x14ac:dyDescent="0.25">
      <c r="A2889" s="2">
        <v>46217.75</v>
      </c>
      <c r="B2889" t="str">
        <f t="shared" si="90"/>
        <v>2026-07</v>
      </c>
      <c r="C2889" s="3">
        <f t="shared" si="91"/>
        <v>18</v>
      </c>
      <c r="D2889" s="4">
        <v>26.070792513166669</v>
      </c>
      <c r="E2889" s="4"/>
      <c r="F2889" s="4">
        <v>27.663500421005551</v>
      </c>
      <c r="G2889" s="4">
        <v>23.5</v>
      </c>
      <c r="H2889" s="5">
        <v>53.262845493911108</v>
      </c>
      <c r="I2889" s="5"/>
      <c r="J2889" s="5">
        <v>49.058731385947233</v>
      </c>
      <c r="K2889" s="5">
        <v>72</v>
      </c>
    </row>
    <row r="2890" spans="1:11" x14ac:dyDescent="0.25">
      <c r="A2890" s="2">
        <v>46217.791666666657</v>
      </c>
      <c r="B2890" t="str">
        <f t="shared" si="90"/>
        <v>2026-07</v>
      </c>
      <c r="C2890" s="3">
        <f t="shared" si="91"/>
        <v>19</v>
      </c>
      <c r="D2890" s="4">
        <v>25.989150205780561</v>
      </c>
      <c r="E2890" s="4"/>
      <c r="F2890" s="4">
        <v>27.665070274777779</v>
      </c>
      <c r="G2890" s="4">
        <v>22.5</v>
      </c>
      <c r="H2890" s="5">
        <v>53.010976401038903</v>
      </c>
      <c r="I2890" s="5"/>
      <c r="J2890" s="5">
        <v>49.130786798013887</v>
      </c>
      <c r="K2890" s="5">
        <v>76</v>
      </c>
    </row>
    <row r="2891" spans="1:11" x14ac:dyDescent="0.25">
      <c r="A2891" s="2">
        <v>46217.833333333343</v>
      </c>
      <c r="B2891" t="str">
        <f t="shared" si="90"/>
        <v>2026-07</v>
      </c>
      <c r="C2891" s="3">
        <f t="shared" si="91"/>
        <v>20</v>
      </c>
      <c r="D2891" s="4">
        <v>25.894353099813891</v>
      </c>
      <c r="E2891" s="4"/>
      <c r="F2891" s="4">
        <v>27.657830225680559</v>
      </c>
      <c r="G2891" s="4">
        <v>21.3</v>
      </c>
      <c r="H2891" s="5">
        <v>52.675493602700001</v>
      </c>
      <c r="I2891" s="5"/>
      <c r="J2891" s="5">
        <v>49.225216077052778</v>
      </c>
      <c r="K2891" s="5">
        <v>85</v>
      </c>
    </row>
    <row r="2892" spans="1:11" x14ac:dyDescent="0.25">
      <c r="A2892" s="2">
        <v>46217.875</v>
      </c>
      <c r="B2892" t="str">
        <f t="shared" si="90"/>
        <v>2026-07</v>
      </c>
      <c r="C2892" s="3">
        <f t="shared" si="91"/>
        <v>21</v>
      </c>
      <c r="D2892" s="4">
        <v>25.503972233433331</v>
      </c>
      <c r="E2892" s="4"/>
      <c r="F2892" s="4">
        <v>27.659126348747229</v>
      </c>
      <c r="G2892" s="4">
        <v>20.100000000000001</v>
      </c>
      <c r="H2892" s="5">
        <v>55.482338195508333</v>
      </c>
      <c r="I2892" s="5"/>
      <c r="J2892" s="5">
        <v>49.298647690994443</v>
      </c>
      <c r="K2892" s="5">
        <v>92</v>
      </c>
    </row>
    <row r="2893" spans="1:11" x14ac:dyDescent="0.25">
      <c r="A2893" s="2">
        <v>46217.916666666657</v>
      </c>
      <c r="B2893" t="str">
        <f t="shared" si="90"/>
        <v>2026-07</v>
      </c>
      <c r="C2893" s="3">
        <f t="shared" si="91"/>
        <v>22</v>
      </c>
      <c r="D2893" s="4">
        <v>24.658023703311109</v>
      </c>
      <c r="E2893" s="4"/>
      <c r="F2893" s="4">
        <v>27.65327463961389</v>
      </c>
      <c r="G2893" s="4">
        <v>19.5</v>
      </c>
      <c r="H2893" s="5">
        <v>60.848942981474998</v>
      </c>
      <c r="I2893" s="5"/>
      <c r="J2893" s="5">
        <v>49.434567798327777</v>
      </c>
      <c r="K2893" s="5">
        <v>95</v>
      </c>
    </row>
    <row r="2894" spans="1:11" x14ac:dyDescent="0.25">
      <c r="A2894" s="2">
        <v>46217.958333333343</v>
      </c>
      <c r="B2894" t="str">
        <f t="shared" si="90"/>
        <v>2026-07</v>
      </c>
      <c r="C2894" s="3">
        <f t="shared" si="91"/>
        <v>23</v>
      </c>
      <c r="D2894" s="4">
        <v>24.383749794288889</v>
      </c>
      <c r="E2894" s="4"/>
      <c r="F2894" s="4">
        <v>27.651722284697229</v>
      </c>
      <c r="G2894" s="4">
        <v>19.100000000000001</v>
      </c>
      <c r="H2894" s="5">
        <v>60.487193062472222</v>
      </c>
      <c r="I2894" s="5"/>
      <c r="J2894" s="5">
        <v>49.828920525094453</v>
      </c>
      <c r="K2894" s="5">
        <v>96</v>
      </c>
    </row>
    <row r="2895" spans="1:11" x14ac:dyDescent="0.25">
      <c r="A2895" s="2">
        <v>46218</v>
      </c>
      <c r="B2895" t="str">
        <f t="shared" si="90"/>
        <v>2026-07</v>
      </c>
      <c r="C2895" s="3">
        <f t="shared" si="91"/>
        <v>0</v>
      </c>
      <c r="D2895" s="4">
        <v>24.517511467858331</v>
      </c>
      <c r="E2895" s="4"/>
      <c r="F2895" s="4">
        <v>27.662034071352771</v>
      </c>
      <c r="G2895" s="4">
        <v>18.899999999999999</v>
      </c>
      <c r="H2895" s="5">
        <v>60.202193936561123</v>
      </c>
      <c r="I2895" s="5"/>
      <c r="J2895" s="5">
        <v>49.655296268822219</v>
      </c>
      <c r="K2895" s="5">
        <v>97</v>
      </c>
    </row>
    <row r="2896" spans="1:11" x14ac:dyDescent="0.25">
      <c r="A2896" s="2">
        <v>46218.041666666657</v>
      </c>
      <c r="B2896" t="str">
        <f t="shared" si="90"/>
        <v>2026-07</v>
      </c>
      <c r="C2896" s="3">
        <f t="shared" si="91"/>
        <v>1</v>
      </c>
      <c r="D2896" s="4">
        <v>24.124339774597221</v>
      </c>
      <c r="E2896" s="4"/>
      <c r="F2896" s="4">
        <v>27.69058984483334</v>
      </c>
      <c r="G2896" s="4">
        <v>18.8</v>
      </c>
      <c r="H2896" s="5">
        <v>61.963072047952778</v>
      </c>
      <c r="I2896" s="5"/>
      <c r="J2896" s="5">
        <v>49.884810388733342</v>
      </c>
      <c r="K2896" s="5">
        <v>96</v>
      </c>
    </row>
    <row r="2897" spans="1:11" x14ac:dyDescent="0.25">
      <c r="A2897" s="2">
        <v>46218.083333333343</v>
      </c>
      <c r="B2897" t="str">
        <f t="shared" si="90"/>
        <v>2026-07</v>
      </c>
      <c r="C2897" s="3">
        <f t="shared" si="91"/>
        <v>2</v>
      </c>
      <c r="D2897" s="4">
        <v>24.04600335400556</v>
      </c>
      <c r="E2897" s="4"/>
      <c r="F2897" s="4">
        <v>27.695592651994449</v>
      </c>
      <c r="G2897" s="4">
        <v>18.399999999999999</v>
      </c>
      <c r="H2897" s="5">
        <v>62.398043373166672</v>
      </c>
      <c r="I2897" s="5"/>
      <c r="J2897" s="5">
        <v>50.096024598852779</v>
      </c>
      <c r="K2897" s="5">
        <v>95</v>
      </c>
    </row>
    <row r="2898" spans="1:11" x14ac:dyDescent="0.25">
      <c r="A2898" s="2">
        <v>46218.125</v>
      </c>
      <c r="B2898" t="str">
        <f t="shared" si="90"/>
        <v>2026-07</v>
      </c>
      <c r="C2898" s="3">
        <f t="shared" si="91"/>
        <v>3</v>
      </c>
      <c r="D2898" s="4">
        <v>23.939393561197221</v>
      </c>
      <c r="E2898" s="4"/>
      <c r="F2898" s="4">
        <v>27.689928755038888</v>
      </c>
      <c r="G2898" s="4">
        <v>18</v>
      </c>
      <c r="H2898" s="5">
        <v>61.671921271108339</v>
      </c>
      <c r="I2898" s="5"/>
      <c r="J2898" s="5">
        <v>49.966833849952771</v>
      </c>
      <c r="K2898" s="5">
        <v>95</v>
      </c>
    </row>
    <row r="2899" spans="1:11" x14ac:dyDescent="0.25">
      <c r="A2899" s="2">
        <v>46218.166666666657</v>
      </c>
      <c r="B2899" t="str">
        <f t="shared" si="90"/>
        <v>2026-07</v>
      </c>
      <c r="C2899" s="3">
        <f t="shared" si="91"/>
        <v>4</v>
      </c>
      <c r="D2899" s="4">
        <v>23.701525471250001</v>
      </c>
      <c r="E2899" s="4"/>
      <c r="F2899" s="4">
        <v>27.693821062216671</v>
      </c>
      <c r="G2899" s="4">
        <v>17.600000000000001</v>
      </c>
      <c r="H2899" s="5">
        <v>62.093966036297218</v>
      </c>
      <c r="I2899" s="5"/>
      <c r="J2899" s="5">
        <v>49.957386704202783</v>
      </c>
      <c r="K2899" s="5">
        <v>95</v>
      </c>
    </row>
    <row r="2900" spans="1:11" x14ac:dyDescent="0.25">
      <c r="A2900" s="2">
        <v>46218.208333333343</v>
      </c>
      <c r="B2900" t="str">
        <f t="shared" si="90"/>
        <v>2026-07</v>
      </c>
      <c r="C2900" s="3">
        <f t="shared" si="91"/>
        <v>5</v>
      </c>
      <c r="D2900" s="4">
        <v>23.611421109527779</v>
      </c>
      <c r="E2900" s="4"/>
      <c r="F2900" s="4">
        <v>27.688361321463891</v>
      </c>
      <c r="G2900" s="4">
        <v>17.2</v>
      </c>
      <c r="H2900" s="5">
        <v>62.415243621144441</v>
      </c>
      <c r="I2900" s="5"/>
      <c r="J2900" s="5">
        <v>50.003080518788892</v>
      </c>
      <c r="K2900" s="5">
        <v>97</v>
      </c>
    </row>
    <row r="2901" spans="1:11" x14ac:dyDescent="0.25">
      <c r="A2901" s="2">
        <v>46218.25</v>
      </c>
      <c r="B2901" t="str">
        <f t="shared" si="90"/>
        <v>2026-07</v>
      </c>
      <c r="C2901" s="3">
        <f t="shared" si="91"/>
        <v>6</v>
      </c>
      <c r="D2901" s="4">
        <v>24.86603464803056</v>
      </c>
      <c r="E2901" s="4"/>
      <c r="F2901" s="4">
        <v>27.689416857572219</v>
      </c>
      <c r="G2901" s="4">
        <v>17.7</v>
      </c>
      <c r="H2901" s="5">
        <v>57.465162980277768</v>
      </c>
      <c r="I2901" s="5"/>
      <c r="J2901" s="5">
        <v>49.957292406758327</v>
      </c>
      <c r="K2901" s="5">
        <v>95</v>
      </c>
    </row>
    <row r="2902" spans="1:11" x14ac:dyDescent="0.25">
      <c r="A2902" s="2">
        <v>46218.291666666657</v>
      </c>
      <c r="B2902" t="str">
        <f t="shared" si="90"/>
        <v>2026-07</v>
      </c>
      <c r="C2902" s="3">
        <f t="shared" si="91"/>
        <v>7</v>
      </c>
      <c r="D2902" s="4">
        <v>25.929561474361108</v>
      </c>
      <c r="E2902" s="4"/>
      <c r="F2902" s="4">
        <v>27.689749986563889</v>
      </c>
      <c r="G2902" s="4">
        <v>19</v>
      </c>
      <c r="H2902" s="5">
        <v>54.425868229516659</v>
      </c>
      <c r="I2902" s="5"/>
      <c r="J2902" s="5">
        <v>49.823158817063891</v>
      </c>
      <c r="K2902" s="5">
        <v>89</v>
      </c>
    </row>
    <row r="2903" spans="1:11" x14ac:dyDescent="0.25">
      <c r="A2903" s="2">
        <v>46218.333333333343</v>
      </c>
      <c r="B2903" t="str">
        <f t="shared" si="90"/>
        <v>2026-07</v>
      </c>
      <c r="C2903" s="3">
        <f t="shared" si="91"/>
        <v>8</v>
      </c>
      <c r="D2903" s="4">
        <v>26.704589265236109</v>
      </c>
      <c r="E2903" s="4"/>
      <c r="F2903" s="4">
        <v>27.697209782855559</v>
      </c>
      <c r="G2903" s="4">
        <v>20.6</v>
      </c>
      <c r="H2903" s="5">
        <v>52.632773708544448</v>
      </c>
      <c r="I2903" s="5"/>
      <c r="J2903" s="5">
        <v>49.775197692250003</v>
      </c>
      <c r="K2903" s="5">
        <v>81</v>
      </c>
    </row>
    <row r="2904" spans="1:11" x14ac:dyDescent="0.25">
      <c r="A2904" s="2">
        <v>46218.375</v>
      </c>
      <c r="B2904" t="str">
        <f t="shared" si="90"/>
        <v>2026-07</v>
      </c>
      <c r="C2904" s="3">
        <f t="shared" si="91"/>
        <v>9</v>
      </c>
      <c r="D2904" s="4">
        <v>27.18200505138056</v>
      </c>
      <c r="E2904" s="4"/>
      <c r="F2904" s="4">
        <v>27.721130096072219</v>
      </c>
      <c r="G2904" s="4">
        <v>22.9</v>
      </c>
      <c r="H2904" s="5">
        <v>49.645112214630558</v>
      </c>
      <c r="I2904" s="5"/>
      <c r="J2904" s="5">
        <v>49.857579066877783</v>
      </c>
      <c r="K2904" s="5">
        <v>69</v>
      </c>
    </row>
    <row r="2905" spans="1:11" x14ac:dyDescent="0.25">
      <c r="A2905" s="2">
        <v>46218.416666666657</v>
      </c>
      <c r="B2905" t="str">
        <f t="shared" si="90"/>
        <v>2026-07</v>
      </c>
      <c r="C2905" s="3">
        <f t="shared" si="91"/>
        <v>10</v>
      </c>
      <c r="D2905" s="4">
        <v>27.084437271211112</v>
      </c>
      <c r="E2905" s="4"/>
      <c r="F2905" s="4">
        <v>27.753074462227779</v>
      </c>
      <c r="G2905" s="4">
        <v>24.4</v>
      </c>
      <c r="H2905" s="5">
        <v>46.577444599800003</v>
      </c>
      <c r="I2905" s="5"/>
      <c r="J2905" s="5">
        <v>49.861251146738887</v>
      </c>
      <c r="K2905" s="5">
        <v>55</v>
      </c>
    </row>
    <row r="2906" spans="1:11" x14ac:dyDescent="0.25">
      <c r="A2906" s="2">
        <v>46218.458333333343</v>
      </c>
      <c r="B2906" t="str">
        <f t="shared" si="90"/>
        <v>2026-07</v>
      </c>
      <c r="C2906" s="3">
        <f t="shared" si="91"/>
        <v>11</v>
      </c>
      <c r="D2906" s="4">
        <v>26.98659259886389</v>
      </c>
      <c r="E2906" s="4"/>
      <c r="F2906" s="4">
        <v>27.76922567799722</v>
      </c>
      <c r="G2906" s="4">
        <v>25.2</v>
      </c>
      <c r="H2906" s="5">
        <v>44.908905635150013</v>
      </c>
      <c r="I2906" s="5"/>
      <c r="J2906" s="5">
        <v>49.812711767736111</v>
      </c>
      <c r="K2906" s="5">
        <v>49</v>
      </c>
    </row>
    <row r="2907" spans="1:11" x14ac:dyDescent="0.25">
      <c r="A2907" s="2">
        <v>46218.5</v>
      </c>
      <c r="B2907" t="str">
        <f t="shared" si="90"/>
        <v>2026-07</v>
      </c>
      <c r="C2907" s="3">
        <f t="shared" si="91"/>
        <v>12</v>
      </c>
      <c r="D2907" s="4">
        <v>27.07548077748611</v>
      </c>
      <c r="E2907" s="4"/>
      <c r="F2907" s="4">
        <v>27.795114579574999</v>
      </c>
      <c r="G2907" s="4">
        <v>25.8</v>
      </c>
      <c r="H2907" s="5">
        <v>44.635703781994451</v>
      </c>
      <c r="I2907" s="5"/>
      <c r="J2907" s="5">
        <v>49.633674043058328</v>
      </c>
      <c r="K2907" s="5">
        <v>47</v>
      </c>
    </row>
    <row r="2908" spans="1:11" x14ac:dyDescent="0.25">
      <c r="A2908" s="2">
        <v>46218.541666666657</v>
      </c>
      <c r="B2908" t="str">
        <f t="shared" si="90"/>
        <v>2026-07</v>
      </c>
      <c r="C2908" s="3">
        <f t="shared" si="91"/>
        <v>13</v>
      </c>
      <c r="D2908" s="4">
        <v>26.6576615709</v>
      </c>
      <c r="E2908" s="4"/>
      <c r="F2908" s="4">
        <v>27.806166689608329</v>
      </c>
      <c r="G2908" s="4">
        <v>26</v>
      </c>
      <c r="H2908" s="5">
        <v>41.385913458697217</v>
      </c>
      <c r="I2908" s="5"/>
      <c r="J2908" s="5">
        <v>49.483521707925</v>
      </c>
      <c r="K2908" s="5">
        <v>46</v>
      </c>
    </row>
    <row r="2909" spans="1:11" x14ac:dyDescent="0.25">
      <c r="A2909" s="2">
        <v>46218.583333333343</v>
      </c>
      <c r="B2909" t="str">
        <f t="shared" si="90"/>
        <v>2026-07</v>
      </c>
      <c r="C2909" s="3">
        <f t="shared" si="91"/>
        <v>14</v>
      </c>
      <c r="D2909" s="4">
        <v>25.488197359363891</v>
      </c>
      <c r="E2909" s="4"/>
      <c r="F2909" s="4">
        <v>27.810499922358328</v>
      </c>
      <c r="G2909" s="4">
        <v>26.2</v>
      </c>
      <c r="H2909" s="5">
        <v>38.31280430454445</v>
      </c>
      <c r="I2909" s="5"/>
      <c r="J2909" s="5">
        <v>49.218064538830561</v>
      </c>
      <c r="K2909" s="5">
        <v>47</v>
      </c>
    </row>
    <row r="2910" spans="1:11" x14ac:dyDescent="0.25">
      <c r="A2910" s="2">
        <v>46218.625</v>
      </c>
      <c r="B2910" t="str">
        <f t="shared" si="90"/>
        <v>2026-07</v>
      </c>
      <c r="C2910" s="3">
        <f t="shared" si="91"/>
        <v>15</v>
      </c>
      <c r="D2910" s="4">
        <v>25.039005649555559</v>
      </c>
      <c r="E2910" s="4"/>
      <c r="F2910" s="4">
        <v>27.79505188292778</v>
      </c>
      <c r="G2910" s="4">
        <v>26.9</v>
      </c>
      <c r="H2910" s="5">
        <v>37.390364001133328</v>
      </c>
      <c r="I2910" s="5"/>
      <c r="J2910" s="5">
        <v>48.868060840555557</v>
      </c>
      <c r="K2910" s="5">
        <v>44</v>
      </c>
    </row>
    <row r="2911" spans="1:11" x14ac:dyDescent="0.25">
      <c r="A2911" s="2">
        <v>46218.666666666657</v>
      </c>
      <c r="B2911" t="str">
        <f t="shared" si="90"/>
        <v>2026-07</v>
      </c>
      <c r="C2911" s="3">
        <f t="shared" si="91"/>
        <v>16</v>
      </c>
      <c r="D2911" s="4">
        <v>25.789786059163891</v>
      </c>
      <c r="E2911" s="4"/>
      <c r="F2911" s="4">
        <v>27.76977801523056</v>
      </c>
      <c r="G2911" s="4">
        <v>26.8</v>
      </c>
      <c r="H2911" s="5">
        <v>40.953864746450002</v>
      </c>
      <c r="I2911" s="5"/>
      <c r="J2911" s="5">
        <v>48.617765666830557</v>
      </c>
      <c r="K2911" s="5">
        <v>45</v>
      </c>
    </row>
    <row r="2912" spans="1:11" x14ac:dyDescent="0.25">
      <c r="A2912" s="2">
        <v>46218.708333333343</v>
      </c>
      <c r="B2912" t="str">
        <f t="shared" si="90"/>
        <v>2026-07</v>
      </c>
      <c r="C2912" s="3">
        <f t="shared" si="91"/>
        <v>17</v>
      </c>
      <c r="D2912" s="4">
        <v>26.518204434116669</v>
      </c>
      <c r="E2912" s="4"/>
      <c r="F2912" s="4">
        <v>27.77940461074445</v>
      </c>
      <c r="G2912" s="4">
        <v>26.9</v>
      </c>
      <c r="H2912" s="5">
        <v>44.540443072549998</v>
      </c>
      <c r="I2912" s="5"/>
      <c r="J2912" s="5">
        <v>48.728430032575012</v>
      </c>
      <c r="K2912" s="5">
        <v>45</v>
      </c>
    </row>
    <row r="2913" spans="1:11" x14ac:dyDescent="0.25">
      <c r="A2913" s="2">
        <v>46218.75</v>
      </c>
      <c r="B2913" t="str">
        <f t="shared" si="90"/>
        <v>2026-07</v>
      </c>
      <c r="C2913" s="3">
        <f t="shared" si="91"/>
        <v>18</v>
      </c>
      <c r="D2913" s="4">
        <v>26.78156378976389</v>
      </c>
      <c r="E2913" s="4">
        <v>28.664399731074781</v>
      </c>
      <c r="F2913" s="4">
        <v>27.801337057941659</v>
      </c>
      <c r="G2913" s="4">
        <v>26.5</v>
      </c>
      <c r="H2913" s="5">
        <v>46.856706258602777</v>
      </c>
      <c r="I2913" s="5">
        <v>42.769080624548153</v>
      </c>
      <c r="J2913" s="5">
        <v>48.806760741036108</v>
      </c>
      <c r="K2913" s="5">
        <v>46</v>
      </c>
    </row>
    <row r="2914" spans="1:11" x14ac:dyDescent="0.25">
      <c r="A2914" s="2">
        <v>46218.791666666657</v>
      </c>
      <c r="B2914" t="str">
        <f t="shared" si="90"/>
        <v>2026-07</v>
      </c>
      <c r="C2914" s="3">
        <f t="shared" si="91"/>
        <v>19</v>
      </c>
      <c r="D2914" s="4">
        <v>26.89636126828611</v>
      </c>
      <c r="E2914" s="4">
        <v>28.500739659050002</v>
      </c>
      <c r="F2914" s="4">
        <v>27.828130461655562</v>
      </c>
      <c r="G2914" s="4">
        <v>26</v>
      </c>
      <c r="H2914" s="5">
        <v>47.318670841044451</v>
      </c>
      <c r="I2914" s="5">
        <v>44.742068232369441</v>
      </c>
      <c r="J2914" s="5">
        <v>48.870458595108339</v>
      </c>
      <c r="K2914" s="5">
        <v>48</v>
      </c>
    </row>
    <row r="2915" spans="1:11" x14ac:dyDescent="0.25">
      <c r="A2915" s="2">
        <v>46218.833333333343</v>
      </c>
      <c r="B2915" t="str">
        <f t="shared" si="90"/>
        <v>2026-07</v>
      </c>
      <c r="C2915" s="3">
        <f t="shared" si="91"/>
        <v>20</v>
      </c>
      <c r="D2915" s="4">
        <v>26.81325243000833</v>
      </c>
      <c r="E2915" s="4">
        <v>28.43924932905</v>
      </c>
      <c r="F2915" s="4">
        <v>27.847654554313891</v>
      </c>
      <c r="G2915" s="4">
        <v>24.7</v>
      </c>
      <c r="H2915" s="5">
        <v>47.187114776175001</v>
      </c>
      <c r="I2915" s="5">
        <v>46.237992011066673</v>
      </c>
      <c r="J2915" s="5">
        <v>48.957696783708343</v>
      </c>
      <c r="K2915" s="5">
        <v>60</v>
      </c>
    </row>
    <row r="2916" spans="1:11" x14ac:dyDescent="0.25">
      <c r="A2916" s="2">
        <v>46218.875</v>
      </c>
      <c r="B2916" t="str">
        <f t="shared" si="90"/>
        <v>2026-07</v>
      </c>
      <c r="C2916" s="3">
        <f t="shared" si="91"/>
        <v>21</v>
      </c>
      <c r="D2916" s="4">
        <v>26.665740649511111</v>
      </c>
      <c r="E2916" s="4">
        <v>28.41025992356667</v>
      </c>
      <c r="F2916" s="4">
        <v>27.86071000586945</v>
      </c>
      <c r="G2916" s="4">
        <v>23.3</v>
      </c>
      <c r="H2916" s="5">
        <v>47.962274102936107</v>
      </c>
      <c r="I2916" s="5">
        <v>46.24783393698889</v>
      </c>
      <c r="J2916" s="5">
        <v>48.976346898413887</v>
      </c>
      <c r="K2916" s="5">
        <v>65</v>
      </c>
    </row>
    <row r="2917" spans="1:11" x14ac:dyDescent="0.25">
      <c r="A2917" s="2">
        <v>46218.916666666657</v>
      </c>
      <c r="B2917" t="str">
        <f t="shared" si="90"/>
        <v>2026-07</v>
      </c>
      <c r="C2917" s="3">
        <f t="shared" si="91"/>
        <v>22</v>
      </c>
      <c r="D2917" s="4">
        <v>26.221697338827781</v>
      </c>
      <c r="E2917" s="4">
        <v>28.243848241986111</v>
      </c>
      <c r="F2917" s="4">
        <v>27.875293322369441</v>
      </c>
      <c r="G2917" s="4">
        <v>22.4</v>
      </c>
      <c r="H2917" s="5">
        <v>47.709973005341659</v>
      </c>
      <c r="I2917" s="5">
        <v>45.932242488294442</v>
      </c>
      <c r="J2917" s="5">
        <v>48.898119371738893</v>
      </c>
      <c r="K2917" s="5">
        <v>69</v>
      </c>
    </row>
    <row r="2918" spans="1:11" x14ac:dyDescent="0.25">
      <c r="A2918" s="2">
        <v>46218.958333333343</v>
      </c>
      <c r="B2918" t="str">
        <f t="shared" si="90"/>
        <v>2026-07</v>
      </c>
      <c r="C2918" s="3">
        <f t="shared" si="91"/>
        <v>23</v>
      </c>
      <c r="D2918" s="4">
        <v>26.015809457222229</v>
      </c>
      <c r="E2918" s="4">
        <v>28.279997414977771</v>
      </c>
      <c r="F2918" s="4">
        <v>27.86990447569444</v>
      </c>
      <c r="G2918" s="4">
        <v>21.7</v>
      </c>
      <c r="H2918" s="5">
        <v>48.215361914797221</v>
      </c>
      <c r="I2918" s="5">
        <v>46.245259263352779</v>
      </c>
      <c r="J2918" s="5">
        <v>48.855000983686118</v>
      </c>
      <c r="K2918" s="5">
        <v>72</v>
      </c>
    </row>
    <row r="2919" spans="1:11" x14ac:dyDescent="0.25">
      <c r="A2919" s="2">
        <v>46219</v>
      </c>
      <c r="B2919" t="str">
        <f t="shared" si="90"/>
        <v>2026-07</v>
      </c>
      <c r="C2919" s="3">
        <f t="shared" si="91"/>
        <v>0</v>
      </c>
      <c r="D2919" s="4">
        <v>25.718652390719441</v>
      </c>
      <c r="E2919" s="4">
        <v>28.31467699558333</v>
      </c>
      <c r="F2919" s="4">
        <v>27.87143178808612</v>
      </c>
      <c r="G2919" s="4">
        <v>20.8</v>
      </c>
      <c r="H2919" s="5">
        <v>50.473250943591673</v>
      </c>
      <c r="I2919" s="5">
        <v>45.223684116358328</v>
      </c>
      <c r="J2919" s="5">
        <v>48.824415911177773</v>
      </c>
      <c r="K2919" s="5">
        <v>76</v>
      </c>
    </row>
    <row r="2920" spans="1:11" x14ac:dyDescent="0.25">
      <c r="A2920" s="2">
        <v>46219.041666666657</v>
      </c>
      <c r="B2920" t="str">
        <f t="shared" si="90"/>
        <v>2026-07</v>
      </c>
      <c r="C2920" s="3">
        <f t="shared" si="91"/>
        <v>1</v>
      </c>
      <c r="D2920" s="4">
        <v>25.29326886281666</v>
      </c>
      <c r="E2920" s="4">
        <v>28.050079853413891</v>
      </c>
      <c r="F2920" s="4">
        <v>27.927530532027781</v>
      </c>
      <c r="G2920" s="4">
        <v>20</v>
      </c>
      <c r="H2920" s="5">
        <v>51.999146354794448</v>
      </c>
      <c r="I2920" s="5">
        <v>47.33118267908889</v>
      </c>
      <c r="J2920" s="5">
        <v>48.790376734663887</v>
      </c>
      <c r="K2920" s="5">
        <v>80</v>
      </c>
    </row>
    <row r="2921" spans="1:11" x14ac:dyDescent="0.25">
      <c r="A2921" s="2">
        <v>46219.083333333343</v>
      </c>
      <c r="B2921" t="str">
        <f t="shared" si="90"/>
        <v>2026-07</v>
      </c>
      <c r="C2921" s="3">
        <f t="shared" si="91"/>
        <v>2</v>
      </c>
      <c r="D2921" s="4">
        <v>24.75851207474166</v>
      </c>
      <c r="E2921" s="4">
        <v>27.746796071713892</v>
      </c>
      <c r="F2921" s="4">
        <v>27.976037369616659</v>
      </c>
      <c r="G2921" s="4">
        <v>19.3</v>
      </c>
      <c r="H2921" s="5">
        <v>54.385326018755563</v>
      </c>
      <c r="I2921" s="5">
        <v>47.484461884302782</v>
      </c>
      <c r="J2921" s="5">
        <v>48.85078554378611</v>
      </c>
      <c r="K2921" s="5">
        <v>84</v>
      </c>
    </row>
    <row r="2922" spans="1:11" x14ac:dyDescent="0.25">
      <c r="A2922" s="2">
        <v>46219.125</v>
      </c>
      <c r="B2922" t="str">
        <f t="shared" si="90"/>
        <v>2026-07</v>
      </c>
      <c r="C2922" s="3">
        <f t="shared" si="91"/>
        <v>3</v>
      </c>
      <c r="D2922" s="4">
        <v>24.31828905970556</v>
      </c>
      <c r="E2922" s="4">
        <v>27.529062935174998</v>
      </c>
      <c r="F2922" s="4">
        <v>27.919153225355561</v>
      </c>
      <c r="G2922" s="4">
        <v>18.7</v>
      </c>
      <c r="H2922" s="5">
        <v>56.388023558305562</v>
      </c>
      <c r="I2922" s="5">
        <v>47.992137365008332</v>
      </c>
      <c r="J2922" s="5">
        <v>49.066311883405547</v>
      </c>
      <c r="K2922" s="5">
        <v>89</v>
      </c>
    </row>
    <row r="2923" spans="1:11" x14ac:dyDescent="0.25">
      <c r="A2923" s="2">
        <v>46219.166666666657</v>
      </c>
      <c r="B2923" t="str">
        <f t="shared" si="90"/>
        <v>2026-07</v>
      </c>
      <c r="C2923" s="3">
        <f t="shared" si="91"/>
        <v>4</v>
      </c>
      <c r="D2923" s="4">
        <v>23.910630189202781</v>
      </c>
      <c r="E2923" s="4">
        <v>27.336827299761111</v>
      </c>
      <c r="F2923" s="4">
        <v>27.894750079172219</v>
      </c>
      <c r="G2923" s="4">
        <v>18.3</v>
      </c>
      <c r="H2923" s="5">
        <v>58.423268094258333</v>
      </c>
      <c r="I2923" s="5">
        <v>48.629076532669437</v>
      </c>
      <c r="J2923" s="5">
        <v>49.211756128322229</v>
      </c>
      <c r="K2923" s="5">
        <v>91</v>
      </c>
    </row>
    <row r="2924" spans="1:11" x14ac:dyDescent="0.25">
      <c r="A2924" s="2">
        <v>46219.208333333343</v>
      </c>
      <c r="B2924" t="str">
        <f t="shared" si="90"/>
        <v>2026-07</v>
      </c>
      <c r="C2924" s="3">
        <f t="shared" si="91"/>
        <v>5</v>
      </c>
      <c r="D2924" s="4">
        <v>23.655811320358328</v>
      </c>
      <c r="E2924" s="4">
        <v>27.243712711388891</v>
      </c>
      <c r="F2924" s="4">
        <v>27.878405023075</v>
      </c>
      <c r="G2924" s="4">
        <v>17.899999999999999</v>
      </c>
      <c r="H2924" s="5">
        <v>59.368612913425011</v>
      </c>
      <c r="I2924" s="5">
        <v>48.753096546283331</v>
      </c>
      <c r="J2924" s="5">
        <v>49.252181294102783</v>
      </c>
      <c r="K2924" s="5">
        <v>92</v>
      </c>
    </row>
    <row r="2925" spans="1:11" x14ac:dyDescent="0.25">
      <c r="A2925" s="2">
        <v>46219.25</v>
      </c>
      <c r="B2925" t="str">
        <f t="shared" si="90"/>
        <v>2026-07</v>
      </c>
      <c r="C2925" s="3">
        <f t="shared" si="91"/>
        <v>6</v>
      </c>
      <c r="D2925" s="4">
        <v>24.699301549147229</v>
      </c>
      <c r="E2925" s="4">
        <v>27.372852031375</v>
      </c>
      <c r="F2925" s="4">
        <v>27.862420760733329</v>
      </c>
      <c r="G2925" s="4">
        <v>18.2</v>
      </c>
      <c r="H2925" s="5">
        <v>55.14984038391389</v>
      </c>
      <c r="I2925" s="5">
        <v>48.199850762088893</v>
      </c>
      <c r="J2925" s="5">
        <v>49.263830290700007</v>
      </c>
      <c r="K2925" s="5">
        <v>90</v>
      </c>
    </row>
    <row r="2926" spans="1:11" x14ac:dyDescent="0.25">
      <c r="A2926" s="2">
        <v>46219.291666666657</v>
      </c>
      <c r="B2926" t="str">
        <f t="shared" si="90"/>
        <v>2026-07</v>
      </c>
      <c r="C2926" s="3">
        <f t="shared" si="91"/>
        <v>7</v>
      </c>
      <c r="D2926" s="4">
        <v>25.923564036449999</v>
      </c>
      <c r="E2926" s="4">
        <v>27.720412224488889</v>
      </c>
      <c r="F2926" s="4">
        <v>27.863710749136111</v>
      </c>
      <c r="G2926" s="4">
        <v>19</v>
      </c>
      <c r="H2926" s="5">
        <v>50.431681909072218</v>
      </c>
      <c r="I2926" s="5">
        <v>46.741661093694439</v>
      </c>
      <c r="J2926" s="5">
        <v>49.178270116436117</v>
      </c>
      <c r="K2926" s="5">
        <v>83</v>
      </c>
    </row>
    <row r="2927" spans="1:11" x14ac:dyDescent="0.25">
      <c r="A2927" s="2">
        <v>46219.333333333343</v>
      </c>
      <c r="B2927" t="str">
        <f t="shared" si="90"/>
        <v>2026-07</v>
      </c>
      <c r="C2927" s="3">
        <f t="shared" si="91"/>
        <v>8</v>
      </c>
      <c r="D2927" s="4">
        <v>26.679156262897219</v>
      </c>
      <c r="E2927" s="4">
        <v>27.986100622494451</v>
      </c>
      <c r="F2927" s="4">
        <v>27.888161633925002</v>
      </c>
      <c r="G2927" s="4">
        <v>20.100000000000001</v>
      </c>
      <c r="H2927" s="5">
        <v>47.546626919025002</v>
      </c>
      <c r="I2927" s="5">
        <v>45.309952751711123</v>
      </c>
      <c r="J2927" s="5">
        <v>49.089084725591668</v>
      </c>
      <c r="K2927" s="5">
        <v>76</v>
      </c>
    </row>
    <row r="2928" spans="1:11" x14ac:dyDescent="0.25">
      <c r="A2928" s="2">
        <v>46219.375</v>
      </c>
      <c r="B2928" t="str">
        <f t="shared" si="90"/>
        <v>2026-07</v>
      </c>
      <c r="C2928" s="3">
        <f t="shared" si="91"/>
        <v>9</v>
      </c>
      <c r="D2928" s="4">
        <v>26.840757416986111</v>
      </c>
      <c r="E2928" s="4">
        <v>28.024168784822219</v>
      </c>
      <c r="F2928" s="4">
        <v>28.050871742519451</v>
      </c>
      <c r="G2928" s="4">
        <v>21.3</v>
      </c>
      <c r="H2928" s="5">
        <v>47.709957281722218</v>
      </c>
      <c r="I2928" s="5">
        <v>45.155776455844453</v>
      </c>
      <c r="J2928" s="5">
        <v>48.757124416391669</v>
      </c>
      <c r="K2928" s="5">
        <v>69</v>
      </c>
    </row>
    <row r="2929" spans="1:11" x14ac:dyDescent="0.25">
      <c r="A2929" s="2">
        <v>46219.416666666657</v>
      </c>
      <c r="B2929" t="str">
        <f t="shared" si="90"/>
        <v>2026-07</v>
      </c>
      <c r="C2929" s="3">
        <f t="shared" si="91"/>
        <v>10</v>
      </c>
      <c r="D2929" s="4">
        <v>26.86714907935</v>
      </c>
      <c r="E2929" s="4">
        <v>28.377708190561108</v>
      </c>
      <c r="F2929" s="4">
        <v>27.95134313437778</v>
      </c>
      <c r="G2929" s="4">
        <v>22.4</v>
      </c>
      <c r="H2929" s="5">
        <v>47.151791040636112</v>
      </c>
      <c r="I2929" s="5">
        <v>50.318528707358332</v>
      </c>
      <c r="J2929" s="5">
        <v>49.00620973715278</v>
      </c>
      <c r="K2929" s="5">
        <v>62</v>
      </c>
    </row>
    <row r="2930" spans="1:11" x14ac:dyDescent="0.25">
      <c r="A2930" s="2">
        <v>46219.458333333343</v>
      </c>
      <c r="B2930" t="str">
        <f t="shared" si="90"/>
        <v>2026-07</v>
      </c>
      <c r="C2930" s="3">
        <f t="shared" si="91"/>
        <v>11</v>
      </c>
      <c r="D2930" s="4">
        <v>26.998076262441671</v>
      </c>
      <c r="E2930" s="4">
        <v>28.3681878344</v>
      </c>
      <c r="F2930" s="4">
        <v>27.90563855975833</v>
      </c>
      <c r="G2930" s="4">
        <v>23.6</v>
      </c>
      <c r="H2930" s="5">
        <v>42.875973833811109</v>
      </c>
      <c r="I2930" s="5">
        <v>45.454476606711097</v>
      </c>
      <c r="J2930" s="5">
        <v>49.197282259469439</v>
      </c>
      <c r="K2930" s="5">
        <v>55</v>
      </c>
    </row>
    <row r="2931" spans="1:11" x14ac:dyDescent="0.25">
      <c r="A2931" s="2">
        <v>46219.5</v>
      </c>
      <c r="B2931" t="str">
        <f t="shared" si="90"/>
        <v>2026-07</v>
      </c>
      <c r="C2931" s="3">
        <f t="shared" si="91"/>
        <v>12</v>
      </c>
      <c r="D2931" s="4">
        <v>26.014609582036108</v>
      </c>
      <c r="E2931" s="4">
        <v>28.028462749319441</v>
      </c>
      <c r="F2931" s="4">
        <v>27.92739688763611</v>
      </c>
      <c r="G2931" s="4">
        <v>23.9</v>
      </c>
      <c r="H2931" s="5">
        <v>39.738532897377773</v>
      </c>
      <c r="I2931" s="5">
        <v>40.206290199694443</v>
      </c>
      <c r="J2931" s="5">
        <v>49.079919165227778</v>
      </c>
      <c r="K2931" s="5">
        <v>49</v>
      </c>
    </row>
    <row r="2932" spans="1:11" x14ac:dyDescent="0.25">
      <c r="A2932" s="2">
        <v>46219.541666666657</v>
      </c>
      <c r="B2932" t="str">
        <f t="shared" si="90"/>
        <v>2026-07</v>
      </c>
      <c r="C2932" s="3">
        <f t="shared" si="91"/>
        <v>13</v>
      </c>
      <c r="D2932" s="4">
        <v>25.75047871318333</v>
      </c>
      <c r="E2932" s="4">
        <v>27.651226814680559</v>
      </c>
      <c r="F2932" s="4">
        <v>27.896599443827778</v>
      </c>
      <c r="G2932" s="4">
        <v>24.5</v>
      </c>
      <c r="H2932" s="5">
        <v>42.292556798777767</v>
      </c>
      <c r="I2932" s="5">
        <v>39.85104259344444</v>
      </c>
      <c r="J2932" s="5">
        <v>48.823520647380562</v>
      </c>
      <c r="K2932" s="5">
        <v>43</v>
      </c>
    </row>
    <row r="2933" spans="1:11" x14ac:dyDescent="0.25">
      <c r="A2933" s="2">
        <v>46219.583333333343</v>
      </c>
      <c r="B2933" t="str">
        <f t="shared" si="90"/>
        <v>2026-07</v>
      </c>
      <c r="C2933" s="3">
        <f t="shared" si="91"/>
        <v>14</v>
      </c>
      <c r="D2933" s="4">
        <v>26.26230405404722</v>
      </c>
      <c r="E2933" s="4">
        <v>27.620902759444441</v>
      </c>
      <c r="F2933" s="4">
        <v>27.903479789369442</v>
      </c>
      <c r="G2933" s="4">
        <v>24.7</v>
      </c>
      <c r="H2933" s="5">
        <v>50.617563218500003</v>
      </c>
      <c r="I2933" s="5">
        <v>47.05112944291389</v>
      </c>
      <c r="J2933" s="5">
        <v>49.124748990616673</v>
      </c>
      <c r="K2933" s="5">
        <v>42</v>
      </c>
    </row>
    <row r="2934" spans="1:11" x14ac:dyDescent="0.25">
      <c r="A2934" s="2">
        <v>46219.625</v>
      </c>
      <c r="B2934" t="str">
        <f t="shared" si="90"/>
        <v>2026-07</v>
      </c>
      <c r="C2934" s="3">
        <f t="shared" si="91"/>
        <v>15</v>
      </c>
      <c r="D2934" s="4">
        <v>26.48015076005278</v>
      </c>
      <c r="E2934" s="4">
        <v>27.921485505324998</v>
      </c>
      <c r="F2934" s="4">
        <v>28.072140397330561</v>
      </c>
      <c r="G2934" s="4">
        <v>25.3</v>
      </c>
      <c r="H2934" s="5">
        <v>51.004041875875011</v>
      </c>
      <c r="I2934" s="5">
        <v>48.39262463984722</v>
      </c>
      <c r="J2934" s="5">
        <v>49.888977347450002</v>
      </c>
      <c r="K2934" s="5">
        <v>41</v>
      </c>
    </row>
    <row r="2935" spans="1:11" x14ac:dyDescent="0.25">
      <c r="A2935" s="2">
        <v>46219.666666666657</v>
      </c>
      <c r="B2935" t="str">
        <f t="shared" si="90"/>
        <v>2026-07</v>
      </c>
      <c r="C2935" s="3">
        <f t="shared" si="91"/>
        <v>16</v>
      </c>
      <c r="D2935" s="4">
        <v>26.28631008052778</v>
      </c>
      <c r="E2935" s="4">
        <v>27.878058644738889</v>
      </c>
      <c r="F2935" s="4">
        <v>28.210605110969439</v>
      </c>
      <c r="G2935" s="4">
        <v>25.2</v>
      </c>
      <c r="H2935" s="5">
        <v>51.20504655858889</v>
      </c>
      <c r="I2935" s="5">
        <v>48.059478935649999</v>
      </c>
      <c r="J2935" s="5">
        <v>50.093608943094438</v>
      </c>
      <c r="K2935" s="5">
        <v>40</v>
      </c>
    </row>
    <row r="2936" spans="1:11" x14ac:dyDescent="0.25">
      <c r="A2936" s="2">
        <v>46219.708333333343</v>
      </c>
      <c r="B2936" t="str">
        <f t="shared" si="90"/>
        <v>2026-07</v>
      </c>
      <c r="C2936" s="3">
        <f t="shared" si="91"/>
        <v>17</v>
      </c>
      <c r="D2936" s="4">
        <v>25.23846876196944</v>
      </c>
      <c r="E2936" s="4">
        <v>27.492004145536111</v>
      </c>
      <c r="F2936" s="4">
        <v>28.044906810299999</v>
      </c>
      <c r="G2936" s="4">
        <v>25</v>
      </c>
      <c r="H2936" s="5">
        <v>46.284472001794448</v>
      </c>
      <c r="I2936" s="5">
        <v>43.030723587252773</v>
      </c>
      <c r="J2936" s="5">
        <v>49.629557609847218</v>
      </c>
      <c r="K2936" s="5">
        <v>40</v>
      </c>
    </row>
    <row r="2937" spans="1:11" x14ac:dyDescent="0.25">
      <c r="A2937" s="2">
        <v>46219.75</v>
      </c>
      <c r="B2937" t="str">
        <f t="shared" si="90"/>
        <v>2026-07</v>
      </c>
      <c r="C2937" s="3">
        <f t="shared" si="91"/>
        <v>18</v>
      </c>
      <c r="D2937" s="4">
        <v>25.968369242836111</v>
      </c>
      <c r="E2937" s="4">
        <v>27.581745993233341</v>
      </c>
      <c r="F2937" s="4">
        <v>27.990800276000002</v>
      </c>
      <c r="G2937" s="4">
        <v>24.4</v>
      </c>
      <c r="H2937" s="5">
        <v>54.920282428219437</v>
      </c>
      <c r="I2937" s="5">
        <v>50.352376964330553</v>
      </c>
      <c r="J2937" s="5">
        <v>49.538149540466669</v>
      </c>
      <c r="K2937" s="5">
        <v>44</v>
      </c>
    </row>
    <row r="2938" spans="1:11" x14ac:dyDescent="0.25">
      <c r="A2938" s="2">
        <v>46219.791666666657</v>
      </c>
      <c r="B2938" t="str">
        <f t="shared" si="90"/>
        <v>2026-07</v>
      </c>
      <c r="C2938" s="3">
        <f t="shared" si="91"/>
        <v>19</v>
      </c>
      <c r="D2938" s="4">
        <v>26.381386498800001</v>
      </c>
      <c r="E2938" s="4">
        <v>27.961635115305551</v>
      </c>
      <c r="F2938" s="4">
        <v>27.996005940827771</v>
      </c>
      <c r="G2938" s="4">
        <v>23.5</v>
      </c>
      <c r="H2938" s="5">
        <v>53.83956553474723</v>
      </c>
      <c r="I2938" s="5">
        <v>50.367644811441671</v>
      </c>
      <c r="J2938" s="5">
        <v>49.583305973613882</v>
      </c>
      <c r="K2938" s="5">
        <v>50</v>
      </c>
    </row>
    <row r="2939" spans="1:11" x14ac:dyDescent="0.25">
      <c r="A2939" s="2">
        <v>46219.833333333343</v>
      </c>
      <c r="B2939" t="str">
        <f t="shared" si="90"/>
        <v>2026-07</v>
      </c>
      <c r="C2939" s="3">
        <f t="shared" si="91"/>
        <v>20</v>
      </c>
      <c r="D2939" s="4">
        <v>26.418472488019439</v>
      </c>
      <c r="E2939" s="4">
        <v>27.843220825027782</v>
      </c>
      <c r="F2939" s="4">
        <v>27.993833331286108</v>
      </c>
      <c r="G2939" s="4">
        <v>22.5</v>
      </c>
      <c r="H2939" s="5">
        <v>50.320391869552772</v>
      </c>
      <c r="I2939" s="5">
        <v>48.551418623313893</v>
      </c>
      <c r="J2939" s="5">
        <v>49.568638620975001</v>
      </c>
      <c r="K2939" s="5">
        <v>56</v>
      </c>
    </row>
    <row r="2940" spans="1:11" x14ac:dyDescent="0.25">
      <c r="A2940" s="2">
        <v>46219.875</v>
      </c>
      <c r="B2940" t="str">
        <f t="shared" si="90"/>
        <v>2026-07</v>
      </c>
      <c r="C2940" s="3">
        <f t="shared" si="91"/>
        <v>21</v>
      </c>
      <c r="D2940" s="4">
        <v>25.611875364202771</v>
      </c>
      <c r="E2940" s="4">
        <v>27.336951961911112</v>
      </c>
      <c r="F2940" s="4">
        <v>28.046396132341659</v>
      </c>
      <c r="G2940" s="4">
        <v>21.3</v>
      </c>
      <c r="H2940" s="5">
        <v>45.42571779293889</v>
      </c>
      <c r="I2940" s="5">
        <v>45.055932624855558</v>
      </c>
      <c r="J2940" s="5">
        <v>49.41135894598056</v>
      </c>
      <c r="K2940" s="5">
        <v>62</v>
      </c>
    </row>
    <row r="2941" spans="1:11" x14ac:dyDescent="0.25">
      <c r="A2941" s="2">
        <v>46219.916666666657</v>
      </c>
      <c r="B2941" t="str">
        <f t="shared" si="90"/>
        <v>2026-07</v>
      </c>
      <c r="C2941" s="3">
        <f t="shared" si="91"/>
        <v>22</v>
      </c>
      <c r="D2941" s="4">
        <v>25.653912984358328</v>
      </c>
      <c r="E2941" s="4">
        <v>27.58113702776112</v>
      </c>
      <c r="F2941" s="4">
        <v>28.216805679961109</v>
      </c>
      <c r="G2941" s="4">
        <v>20.3</v>
      </c>
      <c r="H2941" s="5">
        <v>45.768897983544441</v>
      </c>
      <c r="I2941" s="5">
        <v>44.37083962533611</v>
      </c>
      <c r="J2941" s="5">
        <v>49.030384971038892</v>
      </c>
      <c r="K2941" s="5">
        <v>67</v>
      </c>
    </row>
    <row r="2942" spans="1:11" x14ac:dyDescent="0.25">
      <c r="A2942" s="2">
        <v>46219.958333333343</v>
      </c>
      <c r="B2942" t="str">
        <f t="shared" si="90"/>
        <v>2026-07</v>
      </c>
      <c r="C2942" s="3">
        <f t="shared" si="91"/>
        <v>23</v>
      </c>
      <c r="D2942" s="4">
        <v>24.20987019570833</v>
      </c>
      <c r="E2942" s="4">
        <v>26.994625384333329</v>
      </c>
      <c r="F2942" s="4">
        <v>28.255682961286109</v>
      </c>
      <c r="G2942" s="4">
        <v>19.5</v>
      </c>
      <c r="H2942" s="5">
        <v>40.747406972758327</v>
      </c>
      <c r="I2942" s="5">
        <v>37.917627261733337</v>
      </c>
      <c r="J2942" s="5">
        <v>48.077666038575003</v>
      </c>
      <c r="K2942" s="5">
        <v>72</v>
      </c>
    </row>
    <row r="2943" spans="1:11" x14ac:dyDescent="0.25">
      <c r="A2943" s="2">
        <v>46220</v>
      </c>
      <c r="B2943" t="str">
        <f t="shared" si="90"/>
        <v>2026-07</v>
      </c>
      <c r="C2943" s="3">
        <f t="shared" si="91"/>
        <v>0</v>
      </c>
      <c r="D2943" s="4">
        <v>25.300989070975</v>
      </c>
      <c r="E2943" s="4">
        <v>27.284476464200001</v>
      </c>
      <c r="F2943" s="4">
        <v>28.08663952779445</v>
      </c>
      <c r="G2943" s="4">
        <v>19</v>
      </c>
      <c r="H2943" s="5">
        <v>46.434066184236109</v>
      </c>
      <c r="I2943" s="5">
        <v>44.156218446499999</v>
      </c>
      <c r="J2943" s="5">
        <v>47.966120848494448</v>
      </c>
      <c r="K2943" s="5">
        <v>75</v>
      </c>
    </row>
    <row r="2944" spans="1:11" x14ac:dyDescent="0.25">
      <c r="A2944" s="2">
        <v>46220.041666666657</v>
      </c>
      <c r="B2944" t="str">
        <f t="shared" si="90"/>
        <v>2026-07</v>
      </c>
      <c r="C2944" s="3">
        <f t="shared" si="91"/>
        <v>1</v>
      </c>
      <c r="D2944" s="4">
        <v>23.88267067352778</v>
      </c>
      <c r="E2944" s="4">
        <v>27.266023947080551</v>
      </c>
      <c r="F2944" s="4">
        <v>28.531637513494449</v>
      </c>
      <c r="G2944" s="4">
        <v>18.2</v>
      </c>
      <c r="H2944" s="5">
        <v>54.068225592613892</v>
      </c>
      <c r="I2944" s="5">
        <v>46.340597906663888</v>
      </c>
      <c r="J2944" s="5">
        <v>48.502644530405547</v>
      </c>
      <c r="K2944" s="5">
        <v>77</v>
      </c>
    </row>
    <row r="2945" spans="1:11" x14ac:dyDescent="0.25">
      <c r="A2945" s="2">
        <v>46220.083333333343</v>
      </c>
      <c r="B2945" t="str">
        <f t="shared" si="90"/>
        <v>2026-07</v>
      </c>
      <c r="C2945" s="3">
        <f t="shared" si="91"/>
        <v>2</v>
      </c>
      <c r="D2945" s="4">
        <v>22.967273176425</v>
      </c>
      <c r="E2945" s="4">
        <v>26.655893334491669</v>
      </c>
      <c r="F2945" s="4">
        <v>28.538043835719449</v>
      </c>
      <c r="G2945" s="4">
        <v>17.399999999999999</v>
      </c>
      <c r="H2945" s="5">
        <v>56.041399129577783</v>
      </c>
      <c r="I2945" s="5">
        <v>47.108773205061112</v>
      </c>
      <c r="J2945" s="5">
        <v>48.906851473786112</v>
      </c>
      <c r="K2945" s="5">
        <v>81</v>
      </c>
    </row>
    <row r="2946" spans="1:11" x14ac:dyDescent="0.25">
      <c r="A2946" s="2">
        <v>46220.125</v>
      </c>
      <c r="B2946" t="str">
        <f t="shared" ref="B2946:B3009" si="92">TEXT(A2946,"yyyy-mm")</f>
        <v>2026-07</v>
      </c>
      <c r="C2946" s="3">
        <f t="shared" ref="C2946:C3009" si="93">HOUR(A2946)</f>
        <v>3</v>
      </c>
      <c r="D2946" s="4">
        <v>22.791215327730551</v>
      </c>
      <c r="E2946" s="4">
        <v>26.420496273122222</v>
      </c>
      <c r="F2946" s="4">
        <v>28.553705356963889</v>
      </c>
      <c r="G2946" s="4">
        <v>16.2</v>
      </c>
      <c r="H2946" s="5">
        <v>54.60637933513889</v>
      </c>
      <c r="I2946" s="5">
        <v>46.259998650466663</v>
      </c>
      <c r="J2946" s="5">
        <v>49.053513271258332</v>
      </c>
      <c r="K2946" s="5">
        <v>87</v>
      </c>
    </row>
    <row r="2947" spans="1:11" x14ac:dyDescent="0.25">
      <c r="A2947" s="2">
        <v>46220.166666666657</v>
      </c>
      <c r="B2947" t="str">
        <f t="shared" si="92"/>
        <v>2026-07</v>
      </c>
      <c r="C2947" s="3">
        <f t="shared" si="93"/>
        <v>4</v>
      </c>
      <c r="D2947" s="4">
        <v>22.71770080591666</v>
      </c>
      <c r="E2947" s="4">
        <v>25.966264353786109</v>
      </c>
      <c r="F2947" s="4">
        <v>28.628844931225</v>
      </c>
      <c r="G2947" s="4">
        <v>15.8</v>
      </c>
      <c r="H2947" s="5">
        <v>51.752088513355552</v>
      </c>
      <c r="I2947" s="5">
        <v>44.704649606661121</v>
      </c>
      <c r="J2947" s="5">
        <v>48.843565514816667</v>
      </c>
      <c r="K2947" s="5">
        <v>89</v>
      </c>
    </row>
    <row r="2948" spans="1:11" x14ac:dyDescent="0.25">
      <c r="A2948" s="2">
        <v>46220.208333333343</v>
      </c>
      <c r="B2948" t="str">
        <f t="shared" si="92"/>
        <v>2026-07</v>
      </c>
      <c r="C2948" s="3">
        <f t="shared" si="93"/>
        <v>5</v>
      </c>
      <c r="D2948" s="4">
        <v>23.244771905736108</v>
      </c>
      <c r="E2948" s="4">
        <v>25.63022847758889</v>
      </c>
      <c r="F2948" s="4">
        <v>28.663011728311108</v>
      </c>
      <c r="G2948" s="4">
        <v>15.4</v>
      </c>
      <c r="H2948" s="5">
        <v>48.408364362044438</v>
      </c>
      <c r="I2948" s="5">
        <v>43.348280119136113</v>
      </c>
      <c r="J2948" s="5">
        <v>48.52853805056111</v>
      </c>
      <c r="K2948" s="5">
        <v>88</v>
      </c>
    </row>
    <row r="2949" spans="1:11" x14ac:dyDescent="0.25">
      <c r="A2949" s="2">
        <v>46220.25</v>
      </c>
      <c r="B2949" t="str">
        <f t="shared" si="92"/>
        <v>2026-07</v>
      </c>
      <c r="C2949" s="3">
        <f t="shared" si="93"/>
        <v>6</v>
      </c>
      <c r="D2949" s="4">
        <v>24.04888646914722</v>
      </c>
      <c r="E2949" s="4">
        <v>25.577076575313889</v>
      </c>
      <c r="F2949" s="4">
        <v>28.685951744363891</v>
      </c>
      <c r="G2949" s="4">
        <v>15.4</v>
      </c>
      <c r="H2949" s="5">
        <v>44.516380549133338</v>
      </c>
      <c r="I2949" s="5">
        <v>41.963211310097229</v>
      </c>
      <c r="J2949" s="5">
        <v>48.209117246797227</v>
      </c>
      <c r="K2949" s="5">
        <v>79</v>
      </c>
    </row>
    <row r="2950" spans="1:11" x14ac:dyDescent="0.25">
      <c r="A2950" s="2">
        <v>46220.291666666657</v>
      </c>
      <c r="B2950" t="str">
        <f t="shared" si="92"/>
        <v>2026-07</v>
      </c>
      <c r="C2950" s="3">
        <f t="shared" si="93"/>
        <v>7</v>
      </c>
      <c r="D2950" s="4">
        <v>24.625404395363891</v>
      </c>
      <c r="E2950" s="4">
        <v>25.599550574855559</v>
      </c>
      <c r="F2950" s="4">
        <v>28.697563723944441</v>
      </c>
      <c r="G2950" s="4">
        <v>15.8</v>
      </c>
      <c r="H2950" s="5">
        <v>41.084424200266668</v>
      </c>
      <c r="I2950" s="5">
        <v>40.077663042383342</v>
      </c>
      <c r="J2950" s="5">
        <v>47.806248357599998</v>
      </c>
      <c r="K2950" s="5">
        <v>70</v>
      </c>
    </row>
    <row r="2951" spans="1:11" x14ac:dyDescent="0.25">
      <c r="A2951" s="2">
        <v>46220.333333333343</v>
      </c>
      <c r="B2951" t="str">
        <f t="shared" si="92"/>
        <v>2026-07</v>
      </c>
      <c r="C2951" s="3">
        <f t="shared" si="93"/>
        <v>8</v>
      </c>
      <c r="D2951" s="4">
        <v>25.11308633746944</v>
      </c>
      <c r="E2951" s="4">
        <v>25.593196073880559</v>
      </c>
      <c r="F2951" s="4">
        <v>28.710381004980562</v>
      </c>
      <c r="G2951" s="4">
        <v>16.8</v>
      </c>
      <c r="H2951" s="5">
        <v>37.372333748955562</v>
      </c>
      <c r="I2951" s="5">
        <v>37.839073544625002</v>
      </c>
      <c r="J2951" s="5">
        <v>47.443930923800004</v>
      </c>
      <c r="K2951" s="5">
        <v>61</v>
      </c>
    </row>
    <row r="2952" spans="1:11" x14ac:dyDescent="0.25">
      <c r="A2952" s="2">
        <v>46220.375</v>
      </c>
      <c r="B2952" t="str">
        <f t="shared" si="92"/>
        <v>2026-07</v>
      </c>
      <c r="C2952" s="3">
        <f t="shared" si="93"/>
        <v>9</v>
      </c>
      <c r="D2952" s="4">
        <v>25.686841566236112</v>
      </c>
      <c r="E2952" s="4">
        <v>25.959626483200001</v>
      </c>
      <c r="F2952" s="4">
        <v>28.723942464563891</v>
      </c>
      <c r="G2952" s="4">
        <v>18.100000000000001</v>
      </c>
      <c r="H2952" s="5">
        <v>33.931795654727779</v>
      </c>
      <c r="I2952" s="5">
        <v>35.736540089308328</v>
      </c>
      <c r="J2952" s="5">
        <v>47.019242435324998</v>
      </c>
      <c r="K2952" s="5">
        <v>53</v>
      </c>
    </row>
    <row r="2953" spans="1:11" x14ac:dyDescent="0.25">
      <c r="A2953" s="2">
        <v>46220.416666666657</v>
      </c>
      <c r="B2953" t="str">
        <f t="shared" si="92"/>
        <v>2026-07</v>
      </c>
      <c r="C2953" s="3">
        <f t="shared" si="93"/>
        <v>10</v>
      </c>
      <c r="D2953" s="4">
        <v>25.684185667308331</v>
      </c>
      <c r="E2953" s="4">
        <v>26.447557633705561</v>
      </c>
      <c r="F2953" s="4">
        <v>27.972254196019449</v>
      </c>
      <c r="G2953" s="4">
        <v>18.899999999999999</v>
      </c>
      <c r="H2953" s="5">
        <v>32.788378290297217</v>
      </c>
      <c r="I2953" s="5">
        <v>35.514254790505547</v>
      </c>
      <c r="J2953" s="5">
        <v>42.588209814211112</v>
      </c>
      <c r="K2953" s="5">
        <v>47</v>
      </c>
    </row>
    <row r="2954" spans="1:11" x14ac:dyDescent="0.25">
      <c r="A2954" s="2">
        <v>46220.458333333343</v>
      </c>
      <c r="B2954" t="str">
        <f t="shared" si="92"/>
        <v>2026-07</v>
      </c>
      <c r="C2954" s="3">
        <f t="shared" si="93"/>
        <v>11</v>
      </c>
      <c r="D2954" s="4">
        <v>25.76277350490556</v>
      </c>
      <c r="E2954" s="4">
        <v>26.649515057513891</v>
      </c>
      <c r="F2954" s="4">
        <v>28.228654455791659</v>
      </c>
      <c r="G2954" s="4">
        <v>19.7</v>
      </c>
      <c r="H2954" s="5">
        <v>30.645457897080561</v>
      </c>
      <c r="I2954" s="5">
        <v>34.594446878500001</v>
      </c>
      <c r="J2954" s="5">
        <v>44.467923253288888</v>
      </c>
      <c r="K2954" s="5">
        <v>44</v>
      </c>
    </row>
    <row r="2955" spans="1:11" x14ac:dyDescent="0.25">
      <c r="A2955" s="2">
        <v>46220.5</v>
      </c>
      <c r="B2955" t="str">
        <f t="shared" si="92"/>
        <v>2026-07</v>
      </c>
      <c r="C2955" s="3">
        <f t="shared" si="93"/>
        <v>12</v>
      </c>
      <c r="D2955" s="4">
        <v>25.421266075116659</v>
      </c>
      <c r="E2955" s="4">
        <v>26.59614715304167</v>
      </c>
      <c r="F2955" s="4">
        <v>28.502919569688888</v>
      </c>
      <c r="G2955" s="4">
        <v>20.399999999999999</v>
      </c>
      <c r="H2955" s="5">
        <v>31.335929371641669</v>
      </c>
      <c r="I2955" s="5">
        <v>33.420074077222218</v>
      </c>
      <c r="J2955" s="5">
        <v>45.192653544236123</v>
      </c>
      <c r="K2955" s="5">
        <v>42</v>
      </c>
    </row>
    <row r="2956" spans="1:11" x14ac:dyDescent="0.25">
      <c r="A2956" s="2">
        <v>46220.541666666657</v>
      </c>
      <c r="B2956" t="str">
        <f t="shared" si="92"/>
        <v>2026-07</v>
      </c>
      <c r="C2956" s="3">
        <f t="shared" si="93"/>
        <v>13</v>
      </c>
      <c r="D2956" s="4">
        <v>25.243212214041659</v>
      </c>
      <c r="E2956" s="4">
        <v>26.591883531288889</v>
      </c>
      <c r="F2956" s="4">
        <v>28.798610775783331</v>
      </c>
      <c r="G2956" s="4">
        <v>20.9</v>
      </c>
      <c r="H2956" s="5">
        <v>31.713784232855559</v>
      </c>
      <c r="I2956" s="5">
        <v>32.613160512824997</v>
      </c>
      <c r="J2956" s="5">
        <v>44.744196148022219</v>
      </c>
      <c r="K2956" s="5">
        <v>40</v>
      </c>
    </row>
    <row r="2957" spans="1:11" x14ac:dyDescent="0.25">
      <c r="A2957" s="2">
        <v>46220.583333333343</v>
      </c>
      <c r="B2957" t="str">
        <f t="shared" si="92"/>
        <v>2026-07</v>
      </c>
      <c r="C2957" s="3">
        <f t="shared" si="93"/>
        <v>14</v>
      </c>
      <c r="D2957" s="4">
        <v>25.332945209986669</v>
      </c>
      <c r="E2957" s="4">
        <v>26.76313490399334</v>
      </c>
      <c r="F2957" s="4">
        <v>28.226087107550001</v>
      </c>
      <c r="G2957" s="4">
        <v>21.4</v>
      </c>
      <c r="H2957" s="5">
        <v>32.242980302503327</v>
      </c>
      <c r="I2957" s="5">
        <v>34.52318624187</v>
      </c>
      <c r="J2957" s="5">
        <v>41.96791107921333</v>
      </c>
      <c r="K2957" s="5">
        <v>38</v>
      </c>
    </row>
    <row r="2958" spans="1:11" x14ac:dyDescent="0.25">
      <c r="A2958" s="2">
        <v>46220.625</v>
      </c>
      <c r="B2958" t="str">
        <f t="shared" si="92"/>
        <v>2026-07</v>
      </c>
      <c r="C2958" s="3">
        <f t="shared" si="93"/>
        <v>15</v>
      </c>
      <c r="D2958" s="4">
        <v>25.122201232441949</v>
      </c>
      <c r="E2958" s="4">
        <v>26.58670443836467</v>
      </c>
      <c r="F2958" s="4">
        <v>27.759643660897549</v>
      </c>
      <c r="G2958" s="4">
        <v>22.1</v>
      </c>
      <c r="H2958" s="5">
        <v>32.451382878020027</v>
      </c>
      <c r="I2958" s="5">
        <v>33.676048650440052</v>
      </c>
      <c r="J2958" s="5">
        <v>42.900930095420577</v>
      </c>
      <c r="K2958" s="5">
        <v>37</v>
      </c>
    </row>
    <row r="2959" spans="1:11" x14ac:dyDescent="0.25">
      <c r="A2959" s="2">
        <v>46220.666666666657</v>
      </c>
      <c r="B2959" t="str">
        <f t="shared" si="92"/>
        <v>2026-07</v>
      </c>
      <c r="C2959" s="3">
        <f t="shared" si="93"/>
        <v>16</v>
      </c>
      <c r="D2959" s="4">
        <v>25.165798480766671</v>
      </c>
      <c r="E2959" s="4">
        <v>26.674735871541671</v>
      </c>
      <c r="F2959" s="4">
        <v>27.83571508493333</v>
      </c>
      <c r="G2959" s="4">
        <v>22.3</v>
      </c>
      <c r="H2959" s="5">
        <v>32.303674239599999</v>
      </c>
      <c r="I2959" s="5">
        <v>33.864179545819447</v>
      </c>
      <c r="J2959" s="5">
        <v>42.112003822919448</v>
      </c>
      <c r="K2959" s="5">
        <v>37</v>
      </c>
    </row>
    <row r="2960" spans="1:11" x14ac:dyDescent="0.25">
      <c r="A2960" s="2">
        <v>46220.708333333343</v>
      </c>
      <c r="B2960" t="str">
        <f t="shared" si="92"/>
        <v>2026-07</v>
      </c>
      <c r="C2960" s="3">
        <f t="shared" si="93"/>
        <v>17</v>
      </c>
      <c r="D2960" s="4">
        <v>25.23167654552222</v>
      </c>
      <c r="E2960" s="4">
        <v>26.317835353438891</v>
      </c>
      <c r="F2960" s="4">
        <v>28.103433992386108</v>
      </c>
      <c r="G2960" s="4">
        <v>22.1</v>
      </c>
      <c r="H2960" s="5">
        <v>32.252599517880547</v>
      </c>
      <c r="I2960" s="5">
        <v>33.052278970058332</v>
      </c>
      <c r="J2960" s="5">
        <v>43.279521962116668</v>
      </c>
      <c r="K2960" s="5">
        <v>38</v>
      </c>
    </row>
    <row r="2961" spans="1:11" x14ac:dyDescent="0.25">
      <c r="A2961" s="2">
        <v>46220.75</v>
      </c>
      <c r="B2961" t="str">
        <f t="shared" si="92"/>
        <v>2026-07</v>
      </c>
      <c r="C2961" s="3">
        <f t="shared" si="93"/>
        <v>18</v>
      </c>
      <c r="D2961" s="4">
        <v>25.134848043522229</v>
      </c>
      <c r="E2961" s="4">
        <v>25.978137611105559</v>
      </c>
      <c r="F2961" s="4">
        <v>28.330624429408331</v>
      </c>
      <c r="G2961" s="4">
        <v>21.5</v>
      </c>
      <c r="H2961" s="5">
        <v>33.541481623872222</v>
      </c>
      <c r="I2961" s="5">
        <v>33.954506368394448</v>
      </c>
      <c r="J2961" s="5">
        <v>43.78787561264722</v>
      </c>
      <c r="K2961" s="5">
        <v>39</v>
      </c>
    </row>
    <row r="2962" spans="1:11" x14ac:dyDescent="0.25">
      <c r="A2962" s="2">
        <v>46220.791666666657</v>
      </c>
      <c r="B2962" t="str">
        <f t="shared" si="92"/>
        <v>2026-07</v>
      </c>
      <c r="C2962" s="3">
        <f t="shared" si="93"/>
        <v>19</v>
      </c>
      <c r="D2962" s="4">
        <v>24.982963798197229</v>
      </c>
      <c r="E2962" s="4">
        <v>25.827029638416661</v>
      </c>
      <c r="F2962" s="4">
        <v>28.353991800749998</v>
      </c>
      <c r="G2962" s="4">
        <v>20.7</v>
      </c>
      <c r="H2962" s="5">
        <v>34.333043734061107</v>
      </c>
      <c r="I2962" s="5">
        <v>34.670942404905553</v>
      </c>
      <c r="J2962" s="5">
        <v>43.211316437661111</v>
      </c>
      <c r="K2962" s="5">
        <v>41</v>
      </c>
    </row>
    <row r="2963" spans="1:11" x14ac:dyDescent="0.25">
      <c r="A2963" s="2">
        <v>46220.833333333343</v>
      </c>
      <c r="B2963" t="str">
        <f t="shared" si="92"/>
        <v>2026-07</v>
      </c>
      <c r="C2963" s="3">
        <f t="shared" si="93"/>
        <v>20</v>
      </c>
      <c r="D2963" s="4">
        <v>24.589239054941672</v>
      </c>
      <c r="E2963" s="4">
        <v>26.21423841949445</v>
      </c>
      <c r="F2963" s="4">
        <v>27.452100771816671</v>
      </c>
      <c r="G2963" s="4">
        <v>19.899999999999999</v>
      </c>
      <c r="H2963" s="5">
        <v>36.066377225552777</v>
      </c>
      <c r="I2963" s="5">
        <v>35.196245329158337</v>
      </c>
      <c r="J2963" s="5">
        <v>42.076358396680561</v>
      </c>
      <c r="K2963" s="5">
        <v>43</v>
      </c>
    </row>
    <row r="2964" spans="1:11" x14ac:dyDescent="0.25">
      <c r="A2964" s="2">
        <v>46220.875</v>
      </c>
      <c r="B2964" t="str">
        <f t="shared" si="92"/>
        <v>2026-07</v>
      </c>
      <c r="C2964" s="3">
        <f t="shared" si="93"/>
        <v>21</v>
      </c>
      <c r="D2964" s="4">
        <v>24.370921324072221</v>
      </c>
      <c r="E2964" s="4">
        <v>26.223714789808341</v>
      </c>
      <c r="F2964" s="4">
        <v>27.687191946016672</v>
      </c>
      <c r="G2964" s="4">
        <v>18.7</v>
      </c>
      <c r="H2964" s="5">
        <v>36.880017694750002</v>
      </c>
      <c r="I2964" s="5">
        <v>36.728313062036108</v>
      </c>
      <c r="J2964" s="5">
        <v>43.070775543849997</v>
      </c>
      <c r="K2964" s="5">
        <v>48</v>
      </c>
    </row>
    <row r="2965" spans="1:11" x14ac:dyDescent="0.25">
      <c r="A2965" s="2">
        <v>46220.916666666657</v>
      </c>
      <c r="B2965" t="str">
        <f t="shared" si="92"/>
        <v>2026-07</v>
      </c>
      <c r="C2965" s="3">
        <f t="shared" si="93"/>
        <v>22</v>
      </c>
      <c r="D2965" s="4">
        <v>24.130403993247221</v>
      </c>
      <c r="E2965" s="4">
        <v>26.36840576217222</v>
      </c>
      <c r="F2965" s="4">
        <v>28.21656555306112</v>
      </c>
      <c r="G2965" s="4">
        <v>17.899999999999999</v>
      </c>
      <c r="H2965" s="5">
        <v>36.686823173958331</v>
      </c>
      <c r="I2965" s="5">
        <v>36.826903129308327</v>
      </c>
      <c r="J2965" s="5">
        <v>43.460891715369449</v>
      </c>
      <c r="K2965" s="5">
        <v>51</v>
      </c>
    </row>
    <row r="2966" spans="1:11" x14ac:dyDescent="0.25">
      <c r="A2966" s="2">
        <v>46220.958333333343</v>
      </c>
      <c r="B2966" t="str">
        <f t="shared" si="92"/>
        <v>2026-07</v>
      </c>
      <c r="C2966" s="3">
        <f t="shared" si="93"/>
        <v>23</v>
      </c>
      <c r="D2966" s="4">
        <v>23.466222486972221</v>
      </c>
      <c r="E2966" s="4">
        <v>26.330017023816669</v>
      </c>
      <c r="F2966" s="4">
        <v>28.35065192081111</v>
      </c>
      <c r="G2966" s="4">
        <v>17.100000000000001</v>
      </c>
      <c r="H2966" s="5">
        <v>37.886334476230559</v>
      </c>
      <c r="I2966" s="5">
        <v>36.792522365780563</v>
      </c>
      <c r="J2966" s="5">
        <v>42.828714817749997</v>
      </c>
      <c r="K2966" s="5">
        <v>54</v>
      </c>
    </row>
    <row r="2967" spans="1:11" x14ac:dyDescent="0.25">
      <c r="A2967" s="2">
        <v>46221</v>
      </c>
      <c r="B2967" t="str">
        <f t="shared" si="92"/>
        <v>2026-07</v>
      </c>
      <c r="C2967" s="3">
        <f t="shared" si="93"/>
        <v>0</v>
      </c>
      <c r="D2967" s="4">
        <v>23.598698974411111</v>
      </c>
      <c r="E2967" s="4">
        <v>26.370846539424999</v>
      </c>
      <c r="F2967" s="4">
        <v>28.523583959105551</v>
      </c>
      <c r="G2967" s="4">
        <v>16.399999999999999</v>
      </c>
      <c r="H2967" s="5">
        <v>38.553442422905562</v>
      </c>
      <c r="I2967" s="5">
        <v>37.162743877416673</v>
      </c>
      <c r="J2967" s="5">
        <v>42.87159441544722</v>
      </c>
      <c r="K2967" s="5">
        <v>56</v>
      </c>
    </row>
    <row r="2968" spans="1:11" x14ac:dyDescent="0.25">
      <c r="A2968" s="2">
        <v>46221.041666666657</v>
      </c>
      <c r="B2968" t="str">
        <f t="shared" si="92"/>
        <v>2026-07</v>
      </c>
      <c r="C2968" s="3">
        <f t="shared" si="93"/>
        <v>1</v>
      </c>
      <c r="D2968" s="4">
        <v>23.038694139163891</v>
      </c>
      <c r="E2968" s="4">
        <v>26.322024550652781</v>
      </c>
      <c r="F2968" s="4">
        <v>28.578965208080561</v>
      </c>
      <c r="G2968" s="4">
        <v>15.8</v>
      </c>
      <c r="H2968" s="5">
        <v>39.818651209913888</v>
      </c>
      <c r="I2968" s="5">
        <v>37.178159836716667</v>
      </c>
      <c r="J2968" s="5">
        <v>42.579562539544447</v>
      </c>
      <c r="K2968" s="5">
        <v>59</v>
      </c>
    </row>
    <row r="2969" spans="1:11" x14ac:dyDescent="0.25">
      <c r="A2969" s="2">
        <v>46221.083333333343</v>
      </c>
      <c r="B2969" t="str">
        <f t="shared" si="92"/>
        <v>2026-07</v>
      </c>
      <c r="C2969" s="3">
        <f t="shared" si="93"/>
        <v>2</v>
      </c>
      <c r="D2969" s="4">
        <v>22.321086280971478</v>
      </c>
      <c r="E2969" s="4">
        <v>26.11378602910834</v>
      </c>
      <c r="F2969" s="4">
        <v>28.577944303802781</v>
      </c>
      <c r="G2969" s="4">
        <v>14.9</v>
      </c>
      <c r="H2969" s="5">
        <v>40.719391441754993</v>
      </c>
      <c r="I2969" s="5">
        <v>35.140686880936123</v>
      </c>
      <c r="J2969" s="5">
        <v>42.689721711108341</v>
      </c>
      <c r="K2969" s="5">
        <v>64</v>
      </c>
    </row>
    <row r="2970" spans="1:11" x14ac:dyDescent="0.25">
      <c r="A2970" s="2">
        <v>46221.125</v>
      </c>
      <c r="B2970" t="str">
        <f t="shared" si="92"/>
        <v>2026-07</v>
      </c>
      <c r="C2970" s="3">
        <f t="shared" si="93"/>
        <v>3</v>
      </c>
      <c r="D2970" s="4">
        <v>21.986685939009959</v>
      </c>
      <c r="E2970" s="4">
        <v>26.00680237171666</v>
      </c>
      <c r="F2970" s="4">
        <v>28.529081759158331</v>
      </c>
      <c r="G2970" s="4">
        <v>13.3</v>
      </c>
      <c r="H2970" s="5">
        <v>41.272385807357431</v>
      </c>
      <c r="I2970" s="5">
        <v>34.800702510374997</v>
      </c>
      <c r="J2970" s="5">
        <v>42.706098329338893</v>
      </c>
      <c r="K2970" s="5">
        <v>73</v>
      </c>
    </row>
    <row r="2971" spans="1:11" x14ac:dyDescent="0.25">
      <c r="A2971" s="2">
        <v>46221.166666666657</v>
      </c>
      <c r="B2971" t="str">
        <f t="shared" si="92"/>
        <v>2026-07</v>
      </c>
      <c r="C2971" s="3">
        <f t="shared" si="93"/>
        <v>4</v>
      </c>
      <c r="D2971" s="4"/>
      <c r="E2971" s="4">
        <v>25.909862953605561</v>
      </c>
      <c r="F2971" s="4">
        <v>28.47749099286667</v>
      </c>
      <c r="G2971" s="4">
        <v>12.7</v>
      </c>
      <c r="H2971" s="5"/>
      <c r="I2971" s="5">
        <v>34.85284140466667</v>
      </c>
      <c r="J2971" s="5">
        <v>42.745379542938878</v>
      </c>
      <c r="K2971" s="5">
        <v>77</v>
      </c>
    </row>
    <row r="2972" spans="1:11" x14ac:dyDescent="0.25">
      <c r="A2972" s="2">
        <v>46221.208333333343</v>
      </c>
      <c r="B2972" t="str">
        <f t="shared" si="92"/>
        <v>2026-07</v>
      </c>
      <c r="C2972" s="3">
        <f t="shared" si="93"/>
        <v>5</v>
      </c>
      <c r="D2972" s="4"/>
      <c r="E2972" s="4">
        <v>25.95556736621667</v>
      </c>
      <c r="F2972" s="4">
        <v>28.450853180566671</v>
      </c>
      <c r="G2972" s="4">
        <v>12.4</v>
      </c>
      <c r="H2972" s="5"/>
      <c r="I2972" s="5">
        <v>34.612738641272223</v>
      </c>
      <c r="J2972" s="5">
        <v>42.835498717577771</v>
      </c>
      <c r="K2972" s="5">
        <v>79</v>
      </c>
    </row>
    <row r="2973" spans="1:11" x14ac:dyDescent="0.25">
      <c r="A2973" s="2">
        <v>46221.25</v>
      </c>
      <c r="B2973" t="str">
        <f t="shared" si="92"/>
        <v>2026-07</v>
      </c>
      <c r="C2973" s="3">
        <f t="shared" si="93"/>
        <v>6</v>
      </c>
      <c r="D2973" s="4">
        <v>23.867337976929029</v>
      </c>
      <c r="E2973" s="4">
        <v>26.276838249386099</v>
      </c>
      <c r="F2973" s="4">
        <v>28.455090522252771</v>
      </c>
      <c r="G2973" s="4">
        <v>13</v>
      </c>
      <c r="H2973" s="5">
        <v>36.77566825497442</v>
      </c>
      <c r="I2973" s="5">
        <v>35.637240151191662</v>
      </c>
      <c r="J2973" s="5">
        <v>43.001040305350003</v>
      </c>
      <c r="K2973" s="5">
        <v>76</v>
      </c>
    </row>
    <row r="2974" spans="1:11" x14ac:dyDescent="0.25">
      <c r="A2974" s="2">
        <v>46221.291666666657</v>
      </c>
      <c r="B2974" t="str">
        <f t="shared" si="92"/>
        <v>2026-07</v>
      </c>
      <c r="C2974" s="3">
        <f t="shared" si="93"/>
        <v>7</v>
      </c>
      <c r="D2974" s="4">
        <v>25.04811991802778</v>
      </c>
      <c r="E2974" s="4">
        <v>26.777489706141669</v>
      </c>
      <c r="F2974" s="4">
        <v>28.466479895638891</v>
      </c>
      <c r="G2974" s="4">
        <v>14.6</v>
      </c>
      <c r="H2974" s="5">
        <v>36.188994297733331</v>
      </c>
      <c r="I2974" s="5">
        <v>35.417435029986123</v>
      </c>
      <c r="J2974" s="5">
        <v>43.242915269838882</v>
      </c>
      <c r="K2974" s="5">
        <v>69</v>
      </c>
    </row>
    <row r="2975" spans="1:11" x14ac:dyDescent="0.25">
      <c r="A2975" s="2">
        <v>46221.333333333343</v>
      </c>
      <c r="B2975" t="str">
        <f t="shared" si="92"/>
        <v>2026-07</v>
      </c>
      <c r="C2975" s="3">
        <f t="shared" si="93"/>
        <v>8</v>
      </c>
      <c r="D2975" s="4">
        <v>26.30166364588333</v>
      </c>
      <c r="E2975" s="4">
        <v>27.33021890772222</v>
      </c>
      <c r="F2975" s="4">
        <v>28.493864614211109</v>
      </c>
      <c r="G2975" s="4">
        <v>17.100000000000001</v>
      </c>
      <c r="H2975" s="5">
        <v>35.884454621872223</v>
      </c>
      <c r="I2975" s="5">
        <v>36.104691935447221</v>
      </c>
      <c r="J2975" s="5">
        <v>43.429698531322217</v>
      </c>
      <c r="K2975" s="5">
        <v>58</v>
      </c>
    </row>
    <row r="2976" spans="1:11" x14ac:dyDescent="0.25">
      <c r="A2976" s="2">
        <v>46221.375</v>
      </c>
      <c r="B2976" t="str">
        <f t="shared" si="92"/>
        <v>2026-07</v>
      </c>
      <c r="C2976" s="3">
        <f t="shared" si="93"/>
        <v>9</v>
      </c>
      <c r="D2976" s="4">
        <v>27.096085708486111</v>
      </c>
      <c r="E2976" s="4">
        <v>27.73589040465</v>
      </c>
      <c r="F2976" s="4">
        <v>28.531529968491672</v>
      </c>
      <c r="G2976" s="4">
        <v>19.8</v>
      </c>
      <c r="H2976" s="5">
        <v>35.179349059338882</v>
      </c>
      <c r="I2976" s="5">
        <v>36.472144071841662</v>
      </c>
      <c r="J2976" s="5">
        <v>43.640371751952777</v>
      </c>
      <c r="K2976" s="5">
        <v>46</v>
      </c>
    </row>
    <row r="2977" spans="1:11" x14ac:dyDescent="0.25">
      <c r="A2977" s="2">
        <v>46221.416666666657</v>
      </c>
      <c r="B2977" t="str">
        <f t="shared" si="92"/>
        <v>2026-07</v>
      </c>
      <c r="C2977" s="3">
        <f t="shared" si="93"/>
        <v>10</v>
      </c>
      <c r="D2977" s="4">
        <v>27.278280201405561</v>
      </c>
      <c r="E2977" s="4">
        <v>28.165574332288891</v>
      </c>
      <c r="F2977" s="4">
        <v>28.57466928414167</v>
      </c>
      <c r="G2977" s="4">
        <v>21.1</v>
      </c>
      <c r="H2977" s="5">
        <v>32.847353047716673</v>
      </c>
      <c r="I2977" s="5">
        <v>38.00201948396667</v>
      </c>
      <c r="J2977" s="5">
        <v>43.88877783466944</v>
      </c>
      <c r="K2977" s="5">
        <v>38</v>
      </c>
    </row>
    <row r="2978" spans="1:11" x14ac:dyDescent="0.25">
      <c r="A2978" s="2">
        <v>46221.458333333343</v>
      </c>
      <c r="B2978" t="str">
        <f t="shared" si="92"/>
        <v>2026-07</v>
      </c>
      <c r="C2978" s="3">
        <f t="shared" si="93"/>
        <v>11</v>
      </c>
      <c r="D2978" s="4">
        <v>27.2532194725</v>
      </c>
      <c r="E2978" s="4">
        <v>28.35344820292222</v>
      </c>
      <c r="F2978" s="4">
        <v>28.606883040772221</v>
      </c>
      <c r="G2978" s="4">
        <v>22.2</v>
      </c>
      <c r="H2978" s="5">
        <v>31.41212805579444</v>
      </c>
      <c r="I2978" s="5">
        <v>35.740313860430547</v>
      </c>
      <c r="J2978" s="5">
        <v>44.013328459477783</v>
      </c>
      <c r="K2978" s="5">
        <v>35</v>
      </c>
    </row>
    <row r="2979" spans="1:11" x14ac:dyDescent="0.25">
      <c r="A2979" s="2">
        <v>46221.5</v>
      </c>
      <c r="B2979" t="str">
        <f t="shared" si="92"/>
        <v>2026-07</v>
      </c>
      <c r="C2979" s="3">
        <f t="shared" si="93"/>
        <v>12</v>
      </c>
      <c r="D2979" s="4">
        <v>27.302780809430551</v>
      </c>
      <c r="E2979" s="4">
        <v>28.625440197688889</v>
      </c>
      <c r="F2979" s="4">
        <v>28.630606261930559</v>
      </c>
      <c r="G2979" s="4">
        <v>23.1</v>
      </c>
      <c r="H2979" s="5">
        <v>30.230544314574999</v>
      </c>
      <c r="I2979" s="5">
        <v>34.398660060194452</v>
      </c>
      <c r="J2979" s="5">
        <v>44.042166695291662</v>
      </c>
      <c r="K2979" s="5">
        <v>32</v>
      </c>
    </row>
    <row r="2980" spans="1:11" x14ac:dyDescent="0.25">
      <c r="A2980" s="2">
        <v>46221.541666666657</v>
      </c>
      <c r="B2980" t="str">
        <f t="shared" si="92"/>
        <v>2026-07</v>
      </c>
      <c r="C2980" s="3">
        <f t="shared" si="93"/>
        <v>13</v>
      </c>
      <c r="D2980" s="4">
        <v>26.786512878602771</v>
      </c>
      <c r="E2980" s="4">
        <v>28.275719965283329</v>
      </c>
      <c r="F2980" s="4">
        <v>28.666337767608329</v>
      </c>
      <c r="G2980" s="4">
        <v>23.8</v>
      </c>
      <c r="H2980" s="5">
        <v>30.821574140725001</v>
      </c>
      <c r="I2980" s="5">
        <v>36.24895813925</v>
      </c>
      <c r="J2980" s="5">
        <v>43.936267657183329</v>
      </c>
      <c r="K2980" s="5">
        <v>31</v>
      </c>
    </row>
    <row r="2981" spans="1:11" x14ac:dyDescent="0.25">
      <c r="A2981" s="2">
        <v>46221.583333333343</v>
      </c>
      <c r="B2981" t="str">
        <f t="shared" si="92"/>
        <v>2026-07</v>
      </c>
      <c r="C2981" s="3">
        <f t="shared" si="93"/>
        <v>14</v>
      </c>
      <c r="D2981" s="4">
        <v>26.63554335303056</v>
      </c>
      <c r="E2981" s="4">
        <v>28.161983450497221</v>
      </c>
      <c r="F2981" s="4">
        <v>28.486074435841669</v>
      </c>
      <c r="G2981" s="4">
        <v>24.2</v>
      </c>
      <c r="H2981" s="5">
        <v>32.374447790472217</v>
      </c>
      <c r="I2981" s="5">
        <v>37.10414157856389</v>
      </c>
      <c r="J2981" s="5">
        <v>43.119862558344451</v>
      </c>
      <c r="K2981" s="5">
        <v>31</v>
      </c>
    </row>
    <row r="2982" spans="1:11" x14ac:dyDescent="0.25">
      <c r="A2982" s="2">
        <v>46221.625</v>
      </c>
      <c r="B2982" t="str">
        <f t="shared" si="92"/>
        <v>2026-07</v>
      </c>
      <c r="C2982" s="3">
        <f t="shared" si="93"/>
        <v>15</v>
      </c>
      <c r="D2982" s="4">
        <v>26.545026472905558</v>
      </c>
      <c r="E2982" s="4">
        <v>28.125813519963891</v>
      </c>
      <c r="F2982" s="4">
        <v>28.586435206922221</v>
      </c>
      <c r="G2982" s="4">
        <v>25</v>
      </c>
      <c r="H2982" s="5">
        <v>32.631936797361107</v>
      </c>
      <c r="I2982" s="5">
        <v>36.098738120422233</v>
      </c>
      <c r="J2982" s="5">
        <v>43.617811992583327</v>
      </c>
      <c r="K2982" s="5">
        <v>30</v>
      </c>
    </row>
    <row r="2983" spans="1:11" x14ac:dyDescent="0.25">
      <c r="A2983" s="2">
        <v>46221.666666666657</v>
      </c>
      <c r="B2983" t="str">
        <f t="shared" si="92"/>
        <v>2026-07</v>
      </c>
      <c r="C2983" s="3">
        <f t="shared" si="93"/>
        <v>16</v>
      </c>
      <c r="D2983" s="4">
        <v>26.577342824761111</v>
      </c>
      <c r="E2983" s="4">
        <v>28.054134099666669</v>
      </c>
      <c r="F2983" s="4">
        <v>28.750212492275001</v>
      </c>
      <c r="G2983" s="4">
        <v>26.3</v>
      </c>
      <c r="H2983" s="5">
        <v>32.540865997574997</v>
      </c>
      <c r="I2983" s="5">
        <v>37.341724718786118</v>
      </c>
      <c r="J2983" s="5">
        <v>43.546022531788893</v>
      </c>
      <c r="K2983" s="5">
        <v>27</v>
      </c>
    </row>
    <row r="2984" spans="1:11" x14ac:dyDescent="0.25">
      <c r="A2984" s="2">
        <v>46221.708333333343</v>
      </c>
      <c r="B2984" t="str">
        <f t="shared" si="92"/>
        <v>2026-07</v>
      </c>
      <c r="C2984" s="3">
        <f t="shared" si="93"/>
        <v>17</v>
      </c>
      <c r="D2984" s="4">
        <v>26.526328759944441</v>
      </c>
      <c r="E2984" s="4">
        <v>28.131503211222221</v>
      </c>
      <c r="F2984" s="4">
        <v>28.305556569922221</v>
      </c>
      <c r="G2984" s="4">
        <v>25.8</v>
      </c>
      <c r="H2984" s="5">
        <v>34.375420499500002</v>
      </c>
      <c r="I2984" s="5">
        <v>36.690119319738891</v>
      </c>
      <c r="J2984" s="5">
        <v>42.507315081252777</v>
      </c>
      <c r="K2984" s="5">
        <v>29</v>
      </c>
    </row>
    <row r="2985" spans="1:11" x14ac:dyDescent="0.25">
      <c r="A2985" s="2">
        <v>46221.75</v>
      </c>
      <c r="B2985" t="str">
        <f t="shared" si="92"/>
        <v>2026-07</v>
      </c>
      <c r="C2985" s="3">
        <f t="shared" si="93"/>
        <v>18</v>
      </c>
      <c r="D2985" s="4">
        <v>26.712056446344441</v>
      </c>
      <c r="E2985" s="4">
        <v>28.12237509383889</v>
      </c>
      <c r="F2985" s="4">
        <v>28.323012988458331</v>
      </c>
      <c r="G2985" s="4">
        <v>24.8</v>
      </c>
      <c r="H2985" s="5">
        <v>35.719812873733332</v>
      </c>
      <c r="I2985" s="5">
        <v>39.591301881930562</v>
      </c>
      <c r="J2985" s="5">
        <v>46.663039168200008</v>
      </c>
      <c r="K2985" s="5">
        <v>32</v>
      </c>
    </row>
    <row r="2986" spans="1:11" x14ac:dyDescent="0.25">
      <c r="A2986" s="2">
        <v>46221.791666666657</v>
      </c>
      <c r="B2986" t="str">
        <f t="shared" si="92"/>
        <v>2026-07</v>
      </c>
      <c r="C2986" s="3">
        <f t="shared" si="93"/>
        <v>19</v>
      </c>
      <c r="D2986" s="4">
        <v>26.594520217477779</v>
      </c>
      <c r="E2986" s="4">
        <v>27.956951704861108</v>
      </c>
      <c r="F2986" s="4">
        <v>28.699288026536109</v>
      </c>
      <c r="G2986" s="4">
        <v>23.9</v>
      </c>
      <c r="H2986" s="5">
        <v>37.076806123805547</v>
      </c>
      <c r="I2986" s="5">
        <v>43.125417213069447</v>
      </c>
      <c r="J2986" s="5">
        <v>46.009351050252768</v>
      </c>
      <c r="K2986" s="5">
        <v>35</v>
      </c>
    </row>
    <row r="2987" spans="1:11" x14ac:dyDescent="0.25">
      <c r="A2987" s="2">
        <v>46221.833333333343</v>
      </c>
      <c r="B2987" t="str">
        <f t="shared" si="92"/>
        <v>2026-07</v>
      </c>
      <c r="C2987" s="3">
        <f t="shared" si="93"/>
        <v>20</v>
      </c>
      <c r="D2987" s="4">
        <v>26.12366491796389</v>
      </c>
      <c r="E2987" s="4">
        <v>27.707652310288889</v>
      </c>
      <c r="F2987" s="4">
        <v>28.873947532452771</v>
      </c>
      <c r="G2987" s="4">
        <v>23.3</v>
      </c>
      <c r="H2987" s="5">
        <v>38.431769113169437</v>
      </c>
      <c r="I2987" s="5">
        <v>44.793178561963892</v>
      </c>
      <c r="J2987" s="5">
        <v>45.93260937059167</v>
      </c>
      <c r="K2987" s="5">
        <v>37</v>
      </c>
    </row>
    <row r="2988" spans="1:11" x14ac:dyDescent="0.25">
      <c r="A2988" s="2">
        <v>46221.875</v>
      </c>
      <c r="B2988" t="str">
        <f t="shared" si="92"/>
        <v>2026-07</v>
      </c>
      <c r="C2988" s="3">
        <f t="shared" si="93"/>
        <v>21</v>
      </c>
      <c r="D2988" s="4">
        <v>25.581934876475</v>
      </c>
      <c r="E2988" s="4">
        <v>27.457807717947219</v>
      </c>
      <c r="F2988" s="4">
        <v>28.838434343427771</v>
      </c>
      <c r="G2988" s="4">
        <v>22.5</v>
      </c>
      <c r="H2988" s="5">
        <v>39.093346583083338</v>
      </c>
      <c r="I2988" s="5">
        <v>44.242150472997217</v>
      </c>
      <c r="J2988" s="5">
        <v>45.491007434958327</v>
      </c>
      <c r="K2988" s="5">
        <v>40</v>
      </c>
    </row>
    <row r="2989" spans="1:11" x14ac:dyDescent="0.25">
      <c r="A2989" s="2">
        <v>46221.916666666657</v>
      </c>
      <c r="B2989" t="str">
        <f t="shared" si="92"/>
        <v>2026-07</v>
      </c>
      <c r="C2989" s="3">
        <f t="shared" si="93"/>
        <v>22</v>
      </c>
      <c r="D2989" s="4">
        <v>25.313181043566669</v>
      </c>
      <c r="E2989" s="4">
        <v>27.18837130781111</v>
      </c>
      <c r="F2989" s="4">
        <v>28.779713737691669</v>
      </c>
      <c r="G2989" s="4">
        <v>21.5</v>
      </c>
      <c r="H2989" s="5">
        <v>39.547063329041663</v>
      </c>
      <c r="I2989" s="5">
        <v>43.088822963030559</v>
      </c>
      <c r="J2989" s="5">
        <v>45.232631674672227</v>
      </c>
      <c r="K2989" s="5">
        <v>43</v>
      </c>
    </row>
    <row r="2990" spans="1:11" x14ac:dyDescent="0.25">
      <c r="A2990" s="2">
        <v>46221.958333333343</v>
      </c>
      <c r="B2990" t="str">
        <f t="shared" si="92"/>
        <v>2026-07</v>
      </c>
      <c r="C2990" s="3">
        <f t="shared" si="93"/>
        <v>23</v>
      </c>
      <c r="D2990" s="4">
        <v>25.055821986491669</v>
      </c>
      <c r="E2990" s="4">
        <v>26.997124969213889</v>
      </c>
      <c r="F2990" s="4">
        <v>28.72757488591667</v>
      </c>
      <c r="G2990" s="4">
        <v>21</v>
      </c>
      <c r="H2990" s="5">
        <v>40.034665406013893</v>
      </c>
      <c r="I2990" s="5">
        <v>41.735433579097233</v>
      </c>
      <c r="J2990" s="5">
        <v>45.076974723433331</v>
      </c>
      <c r="K2990" s="5">
        <v>45</v>
      </c>
    </row>
    <row r="2991" spans="1:11" x14ac:dyDescent="0.25">
      <c r="A2991" s="2">
        <v>46222</v>
      </c>
      <c r="B2991" t="str">
        <f t="shared" si="92"/>
        <v>2026-07</v>
      </c>
      <c r="C2991" s="3">
        <f t="shared" si="93"/>
        <v>0</v>
      </c>
      <c r="D2991" s="4">
        <v>24.440216947044441</v>
      </c>
      <c r="E2991" s="4">
        <v>27.103609809544441</v>
      </c>
      <c r="F2991" s="4">
        <v>28.706498346997229</v>
      </c>
      <c r="G2991" s="4">
        <v>20</v>
      </c>
      <c r="H2991" s="5">
        <v>41.841129389022221</v>
      </c>
      <c r="I2991" s="5">
        <v>41.420434340736122</v>
      </c>
      <c r="J2991" s="5">
        <v>45.208260981194449</v>
      </c>
      <c r="K2991" s="5">
        <v>48</v>
      </c>
    </row>
    <row r="2992" spans="1:11" x14ac:dyDescent="0.25">
      <c r="A2992" s="2">
        <v>46222.041666666657</v>
      </c>
      <c r="B2992" t="str">
        <f t="shared" si="92"/>
        <v>2026-07</v>
      </c>
      <c r="C2992" s="3">
        <f t="shared" si="93"/>
        <v>1</v>
      </c>
      <c r="D2992" s="4">
        <v>24.381753929799999</v>
      </c>
      <c r="E2992" s="4">
        <v>27.055197990777771</v>
      </c>
      <c r="F2992" s="4">
        <v>28.724723971208331</v>
      </c>
      <c r="G2992" s="4">
        <v>19.2</v>
      </c>
      <c r="H2992" s="5">
        <v>42.302997010088887</v>
      </c>
      <c r="I2992" s="5">
        <v>39.800162865352782</v>
      </c>
      <c r="J2992" s="5">
        <v>44.948052537494448</v>
      </c>
      <c r="K2992" s="5">
        <v>51</v>
      </c>
    </row>
    <row r="2993" spans="1:11" x14ac:dyDescent="0.25">
      <c r="A2993" s="2">
        <v>46222.083333333343</v>
      </c>
      <c r="B2993" t="str">
        <f t="shared" si="92"/>
        <v>2026-07</v>
      </c>
      <c r="C2993" s="3">
        <f t="shared" si="93"/>
        <v>2</v>
      </c>
      <c r="D2993" s="4">
        <v>23.898083247005559</v>
      </c>
      <c r="E2993" s="4">
        <v>26.929827527483329</v>
      </c>
      <c r="F2993" s="4">
        <v>28.71094306541389</v>
      </c>
      <c r="G2993" s="4">
        <v>18.600000000000001</v>
      </c>
      <c r="H2993" s="5">
        <v>43.27013849738055</v>
      </c>
      <c r="I2993" s="5">
        <v>38.925575350405552</v>
      </c>
      <c r="J2993" s="5">
        <v>44.814177724122217</v>
      </c>
      <c r="K2993" s="5">
        <v>54</v>
      </c>
    </row>
    <row r="2994" spans="1:11" x14ac:dyDescent="0.25">
      <c r="A2994" s="2">
        <v>46222.125</v>
      </c>
      <c r="B2994" t="str">
        <f t="shared" si="92"/>
        <v>2026-07</v>
      </c>
      <c r="C2994" s="3">
        <f t="shared" si="93"/>
        <v>3</v>
      </c>
      <c r="D2994" s="4">
        <v>23.545290790888892</v>
      </c>
      <c r="E2994" s="4">
        <v>26.793490017591669</v>
      </c>
      <c r="F2994" s="4">
        <v>28.689719016472221</v>
      </c>
      <c r="G2994" s="4">
        <v>16.7</v>
      </c>
      <c r="H2994" s="5">
        <v>44.229935928708329</v>
      </c>
      <c r="I2994" s="5">
        <v>39.575350403811107</v>
      </c>
      <c r="J2994" s="5">
        <v>44.747799258008342</v>
      </c>
      <c r="K2994" s="5">
        <v>69</v>
      </c>
    </row>
    <row r="2995" spans="1:11" x14ac:dyDescent="0.25">
      <c r="A2995" s="2">
        <v>46222.166666666657</v>
      </c>
      <c r="B2995" t="str">
        <f t="shared" si="92"/>
        <v>2026-07</v>
      </c>
      <c r="C2995" s="3">
        <f t="shared" si="93"/>
        <v>4</v>
      </c>
      <c r="D2995" s="4">
        <v>23.282649682488891</v>
      </c>
      <c r="E2995" s="4">
        <v>26.694404891491669</v>
      </c>
      <c r="F2995" s="4">
        <v>28.667746574836109</v>
      </c>
      <c r="G2995" s="4">
        <v>16.3</v>
      </c>
      <c r="H2995" s="5">
        <v>44.802663710933331</v>
      </c>
      <c r="I2995" s="5">
        <v>39.476230765486122</v>
      </c>
      <c r="J2995" s="5">
        <v>44.705324814486112</v>
      </c>
      <c r="K2995" s="5">
        <v>72</v>
      </c>
    </row>
    <row r="2996" spans="1:11" x14ac:dyDescent="0.25">
      <c r="A2996" s="2">
        <v>46222.208333333343</v>
      </c>
      <c r="B2996" t="str">
        <f t="shared" si="92"/>
        <v>2026-07</v>
      </c>
      <c r="C2996" s="3">
        <f t="shared" si="93"/>
        <v>5</v>
      </c>
      <c r="D2996" s="4">
        <v>23.625036515269439</v>
      </c>
      <c r="E2996" s="4">
        <v>26.721837391727771</v>
      </c>
      <c r="F2996" s="4">
        <v>28.652330018933331</v>
      </c>
      <c r="G2996" s="4">
        <v>15.9</v>
      </c>
      <c r="H2996" s="5">
        <v>44.341224711774998</v>
      </c>
      <c r="I2996" s="5">
        <v>39.07962074076945</v>
      </c>
      <c r="J2996" s="5">
        <v>44.64988380223889</v>
      </c>
      <c r="K2996" s="5">
        <v>75</v>
      </c>
    </row>
    <row r="2997" spans="1:11" x14ac:dyDescent="0.25">
      <c r="A2997" s="2">
        <v>46222.25</v>
      </c>
      <c r="B2997" t="str">
        <f t="shared" si="92"/>
        <v>2026-07</v>
      </c>
      <c r="C2997" s="3">
        <f t="shared" si="93"/>
        <v>6</v>
      </c>
      <c r="D2997" s="4">
        <v>25.115085056527779</v>
      </c>
      <c r="E2997" s="4">
        <v>27.043901823430559</v>
      </c>
      <c r="F2997" s="4">
        <v>28.65142017591667</v>
      </c>
      <c r="G2997" s="4">
        <v>16.8</v>
      </c>
      <c r="H2997" s="5">
        <v>41.008871870430553</v>
      </c>
      <c r="I2997" s="5">
        <v>39.870463029163894</v>
      </c>
      <c r="J2997" s="5">
        <v>44.687456609580551</v>
      </c>
      <c r="K2997" s="5">
        <v>70</v>
      </c>
    </row>
    <row r="2998" spans="1:11" x14ac:dyDescent="0.25">
      <c r="A2998" s="2">
        <v>46222.291666666657</v>
      </c>
      <c r="B2998" t="str">
        <f t="shared" si="92"/>
        <v>2026-07</v>
      </c>
      <c r="C2998" s="3">
        <f t="shared" si="93"/>
        <v>7</v>
      </c>
      <c r="D2998" s="4">
        <v>26.420807117500001</v>
      </c>
      <c r="E2998" s="4">
        <v>27.618351797811108</v>
      </c>
      <c r="F2998" s="4">
        <v>28.670643869977781</v>
      </c>
      <c r="G2998" s="4">
        <v>18</v>
      </c>
      <c r="H2998" s="5">
        <v>39.80657909248611</v>
      </c>
      <c r="I2998" s="5">
        <v>39.156254946697217</v>
      </c>
      <c r="J2998" s="5">
        <v>44.798226079941657</v>
      </c>
      <c r="K2998" s="5">
        <v>64</v>
      </c>
    </row>
    <row r="2999" spans="1:11" x14ac:dyDescent="0.25">
      <c r="A2999" s="2">
        <v>46222.333333333343</v>
      </c>
      <c r="B2999" t="str">
        <f t="shared" si="92"/>
        <v>2026-07</v>
      </c>
      <c r="C2999" s="3">
        <f t="shared" si="93"/>
        <v>8</v>
      </c>
      <c r="D2999" s="4">
        <v>27.152894340838891</v>
      </c>
      <c r="E2999" s="4">
        <v>28.124401943477778</v>
      </c>
      <c r="F2999" s="4">
        <v>28.70509042148333</v>
      </c>
      <c r="G2999" s="4">
        <v>20.100000000000001</v>
      </c>
      <c r="H2999" s="5">
        <v>39.58733928628056</v>
      </c>
      <c r="I2999" s="5">
        <v>39.102116480452779</v>
      </c>
      <c r="J2999" s="5">
        <v>44.936128684736111</v>
      </c>
      <c r="K2999" s="5">
        <v>55</v>
      </c>
    </row>
    <row r="3000" spans="1:11" x14ac:dyDescent="0.25">
      <c r="A3000" s="2">
        <v>46222.375</v>
      </c>
      <c r="B3000" t="str">
        <f t="shared" si="92"/>
        <v>2026-07</v>
      </c>
      <c r="C3000" s="3">
        <f t="shared" si="93"/>
        <v>9</v>
      </c>
      <c r="D3000" s="4">
        <v>27.692935075575001</v>
      </c>
      <c r="E3000" s="4">
        <v>28.49682053542778</v>
      </c>
      <c r="F3000" s="4">
        <v>28.746895690966671</v>
      </c>
      <c r="G3000" s="4">
        <v>22.6</v>
      </c>
      <c r="H3000" s="5">
        <v>38.687546922363893</v>
      </c>
      <c r="I3000" s="5">
        <v>39.128496300574987</v>
      </c>
      <c r="J3000" s="5">
        <v>45.002614817305563</v>
      </c>
      <c r="K3000" s="5">
        <v>43</v>
      </c>
    </row>
    <row r="3001" spans="1:11" x14ac:dyDescent="0.25">
      <c r="A3001" s="2">
        <v>46222.416666666657</v>
      </c>
      <c r="B3001" t="str">
        <f t="shared" si="92"/>
        <v>2026-07</v>
      </c>
      <c r="C3001" s="3">
        <f t="shared" si="93"/>
        <v>10</v>
      </c>
      <c r="D3001" s="4">
        <v>27.776903994638889</v>
      </c>
      <c r="E3001" s="4">
        <v>28.692746102299999</v>
      </c>
      <c r="F3001" s="4">
        <v>28.789005232200001</v>
      </c>
      <c r="G3001" s="4">
        <v>24.4</v>
      </c>
      <c r="H3001" s="5">
        <v>38.659118931391667</v>
      </c>
      <c r="I3001" s="5">
        <v>39.232491398511122</v>
      </c>
      <c r="J3001" s="5">
        <v>45.051095747505563</v>
      </c>
      <c r="K3001" s="5">
        <v>37</v>
      </c>
    </row>
    <row r="3002" spans="1:11" x14ac:dyDescent="0.25">
      <c r="A3002" s="2">
        <v>46222.458333333343</v>
      </c>
      <c r="B3002" t="str">
        <f t="shared" si="92"/>
        <v>2026-07</v>
      </c>
      <c r="C3002" s="3">
        <f t="shared" si="93"/>
        <v>11</v>
      </c>
      <c r="D3002" s="4">
        <v>27.80159001625556</v>
      </c>
      <c r="E3002" s="4">
        <v>29.028729210261119</v>
      </c>
      <c r="F3002" s="4">
        <v>28.82822756738889</v>
      </c>
      <c r="G3002" s="4">
        <v>25.4</v>
      </c>
      <c r="H3002" s="5">
        <v>38.092654739905562</v>
      </c>
      <c r="I3002" s="5">
        <v>39.248021292705552</v>
      </c>
      <c r="J3002" s="5">
        <v>45.179863796191661</v>
      </c>
      <c r="K3002" s="5">
        <v>34</v>
      </c>
    </row>
    <row r="3003" spans="1:11" x14ac:dyDescent="0.25">
      <c r="A3003" s="2">
        <v>46222.5</v>
      </c>
      <c r="B3003" t="str">
        <f t="shared" si="92"/>
        <v>2026-07</v>
      </c>
      <c r="C3003" s="3">
        <f t="shared" si="93"/>
        <v>12</v>
      </c>
      <c r="D3003" s="4">
        <v>27.921966631577771</v>
      </c>
      <c r="E3003" s="4">
        <v>28.959354858702781</v>
      </c>
      <c r="F3003" s="4">
        <v>28.862592390850001</v>
      </c>
      <c r="G3003" s="4">
        <v>26.2</v>
      </c>
      <c r="H3003" s="5">
        <v>37.868433150947219</v>
      </c>
      <c r="I3003" s="5">
        <v>37.161286683333337</v>
      </c>
      <c r="J3003" s="5">
        <v>45.333644062052777</v>
      </c>
      <c r="K3003" s="5">
        <v>32</v>
      </c>
    </row>
    <row r="3004" spans="1:11" x14ac:dyDescent="0.25">
      <c r="A3004" s="2">
        <v>46222.541666666657</v>
      </c>
      <c r="B3004" t="str">
        <f t="shared" si="92"/>
        <v>2026-07</v>
      </c>
      <c r="C3004" s="3">
        <f t="shared" si="93"/>
        <v>13</v>
      </c>
      <c r="D3004" s="4">
        <v>27.97940550058334</v>
      </c>
      <c r="E3004" s="4">
        <v>28.799069175638891</v>
      </c>
      <c r="F3004" s="4">
        <v>28.888029505605559</v>
      </c>
      <c r="G3004" s="4">
        <v>27.1</v>
      </c>
      <c r="H3004" s="5">
        <v>37.578905359952778</v>
      </c>
      <c r="I3004" s="5">
        <v>36.689574539111113</v>
      </c>
      <c r="J3004" s="5">
        <v>45.247519004691668</v>
      </c>
      <c r="K3004" s="5">
        <v>31</v>
      </c>
    </row>
    <row r="3005" spans="1:11" x14ac:dyDescent="0.25">
      <c r="A3005" s="2">
        <v>46222.583333333343</v>
      </c>
      <c r="B3005" t="str">
        <f t="shared" si="92"/>
        <v>2026-07</v>
      </c>
      <c r="C3005" s="3">
        <f t="shared" si="93"/>
        <v>14</v>
      </c>
      <c r="D3005" s="4">
        <v>27.73344365719722</v>
      </c>
      <c r="E3005" s="4">
        <v>28.412795645502779</v>
      </c>
      <c r="F3005" s="4">
        <v>28.892749884158331</v>
      </c>
      <c r="G3005" s="4">
        <v>27.7</v>
      </c>
      <c r="H3005" s="5">
        <v>35.487011014299988</v>
      </c>
      <c r="I3005" s="5">
        <v>35.39568402164722</v>
      </c>
      <c r="J3005" s="5">
        <v>45.202263496086111</v>
      </c>
      <c r="K3005" s="5">
        <v>30</v>
      </c>
    </row>
    <row r="3006" spans="1:11" x14ac:dyDescent="0.25">
      <c r="A3006" s="2">
        <v>46222.625</v>
      </c>
      <c r="B3006" t="str">
        <f t="shared" si="92"/>
        <v>2026-07</v>
      </c>
      <c r="C3006" s="3">
        <f t="shared" si="93"/>
        <v>15</v>
      </c>
      <c r="D3006" s="4">
        <v>27.614752349875001</v>
      </c>
      <c r="E3006" s="4">
        <v>28.46529676919166</v>
      </c>
      <c r="F3006" s="4">
        <v>28.88097075172222</v>
      </c>
      <c r="G3006" s="4">
        <v>28.5</v>
      </c>
      <c r="H3006" s="5">
        <v>35.58269777861944</v>
      </c>
      <c r="I3006" s="5">
        <v>36.631215141791657</v>
      </c>
      <c r="J3006" s="5">
        <v>45.132029568652783</v>
      </c>
      <c r="K3006" s="5">
        <v>29</v>
      </c>
    </row>
    <row r="3007" spans="1:11" x14ac:dyDescent="0.25">
      <c r="A3007" s="2">
        <v>46222.666666666657</v>
      </c>
      <c r="B3007" t="str">
        <f t="shared" si="92"/>
        <v>2026-07</v>
      </c>
      <c r="C3007" s="3">
        <f t="shared" si="93"/>
        <v>16</v>
      </c>
      <c r="D3007" s="4">
        <v>27.627201728825</v>
      </c>
      <c r="E3007" s="4">
        <v>28.518009987869441</v>
      </c>
      <c r="F3007" s="4">
        <v>28.888031204250002</v>
      </c>
      <c r="G3007" s="4">
        <v>28.2</v>
      </c>
      <c r="H3007" s="5">
        <v>36.610452771922219</v>
      </c>
      <c r="I3007" s="5">
        <v>35.845356585700003</v>
      </c>
      <c r="J3007" s="5">
        <v>45.157905836166663</v>
      </c>
      <c r="K3007" s="5">
        <v>30</v>
      </c>
    </row>
    <row r="3008" spans="1:11" x14ac:dyDescent="0.25">
      <c r="A3008" s="2">
        <v>46222.708333333343</v>
      </c>
      <c r="B3008" t="str">
        <f t="shared" si="92"/>
        <v>2026-07</v>
      </c>
      <c r="C3008" s="3">
        <f t="shared" si="93"/>
        <v>17</v>
      </c>
      <c r="D3008" s="4">
        <v>27.695931755755559</v>
      </c>
      <c r="E3008" s="4">
        <v>28.60920130428056</v>
      </c>
      <c r="F3008" s="4">
        <v>28.881413012027771</v>
      </c>
      <c r="G3008" s="4">
        <v>28.4</v>
      </c>
      <c r="H3008" s="5">
        <v>36.109854396819443</v>
      </c>
      <c r="I3008" s="5">
        <v>37.063803194677782</v>
      </c>
      <c r="J3008" s="5">
        <v>45.149149334672217</v>
      </c>
      <c r="K3008" s="5">
        <v>29</v>
      </c>
    </row>
    <row r="3009" spans="1:11" x14ac:dyDescent="0.25">
      <c r="A3009" s="2">
        <v>46222.75</v>
      </c>
      <c r="B3009" t="str">
        <f t="shared" si="92"/>
        <v>2026-07</v>
      </c>
      <c r="C3009" s="3">
        <f t="shared" si="93"/>
        <v>18</v>
      </c>
      <c r="D3009" s="4">
        <v>27.586372735105559</v>
      </c>
      <c r="E3009" s="4">
        <v>28.64365513550834</v>
      </c>
      <c r="F3009" s="4">
        <v>28.939664140424998</v>
      </c>
      <c r="G3009" s="4">
        <v>28.2</v>
      </c>
      <c r="H3009" s="5">
        <v>39.705191224391669</v>
      </c>
      <c r="I3009" s="5">
        <v>40.289769382152777</v>
      </c>
      <c r="J3009" s="5">
        <v>45.565114291766669</v>
      </c>
      <c r="K3009" s="5">
        <v>29</v>
      </c>
    </row>
    <row r="3010" spans="1:11" x14ac:dyDescent="0.25">
      <c r="A3010" s="2">
        <v>46222.791666666657</v>
      </c>
      <c r="B3010" t="str">
        <f t="shared" ref="B3010:B3073" si="94">TEXT(A3010,"yyyy-mm")</f>
        <v>2026-07</v>
      </c>
      <c r="C3010" s="3">
        <f t="shared" ref="C3010:C3073" si="95">HOUR(A3010)</f>
        <v>19</v>
      </c>
      <c r="D3010" s="4">
        <v>27.45968708457778</v>
      </c>
      <c r="E3010" s="4">
        <v>28.329020000833331</v>
      </c>
      <c r="F3010" s="4">
        <v>29.09491794974722</v>
      </c>
      <c r="G3010" s="4">
        <v>27</v>
      </c>
      <c r="H3010" s="5">
        <v>40.120939662861112</v>
      </c>
      <c r="I3010" s="5">
        <v>40.56055058395556</v>
      </c>
      <c r="J3010" s="5">
        <v>46.018096490711123</v>
      </c>
      <c r="K3010" s="5">
        <v>35</v>
      </c>
    </row>
    <row r="3011" spans="1:11" x14ac:dyDescent="0.25">
      <c r="A3011" s="2">
        <v>46222.833333333343</v>
      </c>
      <c r="B3011" t="str">
        <f t="shared" si="94"/>
        <v>2026-07</v>
      </c>
      <c r="C3011" s="3">
        <f t="shared" si="95"/>
        <v>20</v>
      </c>
      <c r="D3011" s="4">
        <v>27.085079693694439</v>
      </c>
      <c r="E3011" s="4">
        <v>28.30926829704444</v>
      </c>
      <c r="F3011" s="4">
        <v>28.875888388347221</v>
      </c>
      <c r="G3011" s="4">
        <v>25.4</v>
      </c>
      <c r="H3011" s="5">
        <v>39.01330085493889</v>
      </c>
      <c r="I3011" s="5">
        <v>40.820692107855557</v>
      </c>
      <c r="J3011" s="5">
        <v>47.875339890672223</v>
      </c>
      <c r="K3011" s="5">
        <v>40</v>
      </c>
    </row>
    <row r="3012" spans="1:11" x14ac:dyDescent="0.25">
      <c r="A3012" s="2">
        <v>46222.875</v>
      </c>
      <c r="B3012" t="str">
        <f t="shared" si="94"/>
        <v>2026-07</v>
      </c>
      <c r="C3012" s="3">
        <f t="shared" si="95"/>
        <v>21</v>
      </c>
      <c r="D3012" s="4">
        <v>26.500056498566661</v>
      </c>
      <c r="E3012" s="4">
        <v>28.269022289550001</v>
      </c>
      <c r="F3012" s="4">
        <v>28.788971552216669</v>
      </c>
      <c r="G3012" s="4">
        <v>24.5</v>
      </c>
      <c r="H3012" s="5">
        <v>39.986643221563888</v>
      </c>
      <c r="I3012" s="5">
        <v>41.817824225347223</v>
      </c>
      <c r="J3012" s="5">
        <v>47.889641339477777</v>
      </c>
      <c r="K3012" s="5">
        <v>41</v>
      </c>
    </row>
    <row r="3013" spans="1:11" x14ac:dyDescent="0.25">
      <c r="A3013" s="2">
        <v>46222.916666666657</v>
      </c>
      <c r="B3013" t="str">
        <f t="shared" si="94"/>
        <v>2026-07</v>
      </c>
      <c r="C3013" s="3">
        <f t="shared" si="95"/>
        <v>22</v>
      </c>
      <c r="D3013" s="4">
        <v>26.210077010077779</v>
      </c>
      <c r="E3013" s="4">
        <v>28.253445481397229</v>
      </c>
      <c r="F3013" s="4">
        <v>28.903925782713891</v>
      </c>
      <c r="G3013" s="4">
        <v>24.1</v>
      </c>
      <c r="H3013" s="5">
        <v>42.023753010008328</v>
      </c>
      <c r="I3013" s="5">
        <v>43.85273636277222</v>
      </c>
      <c r="J3013" s="5">
        <v>47.140560700108331</v>
      </c>
      <c r="K3013" s="5">
        <v>44</v>
      </c>
    </row>
    <row r="3014" spans="1:11" x14ac:dyDescent="0.25">
      <c r="A3014" s="2">
        <v>46222.958333333343</v>
      </c>
      <c r="B3014" t="str">
        <f t="shared" si="94"/>
        <v>2026-07</v>
      </c>
      <c r="C3014" s="3">
        <f t="shared" si="95"/>
        <v>23</v>
      </c>
      <c r="D3014" s="4">
        <v>25.654310546274999</v>
      </c>
      <c r="E3014" s="4">
        <v>27.931657248511112</v>
      </c>
      <c r="F3014" s="4">
        <v>28.913468294922229</v>
      </c>
      <c r="G3014" s="4">
        <v>23.2</v>
      </c>
      <c r="H3014" s="5">
        <v>41.508006394144452</v>
      </c>
      <c r="I3014" s="5">
        <v>42.467010613474997</v>
      </c>
      <c r="J3014" s="5">
        <v>46.837672313233327</v>
      </c>
      <c r="K3014" s="5">
        <v>46</v>
      </c>
    </row>
    <row r="3015" spans="1:11" x14ac:dyDescent="0.25">
      <c r="A3015" s="2">
        <v>46223</v>
      </c>
      <c r="B3015" t="str">
        <f t="shared" si="94"/>
        <v>2026-07</v>
      </c>
      <c r="C3015" s="3">
        <f t="shared" si="95"/>
        <v>0</v>
      </c>
      <c r="D3015" s="4">
        <v>25.459049600930559</v>
      </c>
      <c r="E3015" s="4">
        <v>27.936635128119441</v>
      </c>
      <c r="F3015" s="4">
        <v>28.888440561766672</v>
      </c>
      <c r="G3015" s="4">
        <v>22.2</v>
      </c>
      <c r="H3015" s="5">
        <v>42.242300298191672</v>
      </c>
      <c r="I3015" s="5">
        <v>42.001710496633329</v>
      </c>
      <c r="J3015" s="5">
        <v>46.575931681027782</v>
      </c>
      <c r="K3015" s="5">
        <v>51</v>
      </c>
    </row>
    <row r="3016" spans="1:11" x14ac:dyDescent="0.25">
      <c r="A3016" s="2">
        <v>46223.041666666657</v>
      </c>
      <c r="B3016" t="str">
        <f t="shared" si="94"/>
        <v>2026-07</v>
      </c>
      <c r="C3016" s="3">
        <f t="shared" si="95"/>
        <v>1</v>
      </c>
      <c r="D3016" s="4">
        <v>25.42033485741111</v>
      </c>
      <c r="E3016" s="4">
        <v>27.698386772475001</v>
      </c>
      <c r="F3016" s="4">
        <v>28.86619078079444</v>
      </c>
      <c r="G3016" s="4">
        <v>21.7</v>
      </c>
      <c r="H3016" s="5">
        <v>42.778041163944451</v>
      </c>
      <c r="I3016" s="5">
        <v>42.258871481336108</v>
      </c>
      <c r="J3016" s="5">
        <v>46.585203904936122</v>
      </c>
      <c r="K3016" s="5">
        <v>52</v>
      </c>
    </row>
    <row r="3017" spans="1:11" x14ac:dyDescent="0.25">
      <c r="A3017" s="2">
        <v>46223.083333333343</v>
      </c>
      <c r="B3017" t="str">
        <f t="shared" si="94"/>
        <v>2026-07</v>
      </c>
      <c r="C3017" s="3">
        <f t="shared" si="95"/>
        <v>2</v>
      </c>
      <c r="D3017" s="4">
        <v>25.366243379577782</v>
      </c>
      <c r="E3017" s="4">
        <v>27.407859400841669</v>
      </c>
      <c r="F3017" s="4">
        <v>28.846440839052779</v>
      </c>
      <c r="G3017" s="4">
        <v>20.8</v>
      </c>
      <c r="H3017" s="5">
        <v>42.936658202683333</v>
      </c>
      <c r="I3017" s="5">
        <v>41.827061108027777</v>
      </c>
      <c r="J3017" s="5">
        <v>46.540946203149993</v>
      </c>
      <c r="K3017" s="5">
        <v>53</v>
      </c>
    </row>
    <row r="3018" spans="1:11" x14ac:dyDescent="0.25">
      <c r="A3018" s="2">
        <v>46223.125</v>
      </c>
      <c r="B3018" t="str">
        <f t="shared" si="94"/>
        <v>2026-07</v>
      </c>
      <c r="C3018" s="3">
        <f t="shared" si="95"/>
        <v>3</v>
      </c>
      <c r="D3018" s="4">
        <v>25.15445407449722</v>
      </c>
      <c r="E3018" s="4">
        <v>27.157291306425002</v>
      </c>
      <c r="F3018" s="4">
        <v>28.817768522750001</v>
      </c>
      <c r="G3018" s="4">
        <v>19.3</v>
      </c>
      <c r="H3018" s="5">
        <v>42.827236624791681</v>
      </c>
      <c r="I3018" s="5">
        <v>40.561567609597233</v>
      </c>
      <c r="J3018" s="5">
        <v>46.391831300916657</v>
      </c>
      <c r="K3018" s="5">
        <v>60</v>
      </c>
    </row>
    <row r="3019" spans="1:11" x14ac:dyDescent="0.25">
      <c r="A3019" s="2">
        <v>46223.166666666657</v>
      </c>
      <c r="B3019" t="str">
        <f t="shared" si="94"/>
        <v>2026-07</v>
      </c>
      <c r="C3019" s="3">
        <f t="shared" si="95"/>
        <v>4</v>
      </c>
      <c r="D3019" s="4">
        <v>25.091800242041671</v>
      </c>
      <c r="E3019" s="4">
        <v>26.942436729844449</v>
      </c>
      <c r="F3019" s="4">
        <v>28.780022085088891</v>
      </c>
      <c r="G3019" s="4">
        <v>17.899999999999999</v>
      </c>
      <c r="H3019" s="5">
        <v>42.527519217441672</v>
      </c>
      <c r="I3019" s="5">
        <v>40.130546237077773</v>
      </c>
      <c r="J3019" s="5">
        <v>46.208221890313887</v>
      </c>
      <c r="K3019" s="5">
        <v>71</v>
      </c>
    </row>
    <row r="3020" spans="1:11" x14ac:dyDescent="0.25">
      <c r="A3020" s="2">
        <v>46223.208333333343</v>
      </c>
      <c r="B3020" t="str">
        <f t="shared" si="94"/>
        <v>2026-07</v>
      </c>
      <c r="C3020" s="3">
        <f t="shared" si="95"/>
        <v>5</v>
      </c>
      <c r="D3020" s="4">
        <v>25.246141854813889</v>
      </c>
      <c r="E3020" s="4">
        <v>26.93498309389166</v>
      </c>
      <c r="F3020" s="4">
        <v>28.748049792113889</v>
      </c>
      <c r="G3020" s="4">
        <v>16.8</v>
      </c>
      <c r="H3020" s="5">
        <v>41.995090341880562</v>
      </c>
      <c r="I3020" s="5">
        <v>39.964505571247223</v>
      </c>
      <c r="J3020" s="5">
        <v>46.051610697980557</v>
      </c>
      <c r="K3020" s="5">
        <v>78</v>
      </c>
    </row>
    <row r="3021" spans="1:11" x14ac:dyDescent="0.25">
      <c r="A3021" s="2">
        <v>46223.25</v>
      </c>
      <c r="B3021" t="str">
        <f t="shared" si="94"/>
        <v>2026-07</v>
      </c>
      <c r="C3021" s="3">
        <f t="shared" si="95"/>
        <v>6</v>
      </c>
      <c r="D3021" s="4">
        <v>25.97402913897778</v>
      </c>
      <c r="E3021" s="4">
        <v>27.21325407002778</v>
      </c>
      <c r="F3021" s="4">
        <v>28.739392854030559</v>
      </c>
      <c r="G3021" s="4">
        <v>17.2</v>
      </c>
      <c r="H3021" s="5">
        <v>41.111203540727779</v>
      </c>
      <c r="I3021" s="5">
        <v>40.906658304919439</v>
      </c>
      <c r="J3021" s="5">
        <v>46.047461162938887</v>
      </c>
      <c r="K3021" s="5">
        <v>77</v>
      </c>
    </row>
    <row r="3022" spans="1:11" x14ac:dyDescent="0.25">
      <c r="A3022" s="2">
        <v>46223.291666666657</v>
      </c>
      <c r="B3022" t="str">
        <f t="shared" si="94"/>
        <v>2026-07</v>
      </c>
      <c r="C3022" s="3">
        <f t="shared" si="95"/>
        <v>7</v>
      </c>
      <c r="D3022" s="4">
        <v>26.809500537147219</v>
      </c>
      <c r="E3022" s="4">
        <v>27.75297460279722</v>
      </c>
      <c r="F3022" s="4">
        <v>28.76080934694167</v>
      </c>
      <c r="G3022" s="4">
        <v>18.8</v>
      </c>
      <c r="H3022" s="5">
        <v>40.704030293936107</v>
      </c>
      <c r="I3022" s="5">
        <v>39.986105907269447</v>
      </c>
      <c r="J3022" s="5">
        <v>46.107866495805553</v>
      </c>
      <c r="K3022" s="5">
        <v>71</v>
      </c>
    </row>
    <row r="3023" spans="1:11" x14ac:dyDescent="0.25">
      <c r="A3023" s="2">
        <v>46223.333333333343</v>
      </c>
      <c r="B3023" t="str">
        <f t="shared" si="94"/>
        <v>2026-07</v>
      </c>
      <c r="C3023" s="3">
        <f t="shared" si="95"/>
        <v>8</v>
      </c>
      <c r="D3023" s="4">
        <v>27.376118052386111</v>
      </c>
      <c r="E3023" s="4">
        <v>28.21818906944166</v>
      </c>
      <c r="F3023" s="4">
        <v>28.791731723291669</v>
      </c>
      <c r="G3023" s="4">
        <v>21.4</v>
      </c>
      <c r="H3023" s="5">
        <v>40.711943794958337</v>
      </c>
      <c r="I3023" s="5">
        <v>39.482297977877778</v>
      </c>
      <c r="J3023" s="5">
        <v>46.115804063349998</v>
      </c>
      <c r="K3023" s="5">
        <v>61</v>
      </c>
    </row>
    <row r="3024" spans="1:11" x14ac:dyDescent="0.25">
      <c r="A3024" s="2">
        <v>46223.375</v>
      </c>
      <c r="B3024" t="str">
        <f t="shared" si="94"/>
        <v>2026-07</v>
      </c>
      <c r="C3024" s="3">
        <f t="shared" si="95"/>
        <v>9</v>
      </c>
      <c r="D3024" s="4">
        <v>27.89912643265556</v>
      </c>
      <c r="E3024" s="4">
        <v>28.743104984072222</v>
      </c>
      <c r="F3024" s="4">
        <v>28.831452240783332</v>
      </c>
      <c r="G3024" s="4">
        <v>24.5</v>
      </c>
      <c r="H3024" s="5">
        <v>40.41133331411389</v>
      </c>
      <c r="I3024" s="5">
        <v>39.226700311311113</v>
      </c>
      <c r="J3024" s="5">
        <v>46.131362339894451</v>
      </c>
      <c r="K3024" s="5">
        <v>49</v>
      </c>
    </row>
    <row r="3025" spans="1:11" x14ac:dyDescent="0.25">
      <c r="A3025" s="2">
        <v>46223.416666666657</v>
      </c>
      <c r="B3025" t="str">
        <f t="shared" si="94"/>
        <v>2026-07</v>
      </c>
      <c r="C3025" s="3">
        <f t="shared" si="95"/>
        <v>10</v>
      </c>
      <c r="D3025" s="4">
        <v>27.999168585080561</v>
      </c>
      <c r="E3025" s="4">
        <v>29.117493437455561</v>
      </c>
      <c r="F3025" s="4">
        <v>28.87909124049445</v>
      </c>
      <c r="G3025" s="4">
        <v>26.4</v>
      </c>
      <c r="H3025" s="5">
        <v>40.052556322213889</v>
      </c>
      <c r="I3025" s="5">
        <v>38.095872015297218</v>
      </c>
      <c r="J3025" s="5">
        <v>46.140393199191656</v>
      </c>
      <c r="K3025" s="5">
        <v>42</v>
      </c>
    </row>
    <row r="3026" spans="1:11" x14ac:dyDescent="0.25">
      <c r="A3026" s="2">
        <v>46223.458333333343</v>
      </c>
      <c r="B3026" t="str">
        <f t="shared" si="94"/>
        <v>2026-07</v>
      </c>
      <c r="C3026" s="3">
        <f t="shared" si="95"/>
        <v>11</v>
      </c>
      <c r="D3026" s="4">
        <v>28.10588231872778</v>
      </c>
      <c r="E3026" s="4">
        <v>29.429444601816659</v>
      </c>
      <c r="F3026" s="4">
        <v>28.914950671808331</v>
      </c>
      <c r="G3026" s="4">
        <v>27.7</v>
      </c>
      <c r="H3026" s="5">
        <v>38.390076394786107</v>
      </c>
      <c r="I3026" s="5">
        <v>35.450653003963893</v>
      </c>
      <c r="J3026" s="5">
        <v>46.10116966924722</v>
      </c>
      <c r="K3026" s="5">
        <v>37</v>
      </c>
    </row>
    <row r="3027" spans="1:11" x14ac:dyDescent="0.25">
      <c r="A3027" s="2">
        <v>46223.5</v>
      </c>
      <c r="B3027" t="str">
        <f t="shared" si="94"/>
        <v>2026-07</v>
      </c>
      <c r="C3027" s="3">
        <f t="shared" si="95"/>
        <v>12</v>
      </c>
      <c r="D3027" s="4">
        <v>28.087678457661109</v>
      </c>
      <c r="E3027" s="4">
        <v>29.33058413394167</v>
      </c>
      <c r="F3027" s="4">
        <v>28.94197851081389</v>
      </c>
      <c r="G3027" s="4">
        <v>28.7</v>
      </c>
      <c r="H3027" s="5">
        <v>36.383933267075001</v>
      </c>
      <c r="I3027" s="5">
        <v>34.227197983788891</v>
      </c>
      <c r="J3027" s="5">
        <v>45.951278516697222</v>
      </c>
      <c r="K3027" s="5">
        <v>33</v>
      </c>
    </row>
    <row r="3028" spans="1:11" x14ac:dyDescent="0.25">
      <c r="A3028" s="2">
        <v>46223.541666666657</v>
      </c>
      <c r="B3028" t="str">
        <f t="shared" si="94"/>
        <v>2026-07</v>
      </c>
      <c r="C3028" s="3">
        <f t="shared" si="95"/>
        <v>13</v>
      </c>
      <c r="D3028" s="4">
        <v>28.039533704213891</v>
      </c>
      <c r="E3028" s="4">
        <v>29.065392758041671</v>
      </c>
      <c r="F3028" s="4">
        <v>28.959252097675002</v>
      </c>
      <c r="G3028" s="4">
        <v>29.4</v>
      </c>
      <c r="H3028" s="5">
        <v>35.192343687408332</v>
      </c>
      <c r="I3028" s="5">
        <v>34.095452706449997</v>
      </c>
      <c r="J3028" s="5">
        <v>45.824867257136113</v>
      </c>
      <c r="K3028" s="5">
        <v>30</v>
      </c>
    </row>
    <row r="3029" spans="1:11" x14ac:dyDescent="0.25">
      <c r="A3029" s="2">
        <v>46223.583333333343</v>
      </c>
      <c r="B3029" t="str">
        <f t="shared" si="94"/>
        <v>2026-07</v>
      </c>
      <c r="C3029" s="3">
        <f t="shared" si="95"/>
        <v>14</v>
      </c>
      <c r="D3029" s="4">
        <v>26.682027572636109</v>
      </c>
      <c r="E3029" s="4">
        <v>28.289334386349999</v>
      </c>
      <c r="F3029" s="4">
        <v>28.944843360361109</v>
      </c>
      <c r="G3029" s="4">
        <v>29.8</v>
      </c>
      <c r="H3029" s="5">
        <v>33.728086740377783</v>
      </c>
      <c r="I3029" s="5">
        <v>33.428284541872223</v>
      </c>
      <c r="J3029" s="5">
        <v>45.436067631541668</v>
      </c>
      <c r="K3029" s="5">
        <v>27</v>
      </c>
    </row>
    <row r="3030" spans="1:11" x14ac:dyDescent="0.25">
      <c r="A3030" s="2">
        <v>46223.625</v>
      </c>
      <c r="B3030" t="str">
        <f t="shared" si="94"/>
        <v>2026-07</v>
      </c>
      <c r="C3030" s="3">
        <f t="shared" si="95"/>
        <v>15</v>
      </c>
      <c r="D3030" s="4">
        <v>25.84945626498056</v>
      </c>
      <c r="E3030" s="4">
        <v>27.976531869263891</v>
      </c>
      <c r="F3030" s="4">
        <v>28.423784647041671</v>
      </c>
      <c r="G3030" s="4">
        <v>30.7</v>
      </c>
      <c r="H3030" s="5">
        <v>35.710029564563889</v>
      </c>
      <c r="I3030" s="5">
        <v>33.658502813491673</v>
      </c>
      <c r="J3030" s="5">
        <v>42.606428092505553</v>
      </c>
      <c r="K3030" s="5">
        <v>25</v>
      </c>
    </row>
    <row r="3031" spans="1:11" x14ac:dyDescent="0.25">
      <c r="A3031" s="2">
        <v>46223.666666666657</v>
      </c>
      <c r="B3031" t="str">
        <f t="shared" si="94"/>
        <v>2026-07</v>
      </c>
      <c r="C3031" s="3">
        <f t="shared" si="95"/>
        <v>16</v>
      </c>
      <c r="D3031" s="4">
        <v>26.92601620838056</v>
      </c>
      <c r="E3031" s="4">
        <v>28.50949815251111</v>
      </c>
      <c r="F3031" s="4">
        <v>28.628491521372229</v>
      </c>
      <c r="G3031" s="4">
        <v>30.6</v>
      </c>
      <c r="H3031" s="5">
        <v>38.668927350894442</v>
      </c>
      <c r="I3031" s="5">
        <v>37.23448439301945</v>
      </c>
      <c r="J3031" s="5">
        <v>44.008892492580557</v>
      </c>
      <c r="K3031" s="5">
        <v>25</v>
      </c>
    </row>
    <row r="3032" spans="1:11" x14ac:dyDescent="0.25">
      <c r="A3032" s="2">
        <v>46223.708333333343</v>
      </c>
      <c r="B3032" t="str">
        <f t="shared" si="94"/>
        <v>2026-07</v>
      </c>
      <c r="C3032" s="3">
        <f t="shared" si="95"/>
        <v>17</v>
      </c>
      <c r="D3032" s="4">
        <v>25.415196366413891</v>
      </c>
      <c r="E3032" s="4">
        <v>27.768275820005559</v>
      </c>
      <c r="F3032" s="4">
        <v>28.777761900805551</v>
      </c>
      <c r="G3032" s="4">
        <v>30.4</v>
      </c>
      <c r="H3032" s="5">
        <v>33.989585066622219</v>
      </c>
      <c r="I3032" s="5">
        <v>33.934555119269447</v>
      </c>
      <c r="J3032" s="5">
        <v>44.238485932972232</v>
      </c>
      <c r="K3032" s="5">
        <v>26</v>
      </c>
    </row>
    <row r="3033" spans="1:11" x14ac:dyDescent="0.25">
      <c r="A3033" s="2">
        <v>46223.75</v>
      </c>
      <c r="B3033" t="str">
        <f t="shared" si="94"/>
        <v>2026-07</v>
      </c>
      <c r="C3033" s="3">
        <f t="shared" si="95"/>
        <v>18</v>
      </c>
      <c r="D3033" s="4">
        <v>24.745911023166659</v>
      </c>
      <c r="E3033" s="4">
        <v>27.400957011083332</v>
      </c>
      <c r="F3033" s="4">
        <v>28.802115280774998</v>
      </c>
      <c r="G3033" s="4">
        <v>29.9</v>
      </c>
      <c r="H3033" s="5">
        <v>33.961064168874998</v>
      </c>
      <c r="I3033" s="5">
        <v>32.244155112411107</v>
      </c>
      <c r="J3033" s="5">
        <v>43.776906307725</v>
      </c>
      <c r="K3033" s="5">
        <v>29</v>
      </c>
    </row>
    <row r="3034" spans="1:11" x14ac:dyDescent="0.25">
      <c r="A3034" s="2">
        <v>46223.791666666657</v>
      </c>
      <c r="B3034" t="str">
        <f t="shared" si="94"/>
        <v>2026-07</v>
      </c>
      <c r="C3034" s="3">
        <f t="shared" si="95"/>
        <v>19</v>
      </c>
      <c r="D3034" s="4">
        <v>24.728543453033328</v>
      </c>
      <c r="E3034" s="4">
        <v>27.40228987307222</v>
      </c>
      <c r="F3034" s="4">
        <v>28.804470434905561</v>
      </c>
      <c r="G3034" s="4">
        <v>29.2</v>
      </c>
      <c r="H3034" s="5">
        <v>34.468904392680557</v>
      </c>
      <c r="I3034" s="5">
        <v>31.453657376522219</v>
      </c>
      <c r="J3034" s="5">
        <v>43.279792870313891</v>
      </c>
      <c r="K3034" s="5">
        <v>33</v>
      </c>
    </row>
    <row r="3035" spans="1:11" x14ac:dyDescent="0.25">
      <c r="A3035" s="2">
        <v>46223.833333333343</v>
      </c>
      <c r="B3035" t="str">
        <f t="shared" si="94"/>
        <v>2026-07</v>
      </c>
      <c r="C3035" s="3">
        <f t="shared" si="95"/>
        <v>20</v>
      </c>
      <c r="D3035" s="4">
        <v>26.181098858024999</v>
      </c>
      <c r="E3035" s="4">
        <v>28.29010691612778</v>
      </c>
      <c r="F3035" s="4">
        <v>28.82250762158889</v>
      </c>
      <c r="G3035" s="4">
        <v>28.3</v>
      </c>
      <c r="H3035" s="5">
        <v>39.207782869027781</v>
      </c>
      <c r="I3035" s="5">
        <v>35.809134020108331</v>
      </c>
      <c r="J3035" s="5">
        <v>43.289374570713882</v>
      </c>
      <c r="K3035" s="5">
        <v>37</v>
      </c>
    </row>
    <row r="3036" spans="1:11" x14ac:dyDescent="0.25">
      <c r="A3036" s="2">
        <v>46223.875</v>
      </c>
      <c r="B3036" t="str">
        <f t="shared" si="94"/>
        <v>2026-07</v>
      </c>
      <c r="C3036" s="3">
        <f t="shared" si="95"/>
        <v>21</v>
      </c>
      <c r="D3036" s="4">
        <v>26.657416376008332</v>
      </c>
      <c r="E3036" s="4">
        <v>28.311801190899999</v>
      </c>
      <c r="F3036" s="4">
        <v>28.86106554465556</v>
      </c>
      <c r="G3036" s="4">
        <v>27.3</v>
      </c>
      <c r="H3036" s="5">
        <v>43.26415655806111</v>
      </c>
      <c r="I3036" s="5">
        <v>41.822558738838893</v>
      </c>
      <c r="J3036" s="5">
        <v>43.79057500569445</v>
      </c>
      <c r="K3036" s="5">
        <v>42</v>
      </c>
    </row>
    <row r="3037" spans="1:11" x14ac:dyDescent="0.25">
      <c r="A3037" s="2">
        <v>46223.916666666657</v>
      </c>
      <c r="B3037" t="str">
        <f t="shared" si="94"/>
        <v>2026-07</v>
      </c>
      <c r="C3037" s="3">
        <f t="shared" si="95"/>
        <v>22</v>
      </c>
      <c r="D3037" s="4">
        <v>26.865306142138891</v>
      </c>
      <c r="E3037" s="4">
        <v>28.694268580447229</v>
      </c>
      <c r="F3037" s="4">
        <v>28.91831572045</v>
      </c>
      <c r="G3037" s="4">
        <v>25.8</v>
      </c>
      <c r="H3037" s="5">
        <v>42.866696475313887</v>
      </c>
      <c r="I3037" s="5">
        <v>41.923056927333327</v>
      </c>
      <c r="J3037" s="5">
        <v>44.267765308833333</v>
      </c>
      <c r="K3037" s="5">
        <v>49</v>
      </c>
    </row>
    <row r="3038" spans="1:11" x14ac:dyDescent="0.25">
      <c r="A3038" s="2">
        <v>46223.958333333343</v>
      </c>
      <c r="B3038" t="str">
        <f t="shared" si="94"/>
        <v>2026-07</v>
      </c>
      <c r="C3038" s="3">
        <f t="shared" si="95"/>
        <v>23</v>
      </c>
      <c r="D3038" s="4">
        <v>25.43690069533611</v>
      </c>
      <c r="E3038" s="4">
        <v>28.094380296008332</v>
      </c>
      <c r="F3038" s="4">
        <v>28.93185483351667</v>
      </c>
      <c r="G3038" s="4">
        <v>24.6</v>
      </c>
      <c r="H3038" s="5">
        <v>36.054991348844453</v>
      </c>
      <c r="I3038" s="5">
        <v>35.586135221136111</v>
      </c>
      <c r="J3038" s="5">
        <v>44.21160288368889</v>
      </c>
      <c r="K3038" s="5">
        <v>57</v>
      </c>
    </row>
    <row r="3039" spans="1:11" x14ac:dyDescent="0.25">
      <c r="A3039" s="2">
        <v>46224</v>
      </c>
      <c r="B3039" t="str">
        <f t="shared" si="94"/>
        <v>2026-07</v>
      </c>
      <c r="C3039" s="3">
        <f t="shared" si="95"/>
        <v>0</v>
      </c>
      <c r="D3039" s="4">
        <v>25.39949452014444</v>
      </c>
      <c r="E3039" s="4">
        <v>27.746525647366671</v>
      </c>
      <c r="F3039" s="4">
        <v>28.876850978141661</v>
      </c>
      <c r="G3039" s="4">
        <v>23.8</v>
      </c>
      <c r="H3039" s="5">
        <v>37.325914479419453</v>
      </c>
      <c r="I3039" s="5">
        <v>35.873480380044441</v>
      </c>
      <c r="J3039" s="5">
        <v>43.771524575575</v>
      </c>
      <c r="K3039" s="5">
        <v>63</v>
      </c>
    </row>
    <row r="3040" spans="1:11" x14ac:dyDescent="0.25">
      <c r="A3040" s="2">
        <v>46224.041666666657</v>
      </c>
      <c r="B3040" t="str">
        <f t="shared" si="94"/>
        <v>2026-07</v>
      </c>
      <c r="C3040" s="3">
        <f t="shared" si="95"/>
        <v>1</v>
      </c>
      <c r="D3040" s="4">
        <v>26.35769286026111</v>
      </c>
      <c r="E3040" s="4">
        <v>28.025426330883331</v>
      </c>
      <c r="F3040" s="4">
        <v>28.88061735116111</v>
      </c>
      <c r="G3040" s="4">
        <v>23.3</v>
      </c>
      <c r="H3040" s="5">
        <v>42.703456876105562</v>
      </c>
      <c r="I3040" s="5">
        <v>42.257823237288889</v>
      </c>
      <c r="J3040" s="5">
        <v>44.125505097497218</v>
      </c>
      <c r="K3040" s="5">
        <v>67</v>
      </c>
    </row>
    <row r="3041" spans="1:11" x14ac:dyDescent="0.25">
      <c r="A3041" s="2">
        <v>46224.083333333343</v>
      </c>
      <c r="B3041" t="str">
        <f t="shared" si="94"/>
        <v>2026-07</v>
      </c>
      <c r="C3041" s="3">
        <f t="shared" si="95"/>
        <v>2</v>
      </c>
      <c r="D3041" s="4">
        <v>26.411888055266669</v>
      </c>
      <c r="E3041" s="4">
        <v>27.944137343986121</v>
      </c>
      <c r="F3041" s="4">
        <v>28.881391188091669</v>
      </c>
      <c r="G3041" s="4">
        <v>22.6</v>
      </c>
      <c r="H3041" s="5">
        <v>43.183578229522233</v>
      </c>
      <c r="I3041" s="5">
        <v>42.614762848958343</v>
      </c>
      <c r="J3041" s="5">
        <v>45.360229026805563</v>
      </c>
      <c r="K3041" s="5">
        <v>70</v>
      </c>
    </row>
    <row r="3042" spans="1:11" x14ac:dyDescent="0.25">
      <c r="A3042" s="2">
        <v>46224.125</v>
      </c>
      <c r="B3042" t="str">
        <f t="shared" si="94"/>
        <v>2026-07</v>
      </c>
      <c r="C3042" s="3">
        <f t="shared" si="95"/>
        <v>3</v>
      </c>
      <c r="D3042" s="4">
        <v>26.127535176113891</v>
      </c>
      <c r="E3042" s="4">
        <v>27.745598790916659</v>
      </c>
      <c r="F3042" s="4">
        <v>28.91189328770556</v>
      </c>
      <c r="G3042" s="4">
        <v>21.4</v>
      </c>
      <c r="H3042" s="5">
        <v>44.114722926483331</v>
      </c>
      <c r="I3042" s="5">
        <v>43.25546999468056</v>
      </c>
      <c r="J3042" s="5">
        <v>45.455698752547221</v>
      </c>
      <c r="K3042" s="5">
        <v>76</v>
      </c>
    </row>
    <row r="3043" spans="1:11" x14ac:dyDescent="0.25">
      <c r="A3043" s="2">
        <v>46224.166666666657</v>
      </c>
      <c r="B3043" t="str">
        <f t="shared" si="94"/>
        <v>2026-07</v>
      </c>
      <c r="C3043" s="3">
        <f t="shared" si="95"/>
        <v>4</v>
      </c>
      <c r="D3043" s="4">
        <v>25.887231010061111</v>
      </c>
      <c r="E3043" s="4">
        <v>27.59023527358611</v>
      </c>
      <c r="F3043" s="4">
        <v>28.921164567369441</v>
      </c>
      <c r="G3043" s="4">
        <v>19.600000000000001</v>
      </c>
      <c r="H3043" s="5">
        <v>45.78357393065</v>
      </c>
      <c r="I3043" s="5">
        <v>44.520669804363891</v>
      </c>
      <c r="J3043" s="5">
        <v>45.470646515394442</v>
      </c>
      <c r="K3043" s="5">
        <v>93</v>
      </c>
    </row>
    <row r="3044" spans="1:11" x14ac:dyDescent="0.25">
      <c r="A3044" s="2">
        <v>46224.208333333343</v>
      </c>
      <c r="B3044" t="str">
        <f t="shared" si="94"/>
        <v>2026-07</v>
      </c>
      <c r="C3044" s="3">
        <f t="shared" si="95"/>
        <v>5</v>
      </c>
      <c r="D3044" s="4">
        <v>26.034039841424999</v>
      </c>
      <c r="E3044" s="4">
        <v>27.485594853563889</v>
      </c>
      <c r="F3044" s="4">
        <v>28.91772448478611</v>
      </c>
      <c r="G3044" s="4">
        <v>18.899999999999999</v>
      </c>
      <c r="H3044" s="5">
        <v>47.059022745841673</v>
      </c>
      <c r="I3044" s="5">
        <v>44.629137238708331</v>
      </c>
      <c r="J3044" s="5">
        <v>45.697246659177779</v>
      </c>
      <c r="K3044" s="5">
        <v>97</v>
      </c>
    </row>
    <row r="3045" spans="1:11" x14ac:dyDescent="0.25">
      <c r="A3045" s="2">
        <v>46224.25</v>
      </c>
      <c r="B3045" t="str">
        <f t="shared" si="94"/>
        <v>2026-07</v>
      </c>
      <c r="C3045" s="3">
        <f t="shared" si="95"/>
        <v>6</v>
      </c>
      <c r="D3045" s="4">
        <v>26.01167337484722</v>
      </c>
      <c r="E3045" s="4">
        <v>27.500430648666669</v>
      </c>
      <c r="F3045" s="4">
        <v>28.918416589655561</v>
      </c>
      <c r="G3045" s="4">
        <v>19.2</v>
      </c>
      <c r="H3045" s="5">
        <v>49.210008172183343</v>
      </c>
      <c r="I3045" s="5">
        <v>45.733731768213893</v>
      </c>
      <c r="J3045" s="5">
        <v>45.889198089522218</v>
      </c>
      <c r="K3045" s="5">
        <v>98</v>
      </c>
    </row>
    <row r="3046" spans="1:11" x14ac:dyDescent="0.25">
      <c r="A3046" s="2">
        <v>46224.291666666657</v>
      </c>
      <c r="B3046" t="str">
        <f t="shared" si="94"/>
        <v>2026-07</v>
      </c>
      <c r="C3046" s="3">
        <f t="shared" si="95"/>
        <v>7</v>
      </c>
      <c r="D3046" s="4">
        <v>26.01921109663612</v>
      </c>
      <c r="E3046" s="4">
        <v>27.767503409919449</v>
      </c>
      <c r="F3046" s="4">
        <v>28.934170888783331</v>
      </c>
      <c r="G3046" s="4">
        <v>20</v>
      </c>
      <c r="H3046" s="5">
        <v>53.558475297316669</v>
      </c>
      <c r="I3046" s="5">
        <v>48.054406197363882</v>
      </c>
      <c r="J3046" s="5">
        <v>46.211124615733333</v>
      </c>
      <c r="K3046" s="5">
        <v>96</v>
      </c>
    </row>
    <row r="3047" spans="1:11" x14ac:dyDescent="0.25">
      <c r="A3047" s="2">
        <v>46224.333333333343</v>
      </c>
      <c r="B3047" t="str">
        <f t="shared" si="94"/>
        <v>2026-07</v>
      </c>
      <c r="C3047" s="3">
        <f t="shared" si="95"/>
        <v>8</v>
      </c>
      <c r="D3047" s="4">
        <v>26.192849180155552</v>
      </c>
      <c r="E3047" s="4">
        <v>27.687028739183329</v>
      </c>
      <c r="F3047" s="4">
        <v>28.935442295783329</v>
      </c>
      <c r="G3047" s="4">
        <v>21.4</v>
      </c>
      <c r="H3047" s="5">
        <v>54.096954251936118</v>
      </c>
      <c r="I3047" s="5">
        <v>49.760483738383343</v>
      </c>
      <c r="J3047" s="5">
        <v>46.396861748011112</v>
      </c>
      <c r="K3047" s="5">
        <v>87</v>
      </c>
    </row>
    <row r="3048" spans="1:11" x14ac:dyDescent="0.25">
      <c r="A3048" s="2">
        <v>46224.375</v>
      </c>
      <c r="B3048" t="str">
        <f t="shared" si="94"/>
        <v>2026-07</v>
      </c>
      <c r="C3048" s="3">
        <f t="shared" si="95"/>
        <v>9</v>
      </c>
      <c r="D3048" s="4">
        <v>26.779786862811111</v>
      </c>
      <c r="E3048" s="4">
        <v>27.796206394133328</v>
      </c>
      <c r="F3048" s="4">
        <v>28.94403208326111</v>
      </c>
      <c r="G3048" s="4">
        <v>22.2</v>
      </c>
      <c r="H3048" s="5">
        <v>51.280756650577779</v>
      </c>
      <c r="I3048" s="5">
        <v>49.536850836619443</v>
      </c>
      <c r="J3048" s="5">
        <v>46.426225796988888</v>
      </c>
      <c r="K3048" s="5">
        <v>84</v>
      </c>
    </row>
    <row r="3049" spans="1:11" x14ac:dyDescent="0.25">
      <c r="A3049" s="2">
        <v>46224.416666666657</v>
      </c>
      <c r="B3049" t="str">
        <f t="shared" si="94"/>
        <v>2026-07</v>
      </c>
      <c r="C3049" s="3">
        <f t="shared" si="95"/>
        <v>10</v>
      </c>
      <c r="D3049" s="4">
        <v>27.406472833338889</v>
      </c>
      <c r="E3049" s="4">
        <v>28.51810951855278</v>
      </c>
      <c r="F3049" s="4">
        <v>28.96370083203611</v>
      </c>
      <c r="G3049" s="4">
        <v>24.3</v>
      </c>
      <c r="H3049" s="5">
        <v>48.745768683186107</v>
      </c>
      <c r="I3049" s="5">
        <v>46.0760283169</v>
      </c>
      <c r="J3049" s="5">
        <v>46.594899251408329</v>
      </c>
      <c r="K3049" s="5">
        <v>75</v>
      </c>
    </row>
    <row r="3050" spans="1:11" x14ac:dyDescent="0.25">
      <c r="A3050" s="2">
        <v>46224.458333333343</v>
      </c>
      <c r="B3050" t="str">
        <f t="shared" si="94"/>
        <v>2026-07</v>
      </c>
      <c r="C3050" s="3">
        <f t="shared" si="95"/>
        <v>11</v>
      </c>
      <c r="D3050" s="4">
        <v>27.667869673872222</v>
      </c>
      <c r="E3050" s="4">
        <v>28.930284212149999</v>
      </c>
      <c r="F3050" s="4">
        <v>28.992090131200001</v>
      </c>
      <c r="G3050" s="4">
        <v>24.7</v>
      </c>
      <c r="H3050" s="5">
        <v>47.41064755981666</v>
      </c>
      <c r="I3050" s="5">
        <v>44.818098955483329</v>
      </c>
      <c r="J3050" s="5">
        <v>46.608446274641672</v>
      </c>
      <c r="K3050" s="5">
        <v>74</v>
      </c>
    </row>
    <row r="3051" spans="1:11" x14ac:dyDescent="0.25">
      <c r="A3051" s="2">
        <v>46224.5</v>
      </c>
      <c r="B3051" t="str">
        <f t="shared" si="94"/>
        <v>2026-07</v>
      </c>
      <c r="C3051" s="3">
        <f t="shared" si="95"/>
        <v>12</v>
      </c>
      <c r="D3051" s="4">
        <v>27.77858760766944</v>
      </c>
      <c r="E3051" s="4">
        <v>28.979631712027789</v>
      </c>
      <c r="F3051" s="4">
        <v>29.02561763005556</v>
      </c>
      <c r="G3051" s="4">
        <v>25.7</v>
      </c>
      <c r="H3051" s="5">
        <v>48.793690168838893</v>
      </c>
      <c r="I3051" s="5">
        <v>46.18009684658611</v>
      </c>
      <c r="J3051" s="5">
        <v>46.734837364180557</v>
      </c>
      <c r="K3051" s="5">
        <v>68</v>
      </c>
    </row>
    <row r="3052" spans="1:11" x14ac:dyDescent="0.25">
      <c r="A3052" s="2">
        <v>46224.541666666657</v>
      </c>
      <c r="B3052" t="str">
        <f t="shared" si="94"/>
        <v>2026-07</v>
      </c>
      <c r="C3052" s="3">
        <f t="shared" si="95"/>
        <v>13</v>
      </c>
      <c r="D3052" s="4">
        <v>26.435293739427781</v>
      </c>
      <c r="E3052" s="4">
        <v>28.362272648908331</v>
      </c>
      <c r="F3052" s="4">
        <v>29.005023660136111</v>
      </c>
      <c r="G3052" s="4">
        <v>21.7</v>
      </c>
      <c r="H3052" s="5">
        <v>42.471587940147217</v>
      </c>
      <c r="I3052" s="5">
        <v>41.456025683691671</v>
      </c>
      <c r="J3052" s="5">
        <v>46.539417193266672</v>
      </c>
      <c r="K3052" s="5">
        <v>86</v>
      </c>
    </row>
    <row r="3053" spans="1:11" x14ac:dyDescent="0.25">
      <c r="A3053" s="2">
        <v>46224.583333333343</v>
      </c>
      <c r="B3053" t="str">
        <f t="shared" si="94"/>
        <v>2026-07</v>
      </c>
      <c r="C3053" s="3">
        <f t="shared" si="95"/>
        <v>14</v>
      </c>
      <c r="D3053" s="4">
        <v>25.605061241716669</v>
      </c>
      <c r="E3053" s="4">
        <v>27.942795248113889</v>
      </c>
      <c r="F3053" s="4">
        <v>28.11370299586666</v>
      </c>
      <c r="G3053" s="4">
        <v>21.3</v>
      </c>
      <c r="H3053" s="5">
        <v>40.041645780566668</v>
      </c>
      <c r="I3053" s="5">
        <v>37.634839941730561</v>
      </c>
      <c r="J3053" s="5">
        <v>44.75482162953611</v>
      </c>
      <c r="K3053" s="5">
        <v>92</v>
      </c>
    </row>
    <row r="3054" spans="1:11" x14ac:dyDescent="0.25">
      <c r="A3054" s="2">
        <v>46224.625</v>
      </c>
      <c r="B3054" t="str">
        <f t="shared" si="94"/>
        <v>2026-07</v>
      </c>
      <c r="C3054" s="3">
        <f t="shared" si="95"/>
        <v>15</v>
      </c>
      <c r="D3054" s="4">
        <v>26.622299907575002</v>
      </c>
      <c r="E3054" s="4">
        <v>28.22973868651389</v>
      </c>
      <c r="F3054" s="4">
        <v>28.470573297497221</v>
      </c>
      <c r="G3054" s="4">
        <v>21.2</v>
      </c>
      <c r="H3054" s="5">
        <v>44.552977750452783</v>
      </c>
      <c r="I3054" s="5">
        <v>42.396866601388894</v>
      </c>
      <c r="J3054" s="5">
        <v>45.354659083905553</v>
      </c>
      <c r="K3054" s="5">
        <v>89</v>
      </c>
    </row>
    <row r="3055" spans="1:11" x14ac:dyDescent="0.25">
      <c r="A3055" s="2">
        <v>46224.666666666657</v>
      </c>
      <c r="B3055" t="str">
        <f t="shared" si="94"/>
        <v>2026-07</v>
      </c>
      <c r="C3055" s="3">
        <f t="shared" si="95"/>
        <v>16</v>
      </c>
      <c r="D3055" s="4">
        <v>25.327165821752772</v>
      </c>
      <c r="E3055" s="4">
        <v>27.598601923194451</v>
      </c>
      <c r="F3055" s="4">
        <v>28.704942620136109</v>
      </c>
      <c r="G3055" s="4">
        <v>21.4</v>
      </c>
      <c r="H3055" s="5">
        <v>42.956481271169451</v>
      </c>
      <c r="I3055" s="5">
        <v>41.856043937549998</v>
      </c>
      <c r="J3055" s="5">
        <v>45.776863531630561</v>
      </c>
      <c r="K3055" s="5">
        <v>90</v>
      </c>
    </row>
    <row r="3056" spans="1:11" x14ac:dyDescent="0.25">
      <c r="A3056" s="2">
        <v>46224.708333333343</v>
      </c>
      <c r="B3056" t="str">
        <f t="shared" si="94"/>
        <v>2026-07</v>
      </c>
      <c r="C3056" s="3">
        <f t="shared" si="95"/>
        <v>17</v>
      </c>
      <c r="D3056" s="4">
        <v>24.67460004470556</v>
      </c>
      <c r="E3056" s="4">
        <v>27.197601827530558</v>
      </c>
      <c r="F3056" s="4">
        <v>28.759145450019449</v>
      </c>
      <c r="G3056" s="4">
        <v>21.8</v>
      </c>
      <c r="H3056" s="5">
        <v>39.928902734458333</v>
      </c>
      <c r="I3056" s="5">
        <v>37.661225198705559</v>
      </c>
      <c r="J3056" s="5">
        <v>45.467834724688878</v>
      </c>
      <c r="K3056" s="5">
        <v>88</v>
      </c>
    </row>
    <row r="3057" spans="1:11" x14ac:dyDescent="0.25">
      <c r="A3057" s="2">
        <v>46224.75</v>
      </c>
      <c r="B3057" t="str">
        <f t="shared" si="94"/>
        <v>2026-07</v>
      </c>
      <c r="C3057" s="3">
        <f t="shared" si="95"/>
        <v>18</v>
      </c>
      <c r="D3057" s="4">
        <v>26.119527846655561</v>
      </c>
      <c r="E3057" s="4">
        <v>27.814065641038891</v>
      </c>
      <c r="F3057" s="4">
        <v>28.80334854117222</v>
      </c>
      <c r="G3057" s="4">
        <v>20</v>
      </c>
      <c r="H3057" s="5">
        <v>46.474226526355551</v>
      </c>
      <c r="I3057" s="5">
        <v>44.747308176777771</v>
      </c>
      <c r="J3057" s="5">
        <v>45.536192114505553</v>
      </c>
      <c r="K3057" s="5">
        <v>95</v>
      </c>
    </row>
    <row r="3058" spans="1:11" x14ac:dyDescent="0.25">
      <c r="A3058" s="2">
        <v>46224.791666666657</v>
      </c>
      <c r="B3058" t="str">
        <f t="shared" si="94"/>
        <v>2026-07</v>
      </c>
      <c r="C3058" s="3">
        <f t="shared" si="95"/>
        <v>19</v>
      </c>
      <c r="D3058" s="4">
        <v>26.626734026197219</v>
      </c>
      <c r="E3058" s="4">
        <v>28.048959503569449</v>
      </c>
      <c r="F3058" s="4">
        <v>28.884158679327779</v>
      </c>
      <c r="G3058" s="4">
        <v>19.8</v>
      </c>
      <c r="H3058" s="5">
        <v>50.296825234400004</v>
      </c>
      <c r="I3058" s="5">
        <v>49.185095453930558</v>
      </c>
      <c r="J3058" s="5">
        <v>46.241024693588891</v>
      </c>
      <c r="K3058" s="5">
        <v>96</v>
      </c>
    </row>
    <row r="3059" spans="1:11" x14ac:dyDescent="0.25">
      <c r="A3059" s="2">
        <v>46224.833333333343</v>
      </c>
      <c r="B3059" t="str">
        <f t="shared" si="94"/>
        <v>2026-07</v>
      </c>
      <c r="C3059" s="3">
        <f t="shared" si="95"/>
        <v>20</v>
      </c>
      <c r="D3059" s="4">
        <v>26.821106541150002</v>
      </c>
      <c r="E3059" s="4">
        <v>28.211217765936109</v>
      </c>
      <c r="F3059" s="4">
        <v>28.97395912805278</v>
      </c>
      <c r="G3059" s="4">
        <v>19.7</v>
      </c>
      <c r="H3059" s="5">
        <v>52.549074950563892</v>
      </c>
      <c r="I3059" s="5">
        <v>50.526092168349997</v>
      </c>
      <c r="J3059" s="5">
        <v>46.814002597208336</v>
      </c>
      <c r="K3059" s="5">
        <v>97</v>
      </c>
    </row>
    <row r="3060" spans="1:11" x14ac:dyDescent="0.25">
      <c r="A3060" s="2">
        <v>46224.875</v>
      </c>
      <c r="B3060" t="str">
        <f t="shared" si="94"/>
        <v>2026-07</v>
      </c>
      <c r="C3060" s="3">
        <f t="shared" si="95"/>
        <v>21</v>
      </c>
      <c r="D3060" s="4">
        <v>26.921779885702779</v>
      </c>
      <c r="E3060" s="4">
        <v>28.24335156405278</v>
      </c>
      <c r="F3060" s="4">
        <v>29.005643376108331</v>
      </c>
      <c r="G3060" s="4">
        <v>19</v>
      </c>
      <c r="H3060" s="5">
        <v>52.934849245975002</v>
      </c>
      <c r="I3060" s="5">
        <v>50.587105363091673</v>
      </c>
      <c r="J3060" s="5">
        <v>46.877476882255557</v>
      </c>
      <c r="K3060" s="5">
        <v>96</v>
      </c>
    </row>
    <row r="3061" spans="1:11" x14ac:dyDescent="0.25">
      <c r="A3061" s="2">
        <v>46224.916666666657</v>
      </c>
      <c r="B3061" t="str">
        <f t="shared" si="94"/>
        <v>2026-07</v>
      </c>
      <c r="C3061" s="3">
        <f t="shared" si="95"/>
        <v>22</v>
      </c>
      <c r="D3061" s="4">
        <v>26.860858948330559</v>
      </c>
      <c r="E3061" s="4">
        <v>28.641707551561112</v>
      </c>
      <c r="F3061" s="4">
        <v>29.017502022483331</v>
      </c>
      <c r="G3061" s="4">
        <v>18.7</v>
      </c>
      <c r="H3061" s="5">
        <v>51.655008961652783</v>
      </c>
      <c r="I3061" s="5">
        <v>49.042457168430552</v>
      </c>
      <c r="J3061" s="5">
        <v>46.840565167577779</v>
      </c>
      <c r="K3061" s="5">
        <v>96</v>
      </c>
    </row>
    <row r="3062" spans="1:11" x14ac:dyDescent="0.25">
      <c r="A3062" s="2">
        <v>46224.958333333343</v>
      </c>
      <c r="B3062" t="str">
        <f t="shared" si="94"/>
        <v>2026-07</v>
      </c>
      <c r="C3062" s="3">
        <f t="shared" si="95"/>
        <v>23</v>
      </c>
      <c r="D3062" s="4">
        <v>26.036137665872221</v>
      </c>
      <c r="E3062" s="4">
        <v>28.125594518844441</v>
      </c>
      <c r="F3062" s="4">
        <v>29.08546640070556</v>
      </c>
      <c r="G3062" s="4">
        <v>18.5</v>
      </c>
      <c r="H3062" s="5">
        <v>52.351414289583339</v>
      </c>
      <c r="I3062" s="5">
        <v>49.110024798386107</v>
      </c>
      <c r="J3062" s="5">
        <v>48.139940766758343</v>
      </c>
      <c r="K3062" s="5">
        <v>95</v>
      </c>
    </row>
    <row r="3063" spans="1:11" x14ac:dyDescent="0.25">
      <c r="A3063" s="2">
        <v>46225</v>
      </c>
      <c r="B3063" t="str">
        <f t="shared" si="94"/>
        <v>2026-07</v>
      </c>
      <c r="C3063" s="3">
        <f t="shared" si="95"/>
        <v>0</v>
      </c>
      <c r="D3063" s="4">
        <v>24.939884715219449</v>
      </c>
      <c r="E3063" s="4">
        <v>27.855354412033339</v>
      </c>
      <c r="F3063" s="4">
        <v>29.20375343565</v>
      </c>
      <c r="G3063" s="4">
        <v>18.2</v>
      </c>
      <c r="H3063" s="5">
        <v>53.534245476444447</v>
      </c>
      <c r="I3063" s="5">
        <v>49.86988779801667</v>
      </c>
      <c r="J3063" s="5">
        <v>48.954114624680557</v>
      </c>
      <c r="K3063" s="5">
        <v>96</v>
      </c>
    </row>
    <row r="3064" spans="1:11" x14ac:dyDescent="0.25">
      <c r="A3064" s="2">
        <v>46225.041666666657</v>
      </c>
      <c r="B3064" t="str">
        <f t="shared" si="94"/>
        <v>2026-07</v>
      </c>
      <c r="C3064" s="3">
        <f t="shared" si="95"/>
        <v>1</v>
      </c>
      <c r="D3064" s="4">
        <v>24.350854949927779</v>
      </c>
      <c r="E3064" s="4">
        <v>27.384020850477778</v>
      </c>
      <c r="F3064" s="4">
        <v>29.29309918632778</v>
      </c>
      <c r="G3064" s="4">
        <v>17.899999999999999</v>
      </c>
      <c r="H3064" s="5">
        <v>50.353696800599998</v>
      </c>
      <c r="I3064" s="5">
        <v>46.169222555986117</v>
      </c>
      <c r="J3064" s="5">
        <v>48.495397830063887</v>
      </c>
      <c r="K3064" s="5">
        <v>96</v>
      </c>
    </row>
    <row r="3065" spans="1:11" x14ac:dyDescent="0.25">
      <c r="A3065" s="2">
        <v>46225.083333333343</v>
      </c>
      <c r="B3065" t="str">
        <f t="shared" si="94"/>
        <v>2026-07</v>
      </c>
      <c r="C3065" s="3">
        <f t="shared" si="95"/>
        <v>2</v>
      </c>
      <c r="D3065" s="4">
        <v>23.701890444647219</v>
      </c>
      <c r="E3065" s="4">
        <v>27.201608107830559</v>
      </c>
      <c r="F3065" s="4">
        <v>29.363788979516659</v>
      </c>
      <c r="G3065" s="4">
        <v>17.5</v>
      </c>
      <c r="H3065" s="5">
        <v>51.488741036213888</v>
      </c>
      <c r="I3065" s="5">
        <v>44.320564069174999</v>
      </c>
      <c r="J3065" s="5">
        <v>47.753770814352777</v>
      </c>
      <c r="K3065" s="5">
        <v>96</v>
      </c>
    </row>
    <row r="3066" spans="1:11" x14ac:dyDescent="0.25">
      <c r="A3066" s="2">
        <v>46225.125</v>
      </c>
      <c r="B3066" t="str">
        <f t="shared" si="94"/>
        <v>2026-07</v>
      </c>
      <c r="C3066" s="3">
        <f t="shared" si="95"/>
        <v>3</v>
      </c>
      <c r="D3066" s="4">
        <v>23.402161867469442</v>
      </c>
      <c r="E3066" s="4">
        <v>27.061374295080551</v>
      </c>
      <c r="F3066" s="4">
        <v>29.41345118154166</v>
      </c>
      <c r="G3066" s="4">
        <v>15.9</v>
      </c>
      <c r="H3066" s="5">
        <v>54.677864001813887</v>
      </c>
      <c r="I3066" s="5">
        <v>45.660927738200002</v>
      </c>
      <c r="J3066" s="5">
        <v>47.57096522860278</v>
      </c>
      <c r="K3066" s="5">
        <v>96</v>
      </c>
    </row>
    <row r="3067" spans="1:11" x14ac:dyDescent="0.25">
      <c r="A3067" s="2">
        <v>46225.166666666657</v>
      </c>
      <c r="B3067" t="str">
        <f t="shared" si="94"/>
        <v>2026-07</v>
      </c>
      <c r="C3067" s="3">
        <f t="shared" si="95"/>
        <v>4</v>
      </c>
      <c r="D3067" s="4">
        <v>23.117452010344451</v>
      </c>
      <c r="E3067" s="4">
        <v>26.854676840811109</v>
      </c>
      <c r="F3067" s="4">
        <v>29.36942157828889</v>
      </c>
      <c r="G3067" s="4">
        <v>15.5</v>
      </c>
      <c r="H3067" s="5">
        <v>56.318011792236113</v>
      </c>
      <c r="I3067" s="5">
        <v>46.849474930080561</v>
      </c>
      <c r="J3067" s="5">
        <v>47.579527496899999</v>
      </c>
      <c r="K3067" s="5">
        <v>96</v>
      </c>
    </row>
    <row r="3068" spans="1:11" x14ac:dyDescent="0.25">
      <c r="A3068" s="2">
        <v>46225.208333333343</v>
      </c>
      <c r="B3068" t="str">
        <f t="shared" si="94"/>
        <v>2026-07</v>
      </c>
      <c r="C3068" s="3">
        <f t="shared" si="95"/>
        <v>5</v>
      </c>
      <c r="D3068" s="4">
        <v>23.112453640422221</v>
      </c>
      <c r="E3068" s="4">
        <v>26.798198268124999</v>
      </c>
      <c r="F3068" s="4">
        <v>29.266560492983331</v>
      </c>
      <c r="G3068" s="4">
        <v>15</v>
      </c>
      <c r="H3068" s="5">
        <v>55.881642587347223</v>
      </c>
      <c r="I3068" s="5">
        <v>46.657359888030562</v>
      </c>
      <c r="J3068" s="5">
        <v>47.548987657297218</v>
      </c>
      <c r="K3068" s="5">
        <v>96</v>
      </c>
    </row>
    <row r="3069" spans="1:11" x14ac:dyDescent="0.25">
      <c r="A3069" s="2">
        <v>46225.25</v>
      </c>
      <c r="B3069" t="str">
        <f t="shared" si="94"/>
        <v>2026-07</v>
      </c>
      <c r="C3069" s="3">
        <f t="shared" si="95"/>
        <v>6</v>
      </c>
      <c r="D3069" s="4">
        <v>24.555459066855551</v>
      </c>
      <c r="E3069" s="4">
        <v>27.062116268833339</v>
      </c>
      <c r="F3069" s="4">
        <v>29.192238669361121</v>
      </c>
      <c r="G3069" s="4">
        <v>15.2</v>
      </c>
      <c r="H3069" s="5">
        <v>52.448882605938898</v>
      </c>
      <c r="I3069" s="5">
        <v>47.081802206644447</v>
      </c>
      <c r="J3069" s="5">
        <v>47.563407183744438</v>
      </c>
      <c r="K3069" s="5">
        <v>96</v>
      </c>
    </row>
    <row r="3070" spans="1:11" x14ac:dyDescent="0.25">
      <c r="A3070" s="2">
        <v>46225.291666666657</v>
      </c>
      <c r="B3070" t="str">
        <f t="shared" si="94"/>
        <v>2026-07</v>
      </c>
      <c r="C3070" s="3">
        <f t="shared" si="95"/>
        <v>7</v>
      </c>
      <c r="D3070" s="4">
        <v>25.939135156744442</v>
      </c>
      <c r="E3070" s="4">
        <v>27.521452581449999</v>
      </c>
      <c r="F3070" s="4">
        <v>29.157856488838888</v>
      </c>
      <c r="G3070" s="4">
        <v>16.5</v>
      </c>
      <c r="H3070" s="5">
        <v>47.114703276461121</v>
      </c>
      <c r="I3070" s="5">
        <v>45.620313880211121</v>
      </c>
      <c r="J3070" s="5">
        <v>47.593088522227781</v>
      </c>
      <c r="K3070" s="5">
        <v>92</v>
      </c>
    </row>
    <row r="3071" spans="1:11" x14ac:dyDescent="0.25">
      <c r="A3071" s="2">
        <v>46225.333333333343</v>
      </c>
      <c r="B3071" t="str">
        <f t="shared" si="94"/>
        <v>2026-07</v>
      </c>
      <c r="C3071" s="3">
        <f t="shared" si="95"/>
        <v>8</v>
      </c>
      <c r="D3071" s="4">
        <v>26.904210719405551</v>
      </c>
      <c r="E3071" s="4">
        <v>28.112913576208332</v>
      </c>
      <c r="F3071" s="4">
        <v>29.14980775408889</v>
      </c>
      <c r="G3071" s="4">
        <v>18.399999999999999</v>
      </c>
      <c r="H3071" s="5">
        <v>42.547688509152778</v>
      </c>
      <c r="I3071" s="5">
        <v>41.463742824633343</v>
      </c>
      <c r="J3071" s="5">
        <v>47.437134886938892</v>
      </c>
      <c r="K3071" s="5">
        <v>83</v>
      </c>
    </row>
    <row r="3072" spans="1:11" x14ac:dyDescent="0.25">
      <c r="A3072" s="2">
        <v>46225.375</v>
      </c>
      <c r="B3072" t="str">
        <f t="shared" si="94"/>
        <v>2026-07</v>
      </c>
      <c r="C3072" s="3">
        <f t="shared" si="95"/>
        <v>9</v>
      </c>
      <c r="D3072" s="4">
        <v>27.400733110327771</v>
      </c>
      <c r="E3072" s="4">
        <v>28.277063982702771</v>
      </c>
      <c r="F3072" s="4">
        <v>29.15763899535834</v>
      </c>
      <c r="G3072" s="4">
        <v>20.399999999999999</v>
      </c>
      <c r="H3072" s="5">
        <v>40.130981603008337</v>
      </c>
      <c r="I3072" s="5">
        <v>39.501595054363897</v>
      </c>
      <c r="J3072" s="5">
        <v>47.285849896436112</v>
      </c>
      <c r="K3072" s="5">
        <v>74</v>
      </c>
    </row>
    <row r="3073" spans="1:11" x14ac:dyDescent="0.25">
      <c r="A3073" s="2">
        <v>46225.416666666657</v>
      </c>
      <c r="B3073" t="str">
        <f t="shared" si="94"/>
        <v>2026-07</v>
      </c>
      <c r="C3073" s="3">
        <f t="shared" si="95"/>
        <v>10</v>
      </c>
      <c r="D3073" s="4">
        <v>27.607574948119449</v>
      </c>
      <c r="E3073" s="4">
        <v>28.649229921822229</v>
      </c>
      <c r="F3073" s="4">
        <v>29.17303229859445</v>
      </c>
      <c r="G3073" s="4">
        <v>21.7</v>
      </c>
      <c r="H3073" s="5">
        <v>39.071580248449997</v>
      </c>
      <c r="I3073" s="5">
        <v>37.611453770191673</v>
      </c>
      <c r="J3073" s="5">
        <v>47.098150436330549</v>
      </c>
      <c r="K3073" s="5">
        <v>66</v>
      </c>
    </row>
    <row r="3074" spans="1:11" x14ac:dyDescent="0.25">
      <c r="A3074" s="2">
        <v>46225.458333333343</v>
      </c>
      <c r="B3074" t="str">
        <f t="shared" ref="B3074:B3137" si="96">TEXT(A3074,"yyyy-mm")</f>
        <v>2026-07</v>
      </c>
      <c r="C3074" s="3">
        <f t="shared" ref="C3074:C3137" si="97">HOUR(A3074)</f>
        <v>11</v>
      </c>
      <c r="D3074" s="4">
        <v>27.655667937936109</v>
      </c>
      <c r="E3074" s="4">
        <v>28.83845472770556</v>
      </c>
      <c r="F3074" s="4">
        <v>29.18878472722222</v>
      </c>
      <c r="G3074" s="4">
        <v>22.8</v>
      </c>
      <c r="H3074" s="5">
        <v>37.829047704044449</v>
      </c>
      <c r="I3074" s="5">
        <v>37.276446664061112</v>
      </c>
      <c r="J3074" s="5">
        <v>46.882071969666661</v>
      </c>
      <c r="K3074" s="5">
        <v>59</v>
      </c>
    </row>
    <row r="3075" spans="1:11" x14ac:dyDescent="0.25">
      <c r="A3075" s="2">
        <v>46225.5</v>
      </c>
      <c r="B3075" t="str">
        <f t="shared" si="96"/>
        <v>2026-07</v>
      </c>
      <c r="C3075" s="3">
        <f t="shared" si="97"/>
        <v>12</v>
      </c>
      <c r="D3075" s="4">
        <v>27.69707359254722</v>
      </c>
      <c r="E3075" s="4">
        <v>28.725711815047219</v>
      </c>
      <c r="F3075" s="4">
        <v>29.20488648494722</v>
      </c>
      <c r="G3075" s="4">
        <v>23.6</v>
      </c>
      <c r="H3075" s="5">
        <v>37.398761124011109</v>
      </c>
      <c r="I3075" s="5">
        <v>37.136090280455562</v>
      </c>
      <c r="J3075" s="5">
        <v>46.798266379597223</v>
      </c>
      <c r="K3075" s="5">
        <v>53</v>
      </c>
    </row>
    <row r="3076" spans="1:11" x14ac:dyDescent="0.25">
      <c r="A3076" s="2">
        <v>46225.541666666657</v>
      </c>
      <c r="B3076" t="str">
        <f t="shared" si="96"/>
        <v>2026-07</v>
      </c>
      <c r="C3076" s="3">
        <f t="shared" si="97"/>
        <v>13</v>
      </c>
      <c r="D3076" s="4">
        <v>27.615780185677771</v>
      </c>
      <c r="E3076" s="4">
        <v>28.599110949688889</v>
      </c>
      <c r="F3076" s="4">
        <v>29.26058817865556</v>
      </c>
      <c r="G3076" s="4">
        <v>24.1</v>
      </c>
      <c r="H3076" s="5">
        <v>36.848152462352779</v>
      </c>
      <c r="I3076" s="5">
        <v>38.016985769272218</v>
      </c>
      <c r="J3076" s="5">
        <v>46.880940154280559</v>
      </c>
      <c r="K3076" s="5">
        <v>52</v>
      </c>
    </row>
    <row r="3077" spans="1:11" x14ac:dyDescent="0.25">
      <c r="A3077" s="2">
        <v>46225.583333333343</v>
      </c>
      <c r="B3077" t="str">
        <f t="shared" si="96"/>
        <v>2026-07</v>
      </c>
      <c r="C3077" s="3">
        <f t="shared" si="97"/>
        <v>14</v>
      </c>
      <c r="D3077" s="4">
        <v>27.478141297147221</v>
      </c>
      <c r="E3077" s="4">
        <v>28.500427573569439</v>
      </c>
      <c r="F3077" s="4">
        <v>29.402030107725</v>
      </c>
      <c r="G3077" s="4">
        <v>23.9</v>
      </c>
      <c r="H3077" s="5">
        <v>35.606243934219442</v>
      </c>
      <c r="I3077" s="5">
        <v>37.391825270141659</v>
      </c>
      <c r="J3077" s="5">
        <v>46.84238876816945</v>
      </c>
      <c r="K3077" s="5">
        <v>53</v>
      </c>
    </row>
    <row r="3078" spans="1:11" x14ac:dyDescent="0.25">
      <c r="A3078" s="2">
        <v>46225.625</v>
      </c>
      <c r="B3078" t="str">
        <f t="shared" si="96"/>
        <v>2026-07</v>
      </c>
      <c r="C3078" s="3">
        <f t="shared" si="97"/>
        <v>15</v>
      </c>
      <c r="D3078" s="4">
        <v>27.290010797627779</v>
      </c>
      <c r="E3078" s="4">
        <v>28.416045549700002</v>
      </c>
      <c r="F3078" s="4">
        <v>29.45932415228333</v>
      </c>
      <c r="G3078" s="4">
        <v>24.3</v>
      </c>
      <c r="H3078" s="5">
        <v>38.529120029330556</v>
      </c>
      <c r="I3078" s="5">
        <v>39.50144889365</v>
      </c>
      <c r="J3078" s="5">
        <v>46.562089745594442</v>
      </c>
      <c r="K3078" s="5">
        <v>51</v>
      </c>
    </row>
    <row r="3079" spans="1:11" x14ac:dyDescent="0.25">
      <c r="A3079" s="2">
        <v>46225.666666666657</v>
      </c>
      <c r="B3079" t="str">
        <f t="shared" si="96"/>
        <v>2026-07</v>
      </c>
      <c r="C3079" s="3">
        <f t="shared" si="97"/>
        <v>16</v>
      </c>
      <c r="D3079" s="4">
        <v>27.279599037655561</v>
      </c>
      <c r="E3079" s="4">
        <v>28.429026113533329</v>
      </c>
      <c r="F3079" s="4">
        <v>29.421217757536109</v>
      </c>
      <c r="G3079" s="4">
        <v>24.2</v>
      </c>
      <c r="H3079" s="5">
        <v>38.702552948300003</v>
      </c>
      <c r="I3079" s="5">
        <v>40.686793065577781</v>
      </c>
      <c r="J3079" s="5">
        <v>46.422904765725001</v>
      </c>
      <c r="K3079" s="5">
        <v>52</v>
      </c>
    </row>
    <row r="3080" spans="1:11" x14ac:dyDescent="0.25">
      <c r="A3080" s="2">
        <v>46225.708333333343</v>
      </c>
      <c r="B3080" t="str">
        <f t="shared" si="96"/>
        <v>2026-07</v>
      </c>
      <c r="C3080" s="3">
        <f t="shared" si="97"/>
        <v>17</v>
      </c>
      <c r="D3080" s="4">
        <v>27.31803525079722</v>
      </c>
      <c r="E3080" s="4">
        <v>28.483378553419438</v>
      </c>
      <c r="F3080" s="4">
        <v>29.384905131427772</v>
      </c>
      <c r="G3080" s="4">
        <v>24</v>
      </c>
      <c r="H3080" s="5">
        <v>37.29647241507778</v>
      </c>
      <c r="I3080" s="5">
        <v>39.37316425305</v>
      </c>
      <c r="J3080" s="5">
        <v>46.341039233855547</v>
      </c>
      <c r="K3080" s="5">
        <v>54</v>
      </c>
    </row>
    <row r="3081" spans="1:11" x14ac:dyDescent="0.25">
      <c r="A3081" s="2">
        <v>46225.75</v>
      </c>
      <c r="B3081" t="str">
        <f t="shared" si="96"/>
        <v>2026-07</v>
      </c>
      <c r="C3081" s="3">
        <f t="shared" si="97"/>
        <v>18</v>
      </c>
      <c r="D3081" s="4">
        <v>27.126551329777779</v>
      </c>
      <c r="E3081" s="4">
        <v>28.42446239465556</v>
      </c>
      <c r="F3081" s="4">
        <v>29.34369652296111</v>
      </c>
      <c r="G3081" s="4">
        <v>23.5</v>
      </c>
      <c r="H3081" s="5">
        <v>34.96422111451389</v>
      </c>
      <c r="I3081" s="5">
        <v>37.374809134275012</v>
      </c>
      <c r="J3081" s="5">
        <v>46.197411003827767</v>
      </c>
      <c r="K3081" s="5">
        <v>52</v>
      </c>
    </row>
    <row r="3082" spans="1:11" x14ac:dyDescent="0.25">
      <c r="A3082" s="2">
        <v>46225.791666666657</v>
      </c>
      <c r="B3082" t="str">
        <f t="shared" si="96"/>
        <v>2026-07</v>
      </c>
      <c r="C3082" s="3">
        <f t="shared" si="97"/>
        <v>19</v>
      </c>
      <c r="D3082" s="4">
        <v>26.872728037691669</v>
      </c>
      <c r="E3082" s="4">
        <v>28.237103114919449</v>
      </c>
      <c r="F3082" s="4">
        <v>29.208682879874999</v>
      </c>
      <c r="G3082" s="4">
        <v>22.8</v>
      </c>
      <c r="H3082" s="5">
        <v>36.684942995911108</v>
      </c>
      <c r="I3082" s="5">
        <v>37.615742688588888</v>
      </c>
      <c r="J3082" s="5">
        <v>45.787809156333338</v>
      </c>
      <c r="K3082" s="5">
        <v>59</v>
      </c>
    </row>
    <row r="3083" spans="1:11" x14ac:dyDescent="0.25">
      <c r="A3083" s="2">
        <v>46225.833333333343</v>
      </c>
      <c r="B3083" t="str">
        <f t="shared" si="96"/>
        <v>2026-07</v>
      </c>
      <c r="C3083" s="3">
        <f t="shared" si="97"/>
        <v>20</v>
      </c>
      <c r="D3083" s="4">
        <v>26.48247339900556</v>
      </c>
      <c r="E3083" s="4">
        <v>28.070379220772221</v>
      </c>
      <c r="F3083" s="4">
        <v>29.178045937663889</v>
      </c>
      <c r="G3083" s="4">
        <v>21.4</v>
      </c>
      <c r="H3083" s="5">
        <v>37.781811383955556</v>
      </c>
      <c r="I3083" s="5">
        <v>37.118854020469449</v>
      </c>
      <c r="J3083" s="5">
        <v>45.758077999586114</v>
      </c>
      <c r="K3083" s="5">
        <v>66</v>
      </c>
    </row>
    <row r="3084" spans="1:11" x14ac:dyDescent="0.25">
      <c r="A3084" s="2">
        <v>46225.875</v>
      </c>
      <c r="B3084" t="str">
        <f t="shared" si="96"/>
        <v>2026-07</v>
      </c>
      <c r="C3084" s="3">
        <f t="shared" si="97"/>
        <v>21</v>
      </c>
      <c r="D3084" s="4">
        <v>25.98003219744167</v>
      </c>
      <c r="E3084" s="4">
        <v>28.233123567519439</v>
      </c>
      <c r="F3084" s="4">
        <v>29.157025413574999</v>
      </c>
      <c r="G3084" s="4">
        <v>20.3</v>
      </c>
      <c r="H3084" s="5">
        <v>40.340124593744441</v>
      </c>
      <c r="I3084" s="5">
        <v>39.003426445491669</v>
      </c>
      <c r="J3084" s="5">
        <v>45.695918861688888</v>
      </c>
      <c r="K3084" s="5">
        <v>69</v>
      </c>
    </row>
    <row r="3085" spans="1:11" x14ac:dyDescent="0.25">
      <c r="A3085" s="2">
        <v>46225.916666666657</v>
      </c>
      <c r="B3085" t="str">
        <f t="shared" si="96"/>
        <v>2026-07</v>
      </c>
      <c r="C3085" s="3">
        <f t="shared" si="97"/>
        <v>22</v>
      </c>
      <c r="D3085" s="4">
        <v>25.76371156355</v>
      </c>
      <c r="E3085" s="4">
        <v>28.39650716583056</v>
      </c>
      <c r="F3085" s="4">
        <v>29.150719794311112</v>
      </c>
      <c r="G3085" s="4">
        <v>19.399999999999999</v>
      </c>
      <c r="H3085" s="5">
        <v>40.682206287944453</v>
      </c>
      <c r="I3085" s="5">
        <v>37.995092303072219</v>
      </c>
      <c r="J3085" s="5">
        <v>45.705254658219452</v>
      </c>
      <c r="K3085" s="5">
        <v>71</v>
      </c>
    </row>
    <row r="3086" spans="1:11" x14ac:dyDescent="0.25">
      <c r="A3086" s="2">
        <v>46225.958333333343</v>
      </c>
      <c r="B3086" t="str">
        <f t="shared" si="96"/>
        <v>2026-07</v>
      </c>
      <c r="C3086" s="3">
        <f t="shared" si="97"/>
        <v>23</v>
      </c>
      <c r="D3086" s="4">
        <v>25.55237124736945</v>
      </c>
      <c r="E3086" s="4">
        <v>28.436392947113891</v>
      </c>
      <c r="F3086" s="4">
        <v>29.154282513266661</v>
      </c>
      <c r="G3086" s="4">
        <v>18.5</v>
      </c>
      <c r="H3086" s="5">
        <v>41.227103727730558</v>
      </c>
      <c r="I3086" s="5">
        <v>37.479723980177774</v>
      </c>
      <c r="J3086" s="5">
        <v>45.707858856286123</v>
      </c>
      <c r="K3086" s="5">
        <v>74</v>
      </c>
    </row>
    <row r="3087" spans="1:11" x14ac:dyDescent="0.25">
      <c r="A3087" s="2">
        <v>46226</v>
      </c>
      <c r="B3087" t="str">
        <f t="shared" si="96"/>
        <v>2026-07</v>
      </c>
      <c r="C3087" s="3">
        <f t="shared" si="97"/>
        <v>0</v>
      </c>
      <c r="D3087" s="4">
        <v>25.343857288502772</v>
      </c>
      <c r="E3087" s="4">
        <v>28.40472685409722</v>
      </c>
      <c r="F3087" s="4">
        <v>29.153247662169441</v>
      </c>
      <c r="G3087" s="4">
        <v>17.899999999999999</v>
      </c>
      <c r="H3087" s="5">
        <v>41.950125096977779</v>
      </c>
      <c r="I3087" s="5">
        <v>38.767024972722218</v>
      </c>
      <c r="J3087" s="5">
        <v>45.716747521361107</v>
      </c>
      <c r="K3087" s="5">
        <v>74</v>
      </c>
    </row>
    <row r="3088" spans="1:11" x14ac:dyDescent="0.25">
      <c r="A3088" s="2">
        <v>46226.041666666657</v>
      </c>
      <c r="B3088" t="str">
        <f t="shared" si="96"/>
        <v>2026-07</v>
      </c>
      <c r="C3088" s="3">
        <f t="shared" si="97"/>
        <v>1</v>
      </c>
      <c r="D3088" s="4">
        <v>24.884502735824999</v>
      </c>
      <c r="E3088" s="4">
        <v>27.952843359025</v>
      </c>
      <c r="F3088" s="4">
        <v>29.139939466519451</v>
      </c>
      <c r="G3088" s="4">
        <v>17.100000000000001</v>
      </c>
      <c r="H3088" s="5">
        <v>43.556541698433342</v>
      </c>
      <c r="I3088" s="5">
        <v>39.886424880600003</v>
      </c>
      <c r="J3088" s="5">
        <v>45.692643906625001</v>
      </c>
      <c r="K3088" s="5">
        <v>76</v>
      </c>
    </row>
    <row r="3089" spans="1:11" x14ac:dyDescent="0.25">
      <c r="A3089" s="2">
        <v>46226.083333333343</v>
      </c>
      <c r="B3089" t="str">
        <f t="shared" si="96"/>
        <v>2026-07</v>
      </c>
      <c r="C3089" s="3">
        <f t="shared" si="97"/>
        <v>2</v>
      </c>
      <c r="D3089" s="4">
        <v>24.508820556422229</v>
      </c>
      <c r="E3089" s="4">
        <v>27.608442187716669</v>
      </c>
      <c r="F3089" s="4">
        <v>29.117326279450001</v>
      </c>
      <c r="G3089" s="4">
        <v>16.7</v>
      </c>
      <c r="H3089" s="5">
        <v>43.874984314583337</v>
      </c>
      <c r="I3089" s="5">
        <v>40.032597954994444</v>
      </c>
      <c r="J3089" s="5">
        <v>45.701573867172222</v>
      </c>
      <c r="K3089" s="5">
        <v>78</v>
      </c>
    </row>
    <row r="3090" spans="1:11" x14ac:dyDescent="0.25">
      <c r="A3090" s="2">
        <v>46226.125</v>
      </c>
      <c r="B3090" t="str">
        <f t="shared" si="96"/>
        <v>2026-07</v>
      </c>
      <c r="C3090" s="3">
        <f t="shared" si="97"/>
        <v>3</v>
      </c>
      <c r="D3090" s="4">
        <v>24.17835732673333</v>
      </c>
      <c r="E3090" s="4">
        <v>27.399629854530559</v>
      </c>
      <c r="F3090" s="4">
        <v>29.090520487755551</v>
      </c>
      <c r="G3090" s="4">
        <v>16</v>
      </c>
      <c r="H3090" s="5">
        <v>44.368388107000001</v>
      </c>
      <c r="I3090" s="5">
        <v>39.683803113019437</v>
      </c>
      <c r="J3090" s="5">
        <v>45.640177560213893</v>
      </c>
      <c r="K3090" s="5">
        <v>80</v>
      </c>
    </row>
    <row r="3091" spans="1:11" x14ac:dyDescent="0.25">
      <c r="A3091" s="2">
        <v>46226.166666666657</v>
      </c>
      <c r="B3091" t="str">
        <f t="shared" si="96"/>
        <v>2026-07</v>
      </c>
      <c r="C3091" s="3">
        <f t="shared" si="97"/>
        <v>4</v>
      </c>
      <c r="D3091" s="4">
        <v>23.97115389258612</v>
      </c>
      <c r="E3091" s="4">
        <v>27.247540791624999</v>
      </c>
      <c r="F3091" s="4">
        <v>29.060884217538892</v>
      </c>
      <c r="G3091" s="4">
        <v>15.3</v>
      </c>
      <c r="H3091" s="5">
        <v>44.859475805875</v>
      </c>
      <c r="I3091" s="5">
        <v>39.584780265702783</v>
      </c>
      <c r="J3091" s="5">
        <v>45.564089345994439</v>
      </c>
      <c r="K3091" s="5">
        <v>83</v>
      </c>
    </row>
    <row r="3092" spans="1:11" x14ac:dyDescent="0.25">
      <c r="A3092" s="2">
        <v>46226.208333333343</v>
      </c>
      <c r="B3092" t="str">
        <f t="shared" si="96"/>
        <v>2026-07</v>
      </c>
      <c r="C3092" s="3">
        <f t="shared" si="97"/>
        <v>5</v>
      </c>
      <c r="D3092" s="4">
        <v>23.648893895016659</v>
      </c>
      <c r="E3092" s="4">
        <v>27.081630263538891</v>
      </c>
      <c r="F3092" s="4">
        <v>29.042828264213892</v>
      </c>
      <c r="G3092" s="4">
        <v>15.1</v>
      </c>
      <c r="H3092" s="5">
        <v>45.839250971111113</v>
      </c>
      <c r="I3092" s="5">
        <v>39.775249152308326</v>
      </c>
      <c r="J3092" s="5">
        <v>45.517275408641673</v>
      </c>
      <c r="K3092" s="5">
        <v>84</v>
      </c>
    </row>
    <row r="3093" spans="1:11" x14ac:dyDescent="0.25">
      <c r="A3093" s="2">
        <v>46226.25</v>
      </c>
      <c r="B3093" t="str">
        <f t="shared" si="96"/>
        <v>2026-07</v>
      </c>
      <c r="C3093" s="3">
        <f t="shared" si="97"/>
        <v>6</v>
      </c>
      <c r="D3093" s="4">
        <v>23.50839489871667</v>
      </c>
      <c r="E3093" s="4">
        <v>26.873300457519441</v>
      </c>
      <c r="F3093" s="4">
        <v>29.027606205188889</v>
      </c>
      <c r="G3093" s="4">
        <v>15.2</v>
      </c>
      <c r="H3093" s="5">
        <v>45.818950496936111</v>
      </c>
      <c r="I3093" s="5">
        <v>39.652013702594452</v>
      </c>
      <c r="J3093" s="5">
        <v>45.502272986497218</v>
      </c>
      <c r="K3093" s="5">
        <v>84</v>
      </c>
    </row>
    <row r="3094" spans="1:11" x14ac:dyDescent="0.25">
      <c r="A3094" s="2">
        <v>46226.291666666657</v>
      </c>
      <c r="B3094" t="str">
        <f t="shared" si="96"/>
        <v>2026-07</v>
      </c>
      <c r="C3094" s="3">
        <f t="shared" si="97"/>
        <v>7</v>
      </c>
      <c r="D3094" s="4">
        <v>23.868149463150001</v>
      </c>
      <c r="E3094" s="4">
        <v>26.84669705333889</v>
      </c>
      <c r="F3094" s="4">
        <v>29.00946968876945</v>
      </c>
      <c r="G3094" s="4">
        <v>15.8</v>
      </c>
      <c r="H3094" s="5">
        <v>44.478886577291668</v>
      </c>
      <c r="I3094" s="5">
        <v>39.195320791199997</v>
      </c>
      <c r="J3094" s="5">
        <v>45.460012726013893</v>
      </c>
      <c r="K3094" s="5">
        <v>83</v>
      </c>
    </row>
    <row r="3095" spans="1:11" x14ac:dyDescent="0.25">
      <c r="A3095" s="2">
        <v>46226.333333333343</v>
      </c>
      <c r="B3095" t="str">
        <f t="shared" si="96"/>
        <v>2026-07</v>
      </c>
      <c r="C3095" s="3">
        <f t="shared" si="97"/>
        <v>8</v>
      </c>
      <c r="D3095" s="4">
        <v>25.031922231730551</v>
      </c>
      <c r="E3095" s="4">
        <v>27.099118159438891</v>
      </c>
      <c r="F3095" s="4">
        <v>28.999694530597221</v>
      </c>
      <c r="G3095" s="4">
        <v>17.3</v>
      </c>
      <c r="H3095" s="5">
        <v>42.12606053931389</v>
      </c>
      <c r="I3095" s="5">
        <v>39.225194724274999</v>
      </c>
      <c r="J3095" s="5">
        <v>45.42460118800556</v>
      </c>
      <c r="K3095" s="5">
        <v>76</v>
      </c>
    </row>
    <row r="3096" spans="1:11" x14ac:dyDescent="0.25">
      <c r="A3096" s="2">
        <v>46226.375</v>
      </c>
      <c r="B3096" t="str">
        <f t="shared" si="96"/>
        <v>2026-07</v>
      </c>
      <c r="C3096" s="3">
        <f t="shared" si="97"/>
        <v>9</v>
      </c>
      <c r="D3096" s="4">
        <v>26.344351868591669</v>
      </c>
      <c r="E3096" s="4">
        <v>27.555851310011111</v>
      </c>
      <c r="F3096" s="4">
        <v>29.005560449205561</v>
      </c>
      <c r="G3096" s="4">
        <v>19.2</v>
      </c>
      <c r="H3096" s="5">
        <v>38.646487491602777</v>
      </c>
      <c r="I3096" s="5">
        <v>38.219354541955553</v>
      </c>
      <c r="J3096" s="5">
        <v>45.406370661747218</v>
      </c>
      <c r="K3096" s="5">
        <v>68</v>
      </c>
    </row>
    <row r="3097" spans="1:11" x14ac:dyDescent="0.25">
      <c r="A3097" s="2">
        <v>46226.416666666657</v>
      </c>
      <c r="B3097" t="str">
        <f t="shared" si="96"/>
        <v>2026-07</v>
      </c>
      <c r="C3097" s="3">
        <f t="shared" si="97"/>
        <v>10</v>
      </c>
      <c r="D3097" s="4">
        <v>26.802506078066671</v>
      </c>
      <c r="E3097" s="4">
        <v>27.987960854324999</v>
      </c>
      <c r="F3097" s="4">
        <v>29.032840627711121</v>
      </c>
      <c r="G3097" s="4">
        <v>20.6</v>
      </c>
      <c r="H3097" s="5">
        <v>37.222654614880561</v>
      </c>
      <c r="I3097" s="5">
        <v>37.689298675386112</v>
      </c>
      <c r="J3097" s="5">
        <v>45.366513142361121</v>
      </c>
      <c r="K3097" s="5">
        <v>60</v>
      </c>
    </row>
    <row r="3098" spans="1:11" x14ac:dyDescent="0.25">
      <c r="A3098" s="2">
        <v>46226.458333333343</v>
      </c>
      <c r="B3098" t="str">
        <f t="shared" si="96"/>
        <v>2026-07</v>
      </c>
      <c r="C3098" s="3">
        <f t="shared" si="97"/>
        <v>11</v>
      </c>
      <c r="D3098" s="4">
        <v>27.226540520322221</v>
      </c>
      <c r="E3098" s="4">
        <v>28.3603248605</v>
      </c>
      <c r="F3098" s="4">
        <v>29.067509842341671</v>
      </c>
      <c r="G3098" s="4">
        <v>21.6</v>
      </c>
      <c r="H3098" s="5">
        <v>35.905407685113893</v>
      </c>
      <c r="I3098" s="5">
        <v>36.760863055672232</v>
      </c>
      <c r="J3098" s="5">
        <v>45.405451652227782</v>
      </c>
      <c r="K3098" s="5">
        <v>52</v>
      </c>
    </row>
    <row r="3099" spans="1:11" x14ac:dyDescent="0.25">
      <c r="A3099" s="2">
        <v>46226.5</v>
      </c>
      <c r="B3099" t="str">
        <f t="shared" si="96"/>
        <v>2026-07</v>
      </c>
      <c r="C3099" s="3">
        <f t="shared" si="97"/>
        <v>12</v>
      </c>
      <c r="D3099" s="4">
        <v>26.984205826597229</v>
      </c>
      <c r="E3099" s="4">
        <v>28.13890923841112</v>
      </c>
      <c r="F3099" s="4">
        <v>29.089666625361112</v>
      </c>
      <c r="G3099" s="4">
        <v>22.3</v>
      </c>
      <c r="H3099" s="5">
        <v>34.488987024680547</v>
      </c>
      <c r="I3099" s="5">
        <v>35.969948804647217</v>
      </c>
      <c r="J3099" s="5">
        <v>45.259022228291663</v>
      </c>
      <c r="K3099" s="5">
        <v>49</v>
      </c>
    </row>
    <row r="3100" spans="1:11" x14ac:dyDescent="0.25">
      <c r="A3100" s="2">
        <v>46226.541666666657</v>
      </c>
      <c r="B3100" t="str">
        <f t="shared" si="96"/>
        <v>2026-07</v>
      </c>
      <c r="C3100" s="3">
        <f t="shared" si="97"/>
        <v>13</v>
      </c>
      <c r="D3100" s="4">
        <v>26.970594691819439</v>
      </c>
      <c r="E3100" s="4">
        <v>28.307352131088891</v>
      </c>
      <c r="F3100" s="4">
        <v>29.103477291238889</v>
      </c>
      <c r="G3100" s="4">
        <v>22.9</v>
      </c>
      <c r="H3100" s="5">
        <v>34.205576521066668</v>
      </c>
      <c r="I3100" s="5">
        <v>35.701623011338889</v>
      </c>
      <c r="J3100" s="5">
        <v>45.13248526825555</v>
      </c>
      <c r="K3100" s="5">
        <v>48</v>
      </c>
    </row>
    <row r="3101" spans="1:11" x14ac:dyDescent="0.25">
      <c r="A3101" s="2">
        <v>46226.583333333343</v>
      </c>
      <c r="B3101" t="str">
        <f t="shared" si="96"/>
        <v>2026-07</v>
      </c>
      <c r="C3101" s="3">
        <f t="shared" si="97"/>
        <v>14</v>
      </c>
      <c r="D3101" s="4">
        <v>27.02938048244167</v>
      </c>
      <c r="E3101" s="4">
        <v>28.293660434008331</v>
      </c>
      <c r="F3101" s="4">
        <v>29.093752648963889</v>
      </c>
      <c r="G3101" s="4">
        <v>23.3</v>
      </c>
      <c r="H3101" s="5">
        <v>33.143304338194447</v>
      </c>
      <c r="I3101" s="5">
        <v>34.457060359291667</v>
      </c>
      <c r="J3101" s="5">
        <v>44.253351123641657</v>
      </c>
      <c r="K3101" s="5">
        <v>47</v>
      </c>
    </row>
    <row r="3102" spans="1:11" x14ac:dyDescent="0.25">
      <c r="A3102" s="2">
        <v>46226.625</v>
      </c>
      <c r="B3102" t="str">
        <f t="shared" si="96"/>
        <v>2026-07</v>
      </c>
      <c r="C3102" s="3">
        <f t="shared" si="97"/>
        <v>15</v>
      </c>
      <c r="D3102" s="4">
        <v>27.064301816336108</v>
      </c>
      <c r="E3102" s="4">
        <v>28.394008609847219</v>
      </c>
      <c r="F3102" s="4">
        <v>29.176582885649999</v>
      </c>
      <c r="G3102" s="4">
        <v>23.9</v>
      </c>
      <c r="H3102" s="5">
        <v>33.970980659086123</v>
      </c>
      <c r="I3102" s="5">
        <v>37.603855427166671</v>
      </c>
      <c r="J3102" s="5">
        <v>44.338422002247228</v>
      </c>
      <c r="K3102" s="5">
        <v>46</v>
      </c>
    </row>
    <row r="3103" spans="1:11" x14ac:dyDescent="0.25">
      <c r="A3103" s="2">
        <v>46226.666666666657</v>
      </c>
      <c r="B3103" t="str">
        <f t="shared" si="96"/>
        <v>2026-07</v>
      </c>
      <c r="C3103" s="3">
        <f t="shared" si="97"/>
        <v>16</v>
      </c>
      <c r="D3103" s="4">
        <v>26.91832950936389</v>
      </c>
      <c r="E3103" s="4">
        <v>28.308937565522221</v>
      </c>
      <c r="F3103" s="4">
        <v>29.260774994919441</v>
      </c>
      <c r="G3103" s="4">
        <v>24</v>
      </c>
      <c r="H3103" s="5">
        <v>33.183541410380563</v>
      </c>
      <c r="I3103" s="5">
        <v>41.284564771619451</v>
      </c>
      <c r="J3103" s="5">
        <v>44.744162604202778</v>
      </c>
      <c r="K3103" s="5">
        <v>46</v>
      </c>
    </row>
    <row r="3104" spans="1:11" x14ac:dyDescent="0.25">
      <c r="A3104" s="2">
        <v>46226.708333333343</v>
      </c>
      <c r="B3104" t="str">
        <f t="shared" si="96"/>
        <v>2026-07</v>
      </c>
      <c r="C3104" s="3">
        <f t="shared" si="97"/>
        <v>17</v>
      </c>
      <c r="D3104" s="4">
        <v>26.881057788544439</v>
      </c>
      <c r="E3104" s="4">
        <v>28.37884242365277</v>
      </c>
      <c r="F3104" s="4">
        <v>29.375075535230561</v>
      </c>
      <c r="G3104" s="4">
        <v>23.9</v>
      </c>
      <c r="H3104" s="5">
        <v>33.93989682386389</v>
      </c>
      <c r="I3104" s="5">
        <v>40.345511880480558</v>
      </c>
      <c r="J3104" s="5">
        <v>45.319419827177782</v>
      </c>
      <c r="K3104" s="5">
        <v>45</v>
      </c>
    </row>
    <row r="3105" spans="1:11" x14ac:dyDescent="0.25">
      <c r="A3105" s="2">
        <v>46226.75</v>
      </c>
      <c r="B3105" t="str">
        <f t="shared" si="96"/>
        <v>2026-07</v>
      </c>
      <c r="C3105" s="3">
        <f t="shared" si="97"/>
        <v>18</v>
      </c>
      <c r="D3105" s="4">
        <v>26.929575384580559</v>
      </c>
      <c r="E3105" s="4">
        <v>28.340795826138891</v>
      </c>
      <c r="F3105" s="4">
        <v>29.403704370616669</v>
      </c>
      <c r="G3105" s="4">
        <v>23.7</v>
      </c>
      <c r="H3105" s="5">
        <v>35.672786473858331</v>
      </c>
      <c r="I3105" s="5">
        <v>40.09557641687222</v>
      </c>
      <c r="J3105" s="5">
        <v>45.281750011361112</v>
      </c>
      <c r="K3105" s="5">
        <v>45</v>
      </c>
    </row>
    <row r="3106" spans="1:11" x14ac:dyDescent="0.25">
      <c r="A3106" s="2">
        <v>46226.791666666657</v>
      </c>
      <c r="B3106" t="str">
        <f t="shared" si="96"/>
        <v>2026-07</v>
      </c>
      <c r="C3106" s="3">
        <f t="shared" si="97"/>
        <v>19</v>
      </c>
      <c r="D3106" s="4">
        <v>26.62727099729166</v>
      </c>
      <c r="E3106" s="4">
        <v>28.300214811091671</v>
      </c>
      <c r="F3106" s="4">
        <v>29.28140059095556</v>
      </c>
      <c r="G3106" s="4">
        <v>22.8</v>
      </c>
      <c r="H3106" s="5">
        <v>37.721138338125002</v>
      </c>
      <c r="I3106" s="5">
        <v>40.212588850652779</v>
      </c>
      <c r="J3106" s="5">
        <v>45.684136861788893</v>
      </c>
      <c r="K3106" s="5">
        <v>53</v>
      </c>
    </row>
    <row r="3107" spans="1:11" x14ac:dyDescent="0.25">
      <c r="A3107" s="2">
        <v>46226.833333333343</v>
      </c>
      <c r="B3107" t="str">
        <f t="shared" si="96"/>
        <v>2026-07</v>
      </c>
      <c r="C3107" s="3">
        <f t="shared" si="97"/>
        <v>20</v>
      </c>
      <c r="D3107" s="4">
        <v>26.417598593305559</v>
      </c>
      <c r="E3107" s="4">
        <v>28.58633752582778</v>
      </c>
      <c r="F3107" s="4">
        <v>28.744898915813891</v>
      </c>
      <c r="G3107" s="4">
        <v>20.9</v>
      </c>
      <c r="H3107" s="5">
        <v>41.195280902744443</v>
      </c>
      <c r="I3107" s="5">
        <v>41.93589178053611</v>
      </c>
      <c r="J3107" s="5">
        <v>47.858340997102779</v>
      </c>
      <c r="K3107" s="5">
        <v>65</v>
      </c>
    </row>
    <row r="3108" spans="1:11" x14ac:dyDescent="0.25">
      <c r="A3108" s="2">
        <v>46226.875</v>
      </c>
      <c r="B3108" t="str">
        <f t="shared" si="96"/>
        <v>2026-07</v>
      </c>
      <c r="C3108" s="3">
        <f t="shared" si="97"/>
        <v>21</v>
      </c>
      <c r="D3108" s="4">
        <v>25.968034391277779</v>
      </c>
      <c r="E3108" s="4">
        <v>28.59948894844722</v>
      </c>
      <c r="F3108" s="4">
        <v>29.113866308647221</v>
      </c>
      <c r="G3108" s="4">
        <v>19.8</v>
      </c>
      <c r="H3108" s="5">
        <v>41.404011687974993</v>
      </c>
      <c r="I3108" s="5">
        <v>40.980937234011122</v>
      </c>
      <c r="J3108" s="5">
        <v>46.890689376947222</v>
      </c>
      <c r="K3108" s="5">
        <v>71</v>
      </c>
    </row>
    <row r="3109" spans="1:11" x14ac:dyDescent="0.25">
      <c r="A3109" s="2">
        <v>46226.916666666657</v>
      </c>
      <c r="B3109" t="str">
        <f t="shared" si="96"/>
        <v>2026-07</v>
      </c>
      <c r="C3109" s="3">
        <f t="shared" si="97"/>
        <v>22</v>
      </c>
      <c r="D3109" s="4">
        <v>25.496942071097219</v>
      </c>
      <c r="E3109" s="4">
        <v>28.459252919394441</v>
      </c>
      <c r="F3109" s="4">
        <v>29.28805816181945</v>
      </c>
      <c r="G3109" s="4">
        <v>19.2</v>
      </c>
      <c r="H3109" s="5">
        <v>40.860392198247219</v>
      </c>
      <c r="I3109" s="5">
        <v>38.903142963355563</v>
      </c>
      <c r="J3109" s="5">
        <v>46.235560434161108</v>
      </c>
      <c r="K3109" s="5">
        <v>73</v>
      </c>
    </row>
    <row r="3110" spans="1:11" x14ac:dyDescent="0.25">
      <c r="A3110" s="2">
        <v>46226.958333333343</v>
      </c>
      <c r="B3110" t="str">
        <f t="shared" si="96"/>
        <v>2026-07</v>
      </c>
      <c r="C3110" s="3">
        <f t="shared" si="97"/>
        <v>23</v>
      </c>
      <c r="D3110" s="4">
        <v>25.41502209105278</v>
      </c>
      <c r="E3110" s="4">
        <v>28.40404745220556</v>
      </c>
      <c r="F3110" s="4">
        <v>29.275775187322221</v>
      </c>
      <c r="G3110" s="4">
        <v>18.399999999999999</v>
      </c>
      <c r="H3110" s="5">
        <v>41.107512789591667</v>
      </c>
      <c r="I3110" s="5">
        <v>39.403125038000013</v>
      </c>
      <c r="J3110" s="5">
        <v>45.42150170582223</v>
      </c>
      <c r="K3110" s="5">
        <v>75</v>
      </c>
    </row>
    <row r="3111" spans="1:11" x14ac:dyDescent="0.25">
      <c r="A3111" s="2">
        <v>46227</v>
      </c>
      <c r="B3111" t="str">
        <f t="shared" si="96"/>
        <v>2026-07</v>
      </c>
      <c r="C3111" s="3">
        <f t="shared" si="97"/>
        <v>0</v>
      </c>
      <c r="D3111" s="4">
        <v>25.41382161550834</v>
      </c>
      <c r="E3111" s="4">
        <v>28.55873758565556</v>
      </c>
      <c r="F3111" s="4">
        <v>29.381106145305559</v>
      </c>
      <c r="G3111" s="4">
        <v>18</v>
      </c>
      <c r="H3111" s="5">
        <v>41.11803800932222</v>
      </c>
      <c r="I3111" s="5">
        <v>38.117462308288893</v>
      </c>
      <c r="J3111" s="5">
        <v>45.444999931411111</v>
      </c>
      <c r="K3111" s="5">
        <v>74</v>
      </c>
    </row>
    <row r="3112" spans="1:11" x14ac:dyDescent="0.25">
      <c r="A3112" s="2">
        <v>46227.041666666657</v>
      </c>
      <c r="B3112" t="str">
        <f t="shared" si="96"/>
        <v>2026-07</v>
      </c>
      <c r="C3112" s="3">
        <f t="shared" si="97"/>
        <v>1</v>
      </c>
      <c r="D3112" s="4">
        <v>25.13167282791666</v>
      </c>
      <c r="E3112" s="4">
        <v>28.357096319025</v>
      </c>
      <c r="F3112" s="4">
        <v>29.44579308522778</v>
      </c>
      <c r="G3112" s="4">
        <v>17.899999999999999</v>
      </c>
      <c r="H3112" s="5">
        <v>42.003482539133337</v>
      </c>
      <c r="I3112" s="5">
        <v>38.975648849519438</v>
      </c>
      <c r="J3112" s="5">
        <v>45.346939312516668</v>
      </c>
      <c r="K3112" s="5">
        <v>72</v>
      </c>
    </row>
    <row r="3113" spans="1:11" x14ac:dyDescent="0.25">
      <c r="A3113" s="2">
        <v>46227.083333333343</v>
      </c>
      <c r="B3113" t="str">
        <f t="shared" si="96"/>
        <v>2026-07</v>
      </c>
      <c r="C3113" s="3">
        <f t="shared" si="97"/>
        <v>2</v>
      </c>
      <c r="D3113" s="4">
        <v>24.677476348944442</v>
      </c>
      <c r="E3113" s="4">
        <v>28.058054867972221</v>
      </c>
      <c r="F3113" s="4">
        <v>29.526020688666659</v>
      </c>
      <c r="G3113" s="4">
        <v>17.399999999999999</v>
      </c>
      <c r="H3113" s="5">
        <v>43.383903667447221</v>
      </c>
      <c r="I3113" s="5">
        <v>38.306103683086107</v>
      </c>
      <c r="J3113" s="5">
        <v>45.257641015508327</v>
      </c>
      <c r="K3113" s="5">
        <v>73</v>
      </c>
    </row>
    <row r="3114" spans="1:11" x14ac:dyDescent="0.25">
      <c r="A3114" s="2">
        <v>46227.125</v>
      </c>
      <c r="B3114" t="str">
        <f t="shared" si="96"/>
        <v>2026-07</v>
      </c>
      <c r="C3114" s="3">
        <f t="shared" si="97"/>
        <v>3</v>
      </c>
      <c r="D3114" s="4">
        <v>24.325995314797229</v>
      </c>
      <c r="E3114" s="4">
        <v>27.83732267910278</v>
      </c>
      <c r="F3114" s="4">
        <v>29.561389103308329</v>
      </c>
      <c r="G3114" s="4">
        <v>16.8</v>
      </c>
      <c r="H3114" s="5">
        <v>44.913890811622217</v>
      </c>
      <c r="I3114" s="5">
        <v>38.601369339588892</v>
      </c>
      <c r="J3114" s="5">
        <v>45.19240643761389</v>
      </c>
      <c r="K3114" s="5">
        <v>75</v>
      </c>
    </row>
    <row r="3115" spans="1:11" x14ac:dyDescent="0.25">
      <c r="A3115" s="2">
        <v>46227.166666666657</v>
      </c>
      <c r="B3115" t="str">
        <f t="shared" si="96"/>
        <v>2026-07</v>
      </c>
      <c r="C3115" s="3">
        <f t="shared" si="97"/>
        <v>4</v>
      </c>
      <c r="D3115" s="4">
        <v>24.060242690491659</v>
      </c>
      <c r="E3115" s="4">
        <v>27.67537560029167</v>
      </c>
      <c r="F3115" s="4">
        <v>29.57942182475556</v>
      </c>
      <c r="G3115" s="4">
        <v>16.3</v>
      </c>
      <c r="H3115" s="5">
        <v>46.075122619125011</v>
      </c>
      <c r="I3115" s="5">
        <v>39.105713759405553</v>
      </c>
      <c r="J3115" s="5">
        <v>45.151078314141671</v>
      </c>
      <c r="K3115" s="5">
        <v>77</v>
      </c>
    </row>
    <row r="3116" spans="1:11" x14ac:dyDescent="0.25">
      <c r="A3116" s="2">
        <v>46227.208333333343</v>
      </c>
      <c r="B3116" t="str">
        <f t="shared" si="96"/>
        <v>2026-07</v>
      </c>
      <c r="C3116" s="3">
        <f t="shared" si="97"/>
        <v>5</v>
      </c>
      <c r="D3116" s="4">
        <v>23.92063690797778</v>
      </c>
      <c r="E3116" s="4">
        <v>27.549551863208329</v>
      </c>
      <c r="F3116" s="4">
        <v>29.58733838297222</v>
      </c>
      <c r="G3116" s="4">
        <v>16</v>
      </c>
      <c r="H3116" s="5">
        <v>46.741178469352768</v>
      </c>
      <c r="I3116" s="5">
        <v>39.562440280158327</v>
      </c>
      <c r="J3116" s="5">
        <v>45.134984514130558</v>
      </c>
      <c r="K3116" s="5">
        <v>81</v>
      </c>
    </row>
    <row r="3117" spans="1:11" x14ac:dyDescent="0.25">
      <c r="A3117" s="2">
        <v>46227.25</v>
      </c>
      <c r="B3117" t="str">
        <f t="shared" si="96"/>
        <v>2026-07</v>
      </c>
      <c r="C3117" s="3">
        <f t="shared" si="97"/>
        <v>6</v>
      </c>
      <c r="D3117" s="4">
        <v>24.583544586461109</v>
      </c>
      <c r="E3117" s="4">
        <v>27.55945448065556</v>
      </c>
      <c r="F3117" s="4">
        <v>29.589300206838889</v>
      </c>
      <c r="G3117" s="4">
        <v>16.399999999999999</v>
      </c>
      <c r="H3117" s="5">
        <v>45.206026903066657</v>
      </c>
      <c r="I3117" s="5">
        <v>39.725768400272223</v>
      </c>
      <c r="J3117" s="5">
        <v>45.027663608344447</v>
      </c>
      <c r="K3117" s="5">
        <v>81</v>
      </c>
    </row>
    <row r="3118" spans="1:11" x14ac:dyDescent="0.25">
      <c r="A3118" s="2">
        <v>46227.291666666657</v>
      </c>
      <c r="B3118" t="str">
        <f t="shared" si="96"/>
        <v>2026-07</v>
      </c>
      <c r="C3118" s="3">
        <f t="shared" si="97"/>
        <v>7</v>
      </c>
      <c r="D3118" s="4">
        <v>25.127696652886112</v>
      </c>
      <c r="E3118" s="4">
        <v>27.554849251861111</v>
      </c>
      <c r="F3118" s="4">
        <v>29.54617892698889</v>
      </c>
      <c r="G3118" s="4">
        <v>17.399999999999999</v>
      </c>
      <c r="H3118" s="5">
        <v>44.406771230169447</v>
      </c>
      <c r="I3118" s="5">
        <v>39.963941765097218</v>
      </c>
      <c r="J3118" s="5">
        <v>44.938489511522221</v>
      </c>
      <c r="K3118" s="5">
        <v>78</v>
      </c>
    </row>
    <row r="3119" spans="1:11" x14ac:dyDescent="0.25">
      <c r="A3119" s="2">
        <v>46227.333333333343</v>
      </c>
      <c r="B3119" t="str">
        <f t="shared" si="96"/>
        <v>2026-07</v>
      </c>
      <c r="C3119" s="3">
        <f t="shared" si="97"/>
        <v>8</v>
      </c>
      <c r="D3119" s="4">
        <v>26.90854829703056</v>
      </c>
      <c r="E3119" s="4">
        <v>28.151281616375002</v>
      </c>
      <c r="F3119" s="4">
        <v>29.49251484357778</v>
      </c>
      <c r="G3119" s="4">
        <v>18.899999999999999</v>
      </c>
      <c r="H3119" s="5">
        <v>41.670252268005562</v>
      </c>
      <c r="I3119" s="5">
        <v>39.794622169686107</v>
      </c>
      <c r="J3119" s="5">
        <v>44.94709923028055</v>
      </c>
      <c r="K3119" s="5">
        <v>73</v>
      </c>
    </row>
    <row r="3120" spans="1:11" x14ac:dyDescent="0.25">
      <c r="A3120" s="2">
        <v>46227.375</v>
      </c>
      <c r="B3120" t="str">
        <f t="shared" si="96"/>
        <v>2026-07</v>
      </c>
      <c r="C3120" s="3">
        <f t="shared" si="97"/>
        <v>9</v>
      </c>
      <c r="D3120" s="4">
        <v>27.800284109213891</v>
      </c>
      <c r="E3120" s="4">
        <v>28.501118843147221</v>
      </c>
      <c r="F3120" s="4">
        <v>29.451631235069449</v>
      </c>
      <c r="G3120" s="4">
        <v>20.6</v>
      </c>
      <c r="H3120" s="5">
        <v>40.87754851698611</v>
      </c>
      <c r="I3120" s="5">
        <v>40.218772668872226</v>
      </c>
      <c r="J3120" s="5">
        <v>45.041550843138893</v>
      </c>
      <c r="K3120" s="5">
        <v>69</v>
      </c>
    </row>
    <row r="3121" spans="1:11" x14ac:dyDescent="0.25">
      <c r="A3121" s="2">
        <v>46227.416666666657</v>
      </c>
      <c r="B3121" t="str">
        <f t="shared" si="96"/>
        <v>2026-07</v>
      </c>
      <c r="C3121" s="3">
        <f t="shared" si="97"/>
        <v>10</v>
      </c>
      <c r="D3121" s="4">
        <v>27.841097141163889</v>
      </c>
      <c r="E3121" s="4">
        <v>28.62550329191944</v>
      </c>
      <c r="F3121" s="4">
        <v>29.465323948799998</v>
      </c>
      <c r="G3121" s="4">
        <v>21.7</v>
      </c>
      <c r="H3121" s="5">
        <v>40.924461229691673</v>
      </c>
      <c r="I3121" s="5">
        <v>41.678551338983333</v>
      </c>
      <c r="J3121" s="5">
        <v>45.796315504319438</v>
      </c>
      <c r="K3121" s="5">
        <v>65</v>
      </c>
    </row>
    <row r="3122" spans="1:11" x14ac:dyDescent="0.25">
      <c r="A3122" s="2">
        <v>46227.458333333343</v>
      </c>
      <c r="B3122" t="str">
        <f t="shared" si="96"/>
        <v>2026-07</v>
      </c>
      <c r="C3122" s="3">
        <f t="shared" si="97"/>
        <v>11</v>
      </c>
      <c r="D3122" s="4">
        <v>27.76059731650556</v>
      </c>
      <c r="E3122" s="4">
        <v>28.624759250988891</v>
      </c>
      <c r="F3122" s="4">
        <v>29.487375977338889</v>
      </c>
      <c r="G3122" s="4">
        <v>23</v>
      </c>
      <c r="H3122" s="5">
        <v>40.969173396400002</v>
      </c>
      <c r="I3122" s="5">
        <v>40.16392508775278</v>
      </c>
      <c r="J3122" s="5">
        <v>46.110701644752773</v>
      </c>
      <c r="K3122" s="5">
        <v>62</v>
      </c>
    </row>
    <row r="3123" spans="1:11" x14ac:dyDescent="0.25">
      <c r="A3123" s="2">
        <v>46227.5</v>
      </c>
      <c r="B3123" t="str">
        <f t="shared" si="96"/>
        <v>2026-07</v>
      </c>
      <c r="C3123" s="3">
        <f t="shared" si="97"/>
        <v>12</v>
      </c>
      <c r="D3123" s="4">
        <v>27.687391684341659</v>
      </c>
      <c r="E3123" s="4">
        <v>28.726094502491659</v>
      </c>
      <c r="F3123" s="4">
        <v>29.51847049772778</v>
      </c>
      <c r="G3123" s="4">
        <v>23.9</v>
      </c>
      <c r="H3123" s="5">
        <v>41.032218773347218</v>
      </c>
      <c r="I3123" s="5">
        <v>39.886956589238892</v>
      </c>
      <c r="J3123" s="5">
        <v>46.015735510325008</v>
      </c>
      <c r="K3123" s="5">
        <v>57</v>
      </c>
    </row>
    <row r="3124" spans="1:11" x14ac:dyDescent="0.25">
      <c r="A3124" s="2">
        <v>46227.541666666657</v>
      </c>
      <c r="B3124" t="str">
        <f t="shared" si="96"/>
        <v>2026-07</v>
      </c>
      <c r="C3124" s="3">
        <f t="shared" si="97"/>
        <v>13</v>
      </c>
      <c r="D3124" s="4">
        <v>27.020229588766671</v>
      </c>
      <c r="E3124" s="4">
        <v>28.171098940488889</v>
      </c>
      <c r="F3124" s="4">
        <v>29.599543371677779</v>
      </c>
      <c r="G3124" s="4">
        <v>24</v>
      </c>
      <c r="H3124" s="5">
        <v>45.468701838547219</v>
      </c>
      <c r="I3124" s="5">
        <v>43.176207277344453</v>
      </c>
      <c r="J3124" s="5">
        <v>45.963407402877777</v>
      </c>
      <c r="K3124" s="5">
        <v>54</v>
      </c>
    </row>
    <row r="3125" spans="1:11" x14ac:dyDescent="0.25">
      <c r="A3125" s="2">
        <v>46227.583333333343</v>
      </c>
      <c r="B3125" t="str">
        <f t="shared" si="96"/>
        <v>2026-07</v>
      </c>
      <c r="C3125" s="3">
        <f t="shared" si="97"/>
        <v>14</v>
      </c>
      <c r="D3125" s="4">
        <v>25.92422256147778</v>
      </c>
      <c r="E3125" s="4">
        <v>28.410493204402769</v>
      </c>
      <c r="F3125" s="4">
        <v>29.632224932372221</v>
      </c>
      <c r="G3125" s="4">
        <v>21</v>
      </c>
      <c r="H3125" s="5">
        <v>50.674842156641667</v>
      </c>
      <c r="I3125" s="5">
        <v>45.914758460577779</v>
      </c>
      <c r="J3125" s="5">
        <v>46.595979740041663</v>
      </c>
      <c r="K3125" s="5">
        <v>75</v>
      </c>
    </row>
    <row r="3126" spans="1:11" x14ac:dyDescent="0.25">
      <c r="A3126" s="2">
        <v>46227.625</v>
      </c>
      <c r="B3126" t="str">
        <f t="shared" si="96"/>
        <v>2026-07</v>
      </c>
      <c r="C3126" s="3">
        <f t="shared" si="97"/>
        <v>15</v>
      </c>
      <c r="D3126" s="4">
        <v>25.716174030947219</v>
      </c>
      <c r="E3126" s="4">
        <v>28.273247715269449</v>
      </c>
      <c r="F3126" s="4">
        <v>29.644144058630559</v>
      </c>
      <c r="G3126" s="4">
        <v>19.3</v>
      </c>
      <c r="H3126" s="5">
        <v>52.630867368919453</v>
      </c>
      <c r="I3126" s="5">
        <v>47.036690192127772</v>
      </c>
      <c r="J3126" s="5">
        <v>46.90619765028611</v>
      </c>
      <c r="K3126" s="5">
        <v>86</v>
      </c>
    </row>
    <row r="3127" spans="1:11" x14ac:dyDescent="0.25">
      <c r="A3127" s="2">
        <v>46227.666666666657</v>
      </c>
      <c r="B3127" t="str">
        <f t="shared" si="96"/>
        <v>2026-07</v>
      </c>
      <c r="C3127" s="3">
        <f t="shared" si="97"/>
        <v>16</v>
      </c>
      <c r="D3127" s="4">
        <v>25.142615638447229</v>
      </c>
      <c r="E3127" s="4">
        <v>28.34651398648333</v>
      </c>
      <c r="F3127" s="4">
        <v>29.670341062044439</v>
      </c>
      <c r="G3127" s="4">
        <v>20.399999999999999</v>
      </c>
      <c r="H3127" s="5">
        <v>51.74144315875278</v>
      </c>
      <c r="I3127" s="5">
        <v>46.013969924658333</v>
      </c>
      <c r="J3127" s="5">
        <v>46.795380746944438</v>
      </c>
      <c r="K3127" s="5">
        <v>82</v>
      </c>
    </row>
    <row r="3128" spans="1:11" x14ac:dyDescent="0.25">
      <c r="A3128" s="2">
        <v>46227.708333333343</v>
      </c>
      <c r="B3128" t="str">
        <f t="shared" si="96"/>
        <v>2026-07</v>
      </c>
      <c r="C3128" s="3">
        <f t="shared" si="97"/>
        <v>17</v>
      </c>
      <c r="D3128" s="4">
        <v>25.020006526344449</v>
      </c>
      <c r="E3128" s="4">
        <v>27.909217621555559</v>
      </c>
      <c r="F3128" s="4">
        <v>29.690896861266669</v>
      </c>
      <c r="G3128" s="4">
        <v>21.1</v>
      </c>
      <c r="H3128" s="5">
        <v>49.652212549058333</v>
      </c>
      <c r="I3128" s="5">
        <v>43.80416434964723</v>
      </c>
      <c r="J3128" s="5">
        <v>46.67848607117778</v>
      </c>
      <c r="K3128" s="5">
        <v>79</v>
      </c>
    </row>
    <row r="3129" spans="1:11" x14ac:dyDescent="0.25">
      <c r="A3129" s="2">
        <v>46227.75</v>
      </c>
      <c r="B3129" t="str">
        <f t="shared" si="96"/>
        <v>2026-07</v>
      </c>
      <c r="C3129" s="3">
        <f t="shared" si="97"/>
        <v>18</v>
      </c>
      <c r="D3129" s="4">
        <v>24.73495673796112</v>
      </c>
      <c r="E3129" s="4">
        <v>27.419255550641669</v>
      </c>
      <c r="F3129" s="4">
        <v>29.698441774769449</v>
      </c>
      <c r="G3129" s="4">
        <v>18.100000000000001</v>
      </c>
      <c r="H3129" s="5">
        <v>50.12821083231389</v>
      </c>
      <c r="I3129" s="5">
        <v>44.005246557102787</v>
      </c>
      <c r="J3129" s="5">
        <v>46.630202104213893</v>
      </c>
      <c r="K3129" s="5">
        <v>90</v>
      </c>
    </row>
    <row r="3130" spans="1:11" x14ac:dyDescent="0.25">
      <c r="A3130" s="2">
        <v>46227.791666666657</v>
      </c>
      <c r="B3130" t="str">
        <f t="shared" si="96"/>
        <v>2026-07</v>
      </c>
      <c r="C3130" s="3">
        <f t="shared" si="97"/>
        <v>19</v>
      </c>
      <c r="D3130" s="4">
        <v>24.43638808475556</v>
      </c>
      <c r="E3130" s="4">
        <v>27.481934783172221</v>
      </c>
      <c r="F3130" s="4">
        <v>29.658684050891669</v>
      </c>
      <c r="G3130" s="4">
        <v>17.600000000000001</v>
      </c>
      <c r="H3130" s="5">
        <v>52.659889904852783</v>
      </c>
      <c r="I3130" s="5">
        <v>45.340430502688889</v>
      </c>
      <c r="J3130" s="5">
        <v>47.052529276497218</v>
      </c>
      <c r="K3130" s="5">
        <v>92</v>
      </c>
    </row>
    <row r="3131" spans="1:11" x14ac:dyDescent="0.25">
      <c r="A3131" s="2">
        <v>46227.833333333343</v>
      </c>
      <c r="B3131" t="str">
        <f t="shared" si="96"/>
        <v>2026-07</v>
      </c>
      <c r="C3131" s="3">
        <f t="shared" si="97"/>
        <v>20</v>
      </c>
      <c r="D3131" s="4">
        <v>24.23739939230833</v>
      </c>
      <c r="E3131" s="4">
        <v>27.50643146313611</v>
      </c>
      <c r="F3131" s="4">
        <v>29.446466528969442</v>
      </c>
      <c r="G3131" s="4">
        <v>17.5</v>
      </c>
      <c r="H3131" s="5">
        <v>55.012176020527782</v>
      </c>
      <c r="I3131" s="5">
        <v>46.666035766258339</v>
      </c>
      <c r="J3131" s="5">
        <v>48.093025415983327</v>
      </c>
      <c r="K3131" s="5">
        <v>96</v>
      </c>
    </row>
    <row r="3132" spans="1:11" x14ac:dyDescent="0.25">
      <c r="A3132" s="2">
        <v>46227.875</v>
      </c>
      <c r="B3132" t="str">
        <f t="shared" si="96"/>
        <v>2026-07</v>
      </c>
      <c r="C3132" s="3">
        <f t="shared" si="97"/>
        <v>21</v>
      </c>
      <c r="D3132" s="4">
        <v>24.10123536744166</v>
      </c>
      <c r="E3132" s="4">
        <v>27.952037105697219</v>
      </c>
      <c r="F3132" s="4">
        <v>28.15165672023333</v>
      </c>
      <c r="G3132" s="4">
        <v>17.600000000000001</v>
      </c>
      <c r="H3132" s="5">
        <v>56.949753074808328</v>
      </c>
      <c r="I3132" s="5">
        <v>47.631087443847228</v>
      </c>
      <c r="J3132" s="5">
        <v>54.196158999291661</v>
      </c>
      <c r="K3132" s="5">
        <v>96</v>
      </c>
    </row>
    <row r="3133" spans="1:11" x14ac:dyDescent="0.25">
      <c r="A3133" s="2">
        <v>46227.916666666657</v>
      </c>
      <c r="B3133" t="str">
        <f t="shared" si="96"/>
        <v>2026-07</v>
      </c>
      <c r="C3133" s="3">
        <f t="shared" si="97"/>
        <v>22</v>
      </c>
      <c r="D3133" s="4">
        <v>24.109283729758332</v>
      </c>
      <c r="E3133" s="4">
        <v>27.860077966966671</v>
      </c>
      <c r="F3133" s="4">
        <v>27.871893041425</v>
      </c>
      <c r="G3133" s="4">
        <v>17.2</v>
      </c>
      <c r="H3133" s="5">
        <v>57.99541717910278</v>
      </c>
      <c r="I3133" s="5">
        <v>49.691748894205553</v>
      </c>
      <c r="J3133" s="5">
        <v>55.538243880905547</v>
      </c>
      <c r="K3133" s="5">
        <v>95</v>
      </c>
    </row>
    <row r="3134" spans="1:11" x14ac:dyDescent="0.25">
      <c r="A3134" s="2">
        <v>46227.958333333343</v>
      </c>
      <c r="B3134" t="str">
        <f t="shared" si="96"/>
        <v>2026-07</v>
      </c>
      <c r="C3134" s="3">
        <f t="shared" si="97"/>
        <v>23</v>
      </c>
      <c r="D3134" s="4">
        <v>23.932060352469449</v>
      </c>
      <c r="E3134" s="4">
        <v>27.856306237169441</v>
      </c>
      <c r="F3134" s="4">
        <v>28.196328606416671</v>
      </c>
      <c r="G3134" s="4">
        <v>17</v>
      </c>
      <c r="H3134" s="5">
        <v>58.957149300938887</v>
      </c>
      <c r="I3134" s="5">
        <v>49.240158141933343</v>
      </c>
      <c r="J3134" s="5">
        <v>53.527098420636122</v>
      </c>
      <c r="K3134" s="5">
        <v>96</v>
      </c>
    </row>
    <row r="3135" spans="1:11" x14ac:dyDescent="0.25">
      <c r="A3135" s="2">
        <v>46228</v>
      </c>
      <c r="B3135" t="str">
        <f t="shared" si="96"/>
        <v>2026-07</v>
      </c>
      <c r="C3135" s="3">
        <f t="shared" si="97"/>
        <v>0</v>
      </c>
      <c r="D3135" s="4">
        <v>23.565407883602781</v>
      </c>
      <c r="E3135" s="4">
        <v>27.68265930485833</v>
      </c>
      <c r="F3135" s="4">
        <v>28.69042792402222</v>
      </c>
      <c r="G3135" s="4">
        <v>16.899999999999999</v>
      </c>
      <c r="H3135" s="5">
        <v>59.269738500750002</v>
      </c>
      <c r="I3135" s="5">
        <v>48.172187796925002</v>
      </c>
      <c r="J3135" s="5">
        <v>51.159571872166673</v>
      </c>
      <c r="K3135" s="5">
        <v>96</v>
      </c>
    </row>
    <row r="3136" spans="1:11" x14ac:dyDescent="0.25">
      <c r="A3136" s="2">
        <v>46228.041666666657</v>
      </c>
      <c r="B3136" t="str">
        <f t="shared" si="96"/>
        <v>2026-07</v>
      </c>
      <c r="C3136" s="3">
        <f t="shared" si="97"/>
        <v>1</v>
      </c>
      <c r="D3136" s="4">
        <v>23.610270519124999</v>
      </c>
      <c r="E3136" s="4">
        <v>27.594647092700001</v>
      </c>
      <c r="F3136" s="4">
        <v>28.87098168195277</v>
      </c>
      <c r="G3136" s="4">
        <v>16.600000000000001</v>
      </c>
      <c r="H3136" s="5">
        <v>57.963895476224998</v>
      </c>
      <c r="I3136" s="5">
        <v>47.166554897925003</v>
      </c>
      <c r="J3136" s="5">
        <v>50.259597078419439</v>
      </c>
      <c r="K3136" s="5">
        <v>97</v>
      </c>
    </row>
    <row r="3137" spans="1:11" x14ac:dyDescent="0.25">
      <c r="A3137" s="2">
        <v>46228.083333333343</v>
      </c>
      <c r="B3137" t="str">
        <f t="shared" si="96"/>
        <v>2026-07</v>
      </c>
      <c r="C3137" s="3">
        <f t="shared" si="97"/>
        <v>2</v>
      </c>
      <c r="D3137" s="4">
        <v>23.562135930638888</v>
      </c>
      <c r="E3137" s="4">
        <v>27.497431255955561</v>
      </c>
      <c r="F3137" s="4">
        <v>28.956596790527779</v>
      </c>
      <c r="G3137" s="4">
        <v>16.100000000000001</v>
      </c>
      <c r="H3137" s="5">
        <v>57.703301462222221</v>
      </c>
      <c r="I3137" s="5">
        <v>46.926164489208332</v>
      </c>
      <c r="J3137" s="5">
        <v>49.784253298983337</v>
      </c>
      <c r="K3137" s="5">
        <v>97</v>
      </c>
    </row>
    <row r="3138" spans="1:11" x14ac:dyDescent="0.25">
      <c r="A3138" s="2">
        <v>46228.125</v>
      </c>
      <c r="B3138" t="str">
        <f t="shared" ref="B3138:B3201" si="98">TEXT(A3138,"yyyy-mm")</f>
        <v>2026-07</v>
      </c>
      <c r="C3138" s="3">
        <f t="shared" ref="C3138:C3201" si="99">HOUR(A3138)</f>
        <v>3</v>
      </c>
      <c r="D3138" s="4">
        <v>23.65811274555556</v>
      </c>
      <c r="E3138" s="4">
        <v>27.00307633954445</v>
      </c>
      <c r="F3138" s="4">
        <v>28.994116756972229</v>
      </c>
      <c r="G3138" s="4">
        <v>16.899999999999999</v>
      </c>
      <c r="H3138" s="5">
        <v>56.867771366813891</v>
      </c>
      <c r="I3138" s="5">
        <v>47.588900998597218</v>
      </c>
      <c r="J3138" s="5">
        <v>49.466866481505562</v>
      </c>
      <c r="K3138" s="5">
        <v>94</v>
      </c>
    </row>
    <row r="3139" spans="1:11" x14ac:dyDescent="0.25">
      <c r="A3139" s="2">
        <v>46228.166666666657</v>
      </c>
      <c r="B3139" t="str">
        <f t="shared" si="98"/>
        <v>2026-07</v>
      </c>
      <c r="C3139" s="3">
        <f t="shared" si="99"/>
        <v>4</v>
      </c>
      <c r="D3139" s="4">
        <v>23.50788122302778</v>
      </c>
      <c r="E3139" s="4">
        <v>27.352214706469439</v>
      </c>
      <c r="F3139" s="4">
        <v>29.00889156646944</v>
      </c>
      <c r="G3139" s="4">
        <v>16.7</v>
      </c>
      <c r="H3139" s="5">
        <v>57.011495705936113</v>
      </c>
      <c r="I3139" s="5">
        <v>46.568900559041673</v>
      </c>
      <c r="J3139" s="5">
        <v>49.149485677488883</v>
      </c>
      <c r="K3139" s="5">
        <v>94</v>
      </c>
    </row>
    <row r="3140" spans="1:11" x14ac:dyDescent="0.25">
      <c r="A3140" s="2">
        <v>46228.208333333343</v>
      </c>
      <c r="B3140" t="str">
        <f t="shared" si="98"/>
        <v>2026-07</v>
      </c>
      <c r="C3140" s="3">
        <f t="shared" si="99"/>
        <v>5</v>
      </c>
      <c r="D3140" s="4">
        <v>23.358211481975001</v>
      </c>
      <c r="E3140" s="4">
        <v>27.217869536363889</v>
      </c>
      <c r="F3140" s="4">
        <v>29.01375304816667</v>
      </c>
      <c r="G3140" s="4">
        <v>16.399999999999999</v>
      </c>
      <c r="H3140" s="5">
        <v>56.86937293827777</v>
      </c>
      <c r="I3140" s="5">
        <v>46.395121823383327</v>
      </c>
      <c r="J3140" s="5">
        <v>48.928365569961109</v>
      </c>
      <c r="K3140" s="5">
        <v>94</v>
      </c>
    </row>
    <row r="3141" spans="1:11" x14ac:dyDescent="0.25">
      <c r="A3141" s="2">
        <v>46228.25</v>
      </c>
      <c r="B3141" t="str">
        <f t="shared" si="98"/>
        <v>2026-07</v>
      </c>
      <c r="C3141" s="3">
        <f t="shared" si="99"/>
        <v>6</v>
      </c>
      <c r="D3141" s="4">
        <v>23.717120951836112</v>
      </c>
      <c r="E3141" s="4">
        <v>26.949467886352771</v>
      </c>
      <c r="F3141" s="4">
        <v>29.01380296826666</v>
      </c>
      <c r="G3141" s="4">
        <v>16.7</v>
      </c>
      <c r="H3141" s="5">
        <v>56.026336094116672</v>
      </c>
      <c r="I3141" s="5">
        <v>47.052865092094443</v>
      </c>
      <c r="J3141" s="5">
        <v>48.793661763530558</v>
      </c>
      <c r="K3141" s="5">
        <v>94</v>
      </c>
    </row>
    <row r="3142" spans="1:11" x14ac:dyDescent="0.25">
      <c r="A3142" s="2">
        <v>46228.291666666657</v>
      </c>
      <c r="B3142" t="str">
        <f t="shared" si="98"/>
        <v>2026-07</v>
      </c>
      <c r="C3142" s="3">
        <f t="shared" si="99"/>
        <v>7</v>
      </c>
      <c r="D3142" s="4">
        <v>24.21850590234445</v>
      </c>
      <c r="E3142" s="4">
        <v>26.69538579594445</v>
      </c>
      <c r="F3142" s="4">
        <v>29.01297221625833</v>
      </c>
      <c r="G3142" s="4">
        <v>17.899999999999999</v>
      </c>
      <c r="H3142" s="5">
        <v>54.39556991944167</v>
      </c>
      <c r="I3142" s="5">
        <v>47.351159556352783</v>
      </c>
      <c r="J3142" s="5">
        <v>48.634631186452772</v>
      </c>
      <c r="K3142" s="5">
        <v>90</v>
      </c>
    </row>
    <row r="3143" spans="1:11" x14ac:dyDescent="0.25">
      <c r="A3143" s="2">
        <v>46228.333333333343</v>
      </c>
      <c r="B3143" t="str">
        <f t="shared" si="98"/>
        <v>2026-07</v>
      </c>
      <c r="C3143" s="3">
        <f t="shared" si="99"/>
        <v>8</v>
      </c>
      <c r="D3143" s="4">
        <v>25.497176895205559</v>
      </c>
      <c r="E3143" s="4">
        <v>26.800382215291659</v>
      </c>
      <c r="F3143" s="4">
        <v>29.0117805772</v>
      </c>
      <c r="G3143" s="4">
        <v>19.3</v>
      </c>
      <c r="H3143" s="5">
        <v>52.20285285635277</v>
      </c>
      <c r="I3143" s="5">
        <v>48.272924217644437</v>
      </c>
      <c r="J3143" s="5">
        <v>48.671257685086111</v>
      </c>
      <c r="K3143" s="5">
        <v>83</v>
      </c>
    </row>
    <row r="3144" spans="1:11" x14ac:dyDescent="0.25">
      <c r="A3144" s="2">
        <v>46228.375</v>
      </c>
      <c r="B3144" t="str">
        <f t="shared" si="98"/>
        <v>2026-07</v>
      </c>
      <c r="C3144" s="3">
        <f t="shared" si="99"/>
        <v>9</v>
      </c>
      <c r="D3144" s="4">
        <v>25.745480858975</v>
      </c>
      <c r="E3144" s="4">
        <v>26.813234763694439</v>
      </c>
      <c r="F3144" s="4">
        <v>29.02508604010556</v>
      </c>
      <c r="G3144" s="4">
        <v>21.2</v>
      </c>
      <c r="H3144" s="5">
        <v>51.099996759369454</v>
      </c>
      <c r="I3144" s="5">
        <v>48.263601440191671</v>
      </c>
      <c r="J3144" s="5">
        <v>48.62540250135833</v>
      </c>
      <c r="K3144" s="5">
        <v>72</v>
      </c>
    </row>
    <row r="3145" spans="1:11" x14ac:dyDescent="0.25">
      <c r="A3145" s="2">
        <v>46228.416666666657</v>
      </c>
      <c r="B3145" t="str">
        <f t="shared" si="98"/>
        <v>2026-07</v>
      </c>
      <c r="C3145" s="3">
        <f t="shared" si="99"/>
        <v>10</v>
      </c>
      <c r="D3145" s="4">
        <v>25.863323310709522</v>
      </c>
      <c r="E3145" s="4">
        <v>26.798944488561911</v>
      </c>
      <c r="F3145" s="4">
        <v>29.027618840799999</v>
      </c>
      <c r="G3145" s="4">
        <v>22.2</v>
      </c>
      <c r="H3145" s="5">
        <v>50.123549959328571</v>
      </c>
      <c r="I3145" s="5">
        <v>47.886918302109521</v>
      </c>
      <c r="J3145" s="5">
        <v>48.683390797404762</v>
      </c>
      <c r="K3145" s="5">
        <v>60</v>
      </c>
    </row>
    <row r="3146" spans="1:11" x14ac:dyDescent="0.25">
      <c r="A3146" s="2">
        <v>46228.458333333343</v>
      </c>
      <c r="B3146" t="str">
        <f t="shared" si="98"/>
        <v>2026-07</v>
      </c>
      <c r="C3146" s="3">
        <f t="shared" si="99"/>
        <v>11</v>
      </c>
      <c r="D3146" s="4"/>
      <c r="E3146" s="4"/>
      <c r="F3146" s="4"/>
      <c r="G3146" s="4">
        <v>22.6</v>
      </c>
      <c r="H3146" s="5"/>
      <c r="I3146" s="5"/>
      <c r="J3146" s="5"/>
      <c r="K3146" s="5">
        <v>56</v>
      </c>
    </row>
    <row r="3147" spans="1:11" x14ac:dyDescent="0.25">
      <c r="A3147" s="2">
        <v>46228.5</v>
      </c>
      <c r="B3147" t="str">
        <f t="shared" si="98"/>
        <v>2026-07</v>
      </c>
      <c r="C3147" s="3">
        <f t="shared" si="99"/>
        <v>12</v>
      </c>
      <c r="D3147" s="4"/>
      <c r="E3147" s="4"/>
      <c r="F3147" s="4"/>
      <c r="G3147" s="4">
        <v>23.3</v>
      </c>
      <c r="H3147" s="5"/>
      <c r="I3147" s="5"/>
      <c r="J3147" s="5"/>
      <c r="K3147" s="5">
        <v>55</v>
      </c>
    </row>
    <row r="3148" spans="1:11" x14ac:dyDescent="0.25">
      <c r="A3148" s="2">
        <v>46228.541666666657</v>
      </c>
      <c r="B3148" t="str">
        <f t="shared" si="98"/>
        <v>2026-07</v>
      </c>
      <c r="C3148" s="3">
        <f t="shared" si="99"/>
        <v>13</v>
      </c>
      <c r="D3148" s="4"/>
      <c r="E3148" s="4"/>
      <c r="F3148" s="4"/>
      <c r="G3148" s="4">
        <v>24</v>
      </c>
      <c r="H3148" s="5"/>
      <c r="I3148" s="5"/>
      <c r="J3148" s="5"/>
      <c r="K3148" s="5">
        <v>55</v>
      </c>
    </row>
    <row r="3149" spans="1:11" x14ac:dyDescent="0.25">
      <c r="A3149" s="2">
        <v>46228.583333333343</v>
      </c>
      <c r="B3149" t="str">
        <f t="shared" si="98"/>
        <v>2026-07</v>
      </c>
      <c r="C3149" s="3">
        <f t="shared" si="99"/>
        <v>14</v>
      </c>
      <c r="D3149" s="4"/>
      <c r="E3149" s="4"/>
      <c r="F3149" s="4"/>
      <c r="G3149" s="4">
        <v>24.4</v>
      </c>
      <c r="H3149" s="5"/>
      <c r="I3149" s="5"/>
      <c r="J3149" s="5"/>
      <c r="K3149" s="5">
        <v>54</v>
      </c>
    </row>
    <row r="3150" spans="1:11" x14ac:dyDescent="0.25">
      <c r="A3150" s="2">
        <v>46228.625</v>
      </c>
      <c r="B3150" t="str">
        <f t="shared" si="98"/>
        <v>2026-07</v>
      </c>
      <c r="C3150" s="3">
        <f t="shared" si="99"/>
        <v>15</v>
      </c>
      <c r="D3150" s="4"/>
      <c r="E3150" s="4"/>
      <c r="F3150" s="4"/>
      <c r="G3150" s="4">
        <v>24.9</v>
      </c>
      <c r="H3150" s="5"/>
      <c r="I3150" s="5"/>
      <c r="J3150" s="5"/>
      <c r="K3150" s="5">
        <v>52</v>
      </c>
    </row>
    <row r="3151" spans="1:11" x14ac:dyDescent="0.25">
      <c r="A3151" s="2">
        <v>46228.666666666657</v>
      </c>
      <c r="B3151" t="str">
        <f t="shared" si="98"/>
        <v>2026-07</v>
      </c>
      <c r="C3151" s="3">
        <f t="shared" si="99"/>
        <v>16</v>
      </c>
      <c r="D3151" s="4"/>
      <c r="E3151" s="4"/>
      <c r="F3151" s="4"/>
      <c r="G3151" s="4">
        <v>24.5</v>
      </c>
      <c r="H3151" s="5"/>
      <c r="I3151" s="5"/>
      <c r="J3151" s="5"/>
      <c r="K3151" s="5">
        <v>51</v>
      </c>
    </row>
    <row r="3152" spans="1:11" x14ac:dyDescent="0.25">
      <c r="A3152" s="2">
        <v>46228.708333333343</v>
      </c>
      <c r="B3152" t="str">
        <f t="shared" si="98"/>
        <v>2026-07</v>
      </c>
      <c r="C3152" s="3">
        <f t="shared" si="99"/>
        <v>17</v>
      </c>
      <c r="D3152" s="4"/>
      <c r="E3152" s="4"/>
      <c r="F3152" s="4"/>
      <c r="G3152" s="4">
        <v>24.5</v>
      </c>
      <c r="H3152" s="5"/>
      <c r="I3152" s="5"/>
      <c r="J3152" s="5"/>
      <c r="K3152" s="5">
        <v>50</v>
      </c>
    </row>
    <row r="3153" spans="1:11" x14ac:dyDescent="0.25">
      <c r="A3153" s="2">
        <v>46228.75</v>
      </c>
      <c r="B3153" t="str">
        <f t="shared" si="98"/>
        <v>2026-07</v>
      </c>
      <c r="C3153" s="3">
        <f t="shared" si="99"/>
        <v>18</v>
      </c>
      <c r="D3153" s="4"/>
      <c r="E3153" s="4"/>
      <c r="F3153" s="4"/>
      <c r="G3153" s="4">
        <v>23.7</v>
      </c>
      <c r="H3153" s="5"/>
      <c r="I3153" s="5"/>
      <c r="J3153" s="5"/>
      <c r="K3153" s="5">
        <v>54</v>
      </c>
    </row>
    <row r="3154" spans="1:11" x14ac:dyDescent="0.25">
      <c r="A3154" s="2">
        <v>46228.791666666657</v>
      </c>
      <c r="B3154" t="str">
        <f t="shared" si="98"/>
        <v>2026-07</v>
      </c>
      <c r="C3154" s="3">
        <f t="shared" si="99"/>
        <v>19</v>
      </c>
      <c r="D3154" s="4"/>
      <c r="E3154" s="4"/>
      <c r="F3154" s="4"/>
      <c r="G3154" s="4">
        <v>23</v>
      </c>
      <c r="H3154" s="5"/>
      <c r="I3154" s="5"/>
      <c r="J3154" s="5"/>
      <c r="K3154" s="5">
        <v>59</v>
      </c>
    </row>
    <row r="3155" spans="1:11" x14ac:dyDescent="0.25">
      <c r="A3155" s="2">
        <v>46228.833333333343</v>
      </c>
      <c r="B3155" t="str">
        <f t="shared" si="98"/>
        <v>2026-07</v>
      </c>
      <c r="C3155" s="3">
        <f t="shared" si="99"/>
        <v>20</v>
      </c>
      <c r="D3155" s="4">
        <v>25.104728364580119</v>
      </c>
      <c r="E3155" s="4">
        <v>26.475656555410321</v>
      </c>
      <c r="F3155" s="4">
        <v>27.869146869376671</v>
      </c>
      <c r="G3155" s="4">
        <v>21.7</v>
      </c>
      <c r="H3155" s="5">
        <v>50.421797952918951</v>
      </c>
      <c r="I3155" s="5">
        <v>46.978569372239811</v>
      </c>
      <c r="J3155" s="5">
        <v>49.067517878222382</v>
      </c>
      <c r="K3155" s="5">
        <v>65</v>
      </c>
    </row>
    <row r="3156" spans="1:11" x14ac:dyDescent="0.25">
      <c r="A3156" s="2">
        <v>46228.875</v>
      </c>
      <c r="B3156" t="str">
        <f t="shared" si="98"/>
        <v>2026-07</v>
      </c>
      <c r="C3156" s="3">
        <f t="shared" si="99"/>
        <v>21</v>
      </c>
      <c r="D3156" s="4">
        <v>25.22708413123334</v>
      </c>
      <c r="E3156" s="4">
        <v>26.697346683833331</v>
      </c>
      <c r="F3156" s="4">
        <v>27.4763608654</v>
      </c>
      <c r="G3156" s="4">
        <v>20.9</v>
      </c>
      <c r="H3156" s="5">
        <v>49.781125582816657</v>
      </c>
      <c r="I3156" s="5">
        <v>46.347966042283332</v>
      </c>
      <c r="J3156" s="5">
        <v>52.492646316313888</v>
      </c>
      <c r="K3156" s="5">
        <v>69</v>
      </c>
    </row>
    <row r="3157" spans="1:11" x14ac:dyDescent="0.25">
      <c r="A3157" s="2">
        <v>46228.916666666657</v>
      </c>
      <c r="B3157" t="str">
        <f t="shared" si="98"/>
        <v>2026-07</v>
      </c>
      <c r="C3157" s="3">
        <f t="shared" si="99"/>
        <v>22</v>
      </c>
      <c r="D3157" s="4">
        <v>25.085613694911121</v>
      </c>
      <c r="E3157" s="4">
        <v>26.595311243411111</v>
      </c>
      <c r="F3157" s="4">
        <v>27.238373067277781</v>
      </c>
      <c r="G3157" s="4">
        <v>20.399999999999999</v>
      </c>
      <c r="H3157" s="5">
        <v>50.668228360147218</v>
      </c>
      <c r="I3157" s="5">
        <v>46.942529715580548</v>
      </c>
      <c r="J3157" s="5">
        <v>53.151195575369449</v>
      </c>
      <c r="K3157" s="5">
        <v>71</v>
      </c>
    </row>
    <row r="3158" spans="1:11" x14ac:dyDescent="0.25">
      <c r="A3158" s="2">
        <v>46228.958333333343</v>
      </c>
      <c r="B3158" t="str">
        <f t="shared" si="98"/>
        <v>2026-07</v>
      </c>
      <c r="C3158" s="3">
        <f t="shared" si="99"/>
        <v>23</v>
      </c>
      <c r="D3158" s="4">
        <v>24.68663243853333</v>
      </c>
      <c r="E3158" s="4">
        <v>26.510644397908329</v>
      </c>
      <c r="F3158" s="4">
        <v>27.727109776252771</v>
      </c>
      <c r="G3158" s="4">
        <v>19.7</v>
      </c>
      <c r="H3158" s="5">
        <v>51.372034781163897</v>
      </c>
      <c r="I3158" s="5">
        <v>47.926252865491669</v>
      </c>
      <c r="J3158" s="5">
        <v>51.117205321558338</v>
      </c>
      <c r="K3158" s="5">
        <v>75</v>
      </c>
    </row>
    <row r="3159" spans="1:11" x14ac:dyDescent="0.25">
      <c r="A3159" s="2">
        <v>46229</v>
      </c>
      <c r="B3159" t="str">
        <f t="shared" si="98"/>
        <v>2026-07</v>
      </c>
      <c r="C3159" s="3">
        <f t="shared" si="99"/>
        <v>0</v>
      </c>
      <c r="D3159" s="4">
        <v>24.591421668938889</v>
      </c>
      <c r="E3159" s="4">
        <v>26.534604848819441</v>
      </c>
      <c r="F3159" s="4">
        <v>28.037549847327771</v>
      </c>
      <c r="G3159" s="4">
        <v>19</v>
      </c>
      <c r="H3159" s="5">
        <v>52.783383771722221</v>
      </c>
      <c r="I3159" s="5">
        <v>49.438726911575003</v>
      </c>
      <c r="J3159" s="5">
        <v>50.329705073183327</v>
      </c>
      <c r="K3159" s="5">
        <v>78</v>
      </c>
    </row>
    <row r="3160" spans="1:11" x14ac:dyDescent="0.25">
      <c r="A3160" s="2">
        <v>46229.041666666657</v>
      </c>
      <c r="B3160" t="str">
        <f t="shared" si="98"/>
        <v>2026-07</v>
      </c>
      <c r="C3160" s="3">
        <f t="shared" si="99"/>
        <v>1</v>
      </c>
      <c r="D3160" s="4">
        <v>24.180748063222222</v>
      </c>
      <c r="E3160" s="4">
        <v>26.60180865686111</v>
      </c>
      <c r="F3160" s="4">
        <v>28.223789532449999</v>
      </c>
      <c r="G3160" s="4">
        <v>18.5</v>
      </c>
      <c r="H3160" s="5">
        <v>52.602846750775001</v>
      </c>
      <c r="I3160" s="5">
        <v>47.080704584922223</v>
      </c>
      <c r="J3160" s="5">
        <v>49.916511594169442</v>
      </c>
      <c r="K3160" s="5">
        <v>80</v>
      </c>
    </row>
    <row r="3161" spans="1:11" x14ac:dyDescent="0.25">
      <c r="A3161" s="2">
        <v>46229.083333333343</v>
      </c>
      <c r="B3161" t="str">
        <f t="shared" si="98"/>
        <v>2026-07</v>
      </c>
      <c r="C3161" s="3">
        <f t="shared" si="99"/>
        <v>2</v>
      </c>
      <c r="D3161" s="4">
        <v>23.68349852298056</v>
      </c>
      <c r="E3161" s="4">
        <v>26.520360072391671</v>
      </c>
      <c r="F3161" s="4">
        <v>28.339733012147221</v>
      </c>
      <c r="G3161" s="4">
        <v>18</v>
      </c>
      <c r="H3161" s="5">
        <v>54.961968526180549</v>
      </c>
      <c r="I3161" s="5">
        <v>47.435876796050003</v>
      </c>
      <c r="J3161" s="5">
        <v>49.61657009319444</v>
      </c>
      <c r="K3161" s="5">
        <v>82</v>
      </c>
    </row>
    <row r="3162" spans="1:11" x14ac:dyDescent="0.25">
      <c r="A3162" s="2">
        <v>46229.125</v>
      </c>
      <c r="B3162" t="str">
        <f t="shared" si="98"/>
        <v>2026-07</v>
      </c>
      <c r="C3162" s="3">
        <f t="shared" si="99"/>
        <v>3</v>
      </c>
      <c r="D3162" s="4">
        <v>23.15250658193056</v>
      </c>
      <c r="E3162" s="4">
        <v>26.210664623269452</v>
      </c>
      <c r="F3162" s="4">
        <v>28.405380937286111</v>
      </c>
      <c r="G3162" s="4">
        <v>17.3</v>
      </c>
      <c r="H3162" s="5">
        <v>57.303745585355557</v>
      </c>
      <c r="I3162" s="5">
        <v>48.685013765894453</v>
      </c>
      <c r="J3162" s="5">
        <v>49.539981316244443</v>
      </c>
      <c r="K3162" s="5">
        <v>87</v>
      </c>
    </row>
    <row r="3163" spans="1:11" x14ac:dyDescent="0.25">
      <c r="A3163" s="2">
        <v>46229.166666666657</v>
      </c>
      <c r="B3163" t="str">
        <f t="shared" si="98"/>
        <v>2026-07</v>
      </c>
      <c r="C3163" s="3">
        <f t="shared" si="99"/>
        <v>4</v>
      </c>
      <c r="D3163" s="4">
        <v>23.083453281816659</v>
      </c>
      <c r="E3163" s="4">
        <v>26.158713431902779</v>
      </c>
      <c r="F3163" s="4">
        <v>28.446463623613891</v>
      </c>
      <c r="G3163" s="4">
        <v>16.8</v>
      </c>
      <c r="H3163" s="5">
        <v>57.196837900175012</v>
      </c>
      <c r="I3163" s="5">
        <v>48.649710214650007</v>
      </c>
      <c r="J3163" s="5">
        <v>49.439681516288893</v>
      </c>
      <c r="K3163" s="5">
        <v>89</v>
      </c>
    </row>
    <row r="3164" spans="1:11" x14ac:dyDescent="0.25">
      <c r="A3164" s="2">
        <v>46229.208333333343</v>
      </c>
      <c r="B3164" t="str">
        <f t="shared" si="98"/>
        <v>2026-07</v>
      </c>
      <c r="C3164" s="3">
        <f t="shared" si="99"/>
        <v>5</v>
      </c>
      <c r="D3164" s="4">
        <v>22.853750287319439</v>
      </c>
      <c r="E3164" s="4">
        <v>26.131900470933331</v>
      </c>
      <c r="F3164" s="4">
        <v>28.482000680883331</v>
      </c>
      <c r="G3164" s="4">
        <v>16.7</v>
      </c>
      <c r="H3164" s="5">
        <v>58.044823252786109</v>
      </c>
      <c r="I3164" s="5">
        <v>48.822821286591669</v>
      </c>
      <c r="J3164" s="5">
        <v>49.364434618027779</v>
      </c>
      <c r="K3164" s="5">
        <v>90</v>
      </c>
    </row>
    <row r="3165" spans="1:11" x14ac:dyDescent="0.25">
      <c r="A3165" s="2">
        <v>46229.25</v>
      </c>
      <c r="B3165" t="str">
        <f t="shared" si="98"/>
        <v>2026-07</v>
      </c>
      <c r="C3165" s="3">
        <f t="shared" si="99"/>
        <v>6</v>
      </c>
      <c r="D3165" s="4">
        <v>22.914299753513891</v>
      </c>
      <c r="E3165" s="4">
        <v>26.072261162816659</v>
      </c>
      <c r="F3165" s="4">
        <v>28.510509445377771</v>
      </c>
      <c r="G3165" s="4">
        <v>17.100000000000001</v>
      </c>
      <c r="H3165" s="5">
        <v>58.077105745897221</v>
      </c>
      <c r="I3165" s="5">
        <v>48.840542800336117</v>
      </c>
      <c r="J3165" s="5">
        <v>49.315611438588888</v>
      </c>
      <c r="K3165" s="5">
        <v>89</v>
      </c>
    </row>
    <row r="3166" spans="1:11" x14ac:dyDescent="0.25">
      <c r="A3166" s="2">
        <v>46229.291666666657</v>
      </c>
      <c r="B3166" t="str">
        <f t="shared" si="98"/>
        <v>2026-07</v>
      </c>
      <c r="C3166" s="3">
        <f t="shared" si="99"/>
        <v>7</v>
      </c>
      <c r="D3166" s="4">
        <v>23.096912648416659</v>
      </c>
      <c r="E3166" s="4">
        <v>26.041575340127778</v>
      </c>
      <c r="F3166" s="4">
        <v>28.527796967838889</v>
      </c>
      <c r="G3166" s="4">
        <v>17.8</v>
      </c>
      <c r="H3166" s="5">
        <v>58.570333399469447</v>
      </c>
      <c r="I3166" s="5">
        <v>49.681513930774997</v>
      </c>
      <c r="J3166" s="5">
        <v>49.361343176108328</v>
      </c>
      <c r="K3166" s="5">
        <v>88</v>
      </c>
    </row>
    <row r="3167" spans="1:11" x14ac:dyDescent="0.25">
      <c r="A3167" s="2">
        <v>46229.333333333343</v>
      </c>
      <c r="B3167" t="str">
        <f t="shared" si="98"/>
        <v>2026-07</v>
      </c>
      <c r="C3167" s="3">
        <f t="shared" si="99"/>
        <v>8</v>
      </c>
      <c r="D3167" s="4">
        <v>23.442478809274998</v>
      </c>
      <c r="E3167" s="4">
        <v>26.189958117488889</v>
      </c>
      <c r="F3167" s="4">
        <v>28.54458377394722</v>
      </c>
      <c r="G3167" s="4">
        <v>18.899999999999999</v>
      </c>
      <c r="H3167" s="5">
        <v>57.839848016108327</v>
      </c>
      <c r="I3167" s="5">
        <v>49.735180672966663</v>
      </c>
      <c r="J3167" s="5">
        <v>49.239059480547219</v>
      </c>
      <c r="K3167" s="5">
        <v>83</v>
      </c>
    </row>
    <row r="3168" spans="1:11" x14ac:dyDescent="0.25">
      <c r="A3168" s="2">
        <v>46229.375</v>
      </c>
      <c r="B3168" t="str">
        <f t="shared" si="98"/>
        <v>2026-07</v>
      </c>
      <c r="C3168" s="3">
        <f t="shared" si="99"/>
        <v>9</v>
      </c>
      <c r="D3168" s="4">
        <v>24.125716860977779</v>
      </c>
      <c r="E3168" s="4">
        <v>26.37037887586667</v>
      </c>
      <c r="F3168" s="4">
        <v>28.581167635530559</v>
      </c>
      <c r="G3168" s="4">
        <v>19.8</v>
      </c>
      <c r="H3168" s="5">
        <v>52.764932346091662</v>
      </c>
      <c r="I3168" s="5">
        <v>48.048996002858331</v>
      </c>
      <c r="J3168" s="5">
        <v>49.053892312027777</v>
      </c>
      <c r="K3168" s="5">
        <v>80</v>
      </c>
    </row>
    <row r="3169" spans="1:11" x14ac:dyDescent="0.25">
      <c r="A3169" s="2">
        <v>46229.416666666657</v>
      </c>
      <c r="B3169" t="str">
        <f t="shared" si="98"/>
        <v>2026-07</v>
      </c>
      <c r="C3169" s="3">
        <f t="shared" si="99"/>
        <v>10</v>
      </c>
      <c r="D3169" s="4">
        <v>25.073339775602779</v>
      </c>
      <c r="E3169" s="4">
        <v>26.324507292316671</v>
      </c>
      <c r="F3169" s="4">
        <v>28.596592457197222</v>
      </c>
      <c r="G3169" s="4">
        <v>21.3</v>
      </c>
      <c r="H3169" s="5">
        <v>48.221255708622223</v>
      </c>
      <c r="I3169" s="5">
        <v>46.605251467636123</v>
      </c>
      <c r="J3169" s="5">
        <v>48.786278902594439</v>
      </c>
      <c r="K3169" s="5">
        <v>69</v>
      </c>
    </row>
    <row r="3170" spans="1:11" x14ac:dyDescent="0.25">
      <c r="A3170" s="2">
        <v>46229.458333333343</v>
      </c>
      <c r="B3170" t="str">
        <f t="shared" si="98"/>
        <v>2026-07</v>
      </c>
      <c r="C3170" s="3">
        <f t="shared" si="99"/>
        <v>11</v>
      </c>
      <c r="D3170" s="4">
        <v>24.943673894488889</v>
      </c>
      <c r="E3170" s="4">
        <v>26.359272312980561</v>
      </c>
      <c r="F3170" s="4">
        <v>28.609157986647219</v>
      </c>
      <c r="G3170" s="4">
        <v>22.2</v>
      </c>
      <c r="H3170" s="5">
        <v>48.696905286333333</v>
      </c>
      <c r="I3170" s="5">
        <v>46.375041538044449</v>
      </c>
      <c r="J3170" s="5">
        <v>48.574716766327782</v>
      </c>
      <c r="K3170" s="5">
        <v>61</v>
      </c>
    </row>
    <row r="3171" spans="1:11" x14ac:dyDescent="0.25">
      <c r="A3171" s="2">
        <v>46229.5</v>
      </c>
      <c r="B3171" t="str">
        <f t="shared" si="98"/>
        <v>2026-07</v>
      </c>
      <c r="C3171" s="3">
        <f t="shared" si="99"/>
        <v>12</v>
      </c>
      <c r="D3171" s="4">
        <v>25.178774387227779</v>
      </c>
      <c r="E3171" s="4">
        <v>26.86941409112222</v>
      </c>
      <c r="F3171" s="4">
        <v>28.626528581424999</v>
      </c>
      <c r="G3171" s="4">
        <v>22.6</v>
      </c>
      <c r="H3171" s="5">
        <v>47.863803363197228</v>
      </c>
      <c r="I3171" s="5">
        <v>45.921782360350001</v>
      </c>
      <c r="J3171" s="5">
        <v>48.448421777766669</v>
      </c>
      <c r="K3171" s="5">
        <v>54</v>
      </c>
    </row>
    <row r="3172" spans="1:11" x14ac:dyDescent="0.25">
      <c r="A3172" s="2">
        <v>46229.541666666657</v>
      </c>
      <c r="B3172" t="str">
        <f t="shared" si="98"/>
        <v>2026-07</v>
      </c>
      <c r="C3172" s="3">
        <f t="shared" si="99"/>
        <v>13</v>
      </c>
      <c r="D3172" s="4">
        <v>25.526862106869441</v>
      </c>
      <c r="E3172" s="4">
        <v>26.985563058080562</v>
      </c>
      <c r="F3172" s="4">
        <v>28.646666593736111</v>
      </c>
      <c r="G3172" s="4">
        <v>22.8</v>
      </c>
      <c r="H3172" s="5">
        <v>47.473517394458327</v>
      </c>
      <c r="I3172" s="5">
        <v>45.878568556019452</v>
      </c>
      <c r="J3172" s="5">
        <v>48.452992863077782</v>
      </c>
      <c r="K3172" s="5">
        <v>54</v>
      </c>
    </row>
    <row r="3173" spans="1:11" x14ac:dyDescent="0.25">
      <c r="A3173" s="2">
        <v>46229.583333333343</v>
      </c>
      <c r="B3173" t="str">
        <f t="shared" si="98"/>
        <v>2026-07</v>
      </c>
      <c r="C3173" s="3">
        <f t="shared" si="99"/>
        <v>14</v>
      </c>
      <c r="D3173" s="4">
        <v>25.820572919611109</v>
      </c>
      <c r="E3173" s="4">
        <v>27.244735105527781</v>
      </c>
      <c r="F3173" s="4">
        <v>28.658417557458328</v>
      </c>
      <c r="G3173" s="4">
        <v>22.8</v>
      </c>
      <c r="H3173" s="5">
        <v>46.333106339380556</v>
      </c>
      <c r="I3173" s="5">
        <v>45.668911959441672</v>
      </c>
      <c r="J3173" s="5">
        <v>48.428484872530561</v>
      </c>
      <c r="K3173" s="5">
        <v>55</v>
      </c>
    </row>
    <row r="3174" spans="1:11" x14ac:dyDescent="0.25">
      <c r="A3174" s="2">
        <v>46229.625</v>
      </c>
      <c r="B3174" t="str">
        <f t="shared" si="98"/>
        <v>2026-07</v>
      </c>
      <c r="C3174" s="3">
        <f t="shared" si="99"/>
        <v>15</v>
      </c>
      <c r="D3174" s="4">
        <v>25.87592397020833</v>
      </c>
      <c r="E3174" s="4">
        <v>27.358034198913892</v>
      </c>
      <c r="F3174" s="4">
        <v>28.583106514911108</v>
      </c>
      <c r="G3174" s="4">
        <v>23.5</v>
      </c>
      <c r="H3174" s="5">
        <v>45.804270674638879</v>
      </c>
      <c r="I3174" s="5">
        <v>45.168251716272223</v>
      </c>
      <c r="J3174" s="5">
        <v>48.91857003537222</v>
      </c>
      <c r="K3174" s="5">
        <v>56</v>
      </c>
    </row>
    <row r="3175" spans="1:11" x14ac:dyDescent="0.25">
      <c r="A3175" s="2">
        <v>46229.666666666657</v>
      </c>
      <c r="B3175" t="str">
        <f t="shared" si="98"/>
        <v>2026-07</v>
      </c>
      <c r="C3175" s="3">
        <f t="shared" si="99"/>
        <v>16</v>
      </c>
      <c r="D3175" s="4">
        <v>26.089649006713891</v>
      </c>
      <c r="E3175" s="4">
        <v>27.423435487230549</v>
      </c>
      <c r="F3175" s="4">
        <v>28.089850450575</v>
      </c>
      <c r="G3175" s="4">
        <v>23.8</v>
      </c>
      <c r="H3175" s="5">
        <v>42.711574482925002</v>
      </c>
      <c r="I3175" s="5">
        <v>42.737490512986113</v>
      </c>
      <c r="J3175" s="5">
        <v>48.995825243216657</v>
      </c>
      <c r="K3175" s="5">
        <v>55</v>
      </c>
    </row>
    <row r="3176" spans="1:11" x14ac:dyDescent="0.25">
      <c r="A3176" s="2">
        <v>46229.708333333343</v>
      </c>
      <c r="B3176" t="str">
        <f t="shared" si="98"/>
        <v>2026-07</v>
      </c>
      <c r="C3176" s="3">
        <f t="shared" si="99"/>
        <v>17</v>
      </c>
      <c r="D3176" s="4">
        <v>26.006531443269441</v>
      </c>
      <c r="E3176" s="4">
        <v>27.442038008897221</v>
      </c>
      <c r="F3176" s="4">
        <v>28.283068754605559</v>
      </c>
      <c r="G3176" s="4">
        <v>24.2</v>
      </c>
      <c r="H3176" s="5">
        <v>44.02715992956945</v>
      </c>
      <c r="I3176" s="5">
        <v>43.117878615755558</v>
      </c>
      <c r="J3176" s="5">
        <v>48.814921530894438</v>
      </c>
      <c r="K3176" s="5">
        <v>52</v>
      </c>
    </row>
    <row r="3177" spans="1:11" x14ac:dyDescent="0.25">
      <c r="A3177" s="2">
        <v>46229.75</v>
      </c>
      <c r="B3177" t="str">
        <f t="shared" si="98"/>
        <v>2026-07</v>
      </c>
      <c r="C3177" s="3">
        <f t="shared" si="99"/>
        <v>18</v>
      </c>
      <c r="D3177" s="4">
        <v>25.913293174308329</v>
      </c>
      <c r="E3177" s="4">
        <v>27.348112928300001</v>
      </c>
      <c r="F3177" s="4">
        <v>28.493561590533329</v>
      </c>
      <c r="G3177" s="4">
        <v>23.9</v>
      </c>
      <c r="H3177" s="5">
        <v>45.000871955566673</v>
      </c>
      <c r="I3177" s="5">
        <v>44.015274257922222</v>
      </c>
      <c r="J3177" s="5">
        <v>48.51827529886944</v>
      </c>
      <c r="K3177" s="5">
        <v>52</v>
      </c>
    </row>
    <row r="3178" spans="1:11" x14ac:dyDescent="0.25">
      <c r="A3178" s="2">
        <v>46229.791666666657</v>
      </c>
      <c r="B3178" t="str">
        <f t="shared" si="98"/>
        <v>2026-07</v>
      </c>
      <c r="C3178" s="3">
        <f t="shared" si="99"/>
        <v>19</v>
      </c>
      <c r="D3178" s="4">
        <v>25.59521399482222</v>
      </c>
      <c r="E3178" s="4">
        <v>27.501580456397221</v>
      </c>
      <c r="F3178" s="4">
        <v>28.48315725966944</v>
      </c>
      <c r="G3178" s="4">
        <v>23.1</v>
      </c>
      <c r="H3178" s="5">
        <v>45.740453124866661</v>
      </c>
      <c r="I3178" s="5">
        <v>43.699482074219453</v>
      </c>
      <c r="J3178" s="5">
        <v>49.196982481769453</v>
      </c>
      <c r="K3178" s="5">
        <v>59</v>
      </c>
    </row>
    <row r="3179" spans="1:11" x14ac:dyDescent="0.25">
      <c r="A3179" s="2">
        <v>46229.833333333343</v>
      </c>
      <c r="B3179" t="str">
        <f t="shared" si="98"/>
        <v>2026-07</v>
      </c>
      <c r="C3179" s="3">
        <f t="shared" si="99"/>
        <v>20</v>
      </c>
      <c r="D3179" s="4">
        <v>25.279219606577779</v>
      </c>
      <c r="E3179" s="4">
        <v>27.113160561250002</v>
      </c>
      <c r="F3179" s="4">
        <v>28.539595419455559</v>
      </c>
      <c r="G3179" s="4">
        <v>21.5</v>
      </c>
      <c r="H3179" s="5">
        <v>46.243727370116673</v>
      </c>
      <c r="I3179" s="5">
        <v>44.294535156744438</v>
      </c>
      <c r="J3179" s="5">
        <v>48.972377749847233</v>
      </c>
      <c r="K3179" s="5">
        <v>68</v>
      </c>
    </row>
    <row r="3180" spans="1:11" x14ac:dyDescent="0.25">
      <c r="A3180" s="2">
        <v>46229.875</v>
      </c>
      <c r="B3180" t="str">
        <f t="shared" si="98"/>
        <v>2026-07</v>
      </c>
      <c r="C3180" s="3">
        <f t="shared" si="99"/>
        <v>21</v>
      </c>
      <c r="D3180" s="4">
        <v>24.600960878497219</v>
      </c>
      <c r="E3180" s="4">
        <v>27.573923282652771</v>
      </c>
      <c r="F3180" s="4">
        <v>28.19400106500278</v>
      </c>
      <c r="G3180" s="4">
        <v>20.100000000000001</v>
      </c>
      <c r="H3180" s="5">
        <v>49.582244800747219</v>
      </c>
      <c r="I3180" s="5">
        <v>44.563779490669447</v>
      </c>
      <c r="J3180" s="5">
        <v>49.565475002463891</v>
      </c>
      <c r="K3180" s="5">
        <v>73</v>
      </c>
    </row>
    <row r="3181" spans="1:11" x14ac:dyDescent="0.25">
      <c r="A3181" s="2">
        <v>46229.916666666657</v>
      </c>
      <c r="B3181" t="str">
        <f t="shared" si="98"/>
        <v>2026-07</v>
      </c>
      <c r="C3181" s="3">
        <f t="shared" si="99"/>
        <v>22</v>
      </c>
      <c r="D3181" s="4">
        <v>23.963132699744449</v>
      </c>
      <c r="E3181" s="4">
        <v>27.321128354636109</v>
      </c>
      <c r="F3181" s="4">
        <v>28.534155265447222</v>
      </c>
      <c r="G3181" s="4">
        <v>19.2</v>
      </c>
      <c r="H3181" s="5">
        <v>51.032882540933343</v>
      </c>
      <c r="I3181" s="5">
        <v>44.401689987247217</v>
      </c>
      <c r="J3181" s="5">
        <v>48.922147915630553</v>
      </c>
      <c r="K3181" s="5">
        <v>78</v>
      </c>
    </row>
    <row r="3182" spans="1:11" x14ac:dyDescent="0.25">
      <c r="A3182" s="2">
        <v>46229.958333333343</v>
      </c>
      <c r="B3182" t="str">
        <f t="shared" si="98"/>
        <v>2026-07</v>
      </c>
      <c r="C3182" s="3">
        <f t="shared" si="99"/>
        <v>23</v>
      </c>
      <c r="D3182" s="4">
        <v>23.723394787749999</v>
      </c>
      <c r="E3182" s="4">
        <v>27.283990444838889</v>
      </c>
      <c r="F3182" s="4">
        <v>28.652927976947229</v>
      </c>
      <c r="G3182" s="4">
        <v>18.399999999999999</v>
      </c>
      <c r="H3182" s="5">
        <v>51.769159201994448</v>
      </c>
      <c r="I3182" s="5">
        <v>43.834466039305553</v>
      </c>
      <c r="J3182" s="5">
        <v>48.615442630002782</v>
      </c>
      <c r="K3182" s="5">
        <v>82</v>
      </c>
    </row>
    <row r="3183" spans="1:11" x14ac:dyDescent="0.25">
      <c r="A3183" s="2">
        <v>46230</v>
      </c>
      <c r="B3183" t="str">
        <f t="shared" si="98"/>
        <v>2026-07</v>
      </c>
      <c r="C3183" s="3">
        <f t="shared" si="99"/>
        <v>0</v>
      </c>
      <c r="D3183" s="4">
        <v>23.580062548200001</v>
      </c>
      <c r="E3183" s="4">
        <v>27.196942392752771</v>
      </c>
      <c r="F3183" s="4">
        <v>28.624046858374999</v>
      </c>
      <c r="G3183" s="4">
        <v>17.7</v>
      </c>
      <c r="H3183" s="5">
        <v>52.231961668166669</v>
      </c>
      <c r="I3183" s="5">
        <v>44.863661830922219</v>
      </c>
      <c r="J3183" s="5">
        <v>48.691345877899998</v>
      </c>
      <c r="K3183" s="5">
        <v>86</v>
      </c>
    </row>
    <row r="3184" spans="1:11" x14ac:dyDescent="0.25">
      <c r="A3184" s="2">
        <v>46230.041666666657</v>
      </c>
      <c r="B3184" t="str">
        <f t="shared" si="98"/>
        <v>2026-07</v>
      </c>
      <c r="C3184" s="3">
        <f t="shared" si="99"/>
        <v>1</v>
      </c>
      <c r="D3184" s="4">
        <v>23.313383593605561</v>
      </c>
      <c r="E3184" s="4">
        <v>27.136456680180562</v>
      </c>
      <c r="F3184" s="4">
        <v>28.722132168286109</v>
      </c>
      <c r="G3184" s="4">
        <v>17.2</v>
      </c>
      <c r="H3184" s="5">
        <v>52.919008234433328</v>
      </c>
      <c r="I3184" s="5">
        <v>44.477272332244453</v>
      </c>
      <c r="J3184" s="5">
        <v>48.542053000702772</v>
      </c>
      <c r="K3184" s="5">
        <v>87</v>
      </c>
    </row>
    <row r="3185" spans="1:11" x14ac:dyDescent="0.25">
      <c r="A3185" s="2">
        <v>46230.083333333343</v>
      </c>
      <c r="B3185" t="str">
        <f t="shared" si="98"/>
        <v>2026-07</v>
      </c>
      <c r="C3185" s="3">
        <f t="shared" si="99"/>
        <v>2</v>
      </c>
      <c r="D3185" s="4">
        <v>23.12061175416666</v>
      </c>
      <c r="E3185" s="4">
        <v>26.836779188966659</v>
      </c>
      <c r="F3185" s="4">
        <v>28.779473231686111</v>
      </c>
      <c r="G3185" s="4">
        <v>16.5</v>
      </c>
      <c r="H3185" s="5">
        <v>53.543111788674999</v>
      </c>
      <c r="I3185" s="5">
        <v>44.47834755389723</v>
      </c>
      <c r="J3185" s="5">
        <v>48.449134578191668</v>
      </c>
      <c r="K3185" s="5">
        <v>90</v>
      </c>
    </row>
    <row r="3186" spans="1:11" x14ac:dyDescent="0.25">
      <c r="A3186" s="2">
        <v>46230.125</v>
      </c>
      <c r="B3186" t="str">
        <f t="shared" si="98"/>
        <v>2026-07</v>
      </c>
      <c r="C3186" s="3">
        <f t="shared" si="99"/>
        <v>3</v>
      </c>
      <c r="D3186" s="4">
        <v>22.53841596126945</v>
      </c>
      <c r="E3186" s="4">
        <v>26.381387053794441</v>
      </c>
      <c r="F3186" s="4">
        <v>28.825806421725002</v>
      </c>
      <c r="G3186" s="4">
        <v>16</v>
      </c>
      <c r="H3186" s="5">
        <v>54.485526376136107</v>
      </c>
      <c r="I3186" s="5">
        <v>44.828707082705563</v>
      </c>
      <c r="J3186" s="5">
        <v>48.322427008530553</v>
      </c>
      <c r="K3186" s="5">
        <v>90</v>
      </c>
    </row>
    <row r="3187" spans="1:11" x14ac:dyDescent="0.25">
      <c r="A3187" s="2">
        <v>46230.166666666657</v>
      </c>
      <c r="B3187" t="str">
        <f t="shared" si="98"/>
        <v>2026-07</v>
      </c>
      <c r="C3187" s="3">
        <f t="shared" si="99"/>
        <v>4</v>
      </c>
      <c r="D3187" s="4">
        <v>22.567454633536109</v>
      </c>
      <c r="E3187" s="4">
        <v>26.116559838177778</v>
      </c>
      <c r="F3187" s="4">
        <v>28.853140325652781</v>
      </c>
      <c r="G3187" s="4">
        <v>15.7</v>
      </c>
      <c r="H3187" s="5">
        <v>53.980255037694462</v>
      </c>
      <c r="I3187" s="5">
        <v>44.85737589641667</v>
      </c>
      <c r="J3187" s="5">
        <v>48.129112412472232</v>
      </c>
      <c r="K3187" s="5">
        <v>89</v>
      </c>
    </row>
    <row r="3188" spans="1:11" x14ac:dyDescent="0.25">
      <c r="A3188" s="2">
        <v>46230.208333333343</v>
      </c>
      <c r="B3188" t="str">
        <f t="shared" si="98"/>
        <v>2026-07</v>
      </c>
      <c r="C3188" s="3">
        <f t="shared" si="99"/>
        <v>5</v>
      </c>
      <c r="D3188" s="4">
        <v>22.83847917055278</v>
      </c>
      <c r="E3188" s="4">
        <v>26.095616539163888</v>
      </c>
      <c r="F3188" s="4">
        <v>28.871074402547219</v>
      </c>
      <c r="G3188" s="4">
        <v>15.5</v>
      </c>
      <c r="H3188" s="5">
        <v>52.743337746241671</v>
      </c>
      <c r="I3188" s="5">
        <v>44.700909765019453</v>
      </c>
      <c r="J3188" s="5">
        <v>47.976058936102781</v>
      </c>
      <c r="K3188" s="5">
        <v>89</v>
      </c>
    </row>
    <row r="3189" spans="1:11" x14ac:dyDescent="0.25">
      <c r="A3189" s="2">
        <v>46230.25</v>
      </c>
      <c r="B3189" t="str">
        <f t="shared" si="98"/>
        <v>2026-07</v>
      </c>
      <c r="C3189" s="3">
        <f t="shared" si="99"/>
        <v>6</v>
      </c>
      <c r="D3189" s="4">
        <v>24.099135309566659</v>
      </c>
      <c r="E3189" s="4">
        <v>26.284573466713891</v>
      </c>
      <c r="F3189" s="4">
        <v>28.883317198391669</v>
      </c>
      <c r="G3189" s="4">
        <v>16.100000000000001</v>
      </c>
      <c r="H3189" s="5">
        <v>48.764421295358339</v>
      </c>
      <c r="I3189" s="5">
        <v>44.272372338947207</v>
      </c>
      <c r="J3189" s="5">
        <v>47.838746574852777</v>
      </c>
      <c r="K3189" s="5">
        <v>87</v>
      </c>
    </row>
    <row r="3190" spans="1:11" x14ac:dyDescent="0.25">
      <c r="A3190" s="2">
        <v>46230.291666666657</v>
      </c>
      <c r="B3190" t="str">
        <f t="shared" si="98"/>
        <v>2026-07</v>
      </c>
      <c r="C3190" s="3">
        <f t="shared" si="99"/>
        <v>7</v>
      </c>
      <c r="D3190" s="4">
        <v>25.340811653638891</v>
      </c>
      <c r="E3190" s="4">
        <v>26.860106461925</v>
      </c>
      <c r="F3190" s="4">
        <v>28.918761792080559</v>
      </c>
      <c r="G3190" s="4">
        <v>17.7</v>
      </c>
      <c r="H3190" s="5">
        <v>46.020111987608338</v>
      </c>
      <c r="I3190" s="5">
        <v>43.685822570677779</v>
      </c>
      <c r="J3190" s="5">
        <v>47.784750308613887</v>
      </c>
      <c r="K3190" s="5">
        <v>83</v>
      </c>
    </row>
    <row r="3191" spans="1:11" x14ac:dyDescent="0.25">
      <c r="A3191" s="2">
        <v>46230.333333333343</v>
      </c>
      <c r="B3191" t="str">
        <f t="shared" si="98"/>
        <v>2026-07</v>
      </c>
      <c r="C3191" s="3">
        <f t="shared" si="99"/>
        <v>8</v>
      </c>
      <c r="D3191" s="4">
        <v>26.27110715348056</v>
      </c>
      <c r="E3191" s="4">
        <v>27.665654808355551</v>
      </c>
      <c r="F3191" s="4">
        <v>28.968473440355559</v>
      </c>
      <c r="G3191" s="4">
        <v>19.899999999999999</v>
      </c>
      <c r="H3191" s="5">
        <v>45.873799982958332</v>
      </c>
      <c r="I3191" s="5">
        <v>43.133901914252782</v>
      </c>
      <c r="J3191" s="5">
        <v>47.795536085563889</v>
      </c>
      <c r="K3191" s="5">
        <v>77</v>
      </c>
    </row>
    <row r="3192" spans="1:11" x14ac:dyDescent="0.25">
      <c r="A3192" s="2">
        <v>46230.375</v>
      </c>
      <c r="B3192" t="str">
        <f t="shared" si="98"/>
        <v>2026-07</v>
      </c>
      <c r="C3192" s="3">
        <f t="shared" si="99"/>
        <v>9</v>
      </c>
      <c r="D3192" s="4">
        <v>26.871334777861112</v>
      </c>
      <c r="E3192" s="4">
        <v>28.506408399811111</v>
      </c>
      <c r="F3192" s="4">
        <v>28.982917234272222</v>
      </c>
      <c r="G3192" s="4">
        <v>22.4</v>
      </c>
      <c r="H3192" s="5">
        <v>44.864095945419443</v>
      </c>
      <c r="I3192" s="5">
        <v>41.445681296222233</v>
      </c>
      <c r="J3192" s="5">
        <v>47.75435818562778</v>
      </c>
      <c r="K3192" s="5">
        <v>67</v>
      </c>
    </row>
    <row r="3193" spans="1:11" x14ac:dyDescent="0.25">
      <c r="A3193" s="2">
        <v>46230.416666666657</v>
      </c>
      <c r="B3193" t="str">
        <f t="shared" si="98"/>
        <v>2026-07</v>
      </c>
      <c r="C3193" s="3">
        <f t="shared" si="99"/>
        <v>10</v>
      </c>
      <c r="D3193" s="4">
        <v>27.0546074672</v>
      </c>
      <c r="E3193" s="4">
        <v>28.583221913863891</v>
      </c>
      <c r="F3193" s="4">
        <v>28.978591916002781</v>
      </c>
      <c r="G3193" s="4">
        <v>24.1</v>
      </c>
      <c r="H3193" s="5">
        <v>42.672728582224998</v>
      </c>
      <c r="I3193" s="5">
        <v>40.229887001508331</v>
      </c>
      <c r="J3193" s="5">
        <v>47.676442094447218</v>
      </c>
      <c r="K3193" s="5">
        <v>56</v>
      </c>
    </row>
    <row r="3194" spans="1:11" x14ac:dyDescent="0.25">
      <c r="A3194" s="2">
        <v>46230.458333333343</v>
      </c>
      <c r="B3194" t="str">
        <f t="shared" si="98"/>
        <v>2026-07</v>
      </c>
      <c r="C3194" s="3">
        <f t="shared" si="99"/>
        <v>11</v>
      </c>
      <c r="D3194" s="4">
        <v>27.07416769378333</v>
      </c>
      <c r="E3194" s="4">
        <v>28.613746049263881</v>
      </c>
      <c r="F3194" s="4">
        <v>28.970029656244449</v>
      </c>
      <c r="G3194" s="4">
        <v>25</v>
      </c>
      <c r="H3194" s="5">
        <v>40.050376711738878</v>
      </c>
      <c r="I3194" s="5">
        <v>37.846481299222233</v>
      </c>
      <c r="J3194" s="5">
        <v>47.618893410008333</v>
      </c>
      <c r="K3194" s="5">
        <v>47</v>
      </c>
    </row>
    <row r="3195" spans="1:11" x14ac:dyDescent="0.25">
      <c r="A3195" s="2">
        <v>46230.5</v>
      </c>
      <c r="B3195" t="str">
        <f t="shared" si="98"/>
        <v>2026-07</v>
      </c>
      <c r="C3195" s="3">
        <f t="shared" si="99"/>
        <v>12</v>
      </c>
      <c r="D3195" s="4">
        <v>27.11471124797778</v>
      </c>
      <c r="E3195" s="4">
        <v>28.58142168697222</v>
      </c>
      <c r="F3195" s="4">
        <v>28.967333148594449</v>
      </c>
      <c r="G3195" s="4">
        <v>25.7</v>
      </c>
      <c r="H3195" s="5">
        <v>37.356139956422219</v>
      </c>
      <c r="I3195" s="5">
        <v>36.245898765952781</v>
      </c>
      <c r="J3195" s="5">
        <v>47.440614603227779</v>
      </c>
      <c r="K3195" s="5">
        <v>44</v>
      </c>
    </row>
    <row r="3196" spans="1:11" x14ac:dyDescent="0.25">
      <c r="A3196" s="2">
        <v>46230.541666666657</v>
      </c>
      <c r="B3196" t="str">
        <f t="shared" si="98"/>
        <v>2026-07</v>
      </c>
      <c r="C3196" s="3">
        <f t="shared" si="99"/>
        <v>13</v>
      </c>
      <c r="D3196" s="4">
        <v>27.12163780563333</v>
      </c>
      <c r="E3196" s="4">
        <v>28.37488315183333</v>
      </c>
      <c r="F3196" s="4">
        <v>28.97083360094722</v>
      </c>
      <c r="G3196" s="4">
        <v>26.2</v>
      </c>
      <c r="H3196" s="5">
        <v>35.93313841016667</v>
      </c>
      <c r="I3196" s="5">
        <v>35.508711240499998</v>
      </c>
      <c r="J3196" s="5">
        <v>46.788237808369438</v>
      </c>
      <c r="K3196" s="5">
        <v>42</v>
      </c>
    </row>
    <row r="3197" spans="1:11" x14ac:dyDescent="0.25">
      <c r="A3197" s="2">
        <v>46230.583333333343</v>
      </c>
      <c r="B3197" t="str">
        <f t="shared" si="98"/>
        <v>2026-07</v>
      </c>
      <c r="C3197" s="3">
        <f t="shared" si="99"/>
        <v>14</v>
      </c>
      <c r="D3197" s="4">
        <v>27.07889991482778</v>
      </c>
      <c r="E3197" s="4">
        <v>28.140352435427779</v>
      </c>
      <c r="F3197" s="4">
        <v>28.963231663672222</v>
      </c>
      <c r="G3197" s="4">
        <v>26.5</v>
      </c>
      <c r="H3197" s="5">
        <v>36.390846503258338</v>
      </c>
      <c r="I3197" s="5">
        <v>36.775884327513893</v>
      </c>
      <c r="J3197" s="5">
        <v>46.888469846636113</v>
      </c>
      <c r="K3197" s="5">
        <v>42</v>
      </c>
    </row>
    <row r="3198" spans="1:11" x14ac:dyDescent="0.25">
      <c r="A3198" s="2">
        <v>46230.625</v>
      </c>
      <c r="B3198" t="str">
        <f t="shared" si="98"/>
        <v>2026-07</v>
      </c>
      <c r="C3198" s="3">
        <f t="shared" si="99"/>
        <v>15</v>
      </c>
      <c r="D3198" s="4">
        <v>27.19076868423889</v>
      </c>
      <c r="E3198" s="4">
        <v>28.345255403905561</v>
      </c>
      <c r="F3198" s="4">
        <v>28.805191401808329</v>
      </c>
      <c r="G3198" s="4">
        <v>27.2</v>
      </c>
      <c r="H3198" s="5">
        <v>36.818803473975002</v>
      </c>
      <c r="I3198" s="5">
        <v>37.22699208788611</v>
      </c>
      <c r="J3198" s="5">
        <v>46.735954711974998</v>
      </c>
      <c r="K3198" s="5">
        <v>40</v>
      </c>
    </row>
    <row r="3199" spans="1:11" x14ac:dyDescent="0.25">
      <c r="A3199" s="2">
        <v>46230.666666666657</v>
      </c>
      <c r="B3199" t="str">
        <f t="shared" si="98"/>
        <v>2026-07</v>
      </c>
      <c r="C3199" s="3">
        <f t="shared" si="99"/>
        <v>16</v>
      </c>
      <c r="D3199" s="4">
        <v>27.27095562945556</v>
      </c>
      <c r="E3199" s="4">
        <v>28.446224032219451</v>
      </c>
      <c r="F3199" s="4">
        <v>28.808045194894451</v>
      </c>
      <c r="G3199" s="4">
        <v>27.1</v>
      </c>
      <c r="H3199" s="5">
        <v>37.852665819472222</v>
      </c>
      <c r="I3199" s="5">
        <v>38.547499943333342</v>
      </c>
      <c r="J3199" s="5">
        <v>47.241581183866657</v>
      </c>
      <c r="K3199" s="5">
        <v>40</v>
      </c>
    </row>
    <row r="3200" spans="1:11" x14ac:dyDescent="0.25">
      <c r="A3200" s="2">
        <v>46230.708333333343</v>
      </c>
      <c r="B3200" t="str">
        <f t="shared" si="98"/>
        <v>2026-07</v>
      </c>
      <c r="C3200" s="3">
        <f t="shared" si="99"/>
        <v>17</v>
      </c>
      <c r="D3200" s="4">
        <v>26.812770868649999</v>
      </c>
      <c r="E3200" s="4">
        <v>28.369568186847221</v>
      </c>
      <c r="F3200" s="4">
        <v>28.707333391994439</v>
      </c>
      <c r="G3200" s="4">
        <v>26.7</v>
      </c>
      <c r="H3200" s="5">
        <v>37.772803515280557</v>
      </c>
      <c r="I3200" s="5">
        <v>36.91136578491389</v>
      </c>
      <c r="J3200" s="5">
        <v>45.805647890422222</v>
      </c>
      <c r="K3200" s="5">
        <v>42</v>
      </c>
    </row>
    <row r="3201" spans="1:11" x14ac:dyDescent="0.25">
      <c r="A3201" s="2">
        <v>46230.75</v>
      </c>
      <c r="B3201" t="str">
        <f t="shared" si="98"/>
        <v>2026-07</v>
      </c>
      <c r="C3201" s="3">
        <f t="shared" si="99"/>
        <v>18</v>
      </c>
      <c r="D3201" s="4">
        <v>27.182699205097219</v>
      </c>
      <c r="E3201" s="4">
        <v>28.755861978566671</v>
      </c>
      <c r="F3201" s="4">
        <v>28.71606216753889</v>
      </c>
      <c r="G3201" s="4">
        <v>26.5</v>
      </c>
      <c r="H3201" s="5">
        <v>38.044744692513888</v>
      </c>
      <c r="I3201" s="5">
        <v>37.90234357458889</v>
      </c>
      <c r="J3201" s="5">
        <v>46.766107421000001</v>
      </c>
      <c r="K3201" s="5">
        <v>43</v>
      </c>
    </row>
    <row r="3202" spans="1:11" x14ac:dyDescent="0.25">
      <c r="A3202" s="2">
        <v>46230.791666666657</v>
      </c>
      <c r="B3202" t="str">
        <f t="shared" ref="B3202:B3265" si="100">TEXT(A3202,"yyyy-mm")</f>
        <v>2026-07</v>
      </c>
      <c r="C3202" s="3">
        <f t="shared" ref="C3202:C3265" si="101">HOUR(A3202)</f>
        <v>19</v>
      </c>
      <c r="D3202" s="4">
        <v>27.223826336958339</v>
      </c>
      <c r="E3202" s="4">
        <v>28.712101248844441</v>
      </c>
      <c r="F3202" s="4">
        <v>28.840903806269441</v>
      </c>
      <c r="G3202" s="4">
        <v>25.4</v>
      </c>
      <c r="H3202" s="5">
        <v>39.770796102969442</v>
      </c>
      <c r="I3202" s="5">
        <v>41.925601017624992</v>
      </c>
      <c r="J3202" s="5">
        <v>47.427662194666667</v>
      </c>
      <c r="K3202" s="5">
        <v>51</v>
      </c>
    </row>
    <row r="3203" spans="1:11" x14ac:dyDescent="0.25">
      <c r="A3203" s="2">
        <v>46230.833333333343</v>
      </c>
      <c r="B3203" t="str">
        <f t="shared" si="100"/>
        <v>2026-07</v>
      </c>
      <c r="C3203" s="3">
        <f t="shared" si="101"/>
        <v>20</v>
      </c>
      <c r="D3203" s="4">
        <v>27.08302533963333</v>
      </c>
      <c r="E3203" s="4">
        <v>28.469098976347219</v>
      </c>
      <c r="F3203" s="4">
        <v>28.97986560478056</v>
      </c>
      <c r="G3203" s="4">
        <v>23.7</v>
      </c>
      <c r="H3203" s="5">
        <v>41.772559306294447</v>
      </c>
      <c r="I3203" s="5">
        <v>41.980246691080559</v>
      </c>
      <c r="J3203" s="5">
        <v>47.611868464702781</v>
      </c>
      <c r="K3203" s="5">
        <v>60</v>
      </c>
    </row>
    <row r="3204" spans="1:11" x14ac:dyDescent="0.25">
      <c r="A3204" s="2">
        <v>46230.875</v>
      </c>
      <c r="B3204" t="str">
        <f t="shared" si="100"/>
        <v>2026-07</v>
      </c>
      <c r="C3204" s="3">
        <f t="shared" si="101"/>
        <v>21</v>
      </c>
      <c r="D3204" s="4">
        <v>26.923025215749998</v>
      </c>
      <c r="E3204" s="4">
        <v>28.45695658595</v>
      </c>
      <c r="F3204" s="4">
        <v>29.04496635283612</v>
      </c>
      <c r="G3204" s="4">
        <v>22.5</v>
      </c>
      <c r="H3204" s="5">
        <v>39.916644536116657</v>
      </c>
      <c r="I3204" s="5">
        <v>39.728911505088888</v>
      </c>
      <c r="J3204" s="5">
        <v>47.293635007375002</v>
      </c>
      <c r="K3204" s="5">
        <v>62</v>
      </c>
    </row>
    <row r="3205" spans="1:11" x14ac:dyDescent="0.25">
      <c r="A3205" s="2">
        <v>46230.916666666657</v>
      </c>
      <c r="B3205" t="str">
        <f t="shared" si="100"/>
        <v>2026-07</v>
      </c>
      <c r="C3205" s="3">
        <f t="shared" si="101"/>
        <v>22</v>
      </c>
      <c r="D3205" s="4">
        <v>26.730796786088892</v>
      </c>
      <c r="E3205" s="4">
        <v>28.48391303116389</v>
      </c>
      <c r="F3205" s="4">
        <v>29.084390214194439</v>
      </c>
      <c r="G3205" s="4">
        <v>21.8</v>
      </c>
      <c r="H3205" s="5">
        <v>39.076900256316662</v>
      </c>
      <c r="I3205" s="5">
        <v>38.183745240275002</v>
      </c>
      <c r="J3205" s="5">
        <v>46.703614995897233</v>
      </c>
      <c r="K3205" s="5">
        <v>61</v>
      </c>
    </row>
    <row r="3206" spans="1:11" x14ac:dyDescent="0.25">
      <c r="A3206" s="2">
        <v>46230.958333333343</v>
      </c>
      <c r="B3206" t="str">
        <f t="shared" si="100"/>
        <v>2026-07</v>
      </c>
      <c r="C3206" s="3">
        <f t="shared" si="101"/>
        <v>23</v>
      </c>
      <c r="D3206" s="4">
        <v>26.459198076905551</v>
      </c>
      <c r="E3206" s="4">
        <v>28.002444622316659</v>
      </c>
      <c r="F3206" s="4">
        <v>29.136928947497221</v>
      </c>
      <c r="G3206" s="4">
        <v>21.4</v>
      </c>
      <c r="H3206" s="5">
        <v>39.673639609019439</v>
      </c>
      <c r="I3206" s="5">
        <v>40.439917450199999</v>
      </c>
      <c r="J3206" s="5">
        <v>46.562641802511109</v>
      </c>
      <c r="K3206" s="5">
        <v>61</v>
      </c>
    </row>
    <row r="3207" spans="1:11" x14ac:dyDescent="0.25">
      <c r="A3207" s="2">
        <v>46231</v>
      </c>
      <c r="B3207" t="str">
        <f t="shared" si="100"/>
        <v>2026-07</v>
      </c>
      <c r="C3207" s="3">
        <f t="shared" si="101"/>
        <v>0</v>
      </c>
      <c r="D3207" s="4">
        <v>26.260577368188891</v>
      </c>
      <c r="E3207" s="4">
        <v>27.93017148556666</v>
      </c>
      <c r="F3207" s="4">
        <v>29.024428803577781</v>
      </c>
      <c r="G3207" s="4">
        <v>20.7</v>
      </c>
      <c r="H3207" s="5">
        <v>40.687041746727779</v>
      </c>
      <c r="I3207" s="5">
        <v>40.223855573386111</v>
      </c>
      <c r="J3207" s="5">
        <v>46.168503968877779</v>
      </c>
      <c r="K3207" s="5">
        <v>64</v>
      </c>
    </row>
    <row r="3208" spans="1:11" x14ac:dyDescent="0.25">
      <c r="A3208" s="2">
        <v>46231.041666666657</v>
      </c>
      <c r="B3208" t="str">
        <f t="shared" si="100"/>
        <v>2026-07</v>
      </c>
      <c r="C3208" s="3">
        <f t="shared" si="101"/>
        <v>1</v>
      </c>
      <c r="D3208" s="4">
        <v>26.07586972675</v>
      </c>
      <c r="E3208" s="4">
        <v>27.93</v>
      </c>
      <c r="F3208" s="4">
        <v>29.05130546955278</v>
      </c>
      <c r="G3208" s="4">
        <v>20.2</v>
      </c>
      <c r="H3208" s="5">
        <v>40.089410008733331</v>
      </c>
      <c r="I3208" s="5">
        <v>40.18</v>
      </c>
      <c r="J3208" s="5">
        <v>46.281160105422217</v>
      </c>
      <c r="K3208" s="5">
        <v>66</v>
      </c>
    </row>
    <row r="3209" spans="1:11" x14ac:dyDescent="0.25">
      <c r="A3209" s="2">
        <v>46231.083333333343</v>
      </c>
      <c r="B3209" t="str">
        <f t="shared" si="100"/>
        <v>2026-07</v>
      </c>
      <c r="C3209" s="3">
        <f t="shared" si="101"/>
        <v>2</v>
      </c>
      <c r="D3209" s="4">
        <v>25.77231532798611</v>
      </c>
      <c r="E3209" s="4">
        <v>27.93</v>
      </c>
      <c r="F3209" s="4">
        <v>29.040432545338891</v>
      </c>
      <c r="G3209" s="4">
        <v>19.7</v>
      </c>
      <c r="H3209" s="5">
        <v>40.088289310758327</v>
      </c>
      <c r="I3209" s="5">
        <v>40.18</v>
      </c>
      <c r="J3209" s="5">
        <v>46.145535598641672</v>
      </c>
      <c r="K3209" s="5">
        <v>68</v>
      </c>
    </row>
    <row r="3210" spans="1:11" x14ac:dyDescent="0.25">
      <c r="A3210" s="2">
        <v>46231.125</v>
      </c>
      <c r="B3210" t="str">
        <f t="shared" si="100"/>
        <v>2026-07</v>
      </c>
      <c r="C3210" s="3">
        <f t="shared" si="101"/>
        <v>3</v>
      </c>
      <c r="D3210" s="4">
        <v>25.67001329761111</v>
      </c>
      <c r="E3210" s="4">
        <v>27.93</v>
      </c>
      <c r="F3210" s="4">
        <v>29.016748125408341</v>
      </c>
      <c r="G3210" s="4">
        <v>18.7</v>
      </c>
      <c r="H3210" s="5">
        <v>39.85081262264444</v>
      </c>
      <c r="I3210" s="5">
        <v>40.18</v>
      </c>
      <c r="J3210" s="5">
        <v>45.922257068336108</v>
      </c>
      <c r="K3210" s="5">
        <v>73</v>
      </c>
    </row>
    <row r="3211" spans="1:11" x14ac:dyDescent="0.25">
      <c r="A3211" s="2">
        <v>46231.166666666657</v>
      </c>
      <c r="B3211" t="str">
        <f t="shared" si="100"/>
        <v>2026-07</v>
      </c>
      <c r="C3211" s="3">
        <f t="shared" si="101"/>
        <v>4</v>
      </c>
      <c r="D3211" s="4">
        <v>25.375208575697219</v>
      </c>
      <c r="E3211" s="4">
        <v>27.93</v>
      </c>
      <c r="F3211" s="4">
        <v>28.979388496719451</v>
      </c>
      <c r="G3211" s="4">
        <v>18.3</v>
      </c>
      <c r="H3211" s="5">
        <v>40.693243935494444</v>
      </c>
      <c r="I3211" s="5">
        <v>40.18</v>
      </c>
      <c r="J3211" s="5">
        <v>45.764272319833339</v>
      </c>
      <c r="K3211" s="5">
        <v>74</v>
      </c>
    </row>
    <row r="3212" spans="1:11" x14ac:dyDescent="0.25">
      <c r="A3212" s="2">
        <v>46231.208333333343</v>
      </c>
      <c r="B3212" t="str">
        <f t="shared" si="100"/>
        <v>2026-07</v>
      </c>
      <c r="C3212" s="3">
        <f t="shared" si="101"/>
        <v>5</v>
      </c>
      <c r="D3212" s="4">
        <v>25.18822895966667</v>
      </c>
      <c r="E3212" s="4">
        <v>27.93</v>
      </c>
      <c r="F3212" s="4">
        <v>28.947979175499999</v>
      </c>
      <c r="G3212" s="4">
        <v>17.899999999999999</v>
      </c>
      <c r="H3212" s="5">
        <v>41.570125481036108</v>
      </c>
      <c r="I3212" s="5">
        <v>40.18</v>
      </c>
      <c r="J3212" s="5">
        <v>45.690359472261122</v>
      </c>
      <c r="K3212" s="5">
        <v>75</v>
      </c>
    </row>
    <row r="3213" spans="1:11" x14ac:dyDescent="0.25">
      <c r="A3213" s="2">
        <v>46231.25</v>
      </c>
      <c r="B3213" t="str">
        <f t="shared" si="100"/>
        <v>2026-07</v>
      </c>
      <c r="C3213" s="3">
        <f t="shared" si="101"/>
        <v>6</v>
      </c>
      <c r="D3213" s="4">
        <v>25.245264962275002</v>
      </c>
      <c r="E3213" s="4">
        <v>27.93</v>
      </c>
      <c r="F3213" s="4">
        <v>28.927786483799999</v>
      </c>
      <c r="G3213" s="4">
        <v>18.3</v>
      </c>
      <c r="H3213" s="5">
        <v>42.145524730749997</v>
      </c>
      <c r="I3213" s="5">
        <v>40.18</v>
      </c>
      <c r="J3213" s="5">
        <v>45.683121567683337</v>
      </c>
      <c r="K3213" s="5">
        <v>74</v>
      </c>
    </row>
    <row r="3214" spans="1:11" x14ac:dyDescent="0.25">
      <c r="A3214" s="2">
        <v>46231.291666666657</v>
      </c>
      <c r="B3214" t="str">
        <f t="shared" si="100"/>
        <v>2026-07</v>
      </c>
      <c r="C3214" s="3">
        <f t="shared" si="101"/>
        <v>7</v>
      </c>
      <c r="D3214" s="4">
        <v>25.74515141465556</v>
      </c>
      <c r="E3214" s="4">
        <v>27.93</v>
      </c>
      <c r="F3214" s="4">
        <v>28.911536403816669</v>
      </c>
      <c r="G3214" s="4">
        <v>19.5</v>
      </c>
      <c r="H3214" s="5">
        <v>42.602533490908343</v>
      </c>
      <c r="I3214" s="5">
        <v>40.18</v>
      </c>
      <c r="J3214" s="5">
        <v>45.768122968161123</v>
      </c>
      <c r="K3214" s="5">
        <v>72</v>
      </c>
    </row>
    <row r="3215" spans="1:11" x14ac:dyDescent="0.25">
      <c r="A3215" s="2">
        <v>46231.333333333343</v>
      </c>
      <c r="B3215" t="str">
        <f t="shared" si="100"/>
        <v>2026-07</v>
      </c>
      <c r="C3215" s="3">
        <f t="shared" si="101"/>
        <v>8</v>
      </c>
      <c r="D3215" s="4">
        <v>26.772605868733329</v>
      </c>
      <c r="E3215" s="4">
        <v>27.93</v>
      </c>
      <c r="F3215" s="4">
        <v>28.909880131669439</v>
      </c>
      <c r="G3215" s="4">
        <v>21.4</v>
      </c>
      <c r="H3215" s="5">
        <v>42.150311856472221</v>
      </c>
      <c r="I3215" s="5">
        <v>40.18</v>
      </c>
      <c r="J3215" s="5">
        <v>45.95667787424722</v>
      </c>
      <c r="K3215" s="5">
        <v>65</v>
      </c>
    </row>
    <row r="3216" spans="1:11" x14ac:dyDescent="0.25">
      <c r="A3216" s="2">
        <v>46231.375</v>
      </c>
      <c r="B3216" t="str">
        <f t="shared" si="100"/>
        <v>2026-07</v>
      </c>
      <c r="C3216" s="3">
        <f t="shared" si="101"/>
        <v>9</v>
      </c>
      <c r="D3216" s="4">
        <v>27.316860869533329</v>
      </c>
      <c r="E3216" s="4">
        <v>27.93</v>
      </c>
      <c r="F3216" s="4">
        <v>28.927593841177771</v>
      </c>
      <c r="G3216" s="4">
        <v>23.3</v>
      </c>
      <c r="H3216" s="5">
        <v>41.505223557116658</v>
      </c>
      <c r="I3216" s="5">
        <v>40.18</v>
      </c>
      <c r="J3216" s="5">
        <v>46.092302117547227</v>
      </c>
      <c r="K3216" s="5">
        <v>56</v>
      </c>
    </row>
    <row r="3217" spans="1:11" x14ac:dyDescent="0.25">
      <c r="A3217" s="2">
        <v>46231.416666666657</v>
      </c>
      <c r="B3217" t="str">
        <f t="shared" si="100"/>
        <v>2026-07</v>
      </c>
      <c r="C3217" s="3">
        <f t="shared" si="101"/>
        <v>10</v>
      </c>
      <c r="D3217" s="4">
        <v>27.55491562465</v>
      </c>
      <c r="E3217" s="4">
        <v>27.93</v>
      </c>
      <c r="F3217" s="4">
        <v>28.902282933716659</v>
      </c>
      <c r="G3217" s="4">
        <v>24.7</v>
      </c>
      <c r="H3217" s="5">
        <v>38.927554651361113</v>
      </c>
      <c r="I3217" s="5">
        <v>40.18</v>
      </c>
      <c r="J3217" s="5">
        <v>45.989351360808342</v>
      </c>
      <c r="K3217" s="5">
        <v>51</v>
      </c>
    </row>
    <row r="3218" spans="1:11" x14ac:dyDescent="0.25">
      <c r="A3218" s="2">
        <v>46231.458333333343</v>
      </c>
      <c r="B3218" t="str">
        <f t="shared" si="100"/>
        <v>2026-07</v>
      </c>
      <c r="C3218" s="3">
        <f t="shared" si="101"/>
        <v>11</v>
      </c>
      <c r="D3218" s="4">
        <v>27.62409058322778</v>
      </c>
      <c r="E3218" s="4">
        <v>27.93</v>
      </c>
      <c r="F3218" s="4">
        <v>28.80717828725</v>
      </c>
      <c r="G3218" s="4">
        <v>25.2</v>
      </c>
      <c r="H3218" s="5">
        <v>35.671798690241673</v>
      </c>
      <c r="I3218" s="5">
        <v>40.18</v>
      </c>
      <c r="J3218" s="5">
        <v>44.76370933743889</v>
      </c>
      <c r="K3218" s="5">
        <v>48</v>
      </c>
    </row>
    <row r="3219" spans="1:11" x14ac:dyDescent="0.25">
      <c r="A3219" s="2">
        <v>46231.5</v>
      </c>
      <c r="B3219" t="str">
        <f t="shared" si="100"/>
        <v>2026-07</v>
      </c>
      <c r="C3219" s="3">
        <f t="shared" si="101"/>
        <v>12</v>
      </c>
      <c r="D3219" s="4">
        <v>27.578234795722221</v>
      </c>
      <c r="E3219" s="4">
        <v>27.93</v>
      </c>
      <c r="F3219" s="4">
        <v>29.823454009497219</v>
      </c>
      <c r="G3219" s="4">
        <v>24.7</v>
      </c>
      <c r="H3219" s="5">
        <v>34.491973521875003</v>
      </c>
      <c r="I3219" s="5">
        <v>40.18</v>
      </c>
      <c r="J3219" s="5">
        <v>42.686344206224987</v>
      </c>
      <c r="K3219" s="5">
        <v>53</v>
      </c>
    </row>
    <row r="3220" spans="1:11" x14ac:dyDescent="0.25">
      <c r="A3220" s="2">
        <v>46231.541666666657</v>
      </c>
      <c r="B3220" t="str">
        <f t="shared" si="100"/>
        <v>2026-07</v>
      </c>
      <c r="C3220" s="3">
        <f t="shared" si="101"/>
        <v>13</v>
      </c>
      <c r="D3220" s="4">
        <v>26.71631217357222</v>
      </c>
      <c r="E3220" s="4">
        <v>27.93</v>
      </c>
      <c r="F3220" s="4">
        <v>29.157464656913891</v>
      </c>
      <c r="G3220" s="4">
        <v>20.7</v>
      </c>
      <c r="H3220" s="5">
        <v>45.640566975661109</v>
      </c>
      <c r="I3220" s="5">
        <v>40.18</v>
      </c>
      <c r="J3220" s="5">
        <v>47.87478384020833</v>
      </c>
      <c r="K3220" s="5">
        <v>80</v>
      </c>
    </row>
    <row r="3221" spans="1:11" x14ac:dyDescent="0.25">
      <c r="A3221" s="2">
        <v>46231.583333333343</v>
      </c>
      <c r="B3221" t="str">
        <f t="shared" si="100"/>
        <v>2026-07</v>
      </c>
      <c r="C3221" s="3">
        <f t="shared" si="101"/>
        <v>14</v>
      </c>
      <c r="D3221" s="4">
        <v>25.271721118236108</v>
      </c>
      <c r="E3221" s="4">
        <v>27.93</v>
      </c>
      <c r="F3221" s="4">
        <v>28.190077409547229</v>
      </c>
      <c r="G3221" s="4">
        <v>20.8</v>
      </c>
      <c r="H3221" s="5">
        <v>55.411923059044447</v>
      </c>
      <c r="I3221" s="5">
        <v>40.18</v>
      </c>
      <c r="J3221" s="5">
        <v>55.114473834958318</v>
      </c>
      <c r="K3221" s="5">
        <v>86</v>
      </c>
    </row>
    <row r="3222" spans="1:11" x14ac:dyDescent="0.25">
      <c r="A3222" s="2">
        <v>46231.625</v>
      </c>
      <c r="B3222" t="str">
        <f t="shared" si="100"/>
        <v>2026-07</v>
      </c>
      <c r="C3222" s="3">
        <f t="shared" si="101"/>
        <v>15</v>
      </c>
      <c r="D3222" s="4">
        <v>25.218167188750002</v>
      </c>
      <c r="E3222" s="4">
        <v>27.93</v>
      </c>
      <c r="F3222" s="4">
        <v>27.917628567566659</v>
      </c>
      <c r="G3222" s="4">
        <v>20.8</v>
      </c>
      <c r="H3222" s="5">
        <v>56.026823283530561</v>
      </c>
      <c r="I3222" s="5">
        <v>40.18</v>
      </c>
      <c r="J3222" s="5">
        <v>56.30120417288888</v>
      </c>
      <c r="K3222" s="5">
        <v>85</v>
      </c>
    </row>
    <row r="3223" spans="1:11" x14ac:dyDescent="0.25">
      <c r="A3223" s="2">
        <v>46231.666666666657</v>
      </c>
      <c r="B3223" t="str">
        <f t="shared" si="100"/>
        <v>2026-07</v>
      </c>
      <c r="C3223" s="3">
        <f t="shared" si="101"/>
        <v>16</v>
      </c>
      <c r="D3223" s="4">
        <v>25.552770356050001</v>
      </c>
      <c r="E3223" s="4">
        <v>27.93</v>
      </c>
      <c r="F3223" s="4">
        <v>27.835725536794438</v>
      </c>
      <c r="G3223" s="4">
        <v>20.3</v>
      </c>
      <c r="H3223" s="5">
        <v>55.677618909663892</v>
      </c>
      <c r="I3223" s="5">
        <v>40.18</v>
      </c>
      <c r="J3223" s="5">
        <v>56.909801630805553</v>
      </c>
      <c r="K3223" s="5">
        <v>84</v>
      </c>
    </row>
    <row r="3224" spans="1:11" x14ac:dyDescent="0.25">
      <c r="A3224" s="2">
        <v>46231.708333333343</v>
      </c>
      <c r="B3224" t="str">
        <f t="shared" si="100"/>
        <v>2026-07</v>
      </c>
      <c r="C3224" s="3">
        <f t="shared" si="101"/>
        <v>17</v>
      </c>
      <c r="D3224" s="4">
        <v>25.861052281308329</v>
      </c>
      <c r="E3224" s="4">
        <v>27.93</v>
      </c>
      <c r="F3224" s="4">
        <v>27.964138332680559</v>
      </c>
      <c r="G3224" s="4">
        <v>19.600000000000001</v>
      </c>
      <c r="H3224" s="5">
        <v>55.554578924661122</v>
      </c>
      <c r="I3224" s="5">
        <v>40.18</v>
      </c>
      <c r="J3224" s="5">
        <v>57.63725006363611</v>
      </c>
      <c r="K3224" s="5">
        <v>89</v>
      </c>
    </row>
    <row r="3225" spans="1:11" x14ac:dyDescent="0.25">
      <c r="A3225" s="2">
        <v>46231.75</v>
      </c>
      <c r="B3225" t="str">
        <f t="shared" si="100"/>
        <v>2026-07</v>
      </c>
      <c r="C3225" s="3">
        <f t="shared" si="101"/>
        <v>18</v>
      </c>
      <c r="D3225" s="4">
        <v>25.890400724202781</v>
      </c>
      <c r="E3225" s="4">
        <v>27.93</v>
      </c>
      <c r="F3225" s="4">
        <v>28.36665527538889</v>
      </c>
      <c r="G3225" s="4">
        <v>18.399999999999999</v>
      </c>
      <c r="H3225" s="5">
        <v>53.412217503402779</v>
      </c>
      <c r="I3225" s="5">
        <v>40.18</v>
      </c>
      <c r="J3225" s="5">
        <v>54.347061487852777</v>
      </c>
      <c r="K3225" s="5">
        <v>90</v>
      </c>
    </row>
    <row r="3226" spans="1:11" x14ac:dyDescent="0.25">
      <c r="A3226" s="2">
        <v>46231.791666666657</v>
      </c>
      <c r="B3226" t="str">
        <f t="shared" si="100"/>
        <v>2026-07</v>
      </c>
      <c r="C3226" s="3">
        <f t="shared" si="101"/>
        <v>19</v>
      </c>
      <c r="D3226" s="4">
        <v>25.308025925222221</v>
      </c>
      <c r="E3226" s="4">
        <v>27.93</v>
      </c>
      <c r="F3226" s="4">
        <v>28.576497678694452</v>
      </c>
      <c r="G3226" s="4">
        <v>18.3</v>
      </c>
      <c r="H3226" s="5">
        <v>52.179364130219447</v>
      </c>
      <c r="I3226" s="5">
        <v>40.18</v>
      </c>
      <c r="J3226" s="5">
        <v>52.776309204550003</v>
      </c>
      <c r="K3226" s="5">
        <v>92</v>
      </c>
    </row>
    <row r="3227" spans="1:11" x14ac:dyDescent="0.25">
      <c r="A3227" s="2">
        <v>46231.833333333343</v>
      </c>
      <c r="B3227" t="str">
        <f t="shared" si="100"/>
        <v>2026-07</v>
      </c>
      <c r="C3227" s="3">
        <f t="shared" si="101"/>
        <v>20</v>
      </c>
      <c r="D3227" s="4">
        <v>24.835390228983329</v>
      </c>
      <c r="E3227" s="4">
        <v>27.93</v>
      </c>
      <c r="F3227" s="4">
        <v>28.641059674819449</v>
      </c>
      <c r="G3227" s="4">
        <v>18.3</v>
      </c>
      <c r="H3227" s="5">
        <v>52.672205810688887</v>
      </c>
      <c r="I3227" s="5">
        <v>40.18</v>
      </c>
      <c r="J3227" s="5">
        <v>51.759597070941659</v>
      </c>
      <c r="K3227" s="5">
        <v>90</v>
      </c>
    </row>
    <row r="3228" spans="1:11" x14ac:dyDescent="0.25">
      <c r="A3228" s="2">
        <v>46231.875</v>
      </c>
      <c r="B3228" t="str">
        <f t="shared" si="100"/>
        <v>2026-07</v>
      </c>
      <c r="C3228" s="3">
        <f t="shared" si="101"/>
        <v>21</v>
      </c>
      <c r="D3228" s="4">
        <v>24.528622800725</v>
      </c>
      <c r="E3228" s="4">
        <v>27.93</v>
      </c>
      <c r="F3228" s="4">
        <v>28.687394626655561</v>
      </c>
      <c r="G3228" s="4">
        <v>17.399999999999999</v>
      </c>
      <c r="H3228" s="5">
        <v>52.056419193986109</v>
      </c>
      <c r="I3228" s="5">
        <v>40.18</v>
      </c>
      <c r="J3228" s="5">
        <v>51.25541525512778</v>
      </c>
      <c r="K3228" s="5">
        <v>89</v>
      </c>
    </row>
    <row r="3229" spans="1:11" x14ac:dyDescent="0.25">
      <c r="A3229" s="2">
        <v>46231.916666666657</v>
      </c>
      <c r="B3229" t="str">
        <f t="shared" si="100"/>
        <v>2026-07</v>
      </c>
      <c r="C3229" s="3">
        <f t="shared" si="101"/>
        <v>22</v>
      </c>
      <c r="D3229" s="4">
        <v>24.02414306044167</v>
      </c>
      <c r="E3229" s="4">
        <v>27.93</v>
      </c>
      <c r="F3229" s="4">
        <v>28.703436064605551</v>
      </c>
      <c r="G3229" s="4">
        <v>17</v>
      </c>
      <c r="H3229" s="5">
        <v>48.824644944586112</v>
      </c>
      <c r="I3229" s="5">
        <v>40.18</v>
      </c>
      <c r="J3229" s="5">
        <v>50.524625456608327</v>
      </c>
      <c r="K3229" s="5">
        <v>88</v>
      </c>
    </row>
    <row r="3230" spans="1:11" x14ac:dyDescent="0.25">
      <c r="A3230" s="2">
        <v>46231.958333333343</v>
      </c>
      <c r="B3230" t="str">
        <f t="shared" si="100"/>
        <v>2026-07</v>
      </c>
      <c r="C3230" s="3">
        <f t="shared" si="101"/>
        <v>23</v>
      </c>
      <c r="D3230" s="4">
        <v>23.789114578669441</v>
      </c>
      <c r="E3230" s="4">
        <v>27.93</v>
      </c>
      <c r="F3230" s="4">
        <v>28.700461392697221</v>
      </c>
      <c r="G3230" s="4">
        <v>16.600000000000001</v>
      </c>
      <c r="H3230" s="5">
        <v>49.241193767672229</v>
      </c>
      <c r="I3230" s="5">
        <v>40.18</v>
      </c>
      <c r="J3230" s="5">
        <v>49.987364923863893</v>
      </c>
      <c r="K3230" s="5">
        <v>87</v>
      </c>
    </row>
    <row r="3231" spans="1:11" x14ac:dyDescent="0.25">
      <c r="A3231" s="2">
        <v>46232</v>
      </c>
      <c r="B3231" t="str">
        <f t="shared" si="100"/>
        <v>2026-07</v>
      </c>
      <c r="C3231" s="3">
        <f t="shared" si="101"/>
        <v>0</v>
      </c>
      <c r="D3231" s="4">
        <v>23.773840190844439</v>
      </c>
      <c r="E3231" s="4">
        <v>27.891778362219441</v>
      </c>
      <c r="F3231" s="4">
        <v>28.689944483744441</v>
      </c>
      <c r="G3231" s="4">
        <v>16.5</v>
      </c>
      <c r="H3231" s="5">
        <v>50.058853684980562</v>
      </c>
      <c r="I3231" s="5">
        <v>40.430745818388893</v>
      </c>
      <c r="J3231" s="5">
        <v>49.613340037824997</v>
      </c>
      <c r="K3231" s="5">
        <v>85</v>
      </c>
    </row>
    <row r="3232" spans="1:11" x14ac:dyDescent="0.25">
      <c r="A3232" s="2">
        <v>46232.041666666657</v>
      </c>
      <c r="B3232" t="str">
        <f t="shared" si="100"/>
        <v>2026-07</v>
      </c>
      <c r="C3232" s="3">
        <f t="shared" si="101"/>
        <v>1</v>
      </c>
      <c r="D3232" s="4">
        <v>23.413585606908331</v>
      </c>
      <c r="E3232" s="4">
        <v>27.41083150479167</v>
      </c>
      <c r="F3232" s="4">
        <v>28.692852424569448</v>
      </c>
      <c r="G3232" s="4">
        <v>16</v>
      </c>
      <c r="H3232" s="5">
        <v>53.161525574475</v>
      </c>
      <c r="I3232" s="5">
        <v>44.479845886072219</v>
      </c>
      <c r="J3232" s="5">
        <v>49.415522525150003</v>
      </c>
      <c r="K3232" s="5">
        <v>86</v>
      </c>
    </row>
    <row r="3233" spans="1:11" x14ac:dyDescent="0.25">
      <c r="A3233" s="2">
        <v>46232.083333333343</v>
      </c>
      <c r="B3233" t="str">
        <f t="shared" si="100"/>
        <v>2026-07</v>
      </c>
      <c r="C3233" s="3">
        <f t="shared" si="101"/>
        <v>2</v>
      </c>
      <c r="D3233" s="4">
        <v>23.344645016569441</v>
      </c>
      <c r="E3233" s="4">
        <v>27.188138009211109</v>
      </c>
      <c r="F3233" s="4">
        <v>28.694453206627781</v>
      </c>
      <c r="G3233" s="4">
        <v>15.2</v>
      </c>
      <c r="H3233" s="5">
        <v>52.719089228938891</v>
      </c>
      <c r="I3233" s="5">
        <v>44.137828590358332</v>
      </c>
      <c r="J3233" s="5">
        <v>49.307155837088892</v>
      </c>
      <c r="K3233" s="5">
        <v>88</v>
      </c>
    </row>
    <row r="3234" spans="1:11" x14ac:dyDescent="0.25">
      <c r="A3234" s="2">
        <v>46232.125</v>
      </c>
      <c r="B3234" t="str">
        <f t="shared" si="100"/>
        <v>2026-07</v>
      </c>
      <c r="C3234" s="3">
        <f t="shared" si="101"/>
        <v>3</v>
      </c>
      <c r="D3234" s="4">
        <v>22.836346988330561</v>
      </c>
      <c r="E3234" s="4">
        <v>27.004215029588892</v>
      </c>
      <c r="F3234" s="4">
        <v>28.680239359980561</v>
      </c>
      <c r="G3234" s="4">
        <v>14.8</v>
      </c>
      <c r="H3234" s="5">
        <v>49.145137197972218</v>
      </c>
      <c r="I3234" s="5">
        <v>41.261471050480559</v>
      </c>
      <c r="J3234" s="5">
        <v>48.961518921647219</v>
      </c>
      <c r="K3234" s="5">
        <v>84</v>
      </c>
    </row>
    <row r="3235" spans="1:11" x14ac:dyDescent="0.25">
      <c r="A3235" s="2">
        <v>46232.166666666657</v>
      </c>
      <c r="B3235" t="str">
        <f t="shared" si="100"/>
        <v>2026-07</v>
      </c>
      <c r="C3235" s="3">
        <f t="shared" si="101"/>
        <v>4</v>
      </c>
      <c r="D3235" s="4">
        <v>22.542885160608339</v>
      </c>
      <c r="E3235" s="4">
        <v>26.754539081619441</v>
      </c>
      <c r="F3235" s="4">
        <v>28.652801495533328</v>
      </c>
      <c r="G3235" s="4">
        <v>14.2</v>
      </c>
      <c r="H3235" s="5">
        <v>48.598651752625003</v>
      </c>
      <c r="I3235" s="5">
        <v>40.236312477950001</v>
      </c>
      <c r="J3235" s="5">
        <v>48.403669200130558</v>
      </c>
      <c r="K3235" s="5">
        <v>85</v>
      </c>
    </row>
    <row r="3236" spans="1:11" x14ac:dyDescent="0.25">
      <c r="A3236" s="2">
        <v>46232.208333333343</v>
      </c>
      <c r="B3236" t="str">
        <f t="shared" si="100"/>
        <v>2026-07</v>
      </c>
      <c r="C3236" s="3">
        <f t="shared" si="101"/>
        <v>5</v>
      </c>
      <c r="D3236" s="4">
        <v>22.16881553335277</v>
      </c>
      <c r="E3236" s="4">
        <v>26.57795084219444</v>
      </c>
      <c r="F3236" s="4">
        <v>28.623136435438891</v>
      </c>
      <c r="G3236" s="4">
        <v>13.7</v>
      </c>
      <c r="H3236" s="5">
        <v>48.202372657527782</v>
      </c>
      <c r="I3236" s="5">
        <v>39.475461078247221</v>
      </c>
      <c r="J3236" s="5">
        <v>47.912355770044449</v>
      </c>
      <c r="K3236" s="5">
        <v>86</v>
      </c>
    </row>
    <row r="3237" spans="1:11" x14ac:dyDescent="0.25">
      <c r="A3237" s="2">
        <v>46232.25</v>
      </c>
      <c r="B3237" t="str">
        <f t="shared" si="100"/>
        <v>2026-07</v>
      </c>
      <c r="C3237" s="3">
        <f t="shared" si="101"/>
        <v>6</v>
      </c>
      <c r="D3237" s="4">
        <v>22.670889655341671</v>
      </c>
      <c r="E3237" s="4">
        <v>26.613604149119439</v>
      </c>
      <c r="F3237" s="4">
        <v>28.603480935627779</v>
      </c>
      <c r="G3237" s="4">
        <v>13.8</v>
      </c>
      <c r="H3237" s="5">
        <v>46.256556330075</v>
      </c>
      <c r="I3237" s="5">
        <v>38.794206880036107</v>
      </c>
      <c r="J3237" s="5">
        <v>47.534212129575003</v>
      </c>
      <c r="K3237" s="5">
        <v>86</v>
      </c>
    </row>
    <row r="3238" spans="1:11" x14ac:dyDescent="0.25">
      <c r="A3238" s="2">
        <v>46232.291666666657</v>
      </c>
      <c r="B3238" t="str">
        <f t="shared" si="100"/>
        <v>2026-07</v>
      </c>
      <c r="C3238" s="3">
        <f t="shared" si="101"/>
        <v>7</v>
      </c>
      <c r="D3238" s="4">
        <v>23.102639368222221</v>
      </c>
      <c r="E3238" s="4">
        <v>26.647403544938889</v>
      </c>
      <c r="F3238" s="4">
        <v>28.59992515822778</v>
      </c>
      <c r="G3238" s="4">
        <v>14.6</v>
      </c>
      <c r="H3238" s="5">
        <v>45.795449546177771</v>
      </c>
      <c r="I3238" s="5">
        <v>38.945119311297233</v>
      </c>
      <c r="J3238" s="5">
        <v>47.256093212175003</v>
      </c>
      <c r="K3238" s="5">
        <v>82</v>
      </c>
    </row>
    <row r="3239" spans="1:11" x14ac:dyDescent="0.25">
      <c r="A3239" s="2">
        <v>46232.333333333343</v>
      </c>
      <c r="B3239" t="str">
        <f t="shared" si="100"/>
        <v>2026-07</v>
      </c>
      <c r="C3239" s="3">
        <f t="shared" si="101"/>
        <v>8</v>
      </c>
      <c r="D3239" s="4">
        <v>24.705423498327779</v>
      </c>
      <c r="E3239" s="4">
        <v>27.38283233298889</v>
      </c>
      <c r="F3239" s="4">
        <v>28.606963111102768</v>
      </c>
      <c r="G3239" s="4">
        <v>15.9</v>
      </c>
      <c r="H3239" s="5">
        <v>42.35165615023611</v>
      </c>
      <c r="I3239" s="5">
        <v>38.608117948975</v>
      </c>
      <c r="J3239" s="5">
        <v>47.15574820166389</v>
      </c>
      <c r="K3239" s="5">
        <v>76</v>
      </c>
    </row>
    <row r="3240" spans="1:11" x14ac:dyDescent="0.25">
      <c r="A3240" s="2">
        <v>46232.375</v>
      </c>
      <c r="B3240" t="str">
        <f t="shared" si="100"/>
        <v>2026-07</v>
      </c>
      <c r="C3240" s="3">
        <f t="shared" si="101"/>
        <v>9</v>
      </c>
      <c r="D3240" s="4">
        <v>25.93278937521945</v>
      </c>
      <c r="E3240" s="4">
        <v>27.811443362155561</v>
      </c>
      <c r="F3240" s="4">
        <v>28.642778736869442</v>
      </c>
      <c r="G3240" s="4">
        <v>16.2</v>
      </c>
      <c r="H3240" s="5">
        <v>40.698592057724987</v>
      </c>
      <c r="I3240" s="5">
        <v>38.278886177580553</v>
      </c>
      <c r="J3240" s="5">
        <v>47.127442616525002</v>
      </c>
      <c r="K3240" s="5">
        <v>73</v>
      </c>
    </row>
    <row r="3241" spans="1:11" x14ac:dyDescent="0.25">
      <c r="A3241" s="2">
        <v>46232.416666666657</v>
      </c>
      <c r="B3241" t="str">
        <f t="shared" si="100"/>
        <v>2026-07</v>
      </c>
      <c r="C3241" s="3">
        <f t="shared" si="101"/>
        <v>10</v>
      </c>
      <c r="D3241" s="4">
        <v>26.108076044158331</v>
      </c>
      <c r="E3241" s="4">
        <v>27.906326636283332</v>
      </c>
      <c r="F3241" s="4">
        <v>28.678167297616671</v>
      </c>
      <c r="G3241" s="4">
        <v>17.7</v>
      </c>
      <c r="H3241" s="5">
        <v>39.074456577694441</v>
      </c>
      <c r="I3241" s="5">
        <v>37.987934211138892</v>
      </c>
      <c r="J3241" s="5">
        <v>47.115347140827772</v>
      </c>
      <c r="K3241" s="5">
        <v>70</v>
      </c>
    </row>
    <row r="3242" spans="1:11" x14ac:dyDescent="0.25">
      <c r="A3242" s="2">
        <v>46232.458333333343</v>
      </c>
      <c r="B3242" t="str">
        <f t="shared" si="100"/>
        <v>2026-07</v>
      </c>
      <c r="C3242" s="3">
        <f t="shared" si="101"/>
        <v>11</v>
      </c>
      <c r="D3242" s="4">
        <v>25.747308583841669</v>
      </c>
      <c r="E3242" s="4">
        <v>27.818333767744441</v>
      </c>
      <c r="F3242" s="4">
        <v>28.70445488935556</v>
      </c>
      <c r="G3242" s="4">
        <v>18.5</v>
      </c>
      <c r="H3242" s="5">
        <v>39.298368923547223</v>
      </c>
      <c r="I3242" s="5">
        <v>40.192674986769447</v>
      </c>
      <c r="J3242" s="5">
        <v>46.960480455986108</v>
      </c>
      <c r="K3242" s="5">
        <v>67</v>
      </c>
    </row>
    <row r="3243" spans="1:11" x14ac:dyDescent="0.25">
      <c r="A3243" s="2">
        <v>46232.5</v>
      </c>
      <c r="B3243" t="str">
        <f t="shared" si="100"/>
        <v>2026-07</v>
      </c>
      <c r="C3243" s="3">
        <f t="shared" si="101"/>
        <v>12</v>
      </c>
      <c r="D3243" s="4">
        <v>25.659108062030551</v>
      </c>
      <c r="E3243" s="4">
        <v>27.853522444986108</v>
      </c>
      <c r="F3243" s="4">
        <v>28.707935305741671</v>
      </c>
      <c r="G3243" s="4">
        <v>19.399999999999999</v>
      </c>
      <c r="H3243" s="5">
        <v>39.902160152038888</v>
      </c>
      <c r="I3243" s="5">
        <v>39.238091489427767</v>
      </c>
      <c r="J3243" s="5">
        <v>46.850949345747217</v>
      </c>
      <c r="K3243" s="5">
        <v>62</v>
      </c>
    </row>
    <row r="3244" spans="1:11" x14ac:dyDescent="0.25">
      <c r="A3244" s="2">
        <v>46232.541666666657</v>
      </c>
      <c r="B3244" t="str">
        <f t="shared" si="100"/>
        <v>2026-07</v>
      </c>
      <c r="C3244" s="3">
        <f t="shared" si="101"/>
        <v>13</v>
      </c>
      <c r="D3244" s="4">
        <v>25.496585867516671</v>
      </c>
      <c r="E3244" s="4">
        <v>27.805191359694451</v>
      </c>
      <c r="F3244" s="4">
        <v>28.443684320141671</v>
      </c>
      <c r="G3244" s="4">
        <v>19</v>
      </c>
      <c r="H3244" s="5">
        <v>37.936284244066663</v>
      </c>
      <c r="I3244" s="5">
        <v>36.025347067483338</v>
      </c>
      <c r="J3244" s="5">
        <v>45.261278738102781</v>
      </c>
      <c r="K3244" s="5">
        <v>59</v>
      </c>
    </row>
    <row r="3245" spans="1:11" x14ac:dyDescent="0.25">
      <c r="A3245" s="2">
        <v>46232.583333333343</v>
      </c>
      <c r="B3245" t="str">
        <f t="shared" si="100"/>
        <v>2026-07</v>
      </c>
      <c r="C3245" s="3">
        <f t="shared" si="101"/>
        <v>14</v>
      </c>
      <c r="D3245" s="4">
        <v>25.216328947366659</v>
      </c>
      <c r="E3245" s="4">
        <v>27.858645021855551</v>
      </c>
      <c r="F3245" s="4">
        <v>28.276988935575002</v>
      </c>
      <c r="G3245" s="4">
        <v>19.7</v>
      </c>
      <c r="H3245" s="5">
        <v>38.626465884377772</v>
      </c>
      <c r="I3245" s="5">
        <v>35.869791803455563</v>
      </c>
      <c r="J3245" s="5">
        <v>45.062889334388892</v>
      </c>
      <c r="K3245" s="5">
        <v>56</v>
      </c>
    </row>
    <row r="3246" spans="1:11" x14ac:dyDescent="0.25">
      <c r="A3246" s="2">
        <v>46232.625</v>
      </c>
      <c r="B3246" t="str">
        <f t="shared" si="100"/>
        <v>2026-07</v>
      </c>
      <c r="C3246" s="3">
        <f t="shared" si="101"/>
        <v>15</v>
      </c>
      <c r="D3246" s="4">
        <v>25.041504115666669</v>
      </c>
      <c r="E3246" s="4">
        <v>27.651804240772229</v>
      </c>
      <c r="F3246" s="4">
        <v>28.491177044861111</v>
      </c>
      <c r="G3246" s="4">
        <v>18.7</v>
      </c>
      <c r="H3246" s="5">
        <v>40.527811711725001</v>
      </c>
      <c r="I3246" s="5">
        <v>36.593645948841662</v>
      </c>
      <c r="J3246" s="5">
        <v>45.604209868005562</v>
      </c>
      <c r="K3246" s="5">
        <v>65</v>
      </c>
    </row>
    <row r="3247" spans="1:11" x14ac:dyDescent="0.25">
      <c r="A3247" s="2">
        <v>46232.666666666657</v>
      </c>
      <c r="B3247" t="str">
        <f t="shared" si="100"/>
        <v>2026-07</v>
      </c>
      <c r="C3247" s="3">
        <f t="shared" si="101"/>
        <v>16</v>
      </c>
      <c r="D3247" s="4">
        <v>24.96763125927778</v>
      </c>
      <c r="E3247" s="4">
        <v>27.500438385430559</v>
      </c>
      <c r="F3247" s="4">
        <v>28.5774771311</v>
      </c>
      <c r="G3247" s="4">
        <v>18.7</v>
      </c>
      <c r="H3247" s="5">
        <v>42.188523967863887</v>
      </c>
      <c r="I3247" s="5">
        <v>38.542687240008327</v>
      </c>
      <c r="J3247" s="5">
        <v>45.807395703783342</v>
      </c>
      <c r="K3247" s="5">
        <v>66</v>
      </c>
    </row>
    <row r="3248" spans="1:11" x14ac:dyDescent="0.25">
      <c r="A3248" s="2">
        <v>46232.708333333343</v>
      </c>
      <c r="B3248" t="str">
        <f t="shared" si="100"/>
        <v>2026-07</v>
      </c>
      <c r="C3248" s="3">
        <f t="shared" si="101"/>
        <v>17</v>
      </c>
      <c r="D3248" s="4">
        <v>24.790791490949999</v>
      </c>
      <c r="E3248" s="4">
        <v>27.127848763774999</v>
      </c>
      <c r="F3248" s="4">
        <v>28.629669054825001</v>
      </c>
      <c r="G3248" s="4">
        <v>17.7</v>
      </c>
      <c r="H3248" s="5">
        <v>43.159934121602781</v>
      </c>
      <c r="I3248" s="5">
        <v>40.180175818563889</v>
      </c>
      <c r="J3248" s="5">
        <v>45.954725465433327</v>
      </c>
      <c r="K3248" s="5">
        <v>74</v>
      </c>
    </row>
    <row r="3249" spans="1:11" x14ac:dyDescent="0.25">
      <c r="A3249" s="2">
        <v>46232.75</v>
      </c>
      <c r="B3249" t="str">
        <f t="shared" si="100"/>
        <v>2026-07</v>
      </c>
      <c r="C3249" s="3">
        <f t="shared" si="101"/>
        <v>18</v>
      </c>
      <c r="D3249" s="4">
        <v>24.505387555566671</v>
      </c>
      <c r="E3249" s="4">
        <v>27.47431551247778</v>
      </c>
      <c r="F3249" s="4">
        <v>28.64414848714722</v>
      </c>
      <c r="G3249" s="4">
        <v>16.899999999999999</v>
      </c>
      <c r="H3249" s="5">
        <v>42.756141588086109</v>
      </c>
      <c r="I3249" s="5">
        <v>39.66638786203611</v>
      </c>
      <c r="J3249" s="5">
        <v>46.011200711491682</v>
      </c>
      <c r="K3249" s="5">
        <v>81</v>
      </c>
    </row>
    <row r="3250" spans="1:11" x14ac:dyDescent="0.25">
      <c r="A3250" s="2">
        <v>46232.791666666657</v>
      </c>
      <c r="B3250" t="str">
        <f t="shared" si="100"/>
        <v>2026-07</v>
      </c>
      <c r="C3250" s="3">
        <f t="shared" si="101"/>
        <v>19</v>
      </c>
      <c r="D3250" s="4">
        <v>24.367297715138889</v>
      </c>
      <c r="E3250" s="4">
        <v>27.711740341116659</v>
      </c>
      <c r="F3250" s="4">
        <v>28.66049273354167</v>
      </c>
      <c r="G3250" s="4">
        <v>17.5</v>
      </c>
      <c r="H3250" s="5">
        <v>42.960423331172223</v>
      </c>
      <c r="I3250" s="5">
        <v>39.25542936415556</v>
      </c>
      <c r="J3250" s="5">
        <v>45.949416572108333</v>
      </c>
      <c r="K3250" s="5">
        <v>79</v>
      </c>
    </row>
    <row r="3251" spans="1:11" x14ac:dyDescent="0.25">
      <c r="A3251" s="2">
        <v>46232.833333333343</v>
      </c>
      <c r="B3251" t="str">
        <f t="shared" si="100"/>
        <v>2026-07</v>
      </c>
      <c r="C3251" s="3">
        <f t="shared" si="101"/>
        <v>20</v>
      </c>
      <c r="D3251" s="4">
        <v>24.02630953649167</v>
      </c>
      <c r="E3251" s="4">
        <v>27.082727453</v>
      </c>
      <c r="F3251" s="4">
        <v>28.617447877269441</v>
      </c>
      <c r="G3251" s="4">
        <v>16.2</v>
      </c>
      <c r="H3251" s="5">
        <v>43.29531429102223</v>
      </c>
      <c r="I3251" s="5">
        <v>38.546138555927783</v>
      </c>
      <c r="J3251" s="5">
        <v>45.72329959351945</v>
      </c>
      <c r="K3251" s="5">
        <v>83</v>
      </c>
    </row>
    <row r="3252" spans="1:11" x14ac:dyDescent="0.25">
      <c r="A3252" s="2">
        <v>46232.875</v>
      </c>
      <c r="B3252" t="str">
        <f t="shared" si="100"/>
        <v>2026-07</v>
      </c>
      <c r="C3252" s="3">
        <f t="shared" si="101"/>
        <v>21</v>
      </c>
      <c r="D3252" s="4">
        <v>23.668335229766669</v>
      </c>
      <c r="E3252" s="4">
        <v>26.61786152386945</v>
      </c>
      <c r="F3252" s="4">
        <v>28.257321358155551</v>
      </c>
      <c r="G3252" s="4">
        <v>16</v>
      </c>
      <c r="H3252" s="5">
        <v>45.582534648202767</v>
      </c>
      <c r="I3252" s="5">
        <v>41.003730116974999</v>
      </c>
      <c r="J3252" s="5">
        <v>45.639027946805562</v>
      </c>
      <c r="K3252" s="5">
        <v>84</v>
      </c>
    </row>
    <row r="3253" spans="1:11" x14ac:dyDescent="0.25">
      <c r="A3253" s="2">
        <v>46232.916666666657</v>
      </c>
      <c r="B3253" t="str">
        <f t="shared" si="100"/>
        <v>2026-07</v>
      </c>
      <c r="C3253" s="3">
        <f t="shared" si="101"/>
        <v>22</v>
      </c>
      <c r="D3253" s="4">
        <v>23.907171363366668</v>
      </c>
      <c r="E3253" s="4">
        <v>26.745322103577781</v>
      </c>
      <c r="F3253" s="4">
        <v>28.4039242112</v>
      </c>
      <c r="G3253" s="4">
        <v>15.8</v>
      </c>
      <c r="H3253" s="5">
        <v>46.34340546741111</v>
      </c>
      <c r="I3253" s="5">
        <v>41.764684393902783</v>
      </c>
      <c r="J3253" s="5">
        <v>45.866316284697213</v>
      </c>
      <c r="K3253" s="5">
        <v>82</v>
      </c>
    </row>
    <row r="3254" spans="1:11" x14ac:dyDescent="0.25">
      <c r="A3254" s="2">
        <v>46232.958333333343</v>
      </c>
      <c r="B3254" t="str">
        <f t="shared" si="100"/>
        <v>2026-07</v>
      </c>
      <c r="C3254" s="3">
        <f t="shared" si="101"/>
        <v>23</v>
      </c>
      <c r="D3254" s="4">
        <v>23.620259351966659</v>
      </c>
      <c r="E3254" s="4">
        <v>27.091541488097221</v>
      </c>
      <c r="F3254" s="4">
        <v>28.533962249888891</v>
      </c>
      <c r="G3254" s="4">
        <v>15.5</v>
      </c>
      <c r="H3254" s="5">
        <v>46.686523757216669</v>
      </c>
      <c r="I3254" s="5">
        <v>41.082593177811113</v>
      </c>
      <c r="J3254" s="5">
        <v>45.907834978444441</v>
      </c>
      <c r="K3254" s="5">
        <v>79</v>
      </c>
    </row>
    <row r="3255" spans="1:11" x14ac:dyDescent="0.25">
      <c r="A3255" s="2">
        <v>46233</v>
      </c>
      <c r="B3255" t="str">
        <f t="shared" si="100"/>
        <v>2026-07</v>
      </c>
      <c r="C3255" s="3">
        <f t="shared" si="101"/>
        <v>0</v>
      </c>
      <c r="D3255" s="4">
        <v>23.466658077497211</v>
      </c>
      <c r="E3255" s="4">
        <v>27.170249070977778</v>
      </c>
      <c r="F3255" s="4">
        <v>28.583713673613889</v>
      </c>
      <c r="G3255" s="4">
        <v>15.1</v>
      </c>
      <c r="H3255" s="5">
        <v>46.575939154313893</v>
      </c>
      <c r="I3255" s="5">
        <v>40.248498094675</v>
      </c>
      <c r="J3255" s="5">
        <v>45.902145586238888</v>
      </c>
      <c r="K3255" s="5">
        <v>79</v>
      </c>
    </row>
    <row r="3256" spans="1:11" x14ac:dyDescent="0.25">
      <c r="A3256" s="2">
        <v>46233.041666666657</v>
      </c>
      <c r="B3256" t="str">
        <f t="shared" si="100"/>
        <v>2026-07</v>
      </c>
      <c r="C3256" s="3">
        <f t="shared" si="101"/>
        <v>1</v>
      </c>
      <c r="D3256" s="4">
        <v>22.611410944705561</v>
      </c>
      <c r="E3256" s="4">
        <v>26.551715119733331</v>
      </c>
      <c r="F3256" s="4">
        <v>28.569490446427778</v>
      </c>
      <c r="G3256" s="4">
        <v>14.8</v>
      </c>
      <c r="H3256" s="5">
        <v>47.964323080761112</v>
      </c>
      <c r="I3256" s="5">
        <v>40.763702175736107</v>
      </c>
      <c r="J3256" s="5">
        <v>45.877035874277773</v>
      </c>
      <c r="K3256" s="5">
        <v>80</v>
      </c>
    </row>
    <row r="3257" spans="1:11" x14ac:dyDescent="0.25">
      <c r="A3257" s="2">
        <v>46233.083333333343</v>
      </c>
      <c r="B3257" t="str">
        <f t="shared" si="100"/>
        <v>2026-07</v>
      </c>
      <c r="C3257" s="3">
        <f t="shared" si="101"/>
        <v>2</v>
      </c>
      <c r="D3257" s="4">
        <v>22.257013584308339</v>
      </c>
      <c r="E3257" s="4">
        <v>25.981417206186109</v>
      </c>
      <c r="F3257" s="4">
        <v>28.549496848091671</v>
      </c>
      <c r="G3257" s="4">
        <v>14.5</v>
      </c>
      <c r="H3257" s="5">
        <v>48.034366200238892</v>
      </c>
      <c r="I3257" s="5">
        <v>40.536103202436109</v>
      </c>
      <c r="J3257" s="5">
        <v>45.730717830169453</v>
      </c>
      <c r="K3257" s="5">
        <v>80</v>
      </c>
    </row>
    <row r="3258" spans="1:11" x14ac:dyDescent="0.25">
      <c r="A3258" s="2">
        <v>46233.125</v>
      </c>
      <c r="B3258" t="str">
        <f t="shared" si="100"/>
        <v>2026-07</v>
      </c>
      <c r="C3258" s="3">
        <f t="shared" si="101"/>
        <v>3</v>
      </c>
      <c r="D3258" s="4">
        <v>22.099118633016669</v>
      </c>
      <c r="E3258" s="4">
        <v>25.908443970752771</v>
      </c>
      <c r="F3258" s="4">
        <v>28.519984107802781</v>
      </c>
      <c r="G3258" s="4">
        <v>13.8</v>
      </c>
      <c r="H3258" s="5">
        <v>48.345833567299998</v>
      </c>
      <c r="I3258" s="5">
        <v>40.408407944952778</v>
      </c>
      <c r="J3258" s="5">
        <v>45.577524560486118</v>
      </c>
      <c r="K3258" s="5">
        <v>84</v>
      </c>
    </row>
    <row r="3259" spans="1:11" x14ac:dyDescent="0.25">
      <c r="A3259" s="2">
        <v>46233.166666666657</v>
      </c>
      <c r="B3259" t="str">
        <f t="shared" si="100"/>
        <v>2026-07</v>
      </c>
      <c r="C3259" s="3">
        <f t="shared" si="101"/>
        <v>4</v>
      </c>
      <c r="D3259" s="4"/>
      <c r="E3259" s="4">
        <v>25.364700277597219</v>
      </c>
      <c r="F3259" s="4">
        <v>28.477996677711111</v>
      </c>
      <c r="G3259" s="4">
        <v>13.5</v>
      </c>
      <c r="H3259" s="5"/>
      <c r="I3259" s="5">
        <v>40.881986038769448</v>
      </c>
      <c r="J3259" s="5">
        <v>45.44741552450833</v>
      </c>
      <c r="K3259" s="5">
        <v>82</v>
      </c>
    </row>
    <row r="3260" spans="1:11" x14ac:dyDescent="0.25">
      <c r="A3260" s="2">
        <v>46233.208333333343</v>
      </c>
      <c r="B3260" t="str">
        <f t="shared" si="100"/>
        <v>2026-07</v>
      </c>
      <c r="C3260" s="3">
        <f t="shared" si="101"/>
        <v>5</v>
      </c>
      <c r="D3260" s="4"/>
      <c r="E3260" s="4">
        <v>25.120300267994441</v>
      </c>
      <c r="F3260" s="4">
        <v>28.445109569477779</v>
      </c>
      <c r="G3260" s="4">
        <v>13.2</v>
      </c>
      <c r="H3260" s="5"/>
      <c r="I3260" s="5">
        <v>40.571897649669452</v>
      </c>
      <c r="J3260" s="5">
        <v>45.174931033291656</v>
      </c>
      <c r="K3260" s="5">
        <v>80</v>
      </c>
    </row>
    <row r="3261" spans="1:11" x14ac:dyDescent="0.25">
      <c r="A3261" s="2">
        <v>46233.25</v>
      </c>
      <c r="B3261" t="str">
        <f t="shared" si="100"/>
        <v>2026-07</v>
      </c>
      <c r="C3261" s="3">
        <f t="shared" si="101"/>
        <v>6</v>
      </c>
      <c r="D3261" s="4"/>
      <c r="E3261" s="4">
        <v>25.22862093631667</v>
      </c>
      <c r="F3261" s="4">
        <v>28.42043291281389</v>
      </c>
      <c r="G3261" s="4">
        <v>13.4</v>
      </c>
      <c r="H3261" s="5"/>
      <c r="I3261" s="5">
        <v>39.586496170944443</v>
      </c>
      <c r="J3261" s="5">
        <v>45.005993028805563</v>
      </c>
      <c r="K3261" s="5">
        <v>79</v>
      </c>
    </row>
    <row r="3262" spans="1:11" x14ac:dyDescent="0.25">
      <c r="A3262" s="2">
        <v>46233.291666666657</v>
      </c>
      <c r="B3262" t="str">
        <f t="shared" si="100"/>
        <v>2026-07</v>
      </c>
      <c r="C3262" s="3">
        <f t="shared" si="101"/>
        <v>7</v>
      </c>
      <c r="D3262" s="4">
        <v>23.780452596586969</v>
      </c>
      <c r="E3262" s="4">
        <v>25.537111960927771</v>
      </c>
      <c r="F3262" s="4">
        <v>28.428022297155561</v>
      </c>
      <c r="G3262" s="4">
        <v>14.5</v>
      </c>
      <c r="H3262" s="5">
        <v>41.256239529601118</v>
      </c>
      <c r="I3262" s="5">
        <v>38.668730115105546</v>
      </c>
      <c r="J3262" s="5">
        <v>45.047328585569439</v>
      </c>
      <c r="K3262" s="5">
        <v>77</v>
      </c>
    </row>
    <row r="3263" spans="1:11" x14ac:dyDescent="0.25">
      <c r="A3263" s="2">
        <v>46233.333333333343</v>
      </c>
      <c r="B3263" t="str">
        <f t="shared" si="100"/>
        <v>2026-07</v>
      </c>
      <c r="C3263" s="3">
        <f t="shared" si="101"/>
        <v>8</v>
      </c>
      <c r="D3263" s="4">
        <v>24.72724593125</v>
      </c>
      <c r="E3263" s="4">
        <v>26.238108975011109</v>
      </c>
      <c r="F3263" s="4">
        <v>28.460205541816659</v>
      </c>
      <c r="G3263" s="4">
        <v>15.9</v>
      </c>
      <c r="H3263" s="5">
        <v>39.983765206497218</v>
      </c>
      <c r="I3263" s="5">
        <v>38.534979287661109</v>
      </c>
      <c r="J3263" s="5">
        <v>45.020362448097217</v>
      </c>
      <c r="K3263" s="5">
        <v>73</v>
      </c>
    </row>
    <row r="3264" spans="1:11" x14ac:dyDescent="0.25">
      <c r="A3264" s="2">
        <v>46233.375</v>
      </c>
      <c r="B3264" t="str">
        <f t="shared" si="100"/>
        <v>2026-07</v>
      </c>
      <c r="C3264" s="3">
        <f t="shared" si="101"/>
        <v>9</v>
      </c>
      <c r="D3264" s="4">
        <v>25.283946012208329</v>
      </c>
      <c r="E3264" s="4">
        <v>26.371349485986109</v>
      </c>
      <c r="F3264" s="4">
        <v>28.495153065013891</v>
      </c>
      <c r="G3264" s="4">
        <v>17.899999999999999</v>
      </c>
      <c r="H3264" s="5">
        <v>39.017543712150001</v>
      </c>
      <c r="I3264" s="5">
        <v>38.968586126883331</v>
      </c>
      <c r="J3264" s="5">
        <v>45.054357384947217</v>
      </c>
      <c r="K3264" s="5">
        <v>67</v>
      </c>
    </row>
    <row r="3265" spans="1:11" x14ac:dyDescent="0.25">
      <c r="A3265" s="2">
        <v>46233.416666666657</v>
      </c>
      <c r="B3265" t="str">
        <f t="shared" si="100"/>
        <v>2026-07</v>
      </c>
      <c r="C3265" s="3">
        <f t="shared" si="101"/>
        <v>10</v>
      </c>
      <c r="D3265" s="4">
        <v>25.488281241774999</v>
      </c>
      <c r="E3265" s="4">
        <v>26.452748029666669</v>
      </c>
      <c r="F3265" s="4">
        <v>28.525705515816671</v>
      </c>
      <c r="G3265" s="4">
        <v>19.5</v>
      </c>
      <c r="H3265" s="5">
        <v>38.764762195063888</v>
      </c>
      <c r="I3265" s="5">
        <v>38.559323243452781</v>
      </c>
      <c r="J3265" s="5">
        <v>45.070192157333338</v>
      </c>
      <c r="K3265" s="5">
        <v>63</v>
      </c>
    </row>
    <row r="3266" spans="1:11" x14ac:dyDescent="0.25">
      <c r="A3266" s="2">
        <v>46233.458333333343</v>
      </c>
      <c r="B3266" t="str">
        <f t="shared" ref="B3266:B3329" si="102">TEXT(A3266,"yyyy-mm")</f>
        <v>2026-07</v>
      </c>
      <c r="C3266" s="3">
        <f t="shared" ref="C3266:C3329" si="103">HOUR(A3266)</f>
        <v>11</v>
      </c>
      <c r="D3266" s="4">
        <v>25.34017934311111</v>
      </c>
      <c r="E3266" s="4">
        <v>26.734823690066669</v>
      </c>
      <c r="F3266" s="4">
        <v>28.552641700805559</v>
      </c>
      <c r="G3266" s="4">
        <v>20.8</v>
      </c>
      <c r="H3266" s="5">
        <v>38.86386052195278</v>
      </c>
      <c r="I3266" s="5">
        <v>38.525592140719453</v>
      </c>
      <c r="J3266" s="5">
        <v>45.14688444294444</v>
      </c>
      <c r="K3266" s="5">
        <v>57</v>
      </c>
    </row>
    <row r="3267" spans="1:11" x14ac:dyDescent="0.25">
      <c r="A3267" s="2">
        <v>46233.5</v>
      </c>
      <c r="B3267" t="str">
        <f t="shared" si="102"/>
        <v>2026-07</v>
      </c>
      <c r="C3267" s="3">
        <f t="shared" si="103"/>
        <v>12</v>
      </c>
      <c r="D3267" s="4">
        <v>25.240026609669449</v>
      </c>
      <c r="E3267" s="4">
        <v>26.641888693644439</v>
      </c>
      <c r="F3267" s="4">
        <v>28.563581735636109</v>
      </c>
      <c r="G3267" s="4">
        <v>21.8</v>
      </c>
      <c r="H3267" s="5">
        <v>38.132803113744451</v>
      </c>
      <c r="I3267" s="5">
        <v>37.590985265999997</v>
      </c>
      <c r="J3267" s="5">
        <v>45.115235850636111</v>
      </c>
      <c r="K3267" s="5">
        <v>51</v>
      </c>
    </row>
    <row r="3268" spans="1:11" x14ac:dyDescent="0.25">
      <c r="A3268" s="2">
        <v>46233.541666666657</v>
      </c>
      <c r="B3268" t="str">
        <f t="shared" si="102"/>
        <v>2026-07</v>
      </c>
      <c r="C3268" s="3">
        <f t="shared" si="103"/>
        <v>13</v>
      </c>
      <c r="D3268" s="4">
        <v>25.36119723614722</v>
      </c>
      <c r="E3268" s="4">
        <v>26.816313115633331</v>
      </c>
      <c r="F3268" s="4">
        <v>28.570713224991671</v>
      </c>
      <c r="G3268" s="4">
        <v>21.8</v>
      </c>
      <c r="H3268" s="5">
        <v>35.837091266072221</v>
      </c>
      <c r="I3268" s="5">
        <v>36.882993850022217</v>
      </c>
      <c r="J3268" s="5">
        <v>44.998840029575</v>
      </c>
      <c r="K3268" s="5">
        <v>51</v>
      </c>
    </row>
    <row r="3269" spans="1:11" x14ac:dyDescent="0.25">
      <c r="A3269" s="2">
        <v>46233.583333333343</v>
      </c>
      <c r="B3269" t="str">
        <f t="shared" si="102"/>
        <v>2026-07</v>
      </c>
      <c r="C3269" s="3">
        <f t="shared" si="103"/>
        <v>14</v>
      </c>
      <c r="D3269" s="4">
        <v>24.760451824033339</v>
      </c>
      <c r="E3269" s="4">
        <v>26.705672877697221</v>
      </c>
      <c r="F3269" s="4">
        <v>28.197496191894441</v>
      </c>
      <c r="G3269" s="4">
        <v>21.4</v>
      </c>
      <c r="H3269" s="5">
        <v>38.180457695591663</v>
      </c>
      <c r="I3269" s="5">
        <v>36.300779302669447</v>
      </c>
      <c r="J3269" s="5">
        <v>42.983592620622233</v>
      </c>
      <c r="K3269" s="5">
        <v>52</v>
      </c>
    </row>
    <row r="3270" spans="1:11" x14ac:dyDescent="0.25">
      <c r="A3270" s="2">
        <v>46233.625</v>
      </c>
      <c r="B3270" t="str">
        <f t="shared" si="102"/>
        <v>2026-07</v>
      </c>
      <c r="C3270" s="3">
        <f t="shared" si="103"/>
        <v>15</v>
      </c>
      <c r="D3270" s="4">
        <v>23.730027682930562</v>
      </c>
      <c r="E3270" s="4">
        <v>26.405048081680562</v>
      </c>
      <c r="F3270" s="4">
        <v>28.269964208138891</v>
      </c>
      <c r="G3270" s="4">
        <v>21.1</v>
      </c>
      <c r="H3270" s="5">
        <v>46.524731655925002</v>
      </c>
      <c r="I3270" s="5">
        <v>40.757822754605563</v>
      </c>
      <c r="J3270" s="5">
        <v>44.291928921772218</v>
      </c>
      <c r="K3270" s="5">
        <v>55</v>
      </c>
    </row>
    <row r="3271" spans="1:11" x14ac:dyDescent="0.25">
      <c r="A3271" s="2">
        <v>46233.666666666657</v>
      </c>
      <c r="B3271" t="str">
        <f t="shared" si="102"/>
        <v>2026-07</v>
      </c>
      <c r="C3271" s="3">
        <f t="shared" si="103"/>
        <v>16</v>
      </c>
      <c r="D3271" s="4">
        <v>24.139260727055561</v>
      </c>
      <c r="E3271" s="4">
        <v>26.49375253139166</v>
      </c>
      <c r="F3271" s="4">
        <v>28.257523332049999</v>
      </c>
      <c r="G3271" s="4">
        <v>20.399999999999999</v>
      </c>
      <c r="H3271" s="5">
        <v>44.405602670161109</v>
      </c>
      <c r="I3271" s="5">
        <v>40.416134158922233</v>
      </c>
      <c r="J3271" s="5">
        <v>44.736374496491671</v>
      </c>
      <c r="K3271" s="5">
        <v>60</v>
      </c>
    </row>
    <row r="3272" spans="1:11" x14ac:dyDescent="0.25">
      <c r="A3272" s="2">
        <v>46233.708333333343</v>
      </c>
      <c r="B3272" t="str">
        <f t="shared" si="102"/>
        <v>2026-07</v>
      </c>
      <c r="C3272" s="3">
        <f t="shared" si="103"/>
        <v>17</v>
      </c>
      <c r="D3272" s="4">
        <v>24.19536026936667</v>
      </c>
      <c r="E3272" s="4">
        <v>26.345551949997219</v>
      </c>
      <c r="F3272" s="4">
        <v>28.231370849625002</v>
      </c>
      <c r="G3272" s="4">
        <v>20.399999999999999</v>
      </c>
      <c r="H3272" s="5">
        <v>43.377684162838896</v>
      </c>
      <c r="I3272" s="5">
        <v>39.696968397986112</v>
      </c>
      <c r="J3272" s="5">
        <v>44.898351947622217</v>
      </c>
      <c r="K3272" s="5">
        <v>63</v>
      </c>
    </row>
    <row r="3273" spans="1:11" x14ac:dyDescent="0.25">
      <c r="A3273" s="2">
        <v>46233.75</v>
      </c>
      <c r="B3273" t="str">
        <f t="shared" si="102"/>
        <v>2026-07</v>
      </c>
      <c r="C3273" s="3">
        <f t="shared" si="103"/>
        <v>18</v>
      </c>
      <c r="D3273" s="4">
        <v>24.156518429380561</v>
      </c>
      <c r="E3273" s="4">
        <v>26.443553975625001</v>
      </c>
      <c r="F3273" s="4">
        <v>28.21199725078333</v>
      </c>
      <c r="G3273" s="4">
        <v>20.5</v>
      </c>
      <c r="H3273" s="5">
        <v>44.716870210958341</v>
      </c>
      <c r="I3273" s="5">
        <v>40.209798753891668</v>
      </c>
      <c r="J3273" s="5">
        <v>45.024646330636109</v>
      </c>
      <c r="K3273" s="5">
        <v>65</v>
      </c>
    </row>
    <row r="3274" spans="1:11" x14ac:dyDescent="0.25">
      <c r="A3274" s="2">
        <v>46233.791666666657</v>
      </c>
      <c r="B3274" t="str">
        <f t="shared" si="102"/>
        <v>2026-07</v>
      </c>
      <c r="C3274" s="3">
        <f t="shared" si="103"/>
        <v>19</v>
      </c>
      <c r="D3274" s="4">
        <v>24.044313500205561</v>
      </c>
      <c r="E3274" s="4">
        <v>26.568173251291672</v>
      </c>
      <c r="F3274" s="4">
        <v>28.179330147986111</v>
      </c>
      <c r="G3274" s="4">
        <v>20.2</v>
      </c>
      <c r="H3274" s="5">
        <v>46.392986207477783</v>
      </c>
      <c r="I3274" s="5">
        <v>41.207859607683339</v>
      </c>
      <c r="J3274" s="5">
        <v>45.192435016777779</v>
      </c>
      <c r="K3274" s="5">
        <v>66</v>
      </c>
    </row>
    <row r="3275" spans="1:11" x14ac:dyDescent="0.25">
      <c r="A3275" s="2">
        <v>46233.833333333343</v>
      </c>
      <c r="B3275" t="str">
        <f t="shared" si="102"/>
        <v>2026-07</v>
      </c>
      <c r="C3275" s="3">
        <f t="shared" si="103"/>
        <v>20</v>
      </c>
      <c r="D3275" s="4">
        <v>23.713296265130559</v>
      </c>
      <c r="E3275" s="4">
        <v>26.52071024469722</v>
      </c>
      <c r="F3275" s="4">
        <v>28.169972144252771</v>
      </c>
      <c r="G3275" s="4">
        <v>18.899999999999999</v>
      </c>
      <c r="H3275" s="5">
        <v>48.604135243213882</v>
      </c>
      <c r="I3275" s="5">
        <v>44.234302026913888</v>
      </c>
      <c r="J3275" s="5">
        <v>45.357479464174993</v>
      </c>
      <c r="K3275" s="5">
        <v>73</v>
      </c>
    </row>
    <row r="3276" spans="1:11" x14ac:dyDescent="0.25">
      <c r="A3276" s="2">
        <v>46233.875</v>
      </c>
      <c r="B3276" t="str">
        <f t="shared" si="102"/>
        <v>2026-07</v>
      </c>
      <c r="C3276" s="3">
        <f t="shared" si="103"/>
        <v>21</v>
      </c>
      <c r="D3276" s="4">
        <v>23.723671359972219</v>
      </c>
      <c r="E3276" s="4">
        <v>26.63689928580833</v>
      </c>
      <c r="F3276" s="4">
        <v>28.162069976366659</v>
      </c>
      <c r="G3276" s="4">
        <v>18</v>
      </c>
      <c r="H3276" s="5">
        <v>48.970396863047227</v>
      </c>
      <c r="I3276" s="5">
        <v>43.441607920366657</v>
      </c>
      <c r="J3276" s="5">
        <v>45.569650425083331</v>
      </c>
      <c r="K3276" s="5">
        <v>77</v>
      </c>
    </row>
    <row r="3277" spans="1:11" x14ac:dyDescent="0.25">
      <c r="A3277" s="2">
        <v>46233.916666666657</v>
      </c>
      <c r="B3277" t="str">
        <f t="shared" si="102"/>
        <v>2026-07</v>
      </c>
      <c r="C3277" s="3">
        <f t="shared" si="103"/>
        <v>22</v>
      </c>
      <c r="D3277" s="4">
        <v>23.515250975911108</v>
      </c>
      <c r="E3277" s="4">
        <v>26.677296441786108</v>
      </c>
      <c r="F3277" s="4">
        <v>28.145211313911108</v>
      </c>
      <c r="G3277" s="4">
        <v>17.600000000000001</v>
      </c>
      <c r="H3277" s="5">
        <v>50.435997942919442</v>
      </c>
      <c r="I3277" s="5">
        <v>45.870925114980558</v>
      </c>
      <c r="J3277" s="5">
        <v>45.821769396388881</v>
      </c>
      <c r="K3277" s="5">
        <v>81</v>
      </c>
    </row>
    <row r="3278" spans="1:11" x14ac:dyDescent="0.25">
      <c r="A3278" s="2">
        <v>46233.958333333343</v>
      </c>
      <c r="B3278" t="str">
        <f t="shared" si="102"/>
        <v>2026-07</v>
      </c>
      <c r="C3278" s="3">
        <f t="shared" si="103"/>
        <v>23</v>
      </c>
      <c r="D3278" s="4">
        <v>23.924972053436111</v>
      </c>
      <c r="E3278" s="4">
        <v>26.976875921944441</v>
      </c>
      <c r="F3278" s="4">
        <v>28.144185679111111</v>
      </c>
      <c r="G3278" s="4">
        <v>17</v>
      </c>
      <c r="H3278" s="5">
        <v>50.109072134452781</v>
      </c>
      <c r="I3278" s="5">
        <v>45.501689368522221</v>
      </c>
      <c r="J3278" s="5">
        <v>46.068561477422229</v>
      </c>
      <c r="K3278" s="5">
        <v>84</v>
      </c>
    </row>
    <row r="3279" spans="1:11" x14ac:dyDescent="0.25">
      <c r="A3279" s="2">
        <v>46234</v>
      </c>
      <c r="B3279" t="str">
        <f t="shared" si="102"/>
        <v>2026-07</v>
      </c>
      <c r="C3279" s="3">
        <f t="shared" si="103"/>
        <v>0</v>
      </c>
      <c r="D3279" s="4">
        <v>24.045342676405561</v>
      </c>
      <c r="E3279" s="4">
        <v>26.973306853172222</v>
      </c>
      <c r="F3279" s="4">
        <v>28.143582859666669</v>
      </c>
      <c r="G3279" s="4">
        <v>16.600000000000001</v>
      </c>
      <c r="H3279" s="5">
        <v>50.094188370591667</v>
      </c>
      <c r="I3279" s="5">
        <v>45.814973817708328</v>
      </c>
      <c r="J3279" s="5">
        <v>46.156030522469443</v>
      </c>
      <c r="K3279" s="5">
        <v>87</v>
      </c>
    </row>
    <row r="3280" spans="1:11" x14ac:dyDescent="0.25">
      <c r="A3280" s="2">
        <v>46234.041666666657</v>
      </c>
      <c r="B3280" t="str">
        <f t="shared" si="102"/>
        <v>2026-07</v>
      </c>
      <c r="C3280" s="3">
        <f t="shared" si="103"/>
        <v>1</v>
      </c>
      <c r="D3280" s="4">
        <v>23.563927525975</v>
      </c>
      <c r="E3280" s="4">
        <v>26.517984620450001</v>
      </c>
      <c r="F3280" s="4">
        <v>28.112054059955561</v>
      </c>
      <c r="G3280" s="4">
        <v>16.2</v>
      </c>
      <c r="H3280" s="5">
        <v>52.347980748763888</v>
      </c>
      <c r="I3280" s="5">
        <v>46.436314211297223</v>
      </c>
      <c r="J3280" s="5">
        <v>46.526379712833339</v>
      </c>
      <c r="K3280" s="5">
        <v>88</v>
      </c>
    </row>
    <row r="3281" spans="1:11" x14ac:dyDescent="0.25">
      <c r="A3281" s="2">
        <v>46234.083333333343</v>
      </c>
      <c r="B3281" t="str">
        <f t="shared" si="102"/>
        <v>2026-07</v>
      </c>
      <c r="C3281" s="3">
        <f t="shared" si="103"/>
        <v>2</v>
      </c>
      <c r="D3281" s="4">
        <v>23.216104520519441</v>
      </c>
      <c r="E3281" s="4">
        <v>26.190851783108329</v>
      </c>
      <c r="F3281" s="4">
        <v>28.096470140400001</v>
      </c>
      <c r="G3281" s="4">
        <v>16</v>
      </c>
      <c r="H3281" s="5">
        <v>52.469809318069437</v>
      </c>
      <c r="I3281" s="5">
        <v>45.874020080608339</v>
      </c>
      <c r="J3281" s="5">
        <v>46.65162579331389</v>
      </c>
      <c r="K3281" s="5">
        <v>88</v>
      </c>
    </row>
    <row r="3282" spans="1:11" x14ac:dyDescent="0.25">
      <c r="A3282" s="2">
        <v>46234.125</v>
      </c>
      <c r="B3282" t="str">
        <f t="shared" si="102"/>
        <v>2026-07</v>
      </c>
      <c r="C3282" s="3">
        <f t="shared" si="103"/>
        <v>3</v>
      </c>
      <c r="D3282" s="4">
        <v>22.542956993044449</v>
      </c>
      <c r="E3282" s="4">
        <v>25.959286907677779</v>
      </c>
      <c r="F3282" s="4">
        <v>28.06194941070833</v>
      </c>
      <c r="G3282" s="4">
        <v>15.5</v>
      </c>
      <c r="H3282" s="5">
        <v>53.553573303677773</v>
      </c>
      <c r="I3282" s="5">
        <v>45.269581946969453</v>
      </c>
      <c r="J3282" s="5">
        <v>46.835356563830551</v>
      </c>
      <c r="K3282" s="5">
        <v>87</v>
      </c>
    </row>
    <row r="3283" spans="1:11" x14ac:dyDescent="0.25">
      <c r="A3283" s="2">
        <v>46234.166666666657</v>
      </c>
      <c r="B3283" t="str">
        <f t="shared" si="102"/>
        <v>2026-07</v>
      </c>
      <c r="C3283" s="3">
        <f t="shared" si="103"/>
        <v>4</v>
      </c>
      <c r="D3283" s="4">
        <v>22.210304052933331</v>
      </c>
      <c r="E3283" s="4">
        <v>25.721228565083329</v>
      </c>
      <c r="F3283" s="4">
        <v>28.01598500913056</v>
      </c>
      <c r="G3283" s="4">
        <v>15.5</v>
      </c>
      <c r="H3283" s="5">
        <v>53.845312279541673</v>
      </c>
      <c r="I3283" s="5">
        <v>44.893605146041672</v>
      </c>
      <c r="J3283" s="5">
        <v>47.010715925649997</v>
      </c>
      <c r="K3283" s="5">
        <v>87</v>
      </c>
    </row>
    <row r="3284" spans="1:11" x14ac:dyDescent="0.25">
      <c r="A3284" s="2">
        <v>46234.208333333343</v>
      </c>
      <c r="B3284" t="str">
        <f t="shared" si="102"/>
        <v>2026-07</v>
      </c>
      <c r="C3284" s="3">
        <f t="shared" si="103"/>
        <v>5</v>
      </c>
      <c r="D3284" s="4">
        <v>22.312303198675</v>
      </c>
      <c r="E3284" s="4">
        <v>25.65210796225</v>
      </c>
      <c r="F3284" s="4">
        <v>27.97730180953333</v>
      </c>
      <c r="G3284" s="4">
        <v>15.3</v>
      </c>
      <c r="H3284" s="5">
        <v>52.791308935305551</v>
      </c>
      <c r="I3284" s="5">
        <v>44.444628537380559</v>
      </c>
      <c r="J3284" s="5">
        <v>46.975926312283342</v>
      </c>
      <c r="K3284" s="5">
        <v>86</v>
      </c>
    </row>
    <row r="3285" spans="1:11" x14ac:dyDescent="0.25">
      <c r="A3285" s="2">
        <v>46234.25</v>
      </c>
      <c r="B3285" t="str">
        <f t="shared" si="102"/>
        <v>2026-07</v>
      </c>
      <c r="C3285" s="3">
        <f t="shared" si="103"/>
        <v>6</v>
      </c>
      <c r="D3285" s="4">
        <v>23.52366911948333</v>
      </c>
      <c r="E3285" s="4">
        <v>25.939327872219451</v>
      </c>
      <c r="F3285" s="4">
        <v>27.957944136419449</v>
      </c>
      <c r="G3285" s="4">
        <v>15.6</v>
      </c>
      <c r="H3285" s="5">
        <v>49.114546450122219</v>
      </c>
      <c r="I3285" s="5">
        <v>43.996814852336108</v>
      </c>
      <c r="J3285" s="5">
        <v>46.851615570266667</v>
      </c>
      <c r="K3285" s="5">
        <v>84</v>
      </c>
    </row>
    <row r="3286" spans="1:11" x14ac:dyDescent="0.25">
      <c r="A3286" s="2">
        <v>46234.291666666657</v>
      </c>
      <c r="B3286" t="str">
        <f t="shared" si="102"/>
        <v>2026-07</v>
      </c>
      <c r="C3286" s="3">
        <f t="shared" si="103"/>
        <v>7</v>
      </c>
      <c r="D3286" s="4">
        <v>24.782858180994442</v>
      </c>
      <c r="E3286" s="4">
        <v>26.446683700272221</v>
      </c>
      <c r="F3286" s="4">
        <v>27.961991650744451</v>
      </c>
      <c r="G3286" s="4">
        <v>16.7</v>
      </c>
      <c r="H3286" s="5">
        <v>45.955773503902783</v>
      </c>
      <c r="I3286" s="5">
        <v>43.433305407130561</v>
      </c>
      <c r="J3286" s="5">
        <v>46.721060409849997</v>
      </c>
      <c r="K3286" s="5">
        <v>81</v>
      </c>
    </row>
    <row r="3287" spans="1:11" x14ac:dyDescent="0.25">
      <c r="A3287" s="2">
        <v>46234.333333333343</v>
      </c>
      <c r="B3287" t="str">
        <f t="shared" si="102"/>
        <v>2026-07</v>
      </c>
      <c r="C3287" s="3">
        <f t="shared" si="103"/>
        <v>8</v>
      </c>
      <c r="D3287" s="4">
        <v>25.756692160966669</v>
      </c>
      <c r="E3287" s="4">
        <v>27.214231265519441</v>
      </c>
      <c r="F3287" s="4">
        <v>27.9833905753</v>
      </c>
      <c r="G3287" s="4">
        <v>18.2</v>
      </c>
      <c r="H3287" s="5">
        <v>44.691232491058337</v>
      </c>
      <c r="I3287" s="5">
        <v>42.193704628891673</v>
      </c>
      <c r="J3287" s="5">
        <v>46.709857921022227</v>
      </c>
      <c r="K3287" s="5">
        <v>75</v>
      </c>
    </row>
    <row r="3288" spans="1:11" x14ac:dyDescent="0.25">
      <c r="A3288" s="2">
        <v>46234.375</v>
      </c>
      <c r="B3288" t="str">
        <f t="shared" si="102"/>
        <v>2026-07</v>
      </c>
      <c r="C3288" s="3">
        <f t="shared" si="103"/>
        <v>9</v>
      </c>
      <c r="D3288" s="4">
        <v>26.410692603363891</v>
      </c>
      <c r="E3288" s="4">
        <v>27.582619640441671</v>
      </c>
      <c r="F3288" s="4">
        <v>28.019133808941671</v>
      </c>
      <c r="G3288" s="4">
        <v>20.399999999999999</v>
      </c>
      <c r="H3288" s="5">
        <v>44.324299546969449</v>
      </c>
      <c r="I3288" s="5">
        <v>42.244294104905563</v>
      </c>
      <c r="J3288" s="5">
        <v>46.695483847377773</v>
      </c>
      <c r="K3288" s="5">
        <v>69</v>
      </c>
    </row>
    <row r="3289" spans="1:11" x14ac:dyDescent="0.25">
      <c r="A3289" s="2">
        <v>46234.416666666657</v>
      </c>
      <c r="B3289" t="str">
        <f t="shared" si="102"/>
        <v>2026-07</v>
      </c>
      <c r="C3289" s="3">
        <f t="shared" si="103"/>
        <v>10</v>
      </c>
      <c r="D3289" s="4">
        <v>26.550172244522219</v>
      </c>
      <c r="E3289" s="4">
        <v>27.830758844369441</v>
      </c>
      <c r="F3289" s="4">
        <v>28.044455924402779</v>
      </c>
      <c r="G3289" s="4">
        <v>22</v>
      </c>
      <c r="H3289" s="5">
        <v>42.589411702544453</v>
      </c>
      <c r="I3289" s="5">
        <v>41.073432139713887</v>
      </c>
      <c r="J3289" s="5">
        <v>46.703174873099996</v>
      </c>
      <c r="K3289" s="5">
        <v>63</v>
      </c>
    </row>
    <row r="3290" spans="1:11" x14ac:dyDescent="0.25">
      <c r="A3290" s="2">
        <v>46234.458333333343</v>
      </c>
      <c r="B3290" t="str">
        <f t="shared" si="102"/>
        <v>2026-07</v>
      </c>
      <c r="C3290" s="3">
        <f t="shared" si="103"/>
        <v>11</v>
      </c>
      <c r="D3290" s="4">
        <v>26.584161781452771</v>
      </c>
      <c r="E3290" s="4">
        <v>28.096315225577779</v>
      </c>
      <c r="F3290" s="4">
        <v>28.066455607386111</v>
      </c>
      <c r="G3290" s="4">
        <v>23.1</v>
      </c>
      <c r="H3290" s="5">
        <v>42.053157681144448</v>
      </c>
      <c r="I3290" s="5">
        <v>41.319354959122222</v>
      </c>
      <c r="J3290" s="5">
        <v>46.698102209788892</v>
      </c>
      <c r="K3290" s="5">
        <v>56</v>
      </c>
    </row>
    <row r="3291" spans="1:11" x14ac:dyDescent="0.25">
      <c r="A3291" s="2">
        <v>46234.5</v>
      </c>
      <c r="B3291" t="str">
        <f t="shared" si="102"/>
        <v>2026-07</v>
      </c>
      <c r="C3291" s="3">
        <f t="shared" si="103"/>
        <v>12</v>
      </c>
      <c r="D3291" s="4">
        <v>26.66953951995</v>
      </c>
      <c r="E3291" s="4">
        <v>28.17733712465278</v>
      </c>
      <c r="F3291" s="4">
        <v>28.08043664141389</v>
      </c>
      <c r="G3291" s="4">
        <v>23.9</v>
      </c>
      <c r="H3291" s="5">
        <v>41.840963022013888</v>
      </c>
      <c r="I3291" s="5">
        <v>40.815379870419441</v>
      </c>
      <c r="J3291" s="5">
        <v>46.694071803227779</v>
      </c>
      <c r="K3291" s="5">
        <v>53</v>
      </c>
    </row>
    <row r="3292" spans="1:11" x14ac:dyDescent="0.25">
      <c r="A3292" s="2">
        <v>46234.541666666657</v>
      </c>
      <c r="B3292" t="str">
        <f t="shared" si="102"/>
        <v>2026-07</v>
      </c>
      <c r="C3292" s="3">
        <f t="shared" si="103"/>
        <v>13</v>
      </c>
      <c r="D3292" s="4">
        <v>26.663872843530559</v>
      </c>
      <c r="E3292" s="4">
        <v>28.081210975794441</v>
      </c>
      <c r="F3292" s="4">
        <v>28.089805768452781</v>
      </c>
      <c r="G3292" s="4">
        <v>24.5</v>
      </c>
      <c r="H3292" s="5">
        <v>41.321986216197217</v>
      </c>
      <c r="I3292" s="5">
        <v>40.999571886627777</v>
      </c>
      <c r="J3292" s="5">
        <v>46.701654668625011</v>
      </c>
      <c r="K3292" s="5">
        <v>51</v>
      </c>
    </row>
    <row r="3293" spans="1:11" x14ac:dyDescent="0.25">
      <c r="A3293" s="2">
        <v>46234.583333333343</v>
      </c>
      <c r="B3293" t="str">
        <f t="shared" si="102"/>
        <v>2026-07</v>
      </c>
      <c r="C3293" s="3">
        <f t="shared" si="103"/>
        <v>14</v>
      </c>
      <c r="D3293" s="4">
        <v>26.72012448992222</v>
      </c>
      <c r="E3293" s="4">
        <v>28.031568297250001</v>
      </c>
      <c r="F3293" s="4">
        <v>28.092964014058332</v>
      </c>
      <c r="G3293" s="4">
        <v>24.9</v>
      </c>
      <c r="H3293" s="5">
        <v>41.296358540919449</v>
      </c>
      <c r="I3293" s="5">
        <v>40.610130546666667</v>
      </c>
      <c r="J3293" s="5">
        <v>46.774391833569453</v>
      </c>
      <c r="K3293" s="5">
        <v>50</v>
      </c>
    </row>
    <row r="3294" spans="1:11" x14ac:dyDescent="0.25">
      <c r="A3294" s="2">
        <v>46234.625</v>
      </c>
      <c r="B3294" t="str">
        <f t="shared" si="102"/>
        <v>2026-07</v>
      </c>
      <c r="C3294" s="3">
        <f t="shared" si="103"/>
        <v>15</v>
      </c>
      <c r="D3294" s="4">
        <v>26.73785556965278</v>
      </c>
      <c r="E3294" s="4">
        <v>27.97165893378056</v>
      </c>
      <c r="F3294" s="4">
        <v>28.09351111590556</v>
      </c>
      <c r="G3294" s="4">
        <v>25.3</v>
      </c>
      <c r="H3294" s="5">
        <v>41.906339071058333</v>
      </c>
      <c r="I3294" s="5">
        <v>42.114357333363891</v>
      </c>
      <c r="J3294" s="5">
        <v>48.259332164955559</v>
      </c>
      <c r="K3294" s="5">
        <v>49</v>
      </c>
    </row>
    <row r="3295" spans="1:11" x14ac:dyDescent="0.25">
      <c r="A3295" s="2">
        <v>46234.666666666657</v>
      </c>
      <c r="B3295" t="str">
        <f t="shared" si="102"/>
        <v>2026-07</v>
      </c>
      <c r="C3295" s="3">
        <f t="shared" si="103"/>
        <v>16</v>
      </c>
      <c r="D3295" s="4">
        <v>26.69579964387778</v>
      </c>
      <c r="E3295" s="4">
        <v>27.847384296758332</v>
      </c>
      <c r="F3295" s="4">
        <v>27.980076880658331</v>
      </c>
      <c r="G3295" s="4">
        <v>25.3</v>
      </c>
      <c r="H3295" s="5">
        <v>41.820703285027783</v>
      </c>
      <c r="I3295" s="5">
        <v>45.343610035016667</v>
      </c>
      <c r="J3295" s="5">
        <v>53.496777821363892</v>
      </c>
      <c r="K3295" s="5">
        <v>49</v>
      </c>
    </row>
    <row r="3296" spans="1:11" x14ac:dyDescent="0.25">
      <c r="A3296" s="2">
        <v>46234.708333333343</v>
      </c>
      <c r="B3296" t="str">
        <f t="shared" si="102"/>
        <v>2026-07</v>
      </c>
      <c r="C3296" s="3">
        <f t="shared" si="103"/>
        <v>17</v>
      </c>
      <c r="D3296" s="4">
        <v>26.737963184191671</v>
      </c>
      <c r="E3296" s="4">
        <v>27.876182651922221</v>
      </c>
      <c r="F3296" s="4">
        <v>27.864580613763891</v>
      </c>
      <c r="G3296" s="4">
        <v>25</v>
      </c>
      <c r="H3296" s="5">
        <v>40.212252569063892</v>
      </c>
      <c r="I3296" s="5">
        <v>42.461532920352766</v>
      </c>
      <c r="J3296" s="5">
        <v>54.452257030461112</v>
      </c>
      <c r="K3296" s="5">
        <v>50</v>
      </c>
    </row>
    <row r="3297" spans="1:11" x14ac:dyDescent="0.25">
      <c r="A3297" s="2">
        <v>46234.75</v>
      </c>
      <c r="B3297" t="str">
        <f t="shared" si="102"/>
        <v>2026-07</v>
      </c>
      <c r="C3297" s="3">
        <f t="shared" si="103"/>
        <v>18</v>
      </c>
      <c r="D3297" s="4">
        <v>26.60196541683333</v>
      </c>
      <c r="E3297" s="4">
        <v>27.85623219767222</v>
      </c>
      <c r="F3297" s="4">
        <v>27.78472343173333</v>
      </c>
      <c r="G3297" s="4">
        <v>24.6</v>
      </c>
      <c r="H3297" s="5">
        <v>39.810504324124999</v>
      </c>
      <c r="I3297" s="5">
        <v>41.351413217725003</v>
      </c>
      <c r="J3297" s="5">
        <v>52.998523216691673</v>
      </c>
      <c r="K3297" s="5">
        <v>51</v>
      </c>
    </row>
    <row r="3298" spans="1:11" x14ac:dyDescent="0.25">
      <c r="A3298" s="2">
        <v>46234.791666666657</v>
      </c>
      <c r="B3298" t="str">
        <f t="shared" si="102"/>
        <v>2026-07</v>
      </c>
      <c r="C3298" s="3">
        <f t="shared" si="103"/>
        <v>19</v>
      </c>
      <c r="D3298" s="4">
        <v>26.308086389061099</v>
      </c>
      <c r="E3298" s="4">
        <v>27.815039441713889</v>
      </c>
      <c r="F3298" s="4">
        <v>27.718640995444449</v>
      </c>
      <c r="G3298" s="4">
        <v>23.5</v>
      </c>
      <c r="H3298" s="5">
        <v>40.161807662224987</v>
      </c>
      <c r="I3298" s="5">
        <v>41.018547425819442</v>
      </c>
      <c r="J3298" s="5">
        <v>50.462898286252774</v>
      </c>
      <c r="K3298" s="5">
        <v>60</v>
      </c>
    </row>
    <row r="3299" spans="1:11" x14ac:dyDescent="0.25">
      <c r="A3299" s="2">
        <v>46234.833333333343</v>
      </c>
      <c r="B3299" t="str">
        <f t="shared" si="102"/>
        <v>2026-07</v>
      </c>
      <c r="C3299" s="3">
        <f t="shared" si="103"/>
        <v>20</v>
      </c>
      <c r="D3299" s="4">
        <v>25.960256059999999</v>
      </c>
      <c r="E3299" s="4">
        <v>28.00819868478056</v>
      </c>
      <c r="F3299" s="4">
        <v>27.68452012795834</v>
      </c>
      <c r="G3299" s="4">
        <v>21.7</v>
      </c>
      <c r="H3299" s="5">
        <v>41.337797272825</v>
      </c>
      <c r="I3299" s="5">
        <v>40.128603359955562</v>
      </c>
      <c r="J3299" s="5">
        <v>49.825928402075</v>
      </c>
      <c r="K3299" s="5">
        <v>67</v>
      </c>
    </row>
    <row r="3300" spans="1:11" x14ac:dyDescent="0.25">
      <c r="A3300" s="2">
        <v>46234.875</v>
      </c>
      <c r="B3300" t="str">
        <f t="shared" si="102"/>
        <v>2026-07</v>
      </c>
      <c r="C3300" s="3">
        <f t="shared" si="103"/>
        <v>21</v>
      </c>
      <c r="D3300" s="4">
        <v>25.76243197795278</v>
      </c>
      <c r="E3300" s="4">
        <v>28.10936823799166</v>
      </c>
      <c r="F3300" s="4">
        <v>27.670087609244451</v>
      </c>
      <c r="G3300" s="4">
        <v>20.399999999999999</v>
      </c>
      <c r="H3300" s="5">
        <v>42.173546071563891</v>
      </c>
      <c r="I3300" s="5">
        <v>39.540591852755547</v>
      </c>
      <c r="J3300" s="5">
        <v>49.375042718188887</v>
      </c>
      <c r="K3300" s="5">
        <v>69</v>
      </c>
    </row>
    <row r="3301" spans="1:11" x14ac:dyDescent="0.25">
      <c r="A3301" s="2">
        <v>46234.916666666657</v>
      </c>
      <c r="B3301" t="str">
        <f t="shared" si="102"/>
        <v>2026-07</v>
      </c>
      <c r="C3301" s="3">
        <f t="shared" si="103"/>
        <v>22</v>
      </c>
      <c r="D3301" s="4">
        <v>24.906379938213892</v>
      </c>
      <c r="E3301" s="4">
        <v>27.69733226363056</v>
      </c>
      <c r="F3301" s="4">
        <v>27.589949061288891</v>
      </c>
      <c r="G3301" s="4">
        <v>19.5</v>
      </c>
      <c r="H3301" s="5">
        <v>44.714538719975003</v>
      </c>
      <c r="I3301" s="5">
        <v>42.224330457102781</v>
      </c>
      <c r="J3301" s="5">
        <v>51.174197540066658</v>
      </c>
      <c r="K3301" s="5">
        <v>72</v>
      </c>
    </row>
    <row r="3302" spans="1:11" x14ac:dyDescent="0.25">
      <c r="A3302" s="2">
        <v>46234.958333333343</v>
      </c>
      <c r="B3302" t="str">
        <f t="shared" si="102"/>
        <v>2026-07</v>
      </c>
      <c r="C3302" s="3">
        <f t="shared" si="103"/>
        <v>23</v>
      </c>
      <c r="D3302" s="4">
        <v>24.942578915461109</v>
      </c>
      <c r="E3302" s="4">
        <v>27.876229718638889</v>
      </c>
      <c r="F3302" s="4">
        <v>27.822036930397221</v>
      </c>
      <c r="G3302" s="4">
        <v>18.7</v>
      </c>
      <c r="H3302" s="5">
        <v>45.728754814052792</v>
      </c>
      <c r="I3302" s="5">
        <v>44.07112083511111</v>
      </c>
      <c r="J3302" s="5">
        <v>50.379801746925011</v>
      </c>
      <c r="K3302" s="5">
        <v>75</v>
      </c>
    </row>
    <row r="3303" spans="1:11" x14ac:dyDescent="0.25">
      <c r="A3303" s="2">
        <v>46235</v>
      </c>
      <c r="B3303" t="str">
        <f t="shared" si="102"/>
        <v>2026-08</v>
      </c>
      <c r="C3303" s="3">
        <f t="shared" si="103"/>
        <v>0</v>
      </c>
      <c r="D3303" s="4">
        <v>24.543465143708332</v>
      </c>
      <c r="E3303" s="4">
        <v>28.037049427858332</v>
      </c>
      <c r="F3303" s="4">
        <v>28.053792996163889</v>
      </c>
      <c r="G3303" s="4">
        <v>18</v>
      </c>
      <c r="H3303" s="5">
        <v>45.878678418183327</v>
      </c>
      <c r="I3303" s="5">
        <v>42.976081140625013</v>
      </c>
      <c r="J3303" s="5">
        <v>49.49836010566667</v>
      </c>
      <c r="K3303" s="5">
        <v>78</v>
      </c>
    </row>
    <row r="3304" spans="1:11" x14ac:dyDescent="0.25">
      <c r="A3304" s="2">
        <v>46235.041666666657</v>
      </c>
      <c r="B3304" t="str">
        <f t="shared" si="102"/>
        <v>2026-08</v>
      </c>
      <c r="C3304" s="3">
        <f t="shared" si="103"/>
        <v>1</v>
      </c>
      <c r="D3304" s="4">
        <v>24.162934247036109</v>
      </c>
      <c r="E3304" s="4">
        <v>27.89698972295556</v>
      </c>
      <c r="F3304" s="4">
        <v>28.139415145469439</v>
      </c>
      <c r="G3304" s="4">
        <v>17.3</v>
      </c>
      <c r="H3304" s="5">
        <v>46.541022500049998</v>
      </c>
      <c r="I3304" s="5">
        <v>42.648887228088888</v>
      </c>
      <c r="J3304" s="5">
        <v>49.071574123041671</v>
      </c>
      <c r="K3304" s="5">
        <v>81</v>
      </c>
    </row>
    <row r="3305" spans="1:11" x14ac:dyDescent="0.25">
      <c r="A3305" s="2">
        <v>46235.083333333343</v>
      </c>
      <c r="B3305" t="str">
        <f t="shared" si="102"/>
        <v>2026-08</v>
      </c>
      <c r="C3305" s="3">
        <f t="shared" si="103"/>
        <v>2</v>
      </c>
      <c r="D3305" s="4">
        <v>23.93750743935556</v>
      </c>
      <c r="E3305" s="4">
        <v>27.550253280063892</v>
      </c>
      <c r="F3305" s="4">
        <v>28.16369418069722</v>
      </c>
      <c r="G3305" s="4">
        <v>16.600000000000001</v>
      </c>
      <c r="H3305" s="5">
        <v>47.38539400997778</v>
      </c>
      <c r="I3305" s="5">
        <v>42.478039371605547</v>
      </c>
      <c r="J3305" s="5">
        <v>48.882896980841657</v>
      </c>
      <c r="K3305" s="5">
        <v>84</v>
      </c>
    </row>
    <row r="3306" spans="1:11" x14ac:dyDescent="0.25">
      <c r="A3306" s="2">
        <v>46235.125</v>
      </c>
      <c r="B3306" t="str">
        <f t="shared" si="102"/>
        <v>2026-08</v>
      </c>
      <c r="C3306" s="3">
        <f t="shared" si="103"/>
        <v>3</v>
      </c>
      <c r="D3306" s="4">
        <v>23.781708660719449</v>
      </c>
      <c r="E3306" s="4">
        <v>27.304824221491671</v>
      </c>
      <c r="F3306" s="4">
        <v>28.18775387668612</v>
      </c>
      <c r="G3306" s="4">
        <v>15.9</v>
      </c>
      <c r="H3306" s="5">
        <v>47.838163141533329</v>
      </c>
      <c r="I3306" s="5">
        <v>41.882810051258332</v>
      </c>
      <c r="J3306" s="5">
        <v>48.635314731613903</v>
      </c>
      <c r="K3306" s="5">
        <v>85</v>
      </c>
    </row>
    <row r="3307" spans="1:11" x14ac:dyDescent="0.25">
      <c r="A3307" s="2">
        <v>46235.166666666657</v>
      </c>
      <c r="B3307" t="str">
        <f t="shared" si="102"/>
        <v>2026-08</v>
      </c>
      <c r="C3307" s="3">
        <f t="shared" si="103"/>
        <v>4</v>
      </c>
      <c r="D3307" s="4">
        <v>23.552664327133328</v>
      </c>
      <c r="E3307" s="4">
        <v>27.19575684306389</v>
      </c>
      <c r="F3307" s="4">
        <v>28.202389517027779</v>
      </c>
      <c r="G3307" s="4">
        <v>15.4</v>
      </c>
      <c r="H3307" s="5">
        <v>48.17300906353055</v>
      </c>
      <c r="I3307" s="5">
        <v>41.60973278146389</v>
      </c>
      <c r="J3307" s="5">
        <v>48.423231010047218</v>
      </c>
      <c r="K3307" s="5">
        <v>87</v>
      </c>
    </row>
    <row r="3308" spans="1:11" x14ac:dyDescent="0.25">
      <c r="A3308" s="2">
        <v>46235.208333333343</v>
      </c>
      <c r="B3308" t="str">
        <f t="shared" si="102"/>
        <v>2026-08</v>
      </c>
      <c r="C3308" s="3">
        <f t="shared" si="103"/>
        <v>5</v>
      </c>
      <c r="D3308" s="4">
        <v>23.545438213375</v>
      </c>
      <c r="E3308" s="4">
        <v>26.533573282966671</v>
      </c>
      <c r="F3308" s="4">
        <v>28.214678562716671</v>
      </c>
      <c r="G3308" s="4">
        <v>15</v>
      </c>
      <c r="H3308" s="5">
        <v>48.133789071561097</v>
      </c>
      <c r="I3308" s="5">
        <v>42.599060379727781</v>
      </c>
      <c r="J3308" s="5">
        <v>48.228067849069447</v>
      </c>
      <c r="K3308" s="5">
        <v>88</v>
      </c>
    </row>
    <row r="3309" spans="1:11" x14ac:dyDescent="0.25">
      <c r="A3309" s="2">
        <v>46235.25</v>
      </c>
      <c r="B3309" t="str">
        <f t="shared" si="102"/>
        <v>2026-08</v>
      </c>
      <c r="C3309" s="3">
        <f t="shared" si="103"/>
        <v>6</v>
      </c>
      <c r="D3309" s="4">
        <v>24.528419281077781</v>
      </c>
      <c r="E3309" s="4">
        <v>26.888270311377781</v>
      </c>
      <c r="F3309" s="4">
        <v>28.24086515085277</v>
      </c>
      <c r="G3309" s="4">
        <v>15.3</v>
      </c>
      <c r="H3309" s="5">
        <v>45.663743950925003</v>
      </c>
      <c r="I3309" s="5">
        <v>42.468425841794442</v>
      </c>
      <c r="J3309" s="5">
        <v>48.064305618147223</v>
      </c>
      <c r="K3309" s="5">
        <v>87</v>
      </c>
    </row>
    <row r="3310" spans="1:11" x14ac:dyDescent="0.25">
      <c r="A3310" s="2">
        <v>46235.291666666657</v>
      </c>
      <c r="B3310" t="str">
        <f t="shared" si="102"/>
        <v>2026-08</v>
      </c>
      <c r="C3310" s="3">
        <f t="shared" si="103"/>
        <v>7</v>
      </c>
      <c r="D3310" s="4">
        <v>25.805464164149999</v>
      </c>
      <c r="E3310" s="4">
        <v>27.14928958520834</v>
      </c>
      <c r="F3310" s="4">
        <v>28.27326416498056</v>
      </c>
      <c r="G3310" s="4">
        <v>16.600000000000001</v>
      </c>
      <c r="H3310" s="5">
        <v>43.938234904552779</v>
      </c>
      <c r="I3310" s="5">
        <v>41.719986239863893</v>
      </c>
      <c r="J3310" s="5">
        <v>47.91033088907222</v>
      </c>
      <c r="K3310" s="5">
        <v>84</v>
      </c>
    </row>
    <row r="3311" spans="1:11" x14ac:dyDescent="0.25">
      <c r="A3311" s="2">
        <v>46235.333333333343</v>
      </c>
      <c r="B3311" t="str">
        <f t="shared" si="102"/>
        <v>2026-08</v>
      </c>
      <c r="C3311" s="3">
        <f t="shared" si="103"/>
        <v>8</v>
      </c>
      <c r="D3311" s="4">
        <v>26.769755255797222</v>
      </c>
      <c r="E3311" s="4">
        <v>27.825994265916659</v>
      </c>
      <c r="F3311" s="4">
        <v>28.31574628321944</v>
      </c>
      <c r="G3311" s="4">
        <v>18.600000000000001</v>
      </c>
      <c r="H3311" s="5">
        <v>44.035479024044442</v>
      </c>
      <c r="I3311" s="5">
        <v>42.376107913347219</v>
      </c>
      <c r="J3311" s="5">
        <v>47.819889427136111</v>
      </c>
      <c r="K3311" s="5">
        <v>78</v>
      </c>
    </row>
    <row r="3312" spans="1:11" x14ac:dyDescent="0.25">
      <c r="A3312" s="2">
        <v>46235.375</v>
      </c>
      <c r="B3312" t="str">
        <f t="shared" si="102"/>
        <v>2026-08</v>
      </c>
      <c r="C3312" s="3">
        <f t="shared" si="103"/>
        <v>9</v>
      </c>
      <c r="D3312" s="4">
        <v>27.45182119975</v>
      </c>
      <c r="E3312" s="4">
        <v>28.414547547180561</v>
      </c>
      <c r="F3312" s="4">
        <v>28.37453423328056</v>
      </c>
      <c r="G3312" s="4">
        <v>21.3</v>
      </c>
      <c r="H3312" s="5">
        <v>43.868747234700002</v>
      </c>
      <c r="I3312" s="5">
        <v>42.564525192952779</v>
      </c>
      <c r="J3312" s="5">
        <v>47.778600096563878</v>
      </c>
      <c r="K3312" s="5">
        <v>69</v>
      </c>
    </row>
    <row r="3313" spans="1:11" x14ac:dyDescent="0.25">
      <c r="A3313" s="2">
        <v>46235.416666666657</v>
      </c>
      <c r="B3313" t="str">
        <f t="shared" si="102"/>
        <v>2026-08</v>
      </c>
      <c r="C3313" s="3">
        <f t="shared" si="103"/>
        <v>10</v>
      </c>
      <c r="D3313" s="4">
        <v>27.555013552530561</v>
      </c>
      <c r="E3313" s="4">
        <v>28.570482762466671</v>
      </c>
      <c r="F3313" s="4">
        <v>28.428238305280559</v>
      </c>
      <c r="G3313" s="4">
        <v>23.4</v>
      </c>
      <c r="H3313" s="5">
        <v>42.7077231516</v>
      </c>
      <c r="I3313" s="5">
        <v>40.358325767197222</v>
      </c>
      <c r="J3313" s="5">
        <v>47.711090834463903</v>
      </c>
      <c r="K3313" s="5">
        <v>61</v>
      </c>
    </row>
    <row r="3314" spans="1:11" x14ac:dyDescent="0.25">
      <c r="A3314" s="2">
        <v>46235.458333333343</v>
      </c>
      <c r="B3314" t="str">
        <f t="shared" si="102"/>
        <v>2026-08</v>
      </c>
      <c r="C3314" s="3">
        <f t="shared" si="103"/>
        <v>11</v>
      </c>
      <c r="D3314" s="4">
        <v>27.55432272199722</v>
      </c>
      <c r="E3314" s="4">
        <v>28.788325896113889</v>
      </c>
      <c r="F3314" s="4">
        <v>28.476607398902772</v>
      </c>
      <c r="G3314" s="4">
        <v>24.6</v>
      </c>
      <c r="H3314" s="5">
        <v>41.600249445949999</v>
      </c>
      <c r="I3314" s="5">
        <v>40.686927644747222</v>
      </c>
      <c r="J3314" s="5">
        <v>47.630692140233329</v>
      </c>
      <c r="K3314" s="5">
        <v>48</v>
      </c>
    </row>
    <row r="3315" spans="1:11" x14ac:dyDescent="0.25">
      <c r="A3315" s="2">
        <v>46235.5</v>
      </c>
      <c r="B3315" t="str">
        <f t="shared" si="102"/>
        <v>2026-08</v>
      </c>
      <c r="C3315" s="3">
        <f t="shared" si="103"/>
        <v>12</v>
      </c>
      <c r="D3315" s="4">
        <v>27.520873914611109</v>
      </c>
      <c r="E3315" s="4">
        <v>28.305572550861111</v>
      </c>
      <c r="F3315" s="4">
        <v>28.56155921612778</v>
      </c>
      <c r="G3315" s="4">
        <v>25.2</v>
      </c>
      <c r="H3315" s="5">
        <v>41.255318982138888</v>
      </c>
      <c r="I3315" s="5">
        <v>43.288788200688892</v>
      </c>
      <c r="J3315" s="5">
        <v>47.981886226058343</v>
      </c>
      <c r="K3315" s="5">
        <v>47</v>
      </c>
    </row>
    <row r="3316" spans="1:11" x14ac:dyDescent="0.25">
      <c r="A3316" s="2">
        <v>46235.541666666657</v>
      </c>
      <c r="B3316" t="str">
        <f t="shared" si="102"/>
        <v>2026-08</v>
      </c>
      <c r="C3316" s="3">
        <f t="shared" si="103"/>
        <v>13</v>
      </c>
      <c r="D3316" s="4">
        <v>27.455238389508331</v>
      </c>
      <c r="E3316" s="4">
        <v>28.113962423863331</v>
      </c>
      <c r="F3316" s="4">
        <v>28.626468596369449</v>
      </c>
      <c r="G3316" s="4">
        <v>26</v>
      </c>
      <c r="H3316" s="5">
        <v>41.592902929669442</v>
      </c>
      <c r="I3316" s="5">
        <v>43.848696141536657</v>
      </c>
      <c r="J3316" s="5">
        <v>48.542221639127767</v>
      </c>
      <c r="K3316" s="5">
        <v>44</v>
      </c>
    </row>
    <row r="3317" spans="1:11" x14ac:dyDescent="0.25">
      <c r="A3317" s="2">
        <v>46235.583333333343</v>
      </c>
      <c r="B3317" t="str">
        <f t="shared" si="102"/>
        <v>2026-08</v>
      </c>
      <c r="C3317" s="3">
        <f t="shared" si="103"/>
        <v>14</v>
      </c>
      <c r="D3317" s="4">
        <v>27.389927133697221</v>
      </c>
      <c r="E3317" s="4"/>
      <c r="F3317" s="4">
        <v>28.63005064265278</v>
      </c>
      <c r="G3317" s="4">
        <v>26.5</v>
      </c>
      <c r="H3317" s="5">
        <v>38.507186088638889</v>
      </c>
      <c r="I3317" s="5"/>
      <c r="J3317" s="5">
        <v>48.254724745344447</v>
      </c>
      <c r="K3317" s="5">
        <v>41</v>
      </c>
    </row>
    <row r="3318" spans="1:11" x14ac:dyDescent="0.25">
      <c r="A3318" s="2">
        <v>46235.625</v>
      </c>
      <c r="B3318" t="str">
        <f t="shared" si="102"/>
        <v>2026-08</v>
      </c>
      <c r="C3318" s="3">
        <f t="shared" si="103"/>
        <v>15</v>
      </c>
      <c r="D3318" s="4">
        <v>27.419051117733328</v>
      </c>
      <c r="E3318" s="4"/>
      <c r="F3318" s="4">
        <v>28.640900812541659</v>
      </c>
      <c r="G3318" s="4">
        <v>27</v>
      </c>
      <c r="H3318" s="5">
        <v>38.720928153777777</v>
      </c>
      <c r="I3318" s="5"/>
      <c r="J3318" s="5">
        <v>47.954543718922217</v>
      </c>
      <c r="K3318" s="5">
        <v>41</v>
      </c>
    </row>
    <row r="3319" spans="1:11" x14ac:dyDescent="0.25">
      <c r="A3319" s="2">
        <v>46235.666666666657</v>
      </c>
      <c r="B3319" t="str">
        <f t="shared" si="102"/>
        <v>2026-08</v>
      </c>
      <c r="C3319" s="3">
        <f t="shared" si="103"/>
        <v>16</v>
      </c>
      <c r="D3319" s="4">
        <v>27.41684788975833</v>
      </c>
      <c r="E3319" s="4"/>
      <c r="F3319" s="4">
        <v>28.67140718174722</v>
      </c>
      <c r="G3319" s="4">
        <v>27.1</v>
      </c>
      <c r="H3319" s="5">
        <v>38.788051003244441</v>
      </c>
      <c r="I3319" s="5"/>
      <c r="J3319" s="5">
        <v>48.052102638116672</v>
      </c>
      <c r="K3319" s="5">
        <v>41</v>
      </c>
    </row>
    <row r="3320" spans="1:11" x14ac:dyDescent="0.25">
      <c r="A3320" s="2">
        <v>46235.708333333343</v>
      </c>
      <c r="B3320" t="str">
        <f t="shared" si="102"/>
        <v>2026-08</v>
      </c>
      <c r="C3320" s="3">
        <f t="shared" si="103"/>
        <v>17</v>
      </c>
      <c r="D3320" s="4">
        <v>27.326786307488891</v>
      </c>
      <c r="E3320" s="4"/>
      <c r="F3320" s="4">
        <v>28.661991923333328</v>
      </c>
      <c r="G3320" s="4">
        <v>26.9</v>
      </c>
      <c r="H3320" s="5">
        <v>37.089673499480561</v>
      </c>
      <c r="I3320" s="5"/>
      <c r="J3320" s="5">
        <v>47.748288675913891</v>
      </c>
      <c r="K3320" s="5">
        <v>42</v>
      </c>
    </row>
    <row r="3321" spans="1:11" x14ac:dyDescent="0.25">
      <c r="A3321" s="2">
        <v>46235.75</v>
      </c>
      <c r="B3321" t="str">
        <f t="shared" si="102"/>
        <v>2026-08</v>
      </c>
      <c r="C3321" s="3">
        <f t="shared" si="103"/>
        <v>18</v>
      </c>
      <c r="D3321" s="4">
        <v>27.362206916183339</v>
      </c>
      <c r="E3321" s="4"/>
      <c r="F3321" s="4">
        <v>28.68553157817222</v>
      </c>
      <c r="G3321" s="4">
        <v>26.4</v>
      </c>
      <c r="H3321" s="5">
        <v>39.281166965594451</v>
      </c>
      <c r="I3321" s="5"/>
      <c r="J3321" s="5">
        <v>47.519449032213878</v>
      </c>
      <c r="K3321" s="5">
        <v>44</v>
      </c>
    </row>
    <row r="3322" spans="1:11" x14ac:dyDescent="0.25">
      <c r="A3322" s="2">
        <v>46235.791666666657</v>
      </c>
      <c r="B3322" t="str">
        <f t="shared" si="102"/>
        <v>2026-08</v>
      </c>
      <c r="C3322" s="3">
        <f t="shared" si="103"/>
        <v>19</v>
      </c>
      <c r="D3322" s="4">
        <v>27.32089305385556</v>
      </c>
      <c r="E3322" s="4"/>
      <c r="F3322" s="4">
        <v>28.712917298727781</v>
      </c>
      <c r="G3322" s="4">
        <v>25.3</v>
      </c>
      <c r="H3322" s="5">
        <v>40.671223588224997</v>
      </c>
      <c r="I3322" s="5"/>
      <c r="J3322" s="5">
        <v>47.420674002263887</v>
      </c>
      <c r="K3322" s="5">
        <v>52</v>
      </c>
    </row>
    <row r="3323" spans="1:11" x14ac:dyDescent="0.25">
      <c r="A3323" s="2">
        <v>46235.833333333343</v>
      </c>
      <c r="B3323" t="str">
        <f t="shared" si="102"/>
        <v>2026-08</v>
      </c>
      <c r="C3323" s="3">
        <f t="shared" si="103"/>
        <v>20</v>
      </c>
      <c r="D3323" s="4">
        <v>26.910503259330561</v>
      </c>
      <c r="E3323" s="4"/>
      <c r="F3323" s="4">
        <v>28.739281794852779</v>
      </c>
      <c r="G3323" s="4">
        <v>23.4</v>
      </c>
      <c r="H3323" s="5">
        <v>42.917933085783339</v>
      </c>
      <c r="I3323" s="5"/>
      <c r="J3323" s="5">
        <v>48.20073715039166</v>
      </c>
      <c r="K3323" s="5">
        <v>63</v>
      </c>
    </row>
    <row r="3324" spans="1:11" x14ac:dyDescent="0.25">
      <c r="A3324" s="2">
        <v>46235.875</v>
      </c>
      <c r="B3324" t="str">
        <f t="shared" si="102"/>
        <v>2026-08</v>
      </c>
      <c r="C3324" s="3">
        <f t="shared" si="103"/>
        <v>21</v>
      </c>
      <c r="D3324" s="4">
        <v>26.542982287705559</v>
      </c>
      <c r="E3324" s="4"/>
      <c r="F3324" s="4">
        <v>28.732676259011111</v>
      </c>
      <c r="G3324" s="4">
        <v>21.9</v>
      </c>
      <c r="H3324" s="5">
        <v>43.956166389594443</v>
      </c>
      <c r="I3324" s="5"/>
      <c r="J3324" s="5">
        <v>47.964616544033333</v>
      </c>
      <c r="K3324" s="5">
        <v>68</v>
      </c>
    </row>
    <row r="3325" spans="1:11" x14ac:dyDescent="0.25">
      <c r="A3325" s="2">
        <v>46235.916666666657</v>
      </c>
      <c r="B3325" t="str">
        <f t="shared" si="102"/>
        <v>2026-08</v>
      </c>
      <c r="C3325" s="3">
        <f t="shared" si="103"/>
        <v>22</v>
      </c>
      <c r="D3325" s="4">
        <v>26.299588608044441</v>
      </c>
      <c r="E3325" s="4"/>
      <c r="F3325" s="4">
        <v>28.727254756927781</v>
      </c>
      <c r="G3325" s="4">
        <v>21</v>
      </c>
      <c r="H3325" s="5">
        <v>44.894971739822218</v>
      </c>
      <c r="I3325" s="5"/>
      <c r="J3325" s="5">
        <v>47.841182466908329</v>
      </c>
      <c r="K3325" s="5">
        <v>73</v>
      </c>
    </row>
    <row r="3326" spans="1:11" x14ac:dyDescent="0.25">
      <c r="A3326" s="2">
        <v>46235.958333333343</v>
      </c>
      <c r="B3326" t="str">
        <f t="shared" si="102"/>
        <v>2026-08</v>
      </c>
      <c r="C3326" s="3">
        <f t="shared" si="103"/>
        <v>23</v>
      </c>
      <c r="D3326" s="4">
        <v>25.994207920477781</v>
      </c>
      <c r="E3326" s="4"/>
      <c r="F3326" s="4">
        <v>28.71892321213333</v>
      </c>
      <c r="G3326" s="4">
        <v>20.3</v>
      </c>
      <c r="H3326" s="5">
        <v>44.225546043397223</v>
      </c>
      <c r="I3326" s="5"/>
      <c r="J3326" s="5">
        <v>47.727288935816667</v>
      </c>
      <c r="K3326" s="5">
        <v>76</v>
      </c>
    </row>
    <row r="3327" spans="1:11" x14ac:dyDescent="0.25">
      <c r="A3327" s="2">
        <v>46236</v>
      </c>
      <c r="B3327" t="str">
        <f t="shared" si="102"/>
        <v>2026-08</v>
      </c>
      <c r="C3327" s="3">
        <f t="shared" si="103"/>
        <v>0</v>
      </c>
      <c r="D3327" s="4">
        <v>25.978673681511111</v>
      </c>
      <c r="E3327" s="4"/>
      <c r="F3327" s="4">
        <v>28.707200798302779</v>
      </c>
      <c r="G3327" s="4">
        <v>19.600000000000001</v>
      </c>
      <c r="H3327" s="5">
        <v>44.07158130380278</v>
      </c>
      <c r="I3327" s="5"/>
      <c r="J3327" s="5">
        <v>47.577838250830553</v>
      </c>
      <c r="K3327" s="5">
        <v>78</v>
      </c>
    </row>
    <row r="3328" spans="1:11" x14ac:dyDescent="0.25">
      <c r="A3328" s="2">
        <v>46236.041666666657</v>
      </c>
      <c r="B3328" t="str">
        <f t="shared" si="102"/>
        <v>2026-08</v>
      </c>
      <c r="C3328" s="3">
        <f t="shared" si="103"/>
        <v>1</v>
      </c>
      <c r="D3328" s="4">
        <v>25.79709637801389</v>
      </c>
      <c r="E3328" s="4"/>
      <c r="F3328" s="4">
        <v>28.696458141952771</v>
      </c>
      <c r="G3328" s="4">
        <v>19.3</v>
      </c>
      <c r="H3328" s="5">
        <v>43.968206800224998</v>
      </c>
      <c r="I3328" s="5"/>
      <c r="J3328" s="5">
        <v>47.446710329680549</v>
      </c>
      <c r="K3328" s="5">
        <v>77</v>
      </c>
    </row>
    <row r="3329" spans="1:11" x14ac:dyDescent="0.25">
      <c r="A3329" s="2">
        <v>46236.083333333343</v>
      </c>
      <c r="B3329" t="str">
        <f t="shared" si="102"/>
        <v>2026-08</v>
      </c>
      <c r="C3329" s="3">
        <f t="shared" si="103"/>
        <v>2</v>
      </c>
      <c r="D3329" s="4">
        <v>25.704305498311111</v>
      </c>
      <c r="E3329" s="4"/>
      <c r="F3329" s="4">
        <v>28.676855508827781</v>
      </c>
      <c r="G3329" s="4">
        <v>19</v>
      </c>
      <c r="H3329" s="5">
        <v>42.575732426633337</v>
      </c>
      <c r="I3329" s="5"/>
      <c r="J3329" s="5">
        <v>47.315003752780562</v>
      </c>
      <c r="K3329" s="5">
        <v>76</v>
      </c>
    </row>
    <row r="3330" spans="1:11" x14ac:dyDescent="0.25">
      <c r="A3330" s="2">
        <v>46236.125</v>
      </c>
      <c r="B3330" t="str">
        <f t="shared" ref="B3330:B3393" si="104">TEXT(A3330,"yyyy-mm")</f>
        <v>2026-08</v>
      </c>
      <c r="C3330" s="3">
        <f t="shared" ref="C3330:C3393" si="105">HOUR(A3330)</f>
        <v>3</v>
      </c>
      <c r="D3330" s="4">
        <v>25.368823472283331</v>
      </c>
      <c r="E3330" s="4"/>
      <c r="F3330" s="4">
        <v>28.49704408191112</v>
      </c>
      <c r="G3330" s="4">
        <v>17.899999999999999</v>
      </c>
      <c r="H3330" s="5">
        <v>43.211211707713893</v>
      </c>
      <c r="I3330" s="5"/>
      <c r="J3330" s="5">
        <v>47.090201407294451</v>
      </c>
      <c r="K3330" s="5">
        <v>79</v>
      </c>
    </row>
    <row r="3331" spans="1:11" x14ac:dyDescent="0.25">
      <c r="A3331" s="2">
        <v>46236.166666666657</v>
      </c>
      <c r="B3331" t="str">
        <f t="shared" si="104"/>
        <v>2026-08</v>
      </c>
      <c r="C3331" s="3">
        <f t="shared" si="105"/>
        <v>4</v>
      </c>
      <c r="D3331" s="4">
        <v>24.72687617278056</v>
      </c>
      <c r="E3331" s="4"/>
      <c r="F3331" s="4">
        <v>28.471227748166669</v>
      </c>
      <c r="G3331" s="4">
        <v>17.100000000000001</v>
      </c>
      <c r="H3331" s="5">
        <v>45.413704015924999</v>
      </c>
      <c r="I3331" s="5"/>
      <c r="J3331" s="5">
        <v>47.116521960124999</v>
      </c>
      <c r="K3331" s="5">
        <v>84</v>
      </c>
    </row>
    <row r="3332" spans="1:11" x14ac:dyDescent="0.25">
      <c r="A3332" s="2">
        <v>46236.208333333343</v>
      </c>
      <c r="B3332" t="str">
        <f t="shared" si="104"/>
        <v>2026-08</v>
      </c>
      <c r="C3332" s="3">
        <f t="shared" si="105"/>
        <v>5</v>
      </c>
      <c r="D3332" s="4">
        <v>24.27493581601389</v>
      </c>
      <c r="E3332" s="4"/>
      <c r="F3332" s="4">
        <v>28.54012185468611</v>
      </c>
      <c r="G3332" s="4">
        <v>16.600000000000001</v>
      </c>
      <c r="H3332" s="5">
        <v>47.597199683538889</v>
      </c>
      <c r="I3332" s="5"/>
      <c r="J3332" s="5">
        <v>47.047121479144451</v>
      </c>
      <c r="K3332" s="5">
        <v>86</v>
      </c>
    </row>
    <row r="3333" spans="1:11" x14ac:dyDescent="0.25">
      <c r="A3333" s="2">
        <v>46236.25</v>
      </c>
      <c r="B3333" t="str">
        <f t="shared" si="104"/>
        <v>2026-08</v>
      </c>
      <c r="C3333" s="3">
        <f t="shared" si="105"/>
        <v>6</v>
      </c>
      <c r="D3333" s="4">
        <v>25.404473621400001</v>
      </c>
      <c r="E3333" s="4"/>
      <c r="F3333" s="4">
        <v>28.549769528494451</v>
      </c>
      <c r="G3333" s="4">
        <v>17.2</v>
      </c>
      <c r="H3333" s="5">
        <v>45.15490900687778</v>
      </c>
      <c r="I3333" s="5"/>
      <c r="J3333" s="5">
        <v>47.060187322338891</v>
      </c>
      <c r="K3333" s="5">
        <v>84</v>
      </c>
    </row>
    <row r="3334" spans="1:11" x14ac:dyDescent="0.25">
      <c r="A3334" s="2">
        <v>46236.291666666657</v>
      </c>
      <c r="B3334" t="str">
        <f t="shared" si="104"/>
        <v>2026-08</v>
      </c>
      <c r="C3334" s="3">
        <f t="shared" si="105"/>
        <v>7</v>
      </c>
      <c r="D3334" s="4">
        <v>26.660355833813892</v>
      </c>
      <c r="E3334" s="4"/>
      <c r="F3334" s="4">
        <v>28.576353607036111</v>
      </c>
      <c r="G3334" s="4">
        <v>18.7</v>
      </c>
      <c r="H3334" s="5">
        <v>43.219748933836122</v>
      </c>
      <c r="I3334" s="5"/>
      <c r="J3334" s="5">
        <v>47.088040501708342</v>
      </c>
      <c r="K3334" s="5">
        <v>80</v>
      </c>
    </row>
    <row r="3335" spans="1:11" x14ac:dyDescent="0.25">
      <c r="A3335" s="2">
        <v>46236.333333333343</v>
      </c>
      <c r="B3335" t="str">
        <f t="shared" si="104"/>
        <v>2026-08</v>
      </c>
      <c r="C3335" s="3">
        <f t="shared" si="105"/>
        <v>8</v>
      </c>
      <c r="D3335" s="4">
        <v>27.50947614125834</v>
      </c>
      <c r="E3335" s="4"/>
      <c r="F3335" s="4">
        <v>28.611088525002781</v>
      </c>
      <c r="G3335" s="4">
        <v>20.7</v>
      </c>
      <c r="H3335" s="5">
        <v>42.869791079063887</v>
      </c>
      <c r="I3335" s="5"/>
      <c r="J3335" s="5">
        <v>47.211220483641682</v>
      </c>
      <c r="K3335" s="5">
        <v>74</v>
      </c>
    </row>
    <row r="3336" spans="1:11" x14ac:dyDescent="0.25">
      <c r="A3336" s="2">
        <v>46236.375</v>
      </c>
      <c r="B3336" t="str">
        <f t="shared" si="104"/>
        <v>2026-08</v>
      </c>
      <c r="C3336" s="3">
        <f t="shared" si="105"/>
        <v>9</v>
      </c>
      <c r="D3336" s="4">
        <v>27.938486462172222</v>
      </c>
      <c r="E3336" s="4"/>
      <c r="F3336" s="4">
        <v>28.691439640505561</v>
      </c>
      <c r="G3336" s="4">
        <v>23.3</v>
      </c>
      <c r="H3336" s="5">
        <v>42.591211225252778</v>
      </c>
      <c r="I3336" s="5"/>
      <c r="J3336" s="5">
        <v>47.309962123580561</v>
      </c>
      <c r="K3336" s="5">
        <v>66</v>
      </c>
    </row>
    <row r="3337" spans="1:11" x14ac:dyDescent="0.25">
      <c r="A3337" s="2">
        <v>46236.416666666657</v>
      </c>
      <c r="B3337" t="str">
        <f t="shared" si="104"/>
        <v>2026-08</v>
      </c>
      <c r="C3337" s="3">
        <f t="shared" si="105"/>
        <v>10</v>
      </c>
      <c r="D3337" s="4">
        <v>27.897591957944449</v>
      </c>
      <c r="E3337" s="4"/>
      <c r="F3337" s="4">
        <v>28.756494720688892</v>
      </c>
      <c r="G3337" s="4">
        <v>25.4</v>
      </c>
      <c r="H3337" s="5">
        <v>42.520470343744442</v>
      </c>
      <c r="I3337" s="5"/>
      <c r="J3337" s="5">
        <v>47.252669230333332</v>
      </c>
      <c r="K3337" s="5">
        <v>57</v>
      </c>
    </row>
    <row r="3338" spans="1:11" x14ac:dyDescent="0.25">
      <c r="A3338" s="2">
        <v>46236.458333333343</v>
      </c>
      <c r="B3338" t="str">
        <f t="shared" si="104"/>
        <v>2026-08</v>
      </c>
      <c r="C3338" s="3">
        <f t="shared" si="105"/>
        <v>11</v>
      </c>
      <c r="D3338" s="4">
        <v>27.79464498736667</v>
      </c>
      <c r="E3338" s="4"/>
      <c r="F3338" s="4">
        <v>28.74738888663056</v>
      </c>
      <c r="G3338" s="4">
        <v>26.8</v>
      </c>
      <c r="H3338" s="5">
        <v>41.838864156627778</v>
      </c>
      <c r="I3338" s="5"/>
      <c r="J3338" s="5">
        <v>47.230394778144444</v>
      </c>
      <c r="K3338" s="5">
        <v>45</v>
      </c>
    </row>
    <row r="3339" spans="1:11" x14ac:dyDescent="0.25">
      <c r="A3339" s="2">
        <v>46236.5</v>
      </c>
      <c r="B3339" t="str">
        <f t="shared" si="104"/>
        <v>2026-08</v>
      </c>
      <c r="C3339" s="3">
        <f t="shared" si="105"/>
        <v>12</v>
      </c>
      <c r="D3339" s="4">
        <v>27.736515595388891</v>
      </c>
      <c r="E3339" s="4"/>
      <c r="F3339" s="4">
        <v>28.775422060705552</v>
      </c>
      <c r="G3339" s="4">
        <v>27.6</v>
      </c>
      <c r="H3339" s="5">
        <v>40.424977779466673</v>
      </c>
      <c r="I3339" s="5"/>
      <c r="J3339" s="5">
        <v>47.157802549055553</v>
      </c>
      <c r="K3339" s="5">
        <v>43</v>
      </c>
    </row>
    <row r="3340" spans="1:11" x14ac:dyDescent="0.25">
      <c r="A3340" s="2">
        <v>46236.541666666657</v>
      </c>
      <c r="B3340" t="str">
        <f t="shared" si="104"/>
        <v>2026-08</v>
      </c>
      <c r="C3340" s="3">
        <f t="shared" si="105"/>
        <v>13</v>
      </c>
      <c r="D3340" s="4">
        <v>27.69021573568056</v>
      </c>
      <c r="E3340" s="4"/>
      <c r="F3340" s="4">
        <v>28.784062922788891</v>
      </c>
      <c r="G3340" s="4">
        <v>28.2</v>
      </c>
      <c r="H3340" s="5">
        <v>39.645682875347227</v>
      </c>
      <c r="I3340" s="5"/>
      <c r="J3340" s="5">
        <v>47.158838704580553</v>
      </c>
      <c r="K3340" s="5">
        <v>42</v>
      </c>
    </row>
    <row r="3341" spans="1:11" x14ac:dyDescent="0.25">
      <c r="A3341" s="2">
        <v>46236.583333333343</v>
      </c>
      <c r="B3341" t="str">
        <f t="shared" si="104"/>
        <v>2026-08</v>
      </c>
      <c r="C3341" s="3">
        <f t="shared" si="105"/>
        <v>14</v>
      </c>
      <c r="D3341" s="4">
        <v>27.559278319336109</v>
      </c>
      <c r="E3341" s="4"/>
      <c r="F3341" s="4">
        <v>28.78338149716112</v>
      </c>
      <c r="G3341" s="4">
        <v>28.7</v>
      </c>
      <c r="H3341" s="5">
        <v>39.7768106694</v>
      </c>
      <c r="I3341" s="5"/>
      <c r="J3341" s="5">
        <v>47.089125665799997</v>
      </c>
      <c r="K3341" s="5">
        <v>41</v>
      </c>
    </row>
    <row r="3342" spans="1:11" x14ac:dyDescent="0.25">
      <c r="A3342" s="2">
        <v>46236.625</v>
      </c>
      <c r="B3342" t="str">
        <f t="shared" si="104"/>
        <v>2026-08</v>
      </c>
      <c r="C3342" s="3">
        <f t="shared" si="105"/>
        <v>15</v>
      </c>
      <c r="D3342" s="4">
        <v>27.571578104952781</v>
      </c>
      <c r="E3342" s="4"/>
      <c r="F3342" s="4">
        <v>28.81621178874444</v>
      </c>
      <c r="G3342" s="4">
        <v>29.5</v>
      </c>
      <c r="H3342" s="5">
        <v>39.420457566372221</v>
      </c>
      <c r="I3342" s="5"/>
      <c r="J3342" s="5">
        <v>47.146883852572223</v>
      </c>
      <c r="K3342" s="5">
        <v>39</v>
      </c>
    </row>
    <row r="3343" spans="1:11" x14ac:dyDescent="0.25">
      <c r="A3343" s="2">
        <v>46236.666666666657</v>
      </c>
      <c r="B3343" t="str">
        <f t="shared" si="104"/>
        <v>2026-08</v>
      </c>
      <c r="C3343" s="3">
        <f t="shared" si="105"/>
        <v>16</v>
      </c>
      <c r="D3343" s="4">
        <v>27.761228114255559</v>
      </c>
      <c r="E3343" s="4"/>
      <c r="F3343" s="4">
        <v>28.802325852405559</v>
      </c>
      <c r="G3343" s="4">
        <v>29.8</v>
      </c>
      <c r="H3343" s="5">
        <v>38.941933292250013</v>
      </c>
      <c r="I3343" s="5"/>
      <c r="J3343" s="5">
        <v>47.165723775033342</v>
      </c>
      <c r="K3343" s="5">
        <v>40</v>
      </c>
    </row>
    <row r="3344" spans="1:11" x14ac:dyDescent="0.25">
      <c r="A3344" s="2">
        <v>46236.708333333343</v>
      </c>
      <c r="B3344" t="str">
        <f t="shared" si="104"/>
        <v>2026-08</v>
      </c>
      <c r="C3344" s="3">
        <f t="shared" si="105"/>
        <v>17</v>
      </c>
      <c r="D3344" s="4">
        <v>28.00749373396112</v>
      </c>
      <c r="E3344" s="4"/>
      <c r="F3344" s="4">
        <v>28.840734946824998</v>
      </c>
      <c r="G3344" s="4">
        <v>29.6</v>
      </c>
      <c r="H3344" s="5">
        <v>38.601533018363888</v>
      </c>
      <c r="I3344" s="5"/>
      <c r="J3344" s="5">
        <v>47.003522774080558</v>
      </c>
      <c r="K3344" s="5">
        <v>41</v>
      </c>
    </row>
    <row r="3345" spans="1:11" x14ac:dyDescent="0.25">
      <c r="A3345" s="2">
        <v>46236.75</v>
      </c>
      <c r="B3345" t="str">
        <f t="shared" si="104"/>
        <v>2026-08</v>
      </c>
      <c r="C3345" s="3">
        <f t="shared" si="105"/>
        <v>18</v>
      </c>
      <c r="D3345" s="4">
        <v>28.041649449394441</v>
      </c>
      <c r="E3345" s="4"/>
      <c r="F3345" s="4">
        <v>28.88855576201389</v>
      </c>
      <c r="G3345" s="4">
        <v>29.1</v>
      </c>
      <c r="H3345" s="5">
        <v>38.471939123974998</v>
      </c>
      <c r="I3345" s="5"/>
      <c r="J3345" s="5">
        <v>47.187573280194442</v>
      </c>
      <c r="K3345" s="5">
        <v>42</v>
      </c>
    </row>
    <row r="3346" spans="1:11" x14ac:dyDescent="0.25">
      <c r="A3346" s="2">
        <v>46236.791666666657</v>
      </c>
      <c r="B3346" t="str">
        <f t="shared" si="104"/>
        <v>2026-08</v>
      </c>
      <c r="C3346" s="3">
        <f t="shared" si="105"/>
        <v>19</v>
      </c>
      <c r="D3346" s="4">
        <v>28.048334067038891</v>
      </c>
      <c r="E3346" s="4"/>
      <c r="F3346" s="4">
        <v>28.92616677100278</v>
      </c>
      <c r="G3346" s="4">
        <v>28.2</v>
      </c>
      <c r="H3346" s="5">
        <v>40.504423418611111</v>
      </c>
      <c r="I3346" s="5"/>
      <c r="J3346" s="5">
        <v>47.128281360561111</v>
      </c>
      <c r="K3346" s="5">
        <v>48</v>
      </c>
    </row>
    <row r="3347" spans="1:11" x14ac:dyDescent="0.25">
      <c r="A3347" s="2">
        <v>46236.833333333343</v>
      </c>
      <c r="B3347" t="str">
        <f t="shared" si="104"/>
        <v>2026-08</v>
      </c>
      <c r="C3347" s="3">
        <f t="shared" si="105"/>
        <v>20</v>
      </c>
      <c r="D3347" s="4">
        <v>27.93991716788333</v>
      </c>
      <c r="E3347" s="4"/>
      <c r="F3347" s="4">
        <v>28.995687785508331</v>
      </c>
      <c r="G3347" s="4">
        <v>26.4</v>
      </c>
      <c r="H3347" s="5">
        <v>42.731117575474997</v>
      </c>
      <c r="I3347" s="5"/>
      <c r="J3347" s="5">
        <v>47.29636011088612</v>
      </c>
      <c r="K3347" s="5">
        <v>61</v>
      </c>
    </row>
    <row r="3348" spans="1:11" x14ac:dyDescent="0.25">
      <c r="A3348" s="2">
        <v>46236.875</v>
      </c>
      <c r="B3348" t="str">
        <f t="shared" si="104"/>
        <v>2026-08</v>
      </c>
      <c r="C3348" s="3">
        <f t="shared" si="105"/>
        <v>21</v>
      </c>
      <c r="D3348" s="4">
        <v>27.60105808580278</v>
      </c>
      <c r="E3348" s="4"/>
      <c r="F3348" s="4">
        <v>29.024699481066669</v>
      </c>
      <c r="G3348" s="4">
        <v>24.7</v>
      </c>
      <c r="H3348" s="5">
        <v>44.195804878386113</v>
      </c>
      <c r="I3348" s="5"/>
      <c r="J3348" s="5">
        <v>47.554039402775011</v>
      </c>
      <c r="K3348" s="5">
        <v>60</v>
      </c>
    </row>
    <row r="3349" spans="1:11" x14ac:dyDescent="0.25">
      <c r="A3349" s="2">
        <v>46236.916666666657</v>
      </c>
      <c r="B3349" t="str">
        <f t="shared" si="104"/>
        <v>2026-08</v>
      </c>
      <c r="C3349" s="3">
        <f t="shared" si="105"/>
        <v>22</v>
      </c>
      <c r="D3349" s="4">
        <v>27.393095721841661</v>
      </c>
      <c r="E3349" s="4"/>
      <c r="F3349" s="4">
        <v>29.00645637401945</v>
      </c>
      <c r="G3349" s="4">
        <v>24.2</v>
      </c>
      <c r="H3349" s="5">
        <v>44.365657804847217</v>
      </c>
      <c r="I3349" s="5"/>
      <c r="J3349" s="5">
        <v>47.451166471461107</v>
      </c>
      <c r="K3349" s="5">
        <v>58</v>
      </c>
    </row>
    <row r="3350" spans="1:11" x14ac:dyDescent="0.25">
      <c r="A3350" s="2">
        <v>46236.958333333343</v>
      </c>
      <c r="B3350" t="str">
        <f t="shared" si="104"/>
        <v>2026-08</v>
      </c>
      <c r="C3350" s="3">
        <f t="shared" si="105"/>
        <v>23</v>
      </c>
      <c r="D3350" s="4">
        <v>27.212027911869441</v>
      </c>
      <c r="E3350" s="4"/>
      <c r="F3350" s="4">
        <v>29.016400827275</v>
      </c>
      <c r="G3350" s="4">
        <v>23.4</v>
      </c>
      <c r="H3350" s="5">
        <v>43.517199589480562</v>
      </c>
      <c r="I3350" s="5"/>
      <c r="J3350" s="5">
        <v>47.377148601341673</v>
      </c>
      <c r="K3350" s="5">
        <v>62</v>
      </c>
    </row>
    <row r="3351" spans="1:11" x14ac:dyDescent="0.25">
      <c r="A3351" s="2">
        <v>46237</v>
      </c>
      <c r="B3351" t="str">
        <f t="shared" si="104"/>
        <v>2026-08</v>
      </c>
      <c r="C3351" s="3">
        <f t="shared" si="105"/>
        <v>0</v>
      </c>
      <c r="D3351" s="4">
        <v>26.908661854213889</v>
      </c>
      <c r="E3351" s="4"/>
      <c r="F3351" s="4">
        <v>28.99078252023056</v>
      </c>
      <c r="G3351" s="4">
        <v>22.1</v>
      </c>
      <c r="H3351" s="5">
        <v>43.343839272263892</v>
      </c>
      <c r="I3351" s="5"/>
      <c r="J3351" s="5">
        <v>47.650433931055552</v>
      </c>
      <c r="K3351" s="5">
        <v>67</v>
      </c>
    </row>
    <row r="3352" spans="1:11" x14ac:dyDescent="0.25">
      <c r="A3352" s="2">
        <v>46237.041666666657</v>
      </c>
      <c r="B3352" t="str">
        <f t="shared" si="104"/>
        <v>2026-08</v>
      </c>
      <c r="C3352" s="3">
        <f t="shared" si="105"/>
        <v>1</v>
      </c>
      <c r="D3352" s="4">
        <v>26.419263247597229</v>
      </c>
      <c r="E3352" s="4"/>
      <c r="F3352" s="4">
        <v>28.98166682482222</v>
      </c>
      <c r="G3352" s="4">
        <v>21.2</v>
      </c>
      <c r="H3352" s="5">
        <v>44.246164995949997</v>
      </c>
      <c r="I3352" s="5"/>
      <c r="J3352" s="5">
        <v>47.544509482616668</v>
      </c>
      <c r="K3352" s="5">
        <v>72</v>
      </c>
    </row>
    <row r="3353" spans="1:11" x14ac:dyDescent="0.25">
      <c r="A3353" s="2">
        <v>46237.083333333343</v>
      </c>
      <c r="B3353" t="str">
        <f t="shared" si="104"/>
        <v>2026-08</v>
      </c>
      <c r="C3353" s="3">
        <f t="shared" si="105"/>
        <v>2</v>
      </c>
      <c r="D3353" s="4">
        <v>26.133238481863891</v>
      </c>
      <c r="E3353" s="4"/>
      <c r="F3353" s="4">
        <v>28.97481285540556</v>
      </c>
      <c r="G3353" s="4">
        <v>20.6</v>
      </c>
      <c r="H3353" s="5">
        <v>44.92374603501667</v>
      </c>
      <c r="I3353" s="5"/>
      <c r="J3353" s="5">
        <v>47.457151227202779</v>
      </c>
      <c r="K3353" s="5">
        <v>74</v>
      </c>
    </row>
    <row r="3354" spans="1:11" x14ac:dyDescent="0.25">
      <c r="A3354" s="2">
        <v>46237.125</v>
      </c>
      <c r="B3354" t="str">
        <f t="shared" si="104"/>
        <v>2026-08</v>
      </c>
      <c r="C3354" s="3">
        <f t="shared" si="105"/>
        <v>3</v>
      </c>
      <c r="D3354" s="4">
        <v>26.151290024291669</v>
      </c>
      <c r="E3354" s="4"/>
      <c r="F3354" s="4">
        <v>28.957923224575001</v>
      </c>
      <c r="G3354" s="4">
        <v>19</v>
      </c>
      <c r="H3354" s="5">
        <v>44.402544931374997</v>
      </c>
      <c r="I3354" s="5"/>
      <c r="J3354" s="5">
        <v>47.394492292544442</v>
      </c>
      <c r="K3354" s="5">
        <v>82</v>
      </c>
    </row>
    <row r="3355" spans="1:11" x14ac:dyDescent="0.25">
      <c r="A3355" s="2">
        <v>46237.166666666657</v>
      </c>
      <c r="B3355" t="str">
        <f t="shared" si="104"/>
        <v>2026-08</v>
      </c>
      <c r="C3355" s="3">
        <f t="shared" si="105"/>
        <v>4</v>
      </c>
      <c r="D3355" s="4">
        <v>25.861383684608331</v>
      </c>
      <c r="E3355" s="4"/>
      <c r="F3355" s="4">
        <v>28.946399013716668</v>
      </c>
      <c r="G3355" s="4">
        <v>18.7</v>
      </c>
      <c r="H3355" s="5">
        <v>44.730928852533339</v>
      </c>
      <c r="I3355" s="5"/>
      <c r="J3355" s="5">
        <v>47.299325144397223</v>
      </c>
      <c r="K3355" s="5">
        <v>83</v>
      </c>
    </row>
    <row r="3356" spans="1:11" x14ac:dyDescent="0.25">
      <c r="A3356" s="2">
        <v>46237.208333333343</v>
      </c>
      <c r="B3356" t="str">
        <f t="shared" si="104"/>
        <v>2026-08</v>
      </c>
      <c r="C3356" s="3">
        <f t="shared" si="105"/>
        <v>5</v>
      </c>
      <c r="D3356" s="4">
        <v>25.58808916655833</v>
      </c>
      <c r="E3356" s="4"/>
      <c r="F3356" s="4">
        <v>28.932063046344439</v>
      </c>
      <c r="G3356" s="4">
        <v>18.2</v>
      </c>
      <c r="H3356" s="5">
        <v>46.187627888824998</v>
      </c>
      <c r="I3356" s="5"/>
      <c r="J3356" s="5">
        <v>47.271371041755557</v>
      </c>
      <c r="K3356" s="5">
        <v>85</v>
      </c>
    </row>
    <row r="3357" spans="1:11" x14ac:dyDescent="0.25">
      <c r="A3357" s="2">
        <v>46237.25</v>
      </c>
      <c r="B3357" t="str">
        <f t="shared" si="104"/>
        <v>2026-08</v>
      </c>
      <c r="C3357" s="3">
        <f t="shared" si="105"/>
        <v>6</v>
      </c>
      <c r="D3357" s="4">
        <v>26.542035702425</v>
      </c>
      <c r="E3357" s="4"/>
      <c r="F3357" s="4">
        <v>28.930565703963889</v>
      </c>
      <c r="G3357" s="4">
        <v>18.600000000000001</v>
      </c>
      <c r="H3357" s="5">
        <v>45.191712441822233</v>
      </c>
      <c r="I3357" s="5"/>
      <c r="J3357" s="5">
        <v>47.307641644491667</v>
      </c>
      <c r="K3357" s="5">
        <v>84</v>
      </c>
    </row>
    <row r="3358" spans="1:11" x14ac:dyDescent="0.25">
      <c r="A3358" s="2">
        <v>46237.291666666657</v>
      </c>
      <c r="B3358" t="str">
        <f t="shared" si="104"/>
        <v>2026-08</v>
      </c>
      <c r="C3358" s="3">
        <f t="shared" si="105"/>
        <v>7</v>
      </c>
      <c r="D3358" s="4">
        <v>27.51505948777778</v>
      </c>
      <c r="E3358" s="4"/>
      <c r="F3358" s="4">
        <v>28.959068451280551</v>
      </c>
      <c r="G3358" s="4">
        <v>20.3</v>
      </c>
      <c r="H3358" s="5">
        <v>43.372971309799993</v>
      </c>
      <c r="I3358" s="5"/>
      <c r="J3358" s="5">
        <v>47.312709846886122</v>
      </c>
      <c r="K3358" s="5">
        <v>78</v>
      </c>
    </row>
    <row r="3359" spans="1:11" x14ac:dyDescent="0.25">
      <c r="A3359" s="2">
        <v>46237.333333333343</v>
      </c>
      <c r="B3359" t="str">
        <f t="shared" si="104"/>
        <v>2026-08</v>
      </c>
      <c r="C3359" s="3">
        <f t="shared" si="105"/>
        <v>8</v>
      </c>
      <c r="D3359" s="4">
        <v>28.125411360191659</v>
      </c>
      <c r="E3359" s="4"/>
      <c r="F3359" s="4">
        <v>29.009677826961109</v>
      </c>
      <c r="G3359" s="4">
        <v>22.8</v>
      </c>
      <c r="H3359" s="5">
        <v>42.181279931775002</v>
      </c>
      <c r="I3359" s="5"/>
      <c r="J3359" s="5">
        <v>47.448439754058327</v>
      </c>
      <c r="K3359" s="5">
        <v>71</v>
      </c>
    </row>
    <row r="3360" spans="1:11" x14ac:dyDescent="0.25">
      <c r="A3360" s="2">
        <v>46237.375</v>
      </c>
      <c r="B3360" t="str">
        <f t="shared" si="104"/>
        <v>2026-08</v>
      </c>
      <c r="C3360" s="3">
        <f t="shared" si="105"/>
        <v>9</v>
      </c>
      <c r="D3360" s="4">
        <v>26.931341485505559</v>
      </c>
      <c r="E3360" s="4"/>
      <c r="F3360" s="4">
        <v>29.088900827886111</v>
      </c>
      <c r="G3360" s="4">
        <v>25.3</v>
      </c>
      <c r="H3360" s="5">
        <v>36.431246151733333</v>
      </c>
      <c r="I3360" s="5"/>
      <c r="J3360" s="5">
        <v>47.243920291502768</v>
      </c>
      <c r="K3360" s="5">
        <v>60</v>
      </c>
    </row>
    <row r="3361" spans="1:11" x14ac:dyDescent="0.25">
      <c r="A3361" s="2">
        <v>46237.416666666657</v>
      </c>
      <c r="B3361" t="str">
        <f t="shared" si="104"/>
        <v>2026-08</v>
      </c>
      <c r="C3361" s="3">
        <f t="shared" si="105"/>
        <v>10</v>
      </c>
      <c r="D3361" s="4">
        <v>26.04419147449444</v>
      </c>
      <c r="E3361" s="4"/>
      <c r="F3361" s="4">
        <v>29.02306408633056</v>
      </c>
      <c r="G3361" s="4">
        <v>27.2</v>
      </c>
      <c r="H3361" s="5">
        <v>33.725957472547222</v>
      </c>
      <c r="I3361" s="5"/>
      <c r="J3361" s="5">
        <v>46.450422122608337</v>
      </c>
      <c r="K3361" s="5">
        <v>51</v>
      </c>
    </row>
    <row r="3362" spans="1:11" x14ac:dyDescent="0.25">
      <c r="A3362" s="2">
        <v>46237.458333333343</v>
      </c>
      <c r="B3362" t="str">
        <f t="shared" si="104"/>
        <v>2026-08</v>
      </c>
      <c r="C3362" s="3">
        <f t="shared" si="105"/>
        <v>11</v>
      </c>
      <c r="D3362" s="4">
        <v>25.84388417545</v>
      </c>
      <c r="E3362" s="4"/>
      <c r="F3362" s="4">
        <v>28.987352357513888</v>
      </c>
      <c r="G3362" s="4">
        <v>28.2</v>
      </c>
      <c r="H3362" s="5">
        <v>35.02075338718889</v>
      </c>
      <c r="I3362" s="5"/>
      <c r="J3362" s="5">
        <v>45.833710760641672</v>
      </c>
      <c r="K3362" s="5">
        <v>46</v>
      </c>
    </row>
    <row r="3363" spans="1:11" x14ac:dyDescent="0.25">
      <c r="A3363" s="2">
        <v>46237.5</v>
      </c>
      <c r="B3363" t="str">
        <f t="shared" si="104"/>
        <v>2026-08</v>
      </c>
      <c r="C3363" s="3">
        <f t="shared" si="105"/>
        <v>12</v>
      </c>
      <c r="D3363" s="4">
        <v>25.73867892064445</v>
      </c>
      <c r="E3363" s="4"/>
      <c r="F3363" s="4">
        <v>28.946083280011109</v>
      </c>
      <c r="G3363" s="4">
        <v>29.1</v>
      </c>
      <c r="H3363" s="5">
        <v>36.806077480224999</v>
      </c>
      <c r="I3363" s="5"/>
      <c r="J3363" s="5">
        <v>45.531914745483327</v>
      </c>
      <c r="K3363" s="5">
        <v>43</v>
      </c>
    </row>
    <row r="3364" spans="1:11" x14ac:dyDescent="0.25">
      <c r="A3364" s="2">
        <v>46237.541666666657</v>
      </c>
      <c r="B3364" t="str">
        <f t="shared" si="104"/>
        <v>2026-08</v>
      </c>
      <c r="C3364" s="3">
        <f t="shared" si="105"/>
        <v>13</v>
      </c>
      <c r="D3364" s="4">
        <v>24.921920298100002</v>
      </c>
      <c r="E3364" s="4"/>
      <c r="F3364" s="4">
        <v>28.965605196744441</v>
      </c>
      <c r="G3364" s="4">
        <v>29.8</v>
      </c>
      <c r="H3364" s="5">
        <v>35.659223296191662</v>
      </c>
      <c r="I3364" s="5"/>
      <c r="J3364" s="5">
        <v>44.955875239891668</v>
      </c>
      <c r="K3364" s="5">
        <v>40</v>
      </c>
    </row>
    <row r="3365" spans="1:11" x14ac:dyDescent="0.25">
      <c r="A3365" s="2">
        <v>46237.583333333343</v>
      </c>
      <c r="B3365" t="str">
        <f t="shared" si="104"/>
        <v>2026-08</v>
      </c>
      <c r="C3365" s="3">
        <f t="shared" si="105"/>
        <v>14</v>
      </c>
      <c r="D3365" s="4">
        <v>24.446706429222221</v>
      </c>
      <c r="E3365" s="4"/>
      <c r="F3365" s="4">
        <v>28.844242561844439</v>
      </c>
      <c r="G3365" s="4">
        <v>30.3</v>
      </c>
      <c r="H3365" s="5">
        <v>34.927911608919437</v>
      </c>
      <c r="I3365" s="5"/>
      <c r="J3365" s="5">
        <v>44.083969802391671</v>
      </c>
      <c r="K3365" s="5">
        <v>38</v>
      </c>
    </row>
    <row r="3366" spans="1:11" x14ac:dyDescent="0.25">
      <c r="A3366" s="2">
        <v>46237.625</v>
      </c>
      <c r="B3366" t="str">
        <f t="shared" si="104"/>
        <v>2026-08</v>
      </c>
      <c r="C3366" s="3">
        <f t="shared" si="105"/>
        <v>15</v>
      </c>
      <c r="D3366" s="4">
        <v>24.212398982977781</v>
      </c>
      <c r="E3366" s="4"/>
      <c r="F3366" s="4">
        <v>28.824968785641669</v>
      </c>
      <c r="G3366" s="4">
        <v>31.4</v>
      </c>
      <c r="H3366" s="5">
        <v>35.849384659955547</v>
      </c>
      <c r="I3366" s="5"/>
      <c r="J3366" s="5">
        <v>43.747257926419437</v>
      </c>
      <c r="K3366" s="5">
        <v>32</v>
      </c>
    </row>
    <row r="3367" spans="1:11" x14ac:dyDescent="0.25">
      <c r="A3367" s="2">
        <v>46237.666666666657</v>
      </c>
      <c r="B3367" t="str">
        <f t="shared" si="104"/>
        <v>2026-08</v>
      </c>
      <c r="C3367" s="3">
        <f t="shared" si="105"/>
        <v>16</v>
      </c>
      <c r="D3367" s="4">
        <v>24.150935287238891</v>
      </c>
      <c r="E3367" s="4"/>
      <c r="F3367" s="4">
        <v>28.664781211466661</v>
      </c>
      <c r="G3367" s="4">
        <v>31.5</v>
      </c>
      <c r="H3367" s="5">
        <v>36.840061823244447</v>
      </c>
      <c r="I3367" s="5"/>
      <c r="J3367" s="5">
        <v>42.969592383452778</v>
      </c>
      <c r="K3367" s="5">
        <v>30</v>
      </c>
    </row>
    <row r="3368" spans="1:11" x14ac:dyDescent="0.25">
      <c r="A3368" s="2">
        <v>46237.708333333343</v>
      </c>
      <c r="B3368" t="str">
        <f t="shared" si="104"/>
        <v>2026-08</v>
      </c>
      <c r="C3368" s="3">
        <f t="shared" si="105"/>
        <v>17</v>
      </c>
      <c r="D3368" s="4">
        <v>24.202490284311111</v>
      </c>
      <c r="E3368" s="4"/>
      <c r="F3368" s="4">
        <v>28.702863659497229</v>
      </c>
      <c r="G3368" s="4">
        <v>31.3</v>
      </c>
      <c r="H3368" s="5">
        <v>37.340299174369441</v>
      </c>
      <c r="I3368" s="5"/>
      <c r="J3368" s="5">
        <v>43.059306002299998</v>
      </c>
      <c r="K3368" s="5">
        <v>30</v>
      </c>
    </row>
    <row r="3369" spans="1:11" x14ac:dyDescent="0.25">
      <c r="A3369" s="2">
        <v>46237.75</v>
      </c>
      <c r="B3369" t="str">
        <f t="shared" si="104"/>
        <v>2026-08</v>
      </c>
      <c r="C3369" s="3">
        <f t="shared" si="105"/>
        <v>18</v>
      </c>
      <c r="D3369" s="4">
        <v>24.238282038702781</v>
      </c>
      <c r="E3369" s="4"/>
      <c r="F3369" s="4">
        <v>28.767105826247221</v>
      </c>
      <c r="G3369" s="4">
        <v>30.8</v>
      </c>
      <c r="H3369" s="5">
        <v>36.929335787977777</v>
      </c>
      <c r="I3369" s="5"/>
      <c r="J3369" s="5">
        <v>43.111256692008332</v>
      </c>
      <c r="K3369" s="5">
        <v>31</v>
      </c>
    </row>
    <row r="3370" spans="1:11" x14ac:dyDescent="0.25">
      <c r="A3370" s="2">
        <v>46237.791666666657</v>
      </c>
      <c r="B3370" t="str">
        <f t="shared" si="104"/>
        <v>2026-08</v>
      </c>
      <c r="C3370" s="3">
        <f t="shared" si="105"/>
        <v>19</v>
      </c>
      <c r="D3370" s="4">
        <v>24.730049984527781</v>
      </c>
      <c r="E3370" s="4"/>
      <c r="F3370" s="4">
        <v>28.769934521480561</v>
      </c>
      <c r="G3370" s="4">
        <v>30</v>
      </c>
      <c r="H3370" s="5">
        <v>39.473936248697221</v>
      </c>
      <c r="I3370" s="5"/>
      <c r="J3370" s="5">
        <v>43.098077489488887</v>
      </c>
      <c r="K3370" s="5">
        <v>36</v>
      </c>
    </row>
    <row r="3371" spans="1:11" x14ac:dyDescent="0.25">
      <c r="A3371" s="2">
        <v>46237.833333333343</v>
      </c>
      <c r="B3371" t="str">
        <f t="shared" si="104"/>
        <v>2026-08</v>
      </c>
      <c r="C3371" s="3">
        <f t="shared" si="105"/>
        <v>20</v>
      </c>
      <c r="D3371" s="4">
        <v>25.94202165673612</v>
      </c>
      <c r="E3371" s="4"/>
      <c r="F3371" s="4">
        <v>28.824313687494438</v>
      </c>
      <c r="G3371" s="4">
        <v>28.2</v>
      </c>
      <c r="H3371" s="5">
        <v>43.184900962827783</v>
      </c>
      <c r="I3371" s="5"/>
      <c r="J3371" s="5">
        <v>43.586744152363877</v>
      </c>
      <c r="K3371" s="5">
        <v>48</v>
      </c>
    </row>
    <row r="3372" spans="1:11" x14ac:dyDescent="0.25">
      <c r="A3372" s="2">
        <v>46237.875</v>
      </c>
      <c r="B3372" t="str">
        <f t="shared" si="104"/>
        <v>2026-08</v>
      </c>
      <c r="C3372" s="3">
        <f t="shared" si="105"/>
        <v>21</v>
      </c>
      <c r="D3372" s="4">
        <v>26.47310803732222</v>
      </c>
      <c r="E3372" s="4"/>
      <c r="F3372" s="4">
        <v>28.91379343403333</v>
      </c>
      <c r="G3372" s="4">
        <v>26.6</v>
      </c>
      <c r="H3372" s="5">
        <v>45.871967060594443</v>
      </c>
      <c r="I3372" s="5"/>
      <c r="J3372" s="5">
        <v>44.148080302244438</v>
      </c>
      <c r="K3372" s="5">
        <v>56</v>
      </c>
    </row>
    <row r="3373" spans="1:11" x14ac:dyDescent="0.25">
      <c r="A3373" s="2">
        <v>46237.916666666657</v>
      </c>
      <c r="B3373" t="str">
        <f t="shared" si="104"/>
        <v>2026-08</v>
      </c>
      <c r="C3373" s="3">
        <f t="shared" si="105"/>
        <v>22</v>
      </c>
      <c r="D3373" s="4">
        <v>26.820060494488889</v>
      </c>
      <c r="E3373" s="4"/>
      <c r="F3373" s="4">
        <v>28.991549083058331</v>
      </c>
      <c r="G3373" s="4">
        <v>25.8</v>
      </c>
      <c r="H3373" s="5">
        <v>47.218971041288889</v>
      </c>
      <c r="I3373" s="5"/>
      <c r="J3373" s="5">
        <v>44.592907633388883</v>
      </c>
      <c r="K3373" s="5">
        <v>54</v>
      </c>
    </row>
    <row r="3374" spans="1:11" x14ac:dyDescent="0.25">
      <c r="A3374" s="2">
        <v>46237.958333333343</v>
      </c>
      <c r="B3374" t="str">
        <f t="shared" si="104"/>
        <v>2026-08</v>
      </c>
      <c r="C3374" s="3">
        <f t="shared" si="105"/>
        <v>23</v>
      </c>
      <c r="D3374" s="4">
        <v>27.310899150941669</v>
      </c>
      <c r="E3374" s="4"/>
      <c r="F3374" s="4">
        <v>29.107404823374999</v>
      </c>
      <c r="G3374" s="4">
        <v>25.1</v>
      </c>
      <c r="H3374" s="5">
        <v>47.685035861222218</v>
      </c>
      <c r="I3374" s="5"/>
      <c r="J3374" s="5">
        <v>44.678922443413889</v>
      </c>
      <c r="K3374" s="5">
        <v>55</v>
      </c>
    </row>
    <row r="3375" spans="1:11" x14ac:dyDescent="0.25">
      <c r="A3375" s="2">
        <v>46238</v>
      </c>
      <c r="B3375" t="str">
        <f t="shared" si="104"/>
        <v>2026-08</v>
      </c>
      <c r="C3375" s="3">
        <f t="shared" si="105"/>
        <v>0</v>
      </c>
      <c r="D3375" s="4">
        <v>26.051357116883331</v>
      </c>
      <c r="E3375" s="4"/>
      <c r="F3375" s="4">
        <v>29.142560390483339</v>
      </c>
      <c r="G3375" s="4">
        <v>24.3</v>
      </c>
      <c r="H3375" s="5">
        <v>44.135171567483333</v>
      </c>
      <c r="I3375" s="5"/>
      <c r="J3375" s="5">
        <v>44.801819670508337</v>
      </c>
      <c r="K3375" s="5">
        <v>59</v>
      </c>
    </row>
    <row r="3376" spans="1:11" x14ac:dyDescent="0.25">
      <c r="A3376" s="2">
        <v>46238.041666666657</v>
      </c>
      <c r="B3376" t="str">
        <f t="shared" si="104"/>
        <v>2026-08</v>
      </c>
      <c r="C3376" s="3">
        <f t="shared" si="105"/>
        <v>1</v>
      </c>
      <c r="D3376" s="4">
        <v>24.050094757619451</v>
      </c>
      <c r="E3376" s="4"/>
      <c r="F3376" s="4">
        <v>29.075144260113891</v>
      </c>
      <c r="G3376" s="4">
        <v>23.1</v>
      </c>
      <c r="H3376" s="5">
        <v>37.224182283713887</v>
      </c>
      <c r="I3376" s="5"/>
      <c r="J3376" s="5">
        <v>44.551782156097232</v>
      </c>
      <c r="K3376" s="5">
        <v>65</v>
      </c>
    </row>
    <row r="3377" spans="1:11" x14ac:dyDescent="0.25">
      <c r="A3377" s="2">
        <v>46238.083333333343</v>
      </c>
      <c r="B3377" t="str">
        <f t="shared" si="104"/>
        <v>2026-08</v>
      </c>
      <c r="C3377" s="3">
        <f t="shared" si="105"/>
        <v>2</v>
      </c>
      <c r="D3377" s="4">
        <v>24.502880851958331</v>
      </c>
      <c r="E3377" s="4"/>
      <c r="F3377" s="4">
        <v>29.020775006905559</v>
      </c>
      <c r="G3377" s="4">
        <v>22</v>
      </c>
      <c r="H3377" s="5">
        <v>38.985136328769443</v>
      </c>
      <c r="I3377" s="5"/>
      <c r="J3377" s="5">
        <v>44.149829620988889</v>
      </c>
      <c r="K3377" s="5">
        <v>72</v>
      </c>
    </row>
    <row r="3378" spans="1:11" x14ac:dyDescent="0.25">
      <c r="A3378" s="2">
        <v>46238.125</v>
      </c>
      <c r="B3378" t="str">
        <f t="shared" si="104"/>
        <v>2026-08</v>
      </c>
      <c r="C3378" s="3">
        <f t="shared" si="105"/>
        <v>3</v>
      </c>
      <c r="D3378" s="4">
        <v>25.964501031997219</v>
      </c>
      <c r="E3378" s="4"/>
      <c r="F3378" s="4">
        <v>29.01424262639167</v>
      </c>
      <c r="G3378" s="4">
        <v>21</v>
      </c>
      <c r="H3378" s="5">
        <v>42.915406467297217</v>
      </c>
      <c r="I3378" s="5"/>
      <c r="J3378" s="5">
        <v>44.328651982138886</v>
      </c>
      <c r="K3378" s="5">
        <v>77</v>
      </c>
    </row>
    <row r="3379" spans="1:11" x14ac:dyDescent="0.25">
      <c r="A3379" s="2">
        <v>46238.166666666657</v>
      </c>
      <c r="B3379" t="str">
        <f t="shared" si="104"/>
        <v>2026-08</v>
      </c>
      <c r="C3379" s="3">
        <f t="shared" si="105"/>
        <v>4</v>
      </c>
      <c r="D3379" s="4">
        <v>26.350766905130559</v>
      </c>
      <c r="E3379" s="4"/>
      <c r="F3379" s="4">
        <v>29.034103820338888</v>
      </c>
      <c r="G3379" s="4">
        <v>20.6</v>
      </c>
      <c r="H3379" s="5">
        <v>43.976798028911112</v>
      </c>
      <c r="I3379" s="5"/>
      <c r="J3379" s="5">
        <v>44.712207366411121</v>
      </c>
      <c r="K3379" s="5">
        <v>79</v>
      </c>
    </row>
    <row r="3380" spans="1:11" x14ac:dyDescent="0.25">
      <c r="A3380" s="2">
        <v>46238.208333333343</v>
      </c>
      <c r="B3380" t="str">
        <f t="shared" si="104"/>
        <v>2026-08</v>
      </c>
      <c r="C3380" s="3">
        <f t="shared" si="105"/>
        <v>5</v>
      </c>
      <c r="D3380" s="4">
        <v>26.522046150055559</v>
      </c>
      <c r="E3380" s="4"/>
      <c r="F3380" s="4">
        <v>29.055825916797222</v>
      </c>
      <c r="G3380" s="4">
        <v>20.100000000000001</v>
      </c>
      <c r="H3380" s="5">
        <v>44.255010569174999</v>
      </c>
      <c r="I3380" s="5"/>
      <c r="J3380" s="5">
        <v>45.021749918766673</v>
      </c>
      <c r="K3380" s="5">
        <v>82</v>
      </c>
    </row>
    <row r="3381" spans="1:11" x14ac:dyDescent="0.25">
      <c r="A3381" s="2">
        <v>46238.25</v>
      </c>
      <c r="B3381" t="str">
        <f t="shared" si="104"/>
        <v>2026-08</v>
      </c>
      <c r="C3381" s="3">
        <f t="shared" si="105"/>
        <v>6</v>
      </c>
      <c r="D3381" s="4">
        <v>26.847027492483331</v>
      </c>
      <c r="E3381" s="4"/>
      <c r="F3381" s="4">
        <v>29.10305788519166</v>
      </c>
      <c r="G3381" s="4">
        <v>20.6</v>
      </c>
      <c r="H3381" s="5">
        <v>44.531565954388888</v>
      </c>
      <c r="I3381" s="5"/>
      <c r="J3381" s="5">
        <v>45.23994084407223</v>
      </c>
      <c r="K3381" s="5">
        <v>80</v>
      </c>
    </row>
    <row r="3382" spans="1:11" x14ac:dyDescent="0.25">
      <c r="A3382" s="2">
        <v>46238.291666666657</v>
      </c>
      <c r="B3382" t="str">
        <f t="shared" si="104"/>
        <v>2026-08</v>
      </c>
      <c r="C3382" s="3">
        <f t="shared" si="105"/>
        <v>7</v>
      </c>
      <c r="D3382" s="4">
        <v>27.367617701672231</v>
      </c>
      <c r="E3382" s="4"/>
      <c r="F3382" s="4">
        <v>29.126800914716661</v>
      </c>
      <c r="G3382" s="4">
        <v>22.2</v>
      </c>
      <c r="H3382" s="5">
        <v>45.143333194980563</v>
      </c>
      <c r="I3382" s="5"/>
      <c r="J3382" s="5">
        <v>45.470462218030562</v>
      </c>
      <c r="K3382" s="5">
        <v>73</v>
      </c>
    </row>
    <row r="3383" spans="1:11" x14ac:dyDescent="0.25">
      <c r="A3383" s="2">
        <v>46238.333333333343</v>
      </c>
      <c r="B3383" t="str">
        <f t="shared" si="104"/>
        <v>2026-08</v>
      </c>
      <c r="C3383" s="3">
        <f t="shared" si="105"/>
        <v>8</v>
      </c>
      <c r="D3383" s="4">
        <v>27.865815052552779</v>
      </c>
      <c r="E3383" s="4"/>
      <c r="F3383" s="4">
        <v>29.20083157991111</v>
      </c>
      <c r="G3383" s="4">
        <v>24.7</v>
      </c>
      <c r="H3383" s="5">
        <v>45.987887600830561</v>
      </c>
      <c r="I3383" s="5"/>
      <c r="J3383" s="5">
        <v>45.676532448486107</v>
      </c>
      <c r="K3383" s="5">
        <v>64</v>
      </c>
    </row>
    <row r="3384" spans="1:11" x14ac:dyDescent="0.25">
      <c r="A3384" s="2">
        <v>46238.375</v>
      </c>
      <c r="B3384" t="str">
        <f t="shared" si="104"/>
        <v>2026-08</v>
      </c>
      <c r="C3384" s="3">
        <f t="shared" si="105"/>
        <v>9</v>
      </c>
      <c r="D3384" s="4">
        <v>27.140314125577781</v>
      </c>
      <c r="E3384" s="4"/>
      <c r="F3384" s="4">
        <v>29.249166549286109</v>
      </c>
      <c r="G3384" s="4">
        <v>27.6</v>
      </c>
      <c r="H3384" s="5">
        <v>40.586768354163887</v>
      </c>
      <c r="I3384" s="5"/>
      <c r="J3384" s="5">
        <v>45.687413171325012</v>
      </c>
      <c r="K3384" s="5">
        <v>55</v>
      </c>
    </row>
    <row r="3385" spans="1:11" x14ac:dyDescent="0.25">
      <c r="A3385" s="2">
        <v>46238.416666666657</v>
      </c>
      <c r="B3385" t="str">
        <f t="shared" si="104"/>
        <v>2026-08</v>
      </c>
      <c r="C3385" s="3">
        <f t="shared" si="105"/>
        <v>10</v>
      </c>
      <c r="D3385" s="4">
        <v>25.94240566484444</v>
      </c>
      <c r="E3385" s="4"/>
      <c r="F3385" s="4">
        <v>29.20275723995</v>
      </c>
      <c r="G3385" s="4">
        <v>29.5</v>
      </c>
      <c r="H3385" s="5">
        <v>35.547008758511112</v>
      </c>
      <c r="I3385" s="5"/>
      <c r="J3385" s="5">
        <v>45.25020770682778</v>
      </c>
      <c r="K3385" s="5">
        <v>46</v>
      </c>
    </row>
    <row r="3386" spans="1:11" x14ac:dyDescent="0.25">
      <c r="A3386" s="2">
        <v>46238.458333333343</v>
      </c>
      <c r="B3386" t="str">
        <f t="shared" si="104"/>
        <v>2026-08</v>
      </c>
      <c r="C3386" s="3">
        <f t="shared" si="105"/>
        <v>11</v>
      </c>
      <c r="D3386" s="4">
        <v>25.784159733166661</v>
      </c>
      <c r="E3386" s="4"/>
      <c r="F3386" s="4">
        <v>29.168140905380561</v>
      </c>
      <c r="G3386" s="4">
        <v>30.8</v>
      </c>
      <c r="H3386" s="5">
        <v>35.453999452952779</v>
      </c>
      <c r="I3386" s="5"/>
      <c r="J3386" s="5">
        <v>44.773236556536112</v>
      </c>
      <c r="K3386" s="5">
        <v>36</v>
      </c>
    </row>
    <row r="3387" spans="1:11" x14ac:dyDescent="0.25">
      <c r="A3387" s="2">
        <v>46238.5</v>
      </c>
      <c r="B3387" t="str">
        <f t="shared" si="104"/>
        <v>2026-08</v>
      </c>
      <c r="C3387" s="3">
        <f t="shared" si="105"/>
        <v>12</v>
      </c>
      <c r="D3387" s="4">
        <v>25.484701181686109</v>
      </c>
      <c r="E3387" s="4"/>
      <c r="F3387" s="4">
        <v>29.11112626561389</v>
      </c>
      <c r="G3387" s="4">
        <v>31.4</v>
      </c>
      <c r="H3387" s="5">
        <v>36.156035952513889</v>
      </c>
      <c r="I3387" s="5"/>
      <c r="J3387" s="5">
        <v>44.327643669947228</v>
      </c>
      <c r="K3387" s="5">
        <v>33</v>
      </c>
    </row>
    <row r="3388" spans="1:11" x14ac:dyDescent="0.25">
      <c r="A3388" s="2">
        <v>46238.541666666657</v>
      </c>
      <c r="B3388" t="str">
        <f t="shared" si="104"/>
        <v>2026-08</v>
      </c>
      <c r="C3388" s="3">
        <f t="shared" si="105"/>
        <v>13</v>
      </c>
      <c r="D3388" s="4">
        <v>25.578013383444439</v>
      </c>
      <c r="E3388" s="4"/>
      <c r="F3388" s="4">
        <v>29.085164130138889</v>
      </c>
      <c r="G3388" s="4">
        <v>31.9</v>
      </c>
      <c r="H3388" s="5">
        <v>39.166685815930563</v>
      </c>
      <c r="I3388" s="5"/>
      <c r="J3388" s="5">
        <v>44.282105914472218</v>
      </c>
      <c r="K3388" s="5">
        <v>32</v>
      </c>
    </row>
    <row r="3389" spans="1:11" x14ac:dyDescent="0.25">
      <c r="A3389" s="2">
        <v>46238.583333333343</v>
      </c>
      <c r="B3389" t="str">
        <f t="shared" si="104"/>
        <v>2026-08</v>
      </c>
      <c r="C3389" s="3">
        <f t="shared" si="105"/>
        <v>14</v>
      </c>
      <c r="D3389" s="4">
        <v>25.472285249166671</v>
      </c>
      <c r="E3389" s="4"/>
      <c r="F3389" s="4">
        <v>29.103419535688889</v>
      </c>
      <c r="G3389" s="4">
        <v>32.1</v>
      </c>
      <c r="H3389" s="5">
        <v>38.97492607277222</v>
      </c>
      <c r="I3389" s="5"/>
      <c r="J3389" s="5">
        <v>44.39523458130833</v>
      </c>
      <c r="K3389" s="5">
        <v>32</v>
      </c>
    </row>
    <row r="3390" spans="1:11" x14ac:dyDescent="0.25">
      <c r="A3390" s="2">
        <v>46238.625</v>
      </c>
      <c r="B3390" t="str">
        <f t="shared" si="104"/>
        <v>2026-08</v>
      </c>
      <c r="C3390" s="3">
        <f t="shared" si="105"/>
        <v>15</v>
      </c>
      <c r="D3390" s="4">
        <v>25.69500170571111</v>
      </c>
      <c r="E3390" s="4"/>
      <c r="F3390" s="4">
        <v>29.112419516480561</v>
      </c>
      <c r="G3390" s="4">
        <v>32.799999999999997</v>
      </c>
      <c r="H3390" s="5">
        <v>42.29459457435555</v>
      </c>
      <c r="I3390" s="5"/>
      <c r="J3390" s="5">
        <v>44.714129093936123</v>
      </c>
      <c r="K3390" s="5">
        <v>31</v>
      </c>
    </row>
    <row r="3391" spans="1:11" x14ac:dyDescent="0.25">
      <c r="A3391" s="2">
        <v>46238.666666666657</v>
      </c>
      <c r="B3391" t="str">
        <f t="shared" si="104"/>
        <v>2026-08</v>
      </c>
      <c r="C3391" s="3">
        <f t="shared" si="105"/>
        <v>16</v>
      </c>
      <c r="D3391" s="4">
        <v>25.541448658361109</v>
      </c>
      <c r="E3391" s="4"/>
      <c r="F3391" s="4">
        <v>29.115416691433332</v>
      </c>
      <c r="G3391" s="4">
        <v>32.700000000000003</v>
      </c>
      <c r="H3391" s="5">
        <v>41.634052373580552</v>
      </c>
      <c r="I3391" s="5"/>
      <c r="J3391" s="5">
        <v>44.653541589388887</v>
      </c>
      <c r="K3391" s="5">
        <v>31</v>
      </c>
    </row>
    <row r="3392" spans="1:11" x14ac:dyDescent="0.25">
      <c r="A3392" s="2">
        <v>46238.708333333343</v>
      </c>
      <c r="B3392" t="str">
        <f t="shared" si="104"/>
        <v>2026-08</v>
      </c>
      <c r="C3392" s="3">
        <f t="shared" si="105"/>
        <v>17</v>
      </c>
      <c r="D3392" s="4">
        <v>25.46689867212778</v>
      </c>
      <c r="E3392" s="4"/>
      <c r="F3392" s="4">
        <v>29.139391684113889</v>
      </c>
      <c r="G3392" s="4">
        <v>32.4</v>
      </c>
      <c r="H3392" s="5">
        <v>40.995771918391668</v>
      </c>
      <c r="I3392" s="5"/>
      <c r="J3392" s="5">
        <v>44.740869082833328</v>
      </c>
      <c r="K3392" s="5">
        <v>31</v>
      </c>
    </row>
    <row r="3393" spans="1:11" x14ac:dyDescent="0.25">
      <c r="A3393" s="2">
        <v>46238.75</v>
      </c>
      <c r="B3393" t="str">
        <f t="shared" si="104"/>
        <v>2026-08</v>
      </c>
      <c r="C3393" s="3">
        <f t="shared" si="105"/>
        <v>18</v>
      </c>
      <c r="D3393" s="4">
        <v>25.608580206177781</v>
      </c>
      <c r="E3393" s="4"/>
      <c r="F3393" s="4">
        <v>29.164596145061111</v>
      </c>
      <c r="G3393" s="4">
        <v>32.1</v>
      </c>
      <c r="H3393" s="5">
        <v>44.386105414488888</v>
      </c>
      <c r="I3393" s="5"/>
      <c r="J3393" s="5">
        <v>44.743665329099997</v>
      </c>
      <c r="K3393" s="5">
        <v>32</v>
      </c>
    </row>
    <row r="3394" spans="1:11" x14ac:dyDescent="0.25">
      <c r="A3394" s="2">
        <v>46238.791666666657</v>
      </c>
      <c r="B3394" t="str">
        <f t="shared" ref="B3394:B3457" si="106">TEXT(A3394,"yyyy-mm")</f>
        <v>2026-08</v>
      </c>
      <c r="C3394" s="3">
        <f t="shared" ref="C3394:C3457" si="107">HOUR(A3394)</f>
        <v>19</v>
      </c>
      <c r="D3394" s="4">
        <v>25.69661187440833</v>
      </c>
      <c r="E3394" s="4"/>
      <c r="F3394" s="4">
        <v>29.180590766074999</v>
      </c>
      <c r="G3394" s="4">
        <v>31.1</v>
      </c>
      <c r="H3394" s="5">
        <v>42.850054529661122</v>
      </c>
      <c r="I3394" s="5"/>
      <c r="J3394" s="5">
        <v>44.956289120261111</v>
      </c>
      <c r="K3394" s="5">
        <v>34</v>
      </c>
    </row>
    <row r="3395" spans="1:11" x14ac:dyDescent="0.25">
      <c r="A3395" s="2">
        <v>46238.833333333343</v>
      </c>
      <c r="B3395" t="str">
        <f t="shared" si="106"/>
        <v>2026-08</v>
      </c>
      <c r="C3395" s="3">
        <f t="shared" si="107"/>
        <v>20</v>
      </c>
      <c r="D3395" s="4">
        <v>26.636713664424999</v>
      </c>
      <c r="E3395" s="4"/>
      <c r="F3395" s="4">
        <v>29.19708869571944</v>
      </c>
      <c r="G3395" s="4">
        <v>29.5</v>
      </c>
      <c r="H3395" s="5">
        <v>49.533181720344452</v>
      </c>
      <c r="I3395" s="5"/>
      <c r="J3395" s="5">
        <v>45.081117618447223</v>
      </c>
      <c r="K3395" s="5">
        <v>40</v>
      </c>
    </row>
    <row r="3396" spans="1:11" x14ac:dyDescent="0.25">
      <c r="A3396" s="2">
        <v>46238.875</v>
      </c>
      <c r="B3396" t="str">
        <f t="shared" si="106"/>
        <v>2026-08</v>
      </c>
      <c r="C3396" s="3">
        <f t="shared" si="107"/>
        <v>21</v>
      </c>
      <c r="D3396" s="4">
        <v>27.051309873936109</v>
      </c>
      <c r="E3396" s="4"/>
      <c r="F3396" s="4">
        <v>29.270348898205551</v>
      </c>
      <c r="G3396" s="4">
        <v>28.3</v>
      </c>
      <c r="H3396" s="5">
        <v>51.912358808088889</v>
      </c>
      <c r="I3396" s="5"/>
      <c r="J3396" s="5">
        <v>45.25924336916944</v>
      </c>
      <c r="K3396" s="5">
        <v>45</v>
      </c>
    </row>
    <row r="3397" spans="1:11" x14ac:dyDescent="0.25">
      <c r="A3397" s="2">
        <v>46238.916666666657</v>
      </c>
      <c r="B3397" t="str">
        <f t="shared" si="106"/>
        <v>2026-08</v>
      </c>
      <c r="C3397" s="3">
        <f t="shared" si="107"/>
        <v>22</v>
      </c>
      <c r="D3397" s="4">
        <v>27.336977274961111</v>
      </c>
      <c r="E3397" s="4"/>
      <c r="F3397" s="4">
        <v>29.34628585883889</v>
      </c>
      <c r="G3397" s="4">
        <v>27.4</v>
      </c>
      <c r="H3397" s="5">
        <v>47.744919658850002</v>
      </c>
      <c r="I3397" s="5"/>
      <c r="J3397" s="5">
        <v>47.225536674947222</v>
      </c>
      <c r="K3397" s="5">
        <v>49</v>
      </c>
    </row>
    <row r="3398" spans="1:11" x14ac:dyDescent="0.25">
      <c r="A3398" s="2">
        <v>46238.958333333343</v>
      </c>
      <c r="B3398" t="str">
        <f t="shared" si="106"/>
        <v>2026-08</v>
      </c>
      <c r="C3398" s="3">
        <f t="shared" si="107"/>
        <v>23</v>
      </c>
      <c r="D3398" s="4">
        <v>27.424451455041659</v>
      </c>
      <c r="E3398" s="4"/>
      <c r="F3398" s="4">
        <v>29.37532049656112</v>
      </c>
      <c r="G3398" s="4">
        <v>26.7</v>
      </c>
      <c r="H3398" s="5">
        <v>47.090889766680561</v>
      </c>
      <c r="I3398" s="5"/>
      <c r="J3398" s="5">
        <v>47.337647013638879</v>
      </c>
      <c r="K3398" s="5">
        <v>53</v>
      </c>
    </row>
    <row r="3399" spans="1:11" x14ac:dyDescent="0.25">
      <c r="A3399" s="2">
        <v>46239</v>
      </c>
      <c r="B3399" t="str">
        <f t="shared" si="106"/>
        <v>2026-08</v>
      </c>
      <c r="C3399" s="3">
        <f t="shared" si="107"/>
        <v>0</v>
      </c>
      <c r="D3399" s="4">
        <v>27.396392675977779</v>
      </c>
      <c r="E3399" s="4"/>
      <c r="F3399" s="4">
        <v>29.35255535104444</v>
      </c>
      <c r="G3399" s="4">
        <v>25.7</v>
      </c>
      <c r="H3399" s="5">
        <v>46.946447099772222</v>
      </c>
      <c r="I3399" s="5"/>
      <c r="J3399" s="5">
        <v>47.008836935569441</v>
      </c>
      <c r="K3399" s="5">
        <v>59</v>
      </c>
    </row>
    <row r="3400" spans="1:11" x14ac:dyDescent="0.25">
      <c r="A3400" s="2">
        <v>46239.041666666657</v>
      </c>
      <c r="B3400" t="str">
        <f t="shared" si="106"/>
        <v>2026-08</v>
      </c>
      <c r="C3400" s="3">
        <f t="shared" si="107"/>
        <v>1</v>
      </c>
      <c r="D3400" s="4">
        <v>25.18749420907778</v>
      </c>
      <c r="E3400" s="4"/>
      <c r="F3400" s="4">
        <v>29.29988060431112</v>
      </c>
      <c r="G3400" s="4">
        <v>25</v>
      </c>
      <c r="H3400" s="5">
        <v>39.662969261297221</v>
      </c>
      <c r="I3400" s="5"/>
      <c r="J3400" s="5">
        <v>46.533357641952783</v>
      </c>
      <c r="K3400" s="5">
        <v>63</v>
      </c>
    </row>
    <row r="3401" spans="1:11" x14ac:dyDescent="0.25">
      <c r="A3401" s="2">
        <v>46239.083333333343</v>
      </c>
      <c r="B3401" t="str">
        <f t="shared" si="106"/>
        <v>2026-08</v>
      </c>
      <c r="C3401" s="3">
        <f t="shared" si="107"/>
        <v>2</v>
      </c>
      <c r="D3401" s="4">
        <v>25.276975758816661</v>
      </c>
      <c r="E3401" s="4"/>
      <c r="F3401" s="4">
        <v>29.220004810894451</v>
      </c>
      <c r="G3401" s="4">
        <v>24.1</v>
      </c>
      <c r="H3401" s="5">
        <v>41.243259549427783</v>
      </c>
      <c r="I3401" s="5"/>
      <c r="J3401" s="5">
        <v>45.563317565319437</v>
      </c>
      <c r="K3401" s="5">
        <v>67</v>
      </c>
    </row>
    <row r="3402" spans="1:11" x14ac:dyDescent="0.25">
      <c r="A3402" s="2">
        <v>46239.125</v>
      </c>
      <c r="B3402" t="str">
        <f t="shared" si="106"/>
        <v>2026-08</v>
      </c>
      <c r="C3402" s="3">
        <f t="shared" si="107"/>
        <v>3</v>
      </c>
      <c r="D3402" s="4">
        <v>26.493380254244439</v>
      </c>
      <c r="E3402" s="4"/>
      <c r="F3402" s="4">
        <v>29.217530663877781</v>
      </c>
      <c r="G3402" s="4">
        <v>22.8</v>
      </c>
      <c r="H3402" s="5">
        <v>45.686540299355563</v>
      </c>
      <c r="I3402" s="5"/>
      <c r="J3402" s="5">
        <v>45.907610440088888</v>
      </c>
      <c r="K3402" s="5">
        <v>72</v>
      </c>
    </row>
    <row r="3403" spans="1:11" x14ac:dyDescent="0.25">
      <c r="A3403" s="2">
        <v>46239.166666666657</v>
      </c>
      <c r="B3403" t="str">
        <f t="shared" si="106"/>
        <v>2026-08</v>
      </c>
      <c r="C3403" s="3">
        <f t="shared" si="107"/>
        <v>4</v>
      </c>
      <c r="D3403" s="4">
        <v>26.763415126661108</v>
      </c>
      <c r="E3403" s="4"/>
      <c r="F3403" s="4">
        <v>29.24738153817222</v>
      </c>
      <c r="G3403" s="4">
        <v>22.3</v>
      </c>
      <c r="H3403" s="5">
        <v>46.056731883955557</v>
      </c>
      <c r="I3403" s="5"/>
      <c r="J3403" s="5">
        <v>46.228122896333332</v>
      </c>
      <c r="K3403" s="5">
        <v>74</v>
      </c>
    </row>
    <row r="3404" spans="1:11" x14ac:dyDescent="0.25">
      <c r="A3404" s="2">
        <v>46239.208333333343</v>
      </c>
      <c r="B3404" t="str">
        <f t="shared" si="106"/>
        <v>2026-08</v>
      </c>
      <c r="C3404" s="3">
        <f t="shared" si="107"/>
        <v>5</v>
      </c>
      <c r="D3404" s="4">
        <v>26.837086874519439</v>
      </c>
      <c r="E3404" s="4"/>
      <c r="F3404" s="4">
        <v>29.27112134141667</v>
      </c>
      <c r="G3404" s="4">
        <v>21.8</v>
      </c>
      <c r="H3404" s="5">
        <v>46.130680802000001</v>
      </c>
      <c r="I3404" s="5"/>
      <c r="J3404" s="5">
        <v>46.401124301169439</v>
      </c>
      <c r="K3404" s="5">
        <v>77</v>
      </c>
    </row>
    <row r="3405" spans="1:11" x14ac:dyDescent="0.25">
      <c r="A3405" s="2">
        <v>46239.25</v>
      </c>
      <c r="B3405" t="str">
        <f t="shared" si="106"/>
        <v>2026-08</v>
      </c>
      <c r="C3405" s="3">
        <f t="shared" si="107"/>
        <v>6</v>
      </c>
      <c r="D3405" s="4">
        <v>27.16946131698889</v>
      </c>
      <c r="E3405" s="4"/>
      <c r="F3405" s="4">
        <v>29.30073518958611</v>
      </c>
      <c r="G3405" s="4">
        <v>22.1</v>
      </c>
      <c r="H3405" s="5">
        <v>46.26025328115</v>
      </c>
      <c r="I3405" s="5"/>
      <c r="J3405" s="5">
        <v>46.518816246500002</v>
      </c>
      <c r="K3405" s="5">
        <v>76</v>
      </c>
    </row>
    <row r="3406" spans="1:11" x14ac:dyDescent="0.25">
      <c r="A3406" s="2">
        <v>46239.291666666657</v>
      </c>
      <c r="B3406" t="str">
        <f t="shared" si="106"/>
        <v>2026-08</v>
      </c>
      <c r="C3406" s="3">
        <f t="shared" si="107"/>
        <v>7</v>
      </c>
      <c r="D3406" s="4">
        <v>27.707953979561111</v>
      </c>
      <c r="E3406" s="4"/>
      <c r="F3406" s="4">
        <v>29.335318516377779</v>
      </c>
      <c r="G3406" s="4">
        <v>23.3</v>
      </c>
      <c r="H3406" s="5">
        <v>46.094440996730562</v>
      </c>
      <c r="I3406" s="5"/>
      <c r="J3406" s="5">
        <v>46.599853767908343</v>
      </c>
      <c r="K3406" s="5">
        <v>71</v>
      </c>
    </row>
    <row r="3407" spans="1:11" x14ac:dyDescent="0.25">
      <c r="A3407" s="2">
        <v>46239.333333333343</v>
      </c>
      <c r="B3407" t="str">
        <f t="shared" si="106"/>
        <v>2026-08</v>
      </c>
      <c r="C3407" s="3">
        <f t="shared" si="107"/>
        <v>8</v>
      </c>
      <c r="D3407" s="4">
        <v>28.204463688194451</v>
      </c>
      <c r="E3407" s="4"/>
      <c r="F3407" s="4">
        <v>29.451271984188889</v>
      </c>
      <c r="G3407" s="4">
        <v>25.4</v>
      </c>
      <c r="H3407" s="5">
        <v>46.142886882147216</v>
      </c>
      <c r="I3407" s="5"/>
      <c r="J3407" s="5">
        <v>46.559987271661107</v>
      </c>
      <c r="K3407" s="5">
        <v>62</v>
      </c>
    </row>
    <row r="3408" spans="1:11" x14ac:dyDescent="0.25">
      <c r="A3408" s="2">
        <v>46239.375</v>
      </c>
      <c r="B3408" t="str">
        <f t="shared" si="106"/>
        <v>2026-08</v>
      </c>
      <c r="C3408" s="3">
        <f t="shared" si="107"/>
        <v>9</v>
      </c>
      <c r="D3408" s="4">
        <v>27.284919524380559</v>
      </c>
      <c r="E3408" s="4"/>
      <c r="F3408" s="4">
        <v>29.467908889755549</v>
      </c>
      <c r="G3408" s="4">
        <v>27.5</v>
      </c>
      <c r="H3408" s="5">
        <v>38.113022631361112</v>
      </c>
      <c r="I3408" s="5"/>
      <c r="J3408" s="5">
        <v>46.49562048144444</v>
      </c>
      <c r="K3408" s="5">
        <v>53</v>
      </c>
    </row>
    <row r="3409" spans="1:11" x14ac:dyDescent="0.25">
      <c r="A3409" s="2">
        <v>46239.416666666657</v>
      </c>
      <c r="B3409" t="str">
        <f t="shared" si="106"/>
        <v>2026-08</v>
      </c>
      <c r="C3409" s="3">
        <f t="shared" si="107"/>
        <v>10</v>
      </c>
      <c r="D3409" s="4">
        <v>25.845234189766671</v>
      </c>
      <c r="E3409" s="4"/>
      <c r="F3409" s="4">
        <v>29.38177253114722</v>
      </c>
      <c r="G3409" s="4">
        <v>29.6</v>
      </c>
      <c r="H3409" s="5">
        <v>34.038123478997221</v>
      </c>
      <c r="I3409" s="5"/>
      <c r="J3409" s="5">
        <v>45.885352475055562</v>
      </c>
      <c r="K3409" s="5">
        <v>45</v>
      </c>
    </row>
    <row r="3410" spans="1:11" x14ac:dyDescent="0.25">
      <c r="A3410" s="2">
        <v>46239.458333333343</v>
      </c>
      <c r="B3410" t="str">
        <f t="shared" si="106"/>
        <v>2026-08</v>
      </c>
      <c r="C3410" s="3">
        <f t="shared" si="107"/>
        <v>11</v>
      </c>
      <c r="D3410" s="4">
        <v>25.43616477828056</v>
      </c>
      <c r="E3410" s="4"/>
      <c r="F3410" s="4">
        <v>29.26928475885833</v>
      </c>
      <c r="G3410" s="4">
        <v>31.1</v>
      </c>
      <c r="H3410" s="5">
        <v>34.364790144974997</v>
      </c>
      <c r="I3410" s="5"/>
      <c r="J3410" s="5">
        <v>44.454506999499998</v>
      </c>
      <c r="K3410" s="5">
        <v>39</v>
      </c>
    </row>
    <row r="3411" spans="1:11" x14ac:dyDescent="0.25">
      <c r="A3411" s="2">
        <v>46239.5</v>
      </c>
      <c r="B3411" t="str">
        <f t="shared" si="106"/>
        <v>2026-08</v>
      </c>
      <c r="C3411" s="3">
        <f t="shared" si="107"/>
        <v>12</v>
      </c>
      <c r="D3411" s="4">
        <v>25.381511853902779</v>
      </c>
      <c r="E3411" s="4"/>
      <c r="F3411" s="4">
        <v>29.263390242974999</v>
      </c>
      <c r="G3411" s="4">
        <v>31.9</v>
      </c>
      <c r="H3411" s="5">
        <v>36.027347322461097</v>
      </c>
      <c r="I3411" s="5"/>
      <c r="J3411" s="5">
        <v>43.515718326075003</v>
      </c>
      <c r="K3411" s="5">
        <v>34</v>
      </c>
    </row>
    <row r="3412" spans="1:11" x14ac:dyDescent="0.25">
      <c r="A3412" s="2">
        <v>46239.541666666657</v>
      </c>
      <c r="B3412" t="str">
        <f t="shared" si="106"/>
        <v>2026-08</v>
      </c>
      <c r="C3412" s="3">
        <f t="shared" si="107"/>
        <v>13</v>
      </c>
      <c r="D3412" s="4">
        <v>25.79661033369722</v>
      </c>
      <c r="E3412" s="4"/>
      <c r="F3412" s="4">
        <v>29.29154401146112</v>
      </c>
      <c r="G3412" s="4">
        <v>32.299999999999997</v>
      </c>
      <c r="H3412" s="5">
        <v>39.782899090561109</v>
      </c>
      <c r="I3412" s="5"/>
      <c r="J3412" s="5">
        <v>43.941031261799999</v>
      </c>
      <c r="K3412" s="5">
        <v>34</v>
      </c>
    </row>
    <row r="3413" spans="1:11" x14ac:dyDescent="0.25">
      <c r="A3413" s="2">
        <v>46239.583333333343</v>
      </c>
      <c r="B3413" t="str">
        <f t="shared" si="106"/>
        <v>2026-08</v>
      </c>
      <c r="C3413" s="3">
        <f t="shared" si="107"/>
        <v>14</v>
      </c>
      <c r="D3413" s="4">
        <v>25.753388572297219</v>
      </c>
      <c r="E3413" s="4"/>
      <c r="F3413" s="4">
        <v>29.469984768694449</v>
      </c>
      <c r="G3413" s="4">
        <v>32.6</v>
      </c>
      <c r="H3413" s="5">
        <v>40.155333192833332</v>
      </c>
      <c r="I3413" s="5"/>
      <c r="J3413" s="5">
        <v>44.349077228486117</v>
      </c>
      <c r="K3413" s="5">
        <v>34</v>
      </c>
    </row>
    <row r="3414" spans="1:11" x14ac:dyDescent="0.25">
      <c r="A3414" s="2">
        <v>46239.625</v>
      </c>
      <c r="B3414" t="str">
        <f t="shared" si="106"/>
        <v>2026-08</v>
      </c>
      <c r="C3414" s="3">
        <f t="shared" si="107"/>
        <v>15</v>
      </c>
      <c r="D3414" s="4">
        <v>25.600252556219441</v>
      </c>
      <c r="E3414" s="4"/>
      <c r="F3414" s="4">
        <v>29.468401275538891</v>
      </c>
      <c r="G3414" s="4">
        <v>33.299999999999997</v>
      </c>
      <c r="H3414" s="5">
        <v>40.188158721336123</v>
      </c>
      <c r="I3414" s="5"/>
      <c r="J3414" s="5">
        <v>44.389971683177777</v>
      </c>
      <c r="K3414" s="5">
        <v>32</v>
      </c>
    </row>
    <row r="3415" spans="1:11" x14ac:dyDescent="0.25">
      <c r="A3415" s="2">
        <v>46239.666666666657</v>
      </c>
      <c r="B3415" t="str">
        <f t="shared" si="106"/>
        <v>2026-08</v>
      </c>
      <c r="C3415" s="3">
        <f t="shared" si="107"/>
        <v>16</v>
      </c>
      <c r="D3415" s="4">
        <v>25.57657642485</v>
      </c>
      <c r="E3415" s="4"/>
      <c r="F3415" s="4">
        <v>29.408676364000002</v>
      </c>
      <c r="G3415" s="4">
        <v>33</v>
      </c>
      <c r="H3415" s="5">
        <v>42.157189842836111</v>
      </c>
      <c r="I3415" s="5"/>
      <c r="J3415" s="5">
        <v>44.313012476558328</v>
      </c>
      <c r="K3415" s="5">
        <v>33</v>
      </c>
    </row>
    <row r="3416" spans="1:11" x14ac:dyDescent="0.25">
      <c r="A3416" s="2">
        <v>46239.708333333343</v>
      </c>
      <c r="B3416" t="str">
        <f t="shared" si="106"/>
        <v>2026-08</v>
      </c>
      <c r="C3416" s="3">
        <f t="shared" si="107"/>
        <v>17</v>
      </c>
      <c r="D3416" s="4">
        <v>25.602656200683331</v>
      </c>
      <c r="E3416" s="4"/>
      <c r="F3416" s="4">
        <v>29.372447209650002</v>
      </c>
      <c r="G3416" s="4">
        <v>32.5</v>
      </c>
      <c r="H3416" s="5">
        <v>42.342829002663883</v>
      </c>
      <c r="I3416" s="5"/>
      <c r="J3416" s="5">
        <v>44.649543608666669</v>
      </c>
      <c r="K3416" s="5">
        <v>34</v>
      </c>
    </row>
    <row r="3417" spans="1:11" x14ac:dyDescent="0.25">
      <c r="A3417" s="2">
        <v>46239.75</v>
      </c>
      <c r="B3417" t="str">
        <f t="shared" si="106"/>
        <v>2026-08</v>
      </c>
      <c r="C3417" s="3">
        <f t="shared" si="107"/>
        <v>18</v>
      </c>
      <c r="D3417" s="4">
        <v>25.716766972869451</v>
      </c>
      <c r="E3417" s="4"/>
      <c r="F3417" s="4">
        <v>29.373083544136112</v>
      </c>
      <c r="G3417" s="4">
        <v>32</v>
      </c>
      <c r="H3417" s="5">
        <v>44.521981202950002</v>
      </c>
      <c r="I3417" s="5"/>
      <c r="J3417" s="5">
        <v>44.73097411114167</v>
      </c>
      <c r="K3417" s="5">
        <v>36</v>
      </c>
    </row>
    <row r="3418" spans="1:11" x14ac:dyDescent="0.25">
      <c r="A3418" s="2">
        <v>46239.791666666657</v>
      </c>
      <c r="B3418" t="str">
        <f t="shared" si="106"/>
        <v>2026-08</v>
      </c>
      <c r="C3418" s="3">
        <f t="shared" si="107"/>
        <v>19</v>
      </c>
      <c r="D3418" s="4">
        <v>25.46907632032222</v>
      </c>
      <c r="E3418" s="4"/>
      <c r="F3418" s="4">
        <v>29.277403382955551</v>
      </c>
      <c r="G3418" s="4">
        <v>31.3</v>
      </c>
      <c r="H3418" s="5">
        <v>41.492273460966658</v>
      </c>
      <c r="I3418" s="5"/>
      <c r="J3418" s="5">
        <v>44.757314531894451</v>
      </c>
      <c r="K3418" s="5">
        <v>38</v>
      </c>
    </row>
    <row r="3419" spans="1:11" x14ac:dyDescent="0.25">
      <c r="A3419" s="2">
        <v>46239.833333333343</v>
      </c>
      <c r="B3419" t="str">
        <f t="shared" si="106"/>
        <v>2026-08</v>
      </c>
      <c r="C3419" s="3">
        <f t="shared" si="107"/>
        <v>20</v>
      </c>
      <c r="D3419" s="4">
        <v>25.62721683575278</v>
      </c>
      <c r="E3419" s="4"/>
      <c r="F3419" s="4">
        <v>28.618278252233331</v>
      </c>
      <c r="G3419" s="4">
        <v>30.2</v>
      </c>
      <c r="H3419" s="5">
        <v>45.850215316466667</v>
      </c>
      <c r="I3419" s="5"/>
      <c r="J3419" s="5">
        <v>48.292628656058334</v>
      </c>
      <c r="K3419" s="5">
        <v>47</v>
      </c>
    </row>
    <row r="3420" spans="1:11" x14ac:dyDescent="0.25">
      <c r="A3420" s="2">
        <v>46239.875</v>
      </c>
      <c r="B3420" t="str">
        <f t="shared" si="106"/>
        <v>2026-08</v>
      </c>
      <c r="C3420" s="3">
        <f t="shared" si="107"/>
        <v>21</v>
      </c>
      <c r="D3420" s="4">
        <v>25.607485312172219</v>
      </c>
      <c r="E3420" s="4"/>
      <c r="F3420" s="4">
        <v>29.038813663730551</v>
      </c>
      <c r="G3420" s="4">
        <v>29.2</v>
      </c>
      <c r="H3420" s="5">
        <v>42.487285849916667</v>
      </c>
      <c r="I3420" s="5"/>
      <c r="J3420" s="5">
        <v>46.697008022491673</v>
      </c>
      <c r="K3420" s="5">
        <v>50</v>
      </c>
    </row>
    <row r="3421" spans="1:11" x14ac:dyDescent="0.25">
      <c r="A3421" s="2">
        <v>46239.916666666657</v>
      </c>
      <c r="B3421" t="str">
        <f t="shared" si="106"/>
        <v>2026-08</v>
      </c>
      <c r="C3421" s="3">
        <f t="shared" si="107"/>
        <v>22</v>
      </c>
      <c r="D3421" s="4">
        <v>25.732539344997221</v>
      </c>
      <c r="E3421" s="4"/>
      <c r="F3421" s="4">
        <v>29.204416797527781</v>
      </c>
      <c r="G3421" s="4">
        <v>28.4</v>
      </c>
      <c r="H3421" s="5">
        <v>40.823637344550001</v>
      </c>
      <c r="I3421" s="5"/>
      <c r="J3421" s="5">
        <v>46.047789045416657</v>
      </c>
      <c r="K3421" s="5">
        <v>54</v>
      </c>
    </row>
    <row r="3422" spans="1:11" x14ac:dyDescent="0.25">
      <c r="A3422" s="2">
        <v>46239.958333333343</v>
      </c>
      <c r="B3422" t="str">
        <f t="shared" si="106"/>
        <v>2026-08</v>
      </c>
      <c r="C3422" s="3">
        <f t="shared" si="107"/>
        <v>23</v>
      </c>
      <c r="D3422" s="4">
        <v>25.811980553747219</v>
      </c>
      <c r="E3422" s="4"/>
      <c r="F3422" s="4">
        <v>29.278080835372229</v>
      </c>
      <c r="G3422" s="4">
        <v>27.6</v>
      </c>
      <c r="H3422" s="5">
        <v>42.123030854841673</v>
      </c>
      <c r="I3422" s="5"/>
      <c r="J3422" s="5">
        <v>45.640848360225</v>
      </c>
      <c r="K3422" s="5">
        <v>56</v>
      </c>
    </row>
    <row r="3423" spans="1:11" x14ac:dyDescent="0.25">
      <c r="A3423" s="2">
        <v>46240</v>
      </c>
      <c r="B3423" t="str">
        <f t="shared" si="106"/>
        <v>2026-08</v>
      </c>
      <c r="C3423" s="3">
        <f t="shared" si="107"/>
        <v>0</v>
      </c>
      <c r="D3423" s="4">
        <v>26.540381100441671</v>
      </c>
      <c r="E3423" s="4"/>
      <c r="F3423" s="4">
        <v>29.36759874608056</v>
      </c>
      <c r="G3423" s="4">
        <v>27.3</v>
      </c>
      <c r="H3423" s="5">
        <v>43.614968253161123</v>
      </c>
      <c r="I3423" s="5"/>
      <c r="J3423" s="5">
        <v>45.491631069436117</v>
      </c>
      <c r="K3423" s="5">
        <v>58</v>
      </c>
    </row>
    <row r="3424" spans="1:11" x14ac:dyDescent="0.25">
      <c r="A3424" s="2">
        <v>46240.041666666657</v>
      </c>
      <c r="B3424" t="str">
        <f t="shared" si="106"/>
        <v>2026-08</v>
      </c>
      <c r="C3424" s="3">
        <f t="shared" si="107"/>
        <v>1</v>
      </c>
      <c r="D3424" s="4">
        <v>24.853527308680551</v>
      </c>
      <c r="E3424" s="4"/>
      <c r="F3424" s="4">
        <v>29.355926178666671</v>
      </c>
      <c r="G3424" s="4">
        <v>26.5</v>
      </c>
      <c r="H3424" s="5">
        <v>40.971737840897227</v>
      </c>
      <c r="I3424" s="5"/>
      <c r="J3424" s="5">
        <v>45.50330300912222</v>
      </c>
      <c r="K3424" s="5">
        <v>60</v>
      </c>
    </row>
    <row r="3425" spans="1:11" x14ac:dyDescent="0.25">
      <c r="A3425" s="2">
        <v>46240.083333333343</v>
      </c>
      <c r="B3425" t="str">
        <f t="shared" si="106"/>
        <v>2026-08</v>
      </c>
      <c r="C3425" s="3">
        <f t="shared" si="107"/>
        <v>2</v>
      </c>
      <c r="D3425" s="4">
        <v>25.484031168727778</v>
      </c>
      <c r="E3425" s="4"/>
      <c r="F3425" s="4">
        <v>29.295464657555559</v>
      </c>
      <c r="G3425" s="4">
        <v>25.5</v>
      </c>
      <c r="H3425" s="5">
        <v>42.418953795613881</v>
      </c>
      <c r="I3425" s="5"/>
      <c r="J3425" s="5">
        <v>45.090983487461109</v>
      </c>
      <c r="K3425" s="5">
        <v>64</v>
      </c>
    </row>
    <row r="3426" spans="1:11" x14ac:dyDescent="0.25">
      <c r="A3426" s="2">
        <v>46240.125</v>
      </c>
      <c r="B3426" t="str">
        <f t="shared" si="106"/>
        <v>2026-08</v>
      </c>
      <c r="C3426" s="3">
        <f t="shared" si="107"/>
        <v>3</v>
      </c>
      <c r="D3426" s="4">
        <v>26.644331388116669</v>
      </c>
      <c r="E3426" s="4"/>
      <c r="F3426" s="4">
        <v>29.328040365672219</v>
      </c>
      <c r="G3426" s="4">
        <v>23.6</v>
      </c>
      <c r="H3426" s="5">
        <v>47.292299023105564</v>
      </c>
      <c r="I3426" s="5"/>
      <c r="J3426" s="5">
        <v>45.374869485177783</v>
      </c>
      <c r="K3426" s="5">
        <v>72</v>
      </c>
    </row>
    <row r="3427" spans="1:11" x14ac:dyDescent="0.25">
      <c r="A3427" s="2">
        <v>46240.166666666657</v>
      </c>
      <c r="B3427" t="str">
        <f t="shared" si="106"/>
        <v>2026-08</v>
      </c>
      <c r="C3427" s="3">
        <f t="shared" si="107"/>
        <v>4</v>
      </c>
      <c r="D3427" s="4">
        <v>27.014926369608329</v>
      </c>
      <c r="E3427" s="4"/>
      <c r="F3427" s="4">
        <v>29.377096230663881</v>
      </c>
      <c r="G3427" s="4">
        <v>22.9</v>
      </c>
      <c r="H3427" s="5">
        <v>48.758439771324987</v>
      </c>
      <c r="I3427" s="5"/>
      <c r="J3427" s="5">
        <v>46.139842976038892</v>
      </c>
      <c r="K3427" s="5">
        <v>74</v>
      </c>
    </row>
    <row r="3428" spans="1:11" x14ac:dyDescent="0.25">
      <c r="A3428" s="2">
        <v>46240.208333333343</v>
      </c>
      <c r="B3428" t="str">
        <f t="shared" si="106"/>
        <v>2026-08</v>
      </c>
      <c r="C3428" s="3">
        <f t="shared" si="107"/>
        <v>5</v>
      </c>
      <c r="D3428" s="4">
        <v>27.186392195752781</v>
      </c>
      <c r="E3428" s="4"/>
      <c r="F3428" s="4">
        <v>29.419560423222219</v>
      </c>
      <c r="G3428" s="4">
        <v>22.1</v>
      </c>
      <c r="H3428" s="5">
        <v>48.850428595511111</v>
      </c>
      <c r="I3428" s="5"/>
      <c r="J3428" s="5">
        <v>46.513055046411118</v>
      </c>
      <c r="K3428" s="5">
        <v>79</v>
      </c>
    </row>
    <row r="3429" spans="1:11" x14ac:dyDescent="0.25">
      <c r="A3429" s="2">
        <v>46240.25</v>
      </c>
      <c r="B3429" t="str">
        <f t="shared" si="106"/>
        <v>2026-08</v>
      </c>
      <c r="C3429" s="3">
        <f t="shared" si="107"/>
        <v>6</v>
      </c>
      <c r="D3429" s="4">
        <v>27.417120643405561</v>
      </c>
      <c r="E3429" s="4"/>
      <c r="F3429" s="4">
        <v>29.502724854258329</v>
      </c>
      <c r="G3429" s="4">
        <v>22.1</v>
      </c>
      <c r="H3429" s="5">
        <v>49.538936143619438</v>
      </c>
      <c r="I3429" s="5"/>
      <c r="J3429" s="5">
        <v>46.73901559042222</v>
      </c>
      <c r="K3429" s="5">
        <v>80</v>
      </c>
    </row>
    <row r="3430" spans="1:11" x14ac:dyDescent="0.25">
      <c r="A3430" s="2">
        <v>46240.291666666657</v>
      </c>
      <c r="B3430" t="str">
        <f t="shared" si="106"/>
        <v>2026-08</v>
      </c>
      <c r="C3430" s="3">
        <f t="shared" si="107"/>
        <v>7</v>
      </c>
      <c r="D3430" s="4">
        <v>27.851752568647221</v>
      </c>
      <c r="E3430" s="4"/>
      <c r="F3430" s="4">
        <v>29.52674020652222</v>
      </c>
      <c r="G3430" s="4">
        <v>23.5</v>
      </c>
      <c r="H3430" s="5">
        <v>49.768824013361112</v>
      </c>
      <c r="I3430" s="5"/>
      <c r="J3430" s="5">
        <v>47.011484855122227</v>
      </c>
      <c r="K3430" s="5">
        <v>73</v>
      </c>
    </row>
    <row r="3431" spans="1:11" x14ac:dyDescent="0.25">
      <c r="A3431" s="2">
        <v>46240.333333333343</v>
      </c>
      <c r="B3431" t="str">
        <f t="shared" si="106"/>
        <v>2026-08</v>
      </c>
      <c r="C3431" s="3">
        <f t="shared" si="107"/>
        <v>8</v>
      </c>
      <c r="D3431" s="4">
        <v>28.33525520230555</v>
      </c>
      <c r="E3431" s="4"/>
      <c r="F3431" s="4">
        <v>29.596310394813891</v>
      </c>
      <c r="G3431" s="4">
        <v>25.6</v>
      </c>
      <c r="H3431" s="5">
        <v>49.704935845016671</v>
      </c>
      <c r="I3431" s="5"/>
      <c r="J3431" s="5">
        <v>47.098522283163888</v>
      </c>
      <c r="K3431" s="5">
        <v>62</v>
      </c>
    </row>
    <row r="3432" spans="1:11" x14ac:dyDescent="0.25">
      <c r="A3432" s="2">
        <v>46240.375</v>
      </c>
      <c r="B3432" t="str">
        <f t="shared" si="106"/>
        <v>2026-08</v>
      </c>
      <c r="C3432" s="3">
        <f t="shared" si="107"/>
        <v>9</v>
      </c>
      <c r="D3432" s="4">
        <v>27.627854209144449</v>
      </c>
      <c r="E3432" s="4"/>
      <c r="F3432" s="4">
        <v>29.649803079366659</v>
      </c>
      <c r="G3432" s="4">
        <v>28.5</v>
      </c>
      <c r="H3432" s="5">
        <v>41.027136719058333</v>
      </c>
      <c r="I3432" s="5"/>
      <c r="J3432" s="5">
        <v>47.071813093761108</v>
      </c>
      <c r="K3432" s="5">
        <v>51</v>
      </c>
    </row>
    <row r="3433" spans="1:11" x14ac:dyDescent="0.25">
      <c r="A3433" s="2">
        <v>46240.416666666657</v>
      </c>
      <c r="B3433" t="str">
        <f t="shared" si="106"/>
        <v>2026-08</v>
      </c>
      <c r="C3433" s="3">
        <f t="shared" si="107"/>
        <v>10</v>
      </c>
      <c r="D3433" s="4">
        <v>26.771803190561108</v>
      </c>
      <c r="E3433" s="4"/>
      <c r="F3433" s="4">
        <v>29.59845958818056</v>
      </c>
      <c r="G3433" s="4">
        <v>30.6</v>
      </c>
      <c r="H3433" s="5">
        <v>37.161936728511122</v>
      </c>
      <c r="I3433" s="5"/>
      <c r="J3433" s="5">
        <v>46.470614056577773</v>
      </c>
      <c r="K3433" s="5">
        <v>43</v>
      </c>
    </row>
    <row r="3434" spans="1:11" x14ac:dyDescent="0.25">
      <c r="A3434" s="2">
        <v>46240.458333333343</v>
      </c>
      <c r="B3434" t="str">
        <f t="shared" si="106"/>
        <v>2026-08</v>
      </c>
      <c r="C3434" s="3">
        <f t="shared" si="107"/>
        <v>11</v>
      </c>
      <c r="D3434" s="4">
        <v>26.327207356333329</v>
      </c>
      <c r="E3434" s="4"/>
      <c r="F3434" s="4">
        <v>29.609739855236111</v>
      </c>
      <c r="G3434" s="4">
        <v>32.200000000000003</v>
      </c>
      <c r="H3434" s="5">
        <v>36.855117402133331</v>
      </c>
      <c r="I3434" s="5"/>
      <c r="J3434" s="5">
        <v>45.802002527369453</v>
      </c>
      <c r="K3434" s="5">
        <v>36</v>
      </c>
    </row>
    <row r="3435" spans="1:11" x14ac:dyDescent="0.25">
      <c r="A3435" s="2">
        <v>46240.5</v>
      </c>
      <c r="B3435" t="str">
        <f t="shared" si="106"/>
        <v>2026-08</v>
      </c>
      <c r="C3435" s="3">
        <f t="shared" si="107"/>
        <v>12</v>
      </c>
      <c r="D3435" s="4">
        <v>25.917666057550001</v>
      </c>
      <c r="E3435" s="4"/>
      <c r="F3435" s="4">
        <v>29.546467173277779</v>
      </c>
      <c r="G3435" s="4">
        <v>33.200000000000003</v>
      </c>
      <c r="H3435" s="5">
        <v>36.064669116049998</v>
      </c>
      <c r="I3435" s="5"/>
      <c r="J3435" s="5">
        <v>45.048669693502781</v>
      </c>
      <c r="K3435" s="5">
        <v>33</v>
      </c>
    </row>
    <row r="3436" spans="1:11" x14ac:dyDescent="0.25">
      <c r="A3436" s="2">
        <v>46240.541666666657</v>
      </c>
      <c r="B3436" t="str">
        <f t="shared" si="106"/>
        <v>2026-08</v>
      </c>
      <c r="C3436" s="3">
        <f t="shared" si="107"/>
        <v>13</v>
      </c>
      <c r="D3436" s="4">
        <v>25.728220697516669</v>
      </c>
      <c r="E3436" s="4"/>
      <c r="F3436" s="4">
        <v>29.530719612794449</v>
      </c>
      <c r="G3436" s="4">
        <v>33.799999999999997</v>
      </c>
      <c r="H3436" s="5">
        <v>37.407413159133327</v>
      </c>
      <c r="I3436" s="5"/>
      <c r="J3436" s="5">
        <v>43.939304615730563</v>
      </c>
      <c r="K3436" s="5">
        <v>30</v>
      </c>
    </row>
    <row r="3437" spans="1:11" x14ac:dyDescent="0.25">
      <c r="A3437" s="2">
        <v>46240.583333333343</v>
      </c>
      <c r="B3437" t="str">
        <f t="shared" si="106"/>
        <v>2026-08</v>
      </c>
      <c r="C3437" s="3">
        <f t="shared" si="107"/>
        <v>14</v>
      </c>
      <c r="D3437" s="4">
        <v>27.063247778605561</v>
      </c>
      <c r="E3437" s="4"/>
      <c r="F3437" s="4">
        <v>29.58105806578611</v>
      </c>
      <c r="G3437" s="4">
        <v>34.1</v>
      </c>
      <c r="H3437" s="5">
        <v>42.618429685697222</v>
      </c>
      <c r="I3437" s="5"/>
      <c r="J3437" s="5">
        <v>44.432053783136112</v>
      </c>
      <c r="K3437" s="5">
        <v>30</v>
      </c>
    </row>
    <row r="3438" spans="1:11" x14ac:dyDescent="0.25">
      <c r="A3438" s="2">
        <v>46240.625</v>
      </c>
      <c r="B3438" t="str">
        <f t="shared" si="106"/>
        <v>2026-08</v>
      </c>
      <c r="C3438" s="3">
        <f t="shared" si="107"/>
        <v>15</v>
      </c>
      <c r="D3438" s="4">
        <v>27.75464959240556</v>
      </c>
      <c r="E3438" s="4"/>
      <c r="F3438" s="4">
        <v>29.641744864655561</v>
      </c>
      <c r="G3438" s="4">
        <v>34.9</v>
      </c>
      <c r="H3438" s="5">
        <v>43.928511131280551</v>
      </c>
      <c r="I3438" s="5"/>
      <c r="J3438" s="5">
        <v>45.036064949227779</v>
      </c>
      <c r="K3438" s="5">
        <v>28</v>
      </c>
    </row>
    <row r="3439" spans="1:11" x14ac:dyDescent="0.25">
      <c r="A3439" s="2">
        <v>46240.666666666657</v>
      </c>
      <c r="B3439" t="str">
        <f t="shared" si="106"/>
        <v>2026-08</v>
      </c>
      <c r="C3439" s="3">
        <f t="shared" si="107"/>
        <v>16</v>
      </c>
      <c r="D3439" s="4">
        <v>27.563773940138891</v>
      </c>
      <c r="E3439" s="4"/>
      <c r="F3439" s="4">
        <v>29.672370736916669</v>
      </c>
      <c r="G3439" s="4">
        <v>34.799999999999997</v>
      </c>
      <c r="H3439" s="5">
        <v>42.668890801869438</v>
      </c>
      <c r="I3439" s="5"/>
      <c r="J3439" s="5">
        <v>45.761296253163891</v>
      </c>
      <c r="K3439" s="5">
        <v>28</v>
      </c>
    </row>
    <row r="3440" spans="1:11" x14ac:dyDescent="0.25">
      <c r="A3440" s="2">
        <v>46240.708333333343</v>
      </c>
      <c r="B3440" t="str">
        <f t="shared" si="106"/>
        <v>2026-08</v>
      </c>
      <c r="C3440" s="3">
        <f t="shared" si="107"/>
        <v>17</v>
      </c>
      <c r="D3440" s="4">
        <v>25.947477344161111</v>
      </c>
      <c r="E3440" s="4"/>
      <c r="F3440" s="4">
        <v>29.65541418782778</v>
      </c>
      <c r="G3440" s="4">
        <v>34.4</v>
      </c>
      <c r="H3440" s="5">
        <v>38.750805872216667</v>
      </c>
      <c r="I3440" s="5"/>
      <c r="J3440" s="5">
        <v>45.375943389730558</v>
      </c>
      <c r="K3440" s="5">
        <v>29</v>
      </c>
    </row>
    <row r="3441" spans="1:11" x14ac:dyDescent="0.25">
      <c r="A3441" s="2">
        <v>46240.75</v>
      </c>
      <c r="B3441" t="str">
        <f t="shared" si="106"/>
        <v>2026-08</v>
      </c>
      <c r="C3441" s="3">
        <f t="shared" si="107"/>
        <v>18</v>
      </c>
      <c r="D3441" s="4">
        <v>25.793702856011109</v>
      </c>
      <c r="E3441" s="4"/>
      <c r="F3441" s="4">
        <v>29.603419363983331</v>
      </c>
      <c r="G3441" s="4">
        <v>33.9</v>
      </c>
      <c r="H3441" s="5">
        <v>41.217286979872227</v>
      </c>
      <c r="I3441" s="5"/>
      <c r="J3441" s="5">
        <v>45.13322983836111</v>
      </c>
      <c r="K3441" s="5">
        <v>30</v>
      </c>
    </row>
    <row r="3442" spans="1:11" x14ac:dyDescent="0.25">
      <c r="A3442" s="2">
        <v>46240.791666666657</v>
      </c>
      <c r="B3442" t="str">
        <f t="shared" si="106"/>
        <v>2026-08</v>
      </c>
      <c r="C3442" s="3">
        <f t="shared" si="107"/>
        <v>19</v>
      </c>
      <c r="D3442" s="4">
        <v>25.60040473033056</v>
      </c>
      <c r="E3442" s="4"/>
      <c r="F3442" s="4">
        <v>29.531959809288889</v>
      </c>
      <c r="G3442" s="4">
        <v>33.299999999999997</v>
      </c>
      <c r="H3442" s="5">
        <v>42.903190824861113</v>
      </c>
      <c r="I3442" s="5"/>
      <c r="J3442" s="5">
        <v>45.02492483473889</v>
      </c>
      <c r="K3442" s="5">
        <v>32</v>
      </c>
    </row>
    <row r="3443" spans="1:11" x14ac:dyDescent="0.25">
      <c r="A3443" s="2">
        <v>46240.833333333343</v>
      </c>
      <c r="B3443" t="str">
        <f t="shared" si="106"/>
        <v>2026-08</v>
      </c>
      <c r="C3443" s="3">
        <f t="shared" si="107"/>
        <v>20</v>
      </c>
      <c r="D3443" s="4">
        <v>25.74327865865278</v>
      </c>
      <c r="E3443" s="4"/>
      <c r="F3443" s="4">
        <v>29.536287805727781</v>
      </c>
      <c r="G3443" s="4">
        <v>31.8</v>
      </c>
      <c r="H3443" s="5">
        <v>46.316449734300001</v>
      </c>
      <c r="I3443" s="5"/>
      <c r="J3443" s="5">
        <v>45.400761924688886</v>
      </c>
      <c r="K3443" s="5">
        <v>36</v>
      </c>
    </row>
    <row r="3444" spans="1:11" x14ac:dyDescent="0.25">
      <c r="A3444" s="2">
        <v>46240.875</v>
      </c>
      <c r="B3444" t="str">
        <f t="shared" si="106"/>
        <v>2026-08</v>
      </c>
      <c r="C3444" s="3">
        <f t="shared" si="107"/>
        <v>21</v>
      </c>
      <c r="D3444" s="4">
        <v>25.29760437831667</v>
      </c>
      <c r="E3444" s="4"/>
      <c r="F3444" s="4">
        <v>29.53111740813889</v>
      </c>
      <c r="G3444" s="4">
        <v>30.6</v>
      </c>
      <c r="H3444" s="5">
        <v>46.854292965952773</v>
      </c>
      <c r="I3444" s="5"/>
      <c r="J3444" s="5">
        <v>45.634255765977777</v>
      </c>
      <c r="K3444" s="5">
        <v>46</v>
      </c>
    </row>
    <row r="3445" spans="1:11" x14ac:dyDescent="0.25">
      <c r="A3445" s="2">
        <v>46240.916666666657</v>
      </c>
      <c r="B3445" t="str">
        <f t="shared" si="106"/>
        <v>2026-08</v>
      </c>
      <c r="C3445" s="3">
        <f t="shared" si="107"/>
        <v>22</v>
      </c>
      <c r="D3445" s="4">
        <v>25.25124089734167</v>
      </c>
      <c r="E3445" s="4"/>
      <c r="F3445" s="4">
        <v>29.499611166019449</v>
      </c>
      <c r="G3445" s="4">
        <v>29.9</v>
      </c>
      <c r="H3445" s="5">
        <v>48.560646014636113</v>
      </c>
      <c r="I3445" s="5"/>
      <c r="J3445" s="5">
        <v>45.846195897213903</v>
      </c>
      <c r="K3445" s="5">
        <v>49</v>
      </c>
    </row>
    <row r="3446" spans="1:11" x14ac:dyDescent="0.25">
      <c r="A3446" s="2">
        <v>46240.958333333343</v>
      </c>
      <c r="B3446" t="str">
        <f t="shared" si="106"/>
        <v>2026-08</v>
      </c>
      <c r="C3446" s="3">
        <f t="shared" si="107"/>
        <v>23</v>
      </c>
      <c r="D3446" s="4">
        <v>25.678657600244449</v>
      </c>
      <c r="E3446" s="4"/>
      <c r="F3446" s="4">
        <v>29.558770268669441</v>
      </c>
      <c r="G3446" s="4">
        <v>29.5</v>
      </c>
      <c r="H3446" s="5">
        <v>50.252956337633329</v>
      </c>
      <c r="I3446" s="5"/>
      <c r="J3446" s="5">
        <v>46.494525514369442</v>
      </c>
      <c r="K3446" s="5">
        <v>48</v>
      </c>
    </row>
    <row r="3447" spans="1:11" x14ac:dyDescent="0.25">
      <c r="A3447" s="2">
        <v>46241</v>
      </c>
      <c r="B3447" t="str">
        <f t="shared" si="106"/>
        <v>2026-08</v>
      </c>
      <c r="C3447" s="3">
        <f t="shared" si="107"/>
        <v>0</v>
      </c>
      <c r="D3447" s="4">
        <v>25.429731537675</v>
      </c>
      <c r="E3447" s="4"/>
      <c r="F3447" s="4">
        <v>29.516610874841671</v>
      </c>
      <c r="G3447" s="4">
        <v>28.7</v>
      </c>
      <c r="H3447" s="5">
        <v>49.885398041299993</v>
      </c>
      <c r="I3447" s="5"/>
      <c r="J3447" s="5">
        <v>46.350979020799997</v>
      </c>
      <c r="K3447" s="5">
        <v>48</v>
      </c>
    </row>
    <row r="3448" spans="1:11" x14ac:dyDescent="0.25">
      <c r="A3448" s="2">
        <v>46241.041666666657</v>
      </c>
      <c r="B3448" t="str">
        <f t="shared" si="106"/>
        <v>2026-08</v>
      </c>
      <c r="C3448" s="3">
        <f t="shared" si="107"/>
        <v>1</v>
      </c>
      <c r="D3448" s="4">
        <v>26.274348411730561</v>
      </c>
      <c r="E3448" s="4"/>
      <c r="F3448" s="4">
        <v>29.582237095572221</v>
      </c>
      <c r="G3448" s="4">
        <v>27</v>
      </c>
      <c r="H3448" s="5">
        <v>51.101236948572222</v>
      </c>
      <c r="I3448" s="5"/>
      <c r="J3448" s="5">
        <v>46.862922594899999</v>
      </c>
      <c r="K3448" s="5">
        <v>52</v>
      </c>
    </row>
    <row r="3449" spans="1:11" x14ac:dyDescent="0.25">
      <c r="A3449" s="2">
        <v>46241.083333333343</v>
      </c>
      <c r="B3449" t="str">
        <f t="shared" si="106"/>
        <v>2026-08</v>
      </c>
      <c r="C3449" s="3">
        <f t="shared" si="107"/>
        <v>2</v>
      </c>
      <c r="D3449" s="4">
        <v>26.93703734824723</v>
      </c>
      <c r="E3449" s="4"/>
      <c r="F3449" s="4">
        <v>29.608621091822229</v>
      </c>
      <c r="G3449" s="4">
        <v>25.6</v>
      </c>
      <c r="H3449" s="5">
        <v>49.165493486902783</v>
      </c>
      <c r="I3449" s="5"/>
      <c r="J3449" s="5">
        <v>47.108233777902782</v>
      </c>
      <c r="K3449" s="5">
        <v>54</v>
      </c>
    </row>
    <row r="3450" spans="1:11" x14ac:dyDescent="0.25">
      <c r="A3450" s="2">
        <v>46241.125</v>
      </c>
      <c r="B3450" t="str">
        <f t="shared" si="106"/>
        <v>2026-08</v>
      </c>
      <c r="C3450" s="3">
        <f t="shared" si="107"/>
        <v>3</v>
      </c>
      <c r="D3450" s="4">
        <v>27.225166636763891</v>
      </c>
      <c r="E3450" s="4"/>
      <c r="F3450" s="4">
        <v>29.629964696041672</v>
      </c>
      <c r="G3450" s="4">
        <v>24.2</v>
      </c>
      <c r="H3450" s="5">
        <v>47.554424645077781</v>
      </c>
      <c r="I3450" s="5"/>
      <c r="J3450" s="5">
        <v>47.215535622680562</v>
      </c>
      <c r="K3450" s="5">
        <v>56</v>
      </c>
    </row>
    <row r="3451" spans="1:11" x14ac:dyDescent="0.25">
      <c r="A3451" s="2">
        <v>46241.166666666657</v>
      </c>
      <c r="B3451" t="str">
        <f t="shared" si="106"/>
        <v>2026-08</v>
      </c>
      <c r="C3451" s="3">
        <f t="shared" si="107"/>
        <v>4</v>
      </c>
      <c r="D3451" s="4">
        <v>27.37970611956111</v>
      </c>
      <c r="E3451" s="4"/>
      <c r="F3451" s="4">
        <v>29.64337109378333</v>
      </c>
      <c r="G3451" s="4">
        <v>23.4</v>
      </c>
      <c r="H3451" s="5">
        <v>46.228830925538887</v>
      </c>
      <c r="I3451" s="5"/>
      <c r="J3451" s="5">
        <v>47.243151104305561</v>
      </c>
      <c r="K3451" s="5">
        <v>57</v>
      </c>
    </row>
    <row r="3452" spans="1:11" x14ac:dyDescent="0.25">
      <c r="A3452" s="2">
        <v>46241.208333333343</v>
      </c>
      <c r="B3452" t="str">
        <f t="shared" si="106"/>
        <v>2026-08</v>
      </c>
      <c r="C3452" s="3">
        <f t="shared" si="107"/>
        <v>5</v>
      </c>
      <c r="D3452" s="4">
        <v>27.494303307694441</v>
      </c>
      <c r="E3452" s="4"/>
      <c r="F3452" s="4">
        <v>29.65777007179722</v>
      </c>
      <c r="G3452" s="4">
        <v>22.7</v>
      </c>
      <c r="H3452" s="5">
        <v>45.634138072647232</v>
      </c>
      <c r="I3452" s="5"/>
      <c r="J3452" s="5">
        <v>47.241573256319441</v>
      </c>
      <c r="K3452" s="5">
        <v>59</v>
      </c>
    </row>
    <row r="3453" spans="1:11" x14ac:dyDescent="0.25">
      <c r="A3453" s="2">
        <v>46241.25</v>
      </c>
      <c r="B3453" t="str">
        <f t="shared" si="106"/>
        <v>2026-08</v>
      </c>
      <c r="C3453" s="3">
        <f t="shared" si="107"/>
        <v>6</v>
      </c>
      <c r="D3453" s="4">
        <v>27.786753376711111</v>
      </c>
      <c r="E3453" s="4"/>
      <c r="F3453" s="4">
        <v>29.683651490961111</v>
      </c>
      <c r="G3453" s="4">
        <v>22.8</v>
      </c>
      <c r="H3453" s="5">
        <v>44.601680957697234</v>
      </c>
      <c r="I3453" s="5"/>
      <c r="J3453" s="5">
        <v>47.18779060933889</v>
      </c>
      <c r="K3453" s="5">
        <v>58</v>
      </c>
    </row>
    <row r="3454" spans="1:11" x14ac:dyDescent="0.25">
      <c r="A3454" s="2">
        <v>46241.291666666657</v>
      </c>
      <c r="B3454" t="str">
        <f t="shared" si="106"/>
        <v>2026-08</v>
      </c>
      <c r="C3454" s="3">
        <f t="shared" si="107"/>
        <v>7</v>
      </c>
      <c r="D3454" s="4">
        <v>28.319317971588891</v>
      </c>
      <c r="E3454" s="4"/>
      <c r="F3454" s="4">
        <v>29.724040238952771</v>
      </c>
      <c r="G3454" s="4">
        <v>24</v>
      </c>
      <c r="H3454" s="5">
        <v>44.748602342636111</v>
      </c>
      <c r="I3454" s="5"/>
      <c r="J3454" s="5">
        <v>47.171908931674999</v>
      </c>
      <c r="K3454" s="5">
        <v>55</v>
      </c>
    </row>
    <row r="3455" spans="1:11" x14ac:dyDescent="0.25">
      <c r="A3455" s="2">
        <v>46241.333333333343</v>
      </c>
      <c r="B3455" t="str">
        <f t="shared" si="106"/>
        <v>2026-08</v>
      </c>
      <c r="C3455" s="3">
        <f t="shared" si="107"/>
        <v>8</v>
      </c>
      <c r="D3455" s="4">
        <v>28.378084585511111</v>
      </c>
      <c r="E3455" s="4"/>
      <c r="F3455" s="4">
        <v>29.764227167011111</v>
      </c>
      <c r="G3455" s="4">
        <v>26.2</v>
      </c>
      <c r="H3455" s="5">
        <v>42.292401682769437</v>
      </c>
      <c r="I3455" s="5"/>
      <c r="J3455" s="5">
        <v>47.172253839369453</v>
      </c>
      <c r="K3455" s="5">
        <v>48</v>
      </c>
    </row>
    <row r="3456" spans="1:11" x14ac:dyDescent="0.25">
      <c r="A3456" s="2">
        <v>46241.375</v>
      </c>
      <c r="B3456" t="str">
        <f t="shared" si="106"/>
        <v>2026-08</v>
      </c>
      <c r="C3456" s="3">
        <f t="shared" si="107"/>
        <v>9</v>
      </c>
      <c r="D3456" s="4">
        <v>26.67204107555834</v>
      </c>
      <c r="E3456" s="4"/>
      <c r="F3456" s="4">
        <v>29.77685378103612</v>
      </c>
      <c r="G3456" s="4">
        <v>28.9</v>
      </c>
      <c r="H3456" s="5">
        <v>34.522263401799997</v>
      </c>
      <c r="I3456" s="5"/>
      <c r="J3456" s="5">
        <v>46.421421303841669</v>
      </c>
      <c r="K3456" s="5">
        <v>44</v>
      </c>
    </row>
    <row r="3457" spans="1:11" x14ac:dyDescent="0.25">
      <c r="A3457" s="2">
        <v>46241.416666666657</v>
      </c>
      <c r="B3457" t="str">
        <f t="shared" si="106"/>
        <v>2026-08</v>
      </c>
      <c r="C3457" s="3">
        <f t="shared" si="107"/>
        <v>10</v>
      </c>
      <c r="D3457" s="4">
        <v>26.353501569366671</v>
      </c>
      <c r="E3457" s="4"/>
      <c r="F3457" s="4">
        <v>29.726679382197229</v>
      </c>
      <c r="G3457" s="4">
        <v>31.4</v>
      </c>
      <c r="H3457" s="5">
        <v>33.917611640363887</v>
      </c>
      <c r="I3457" s="5"/>
      <c r="J3457" s="5">
        <v>45.464717507622218</v>
      </c>
      <c r="K3457" s="5">
        <v>37</v>
      </c>
    </row>
    <row r="3458" spans="1:11" x14ac:dyDescent="0.25">
      <c r="A3458" s="2">
        <v>46241.458333333343</v>
      </c>
      <c r="B3458" t="str">
        <f t="shared" ref="B3458:B3521" si="108">TEXT(A3458,"yyyy-mm")</f>
        <v>2026-08</v>
      </c>
      <c r="C3458" s="3">
        <f t="shared" ref="C3458:C3521" si="109">HOUR(A3458)</f>
        <v>11</v>
      </c>
      <c r="D3458" s="4">
        <v>26.27254168271666</v>
      </c>
      <c r="E3458" s="4"/>
      <c r="F3458" s="4">
        <v>29.683159498447221</v>
      </c>
      <c r="G3458" s="4">
        <v>33.200000000000003</v>
      </c>
      <c r="H3458" s="5">
        <v>34.670450793027783</v>
      </c>
      <c r="I3458" s="5"/>
      <c r="J3458" s="5">
        <v>45.027851139761111</v>
      </c>
      <c r="K3458" s="5">
        <v>32</v>
      </c>
    </row>
    <row r="3459" spans="1:11" x14ac:dyDescent="0.25">
      <c r="A3459" s="2">
        <v>46241.5</v>
      </c>
      <c r="B3459" t="str">
        <f t="shared" si="108"/>
        <v>2026-08</v>
      </c>
      <c r="C3459" s="3">
        <f t="shared" si="109"/>
        <v>12</v>
      </c>
      <c r="D3459" s="4">
        <v>26.43754843223056</v>
      </c>
      <c r="E3459" s="4"/>
      <c r="F3459" s="4">
        <v>29.66251774621389</v>
      </c>
      <c r="G3459" s="4">
        <v>34.299999999999997</v>
      </c>
      <c r="H3459" s="5">
        <v>38.007096246408331</v>
      </c>
      <c r="I3459" s="5"/>
      <c r="J3459" s="5">
        <v>44.861099494538877</v>
      </c>
      <c r="K3459" s="5">
        <v>27</v>
      </c>
    </row>
    <row r="3460" spans="1:11" x14ac:dyDescent="0.25">
      <c r="A3460" s="2">
        <v>46241.541666666657</v>
      </c>
      <c r="B3460" t="str">
        <f t="shared" si="108"/>
        <v>2026-08</v>
      </c>
      <c r="C3460" s="3">
        <f t="shared" si="109"/>
        <v>13</v>
      </c>
      <c r="D3460" s="4">
        <v>26.29786819236389</v>
      </c>
      <c r="E3460" s="4"/>
      <c r="F3460" s="4">
        <v>29.681275180250001</v>
      </c>
      <c r="G3460" s="4">
        <v>34.9</v>
      </c>
      <c r="H3460" s="5">
        <v>38.342655619174998</v>
      </c>
      <c r="I3460" s="5"/>
      <c r="J3460" s="5">
        <v>44.842927002808331</v>
      </c>
      <c r="K3460" s="5">
        <v>26</v>
      </c>
    </row>
    <row r="3461" spans="1:11" x14ac:dyDescent="0.25">
      <c r="A3461" s="2">
        <v>46241.583333333343</v>
      </c>
      <c r="B3461" t="str">
        <f t="shared" si="108"/>
        <v>2026-08</v>
      </c>
      <c r="C3461" s="3">
        <f t="shared" si="109"/>
        <v>14</v>
      </c>
      <c r="D3461" s="4">
        <v>26.117798362272222</v>
      </c>
      <c r="E3461" s="4"/>
      <c r="F3461" s="4">
        <v>29.726722211513891</v>
      </c>
      <c r="G3461" s="4">
        <v>35.1</v>
      </c>
      <c r="H3461" s="5">
        <v>38.61120984198056</v>
      </c>
      <c r="I3461" s="5"/>
      <c r="J3461" s="5">
        <v>44.744433269277778</v>
      </c>
      <c r="K3461" s="5">
        <v>25</v>
      </c>
    </row>
    <row r="3462" spans="1:11" x14ac:dyDescent="0.25">
      <c r="A3462" s="2">
        <v>46241.625</v>
      </c>
      <c r="B3462" t="str">
        <f t="shared" si="108"/>
        <v>2026-08</v>
      </c>
      <c r="C3462" s="3">
        <f t="shared" si="109"/>
        <v>15</v>
      </c>
      <c r="D3462" s="4">
        <v>25.966906473983329</v>
      </c>
      <c r="E3462" s="4"/>
      <c r="F3462" s="4">
        <v>29.72906335227778</v>
      </c>
      <c r="G3462" s="4">
        <v>36.1</v>
      </c>
      <c r="H3462" s="5">
        <v>38.691743229183338</v>
      </c>
      <c r="I3462" s="5"/>
      <c r="J3462" s="5">
        <v>44.571522448350002</v>
      </c>
      <c r="K3462" s="5">
        <v>22</v>
      </c>
    </row>
    <row r="3463" spans="1:11" x14ac:dyDescent="0.25">
      <c r="A3463" s="2">
        <v>46241.666666666657</v>
      </c>
      <c r="B3463" t="str">
        <f t="shared" si="108"/>
        <v>2026-08</v>
      </c>
      <c r="C3463" s="3">
        <f t="shared" si="109"/>
        <v>16</v>
      </c>
      <c r="D3463" s="4">
        <v>25.88222342366667</v>
      </c>
      <c r="E3463" s="4"/>
      <c r="F3463" s="4">
        <v>29.722158731427779</v>
      </c>
      <c r="G3463" s="4">
        <v>35.700000000000003</v>
      </c>
      <c r="H3463" s="5">
        <v>40.164271247450003</v>
      </c>
      <c r="I3463" s="5"/>
      <c r="J3463" s="5">
        <v>44.437518908933328</v>
      </c>
      <c r="K3463" s="5">
        <v>23</v>
      </c>
    </row>
    <row r="3464" spans="1:11" x14ac:dyDescent="0.25">
      <c r="A3464" s="2">
        <v>46241.708333333343</v>
      </c>
      <c r="B3464" t="str">
        <f t="shared" si="108"/>
        <v>2026-08</v>
      </c>
      <c r="C3464" s="3">
        <f t="shared" si="109"/>
        <v>17</v>
      </c>
      <c r="D3464" s="4">
        <v>25.864483978636109</v>
      </c>
      <c r="E3464" s="4"/>
      <c r="F3464" s="4">
        <v>29.760519886127781</v>
      </c>
      <c r="G3464" s="4">
        <v>35.200000000000003</v>
      </c>
      <c r="H3464" s="5">
        <v>39.418781504755557</v>
      </c>
      <c r="I3464" s="5"/>
      <c r="J3464" s="5">
        <v>44.427387423938889</v>
      </c>
      <c r="K3464" s="5">
        <v>24</v>
      </c>
    </row>
    <row r="3465" spans="1:11" x14ac:dyDescent="0.25">
      <c r="A3465" s="2">
        <v>46241.75</v>
      </c>
      <c r="B3465" t="str">
        <f t="shared" si="108"/>
        <v>2026-08</v>
      </c>
      <c r="C3465" s="3">
        <f t="shared" si="109"/>
        <v>18</v>
      </c>
      <c r="D3465" s="4">
        <v>25.93654082919722</v>
      </c>
      <c r="E3465" s="4"/>
      <c r="F3465" s="4">
        <v>29.744101025738889</v>
      </c>
      <c r="G3465" s="4">
        <v>34.5</v>
      </c>
      <c r="H3465" s="5">
        <v>40.841851189875001</v>
      </c>
      <c r="I3465" s="5"/>
      <c r="J3465" s="5">
        <v>44.494521411213888</v>
      </c>
      <c r="K3465" s="5">
        <v>25</v>
      </c>
    </row>
    <row r="3466" spans="1:11" x14ac:dyDescent="0.25">
      <c r="A3466" s="2">
        <v>46241.791666666657</v>
      </c>
      <c r="B3466" t="str">
        <f t="shared" si="108"/>
        <v>2026-08</v>
      </c>
      <c r="C3466" s="3">
        <f t="shared" si="109"/>
        <v>19</v>
      </c>
      <c r="D3466" s="4">
        <v>26.060989767955562</v>
      </c>
      <c r="E3466" s="4"/>
      <c r="F3466" s="4">
        <v>29.731694178830551</v>
      </c>
      <c r="G3466" s="4">
        <v>33.799999999999997</v>
      </c>
      <c r="H3466" s="5">
        <v>42.282210957036114</v>
      </c>
      <c r="I3466" s="5"/>
      <c r="J3466" s="5">
        <v>44.847724971963878</v>
      </c>
      <c r="K3466" s="5">
        <v>27</v>
      </c>
    </row>
    <row r="3467" spans="1:11" x14ac:dyDescent="0.25">
      <c r="A3467" s="2">
        <v>46241.833333333343</v>
      </c>
      <c r="B3467" t="str">
        <f t="shared" si="108"/>
        <v>2026-08</v>
      </c>
      <c r="C3467" s="3">
        <f t="shared" si="109"/>
        <v>20</v>
      </c>
      <c r="D3467" s="4">
        <v>25.830132952124998</v>
      </c>
      <c r="E3467" s="4"/>
      <c r="F3467" s="4">
        <v>29.795144221825002</v>
      </c>
      <c r="G3467" s="4">
        <v>32.700000000000003</v>
      </c>
      <c r="H3467" s="5">
        <v>42.010502147855547</v>
      </c>
      <c r="I3467" s="5"/>
      <c r="J3467" s="5">
        <v>44.781769781697221</v>
      </c>
      <c r="K3467" s="5">
        <v>30</v>
      </c>
    </row>
    <row r="3468" spans="1:11" x14ac:dyDescent="0.25">
      <c r="A3468" s="2">
        <v>46241.875</v>
      </c>
      <c r="B3468" t="str">
        <f t="shared" si="108"/>
        <v>2026-08</v>
      </c>
      <c r="C3468" s="3">
        <f t="shared" si="109"/>
        <v>21</v>
      </c>
      <c r="D3468" s="4">
        <v>25.974662784311111</v>
      </c>
      <c r="E3468" s="4"/>
      <c r="F3468" s="4">
        <v>29.809815725730559</v>
      </c>
      <c r="G3468" s="4">
        <v>31.1</v>
      </c>
      <c r="H3468" s="5">
        <v>39.751390050211121</v>
      </c>
      <c r="I3468" s="5"/>
      <c r="J3468" s="5">
        <v>44.691144549183342</v>
      </c>
      <c r="K3468" s="5">
        <v>38</v>
      </c>
    </row>
    <row r="3469" spans="1:11" x14ac:dyDescent="0.25">
      <c r="A3469" s="2">
        <v>46241.916666666657</v>
      </c>
      <c r="B3469" t="str">
        <f t="shared" si="108"/>
        <v>2026-08</v>
      </c>
      <c r="C3469" s="3">
        <f t="shared" si="109"/>
        <v>22</v>
      </c>
      <c r="D3469" s="4">
        <v>26.24251790613889</v>
      </c>
      <c r="E3469" s="4"/>
      <c r="F3469" s="4">
        <v>29.84958403635834</v>
      </c>
      <c r="G3469" s="4">
        <v>30.3</v>
      </c>
      <c r="H3469" s="5">
        <v>39.933471820211111</v>
      </c>
      <c r="I3469" s="5"/>
      <c r="J3469" s="5">
        <v>44.561961098650002</v>
      </c>
      <c r="K3469" s="5">
        <v>37</v>
      </c>
    </row>
    <row r="3470" spans="1:11" x14ac:dyDescent="0.25">
      <c r="A3470" s="2">
        <v>46241.958333333343</v>
      </c>
      <c r="B3470" t="str">
        <f t="shared" si="108"/>
        <v>2026-08</v>
      </c>
      <c r="C3470" s="3">
        <f t="shared" si="109"/>
        <v>23</v>
      </c>
      <c r="D3470" s="4">
        <v>26.115549480011111</v>
      </c>
      <c r="E3470" s="4"/>
      <c r="F3470" s="4">
        <v>29.862659822733331</v>
      </c>
      <c r="G3470" s="4">
        <v>29.6</v>
      </c>
      <c r="H3470" s="5">
        <v>37.763883320300003</v>
      </c>
      <c r="I3470" s="5"/>
      <c r="J3470" s="5">
        <v>44.275461027347227</v>
      </c>
      <c r="K3470" s="5">
        <v>37</v>
      </c>
    </row>
    <row r="3471" spans="1:11" x14ac:dyDescent="0.25">
      <c r="A3471" s="2">
        <v>46242</v>
      </c>
      <c r="B3471" t="str">
        <f t="shared" si="108"/>
        <v>2026-08</v>
      </c>
      <c r="C3471" s="3">
        <f t="shared" si="109"/>
        <v>0</v>
      </c>
      <c r="D3471" s="4">
        <v>25.759404201083338</v>
      </c>
      <c r="E3471" s="4"/>
      <c r="F3471" s="4">
        <v>29.753856507502778</v>
      </c>
      <c r="G3471" s="4">
        <v>28.9</v>
      </c>
      <c r="H3471" s="5">
        <v>39.282718573433343</v>
      </c>
      <c r="I3471" s="5"/>
      <c r="J3471" s="5">
        <v>43.671160887219443</v>
      </c>
      <c r="K3471" s="5">
        <v>39</v>
      </c>
    </row>
    <row r="3472" spans="1:11" x14ac:dyDescent="0.25">
      <c r="A3472" s="2">
        <v>46242.041666666657</v>
      </c>
      <c r="B3472" t="str">
        <f t="shared" si="108"/>
        <v>2026-08</v>
      </c>
      <c r="C3472" s="3">
        <f t="shared" si="109"/>
        <v>1</v>
      </c>
      <c r="D3472" s="4">
        <v>25.473582437866671</v>
      </c>
      <c r="E3472" s="4"/>
      <c r="F3472" s="4">
        <v>29.773416728608339</v>
      </c>
      <c r="G3472" s="4">
        <v>28</v>
      </c>
      <c r="H3472" s="5">
        <v>40.286140517444451</v>
      </c>
      <c r="I3472" s="5"/>
      <c r="J3472" s="5">
        <v>43.934287401719438</v>
      </c>
      <c r="K3472" s="5">
        <v>40</v>
      </c>
    </row>
    <row r="3473" spans="1:11" x14ac:dyDescent="0.25">
      <c r="A3473" s="2">
        <v>46242.083333333343</v>
      </c>
      <c r="B3473" t="str">
        <f t="shared" si="108"/>
        <v>2026-08</v>
      </c>
      <c r="C3473" s="3">
        <f t="shared" si="109"/>
        <v>2</v>
      </c>
      <c r="D3473" s="4">
        <v>24.452350127258331</v>
      </c>
      <c r="E3473" s="4"/>
      <c r="F3473" s="4">
        <v>29.727326921894441</v>
      </c>
      <c r="G3473" s="4">
        <v>26.8</v>
      </c>
      <c r="H3473" s="5">
        <v>38.049367002627783</v>
      </c>
      <c r="I3473" s="5"/>
      <c r="J3473" s="5">
        <v>43.615012416894452</v>
      </c>
      <c r="K3473" s="5">
        <v>45</v>
      </c>
    </row>
    <row r="3474" spans="1:11" x14ac:dyDescent="0.25">
      <c r="A3474" s="2">
        <v>46242.125</v>
      </c>
      <c r="B3474" t="str">
        <f t="shared" si="108"/>
        <v>2026-08</v>
      </c>
      <c r="C3474" s="3">
        <f t="shared" si="109"/>
        <v>3</v>
      </c>
      <c r="D3474" s="4">
        <v>25.325217099777781</v>
      </c>
      <c r="E3474" s="4"/>
      <c r="F3474" s="4">
        <v>29.66997435070833</v>
      </c>
      <c r="G3474" s="4">
        <v>25.8</v>
      </c>
      <c r="H3474" s="5">
        <v>41.002351772738884</v>
      </c>
      <c r="I3474" s="5"/>
      <c r="J3474" s="5">
        <v>42.87148932901389</v>
      </c>
      <c r="K3474" s="5">
        <v>51</v>
      </c>
    </row>
    <row r="3475" spans="1:11" x14ac:dyDescent="0.25">
      <c r="A3475" s="2">
        <v>46242.166666666657</v>
      </c>
      <c r="B3475" t="str">
        <f t="shared" si="108"/>
        <v>2026-08</v>
      </c>
      <c r="C3475" s="3">
        <f t="shared" si="109"/>
        <v>4</v>
      </c>
      <c r="D3475" s="4">
        <v>26.685638911491669</v>
      </c>
      <c r="E3475" s="4"/>
      <c r="F3475" s="4">
        <v>29.733764115602771</v>
      </c>
      <c r="G3475" s="4">
        <v>24.6</v>
      </c>
      <c r="H3475" s="5">
        <v>43.322479527127783</v>
      </c>
      <c r="I3475" s="5"/>
      <c r="J3475" s="5">
        <v>43.738147899213892</v>
      </c>
      <c r="K3475" s="5">
        <v>58</v>
      </c>
    </row>
    <row r="3476" spans="1:11" x14ac:dyDescent="0.25">
      <c r="A3476" s="2">
        <v>46242.208333333343</v>
      </c>
      <c r="B3476" t="str">
        <f t="shared" si="108"/>
        <v>2026-08</v>
      </c>
      <c r="C3476" s="3">
        <f t="shared" si="109"/>
        <v>5</v>
      </c>
      <c r="D3476" s="4">
        <v>27.173044577527779</v>
      </c>
      <c r="E3476" s="4"/>
      <c r="F3476" s="4">
        <v>29.829895312188889</v>
      </c>
      <c r="G3476" s="4">
        <v>23.8</v>
      </c>
      <c r="H3476" s="5">
        <v>44.306370763838878</v>
      </c>
      <c r="I3476" s="5"/>
      <c r="J3476" s="5">
        <v>44.188230661469447</v>
      </c>
      <c r="K3476" s="5">
        <v>63</v>
      </c>
    </row>
    <row r="3477" spans="1:11" x14ac:dyDescent="0.25">
      <c r="A3477" s="2">
        <v>46242.25</v>
      </c>
      <c r="B3477" t="str">
        <f t="shared" si="108"/>
        <v>2026-08</v>
      </c>
      <c r="C3477" s="3">
        <f t="shared" si="109"/>
        <v>6</v>
      </c>
      <c r="D3477" s="4">
        <v>27.499913470969439</v>
      </c>
      <c r="E3477" s="4"/>
      <c r="F3477" s="4">
        <v>29.85999225985833</v>
      </c>
      <c r="G3477" s="4">
        <v>23.9</v>
      </c>
      <c r="H3477" s="5">
        <v>43.681855730466673</v>
      </c>
      <c r="I3477" s="5"/>
      <c r="J3477" s="5">
        <v>44.590303135583333</v>
      </c>
      <c r="K3477" s="5">
        <v>63</v>
      </c>
    </row>
    <row r="3478" spans="1:11" x14ac:dyDescent="0.25">
      <c r="A3478" s="2">
        <v>46242.291666666657</v>
      </c>
      <c r="B3478" t="str">
        <f t="shared" si="108"/>
        <v>2026-08</v>
      </c>
      <c r="C3478" s="3">
        <f t="shared" si="109"/>
        <v>7</v>
      </c>
      <c r="D3478" s="4">
        <v>27.752571726625</v>
      </c>
      <c r="E3478" s="4"/>
      <c r="F3478" s="4">
        <v>29.899123156169441</v>
      </c>
      <c r="G3478" s="4">
        <v>25</v>
      </c>
      <c r="H3478" s="5">
        <v>43.792445350211118</v>
      </c>
      <c r="I3478" s="5"/>
      <c r="J3478" s="5">
        <v>44.89010202415556</v>
      </c>
      <c r="K3478" s="5">
        <v>59</v>
      </c>
    </row>
    <row r="3479" spans="1:11" x14ac:dyDescent="0.25">
      <c r="A3479" s="2">
        <v>46242.333333333343</v>
      </c>
      <c r="B3479" t="str">
        <f t="shared" si="108"/>
        <v>2026-08</v>
      </c>
      <c r="C3479" s="3">
        <f t="shared" si="109"/>
        <v>8</v>
      </c>
      <c r="D3479" s="4">
        <v>28.25077345878611</v>
      </c>
      <c r="E3479" s="4"/>
      <c r="F3479" s="4">
        <v>29.949764118302781</v>
      </c>
      <c r="G3479" s="4">
        <v>26</v>
      </c>
      <c r="H3479" s="5">
        <v>44.339902396233327</v>
      </c>
      <c r="I3479" s="5"/>
      <c r="J3479" s="5">
        <v>45.13112962063056</v>
      </c>
      <c r="K3479" s="5">
        <v>54</v>
      </c>
    </row>
    <row r="3480" spans="1:11" x14ac:dyDescent="0.25">
      <c r="A3480" s="2">
        <v>46242.375</v>
      </c>
      <c r="B3480" t="str">
        <f t="shared" si="108"/>
        <v>2026-08</v>
      </c>
      <c r="C3480" s="3">
        <f t="shared" si="109"/>
        <v>9</v>
      </c>
      <c r="D3480" s="4">
        <v>26.92044455535278</v>
      </c>
      <c r="E3480" s="4"/>
      <c r="F3480" s="4">
        <v>29.989485392963889</v>
      </c>
      <c r="G3480" s="4">
        <v>26.8</v>
      </c>
      <c r="H3480" s="5">
        <v>35.954382895019442</v>
      </c>
      <c r="I3480" s="5"/>
      <c r="J3480" s="5">
        <v>44.989935946919452</v>
      </c>
      <c r="K3480" s="5">
        <v>55</v>
      </c>
    </row>
    <row r="3481" spans="1:11" x14ac:dyDescent="0.25">
      <c r="A3481" s="2">
        <v>46242.416666666657</v>
      </c>
      <c r="B3481" t="str">
        <f t="shared" si="108"/>
        <v>2026-08</v>
      </c>
      <c r="C3481" s="3">
        <f t="shared" si="109"/>
        <v>10</v>
      </c>
      <c r="D3481" s="4">
        <v>25.761862847313889</v>
      </c>
      <c r="E3481" s="4"/>
      <c r="F3481" s="4">
        <v>29.87722613173333</v>
      </c>
      <c r="G3481" s="4">
        <v>28.6</v>
      </c>
      <c r="H3481" s="5">
        <v>33.234885792766669</v>
      </c>
      <c r="I3481" s="5"/>
      <c r="J3481" s="5">
        <v>43.847527740499999</v>
      </c>
      <c r="K3481" s="5">
        <v>49</v>
      </c>
    </row>
    <row r="3482" spans="1:11" x14ac:dyDescent="0.25">
      <c r="A3482" s="2">
        <v>46242.458333333343</v>
      </c>
      <c r="B3482" t="str">
        <f t="shared" si="108"/>
        <v>2026-08</v>
      </c>
      <c r="C3482" s="3">
        <f t="shared" si="109"/>
        <v>11</v>
      </c>
      <c r="D3482" s="4">
        <v>25.57232802999722</v>
      </c>
      <c r="E3482" s="4"/>
      <c r="F3482" s="4">
        <v>29.830684543936108</v>
      </c>
      <c r="G3482" s="4">
        <v>30.5</v>
      </c>
      <c r="H3482" s="5">
        <v>34.830376633447223</v>
      </c>
      <c r="I3482" s="5"/>
      <c r="J3482" s="5">
        <v>43.374617605836107</v>
      </c>
      <c r="K3482" s="5">
        <v>43</v>
      </c>
    </row>
    <row r="3483" spans="1:11" x14ac:dyDescent="0.25">
      <c r="A3483" s="2">
        <v>46242.5</v>
      </c>
      <c r="B3483" t="str">
        <f t="shared" si="108"/>
        <v>2026-08</v>
      </c>
      <c r="C3483" s="3">
        <f t="shared" si="109"/>
        <v>12</v>
      </c>
      <c r="D3483" s="4">
        <v>25.520842620186109</v>
      </c>
      <c r="E3483" s="4"/>
      <c r="F3483" s="4">
        <v>29.850873187722229</v>
      </c>
      <c r="G3483" s="4">
        <v>31.8</v>
      </c>
      <c r="H3483" s="5">
        <v>38.481896567183327</v>
      </c>
      <c r="I3483" s="5"/>
      <c r="J3483" s="5">
        <v>43.63003923198611</v>
      </c>
      <c r="K3483" s="5">
        <v>38</v>
      </c>
    </row>
    <row r="3484" spans="1:11" x14ac:dyDescent="0.25">
      <c r="A3484" s="2">
        <v>46242.541666666657</v>
      </c>
      <c r="B3484" t="str">
        <f t="shared" si="108"/>
        <v>2026-08</v>
      </c>
      <c r="C3484" s="3">
        <f t="shared" si="109"/>
        <v>13</v>
      </c>
      <c r="D3484" s="4">
        <v>25.35166163914722</v>
      </c>
      <c r="E3484" s="4"/>
      <c r="F3484" s="4">
        <v>29.049731773380561</v>
      </c>
      <c r="G3484" s="4">
        <v>33.299999999999997</v>
      </c>
      <c r="H3484" s="5">
        <v>38.88112887363333</v>
      </c>
      <c r="I3484" s="5"/>
      <c r="J3484" s="5">
        <v>43.149358885341663</v>
      </c>
      <c r="K3484" s="5">
        <v>33</v>
      </c>
    </row>
    <row r="3485" spans="1:11" x14ac:dyDescent="0.25">
      <c r="A3485" s="2">
        <v>46242.583333333343</v>
      </c>
      <c r="B3485" t="str">
        <f t="shared" si="108"/>
        <v>2026-08</v>
      </c>
      <c r="C3485" s="3">
        <f t="shared" si="109"/>
        <v>14</v>
      </c>
      <c r="D3485" s="4">
        <v>25.23366512923333</v>
      </c>
      <c r="E3485" s="4"/>
      <c r="F3485" s="4">
        <v>28.097486599850001</v>
      </c>
      <c r="G3485" s="4">
        <v>32.6</v>
      </c>
      <c r="H3485" s="5">
        <v>38.282425620138888</v>
      </c>
      <c r="I3485" s="5"/>
      <c r="J3485" s="5">
        <v>42.891647337027777</v>
      </c>
      <c r="K3485" s="5">
        <v>34</v>
      </c>
    </row>
    <row r="3486" spans="1:11" x14ac:dyDescent="0.25">
      <c r="A3486" s="2">
        <v>46242.625</v>
      </c>
      <c r="B3486" t="str">
        <f t="shared" si="108"/>
        <v>2026-08</v>
      </c>
      <c r="C3486" s="3">
        <f t="shared" si="109"/>
        <v>15</v>
      </c>
      <c r="D3486" s="4">
        <v>25.623515770947229</v>
      </c>
      <c r="E3486" s="4"/>
      <c r="F3486" s="4">
        <v>29.003206944983329</v>
      </c>
      <c r="G3486" s="4">
        <v>33.1</v>
      </c>
      <c r="H3486" s="5">
        <v>39.064829456561121</v>
      </c>
      <c r="I3486" s="5"/>
      <c r="J3486" s="5">
        <v>43.268595648050002</v>
      </c>
      <c r="K3486" s="5">
        <v>29</v>
      </c>
    </row>
    <row r="3487" spans="1:11" x14ac:dyDescent="0.25">
      <c r="A3487" s="2">
        <v>46242.666666666657</v>
      </c>
      <c r="B3487" t="str">
        <f t="shared" si="108"/>
        <v>2026-08</v>
      </c>
      <c r="C3487" s="3">
        <f t="shared" si="109"/>
        <v>16</v>
      </c>
      <c r="D3487" s="4">
        <v>25.491093253391671</v>
      </c>
      <c r="E3487" s="4"/>
      <c r="F3487" s="4">
        <v>29.358384497627771</v>
      </c>
      <c r="G3487" s="4">
        <v>33.5</v>
      </c>
      <c r="H3487" s="5">
        <v>36.359748352125003</v>
      </c>
      <c r="I3487" s="5"/>
      <c r="J3487" s="5">
        <v>43.144893657486108</v>
      </c>
      <c r="K3487" s="5">
        <v>28</v>
      </c>
    </row>
    <row r="3488" spans="1:11" x14ac:dyDescent="0.25">
      <c r="A3488" s="2">
        <v>46242.708333333343</v>
      </c>
      <c r="B3488" t="str">
        <f t="shared" si="108"/>
        <v>2026-08</v>
      </c>
      <c r="C3488" s="3">
        <f t="shared" si="109"/>
        <v>17</v>
      </c>
      <c r="D3488" s="4">
        <v>25.531963755969439</v>
      </c>
      <c r="E3488" s="4"/>
      <c r="F3488" s="4">
        <v>28.736531024016671</v>
      </c>
      <c r="G3488" s="4">
        <v>33.5</v>
      </c>
      <c r="H3488" s="5">
        <v>37.161886043477779</v>
      </c>
      <c r="I3488" s="5"/>
      <c r="J3488" s="5">
        <v>41.47090995048611</v>
      </c>
      <c r="K3488" s="5">
        <v>26</v>
      </c>
    </row>
    <row r="3489" spans="1:11" x14ac:dyDescent="0.25">
      <c r="A3489" s="2">
        <v>46242.75</v>
      </c>
      <c r="B3489" t="str">
        <f t="shared" si="108"/>
        <v>2026-08</v>
      </c>
      <c r="C3489" s="3">
        <f t="shared" si="109"/>
        <v>18</v>
      </c>
      <c r="D3489" s="4">
        <v>27.067345717125001</v>
      </c>
      <c r="E3489" s="4"/>
      <c r="F3489" s="4">
        <v>29.219257318552781</v>
      </c>
      <c r="G3489" s="4">
        <v>31.8</v>
      </c>
      <c r="H3489" s="5">
        <v>42.028269438019443</v>
      </c>
      <c r="I3489" s="5"/>
      <c r="J3489" s="5">
        <v>43.009110390516668</v>
      </c>
      <c r="K3489" s="5">
        <v>30</v>
      </c>
    </row>
    <row r="3490" spans="1:11" x14ac:dyDescent="0.25">
      <c r="A3490" s="2">
        <v>46242.791666666657</v>
      </c>
      <c r="B3490" t="str">
        <f t="shared" si="108"/>
        <v>2026-08</v>
      </c>
      <c r="C3490" s="3">
        <f t="shared" si="109"/>
        <v>19</v>
      </c>
      <c r="D3490" s="4">
        <v>27.715959231816669</v>
      </c>
      <c r="E3490" s="4"/>
      <c r="F3490" s="4">
        <v>29.486980987566671</v>
      </c>
      <c r="G3490" s="4">
        <v>29.7</v>
      </c>
      <c r="H3490" s="5">
        <v>43.873358591897222</v>
      </c>
      <c r="I3490" s="5"/>
      <c r="J3490" s="5">
        <v>43.505939203813888</v>
      </c>
      <c r="K3490" s="5">
        <v>43</v>
      </c>
    </row>
    <row r="3491" spans="1:11" x14ac:dyDescent="0.25">
      <c r="A3491" s="2">
        <v>46242.833333333343</v>
      </c>
      <c r="B3491" t="str">
        <f t="shared" si="108"/>
        <v>2026-08</v>
      </c>
      <c r="C3491" s="3">
        <f t="shared" si="109"/>
        <v>20</v>
      </c>
      <c r="D3491" s="4">
        <v>27.832817571161112</v>
      </c>
      <c r="E3491" s="4"/>
      <c r="F3491" s="4">
        <v>29.66327884205278</v>
      </c>
      <c r="G3491" s="4">
        <v>28.9</v>
      </c>
      <c r="H3491" s="5">
        <v>45.329684268869443</v>
      </c>
      <c r="I3491" s="5"/>
      <c r="J3491" s="5">
        <v>44.011874552077778</v>
      </c>
      <c r="K3491" s="5">
        <v>50</v>
      </c>
    </row>
    <row r="3492" spans="1:11" x14ac:dyDescent="0.25">
      <c r="A3492" s="2">
        <v>46242.875</v>
      </c>
      <c r="B3492" t="str">
        <f t="shared" si="108"/>
        <v>2026-08</v>
      </c>
      <c r="C3492" s="3">
        <f t="shared" si="109"/>
        <v>21</v>
      </c>
      <c r="D3492" s="4">
        <v>27.757463651347219</v>
      </c>
      <c r="E3492" s="4"/>
      <c r="F3492" s="4">
        <v>29.770871937980559</v>
      </c>
      <c r="G3492" s="4">
        <v>27</v>
      </c>
      <c r="H3492" s="5">
        <v>47.217456457544444</v>
      </c>
      <c r="I3492" s="5"/>
      <c r="J3492" s="5">
        <v>44.587385609483327</v>
      </c>
      <c r="K3492" s="5">
        <v>55</v>
      </c>
    </row>
    <row r="3493" spans="1:11" x14ac:dyDescent="0.25">
      <c r="A3493" s="2">
        <v>46242.916666666657</v>
      </c>
      <c r="B3493" t="str">
        <f t="shared" si="108"/>
        <v>2026-08</v>
      </c>
      <c r="C3493" s="3">
        <f t="shared" si="109"/>
        <v>22</v>
      </c>
      <c r="D3493" s="4">
        <v>27.605334718969441</v>
      </c>
      <c r="E3493" s="4"/>
      <c r="F3493" s="4">
        <v>29.837707271538889</v>
      </c>
      <c r="G3493" s="4">
        <v>25.9</v>
      </c>
      <c r="H3493" s="5">
        <v>49.633187738616662</v>
      </c>
      <c r="I3493" s="5"/>
      <c r="J3493" s="5">
        <v>45.00614667323611</v>
      </c>
      <c r="K3493" s="5">
        <v>61</v>
      </c>
    </row>
    <row r="3494" spans="1:11" x14ac:dyDescent="0.25">
      <c r="A3494" s="2">
        <v>46242.958333333343</v>
      </c>
      <c r="B3494" t="str">
        <f t="shared" si="108"/>
        <v>2026-08</v>
      </c>
      <c r="C3494" s="3">
        <f t="shared" si="109"/>
        <v>23</v>
      </c>
      <c r="D3494" s="4">
        <v>27.59848558270556</v>
      </c>
      <c r="E3494" s="4"/>
      <c r="F3494" s="4">
        <v>29.90095539704722</v>
      </c>
      <c r="G3494" s="4">
        <v>24.8</v>
      </c>
      <c r="H3494" s="5">
        <v>50.173442045072221</v>
      </c>
      <c r="I3494" s="5"/>
      <c r="J3494" s="5">
        <v>45.316139233552782</v>
      </c>
      <c r="K3494" s="5">
        <v>65</v>
      </c>
    </row>
    <row r="3495" spans="1:11" x14ac:dyDescent="0.25">
      <c r="A3495" s="2">
        <v>46243</v>
      </c>
      <c r="B3495" t="str">
        <f t="shared" si="108"/>
        <v>2026-08</v>
      </c>
      <c r="C3495" s="3">
        <f t="shared" si="109"/>
        <v>0</v>
      </c>
      <c r="D3495" s="4">
        <v>27.36676481672222</v>
      </c>
      <c r="E3495" s="4"/>
      <c r="F3495" s="4">
        <v>29.956927533552779</v>
      </c>
      <c r="G3495" s="4">
        <v>23.5</v>
      </c>
      <c r="H3495" s="5">
        <v>49.007217953999998</v>
      </c>
      <c r="I3495" s="5"/>
      <c r="J3495" s="5">
        <v>45.592054091952782</v>
      </c>
      <c r="K3495" s="5">
        <v>70</v>
      </c>
    </row>
    <row r="3496" spans="1:11" x14ac:dyDescent="0.25">
      <c r="A3496" s="2">
        <v>46243.041666666657</v>
      </c>
      <c r="B3496" t="str">
        <f t="shared" si="108"/>
        <v>2026-08</v>
      </c>
      <c r="C3496" s="3">
        <f t="shared" si="109"/>
        <v>1</v>
      </c>
      <c r="D3496" s="4">
        <v>25.62672287359166</v>
      </c>
      <c r="E3496" s="4"/>
      <c r="F3496" s="4">
        <v>29.952461490533331</v>
      </c>
      <c r="G3496" s="4">
        <v>22.6</v>
      </c>
      <c r="H3496" s="5">
        <v>44.231193252038892</v>
      </c>
      <c r="I3496" s="5"/>
      <c r="J3496" s="5">
        <v>45.606165154313892</v>
      </c>
      <c r="K3496" s="5">
        <v>78</v>
      </c>
    </row>
    <row r="3497" spans="1:11" x14ac:dyDescent="0.25">
      <c r="A3497" s="2">
        <v>46243.083333333343</v>
      </c>
      <c r="B3497" t="str">
        <f t="shared" si="108"/>
        <v>2026-08</v>
      </c>
      <c r="C3497" s="3">
        <f t="shared" si="109"/>
        <v>2</v>
      </c>
      <c r="D3497" s="4">
        <v>25.949193507511112</v>
      </c>
      <c r="E3497" s="4"/>
      <c r="F3497" s="4">
        <v>29.963510460049999</v>
      </c>
      <c r="G3497" s="4">
        <v>21.8</v>
      </c>
      <c r="H3497" s="5">
        <v>54.775442147011113</v>
      </c>
      <c r="I3497" s="5"/>
      <c r="J3497" s="5">
        <v>45.800939223197219</v>
      </c>
      <c r="K3497" s="5">
        <v>84</v>
      </c>
    </row>
    <row r="3498" spans="1:11" x14ac:dyDescent="0.25">
      <c r="A3498" s="2">
        <v>46243.125</v>
      </c>
      <c r="B3498" t="str">
        <f t="shared" si="108"/>
        <v>2026-08</v>
      </c>
      <c r="C3498" s="3">
        <f t="shared" si="109"/>
        <v>3</v>
      </c>
      <c r="D3498" s="4">
        <v>25.81272529536389</v>
      </c>
      <c r="E3498" s="4"/>
      <c r="F3498" s="4">
        <v>29.988138970605561</v>
      </c>
      <c r="G3498" s="4">
        <v>20.8</v>
      </c>
      <c r="H3498" s="5">
        <v>55.946623295775012</v>
      </c>
      <c r="I3498" s="5"/>
      <c r="J3498" s="5">
        <v>46.165190724591668</v>
      </c>
      <c r="K3498" s="5">
        <v>86</v>
      </c>
    </row>
    <row r="3499" spans="1:11" x14ac:dyDescent="0.25">
      <c r="A3499" s="2">
        <v>46243.166666666657</v>
      </c>
      <c r="B3499" t="str">
        <f t="shared" si="108"/>
        <v>2026-08</v>
      </c>
      <c r="C3499" s="3">
        <f t="shared" si="109"/>
        <v>4</v>
      </c>
      <c r="D3499" s="4">
        <v>25.399038679177771</v>
      </c>
      <c r="E3499" s="4"/>
      <c r="F3499" s="4">
        <v>29.985914807466671</v>
      </c>
      <c r="G3499" s="4">
        <v>20.399999999999999</v>
      </c>
      <c r="H3499" s="5">
        <v>57.351832630897228</v>
      </c>
      <c r="I3499" s="5"/>
      <c r="J3499" s="5">
        <v>46.532302198908333</v>
      </c>
      <c r="K3499" s="5">
        <v>89</v>
      </c>
    </row>
    <row r="3500" spans="1:11" x14ac:dyDescent="0.25">
      <c r="A3500" s="2">
        <v>46243.208333333343</v>
      </c>
      <c r="B3500" t="str">
        <f t="shared" si="108"/>
        <v>2026-08</v>
      </c>
      <c r="C3500" s="3">
        <f t="shared" si="109"/>
        <v>5</v>
      </c>
      <c r="D3500" s="4">
        <v>25.164840797858329</v>
      </c>
      <c r="E3500" s="4"/>
      <c r="F3500" s="4">
        <v>29.98944612130278</v>
      </c>
      <c r="G3500" s="4">
        <v>20</v>
      </c>
      <c r="H3500" s="5">
        <v>59.589952915163877</v>
      </c>
      <c r="I3500" s="5"/>
      <c r="J3500" s="5">
        <v>46.826199935805562</v>
      </c>
      <c r="K3500" s="5">
        <v>91</v>
      </c>
    </row>
    <row r="3501" spans="1:11" x14ac:dyDescent="0.25">
      <c r="A3501" s="2">
        <v>46243.25</v>
      </c>
      <c r="B3501" t="str">
        <f t="shared" si="108"/>
        <v>2026-08</v>
      </c>
      <c r="C3501" s="3">
        <f t="shared" si="109"/>
        <v>6</v>
      </c>
      <c r="D3501" s="4">
        <v>25.737700273030551</v>
      </c>
      <c r="E3501" s="4"/>
      <c r="F3501" s="4">
        <v>30.000918358708329</v>
      </c>
      <c r="G3501" s="4">
        <v>20</v>
      </c>
      <c r="H3501" s="5">
        <v>58.869317146069442</v>
      </c>
      <c r="I3501" s="5"/>
      <c r="J3501" s="5">
        <v>47.11843163948334</v>
      </c>
      <c r="K3501" s="5">
        <v>91</v>
      </c>
    </row>
    <row r="3502" spans="1:11" x14ac:dyDescent="0.25">
      <c r="A3502" s="2">
        <v>46243.291666666657</v>
      </c>
      <c r="B3502" t="str">
        <f t="shared" si="108"/>
        <v>2026-08</v>
      </c>
      <c r="C3502" s="3">
        <f t="shared" si="109"/>
        <v>7</v>
      </c>
      <c r="D3502" s="4">
        <v>25.921545048261109</v>
      </c>
      <c r="E3502" s="4"/>
      <c r="F3502" s="4">
        <v>30.016255494102779</v>
      </c>
      <c r="G3502" s="4">
        <v>20.8</v>
      </c>
      <c r="H3502" s="5">
        <v>58.974756226191673</v>
      </c>
      <c r="I3502" s="5"/>
      <c r="J3502" s="5">
        <v>47.383522531849998</v>
      </c>
      <c r="K3502" s="5">
        <v>86</v>
      </c>
    </row>
    <row r="3503" spans="1:11" x14ac:dyDescent="0.25">
      <c r="A3503" s="2">
        <v>46243.333333333343</v>
      </c>
      <c r="B3503" t="str">
        <f t="shared" si="108"/>
        <v>2026-08</v>
      </c>
      <c r="C3503" s="3">
        <f t="shared" si="109"/>
        <v>8</v>
      </c>
      <c r="D3503" s="4">
        <v>26.73497714466944</v>
      </c>
      <c r="E3503" s="4"/>
      <c r="F3503" s="4">
        <v>30.024557433297229</v>
      </c>
      <c r="G3503" s="4">
        <v>21.8</v>
      </c>
      <c r="H3503" s="5">
        <v>56.583089332294463</v>
      </c>
      <c r="I3503" s="5"/>
      <c r="J3503" s="5">
        <v>47.608306205224999</v>
      </c>
      <c r="K3503" s="5">
        <v>81</v>
      </c>
    </row>
    <row r="3504" spans="1:11" x14ac:dyDescent="0.25">
      <c r="A3504" s="2">
        <v>46243.375</v>
      </c>
      <c r="B3504" t="str">
        <f t="shared" si="108"/>
        <v>2026-08</v>
      </c>
      <c r="C3504" s="3">
        <f t="shared" si="109"/>
        <v>9</v>
      </c>
      <c r="D3504" s="4">
        <v>27.59929118237778</v>
      </c>
      <c r="E3504" s="4"/>
      <c r="F3504" s="4">
        <v>30.092575486677781</v>
      </c>
      <c r="G3504" s="4">
        <v>22.2</v>
      </c>
      <c r="H3504" s="5">
        <v>54.234152787447222</v>
      </c>
      <c r="I3504" s="5"/>
      <c r="J3504" s="5">
        <v>47.638781020541657</v>
      </c>
      <c r="K3504" s="5">
        <v>79</v>
      </c>
    </row>
    <row r="3505" spans="1:11" x14ac:dyDescent="0.25">
      <c r="A3505" s="2">
        <v>46243.416666666657</v>
      </c>
      <c r="B3505" t="str">
        <f t="shared" si="108"/>
        <v>2026-08</v>
      </c>
      <c r="C3505" s="3">
        <f t="shared" si="109"/>
        <v>10</v>
      </c>
      <c r="D3505" s="4">
        <v>27.746631490569449</v>
      </c>
      <c r="E3505" s="4"/>
      <c r="F3505" s="4">
        <v>30.126990968874999</v>
      </c>
      <c r="G3505" s="4">
        <v>22.9</v>
      </c>
      <c r="H3505" s="5">
        <v>54.39152183611111</v>
      </c>
      <c r="I3505" s="5"/>
      <c r="J3505" s="5">
        <v>47.699327113252792</v>
      </c>
      <c r="K3505" s="5">
        <v>77</v>
      </c>
    </row>
    <row r="3506" spans="1:11" x14ac:dyDescent="0.25">
      <c r="A3506" s="2">
        <v>46243.458333333343</v>
      </c>
      <c r="B3506" t="str">
        <f t="shared" si="108"/>
        <v>2026-08</v>
      </c>
      <c r="C3506" s="3">
        <f t="shared" si="109"/>
        <v>11</v>
      </c>
      <c r="D3506" s="4">
        <v>26.405290902002779</v>
      </c>
      <c r="E3506" s="4"/>
      <c r="F3506" s="4">
        <v>30.129529315894441</v>
      </c>
      <c r="G3506" s="4">
        <v>24</v>
      </c>
      <c r="H3506" s="5">
        <v>46.405717624866668</v>
      </c>
      <c r="I3506" s="5"/>
      <c r="J3506" s="5">
        <v>47.783022947541667</v>
      </c>
      <c r="K3506" s="5">
        <v>72</v>
      </c>
    </row>
    <row r="3507" spans="1:11" x14ac:dyDescent="0.25">
      <c r="A3507" s="2">
        <v>46243.5</v>
      </c>
      <c r="B3507" t="str">
        <f t="shared" si="108"/>
        <v>2026-08</v>
      </c>
      <c r="C3507" s="3">
        <f t="shared" si="109"/>
        <v>12</v>
      </c>
      <c r="D3507" s="4">
        <v>25.240498957613891</v>
      </c>
      <c r="E3507" s="4"/>
      <c r="F3507" s="4">
        <v>30.13353721269722</v>
      </c>
      <c r="G3507" s="4">
        <v>24.8</v>
      </c>
      <c r="H3507" s="5">
        <v>42.877406199744449</v>
      </c>
      <c r="I3507" s="5"/>
      <c r="J3507" s="5">
        <v>47.62966277426667</v>
      </c>
      <c r="K3507" s="5">
        <v>67</v>
      </c>
    </row>
    <row r="3508" spans="1:11" x14ac:dyDescent="0.25">
      <c r="A3508" s="2">
        <v>46243.541666666657</v>
      </c>
      <c r="B3508" t="str">
        <f t="shared" si="108"/>
        <v>2026-08</v>
      </c>
      <c r="C3508" s="3">
        <f t="shared" si="109"/>
        <v>13</v>
      </c>
      <c r="D3508" s="4">
        <v>25.11965950465278</v>
      </c>
      <c r="E3508" s="4"/>
      <c r="F3508" s="4">
        <v>30.07285928083056</v>
      </c>
      <c r="G3508" s="4">
        <v>25.5</v>
      </c>
      <c r="H3508" s="5">
        <v>44.427004613725003</v>
      </c>
      <c r="I3508" s="5"/>
      <c r="J3508" s="5">
        <v>47.516701527872222</v>
      </c>
      <c r="K3508" s="5">
        <v>63</v>
      </c>
    </row>
    <row r="3509" spans="1:11" x14ac:dyDescent="0.25">
      <c r="A3509" s="2">
        <v>46243.583333333343</v>
      </c>
      <c r="B3509" t="str">
        <f t="shared" si="108"/>
        <v>2026-08</v>
      </c>
      <c r="C3509" s="3">
        <f t="shared" si="109"/>
        <v>14</v>
      </c>
      <c r="D3509" s="4">
        <v>25.647521323511121</v>
      </c>
      <c r="E3509" s="4"/>
      <c r="F3509" s="4">
        <v>30.074892553891669</v>
      </c>
      <c r="G3509" s="4">
        <v>26.1</v>
      </c>
      <c r="H3509" s="5">
        <v>49.963718923558332</v>
      </c>
      <c r="I3509" s="5"/>
      <c r="J3509" s="5">
        <v>47.788185219672222</v>
      </c>
      <c r="K3509" s="5">
        <v>58</v>
      </c>
    </row>
    <row r="3510" spans="1:11" x14ac:dyDescent="0.25">
      <c r="A3510" s="2">
        <v>46243.625</v>
      </c>
      <c r="B3510" t="str">
        <f t="shared" si="108"/>
        <v>2026-08</v>
      </c>
      <c r="C3510" s="3">
        <f t="shared" si="109"/>
        <v>15</v>
      </c>
      <c r="D3510" s="4">
        <v>25.26187610485556</v>
      </c>
      <c r="E3510" s="4"/>
      <c r="F3510" s="4">
        <v>30.086689137116661</v>
      </c>
      <c r="G3510" s="4">
        <v>26.9</v>
      </c>
      <c r="H3510" s="5">
        <v>44.894507769855558</v>
      </c>
      <c r="I3510" s="5"/>
      <c r="J3510" s="5">
        <v>47.814013879258333</v>
      </c>
      <c r="K3510" s="5">
        <v>53</v>
      </c>
    </row>
    <row r="3511" spans="1:11" x14ac:dyDescent="0.25">
      <c r="A3511" s="2">
        <v>46243.666666666657</v>
      </c>
      <c r="B3511" t="str">
        <f t="shared" si="108"/>
        <v>2026-08</v>
      </c>
      <c r="C3511" s="3">
        <f t="shared" si="109"/>
        <v>16</v>
      </c>
      <c r="D3511" s="4">
        <v>25.661575490341669</v>
      </c>
      <c r="E3511" s="4"/>
      <c r="F3511" s="4">
        <v>30.078666625983331</v>
      </c>
      <c r="G3511" s="4">
        <v>27.4</v>
      </c>
      <c r="H3511" s="5">
        <v>48.45697356423333</v>
      </c>
      <c r="I3511" s="5"/>
      <c r="J3511" s="5">
        <v>47.83090557946111</v>
      </c>
      <c r="K3511" s="5">
        <v>50</v>
      </c>
    </row>
    <row r="3512" spans="1:11" x14ac:dyDescent="0.25">
      <c r="A3512" s="2">
        <v>46243.708333333343</v>
      </c>
      <c r="B3512" t="str">
        <f t="shared" si="108"/>
        <v>2026-08</v>
      </c>
      <c r="C3512" s="3">
        <f t="shared" si="109"/>
        <v>17</v>
      </c>
      <c r="D3512" s="4">
        <v>25.166477097963892</v>
      </c>
      <c r="E3512" s="4"/>
      <c r="F3512" s="4">
        <v>30.039661351177781</v>
      </c>
      <c r="G3512" s="4">
        <v>27.4</v>
      </c>
      <c r="H3512" s="5">
        <v>44.692294080325013</v>
      </c>
      <c r="I3512" s="5"/>
      <c r="J3512" s="5">
        <v>47.676178576363888</v>
      </c>
      <c r="K3512" s="5">
        <v>48</v>
      </c>
    </row>
    <row r="3513" spans="1:11" x14ac:dyDescent="0.25">
      <c r="A3513" s="2">
        <v>46243.75</v>
      </c>
      <c r="B3513" t="str">
        <f t="shared" si="108"/>
        <v>2026-08</v>
      </c>
      <c r="C3513" s="3">
        <f t="shared" si="109"/>
        <v>18</v>
      </c>
      <c r="D3513" s="4">
        <v>25.699914736422219</v>
      </c>
      <c r="E3513" s="4"/>
      <c r="F3513" s="4">
        <v>30.042916713450001</v>
      </c>
      <c r="G3513" s="4">
        <v>26.8</v>
      </c>
      <c r="H3513" s="5">
        <v>47.210199026569448</v>
      </c>
      <c r="I3513" s="5"/>
      <c r="J3513" s="5">
        <v>47.621357109086112</v>
      </c>
      <c r="K3513" s="5">
        <v>49</v>
      </c>
    </row>
    <row r="3514" spans="1:11" x14ac:dyDescent="0.25">
      <c r="A3514" s="2">
        <v>46243.791666666657</v>
      </c>
      <c r="B3514" t="str">
        <f t="shared" si="108"/>
        <v>2026-08</v>
      </c>
      <c r="C3514" s="3">
        <f t="shared" si="109"/>
        <v>19</v>
      </c>
      <c r="D3514" s="4">
        <v>25.471634914297219</v>
      </c>
      <c r="E3514" s="4"/>
      <c r="F3514" s="4">
        <v>30.10382989281111</v>
      </c>
      <c r="G3514" s="4">
        <v>26</v>
      </c>
      <c r="H3514" s="5">
        <v>48.663358772180551</v>
      </c>
      <c r="I3514" s="5"/>
      <c r="J3514" s="5">
        <v>47.285593414677777</v>
      </c>
      <c r="K3514" s="5">
        <v>51</v>
      </c>
    </row>
    <row r="3515" spans="1:11" x14ac:dyDescent="0.25">
      <c r="A3515" s="2">
        <v>46243.833333333343</v>
      </c>
      <c r="B3515" t="str">
        <f t="shared" si="108"/>
        <v>2026-08</v>
      </c>
      <c r="C3515" s="3">
        <f t="shared" si="109"/>
        <v>20</v>
      </c>
      <c r="D3515" s="4">
        <v>26.13528481828056</v>
      </c>
      <c r="E3515" s="4"/>
      <c r="F3515" s="4">
        <v>30.173220590416669</v>
      </c>
      <c r="G3515" s="4">
        <v>24.9</v>
      </c>
      <c r="H3515" s="5">
        <v>48.828480995552781</v>
      </c>
      <c r="I3515" s="5"/>
      <c r="J3515" s="5">
        <v>47.222367909133332</v>
      </c>
      <c r="K3515" s="5">
        <v>54</v>
      </c>
    </row>
    <row r="3516" spans="1:11" x14ac:dyDescent="0.25">
      <c r="A3516" s="2">
        <v>46243.875</v>
      </c>
      <c r="B3516" t="str">
        <f t="shared" si="108"/>
        <v>2026-08</v>
      </c>
      <c r="C3516" s="3">
        <f t="shared" si="109"/>
        <v>21</v>
      </c>
      <c r="D3516" s="4">
        <v>24.326109684366671</v>
      </c>
      <c r="E3516" s="4"/>
      <c r="F3516" s="4">
        <v>30.037717100133332</v>
      </c>
      <c r="G3516" s="4">
        <v>23.5</v>
      </c>
      <c r="H3516" s="5">
        <v>41.97886933041945</v>
      </c>
      <c r="I3516" s="5"/>
      <c r="J3516" s="5">
        <v>47.133867053327783</v>
      </c>
      <c r="K3516" s="5">
        <v>58</v>
      </c>
    </row>
    <row r="3517" spans="1:11" x14ac:dyDescent="0.25">
      <c r="A3517" s="2">
        <v>46243.916666666657</v>
      </c>
      <c r="B3517" t="str">
        <f t="shared" si="108"/>
        <v>2026-08</v>
      </c>
      <c r="C3517" s="3">
        <f t="shared" si="109"/>
        <v>22</v>
      </c>
      <c r="D3517" s="4">
        <v>23.557958352344439</v>
      </c>
      <c r="E3517" s="4"/>
      <c r="F3517" s="4">
        <v>29.966161331824999</v>
      </c>
      <c r="G3517" s="4">
        <v>22.9</v>
      </c>
      <c r="H3517" s="5">
        <v>40.578750573463893</v>
      </c>
      <c r="I3517" s="5"/>
      <c r="J3517" s="5">
        <v>46.528476140405559</v>
      </c>
      <c r="K3517" s="5">
        <v>58</v>
      </c>
    </row>
    <row r="3518" spans="1:11" x14ac:dyDescent="0.25">
      <c r="A3518" s="2">
        <v>46243.958333333343</v>
      </c>
      <c r="B3518" t="str">
        <f t="shared" si="108"/>
        <v>2026-08</v>
      </c>
      <c r="C3518" s="3">
        <f t="shared" si="109"/>
        <v>23</v>
      </c>
      <c r="D3518" s="4">
        <v>23.453674193141669</v>
      </c>
      <c r="E3518" s="4"/>
      <c r="F3518" s="4">
        <v>30.015880813169449</v>
      </c>
      <c r="G3518" s="4">
        <v>22.1</v>
      </c>
      <c r="H3518" s="5">
        <v>39.290959713613887</v>
      </c>
      <c r="I3518" s="5"/>
      <c r="J3518" s="5">
        <v>45.822298061141673</v>
      </c>
      <c r="K3518" s="5">
        <v>58</v>
      </c>
    </row>
    <row r="3519" spans="1:11" x14ac:dyDescent="0.25">
      <c r="A3519" s="2">
        <v>46244</v>
      </c>
      <c r="B3519" t="str">
        <f t="shared" si="108"/>
        <v>2026-08</v>
      </c>
      <c r="C3519" s="3">
        <f t="shared" si="109"/>
        <v>0</v>
      </c>
      <c r="D3519" s="4">
        <v>23.287914763480561</v>
      </c>
      <c r="E3519" s="4"/>
      <c r="F3519" s="4">
        <v>29.950014850180551</v>
      </c>
      <c r="G3519" s="4">
        <v>21.3</v>
      </c>
      <c r="H3519" s="5">
        <v>37.984585354713893</v>
      </c>
      <c r="I3519" s="5"/>
      <c r="J3519" s="5">
        <v>45.446907817099998</v>
      </c>
      <c r="K3519" s="5">
        <v>59</v>
      </c>
    </row>
    <row r="3520" spans="1:11" x14ac:dyDescent="0.25">
      <c r="A3520" s="2">
        <v>46244.041666666657</v>
      </c>
      <c r="B3520" t="str">
        <f t="shared" si="108"/>
        <v>2026-08</v>
      </c>
      <c r="C3520" s="3">
        <f t="shared" si="109"/>
        <v>1</v>
      </c>
      <c r="D3520" s="4">
        <v>23.033948238397219</v>
      </c>
      <c r="E3520" s="4"/>
      <c r="F3520" s="4">
        <v>29.877925784216671</v>
      </c>
      <c r="G3520" s="4">
        <v>20.6</v>
      </c>
      <c r="H3520" s="5">
        <v>37.837666238713886</v>
      </c>
      <c r="I3520" s="5"/>
      <c r="J3520" s="5">
        <v>44.918800624683342</v>
      </c>
      <c r="K3520" s="5">
        <v>61</v>
      </c>
    </row>
    <row r="3521" spans="1:11" x14ac:dyDescent="0.25">
      <c r="A3521" s="2">
        <v>46244.083333333343</v>
      </c>
      <c r="B3521" t="str">
        <f t="shared" si="108"/>
        <v>2026-08</v>
      </c>
      <c r="C3521" s="3">
        <f t="shared" si="109"/>
        <v>2</v>
      </c>
      <c r="D3521" s="4">
        <v>24.042523260955551</v>
      </c>
      <c r="E3521" s="4"/>
      <c r="F3521" s="4">
        <v>29.827124256341669</v>
      </c>
      <c r="G3521" s="4">
        <v>20</v>
      </c>
      <c r="H3521" s="5">
        <v>41.925282762430562</v>
      </c>
      <c r="I3521" s="5"/>
      <c r="J3521" s="5">
        <v>45.297099386811112</v>
      </c>
      <c r="K3521" s="5">
        <v>63</v>
      </c>
    </row>
    <row r="3522" spans="1:11" x14ac:dyDescent="0.25">
      <c r="A3522" s="2">
        <v>46244.125</v>
      </c>
      <c r="B3522" t="str">
        <f t="shared" ref="B3522:B3585" si="110">TEXT(A3522,"yyyy-mm")</f>
        <v>2026-08</v>
      </c>
      <c r="C3522" s="3">
        <f t="shared" ref="C3522:C3585" si="111">HOUR(A3522)</f>
        <v>3</v>
      </c>
      <c r="D3522" s="4">
        <v>24.967145911094441</v>
      </c>
      <c r="E3522" s="4"/>
      <c r="F3522" s="4">
        <v>29.841814867883329</v>
      </c>
      <c r="G3522" s="4">
        <v>19.100000000000001</v>
      </c>
      <c r="H3522" s="5">
        <v>44.933853956463892</v>
      </c>
      <c r="I3522" s="5"/>
      <c r="J3522" s="5">
        <v>45.685014966583331</v>
      </c>
      <c r="K3522" s="5">
        <v>67</v>
      </c>
    </row>
    <row r="3523" spans="1:11" x14ac:dyDescent="0.25">
      <c r="A3523" s="2">
        <v>46244.166666666657</v>
      </c>
      <c r="B3523" t="str">
        <f t="shared" si="110"/>
        <v>2026-08</v>
      </c>
      <c r="C3523" s="3">
        <f t="shared" si="111"/>
        <v>4</v>
      </c>
      <c r="D3523" s="4">
        <v>25.231014106475001</v>
      </c>
      <c r="E3523" s="4"/>
      <c r="F3523" s="4">
        <v>29.810087119513891</v>
      </c>
      <c r="G3523" s="4">
        <v>18.600000000000001</v>
      </c>
      <c r="H3523" s="5">
        <v>45.534815071052783</v>
      </c>
      <c r="I3523" s="5"/>
      <c r="J3523" s="5">
        <v>45.864290971636109</v>
      </c>
      <c r="K3523" s="5">
        <v>70</v>
      </c>
    </row>
    <row r="3524" spans="1:11" x14ac:dyDescent="0.25">
      <c r="A3524" s="2">
        <v>46244.208333333343</v>
      </c>
      <c r="B3524" t="str">
        <f t="shared" si="110"/>
        <v>2026-08</v>
      </c>
      <c r="C3524" s="3">
        <f t="shared" si="111"/>
        <v>5</v>
      </c>
      <c r="D3524" s="4">
        <v>25.3553309843</v>
      </c>
      <c r="E3524" s="4"/>
      <c r="F3524" s="4">
        <v>29.817055552805559</v>
      </c>
      <c r="G3524" s="4">
        <v>18.2</v>
      </c>
      <c r="H3524" s="5">
        <v>45.321831783466671</v>
      </c>
      <c r="I3524" s="5"/>
      <c r="J3524" s="5">
        <v>45.950848562822223</v>
      </c>
      <c r="K3524" s="5">
        <v>72</v>
      </c>
    </row>
    <row r="3525" spans="1:11" x14ac:dyDescent="0.25">
      <c r="A3525" s="2">
        <v>46244.25</v>
      </c>
      <c r="B3525" t="str">
        <f t="shared" si="110"/>
        <v>2026-08</v>
      </c>
      <c r="C3525" s="3">
        <f t="shared" si="111"/>
        <v>6</v>
      </c>
      <c r="D3525" s="4">
        <v>25.675920768425001</v>
      </c>
      <c r="E3525" s="4"/>
      <c r="F3525" s="4">
        <v>29.821194575625</v>
      </c>
      <c r="G3525" s="4">
        <v>18</v>
      </c>
      <c r="H3525" s="5">
        <v>44.297452556105547</v>
      </c>
      <c r="I3525" s="5"/>
      <c r="J3525" s="5">
        <v>45.986522785222213</v>
      </c>
      <c r="K3525" s="5">
        <v>73</v>
      </c>
    </row>
    <row r="3526" spans="1:11" x14ac:dyDescent="0.25">
      <c r="A3526" s="2">
        <v>46244.291666666657</v>
      </c>
      <c r="B3526" t="str">
        <f t="shared" si="110"/>
        <v>2026-08</v>
      </c>
      <c r="C3526" s="3">
        <f t="shared" si="111"/>
        <v>7</v>
      </c>
      <c r="D3526" s="4">
        <v>26.23160416209722</v>
      </c>
      <c r="E3526" s="4"/>
      <c r="F3526" s="4">
        <v>29.836175180030551</v>
      </c>
      <c r="G3526" s="4">
        <v>18.8</v>
      </c>
      <c r="H3526" s="5">
        <v>43.273894218950012</v>
      </c>
      <c r="I3526" s="5"/>
      <c r="J3526" s="5">
        <v>45.883277669941663</v>
      </c>
      <c r="K3526" s="5">
        <v>70</v>
      </c>
    </row>
    <row r="3527" spans="1:11" x14ac:dyDescent="0.25">
      <c r="A3527" s="2">
        <v>46244.333333333343</v>
      </c>
      <c r="B3527" t="str">
        <f t="shared" si="110"/>
        <v>2026-08</v>
      </c>
      <c r="C3527" s="3">
        <f t="shared" si="111"/>
        <v>8</v>
      </c>
      <c r="D3527" s="4">
        <v>26.750931851127781</v>
      </c>
      <c r="E3527" s="4"/>
      <c r="F3527" s="4">
        <v>29.864923428619448</v>
      </c>
      <c r="G3527" s="4">
        <v>20.100000000000001</v>
      </c>
      <c r="H3527" s="5">
        <v>42.865792436191668</v>
      </c>
      <c r="I3527" s="5"/>
      <c r="J3527" s="5">
        <v>45.84136763187778</v>
      </c>
      <c r="K3527" s="5">
        <v>65</v>
      </c>
    </row>
    <row r="3528" spans="1:11" x14ac:dyDescent="0.25">
      <c r="A3528" s="2">
        <v>46244.375</v>
      </c>
      <c r="B3528" t="str">
        <f t="shared" si="110"/>
        <v>2026-08</v>
      </c>
      <c r="C3528" s="3">
        <f t="shared" si="111"/>
        <v>9</v>
      </c>
      <c r="D3528" s="4">
        <v>25.857313753463892</v>
      </c>
      <c r="E3528" s="4"/>
      <c r="F3528" s="4">
        <v>29.85198967088056</v>
      </c>
      <c r="G3528" s="4">
        <v>22.3</v>
      </c>
      <c r="H3528" s="5">
        <v>37.687035289033339</v>
      </c>
      <c r="I3528" s="5"/>
      <c r="J3528" s="5">
        <v>44.812276684019437</v>
      </c>
      <c r="K3528" s="5">
        <v>59</v>
      </c>
    </row>
    <row r="3529" spans="1:11" x14ac:dyDescent="0.25">
      <c r="A3529" s="2">
        <v>46244.416666666657</v>
      </c>
      <c r="B3529" t="str">
        <f t="shared" si="110"/>
        <v>2026-08</v>
      </c>
      <c r="C3529" s="3">
        <f t="shared" si="111"/>
        <v>10</v>
      </c>
      <c r="D3529" s="4">
        <v>26.550044636519441</v>
      </c>
      <c r="E3529" s="4"/>
      <c r="F3529" s="4">
        <v>29.908776378083331</v>
      </c>
      <c r="G3529" s="4">
        <v>24</v>
      </c>
      <c r="H3529" s="5">
        <v>40.732362605461113</v>
      </c>
      <c r="I3529" s="5"/>
      <c r="J3529" s="5">
        <v>44.765821038950001</v>
      </c>
      <c r="K3529" s="5">
        <v>53</v>
      </c>
    </row>
    <row r="3530" spans="1:11" x14ac:dyDescent="0.25">
      <c r="A3530" s="2">
        <v>46244.458333333343</v>
      </c>
      <c r="B3530" t="str">
        <f t="shared" si="110"/>
        <v>2026-08</v>
      </c>
      <c r="C3530" s="3">
        <f t="shared" si="111"/>
        <v>11</v>
      </c>
      <c r="D3530" s="4">
        <v>27.0284089164</v>
      </c>
      <c r="E3530" s="4"/>
      <c r="F3530" s="4">
        <v>29.95932793855</v>
      </c>
      <c r="G3530" s="4">
        <v>25.2</v>
      </c>
      <c r="H3530" s="5">
        <v>41.001326987427781</v>
      </c>
      <c r="I3530" s="5"/>
      <c r="J3530" s="5">
        <v>44.913965741975012</v>
      </c>
      <c r="K3530" s="5">
        <v>46</v>
      </c>
    </row>
    <row r="3531" spans="1:11" x14ac:dyDescent="0.25">
      <c r="A3531" s="2">
        <v>46244.5</v>
      </c>
      <c r="B3531" t="str">
        <f t="shared" si="110"/>
        <v>2026-08</v>
      </c>
      <c r="C3531" s="3">
        <f t="shared" si="111"/>
        <v>12</v>
      </c>
      <c r="D3531" s="4">
        <v>26.565972773063891</v>
      </c>
      <c r="E3531" s="4"/>
      <c r="F3531" s="4">
        <v>30.02365880839444</v>
      </c>
      <c r="G3531" s="4">
        <v>26.2</v>
      </c>
      <c r="H3531" s="5">
        <v>38.69844288203889</v>
      </c>
      <c r="I3531" s="5"/>
      <c r="J3531" s="5">
        <v>44.984211864319441</v>
      </c>
      <c r="K3531" s="5">
        <v>43</v>
      </c>
    </row>
    <row r="3532" spans="1:11" x14ac:dyDescent="0.25">
      <c r="A3532" s="2">
        <v>46244.541666666657</v>
      </c>
      <c r="B3532" t="str">
        <f t="shared" si="110"/>
        <v>2026-08</v>
      </c>
      <c r="C3532" s="3">
        <f t="shared" si="111"/>
        <v>13</v>
      </c>
      <c r="D3532" s="4">
        <v>25.093382421444449</v>
      </c>
      <c r="E3532" s="4"/>
      <c r="F3532" s="4">
        <v>30.01145262807778</v>
      </c>
      <c r="G3532" s="4">
        <v>26.9</v>
      </c>
      <c r="H3532" s="5">
        <v>34.245841366299999</v>
      </c>
      <c r="I3532" s="5"/>
      <c r="J3532" s="5">
        <v>44.743695539633343</v>
      </c>
      <c r="K3532" s="5">
        <v>40</v>
      </c>
    </row>
    <row r="3533" spans="1:11" x14ac:dyDescent="0.25">
      <c r="A3533" s="2">
        <v>46244.583333333343</v>
      </c>
      <c r="B3533" t="str">
        <f t="shared" si="110"/>
        <v>2026-08</v>
      </c>
      <c r="C3533" s="3">
        <f t="shared" si="111"/>
        <v>14</v>
      </c>
      <c r="D3533" s="4">
        <v>24.83921754493333</v>
      </c>
      <c r="E3533" s="4"/>
      <c r="F3533" s="4">
        <v>29.98166806762222</v>
      </c>
      <c r="G3533" s="4">
        <v>27.4</v>
      </c>
      <c r="H3533" s="5">
        <v>36.665917015705553</v>
      </c>
      <c r="I3533" s="5"/>
      <c r="J3533" s="5">
        <v>44.574264396363887</v>
      </c>
      <c r="K3533" s="5">
        <v>39</v>
      </c>
    </row>
    <row r="3534" spans="1:11" x14ac:dyDescent="0.25">
      <c r="A3534" s="2">
        <v>46244.625</v>
      </c>
      <c r="B3534" t="str">
        <f t="shared" si="110"/>
        <v>2026-08</v>
      </c>
      <c r="C3534" s="3">
        <f t="shared" si="111"/>
        <v>15</v>
      </c>
      <c r="D3534" s="4">
        <v>25.073906350555561</v>
      </c>
      <c r="E3534" s="4"/>
      <c r="F3534" s="4">
        <v>29.972336208925</v>
      </c>
      <c r="G3534" s="4">
        <v>28</v>
      </c>
      <c r="H3534" s="5">
        <v>43.585729556275012</v>
      </c>
      <c r="I3534" s="5"/>
      <c r="J3534" s="5">
        <v>44.641954552086112</v>
      </c>
      <c r="K3534" s="5">
        <v>35</v>
      </c>
    </row>
    <row r="3535" spans="1:11" x14ac:dyDescent="0.25">
      <c r="A3535" s="2">
        <v>46244.666666666657</v>
      </c>
      <c r="B3535" t="str">
        <f t="shared" si="110"/>
        <v>2026-08</v>
      </c>
      <c r="C3535" s="3">
        <f t="shared" si="111"/>
        <v>16</v>
      </c>
      <c r="D3535" s="4">
        <v>24.75922523546944</v>
      </c>
      <c r="E3535" s="4"/>
      <c r="F3535" s="4">
        <v>30.017194436977778</v>
      </c>
      <c r="G3535" s="4">
        <v>28.1</v>
      </c>
      <c r="H3535" s="5">
        <v>41.556229973366662</v>
      </c>
      <c r="I3535" s="5"/>
      <c r="J3535" s="5">
        <v>44.603161277594438</v>
      </c>
      <c r="K3535" s="5">
        <v>34</v>
      </c>
    </row>
    <row r="3536" spans="1:11" x14ac:dyDescent="0.25">
      <c r="A3536" s="2">
        <v>46244.708333333343</v>
      </c>
      <c r="B3536" t="str">
        <f t="shared" si="110"/>
        <v>2026-08</v>
      </c>
      <c r="C3536" s="3">
        <f t="shared" si="111"/>
        <v>17</v>
      </c>
      <c r="D3536" s="4">
        <v>24.28441506693056</v>
      </c>
      <c r="E3536" s="4"/>
      <c r="F3536" s="4">
        <v>30.01733519826389</v>
      </c>
      <c r="G3536" s="4">
        <v>27.9</v>
      </c>
      <c r="H3536" s="5">
        <v>38.915733736497216</v>
      </c>
      <c r="I3536" s="5"/>
      <c r="J3536" s="5">
        <v>44.469877483138887</v>
      </c>
      <c r="K3536" s="5">
        <v>34</v>
      </c>
    </row>
    <row r="3537" spans="1:11" x14ac:dyDescent="0.25">
      <c r="A3537" s="2">
        <v>46244.75</v>
      </c>
      <c r="B3537" t="str">
        <f t="shared" si="110"/>
        <v>2026-08</v>
      </c>
      <c r="C3537" s="3">
        <f t="shared" si="111"/>
        <v>18</v>
      </c>
      <c r="D3537" s="4">
        <v>25.531414699652771</v>
      </c>
      <c r="E3537" s="4"/>
      <c r="F3537" s="4">
        <v>30.012001657897219</v>
      </c>
      <c r="G3537" s="4">
        <v>27.4</v>
      </c>
      <c r="H3537" s="5">
        <v>44.822058960741657</v>
      </c>
      <c r="I3537" s="5"/>
      <c r="J3537" s="5">
        <v>44.429066792952767</v>
      </c>
      <c r="K3537" s="5">
        <v>35</v>
      </c>
    </row>
    <row r="3538" spans="1:11" x14ac:dyDescent="0.25">
      <c r="A3538" s="2">
        <v>46244.791666666657</v>
      </c>
      <c r="B3538" t="str">
        <f t="shared" si="110"/>
        <v>2026-08</v>
      </c>
      <c r="C3538" s="3">
        <f t="shared" si="111"/>
        <v>19</v>
      </c>
      <c r="D3538" s="4">
        <v>24.470880751736111</v>
      </c>
      <c r="E3538" s="4"/>
      <c r="F3538" s="4">
        <v>29.977763183936109</v>
      </c>
      <c r="G3538" s="4">
        <v>26.5</v>
      </c>
      <c r="H3538" s="5">
        <v>38.528935398074999</v>
      </c>
      <c r="I3538" s="5"/>
      <c r="J3538" s="5">
        <v>44.42223739586111</v>
      </c>
      <c r="K3538" s="5">
        <v>38</v>
      </c>
    </row>
    <row r="3539" spans="1:11" x14ac:dyDescent="0.25">
      <c r="A3539" s="2">
        <v>46244.833333333343</v>
      </c>
      <c r="B3539" t="str">
        <f t="shared" si="110"/>
        <v>2026-08</v>
      </c>
      <c r="C3539" s="3">
        <f t="shared" si="111"/>
        <v>20</v>
      </c>
      <c r="D3539" s="4">
        <v>23.95901968636112</v>
      </c>
      <c r="E3539" s="4"/>
      <c r="F3539" s="4">
        <v>29.917637153377779</v>
      </c>
      <c r="G3539" s="4">
        <v>25.1</v>
      </c>
      <c r="H3539" s="5">
        <v>40.044459327147223</v>
      </c>
      <c r="I3539" s="5"/>
      <c r="J3539" s="5">
        <v>43.899892133205562</v>
      </c>
      <c r="K3539" s="5">
        <v>45</v>
      </c>
    </row>
    <row r="3540" spans="1:11" x14ac:dyDescent="0.25">
      <c r="A3540" s="2">
        <v>46244.875</v>
      </c>
      <c r="B3540" t="str">
        <f t="shared" si="110"/>
        <v>2026-08</v>
      </c>
      <c r="C3540" s="3">
        <f t="shared" si="111"/>
        <v>21</v>
      </c>
      <c r="D3540" s="4">
        <v>24.87417274894166</v>
      </c>
      <c r="E3540" s="4"/>
      <c r="F3540" s="4">
        <v>29.978485147699999</v>
      </c>
      <c r="G3540" s="4">
        <v>23.8</v>
      </c>
      <c r="H3540" s="5">
        <v>48.118281609772232</v>
      </c>
      <c r="I3540" s="5"/>
      <c r="J3540" s="5">
        <v>43.973213574350012</v>
      </c>
      <c r="K3540" s="5">
        <v>49</v>
      </c>
    </row>
    <row r="3541" spans="1:11" x14ac:dyDescent="0.25">
      <c r="A3541" s="2">
        <v>46244.916666666657</v>
      </c>
      <c r="B3541" t="str">
        <f t="shared" si="110"/>
        <v>2026-08</v>
      </c>
      <c r="C3541" s="3">
        <f t="shared" si="111"/>
        <v>22</v>
      </c>
      <c r="D3541" s="4">
        <v>25.036421704555561</v>
      </c>
      <c r="E3541" s="4"/>
      <c r="F3541" s="4">
        <v>30.006694423750002</v>
      </c>
      <c r="G3541" s="4">
        <v>22.7</v>
      </c>
      <c r="H3541" s="5">
        <v>49.095169341191657</v>
      </c>
      <c r="I3541" s="5"/>
      <c r="J3541" s="5">
        <v>44.279897054708343</v>
      </c>
      <c r="K3541" s="5">
        <v>54</v>
      </c>
    </row>
    <row r="3542" spans="1:11" x14ac:dyDescent="0.25">
      <c r="A3542" s="2">
        <v>46244.958333333343</v>
      </c>
      <c r="B3542" t="str">
        <f t="shared" si="110"/>
        <v>2026-08</v>
      </c>
      <c r="C3542" s="3">
        <f t="shared" si="111"/>
        <v>23</v>
      </c>
      <c r="D3542" s="4">
        <v>24.451867211786109</v>
      </c>
      <c r="E3542" s="4"/>
      <c r="F3542" s="4">
        <v>30.017774387344449</v>
      </c>
      <c r="G3542" s="4">
        <v>21.9</v>
      </c>
      <c r="H3542" s="5">
        <v>39.210770867255562</v>
      </c>
      <c r="I3542" s="5"/>
      <c r="J3542" s="5">
        <v>44.378791561633342</v>
      </c>
      <c r="K3542" s="5">
        <v>57</v>
      </c>
    </row>
    <row r="3543" spans="1:11" x14ac:dyDescent="0.25">
      <c r="A3543" s="2">
        <v>46245</v>
      </c>
      <c r="B3543" t="str">
        <f t="shared" si="110"/>
        <v>2026-08</v>
      </c>
      <c r="C3543" s="3">
        <f t="shared" si="111"/>
        <v>0</v>
      </c>
      <c r="D3543" s="4">
        <v>24.666807895036111</v>
      </c>
      <c r="E3543" s="4"/>
      <c r="F3543" s="4">
        <v>30.000827036480551</v>
      </c>
      <c r="G3543" s="4">
        <v>21.2</v>
      </c>
      <c r="H3543" s="5">
        <v>37.015317145766673</v>
      </c>
      <c r="I3543" s="5"/>
      <c r="J3543" s="5">
        <v>44.179562367997221</v>
      </c>
      <c r="K3543" s="5">
        <v>59</v>
      </c>
    </row>
    <row r="3544" spans="1:11" x14ac:dyDescent="0.25">
      <c r="A3544" s="2">
        <v>46245.041666666657</v>
      </c>
      <c r="B3544" t="str">
        <f t="shared" si="110"/>
        <v>2026-08</v>
      </c>
      <c r="C3544" s="3">
        <f t="shared" si="111"/>
        <v>1</v>
      </c>
      <c r="D3544" s="4">
        <v>25.083635697519441</v>
      </c>
      <c r="E3544" s="4"/>
      <c r="F3544" s="4">
        <v>29.983761708325002</v>
      </c>
      <c r="G3544" s="4">
        <v>20.6</v>
      </c>
      <c r="H3544" s="5">
        <v>42.182405711969437</v>
      </c>
      <c r="I3544" s="5"/>
      <c r="J3544" s="5">
        <v>43.96689432802777</v>
      </c>
      <c r="K3544" s="5">
        <v>61</v>
      </c>
    </row>
    <row r="3545" spans="1:11" x14ac:dyDescent="0.25">
      <c r="A3545" s="2">
        <v>46245.083333333343</v>
      </c>
      <c r="B3545" t="str">
        <f t="shared" si="110"/>
        <v>2026-08</v>
      </c>
      <c r="C3545" s="3">
        <f t="shared" si="111"/>
        <v>2</v>
      </c>
      <c r="D3545" s="4">
        <v>23.849765257736109</v>
      </c>
      <c r="E3545" s="4"/>
      <c r="F3545" s="4">
        <v>29.81485848519166</v>
      </c>
      <c r="G3545" s="4">
        <v>20.100000000000001</v>
      </c>
      <c r="H3545" s="5">
        <v>42.70961144101944</v>
      </c>
      <c r="I3545" s="5"/>
      <c r="J3545" s="5">
        <v>42.959054470061112</v>
      </c>
      <c r="K3545" s="5">
        <v>63</v>
      </c>
    </row>
    <row r="3546" spans="1:11" x14ac:dyDescent="0.25">
      <c r="A3546" s="2">
        <v>46245.125</v>
      </c>
      <c r="B3546" t="str">
        <f t="shared" si="110"/>
        <v>2026-08</v>
      </c>
      <c r="C3546" s="3">
        <f t="shared" si="111"/>
        <v>3</v>
      </c>
      <c r="D3546" s="4">
        <v>23.009214082786109</v>
      </c>
      <c r="E3546" s="4"/>
      <c r="F3546" s="4">
        <v>29.648737143922219</v>
      </c>
      <c r="G3546" s="4">
        <v>18.8</v>
      </c>
      <c r="H3546" s="5">
        <v>44.793661978286117</v>
      </c>
      <c r="I3546" s="5"/>
      <c r="J3546" s="5">
        <v>42.724918364166662</v>
      </c>
      <c r="K3546" s="5">
        <v>67</v>
      </c>
    </row>
    <row r="3547" spans="1:11" x14ac:dyDescent="0.25">
      <c r="A3547" s="2">
        <v>46245.166666666657</v>
      </c>
      <c r="B3547" t="str">
        <f t="shared" si="110"/>
        <v>2026-08</v>
      </c>
      <c r="C3547" s="3">
        <f t="shared" si="111"/>
        <v>4</v>
      </c>
      <c r="D3547" s="4">
        <v>22.746924226358331</v>
      </c>
      <c r="E3547" s="4"/>
      <c r="F3547" s="4">
        <v>29.594018258144441</v>
      </c>
      <c r="G3547" s="4">
        <v>18.3</v>
      </c>
      <c r="H3547" s="5">
        <v>45.862069632597219</v>
      </c>
      <c r="I3547" s="5"/>
      <c r="J3547" s="5">
        <v>42.739768067152767</v>
      </c>
      <c r="K3547" s="5">
        <v>70</v>
      </c>
    </row>
    <row r="3548" spans="1:11" x14ac:dyDescent="0.25">
      <c r="A3548" s="2">
        <v>46245.208333333343</v>
      </c>
      <c r="B3548" t="str">
        <f t="shared" si="110"/>
        <v>2026-08</v>
      </c>
      <c r="C3548" s="3">
        <f t="shared" si="111"/>
        <v>5</v>
      </c>
      <c r="D3548" s="4">
        <v>22.838038347419449</v>
      </c>
      <c r="E3548" s="4"/>
      <c r="F3548" s="4">
        <v>29.535271593255551</v>
      </c>
      <c r="G3548" s="4">
        <v>17.899999999999999</v>
      </c>
      <c r="H3548" s="5">
        <v>45.876531628225003</v>
      </c>
      <c r="I3548" s="5"/>
      <c r="J3548" s="5">
        <v>42.720745285286107</v>
      </c>
      <c r="K3548" s="5">
        <v>72</v>
      </c>
    </row>
    <row r="3549" spans="1:11" x14ac:dyDescent="0.25">
      <c r="A3549" s="2">
        <v>46245.25</v>
      </c>
      <c r="B3549" t="str">
        <f t="shared" si="110"/>
        <v>2026-08</v>
      </c>
      <c r="C3549" s="3">
        <f t="shared" si="111"/>
        <v>6</v>
      </c>
      <c r="D3549" s="4">
        <v>23.581758145544441</v>
      </c>
      <c r="E3549" s="4"/>
      <c r="F3549" s="4">
        <v>29.54392484461389</v>
      </c>
      <c r="G3549" s="4">
        <v>17.8</v>
      </c>
      <c r="H3549" s="5">
        <v>44.028610888361108</v>
      </c>
      <c r="I3549" s="5"/>
      <c r="J3549" s="5">
        <v>42.79250975926945</v>
      </c>
      <c r="K3549" s="5">
        <v>72</v>
      </c>
    </row>
    <row r="3550" spans="1:11" x14ac:dyDescent="0.25">
      <c r="A3550" s="2">
        <v>46245.291666666657</v>
      </c>
      <c r="B3550" t="str">
        <f t="shared" si="110"/>
        <v>2026-08</v>
      </c>
      <c r="C3550" s="3">
        <f t="shared" si="111"/>
        <v>7</v>
      </c>
      <c r="D3550" s="4">
        <v>24.456616882297219</v>
      </c>
      <c r="E3550" s="4"/>
      <c r="F3550" s="4">
        <v>29.61325963123889</v>
      </c>
      <c r="G3550" s="4">
        <v>18.7</v>
      </c>
      <c r="H3550" s="5">
        <v>42.546742389272232</v>
      </c>
      <c r="I3550" s="5"/>
      <c r="J3550" s="5">
        <v>43.054206210730563</v>
      </c>
      <c r="K3550" s="5">
        <v>70</v>
      </c>
    </row>
    <row r="3551" spans="1:11" x14ac:dyDescent="0.25">
      <c r="A3551" s="2">
        <v>46245.333333333343</v>
      </c>
      <c r="B3551" t="str">
        <f t="shared" si="110"/>
        <v>2026-08</v>
      </c>
      <c r="C3551" s="3">
        <f t="shared" si="111"/>
        <v>8</v>
      </c>
      <c r="D3551" s="4">
        <v>25.658525076158341</v>
      </c>
      <c r="E3551" s="4"/>
      <c r="F3551" s="4">
        <v>29.687349316319441</v>
      </c>
      <c r="G3551" s="4">
        <v>20.2</v>
      </c>
      <c r="H3551" s="5">
        <v>40.242643714075001</v>
      </c>
      <c r="I3551" s="5"/>
      <c r="J3551" s="5">
        <v>43.299627817702778</v>
      </c>
      <c r="K3551" s="5">
        <v>63</v>
      </c>
    </row>
    <row r="3552" spans="1:11" x14ac:dyDescent="0.25">
      <c r="A3552" s="2">
        <v>46245.375</v>
      </c>
      <c r="B3552" t="str">
        <f t="shared" si="110"/>
        <v>2026-08</v>
      </c>
      <c r="C3552" s="3">
        <f t="shared" si="111"/>
        <v>9</v>
      </c>
      <c r="D3552" s="4">
        <v>26.334981974558328</v>
      </c>
      <c r="E3552" s="4"/>
      <c r="F3552" s="4">
        <v>29.81938266465</v>
      </c>
      <c r="G3552" s="4">
        <v>22.3</v>
      </c>
      <c r="H3552" s="5">
        <v>40.078734655786107</v>
      </c>
      <c r="I3552" s="5"/>
      <c r="J3552" s="5">
        <v>43.365915261783329</v>
      </c>
      <c r="K3552" s="5">
        <v>56</v>
      </c>
    </row>
    <row r="3553" spans="1:11" x14ac:dyDescent="0.25">
      <c r="A3553" s="2">
        <v>46245.416666666657</v>
      </c>
      <c r="B3553" t="str">
        <f t="shared" si="110"/>
        <v>2026-08</v>
      </c>
      <c r="C3553" s="3">
        <f t="shared" si="111"/>
        <v>10</v>
      </c>
      <c r="D3553" s="4">
        <v>26.788462992719449</v>
      </c>
      <c r="E3553" s="4"/>
      <c r="F3553" s="4">
        <v>29.932435446536111</v>
      </c>
      <c r="G3553" s="4">
        <v>24.3</v>
      </c>
      <c r="H3553" s="5">
        <v>40.596544399386111</v>
      </c>
      <c r="I3553" s="5"/>
      <c r="J3553" s="5">
        <v>43.447637588399999</v>
      </c>
      <c r="K3553" s="5">
        <v>51</v>
      </c>
    </row>
    <row r="3554" spans="1:11" x14ac:dyDescent="0.25">
      <c r="A3554" s="2">
        <v>46245.458333333343</v>
      </c>
      <c r="B3554" t="str">
        <f t="shared" si="110"/>
        <v>2026-08</v>
      </c>
      <c r="C3554" s="3">
        <f t="shared" si="111"/>
        <v>11</v>
      </c>
      <c r="D3554" s="4">
        <v>27.215297833674999</v>
      </c>
      <c r="E3554" s="4"/>
      <c r="F3554" s="4">
        <v>29.971971484836111</v>
      </c>
      <c r="G3554" s="4">
        <v>26.1</v>
      </c>
      <c r="H3554" s="5">
        <v>40.704346050719437</v>
      </c>
      <c r="I3554" s="5"/>
      <c r="J3554" s="5">
        <v>43.625768315375012</v>
      </c>
      <c r="K3554" s="5">
        <v>47</v>
      </c>
    </row>
    <row r="3555" spans="1:11" x14ac:dyDescent="0.25">
      <c r="A3555" s="2">
        <v>46245.5</v>
      </c>
      <c r="B3555" t="str">
        <f t="shared" si="110"/>
        <v>2026-08</v>
      </c>
      <c r="C3555" s="3">
        <f t="shared" si="111"/>
        <v>12</v>
      </c>
      <c r="D3555" s="4">
        <v>26.145864682675001</v>
      </c>
      <c r="E3555" s="4"/>
      <c r="F3555" s="4">
        <v>30.048856749102779</v>
      </c>
      <c r="G3555" s="4">
        <v>27.6</v>
      </c>
      <c r="H3555" s="5">
        <v>34.781833673019442</v>
      </c>
      <c r="I3555" s="5"/>
      <c r="J3555" s="5">
        <v>43.418475740366667</v>
      </c>
      <c r="K3555" s="5">
        <v>42</v>
      </c>
    </row>
    <row r="3556" spans="1:11" x14ac:dyDescent="0.25">
      <c r="A3556" s="2">
        <v>46245.541666666657</v>
      </c>
      <c r="B3556" t="str">
        <f t="shared" si="110"/>
        <v>2026-08</v>
      </c>
      <c r="C3556" s="3">
        <f t="shared" si="111"/>
        <v>13</v>
      </c>
      <c r="D3556" s="4">
        <v>25.060107501263889</v>
      </c>
      <c r="E3556" s="4"/>
      <c r="F3556" s="4">
        <v>29.932801786958329</v>
      </c>
      <c r="G3556" s="4">
        <v>28.6</v>
      </c>
      <c r="H3556" s="5">
        <v>33.948660128411113</v>
      </c>
      <c r="I3556" s="5"/>
      <c r="J3556" s="5">
        <v>42.603664915422222</v>
      </c>
      <c r="K3556" s="5">
        <v>40</v>
      </c>
    </row>
    <row r="3557" spans="1:11" x14ac:dyDescent="0.25">
      <c r="A3557" s="2">
        <v>46245.583333333343</v>
      </c>
      <c r="B3557" t="str">
        <f t="shared" si="110"/>
        <v>2026-08</v>
      </c>
      <c r="C3557" s="3">
        <f t="shared" si="111"/>
        <v>14</v>
      </c>
      <c r="D3557" s="4">
        <v>25.82767816746389</v>
      </c>
      <c r="E3557" s="4"/>
      <c r="F3557" s="4">
        <v>29.900614527261109</v>
      </c>
      <c r="G3557" s="4">
        <v>29.2</v>
      </c>
      <c r="H3557" s="5">
        <v>37.30524669728333</v>
      </c>
      <c r="I3557" s="5"/>
      <c r="J3557" s="5">
        <v>42.418084837713891</v>
      </c>
      <c r="K3557" s="5">
        <v>39</v>
      </c>
    </row>
    <row r="3558" spans="1:11" x14ac:dyDescent="0.25">
      <c r="A3558" s="2">
        <v>46245.625</v>
      </c>
      <c r="B3558" t="str">
        <f t="shared" si="110"/>
        <v>2026-08</v>
      </c>
      <c r="C3558" s="3">
        <f t="shared" si="111"/>
        <v>15</v>
      </c>
      <c r="D3558" s="4">
        <v>25.139591311972222</v>
      </c>
      <c r="E3558" s="4"/>
      <c r="F3558" s="4">
        <v>29.936477469055561</v>
      </c>
      <c r="G3558" s="4">
        <v>29.5</v>
      </c>
      <c r="H3558" s="5">
        <v>35.933317694805559</v>
      </c>
      <c r="I3558" s="5"/>
      <c r="J3558" s="5">
        <v>42.407985191133328</v>
      </c>
      <c r="K3558" s="5">
        <v>39</v>
      </c>
    </row>
    <row r="3559" spans="1:11" x14ac:dyDescent="0.25">
      <c r="A3559" s="2">
        <v>46245.666666666657</v>
      </c>
      <c r="B3559" t="str">
        <f t="shared" si="110"/>
        <v>2026-08</v>
      </c>
      <c r="C3559" s="3">
        <f t="shared" si="111"/>
        <v>16</v>
      </c>
      <c r="D3559" s="4">
        <v>24.89635855215278</v>
      </c>
      <c r="E3559" s="4"/>
      <c r="F3559" s="4">
        <v>29.92307404615833</v>
      </c>
      <c r="G3559" s="4">
        <v>29.6</v>
      </c>
      <c r="H3559" s="5">
        <v>40.612329336052767</v>
      </c>
      <c r="I3559" s="5"/>
      <c r="J3559" s="5">
        <v>42.400854606661113</v>
      </c>
      <c r="K3559" s="5">
        <v>39</v>
      </c>
    </row>
    <row r="3560" spans="1:11" x14ac:dyDescent="0.25">
      <c r="A3560" s="2">
        <v>46245.708333333343</v>
      </c>
      <c r="B3560" t="str">
        <f t="shared" si="110"/>
        <v>2026-08</v>
      </c>
      <c r="C3560" s="3">
        <f t="shared" si="111"/>
        <v>17</v>
      </c>
      <c r="D3560" s="4">
        <v>24.897442930869449</v>
      </c>
      <c r="E3560" s="4"/>
      <c r="F3560" s="4">
        <v>29.892805763913891</v>
      </c>
      <c r="G3560" s="4">
        <v>29.5</v>
      </c>
      <c r="H3560" s="5">
        <v>40.612412089452782</v>
      </c>
      <c r="I3560" s="5"/>
      <c r="J3560" s="5">
        <v>42.598627891316667</v>
      </c>
      <c r="K3560" s="5">
        <v>40</v>
      </c>
    </row>
    <row r="3561" spans="1:11" x14ac:dyDescent="0.25">
      <c r="A3561" s="2">
        <v>46245.75</v>
      </c>
      <c r="B3561" t="str">
        <f t="shared" si="110"/>
        <v>2026-08</v>
      </c>
      <c r="C3561" s="3">
        <f t="shared" si="111"/>
        <v>18</v>
      </c>
      <c r="D3561" s="4">
        <v>25.111523859733332</v>
      </c>
      <c r="E3561" s="4"/>
      <c r="F3561" s="4">
        <v>29.865782367594441</v>
      </c>
      <c r="G3561" s="4">
        <v>29</v>
      </c>
      <c r="H3561" s="5">
        <v>44.855316356372221</v>
      </c>
      <c r="I3561" s="5"/>
      <c r="J3561" s="5">
        <v>42.826944409933333</v>
      </c>
      <c r="K3561" s="5">
        <v>42</v>
      </c>
    </row>
    <row r="3562" spans="1:11" x14ac:dyDescent="0.25">
      <c r="A3562" s="2">
        <v>46245.791666666657</v>
      </c>
      <c r="B3562" t="str">
        <f t="shared" si="110"/>
        <v>2026-08</v>
      </c>
      <c r="C3562" s="3">
        <f t="shared" si="111"/>
        <v>19</v>
      </c>
      <c r="D3562" s="4">
        <v>24.99816628192222</v>
      </c>
      <c r="E3562" s="4"/>
      <c r="F3562" s="4">
        <v>29.879773269255551</v>
      </c>
      <c r="G3562" s="4">
        <v>28.4</v>
      </c>
      <c r="H3562" s="5">
        <v>42.823915688758333</v>
      </c>
      <c r="I3562" s="5"/>
      <c r="J3562" s="5">
        <v>43.223585965736113</v>
      </c>
      <c r="K3562" s="5">
        <v>44</v>
      </c>
    </row>
    <row r="3563" spans="1:11" x14ac:dyDescent="0.25">
      <c r="A3563" s="2">
        <v>46245.833333333343</v>
      </c>
      <c r="B3563" t="str">
        <f t="shared" si="110"/>
        <v>2026-08</v>
      </c>
      <c r="C3563" s="3">
        <f t="shared" si="111"/>
        <v>20</v>
      </c>
      <c r="D3563" s="4">
        <v>24.737652505908329</v>
      </c>
      <c r="E3563" s="4"/>
      <c r="F3563" s="4">
        <v>29.854464690588891</v>
      </c>
      <c r="G3563" s="4">
        <v>27</v>
      </c>
      <c r="H3563" s="5">
        <v>41.88231025875556</v>
      </c>
      <c r="I3563" s="5"/>
      <c r="J3563" s="5">
        <v>43.178342381191662</v>
      </c>
      <c r="K3563" s="5">
        <v>53</v>
      </c>
    </row>
    <row r="3564" spans="1:11" x14ac:dyDescent="0.25">
      <c r="A3564" s="2">
        <v>46245.875</v>
      </c>
      <c r="B3564" t="str">
        <f t="shared" si="110"/>
        <v>2026-08</v>
      </c>
      <c r="C3564" s="3">
        <f t="shared" si="111"/>
        <v>21</v>
      </c>
      <c r="D3564" s="4">
        <v>24.715904385550001</v>
      </c>
      <c r="E3564" s="4"/>
      <c r="F3564" s="4">
        <v>29.81863912351389</v>
      </c>
      <c r="G3564" s="4">
        <v>26.1</v>
      </c>
      <c r="H3564" s="5">
        <v>37.735908707361112</v>
      </c>
      <c r="I3564" s="5"/>
      <c r="J3564" s="5">
        <v>42.89305976461111</v>
      </c>
      <c r="K3564" s="5">
        <v>58</v>
      </c>
    </row>
    <row r="3565" spans="1:11" x14ac:dyDescent="0.25">
      <c r="A3565" s="2">
        <v>46245.916666666657</v>
      </c>
      <c r="B3565" t="str">
        <f t="shared" si="110"/>
        <v>2026-08</v>
      </c>
      <c r="C3565" s="3">
        <f t="shared" si="111"/>
        <v>22</v>
      </c>
      <c r="D3565" s="4">
        <v>25.76287194864722</v>
      </c>
      <c r="E3565" s="4"/>
      <c r="F3565" s="4">
        <v>29.868402843683331</v>
      </c>
      <c r="G3565" s="4">
        <v>25.4</v>
      </c>
      <c r="H3565" s="5">
        <v>40.935018974958332</v>
      </c>
      <c r="I3565" s="5"/>
      <c r="J3565" s="5">
        <v>42.712265568405563</v>
      </c>
      <c r="K3565" s="5">
        <v>59</v>
      </c>
    </row>
    <row r="3566" spans="1:11" x14ac:dyDescent="0.25">
      <c r="A3566" s="2">
        <v>46245.958333333343</v>
      </c>
      <c r="B3566" t="str">
        <f t="shared" si="110"/>
        <v>2026-08</v>
      </c>
      <c r="C3566" s="3">
        <f t="shared" si="111"/>
        <v>23</v>
      </c>
      <c r="D3566" s="4">
        <v>26.55510458735278</v>
      </c>
      <c r="E3566" s="4"/>
      <c r="F3566" s="4">
        <v>29.94195366328611</v>
      </c>
      <c r="G3566" s="4">
        <v>24.4</v>
      </c>
      <c r="H3566" s="5">
        <v>44.415030226950002</v>
      </c>
      <c r="I3566" s="5"/>
      <c r="J3566" s="5">
        <v>43.060532122794449</v>
      </c>
      <c r="K3566" s="5">
        <v>63</v>
      </c>
    </row>
    <row r="3567" spans="1:11" x14ac:dyDescent="0.25">
      <c r="A3567" s="2">
        <v>46246</v>
      </c>
      <c r="B3567" t="str">
        <f t="shared" si="110"/>
        <v>2026-08</v>
      </c>
      <c r="C3567" s="3">
        <f t="shared" si="111"/>
        <v>0</v>
      </c>
      <c r="D3567" s="4">
        <v>26.01752418383056</v>
      </c>
      <c r="E3567" s="4"/>
      <c r="F3567" s="4">
        <v>29.985082118525</v>
      </c>
      <c r="G3567" s="4">
        <v>23.2</v>
      </c>
      <c r="H3567" s="5">
        <v>40.224571281441662</v>
      </c>
      <c r="I3567" s="5"/>
      <c r="J3567" s="5">
        <v>43.295240580038893</v>
      </c>
      <c r="K3567" s="5">
        <v>67</v>
      </c>
    </row>
    <row r="3568" spans="1:11" x14ac:dyDescent="0.25">
      <c r="A3568" s="2">
        <v>46246.041666666657</v>
      </c>
      <c r="B3568" t="str">
        <f t="shared" si="110"/>
        <v>2026-08</v>
      </c>
      <c r="C3568" s="3">
        <f t="shared" si="111"/>
        <v>1</v>
      </c>
      <c r="D3568" s="4">
        <v>24.40177690230556</v>
      </c>
      <c r="E3568" s="4"/>
      <c r="F3568" s="4">
        <v>29.876009491744441</v>
      </c>
      <c r="G3568" s="4">
        <v>22.4</v>
      </c>
      <c r="H3568" s="5">
        <v>38.241288546766668</v>
      </c>
      <c r="I3568" s="5"/>
      <c r="J3568" s="5">
        <v>42.873040417550001</v>
      </c>
      <c r="K3568" s="5">
        <v>69</v>
      </c>
    </row>
    <row r="3569" spans="1:11" x14ac:dyDescent="0.25">
      <c r="A3569" s="2">
        <v>46246.083333333343</v>
      </c>
      <c r="B3569" t="str">
        <f t="shared" si="110"/>
        <v>2026-08</v>
      </c>
      <c r="C3569" s="3">
        <f t="shared" si="111"/>
        <v>2</v>
      </c>
      <c r="D3569" s="4">
        <v>23.69255857455833</v>
      </c>
      <c r="E3569" s="4"/>
      <c r="F3569" s="4">
        <v>29.95153127487222</v>
      </c>
      <c r="G3569" s="4">
        <v>22</v>
      </c>
      <c r="H3569" s="5">
        <v>37.744224743252779</v>
      </c>
      <c r="I3569" s="5"/>
      <c r="J3569" s="5">
        <v>41.723942032027779</v>
      </c>
      <c r="K3569" s="5">
        <v>69</v>
      </c>
    </row>
    <row r="3570" spans="1:11" x14ac:dyDescent="0.25">
      <c r="A3570" s="2">
        <v>46246.125</v>
      </c>
      <c r="B3570" t="str">
        <f t="shared" si="110"/>
        <v>2026-08</v>
      </c>
      <c r="C3570" s="3">
        <f t="shared" si="111"/>
        <v>3</v>
      </c>
      <c r="D3570" s="4">
        <v>25.1655813518</v>
      </c>
      <c r="E3570" s="4"/>
      <c r="F3570" s="4">
        <v>29.792259114075001</v>
      </c>
      <c r="G3570" s="4">
        <v>20.9</v>
      </c>
      <c r="H3570" s="5">
        <v>42.273886977197229</v>
      </c>
      <c r="I3570" s="5"/>
      <c r="J3570" s="5">
        <v>42.413116708391662</v>
      </c>
      <c r="K3570" s="5">
        <v>74</v>
      </c>
    </row>
    <row r="3571" spans="1:11" x14ac:dyDescent="0.25">
      <c r="A3571" s="2">
        <v>46246.166666666657</v>
      </c>
      <c r="B3571" t="str">
        <f t="shared" si="110"/>
        <v>2026-08</v>
      </c>
      <c r="C3571" s="3">
        <f t="shared" si="111"/>
        <v>4</v>
      </c>
      <c r="D3571" s="4">
        <v>25.714023071991669</v>
      </c>
      <c r="E3571" s="4"/>
      <c r="F3571" s="4">
        <v>29.840864310563891</v>
      </c>
      <c r="G3571" s="4">
        <v>20.7</v>
      </c>
      <c r="H3571" s="5">
        <v>44.759400115672207</v>
      </c>
      <c r="I3571" s="5"/>
      <c r="J3571" s="5">
        <v>43.010942879188889</v>
      </c>
      <c r="K3571" s="5">
        <v>72</v>
      </c>
    </row>
    <row r="3572" spans="1:11" x14ac:dyDescent="0.25">
      <c r="A3572" s="2">
        <v>46246.208333333343</v>
      </c>
      <c r="B3572" t="str">
        <f t="shared" si="110"/>
        <v>2026-08</v>
      </c>
      <c r="C3572" s="3">
        <f t="shared" si="111"/>
        <v>5</v>
      </c>
      <c r="D3572" s="4">
        <v>25.929452288988891</v>
      </c>
      <c r="E3572" s="4"/>
      <c r="F3572" s="4">
        <v>29.855532223097221</v>
      </c>
      <c r="G3572" s="4">
        <v>19.899999999999999</v>
      </c>
      <c r="H3572" s="5">
        <v>45.43380397735833</v>
      </c>
      <c r="I3572" s="5"/>
      <c r="J3572" s="5">
        <v>43.456891036691673</v>
      </c>
      <c r="K3572" s="5">
        <v>72</v>
      </c>
    </row>
    <row r="3573" spans="1:11" x14ac:dyDescent="0.25">
      <c r="A3573" s="2">
        <v>46246.25</v>
      </c>
      <c r="B3573" t="str">
        <f t="shared" si="110"/>
        <v>2026-08</v>
      </c>
      <c r="C3573" s="3">
        <f t="shared" si="111"/>
        <v>6</v>
      </c>
      <c r="D3573" s="4">
        <v>26.067540397902778</v>
      </c>
      <c r="E3573" s="4"/>
      <c r="F3573" s="4">
        <v>29.884365401419441</v>
      </c>
      <c r="G3573" s="4">
        <v>19.399999999999999</v>
      </c>
      <c r="H3573" s="5">
        <v>45.03520489374722</v>
      </c>
      <c r="I3573" s="5"/>
      <c r="J3573" s="5">
        <v>43.755479098711113</v>
      </c>
      <c r="K3573" s="5">
        <v>74</v>
      </c>
    </row>
    <row r="3574" spans="1:11" x14ac:dyDescent="0.25">
      <c r="A3574" s="2">
        <v>46246.291666666657</v>
      </c>
      <c r="B3574" t="str">
        <f t="shared" si="110"/>
        <v>2026-08</v>
      </c>
      <c r="C3574" s="3">
        <f t="shared" si="111"/>
        <v>7</v>
      </c>
      <c r="D3574" s="4">
        <v>26.41109766736945</v>
      </c>
      <c r="E3574" s="4"/>
      <c r="F3574" s="4">
        <v>29.914087826144439</v>
      </c>
      <c r="G3574" s="4">
        <v>19.8</v>
      </c>
      <c r="H3574" s="5">
        <v>44.492357177549998</v>
      </c>
      <c r="I3574" s="5"/>
      <c r="J3574" s="5">
        <v>43.966337424591671</v>
      </c>
      <c r="K3574" s="5">
        <v>72</v>
      </c>
    </row>
    <row r="3575" spans="1:11" x14ac:dyDescent="0.25">
      <c r="A3575" s="2">
        <v>46246.333333333343</v>
      </c>
      <c r="B3575" t="str">
        <f t="shared" si="110"/>
        <v>2026-08</v>
      </c>
      <c r="C3575" s="3">
        <f t="shared" si="111"/>
        <v>8</v>
      </c>
      <c r="D3575" s="4">
        <v>26.73212830212222</v>
      </c>
      <c r="E3575" s="4"/>
      <c r="F3575" s="4">
        <v>29.93822557131389</v>
      </c>
      <c r="G3575" s="4">
        <v>20.6</v>
      </c>
      <c r="H3575" s="5">
        <v>44.584877501233343</v>
      </c>
      <c r="I3575" s="5"/>
      <c r="J3575" s="5">
        <v>44.134965497274997</v>
      </c>
      <c r="K3575" s="5">
        <v>68</v>
      </c>
    </row>
    <row r="3576" spans="1:11" x14ac:dyDescent="0.25">
      <c r="A3576" s="2">
        <v>46246.375</v>
      </c>
      <c r="B3576" t="str">
        <f t="shared" si="110"/>
        <v>2026-08</v>
      </c>
      <c r="C3576" s="3">
        <f t="shared" si="111"/>
        <v>9</v>
      </c>
      <c r="D3576" s="4">
        <v>27.07203682963333</v>
      </c>
      <c r="E3576" s="4"/>
      <c r="F3576" s="4">
        <v>29.971507668211121</v>
      </c>
      <c r="G3576" s="4">
        <v>21.4</v>
      </c>
      <c r="H3576" s="5">
        <v>44.894615282780563</v>
      </c>
      <c r="I3576" s="5"/>
      <c r="J3576" s="5">
        <v>44.273764881005562</v>
      </c>
      <c r="K3576" s="5">
        <v>63</v>
      </c>
    </row>
    <row r="3577" spans="1:11" x14ac:dyDescent="0.25">
      <c r="A3577" s="2">
        <v>46246.416666666657</v>
      </c>
      <c r="B3577" t="str">
        <f t="shared" si="110"/>
        <v>2026-08</v>
      </c>
      <c r="C3577" s="3">
        <f t="shared" si="111"/>
        <v>10</v>
      </c>
      <c r="D3577" s="4">
        <v>27.35395892955556</v>
      </c>
      <c r="E3577" s="4"/>
      <c r="F3577" s="4">
        <v>30.03287811258333</v>
      </c>
      <c r="G3577" s="4">
        <v>22.4</v>
      </c>
      <c r="H3577" s="5">
        <v>45.075439557877779</v>
      </c>
      <c r="I3577" s="5"/>
      <c r="J3577" s="5">
        <v>44.34488244452222</v>
      </c>
      <c r="K3577" s="5">
        <v>58</v>
      </c>
    </row>
    <row r="3578" spans="1:11" x14ac:dyDescent="0.25">
      <c r="A3578" s="2">
        <v>46246.458333333343</v>
      </c>
      <c r="B3578" t="str">
        <f t="shared" si="110"/>
        <v>2026-08</v>
      </c>
      <c r="C3578" s="3">
        <f t="shared" si="111"/>
        <v>11</v>
      </c>
      <c r="D3578" s="4">
        <v>26.730962580983331</v>
      </c>
      <c r="E3578" s="4"/>
      <c r="F3578" s="4">
        <v>30.076461738652771</v>
      </c>
      <c r="G3578" s="4">
        <v>23.6</v>
      </c>
      <c r="H3578" s="5">
        <v>40.662908317277783</v>
      </c>
      <c r="I3578" s="5"/>
      <c r="J3578" s="5">
        <v>44.299174916425002</v>
      </c>
      <c r="K3578" s="5">
        <v>50</v>
      </c>
    </row>
    <row r="3579" spans="1:11" x14ac:dyDescent="0.25">
      <c r="A3579" s="2">
        <v>46246.5</v>
      </c>
      <c r="B3579" t="str">
        <f t="shared" si="110"/>
        <v>2026-08</v>
      </c>
      <c r="C3579" s="3">
        <f t="shared" si="111"/>
        <v>12</v>
      </c>
      <c r="D3579" s="4">
        <v>25.755528525452771</v>
      </c>
      <c r="E3579" s="4"/>
      <c r="F3579" s="4">
        <v>29.98429860138333</v>
      </c>
      <c r="G3579" s="4">
        <v>24.3</v>
      </c>
      <c r="H3579" s="5">
        <v>34.261034519205559</v>
      </c>
      <c r="I3579" s="5"/>
      <c r="J3579" s="5">
        <v>43.566924600452779</v>
      </c>
      <c r="K3579" s="5">
        <v>43</v>
      </c>
    </row>
    <row r="3580" spans="1:11" x14ac:dyDescent="0.25">
      <c r="A3580" s="2">
        <v>46246.541666666657</v>
      </c>
      <c r="B3580" t="str">
        <f t="shared" si="110"/>
        <v>2026-08</v>
      </c>
      <c r="C3580" s="3">
        <f t="shared" si="111"/>
        <v>13</v>
      </c>
      <c r="D3580" s="4">
        <v>26.66819499748334</v>
      </c>
      <c r="E3580" s="4"/>
      <c r="F3580" s="4">
        <v>30.038337986122219</v>
      </c>
      <c r="G3580" s="4">
        <v>24.9</v>
      </c>
      <c r="H3580" s="5">
        <v>32.599888422924998</v>
      </c>
      <c r="I3580" s="5"/>
      <c r="J3580" s="5">
        <v>42.993266329227772</v>
      </c>
      <c r="K3580" s="5">
        <v>36</v>
      </c>
    </row>
    <row r="3581" spans="1:11" x14ac:dyDescent="0.25">
      <c r="A3581" s="2">
        <v>46246.583333333343</v>
      </c>
      <c r="B3581" t="str">
        <f t="shared" si="110"/>
        <v>2026-08</v>
      </c>
      <c r="C3581" s="3">
        <f t="shared" si="111"/>
        <v>14</v>
      </c>
      <c r="D3581" s="4">
        <v>26.812991193830559</v>
      </c>
      <c r="E3581" s="4"/>
      <c r="F3581" s="4">
        <v>29.878286124763889</v>
      </c>
      <c r="G3581" s="4">
        <v>25</v>
      </c>
      <c r="H3581" s="5">
        <v>31.326697517025</v>
      </c>
      <c r="I3581" s="5"/>
      <c r="J3581" s="5">
        <v>41.892211034094437</v>
      </c>
      <c r="K3581" s="5">
        <v>34</v>
      </c>
    </row>
    <row r="3582" spans="1:11" x14ac:dyDescent="0.25">
      <c r="A3582" s="2">
        <v>46246.625</v>
      </c>
      <c r="B3582" t="str">
        <f t="shared" si="110"/>
        <v>2026-08</v>
      </c>
      <c r="C3582" s="3">
        <f t="shared" si="111"/>
        <v>15</v>
      </c>
      <c r="D3582" s="4">
        <v>26.798197577888889</v>
      </c>
      <c r="E3582" s="4"/>
      <c r="F3582" s="4">
        <v>29.045821526638889</v>
      </c>
      <c r="G3582" s="4">
        <v>25.3</v>
      </c>
      <c r="H3582" s="5">
        <v>30.440754991330561</v>
      </c>
      <c r="I3582" s="5"/>
      <c r="J3582" s="5">
        <v>38.22447736933055</v>
      </c>
      <c r="K3582" s="5">
        <v>31</v>
      </c>
    </row>
    <row r="3583" spans="1:11" x14ac:dyDescent="0.25">
      <c r="A3583" s="2">
        <v>46246.666666666657</v>
      </c>
      <c r="B3583" t="str">
        <f t="shared" si="110"/>
        <v>2026-08</v>
      </c>
      <c r="C3583" s="3">
        <f t="shared" si="111"/>
        <v>16</v>
      </c>
      <c r="D3583" s="4">
        <v>26.58678716587778</v>
      </c>
      <c r="E3583" s="4"/>
      <c r="F3583" s="4">
        <v>28.805316797919449</v>
      </c>
      <c r="G3583" s="4">
        <v>24.7</v>
      </c>
      <c r="H3583" s="5">
        <v>31.024312673977779</v>
      </c>
      <c r="I3583" s="5"/>
      <c r="J3583" s="5">
        <v>38.43558590276389</v>
      </c>
      <c r="K3583" s="5">
        <v>32</v>
      </c>
    </row>
    <row r="3584" spans="1:11" x14ac:dyDescent="0.25">
      <c r="A3584" s="2">
        <v>46246.708333333343</v>
      </c>
      <c r="B3584" t="str">
        <f t="shared" si="110"/>
        <v>2026-08</v>
      </c>
      <c r="C3584" s="3">
        <f t="shared" si="111"/>
        <v>17</v>
      </c>
      <c r="D3584" s="4">
        <v>26.395688528633329</v>
      </c>
      <c r="E3584" s="4"/>
      <c r="F3584" s="4">
        <v>29.178653252463889</v>
      </c>
      <c r="G3584" s="4">
        <v>24</v>
      </c>
      <c r="H3584" s="5">
        <v>31.238516416372221</v>
      </c>
      <c r="I3584" s="5"/>
      <c r="J3584" s="5">
        <v>39.909953666788887</v>
      </c>
      <c r="K3584" s="5">
        <v>33</v>
      </c>
    </row>
    <row r="3585" spans="1:11" x14ac:dyDescent="0.25">
      <c r="A3585" s="2">
        <v>46246.75</v>
      </c>
      <c r="B3585" t="str">
        <f t="shared" si="110"/>
        <v>2026-08</v>
      </c>
      <c r="C3585" s="3">
        <f t="shared" si="111"/>
        <v>18</v>
      </c>
      <c r="D3585" s="4">
        <v>26.025834153805551</v>
      </c>
      <c r="E3585" s="4"/>
      <c r="F3585" s="4">
        <v>29.543173728761111</v>
      </c>
      <c r="G3585" s="4">
        <v>23</v>
      </c>
      <c r="H3585" s="5">
        <v>30.934343525799999</v>
      </c>
      <c r="I3585" s="5"/>
      <c r="J3585" s="5">
        <v>40.803903817663887</v>
      </c>
      <c r="K3585" s="5">
        <v>37</v>
      </c>
    </row>
    <row r="3586" spans="1:11" x14ac:dyDescent="0.25">
      <c r="A3586" s="2">
        <v>46246.791666666657</v>
      </c>
      <c r="B3586" t="str">
        <f t="shared" ref="B3586:B3649" si="112">TEXT(A3586,"yyyy-mm")</f>
        <v>2026-08</v>
      </c>
      <c r="C3586" s="3">
        <f t="shared" ref="C3586:C3649" si="113">HOUR(A3586)</f>
        <v>19</v>
      </c>
      <c r="D3586" s="4">
        <v>25.425284379250002</v>
      </c>
      <c r="E3586" s="4"/>
      <c r="F3586" s="4">
        <v>29.686873287194452</v>
      </c>
      <c r="G3586" s="4">
        <v>22.2</v>
      </c>
      <c r="H3586" s="5">
        <v>32.440461697416673</v>
      </c>
      <c r="I3586" s="5"/>
      <c r="J3586" s="5">
        <v>41.172925020450002</v>
      </c>
      <c r="K3586" s="5">
        <v>39</v>
      </c>
    </row>
    <row r="3587" spans="1:11" x14ac:dyDescent="0.25">
      <c r="A3587" s="2">
        <v>46246.833333333343</v>
      </c>
      <c r="B3587" t="str">
        <f t="shared" si="112"/>
        <v>2026-08</v>
      </c>
      <c r="C3587" s="3">
        <f t="shared" si="113"/>
        <v>20</v>
      </c>
      <c r="D3587" s="4">
        <v>24.673904279308331</v>
      </c>
      <c r="E3587" s="4"/>
      <c r="F3587" s="4">
        <v>29.739479999522221</v>
      </c>
      <c r="G3587" s="4">
        <v>21.1</v>
      </c>
      <c r="H3587" s="5">
        <v>34.247790703108329</v>
      </c>
      <c r="I3587" s="5"/>
      <c r="J3587" s="5">
        <v>41.331319111880553</v>
      </c>
      <c r="K3587" s="5">
        <v>43</v>
      </c>
    </row>
    <row r="3588" spans="1:11" x14ac:dyDescent="0.25">
      <c r="A3588" s="2">
        <v>46246.875</v>
      </c>
      <c r="B3588" t="str">
        <f t="shared" si="112"/>
        <v>2026-08</v>
      </c>
      <c r="C3588" s="3">
        <f t="shared" si="113"/>
        <v>21</v>
      </c>
      <c r="D3588" s="4">
        <v>24.125234456988888</v>
      </c>
      <c r="E3588" s="4"/>
      <c r="F3588" s="4">
        <v>29.773695908261111</v>
      </c>
      <c r="G3588" s="4">
        <v>19.7</v>
      </c>
      <c r="H3588" s="5">
        <v>36.11842877210556</v>
      </c>
      <c r="I3588" s="5"/>
      <c r="J3588" s="5">
        <v>41.387206265088892</v>
      </c>
      <c r="K3588" s="5">
        <v>46</v>
      </c>
    </row>
    <row r="3589" spans="1:11" x14ac:dyDescent="0.25">
      <c r="A3589" s="2">
        <v>46246.916666666657</v>
      </c>
      <c r="B3589" t="str">
        <f t="shared" si="112"/>
        <v>2026-08</v>
      </c>
      <c r="C3589" s="3">
        <f t="shared" si="113"/>
        <v>22</v>
      </c>
      <c r="D3589" s="4">
        <v>24.157401832333331</v>
      </c>
      <c r="E3589" s="4"/>
      <c r="F3589" s="4">
        <v>29.799644572127772</v>
      </c>
      <c r="G3589" s="4">
        <v>18.600000000000001</v>
      </c>
      <c r="H3589" s="5">
        <v>37.424016037183328</v>
      </c>
      <c r="I3589" s="5"/>
      <c r="J3589" s="5">
        <v>41.513101626527778</v>
      </c>
      <c r="K3589" s="5">
        <v>49</v>
      </c>
    </row>
    <row r="3590" spans="1:11" x14ac:dyDescent="0.25">
      <c r="A3590" s="2">
        <v>46246.958333333343</v>
      </c>
      <c r="B3590" t="str">
        <f t="shared" si="112"/>
        <v>2026-08</v>
      </c>
      <c r="C3590" s="3">
        <f t="shared" si="113"/>
        <v>23</v>
      </c>
      <c r="D3590" s="4">
        <v>23.941685544319441</v>
      </c>
      <c r="E3590" s="4"/>
      <c r="F3590" s="4">
        <v>29.82775139700556</v>
      </c>
      <c r="G3590" s="4">
        <v>17.600000000000001</v>
      </c>
      <c r="H3590" s="5">
        <v>37.407171506516669</v>
      </c>
      <c r="I3590" s="5"/>
      <c r="J3590" s="5">
        <v>41.568837843608343</v>
      </c>
      <c r="K3590" s="5">
        <v>52</v>
      </c>
    </row>
    <row r="3591" spans="1:11" x14ac:dyDescent="0.25">
      <c r="A3591" s="2">
        <v>46247</v>
      </c>
      <c r="B3591" t="str">
        <f t="shared" si="112"/>
        <v>2026-08</v>
      </c>
      <c r="C3591" s="3">
        <f t="shared" si="113"/>
        <v>0</v>
      </c>
      <c r="D3591" s="4">
        <v>23.40760623858889</v>
      </c>
      <c r="E3591" s="4"/>
      <c r="F3591" s="4">
        <v>29.826048004977778</v>
      </c>
      <c r="G3591" s="4">
        <v>16.600000000000001</v>
      </c>
      <c r="H3591" s="5">
        <v>38.333208302547227</v>
      </c>
      <c r="I3591" s="5"/>
      <c r="J3591" s="5">
        <v>41.572185977449998</v>
      </c>
      <c r="K3591" s="5">
        <v>55</v>
      </c>
    </row>
    <row r="3592" spans="1:11" x14ac:dyDescent="0.25">
      <c r="A3592" s="2">
        <v>46247.041666666657</v>
      </c>
      <c r="B3592" t="str">
        <f t="shared" si="112"/>
        <v>2026-08</v>
      </c>
      <c r="C3592" s="3">
        <f t="shared" si="113"/>
        <v>1</v>
      </c>
      <c r="D3592" s="4">
        <v>22.325309124452779</v>
      </c>
      <c r="E3592" s="4"/>
      <c r="F3592" s="4">
        <v>29.76863583929444</v>
      </c>
      <c r="G3592" s="4">
        <v>15.8</v>
      </c>
      <c r="H3592" s="5">
        <v>40.31420217377778</v>
      </c>
      <c r="I3592" s="5"/>
      <c r="J3592" s="5">
        <v>41.55323708865</v>
      </c>
      <c r="K3592" s="5">
        <v>59</v>
      </c>
    </row>
    <row r="3593" spans="1:11" x14ac:dyDescent="0.25">
      <c r="A3593" s="2">
        <v>46247.083333333343</v>
      </c>
      <c r="B3593" t="str">
        <f t="shared" si="112"/>
        <v>2026-08</v>
      </c>
      <c r="C3593" s="3">
        <f t="shared" si="113"/>
        <v>2</v>
      </c>
      <c r="D3593" s="4">
        <v>22.109923308633331</v>
      </c>
      <c r="E3593" s="4"/>
      <c r="F3593" s="4">
        <v>29.740577192341661</v>
      </c>
      <c r="G3593" s="4">
        <v>15</v>
      </c>
      <c r="H3593" s="5">
        <v>39.972631261705558</v>
      </c>
      <c r="I3593" s="5"/>
      <c r="J3593" s="5">
        <v>41.42164339259444</v>
      </c>
      <c r="K3593" s="5">
        <v>63</v>
      </c>
    </row>
    <row r="3594" spans="1:11" x14ac:dyDescent="0.25">
      <c r="A3594" s="2">
        <v>46247.125</v>
      </c>
      <c r="B3594" t="str">
        <f t="shared" si="112"/>
        <v>2026-08</v>
      </c>
      <c r="C3594" s="3">
        <f t="shared" si="113"/>
        <v>3</v>
      </c>
      <c r="D3594" s="4">
        <v>21.709117280230551</v>
      </c>
      <c r="E3594" s="4"/>
      <c r="F3594" s="4">
        <v>29.682625223755551</v>
      </c>
      <c r="G3594" s="4">
        <v>13.4</v>
      </c>
      <c r="H3594" s="5">
        <v>40.130803194505553</v>
      </c>
      <c r="I3594" s="5"/>
      <c r="J3594" s="5">
        <v>41.170222708336112</v>
      </c>
      <c r="K3594" s="5">
        <v>67</v>
      </c>
    </row>
    <row r="3595" spans="1:11" x14ac:dyDescent="0.25">
      <c r="A3595" s="2">
        <v>46247.166666666657</v>
      </c>
      <c r="B3595" t="str">
        <f t="shared" si="112"/>
        <v>2026-08</v>
      </c>
      <c r="C3595" s="3">
        <f t="shared" si="113"/>
        <v>4</v>
      </c>
      <c r="D3595" s="4">
        <v>21.360785730611109</v>
      </c>
      <c r="E3595" s="4"/>
      <c r="F3595" s="4">
        <v>29.628062964116669</v>
      </c>
      <c r="G3595" s="4">
        <v>12.9</v>
      </c>
      <c r="H3595" s="5">
        <v>40.60288389877222</v>
      </c>
      <c r="I3595" s="5"/>
      <c r="J3595" s="5">
        <v>40.837611232722217</v>
      </c>
      <c r="K3595" s="5">
        <v>70</v>
      </c>
    </row>
    <row r="3596" spans="1:11" x14ac:dyDescent="0.25">
      <c r="A3596" s="2">
        <v>46247.208333333343</v>
      </c>
      <c r="B3596" t="str">
        <f t="shared" si="112"/>
        <v>2026-08</v>
      </c>
      <c r="C3596" s="3">
        <f t="shared" si="113"/>
        <v>5</v>
      </c>
      <c r="D3596" s="4">
        <v>21.054191101025001</v>
      </c>
      <c r="E3596" s="4"/>
      <c r="F3596" s="4">
        <v>29.61434454239722</v>
      </c>
      <c r="G3596" s="4">
        <v>12.4</v>
      </c>
      <c r="H3596" s="5">
        <v>41.240682850005562</v>
      </c>
      <c r="I3596" s="5"/>
      <c r="J3596" s="5">
        <v>40.552218952697217</v>
      </c>
      <c r="K3596" s="5">
        <v>72</v>
      </c>
    </row>
    <row r="3597" spans="1:11" x14ac:dyDescent="0.25">
      <c r="A3597" s="2">
        <v>46247.25</v>
      </c>
      <c r="B3597" t="str">
        <f t="shared" si="112"/>
        <v>2026-08</v>
      </c>
      <c r="C3597" s="3">
        <f t="shared" si="113"/>
        <v>6</v>
      </c>
      <c r="D3597" s="4">
        <v>22.23477832570833</v>
      </c>
      <c r="E3597" s="4"/>
      <c r="F3597" s="4">
        <v>29.557162182424999</v>
      </c>
      <c r="G3597" s="4">
        <v>12.2</v>
      </c>
      <c r="H3597" s="5">
        <v>38.857257854380563</v>
      </c>
      <c r="I3597" s="5"/>
      <c r="J3597" s="5">
        <v>40.538224388744453</v>
      </c>
      <c r="K3597" s="5">
        <v>72</v>
      </c>
    </row>
    <row r="3598" spans="1:11" x14ac:dyDescent="0.25">
      <c r="A3598" s="2">
        <v>46247.291666666657</v>
      </c>
      <c r="B3598" t="str">
        <f t="shared" si="112"/>
        <v>2026-08</v>
      </c>
      <c r="C3598" s="3">
        <f t="shared" si="113"/>
        <v>7</v>
      </c>
      <c r="D3598" s="4">
        <v>23.565938443488889</v>
      </c>
      <c r="E3598" s="4"/>
      <c r="F3598" s="4">
        <v>29.554979892750001</v>
      </c>
      <c r="G3598" s="4">
        <v>13.2</v>
      </c>
      <c r="H3598" s="5">
        <v>36.085248120013887</v>
      </c>
      <c r="I3598" s="5"/>
      <c r="J3598" s="5">
        <v>40.779898095555559</v>
      </c>
      <c r="K3598" s="5">
        <v>67</v>
      </c>
    </row>
    <row r="3599" spans="1:11" x14ac:dyDescent="0.25">
      <c r="A3599" s="2">
        <v>46247.333333333343</v>
      </c>
      <c r="B3599" t="str">
        <f t="shared" si="112"/>
        <v>2026-08</v>
      </c>
      <c r="C3599" s="3">
        <f t="shared" si="113"/>
        <v>8</v>
      </c>
      <c r="D3599" s="4">
        <v>24.821086656350001</v>
      </c>
      <c r="E3599" s="4"/>
      <c r="F3599" s="4">
        <v>29.619010515641669</v>
      </c>
      <c r="G3599" s="4">
        <v>14.7</v>
      </c>
      <c r="H3599" s="5">
        <v>33.911276077905562</v>
      </c>
      <c r="I3599" s="5"/>
      <c r="J3599" s="5">
        <v>40.917344773344453</v>
      </c>
      <c r="K3599" s="5">
        <v>61</v>
      </c>
    </row>
    <row r="3600" spans="1:11" x14ac:dyDescent="0.25">
      <c r="A3600" s="2">
        <v>46247.375</v>
      </c>
      <c r="B3600" t="str">
        <f t="shared" si="112"/>
        <v>2026-08</v>
      </c>
      <c r="C3600" s="3">
        <f t="shared" si="113"/>
        <v>9</v>
      </c>
      <c r="D3600" s="4">
        <v>25.872087769219441</v>
      </c>
      <c r="E3600" s="4"/>
      <c r="F3600" s="4">
        <v>29.6835670177</v>
      </c>
      <c r="G3600" s="4">
        <v>16.8</v>
      </c>
      <c r="H3600" s="5">
        <v>31.817691809374999</v>
      </c>
      <c r="I3600" s="5"/>
      <c r="J3600" s="5">
        <v>41.011370436202768</v>
      </c>
      <c r="K3600" s="5">
        <v>54</v>
      </c>
    </row>
    <row r="3601" spans="1:11" x14ac:dyDescent="0.25">
      <c r="A3601" s="2">
        <v>46247.416666666657</v>
      </c>
      <c r="B3601" t="str">
        <f t="shared" si="112"/>
        <v>2026-08</v>
      </c>
      <c r="C3601" s="3">
        <f t="shared" si="113"/>
        <v>10</v>
      </c>
      <c r="D3601" s="4">
        <v>26.213986038066661</v>
      </c>
      <c r="E3601" s="4"/>
      <c r="F3601" s="4">
        <v>29.747667840813889</v>
      </c>
      <c r="G3601" s="4">
        <v>18.5</v>
      </c>
      <c r="H3601" s="5">
        <v>29.80465345235833</v>
      </c>
      <c r="I3601" s="5"/>
      <c r="J3601" s="5">
        <v>41.034675369955558</v>
      </c>
      <c r="K3601" s="5">
        <v>45</v>
      </c>
    </row>
    <row r="3602" spans="1:11" x14ac:dyDescent="0.25">
      <c r="A3602" s="2">
        <v>46247.458333333343</v>
      </c>
      <c r="B3602" t="str">
        <f t="shared" si="112"/>
        <v>2026-08</v>
      </c>
      <c r="C3602" s="3">
        <f t="shared" si="113"/>
        <v>11</v>
      </c>
      <c r="D3602" s="4">
        <v>26.297049076158331</v>
      </c>
      <c r="E3602" s="4"/>
      <c r="F3602" s="4">
        <v>29.744191585036109</v>
      </c>
      <c r="G3602" s="4">
        <v>19.8</v>
      </c>
      <c r="H3602" s="5">
        <v>29.618251510372222</v>
      </c>
      <c r="I3602" s="5"/>
      <c r="J3602" s="5">
        <v>41.069555357691669</v>
      </c>
      <c r="K3602" s="5">
        <v>39</v>
      </c>
    </row>
    <row r="3603" spans="1:11" x14ac:dyDescent="0.25">
      <c r="A3603" s="2">
        <v>46247.5</v>
      </c>
      <c r="B3603" t="str">
        <f t="shared" si="112"/>
        <v>2026-08</v>
      </c>
      <c r="C3603" s="3">
        <f t="shared" si="113"/>
        <v>12</v>
      </c>
      <c r="D3603" s="4">
        <v>26.065279687491671</v>
      </c>
      <c r="E3603" s="4"/>
      <c r="F3603" s="4">
        <v>29.73861104728611</v>
      </c>
      <c r="G3603" s="4">
        <v>21.2</v>
      </c>
      <c r="H3603" s="5">
        <v>29.562171346961112</v>
      </c>
      <c r="I3603" s="5"/>
      <c r="J3603" s="5">
        <v>41.008111966305563</v>
      </c>
      <c r="K3603" s="5">
        <v>35</v>
      </c>
    </row>
    <row r="3604" spans="1:11" x14ac:dyDescent="0.25">
      <c r="A3604" s="2">
        <v>46247.541666666657</v>
      </c>
      <c r="B3604" t="str">
        <f t="shared" si="112"/>
        <v>2026-08</v>
      </c>
      <c r="C3604" s="3">
        <f t="shared" si="113"/>
        <v>13</v>
      </c>
      <c r="D3604" s="4">
        <v>26.018223257358329</v>
      </c>
      <c r="E3604" s="4"/>
      <c r="F3604" s="4">
        <v>29.736611114719441</v>
      </c>
      <c r="G3604" s="4">
        <v>21.8</v>
      </c>
      <c r="H3604" s="5">
        <v>29.609560823713888</v>
      </c>
      <c r="I3604" s="5"/>
      <c r="J3604" s="5">
        <v>40.799696411666673</v>
      </c>
      <c r="K3604" s="5">
        <v>34</v>
      </c>
    </row>
    <row r="3605" spans="1:11" x14ac:dyDescent="0.25">
      <c r="A3605" s="2">
        <v>46247.583333333343</v>
      </c>
      <c r="B3605" t="str">
        <f t="shared" si="112"/>
        <v>2026-08</v>
      </c>
      <c r="C3605" s="3">
        <f t="shared" si="113"/>
        <v>14</v>
      </c>
      <c r="D3605" s="4">
        <v>25.87216615897778</v>
      </c>
      <c r="E3605" s="4"/>
      <c r="F3605" s="4">
        <v>29.725637336575002</v>
      </c>
      <c r="G3605" s="4">
        <v>21.2</v>
      </c>
      <c r="H3605" s="5">
        <v>29.36968137738333</v>
      </c>
      <c r="I3605" s="5"/>
      <c r="J3605" s="5">
        <v>40.619973109152767</v>
      </c>
      <c r="K3605" s="5">
        <v>35</v>
      </c>
    </row>
    <row r="3606" spans="1:11" x14ac:dyDescent="0.25">
      <c r="A3606" s="2">
        <v>46247.625</v>
      </c>
      <c r="B3606" t="str">
        <f t="shared" si="112"/>
        <v>2026-08</v>
      </c>
      <c r="C3606" s="3">
        <f t="shared" si="113"/>
        <v>15</v>
      </c>
      <c r="D3606" s="4">
        <v>25.787127792416669</v>
      </c>
      <c r="E3606" s="4"/>
      <c r="F3606" s="4">
        <v>29.742342841313889</v>
      </c>
      <c r="G3606" s="4">
        <v>21.9</v>
      </c>
      <c r="H3606" s="5">
        <v>29.78679510363612</v>
      </c>
      <c r="I3606" s="5"/>
      <c r="J3606" s="5">
        <v>40.450301089811113</v>
      </c>
      <c r="K3606" s="5">
        <v>32</v>
      </c>
    </row>
    <row r="3607" spans="1:11" x14ac:dyDescent="0.25">
      <c r="A3607" s="2">
        <v>46247.666666666657</v>
      </c>
      <c r="B3607" t="str">
        <f t="shared" si="112"/>
        <v>2026-08</v>
      </c>
      <c r="C3607" s="3">
        <f t="shared" si="113"/>
        <v>16</v>
      </c>
      <c r="D3607" s="4">
        <v>25.670457534411121</v>
      </c>
      <c r="E3607" s="4"/>
      <c r="F3607" s="4">
        <v>29.751799641733331</v>
      </c>
      <c r="G3607" s="4">
        <v>22.1</v>
      </c>
      <c r="H3607" s="5">
        <v>29.623074143111111</v>
      </c>
      <c r="I3607" s="5"/>
      <c r="J3607" s="5">
        <v>40.349001634383328</v>
      </c>
      <c r="K3607" s="5">
        <v>32</v>
      </c>
    </row>
    <row r="3608" spans="1:11" x14ac:dyDescent="0.25">
      <c r="A3608" s="2">
        <v>46247.708333333343</v>
      </c>
      <c r="B3608" t="str">
        <f t="shared" si="112"/>
        <v>2026-08</v>
      </c>
      <c r="C3608" s="3">
        <f t="shared" si="113"/>
        <v>17</v>
      </c>
      <c r="D3608" s="4">
        <v>25.556288381188889</v>
      </c>
      <c r="E3608" s="4"/>
      <c r="F3608" s="4">
        <v>29.805284343427768</v>
      </c>
      <c r="G3608" s="4">
        <v>21.9</v>
      </c>
      <c r="H3608" s="5">
        <v>29.175348118355561</v>
      </c>
      <c r="I3608" s="5"/>
      <c r="J3608" s="5">
        <v>40.184159804419437</v>
      </c>
      <c r="K3608" s="5">
        <v>32</v>
      </c>
    </row>
    <row r="3609" spans="1:11" x14ac:dyDescent="0.25">
      <c r="A3609" s="2">
        <v>46247.75</v>
      </c>
      <c r="B3609" t="str">
        <f t="shared" si="112"/>
        <v>2026-08</v>
      </c>
      <c r="C3609" s="3">
        <f t="shared" si="113"/>
        <v>18</v>
      </c>
      <c r="D3609" s="4">
        <v>25.358994104000001</v>
      </c>
      <c r="E3609" s="4"/>
      <c r="F3609" s="4">
        <v>29.785711065658329</v>
      </c>
      <c r="G3609" s="4">
        <v>21.2</v>
      </c>
      <c r="H3609" s="5">
        <v>30.081252294405559</v>
      </c>
      <c r="I3609" s="5"/>
      <c r="J3609" s="5">
        <v>40.141706682005562</v>
      </c>
      <c r="K3609" s="5">
        <v>35</v>
      </c>
    </row>
    <row r="3610" spans="1:11" x14ac:dyDescent="0.25">
      <c r="A3610" s="2">
        <v>46247.791666666657</v>
      </c>
      <c r="B3610" t="str">
        <f t="shared" si="112"/>
        <v>2026-08</v>
      </c>
      <c r="C3610" s="3">
        <f t="shared" si="113"/>
        <v>19</v>
      </c>
      <c r="D3610" s="4">
        <v>24.909403377658339</v>
      </c>
      <c r="E3610" s="4"/>
      <c r="F3610" s="4">
        <v>29.750441336474999</v>
      </c>
      <c r="G3610" s="4">
        <v>20.6</v>
      </c>
      <c r="H3610" s="5">
        <v>30.740948184508341</v>
      </c>
      <c r="I3610" s="5"/>
      <c r="J3610" s="5">
        <v>40.075411253122219</v>
      </c>
      <c r="K3610" s="5">
        <v>38</v>
      </c>
    </row>
    <row r="3611" spans="1:11" x14ac:dyDescent="0.25">
      <c r="A3611" s="2">
        <v>46247.833333333343</v>
      </c>
      <c r="B3611" t="str">
        <f t="shared" si="112"/>
        <v>2026-08</v>
      </c>
      <c r="C3611" s="3">
        <f t="shared" si="113"/>
        <v>20</v>
      </c>
      <c r="D3611" s="4">
        <v>24.464086044288891</v>
      </c>
      <c r="E3611" s="4"/>
      <c r="F3611" s="4">
        <v>29.694517321972221</v>
      </c>
      <c r="G3611" s="4">
        <v>19.5</v>
      </c>
      <c r="H3611" s="5">
        <v>31.65181657442222</v>
      </c>
      <c r="I3611" s="5"/>
      <c r="J3611" s="5">
        <v>39.97905587686666</v>
      </c>
      <c r="K3611" s="5">
        <v>43</v>
      </c>
    </row>
    <row r="3612" spans="1:11" x14ac:dyDescent="0.25">
      <c r="A3612" s="2">
        <v>46247.875</v>
      </c>
      <c r="B3612" t="str">
        <f t="shared" si="112"/>
        <v>2026-08</v>
      </c>
      <c r="C3612" s="3">
        <f t="shared" si="113"/>
        <v>21</v>
      </c>
      <c r="D3612" s="4">
        <v>23.88908667035556</v>
      </c>
      <c r="E3612" s="4"/>
      <c r="F3612" s="4">
        <v>29.673030689841671</v>
      </c>
      <c r="G3612" s="4">
        <v>18</v>
      </c>
      <c r="H3612" s="5">
        <v>33.574951575649997</v>
      </c>
      <c r="I3612" s="5"/>
      <c r="J3612" s="5">
        <v>39.953654354186114</v>
      </c>
      <c r="K3612" s="5">
        <v>49</v>
      </c>
    </row>
    <row r="3613" spans="1:11" x14ac:dyDescent="0.25">
      <c r="A3613" s="2">
        <v>46247.916666666657</v>
      </c>
      <c r="B3613" t="str">
        <f t="shared" si="112"/>
        <v>2026-08</v>
      </c>
      <c r="C3613" s="3">
        <f t="shared" si="113"/>
        <v>22</v>
      </c>
      <c r="D3613" s="4">
        <v>23.50147600901111</v>
      </c>
      <c r="E3613" s="4"/>
      <c r="F3613" s="4">
        <v>29.68183310901389</v>
      </c>
      <c r="G3613" s="4">
        <v>17.2</v>
      </c>
      <c r="H3613" s="5">
        <v>34.621482582913892</v>
      </c>
      <c r="I3613" s="5"/>
      <c r="J3613" s="5">
        <v>40.005367691799997</v>
      </c>
      <c r="K3613" s="5">
        <v>52</v>
      </c>
    </row>
    <row r="3614" spans="1:11" x14ac:dyDescent="0.25">
      <c r="A3614" s="2">
        <v>46247.958333333343</v>
      </c>
      <c r="B3614" t="str">
        <f t="shared" si="112"/>
        <v>2026-08</v>
      </c>
      <c r="C3614" s="3">
        <f t="shared" si="113"/>
        <v>23</v>
      </c>
      <c r="D3614" s="4">
        <v>23.355524328016671</v>
      </c>
      <c r="E3614" s="4"/>
      <c r="F3614" s="4">
        <v>29.671498429883329</v>
      </c>
      <c r="G3614" s="4">
        <v>16.3</v>
      </c>
      <c r="H3614" s="5">
        <v>34.387767976919442</v>
      </c>
      <c r="I3614" s="5"/>
      <c r="J3614" s="5">
        <v>40.042336086616658</v>
      </c>
      <c r="K3614" s="5">
        <v>56</v>
      </c>
    </row>
    <row r="3615" spans="1:11" x14ac:dyDescent="0.25">
      <c r="A3615" s="2">
        <v>46248</v>
      </c>
      <c r="B3615" t="str">
        <f t="shared" si="112"/>
        <v>2026-08</v>
      </c>
      <c r="C3615" s="3">
        <f t="shared" si="113"/>
        <v>0</v>
      </c>
      <c r="D3615" s="4">
        <v>22.685637594100001</v>
      </c>
      <c r="E3615" s="4"/>
      <c r="F3615" s="4">
        <v>29.638463155686111</v>
      </c>
      <c r="G3615" s="4">
        <v>15.3</v>
      </c>
      <c r="H3615" s="5">
        <v>36.049888140900002</v>
      </c>
      <c r="I3615" s="5"/>
      <c r="J3615" s="5">
        <v>39.956192351125011</v>
      </c>
      <c r="K3615" s="5">
        <v>60</v>
      </c>
    </row>
    <row r="3616" spans="1:11" x14ac:dyDescent="0.25">
      <c r="A3616" s="2">
        <v>46248.041666666657</v>
      </c>
      <c r="B3616" t="str">
        <f t="shared" si="112"/>
        <v>2026-08</v>
      </c>
      <c r="C3616" s="3">
        <f t="shared" si="113"/>
        <v>1</v>
      </c>
      <c r="D3616" s="4">
        <v>21.771057622952771</v>
      </c>
      <c r="E3616" s="4"/>
      <c r="F3616" s="4">
        <v>29.581909267213891</v>
      </c>
      <c r="G3616" s="4">
        <v>14.5</v>
      </c>
      <c r="H3616" s="5">
        <v>38.162803910794437</v>
      </c>
      <c r="I3616" s="5"/>
      <c r="J3616" s="5">
        <v>39.786051258450001</v>
      </c>
      <c r="K3616" s="5">
        <v>65</v>
      </c>
    </row>
    <row r="3617" spans="1:11" x14ac:dyDescent="0.25">
      <c r="A3617" s="2">
        <v>46248.083333333343</v>
      </c>
      <c r="B3617" t="str">
        <f t="shared" si="112"/>
        <v>2026-08</v>
      </c>
      <c r="C3617" s="3">
        <f t="shared" si="113"/>
        <v>2</v>
      </c>
      <c r="D3617" s="4">
        <v>21.120283294330559</v>
      </c>
      <c r="E3617" s="4"/>
      <c r="F3617" s="4">
        <v>29.534047923730562</v>
      </c>
      <c r="G3617" s="4">
        <v>13.7</v>
      </c>
      <c r="H3617" s="5">
        <v>39.089745608733331</v>
      </c>
      <c r="I3617" s="5"/>
      <c r="J3617" s="5">
        <v>39.629833071155552</v>
      </c>
      <c r="K3617" s="5">
        <v>68</v>
      </c>
    </row>
    <row r="3618" spans="1:11" x14ac:dyDescent="0.25">
      <c r="A3618" s="2">
        <v>46248.125</v>
      </c>
      <c r="B3618" t="str">
        <f t="shared" si="112"/>
        <v>2026-08</v>
      </c>
      <c r="C3618" s="3">
        <f t="shared" si="113"/>
        <v>3</v>
      </c>
      <c r="D3618" s="4">
        <v>20.728698162919439</v>
      </c>
      <c r="E3618" s="4"/>
      <c r="F3618" s="4">
        <v>29.506103682544449</v>
      </c>
      <c r="G3618" s="4">
        <v>12.4</v>
      </c>
      <c r="H3618" s="5">
        <v>40.069962959986107</v>
      </c>
      <c r="I3618" s="5"/>
      <c r="J3618" s="5">
        <v>39.52549746313889</v>
      </c>
      <c r="K3618" s="5">
        <v>71</v>
      </c>
    </row>
    <row r="3619" spans="1:11" x14ac:dyDescent="0.25">
      <c r="A3619" s="2">
        <v>46248.166666666657</v>
      </c>
      <c r="B3619" t="str">
        <f t="shared" si="112"/>
        <v>2026-08</v>
      </c>
      <c r="C3619" s="3">
        <f t="shared" si="113"/>
        <v>4</v>
      </c>
      <c r="D3619" s="4">
        <v>20.291295732947219</v>
      </c>
      <c r="E3619" s="4"/>
      <c r="F3619" s="4">
        <v>29.407875314161121</v>
      </c>
      <c r="G3619" s="4">
        <v>11.9</v>
      </c>
      <c r="H3619" s="5">
        <v>41.252061828847218</v>
      </c>
      <c r="I3619" s="5"/>
      <c r="J3619" s="5">
        <v>38.913116652338893</v>
      </c>
      <c r="K3619" s="5">
        <v>74</v>
      </c>
    </row>
    <row r="3620" spans="1:11" x14ac:dyDescent="0.25">
      <c r="A3620" s="2">
        <v>46248.208333333343</v>
      </c>
      <c r="B3620" t="str">
        <f t="shared" si="112"/>
        <v>2026-08</v>
      </c>
      <c r="C3620" s="3">
        <f t="shared" si="113"/>
        <v>5</v>
      </c>
      <c r="D3620" s="4">
        <v>19.982695511130551</v>
      </c>
      <c r="E3620" s="4"/>
      <c r="F3620" s="4">
        <v>29.33663141291111</v>
      </c>
      <c r="G3620" s="4">
        <v>11.4</v>
      </c>
      <c r="H3620" s="5">
        <v>42.288024595430556</v>
      </c>
      <c r="I3620" s="5"/>
      <c r="J3620" s="5">
        <v>38.673347888472229</v>
      </c>
      <c r="K3620" s="5">
        <v>76</v>
      </c>
    </row>
    <row r="3621" spans="1:11" x14ac:dyDescent="0.25">
      <c r="A3621" s="2">
        <v>46248.25</v>
      </c>
      <c r="B3621" t="str">
        <f t="shared" si="112"/>
        <v>2026-08</v>
      </c>
      <c r="C3621" s="3">
        <f t="shared" si="113"/>
        <v>6</v>
      </c>
      <c r="D3621" s="4">
        <v>21.547498460719439</v>
      </c>
      <c r="E3621" s="4"/>
      <c r="F3621" s="4">
        <v>29.322779548716671</v>
      </c>
      <c r="G3621" s="4">
        <v>11.3</v>
      </c>
      <c r="H3621" s="5">
        <v>39.570260662638887</v>
      </c>
      <c r="I3621" s="5"/>
      <c r="J3621" s="5">
        <v>38.939498492558343</v>
      </c>
      <c r="K3621" s="5">
        <v>77</v>
      </c>
    </row>
    <row r="3622" spans="1:11" x14ac:dyDescent="0.25">
      <c r="A3622" s="2">
        <v>46248.291666666657</v>
      </c>
      <c r="B3622" t="str">
        <f t="shared" si="112"/>
        <v>2026-08</v>
      </c>
      <c r="C3622" s="3">
        <f t="shared" si="113"/>
        <v>7</v>
      </c>
      <c r="D3622" s="4">
        <v>23.407853743786109</v>
      </c>
      <c r="E3622" s="4"/>
      <c r="F3622" s="4">
        <v>29.357452191625001</v>
      </c>
      <c r="G3622" s="4">
        <v>12.3</v>
      </c>
      <c r="H3622" s="5">
        <v>36.199861654944442</v>
      </c>
      <c r="I3622" s="5"/>
      <c r="J3622" s="5">
        <v>39.43895753550278</v>
      </c>
      <c r="K3622" s="5">
        <v>72</v>
      </c>
    </row>
    <row r="3623" spans="1:11" x14ac:dyDescent="0.25">
      <c r="A3623" s="2">
        <v>46248.333333333343</v>
      </c>
      <c r="B3623" t="str">
        <f t="shared" si="112"/>
        <v>2026-08</v>
      </c>
      <c r="C3623" s="3">
        <f t="shared" si="113"/>
        <v>8</v>
      </c>
      <c r="D3623" s="4">
        <v>24.699998697877781</v>
      </c>
      <c r="E3623" s="4"/>
      <c r="F3623" s="4">
        <v>29.423096687180561</v>
      </c>
      <c r="G3623" s="4">
        <v>14</v>
      </c>
      <c r="H3623" s="5">
        <v>34.254876497363888</v>
      </c>
      <c r="I3623" s="5"/>
      <c r="J3623" s="5">
        <v>39.634754516036111</v>
      </c>
      <c r="K3623" s="5">
        <v>65</v>
      </c>
    </row>
    <row r="3624" spans="1:11" x14ac:dyDescent="0.25">
      <c r="A3624" s="2">
        <v>46248.375</v>
      </c>
      <c r="B3624" t="str">
        <f t="shared" si="112"/>
        <v>2026-08</v>
      </c>
      <c r="C3624" s="3">
        <f t="shared" si="113"/>
        <v>9</v>
      </c>
      <c r="D3624" s="4">
        <v>25.552622898002781</v>
      </c>
      <c r="E3624" s="4"/>
      <c r="F3624" s="4">
        <v>29.505868539205551</v>
      </c>
      <c r="G3624" s="4">
        <v>16.2</v>
      </c>
      <c r="H3624" s="5">
        <v>32.5407349352</v>
      </c>
      <c r="I3624" s="5"/>
      <c r="J3624" s="5">
        <v>39.852145705963892</v>
      </c>
      <c r="K3624" s="5">
        <v>57</v>
      </c>
    </row>
    <row r="3625" spans="1:11" x14ac:dyDescent="0.25">
      <c r="A3625" s="2">
        <v>46248.416666666657</v>
      </c>
      <c r="B3625" t="str">
        <f t="shared" si="112"/>
        <v>2026-08</v>
      </c>
      <c r="C3625" s="3">
        <f t="shared" si="113"/>
        <v>10</v>
      </c>
      <c r="D3625" s="4">
        <v>25.927307356427779</v>
      </c>
      <c r="E3625" s="4"/>
      <c r="F3625" s="4">
        <v>29.55959082784166</v>
      </c>
      <c r="G3625" s="4">
        <v>17.8</v>
      </c>
      <c r="H3625" s="5">
        <v>31.117133316705551</v>
      </c>
      <c r="I3625" s="5"/>
      <c r="J3625" s="5">
        <v>40.078443549083332</v>
      </c>
      <c r="K3625" s="5">
        <v>50</v>
      </c>
    </row>
    <row r="3626" spans="1:11" x14ac:dyDescent="0.25">
      <c r="A3626" s="2">
        <v>46248.458333333343</v>
      </c>
      <c r="B3626" t="str">
        <f t="shared" si="112"/>
        <v>2026-08</v>
      </c>
      <c r="C3626" s="3">
        <f t="shared" si="113"/>
        <v>11</v>
      </c>
      <c r="D3626" s="4">
        <v>25.786415247361109</v>
      </c>
      <c r="E3626" s="4"/>
      <c r="F3626" s="4">
        <v>29.572111100383331</v>
      </c>
      <c r="G3626" s="4">
        <v>19.100000000000001</v>
      </c>
      <c r="H3626" s="5">
        <v>29.56376903320556</v>
      </c>
      <c r="I3626" s="5"/>
      <c r="J3626" s="5">
        <v>40.180782205055557</v>
      </c>
      <c r="K3626" s="5">
        <v>42</v>
      </c>
    </row>
    <row r="3627" spans="1:11" x14ac:dyDescent="0.25">
      <c r="A3627" s="2">
        <v>46248.5</v>
      </c>
      <c r="B3627" t="str">
        <f t="shared" si="112"/>
        <v>2026-08</v>
      </c>
      <c r="C3627" s="3">
        <f t="shared" si="113"/>
        <v>12</v>
      </c>
      <c r="D3627" s="4">
        <v>25.786777545991669</v>
      </c>
      <c r="E3627" s="4"/>
      <c r="F3627" s="4">
        <v>29.223510608830551</v>
      </c>
      <c r="G3627" s="4">
        <v>20.2</v>
      </c>
      <c r="H3627" s="5">
        <v>28.785650122688889</v>
      </c>
      <c r="I3627" s="5"/>
      <c r="J3627" s="5">
        <v>38.247562510966667</v>
      </c>
      <c r="K3627" s="5">
        <v>37</v>
      </c>
    </row>
    <row r="3628" spans="1:11" x14ac:dyDescent="0.25">
      <c r="A3628" s="2">
        <v>46248.541666666657</v>
      </c>
      <c r="B3628" t="str">
        <f t="shared" si="112"/>
        <v>2026-08</v>
      </c>
      <c r="C3628" s="3">
        <f t="shared" si="113"/>
        <v>13</v>
      </c>
      <c r="D3628" s="4">
        <v>25.410189828633332</v>
      </c>
      <c r="E3628" s="4"/>
      <c r="F3628" s="4">
        <v>29.385057767925002</v>
      </c>
      <c r="G3628" s="4">
        <v>21.1</v>
      </c>
      <c r="H3628" s="5">
        <v>28.664221418105559</v>
      </c>
      <c r="I3628" s="5"/>
      <c r="J3628" s="5">
        <v>39.006488300094453</v>
      </c>
      <c r="K3628" s="5">
        <v>33</v>
      </c>
    </row>
    <row r="3629" spans="1:11" x14ac:dyDescent="0.25">
      <c r="A3629" s="2">
        <v>46248.583333333343</v>
      </c>
      <c r="B3629" t="str">
        <f t="shared" si="112"/>
        <v>2026-08</v>
      </c>
      <c r="C3629" s="3">
        <f t="shared" si="113"/>
        <v>14</v>
      </c>
      <c r="D3629" s="4">
        <v>25.03749649416666</v>
      </c>
      <c r="E3629" s="4"/>
      <c r="F3629" s="4">
        <v>29.502234020574999</v>
      </c>
      <c r="G3629" s="4">
        <v>20.3</v>
      </c>
      <c r="H3629" s="5">
        <v>29.29040157611945</v>
      </c>
      <c r="I3629" s="5"/>
      <c r="J3629" s="5">
        <v>38.840868719283343</v>
      </c>
      <c r="K3629" s="5">
        <v>36</v>
      </c>
    </row>
    <row r="3630" spans="1:11" x14ac:dyDescent="0.25">
      <c r="A3630" s="2">
        <v>46248.625</v>
      </c>
      <c r="B3630" t="str">
        <f t="shared" si="112"/>
        <v>2026-08</v>
      </c>
      <c r="C3630" s="3">
        <f t="shared" si="113"/>
        <v>15</v>
      </c>
      <c r="D3630" s="4">
        <v>24.94133118064444</v>
      </c>
      <c r="E3630" s="4"/>
      <c r="F3630" s="4">
        <v>29.633546407536109</v>
      </c>
      <c r="G3630" s="4">
        <v>21.8</v>
      </c>
      <c r="H3630" s="5">
        <v>29.648164984933331</v>
      </c>
      <c r="I3630" s="5"/>
      <c r="J3630" s="5">
        <v>38.903984024119453</v>
      </c>
      <c r="K3630" s="5">
        <v>31</v>
      </c>
    </row>
    <row r="3631" spans="1:11" x14ac:dyDescent="0.25">
      <c r="A3631" s="2">
        <v>46248.666666666657</v>
      </c>
      <c r="B3631" t="str">
        <f t="shared" si="112"/>
        <v>2026-08</v>
      </c>
      <c r="C3631" s="3">
        <f t="shared" si="113"/>
        <v>16</v>
      </c>
      <c r="D3631" s="4">
        <v>25.058750035238891</v>
      </c>
      <c r="E3631" s="4"/>
      <c r="F3631" s="4">
        <v>29.37562955793889</v>
      </c>
      <c r="G3631" s="4">
        <v>21.6</v>
      </c>
      <c r="H3631" s="5">
        <v>30.58577030798056</v>
      </c>
      <c r="I3631" s="5"/>
      <c r="J3631" s="5">
        <v>39.220135406227783</v>
      </c>
      <c r="K3631" s="5">
        <v>32</v>
      </c>
    </row>
    <row r="3632" spans="1:11" x14ac:dyDescent="0.25">
      <c r="A3632" s="2">
        <v>46248.708333333343</v>
      </c>
      <c r="B3632" t="str">
        <f t="shared" si="112"/>
        <v>2026-08</v>
      </c>
      <c r="C3632" s="3">
        <f t="shared" si="113"/>
        <v>17</v>
      </c>
      <c r="D3632" s="4">
        <v>25.008638401127779</v>
      </c>
      <c r="E3632" s="4"/>
      <c r="F3632" s="4">
        <v>29.412776300177779</v>
      </c>
      <c r="G3632" s="4">
        <v>21.6</v>
      </c>
      <c r="H3632" s="5">
        <v>30.51419935357778</v>
      </c>
      <c r="I3632" s="5"/>
      <c r="J3632" s="5">
        <v>39.651828320086111</v>
      </c>
      <c r="K3632" s="5">
        <v>32</v>
      </c>
    </row>
    <row r="3633" spans="1:11" x14ac:dyDescent="0.25">
      <c r="A3633" s="2">
        <v>46248.75</v>
      </c>
      <c r="B3633" t="str">
        <f t="shared" si="112"/>
        <v>2026-08</v>
      </c>
      <c r="C3633" s="3">
        <f t="shared" si="113"/>
        <v>18</v>
      </c>
      <c r="D3633" s="4">
        <v>24.56424618834167</v>
      </c>
      <c r="E3633" s="4"/>
      <c r="F3633" s="4">
        <v>29.447339025624998</v>
      </c>
      <c r="G3633" s="4">
        <v>21.1</v>
      </c>
      <c r="H3633" s="5">
        <v>29.89047867318056</v>
      </c>
      <c r="I3633" s="5"/>
      <c r="J3633" s="5">
        <v>39.585371887191663</v>
      </c>
      <c r="K3633" s="5">
        <v>33</v>
      </c>
    </row>
    <row r="3634" spans="1:11" x14ac:dyDescent="0.25">
      <c r="A3634" s="2">
        <v>46248.791666666657</v>
      </c>
      <c r="B3634" t="str">
        <f t="shared" si="112"/>
        <v>2026-08</v>
      </c>
      <c r="C3634" s="3">
        <f t="shared" si="113"/>
        <v>19</v>
      </c>
      <c r="D3634" s="4">
        <v>23.912860690661109</v>
      </c>
      <c r="E3634" s="4"/>
      <c r="F3634" s="4">
        <v>29.432100484986108</v>
      </c>
      <c r="G3634" s="4">
        <v>20.5</v>
      </c>
      <c r="H3634" s="5">
        <v>29.173398182100001</v>
      </c>
      <c r="I3634" s="5"/>
      <c r="J3634" s="5">
        <v>39.320536128886111</v>
      </c>
      <c r="K3634" s="5">
        <v>34</v>
      </c>
    </row>
    <row r="3635" spans="1:11" x14ac:dyDescent="0.25">
      <c r="A3635" s="2">
        <v>46248.833333333343</v>
      </c>
      <c r="B3635" t="str">
        <f t="shared" si="112"/>
        <v>2026-08</v>
      </c>
      <c r="C3635" s="3">
        <f t="shared" si="113"/>
        <v>20</v>
      </c>
      <c r="D3635" s="4">
        <v>23.248865440566661</v>
      </c>
      <c r="E3635" s="4"/>
      <c r="F3635" s="4">
        <v>29.32613275998056</v>
      </c>
      <c r="G3635" s="4">
        <v>19.2</v>
      </c>
      <c r="H3635" s="5">
        <v>30.94290959458333</v>
      </c>
      <c r="I3635" s="5"/>
      <c r="J3635" s="5">
        <v>38.685403287313903</v>
      </c>
      <c r="K3635" s="5">
        <v>41</v>
      </c>
    </row>
    <row r="3636" spans="1:11" x14ac:dyDescent="0.25">
      <c r="A3636" s="2">
        <v>46248.875</v>
      </c>
      <c r="B3636" t="str">
        <f t="shared" si="112"/>
        <v>2026-08</v>
      </c>
      <c r="C3636" s="3">
        <f t="shared" si="113"/>
        <v>21</v>
      </c>
      <c r="D3636" s="4">
        <v>22.670551438552781</v>
      </c>
      <c r="E3636" s="4"/>
      <c r="F3636" s="4">
        <v>29.325856484294441</v>
      </c>
      <c r="G3636" s="4">
        <v>18.2</v>
      </c>
      <c r="H3636" s="5">
        <v>33.215546006383327</v>
      </c>
      <c r="I3636" s="5"/>
      <c r="J3636" s="5">
        <v>38.672856522488892</v>
      </c>
      <c r="K3636" s="5">
        <v>45</v>
      </c>
    </row>
    <row r="3637" spans="1:11" x14ac:dyDescent="0.25">
      <c r="A3637" s="2">
        <v>46248.916666666657</v>
      </c>
      <c r="B3637" t="str">
        <f t="shared" si="112"/>
        <v>2026-08</v>
      </c>
      <c r="C3637" s="3">
        <f t="shared" si="113"/>
        <v>22</v>
      </c>
      <c r="D3637" s="4">
        <v>22.348389115402771</v>
      </c>
      <c r="E3637" s="4"/>
      <c r="F3637" s="4">
        <v>29.29766369233333</v>
      </c>
      <c r="G3637" s="4">
        <v>17</v>
      </c>
      <c r="H3637" s="5">
        <v>34.923695021294442</v>
      </c>
      <c r="I3637" s="5"/>
      <c r="J3637" s="5">
        <v>38.62825770909722</v>
      </c>
      <c r="K3637" s="5">
        <v>51</v>
      </c>
    </row>
    <row r="3638" spans="1:11" x14ac:dyDescent="0.25">
      <c r="A3638" s="2">
        <v>46248.958333333343</v>
      </c>
      <c r="B3638" t="str">
        <f t="shared" si="112"/>
        <v>2026-08</v>
      </c>
      <c r="C3638" s="3">
        <f t="shared" si="113"/>
        <v>23</v>
      </c>
      <c r="D3638" s="4">
        <v>21.93734446761389</v>
      </c>
      <c r="E3638" s="4"/>
      <c r="F3638" s="4">
        <v>29.286193093252781</v>
      </c>
      <c r="G3638" s="4">
        <v>16</v>
      </c>
      <c r="H3638" s="5">
        <v>36.40144980043889</v>
      </c>
      <c r="I3638" s="5"/>
      <c r="J3638" s="5">
        <v>38.617531767013887</v>
      </c>
      <c r="K3638" s="5">
        <v>55</v>
      </c>
    </row>
    <row r="3639" spans="1:11" x14ac:dyDescent="0.25">
      <c r="A3639" s="2">
        <v>46249</v>
      </c>
      <c r="B3639" t="str">
        <f t="shared" si="112"/>
        <v>2026-08</v>
      </c>
      <c r="C3639" s="3">
        <f t="shared" si="113"/>
        <v>0</v>
      </c>
      <c r="D3639" s="4">
        <v>21.953415930086109</v>
      </c>
      <c r="E3639" s="4"/>
      <c r="F3639" s="4">
        <v>29.293382942625001</v>
      </c>
      <c r="G3639" s="4">
        <v>15.3</v>
      </c>
      <c r="H3639" s="5">
        <v>36.254187416980557</v>
      </c>
      <c r="I3639" s="5"/>
      <c r="J3639" s="5">
        <v>38.561924247641663</v>
      </c>
      <c r="K3639" s="5">
        <v>58</v>
      </c>
    </row>
    <row r="3640" spans="1:11" x14ac:dyDescent="0.25">
      <c r="A3640" s="2">
        <v>46249.041666666657</v>
      </c>
      <c r="B3640" t="str">
        <f t="shared" si="112"/>
        <v>2026-08</v>
      </c>
      <c r="C3640" s="3">
        <f t="shared" si="113"/>
        <v>1</v>
      </c>
      <c r="D3640" s="4">
        <v>22.10273824831112</v>
      </c>
      <c r="E3640" s="4"/>
      <c r="F3640" s="4">
        <v>29.209574381602781</v>
      </c>
      <c r="G3640" s="4">
        <v>14.4</v>
      </c>
      <c r="H3640" s="5">
        <v>36.16302871886667</v>
      </c>
      <c r="I3640" s="5"/>
      <c r="J3640" s="5">
        <v>38.41597929755833</v>
      </c>
      <c r="K3640" s="5">
        <v>63</v>
      </c>
    </row>
    <row r="3641" spans="1:11" x14ac:dyDescent="0.25">
      <c r="A3641" s="2">
        <v>46249.083333333343</v>
      </c>
      <c r="B3641" t="str">
        <f t="shared" si="112"/>
        <v>2026-08</v>
      </c>
      <c r="C3641" s="3">
        <f t="shared" si="113"/>
        <v>2</v>
      </c>
      <c r="D3641" s="4">
        <v>21.41344551008611</v>
      </c>
      <c r="E3641" s="4"/>
      <c r="F3641" s="4">
        <v>29.157683952869441</v>
      </c>
      <c r="G3641" s="4">
        <v>13.7</v>
      </c>
      <c r="H3641" s="5">
        <v>38.641068394969437</v>
      </c>
      <c r="I3641" s="5"/>
      <c r="J3641" s="5">
        <v>38.503620515880563</v>
      </c>
      <c r="K3641" s="5">
        <v>66</v>
      </c>
    </row>
    <row r="3642" spans="1:11" x14ac:dyDescent="0.25">
      <c r="A3642" s="2">
        <v>46249.125</v>
      </c>
      <c r="B3642" t="str">
        <f t="shared" si="112"/>
        <v>2026-08</v>
      </c>
      <c r="C3642" s="3">
        <f t="shared" si="113"/>
        <v>3</v>
      </c>
      <c r="D3642" s="4">
        <v>20.728360609336111</v>
      </c>
      <c r="E3642" s="4"/>
      <c r="F3642" s="4">
        <v>29.101990904436111</v>
      </c>
      <c r="G3642" s="4">
        <v>12.5</v>
      </c>
      <c r="H3642" s="5">
        <v>40.123133604991672</v>
      </c>
      <c r="I3642" s="5"/>
      <c r="J3642" s="5">
        <v>38.416444244477781</v>
      </c>
      <c r="K3642" s="5">
        <v>69</v>
      </c>
    </row>
    <row r="3643" spans="1:11" x14ac:dyDescent="0.25">
      <c r="A3643" s="2">
        <v>46249.166666666657</v>
      </c>
      <c r="B3643" t="str">
        <f t="shared" si="112"/>
        <v>2026-08</v>
      </c>
      <c r="C3643" s="3">
        <f t="shared" si="113"/>
        <v>4</v>
      </c>
      <c r="D3643" s="4">
        <v>20.25243085498612</v>
      </c>
      <c r="E3643" s="4"/>
      <c r="F3643" s="4">
        <v>29.04616225031112</v>
      </c>
      <c r="G3643" s="4">
        <v>11.8</v>
      </c>
      <c r="H3643" s="5">
        <v>41.488721118433332</v>
      </c>
      <c r="I3643" s="5"/>
      <c r="J3643" s="5">
        <v>38.359828039675001</v>
      </c>
      <c r="K3643" s="5">
        <v>73</v>
      </c>
    </row>
    <row r="3644" spans="1:11" x14ac:dyDescent="0.25">
      <c r="A3644" s="2">
        <v>46249.208333333343</v>
      </c>
      <c r="B3644" t="str">
        <f t="shared" si="112"/>
        <v>2026-08</v>
      </c>
      <c r="C3644" s="3">
        <f t="shared" si="113"/>
        <v>5</v>
      </c>
      <c r="D3644" s="4">
        <v>19.99001240436111</v>
      </c>
      <c r="E3644" s="4"/>
      <c r="F3644" s="4">
        <v>29.002409069983329</v>
      </c>
      <c r="G3644" s="4">
        <v>11.3</v>
      </c>
      <c r="H3644" s="5">
        <v>42.457619437752783</v>
      </c>
      <c r="I3644" s="5"/>
      <c r="J3644" s="5">
        <v>38.356155982902777</v>
      </c>
      <c r="K3644" s="5">
        <v>76</v>
      </c>
    </row>
    <row r="3645" spans="1:11" x14ac:dyDescent="0.25">
      <c r="A3645" s="2">
        <v>46249.25</v>
      </c>
      <c r="B3645" t="str">
        <f t="shared" si="112"/>
        <v>2026-08</v>
      </c>
      <c r="C3645" s="3">
        <f t="shared" si="113"/>
        <v>6</v>
      </c>
      <c r="D3645" s="4">
        <v>21.427838870036108</v>
      </c>
      <c r="E3645" s="4"/>
      <c r="F3645" s="4">
        <v>28.981947255772219</v>
      </c>
      <c r="G3645" s="4">
        <v>11.3</v>
      </c>
      <c r="H3645" s="5">
        <v>39.173029605830557</v>
      </c>
      <c r="I3645" s="5"/>
      <c r="J3645" s="5">
        <v>38.664318341027773</v>
      </c>
      <c r="K3645" s="5">
        <v>77</v>
      </c>
    </row>
    <row r="3646" spans="1:11" x14ac:dyDescent="0.25">
      <c r="A3646" s="2">
        <v>46249.291666666657</v>
      </c>
      <c r="B3646" t="str">
        <f t="shared" si="112"/>
        <v>2026-08</v>
      </c>
      <c r="C3646" s="3">
        <f t="shared" si="113"/>
        <v>7</v>
      </c>
      <c r="D3646" s="4">
        <v>23.35406384685556</v>
      </c>
      <c r="E3646" s="4"/>
      <c r="F3646" s="4">
        <v>29.032231300599999</v>
      </c>
      <c r="G3646" s="4">
        <v>12.4</v>
      </c>
      <c r="H3646" s="5">
        <v>33.752568144505553</v>
      </c>
      <c r="I3646" s="5"/>
      <c r="J3646" s="5">
        <v>38.8348999834</v>
      </c>
      <c r="K3646" s="5">
        <v>72</v>
      </c>
    </row>
    <row r="3647" spans="1:11" x14ac:dyDescent="0.25">
      <c r="A3647" s="2">
        <v>46249.333333333343</v>
      </c>
      <c r="B3647" t="str">
        <f t="shared" si="112"/>
        <v>2026-08</v>
      </c>
      <c r="C3647" s="3">
        <f t="shared" si="113"/>
        <v>8</v>
      </c>
      <c r="D3647" s="4">
        <v>24.712230731666661</v>
      </c>
      <c r="E3647" s="4"/>
      <c r="F3647" s="4">
        <v>29.11376370547778</v>
      </c>
      <c r="G3647" s="4">
        <v>14.7</v>
      </c>
      <c r="H3647" s="5">
        <v>30.736192218036109</v>
      </c>
      <c r="I3647" s="5"/>
      <c r="J3647" s="5">
        <v>38.992246259872232</v>
      </c>
      <c r="K3647" s="5">
        <v>63</v>
      </c>
    </row>
    <row r="3648" spans="1:11" x14ac:dyDescent="0.25">
      <c r="A3648" s="2">
        <v>46249.375</v>
      </c>
      <c r="B3648" t="str">
        <f t="shared" si="112"/>
        <v>2026-08</v>
      </c>
      <c r="C3648" s="3">
        <f t="shared" si="113"/>
        <v>9</v>
      </c>
      <c r="D3648" s="4">
        <v>25.68949100758056</v>
      </c>
      <c r="E3648" s="4"/>
      <c r="F3648" s="4">
        <v>29.182232742988891</v>
      </c>
      <c r="G3648" s="4">
        <v>17.899999999999999</v>
      </c>
      <c r="H3648" s="5">
        <v>28.276622291308328</v>
      </c>
      <c r="I3648" s="5"/>
      <c r="J3648" s="5">
        <v>39.049470215491667</v>
      </c>
      <c r="K3648" s="5">
        <v>51</v>
      </c>
    </row>
    <row r="3649" spans="1:11" x14ac:dyDescent="0.25">
      <c r="A3649" s="2">
        <v>46249.416666666657</v>
      </c>
      <c r="B3649" t="str">
        <f t="shared" si="112"/>
        <v>2026-08</v>
      </c>
      <c r="C3649" s="3">
        <f t="shared" si="113"/>
        <v>10</v>
      </c>
      <c r="D3649" s="4">
        <v>26.02720700608333</v>
      </c>
      <c r="E3649" s="4"/>
      <c r="F3649" s="4">
        <v>29.259203539913891</v>
      </c>
      <c r="G3649" s="4">
        <v>20</v>
      </c>
      <c r="H3649" s="5">
        <v>28.631985398280548</v>
      </c>
      <c r="I3649" s="5"/>
      <c r="J3649" s="5">
        <v>39.212101788677778</v>
      </c>
      <c r="K3649" s="5">
        <v>39</v>
      </c>
    </row>
    <row r="3650" spans="1:11" x14ac:dyDescent="0.25">
      <c r="A3650" s="2">
        <v>46249.458333333343</v>
      </c>
      <c r="B3650" t="str">
        <f t="shared" ref="B3650:B3713" si="114">TEXT(A3650,"yyyy-mm")</f>
        <v>2026-08</v>
      </c>
      <c r="C3650" s="3">
        <f t="shared" ref="C3650:C3713" si="115">HOUR(A3650)</f>
        <v>11</v>
      </c>
      <c r="D3650" s="4">
        <v>25.981292726774999</v>
      </c>
      <c r="E3650" s="4"/>
      <c r="F3650" s="4">
        <v>29.276552637086109</v>
      </c>
      <c r="G3650" s="4">
        <v>21.2</v>
      </c>
      <c r="H3650" s="5">
        <v>27.921134698797221</v>
      </c>
      <c r="I3650" s="5"/>
      <c r="J3650" s="5">
        <v>39.265077067525013</v>
      </c>
      <c r="K3650" s="5">
        <v>32</v>
      </c>
    </row>
    <row r="3651" spans="1:11" x14ac:dyDescent="0.25">
      <c r="A3651" s="2">
        <v>46249.5</v>
      </c>
      <c r="B3651" t="str">
        <f t="shared" si="114"/>
        <v>2026-08</v>
      </c>
      <c r="C3651" s="3">
        <f t="shared" si="115"/>
        <v>12</v>
      </c>
      <c r="D3651" s="4">
        <v>25.846595245469441</v>
      </c>
      <c r="E3651" s="4"/>
      <c r="F3651" s="4">
        <v>29.273916773294449</v>
      </c>
      <c r="G3651" s="4">
        <v>22</v>
      </c>
      <c r="H3651" s="5">
        <v>26.695452997775</v>
      </c>
      <c r="I3651" s="5"/>
      <c r="J3651" s="5">
        <v>39.207498524891669</v>
      </c>
      <c r="K3651" s="5">
        <v>30</v>
      </c>
    </row>
    <row r="3652" spans="1:11" x14ac:dyDescent="0.25">
      <c r="A3652" s="2">
        <v>46249.541666666657</v>
      </c>
      <c r="B3652" t="str">
        <f t="shared" si="114"/>
        <v>2026-08</v>
      </c>
      <c r="C3652" s="3">
        <f t="shared" si="115"/>
        <v>13</v>
      </c>
      <c r="D3652" s="4">
        <v>25.542792099472219</v>
      </c>
      <c r="E3652" s="4"/>
      <c r="F3652" s="4">
        <v>29.26852908698611</v>
      </c>
      <c r="G3652" s="4">
        <v>22.6</v>
      </c>
      <c r="H3652" s="5">
        <v>28.027797660161109</v>
      </c>
      <c r="I3652" s="5"/>
      <c r="J3652" s="5">
        <v>39.12572555237778</v>
      </c>
      <c r="K3652" s="5">
        <v>30</v>
      </c>
    </row>
    <row r="3653" spans="1:11" x14ac:dyDescent="0.25">
      <c r="A3653" s="2">
        <v>46249.583333333343</v>
      </c>
      <c r="B3653" t="str">
        <f t="shared" si="114"/>
        <v>2026-08</v>
      </c>
      <c r="C3653" s="3">
        <f t="shared" si="115"/>
        <v>14</v>
      </c>
      <c r="D3653" s="4">
        <v>25.58769851071111</v>
      </c>
      <c r="E3653" s="4"/>
      <c r="F3653" s="4">
        <v>29.365210870661109</v>
      </c>
      <c r="G3653" s="4">
        <v>23.6</v>
      </c>
      <c r="H3653" s="5">
        <v>29.103666473055551</v>
      </c>
      <c r="I3653" s="5"/>
      <c r="J3653" s="5">
        <v>38.927819609619441</v>
      </c>
      <c r="K3653" s="5">
        <v>29</v>
      </c>
    </row>
    <row r="3654" spans="1:11" x14ac:dyDescent="0.25">
      <c r="A3654" s="2">
        <v>46249.625</v>
      </c>
      <c r="B3654" t="str">
        <f t="shared" si="114"/>
        <v>2026-08</v>
      </c>
      <c r="C3654" s="3">
        <f t="shared" si="115"/>
        <v>15</v>
      </c>
      <c r="D3654" s="4">
        <v>25.90612791397222</v>
      </c>
      <c r="E3654" s="4"/>
      <c r="F3654" s="4">
        <v>29.49379200880918</v>
      </c>
      <c r="G3654" s="4">
        <v>25</v>
      </c>
      <c r="H3654" s="5">
        <v>29.664424141127778</v>
      </c>
      <c r="I3654" s="5"/>
      <c r="J3654" s="5">
        <v>38.657003386538747</v>
      </c>
      <c r="K3654" s="5">
        <v>27</v>
      </c>
    </row>
    <row r="3655" spans="1:11" x14ac:dyDescent="0.25">
      <c r="A3655" s="2">
        <v>46249.666666666657</v>
      </c>
      <c r="B3655" t="str">
        <f t="shared" si="114"/>
        <v>2026-08</v>
      </c>
      <c r="C3655" s="3">
        <f t="shared" si="115"/>
        <v>16</v>
      </c>
      <c r="D3655" s="4">
        <v>25.93657742485</v>
      </c>
      <c r="E3655" s="4"/>
      <c r="F3655" s="4">
        <v>28.896127032205559</v>
      </c>
      <c r="G3655" s="4">
        <v>24.3</v>
      </c>
      <c r="H3655" s="5">
        <v>30.26937737055556</v>
      </c>
      <c r="I3655" s="5"/>
      <c r="J3655" s="5">
        <v>38.96250855435278</v>
      </c>
      <c r="K3655" s="5">
        <v>29</v>
      </c>
    </row>
    <row r="3656" spans="1:11" x14ac:dyDescent="0.25">
      <c r="A3656" s="2">
        <v>46249.708333333343</v>
      </c>
      <c r="B3656" t="str">
        <f t="shared" si="114"/>
        <v>2026-08</v>
      </c>
      <c r="C3656" s="3">
        <f t="shared" si="115"/>
        <v>17</v>
      </c>
      <c r="D3656" s="4">
        <v>25.747156905230561</v>
      </c>
      <c r="E3656" s="4"/>
      <c r="F3656" s="4">
        <v>29.163742098141672</v>
      </c>
      <c r="G3656" s="4">
        <v>23.9</v>
      </c>
      <c r="H3656" s="5">
        <v>30.637700042611112</v>
      </c>
      <c r="I3656" s="5"/>
      <c r="J3656" s="5">
        <v>39.148119730650002</v>
      </c>
      <c r="K3656" s="5">
        <v>32</v>
      </c>
    </row>
    <row r="3657" spans="1:11" x14ac:dyDescent="0.25">
      <c r="A3657" s="2">
        <v>46249.75</v>
      </c>
      <c r="B3657" t="str">
        <f t="shared" si="114"/>
        <v>2026-08</v>
      </c>
      <c r="C3657" s="3">
        <f t="shared" si="115"/>
        <v>18</v>
      </c>
      <c r="D3657" s="4">
        <v>25.520636718383329</v>
      </c>
      <c r="E3657" s="4"/>
      <c r="F3657" s="4">
        <v>29.228142184663881</v>
      </c>
      <c r="G3657" s="4">
        <v>23.3</v>
      </c>
      <c r="H3657" s="5">
        <v>31.431187774358332</v>
      </c>
      <c r="I3657" s="5"/>
      <c r="J3657" s="5">
        <v>39.088554529161122</v>
      </c>
      <c r="K3657" s="5">
        <v>35</v>
      </c>
    </row>
    <row r="3658" spans="1:11" x14ac:dyDescent="0.25">
      <c r="A3658" s="2">
        <v>46249.791666666657</v>
      </c>
      <c r="B3658" t="str">
        <f t="shared" si="114"/>
        <v>2026-08</v>
      </c>
      <c r="C3658" s="3">
        <f t="shared" si="115"/>
        <v>19</v>
      </c>
      <c r="D3658" s="4">
        <v>25.128394578733332</v>
      </c>
      <c r="E3658" s="4"/>
      <c r="F3658" s="4">
        <v>29.219354969436111</v>
      </c>
      <c r="G3658" s="4">
        <v>22.4</v>
      </c>
      <c r="H3658" s="5">
        <v>32.928219718844453</v>
      </c>
      <c r="I3658" s="5"/>
      <c r="J3658" s="5">
        <v>39.109630288511113</v>
      </c>
      <c r="K3658" s="5">
        <v>39</v>
      </c>
    </row>
    <row r="3659" spans="1:11" x14ac:dyDescent="0.25">
      <c r="A3659" s="2">
        <v>46249.833333333343</v>
      </c>
      <c r="B3659" t="str">
        <f t="shared" si="114"/>
        <v>2026-08</v>
      </c>
      <c r="C3659" s="3">
        <f t="shared" si="115"/>
        <v>20</v>
      </c>
      <c r="D3659" s="4">
        <v>24.546849213927771</v>
      </c>
      <c r="E3659" s="4"/>
      <c r="F3659" s="4">
        <v>29.180249805333329</v>
      </c>
      <c r="G3659" s="4">
        <v>21.1</v>
      </c>
      <c r="H3659" s="5">
        <v>35.354414768494443</v>
      </c>
      <c r="I3659" s="5"/>
      <c r="J3659" s="5">
        <v>39.210262896880558</v>
      </c>
      <c r="K3659" s="5">
        <v>46</v>
      </c>
    </row>
    <row r="3660" spans="1:11" x14ac:dyDescent="0.25">
      <c r="A3660" s="2">
        <v>46249.875</v>
      </c>
      <c r="B3660" t="str">
        <f t="shared" si="114"/>
        <v>2026-08</v>
      </c>
      <c r="C3660" s="3">
        <f t="shared" si="115"/>
        <v>21</v>
      </c>
      <c r="D3660" s="4">
        <v>23.89824359647222</v>
      </c>
      <c r="E3660" s="4"/>
      <c r="F3660" s="4">
        <v>29.196258095808329</v>
      </c>
      <c r="G3660" s="4">
        <v>19.899999999999999</v>
      </c>
      <c r="H3660" s="5">
        <v>38.303726143819439</v>
      </c>
      <c r="I3660" s="5"/>
      <c r="J3660" s="5">
        <v>39.358886564963889</v>
      </c>
      <c r="K3660" s="5">
        <v>54</v>
      </c>
    </row>
    <row r="3661" spans="1:11" x14ac:dyDescent="0.25">
      <c r="A3661" s="2">
        <v>46249.916666666657</v>
      </c>
      <c r="B3661" t="str">
        <f t="shared" si="114"/>
        <v>2026-08</v>
      </c>
      <c r="C3661" s="3">
        <f t="shared" si="115"/>
        <v>22</v>
      </c>
      <c r="D3661" s="4">
        <v>24.077181455066661</v>
      </c>
      <c r="E3661" s="4"/>
      <c r="F3661" s="4">
        <v>29.242333684861109</v>
      </c>
      <c r="G3661" s="4">
        <v>19.100000000000001</v>
      </c>
      <c r="H3661" s="5">
        <v>38.677839131775002</v>
      </c>
      <c r="I3661" s="5"/>
      <c r="J3661" s="5">
        <v>39.516837836874998</v>
      </c>
      <c r="K3661" s="5">
        <v>56</v>
      </c>
    </row>
    <row r="3662" spans="1:11" x14ac:dyDescent="0.25">
      <c r="A3662" s="2">
        <v>46249.958333333343</v>
      </c>
      <c r="B3662" t="str">
        <f t="shared" si="114"/>
        <v>2026-08</v>
      </c>
      <c r="C3662" s="3">
        <f t="shared" si="115"/>
        <v>23</v>
      </c>
      <c r="D3662" s="4">
        <v>24.060186974330559</v>
      </c>
      <c r="E3662" s="4"/>
      <c r="F3662" s="4">
        <v>29.248589772138889</v>
      </c>
      <c r="G3662" s="4">
        <v>18</v>
      </c>
      <c r="H3662" s="5">
        <v>39.180219732588888</v>
      </c>
      <c r="I3662" s="5"/>
      <c r="J3662" s="5">
        <v>39.696852195291669</v>
      </c>
      <c r="K3662" s="5">
        <v>62</v>
      </c>
    </row>
    <row r="3663" spans="1:11" x14ac:dyDescent="0.25">
      <c r="A3663" s="2">
        <v>46250</v>
      </c>
      <c r="B3663" t="str">
        <f t="shared" si="114"/>
        <v>2026-08</v>
      </c>
      <c r="C3663" s="3">
        <f t="shared" si="115"/>
        <v>0</v>
      </c>
      <c r="D3663" s="4">
        <v>24.020035067861109</v>
      </c>
      <c r="E3663" s="4"/>
      <c r="F3663" s="4">
        <v>29.298335055072219</v>
      </c>
      <c r="G3663" s="4">
        <v>17.2</v>
      </c>
      <c r="H3663" s="5">
        <v>39.629973733916671</v>
      </c>
      <c r="I3663" s="5"/>
      <c r="J3663" s="5">
        <v>39.782713334594447</v>
      </c>
      <c r="K3663" s="5">
        <v>66</v>
      </c>
    </row>
    <row r="3664" spans="1:11" x14ac:dyDescent="0.25">
      <c r="A3664" s="2">
        <v>46250.041666666657</v>
      </c>
      <c r="B3664" t="str">
        <f t="shared" si="114"/>
        <v>2026-08</v>
      </c>
      <c r="C3664" s="3">
        <f t="shared" si="115"/>
        <v>1</v>
      </c>
      <c r="D3664" s="4">
        <v>23.332124105158329</v>
      </c>
      <c r="E3664" s="4"/>
      <c r="F3664" s="4">
        <v>29.24818198951111</v>
      </c>
      <c r="G3664" s="4">
        <v>16.600000000000001</v>
      </c>
      <c r="H3664" s="5">
        <v>41.358762426880553</v>
      </c>
      <c r="I3664" s="5"/>
      <c r="J3664" s="5">
        <v>39.978120751641669</v>
      </c>
      <c r="K3664" s="5">
        <v>68</v>
      </c>
    </row>
    <row r="3665" spans="1:11" x14ac:dyDescent="0.25">
      <c r="A3665" s="2">
        <v>46250.083333333343</v>
      </c>
      <c r="B3665" t="str">
        <f t="shared" si="114"/>
        <v>2026-08</v>
      </c>
      <c r="C3665" s="3">
        <f t="shared" si="115"/>
        <v>2</v>
      </c>
      <c r="D3665" s="4">
        <v>23.21899221383612</v>
      </c>
      <c r="E3665" s="4"/>
      <c r="F3665" s="4">
        <v>29.20299979951389</v>
      </c>
      <c r="G3665" s="4">
        <v>16.2</v>
      </c>
      <c r="H3665" s="5">
        <v>42.402877496066672</v>
      </c>
      <c r="I3665" s="5"/>
      <c r="J3665" s="5">
        <v>40.162129960397223</v>
      </c>
      <c r="K3665" s="5">
        <v>70</v>
      </c>
    </row>
    <row r="3666" spans="1:11" x14ac:dyDescent="0.25">
      <c r="A3666" s="2">
        <v>46250.125</v>
      </c>
      <c r="B3666" t="str">
        <f t="shared" si="114"/>
        <v>2026-08</v>
      </c>
      <c r="C3666" s="3">
        <f t="shared" si="115"/>
        <v>3</v>
      </c>
      <c r="D3666" s="4">
        <v>22.826800311325002</v>
      </c>
      <c r="E3666" s="4"/>
      <c r="F3666" s="4">
        <v>29.16793236778333</v>
      </c>
      <c r="G3666" s="4">
        <v>15.5</v>
      </c>
      <c r="H3666" s="5">
        <v>43.173835381072223</v>
      </c>
      <c r="I3666" s="5"/>
      <c r="J3666" s="5">
        <v>40.353361176188891</v>
      </c>
      <c r="K3666" s="5">
        <v>73</v>
      </c>
    </row>
    <row r="3667" spans="1:11" x14ac:dyDescent="0.25">
      <c r="A3667" s="2">
        <v>46250.166666666657</v>
      </c>
      <c r="B3667" t="str">
        <f t="shared" si="114"/>
        <v>2026-08</v>
      </c>
      <c r="C3667" s="3">
        <f t="shared" si="115"/>
        <v>4</v>
      </c>
      <c r="D3667" s="4">
        <v>22.490805081319451</v>
      </c>
      <c r="E3667" s="4"/>
      <c r="F3667" s="4">
        <v>29.091410269330559</v>
      </c>
      <c r="G3667" s="4">
        <v>15.2</v>
      </c>
      <c r="H3667" s="5">
        <v>43.984101526086107</v>
      </c>
      <c r="I3667" s="5"/>
      <c r="J3667" s="5">
        <v>40.484045006566667</v>
      </c>
      <c r="K3667" s="5">
        <v>74</v>
      </c>
    </row>
    <row r="3668" spans="1:11" x14ac:dyDescent="0.25">
      <c r="A3668" s="2">
        <v>46250.208333333343</v>
      </c>
      <c r="B3668" t="str">
        <f t="shared" si="114"/>
        <v>2026-08</v>
      </c>
      <c r="C3668" s="3">
        <f t="shared" si="115"/>
        <v>5</v>
      </c>
      <c r="D3668" s="4">
        <v>22.717378810008331</v>
      </c>
      <c r="E3668" s="4"/>
      <c r="F3668" s="4">
        <v>29.068193106244451</v>
      </c>
      <c r="G3668" s="4">
        <v>15</v>
      </c>
      <c r="H3668" s="5">
        <v>43.718652674452777</v>
      </c>
      <c r="I3668" s="5"/>
      <c r="J3668" s="5">
        <v>40.58062654439167</v>
      </c>
      <c r="K3668" s="5">
        <v>74</v>
      </c>
    </row>
    <row r="3669" spans="1:11" x14ac:dyDescent="0.25">
      <c r="A3669" s="2">
        <v>46250.25</v>
      </c>
      <c r="B3669" t="str">
        <f t="shared" si="114"/>
        <v>2026-08</v>
      </c>
      <c r="C3669" s="3">
        <f t="shared" si="115"/>
        <v>6</v>
      </c>
      <c r="D3669" s="4">
        <v>23.48277933569722</v>
      </c>
      <c r="E3669" s="4"/>
      <c r="F3669" s="4">
        <v>29.049609252349999</v>
      </c>
      <c r="G3669" s="4">
        <v>15</v>
      </c>
      <c r="H3669" s="5">
        <v>42.324667942911113</v>
      </c>
      <c r="I3669" s="5"/>
      <c r="J3669" s="5">
        <v>40.682485228594437</v>
      </c>
      <c r="K3669" s="5">
        <v>74</v>
      </c>
    </row>
    <row r="3670" spans="1:11" x14ac:dyDescent="0.25">
      <c r="A3670" s="2">
        <v>46250.291666666657</v>
      </c>
      <c r="B3670" t="str">
        <f t="shared" si="114"/>
        <v>2026-08</v>
      </c>
      <c r="C3670" s="3">
        <f t="shared" si="115"/>
        <v>7</v>
      </c>
      <c r="D3670" s="4">
        <v>24.921998968088889</v>
      </c>
      <c r="E3670" s="4"/>
      <c r="F3670" s="4">
        <v>29.074176392888891</v>
      </c>
      <c r="G3670" s="4">
        <v>16.5</v>
      </c>
      <c r="H3670" s="5">
        <v>39.594527985433338</v>
      </c>
      <c r="I3670" s="5"/>
      <c r="J3670" s="5">
        <v>40.781933411588888</v>
      </c>
      <c r="K3670" s="5">
        <v>69</v>
      </c>
    </row>
    <row r="3671" spans="1:11" x14ac:dyDescent="0.25">
      <c r="A3671" s="2">
        <v>46250.333333333343</v>
      </c>
      <c r="B3671" t="str">
        <f t="shared" si="114"/>
        <v>2026-08</v>
      </c>
      <c r="C3671" s="3">
        <f t="shared" si="115"/>
        <v>8</v>
      </c>
      <c r="D3671" s="4">
        <v>26.04074661443612</v>
      </c>
      <c r="E3671" s="4"/>
      <c r="F3671" s="4">
        <v>29.13306337154167</v>
      </c>
      <c r="G3671" s="4">
        <v>18.899999999999999</v>
      </c>
      <c r="H3671" s="5">
        <v>39.235868333097223</v>
      </c>
      <c r="I3671" s="5"/>
      <c r="J3671" s="5">
        <v>40.895403317844448</v>
      </c>
      <c r="K3671" s="5">
        <v>61</v>
      </c>
    </row>
    <row r="3672" spans="1:11" x14ac:dyDescent="0.25">
      <c r="A3672" s="2">
        <v>46250.375</v>
      </c>
      <c r="B3672" t="str">
        <f t="shared" si="114"/>
        <v>2026-08</v>
      </c>
      <c r="C3672" s="3">
        <f t="shared" si="115"/>
        <v>9</v>
      </c>
      <c r="D3672" s="4">
        <v>26.70487625099722</v>
      </c>
      <c r="E3672" s="4"/>
      <c r="F3672" s="4">
        <v>29.182175775261111</v>
      </c>
      <c r="G3672" s="4">
        <v>22.1</v>
      </c>
      <c r="H3672" s="5">
        <v>38.384753870099999</v>
      </c>
      <c r="I3672" s="5"/>
      <c r="J3672" s="5">
        <v>40.98631986246945</v>
      </c>
      <c r="K3672" s="5">
        <v>52</v>
      </c>
    </row>
    <row r="3673" spans="1:11" x14ac:dyDescent="0.25">
      <c r="A3673" s="2">
        <v>46250.416666666657</v>
      </c>
      <c r="B3673" t="str">
        <f t="shared" si="114"/>
        <v>2026-08</v>
      </c>
      <c r="C3673" s="3">
        <f t="shared" si="115"/>
        <v>10</v>
      </c>
      <c r="D3673" s="4">
        <v>26.96542744592222</v>
      </c>
      <c r="E3673" s="4"/>
      <c r="F3673" s="4">
        <v>29.229143404369442</v>
      </c>
      <c r="G3673" s="4">
        <v>24.4</v>
      </c>
      <c r="H3673" s="5">
        <v>37.991776180994442</v>
      </c>
      <c r="I3673" s="5"/>
      <c r="J3673" s="5">
        <v>41.049091975486107</v>
      </c>
      <c r="K3673" s="5">
        <v>44</v>
      </c>
    </row>
    <row r="3674" spans="1:11" x14ac:dyDescent="0.25">
      <c r="A3674" s="2">
        <v>46250.458333333343</v>
      </c>
      <c r="B3674" t="str">
        <f t="shared" si="114"/>
        <v>2026-08</v>
      </c>
      <c r="C3674" s="3">
        <f t="shared" si="115"/>
        <v>11</v>
      </c>
      <c r="D3674" s="4">
        <v>26.940450118230551</v>
      </c>
      <c r="E3674" s="4"/>
      <c r="F3674" s="4">
        <v>29.271588885180549</v>
      </c>
      <c r="G3674" s="4">
        <v>25.8</v>
      </c>
      <c r="H3674" s="5">
        <v>37.397157900969447</v>
      </c>
      <c r="I3674" s="5"/>
      <c r="J3674" s="5">
        <v>41.087667434144443</v>
      </c>
      <c r="K3674" s="5">
        <v>39</v>
      </c>
    </row>
    <row r="3675" spans="1:11" x14ac:dyDescent="0.25">
      <c r="A3675" s="2">
        <v>46250.5</v>
      </c>
      <c r="B3675" t="str">
        <f t="shared" si="114"/>
        <v>2026-08</v>
      </c>
      <c r="C3675" s="3">
        <f t="shared" si="115"/>
        <v>12</v>
      </c>
      <c r="D3675" s="4">
        <v>26.953876120341661</v>
      </c>
      <c r="E3675" s="4"/>
      <c r="F3675" s="4">
        <v>29.308365617825</v>
      </c>
      <c r="G3675" s="4">
        <v>26.9</v>
      </c>
      <c r="H3675" s="5">
        <v>36.723641814419437</v>
      </c>
      <c r="I3675" s="5"/>
      <c r="J3675" s="5">
        <v>41.113234675583342</v>
      </c>
      <c r="K3675" s="5">
        <v>34</v>
      </c>
    </row>
    <row r="3676" spans="1:11" x14ac:dyDescent="0.25">
      <c r="A3676" s="2">
        <v>46250.541666666657</v>
      </c>
      <c r="B3676" t="str">
        <f t="shared" si="114"/>
        <v>2026-08</v>
      </c>
      <c r="C3676" s="3">
        <f t="shared" si="115"/>
        <v>13</v>
      </c>
      <c r="D3676" s="4">
        <v>26.915443859530551</v>
      </c>
      <c r="E3676" s="4"/>
      <c r="F3676" s="4">
        <v>29.32622504893056</v>
      </c>
      <c r="G3676" s="4">
        <v>28.1</v>
      </c>
      <c r="H3676" s="5">
        <v>36.489656986744443</v>
      </c>
      <c r="I3676" s="5"/>
      <c r="J3676" s="5">
        <v>41.222265582361111</v>
      </c>
      <c r="K3676" s="5">
        <v>30</v>
      </c>
    </row>
    <row r="3677" spans="1:11" x14ac:dyDescent="0.25">
      <c r="A3677" s="2">
        <v>46250.583333333343</v>
      </c>
      <c r="B3677" t="str">
        <f t="shared" si="114"/>
        <v>2026-08</v>
      </c>
      <c r="C3677" s="3">
        <f t="shared" si="115"/>
        <v>14</v>
      </c>
      <c r="D3677" s="4">
        <v>26.887597442819441</v>
      </c>
      <c r="E3677" s="4"/>
      <c r="F3677" s="4">
        <v>29.33080375860278</v>
      </c>
      <c r="G3677" s="4">
        <v>28.4</v>
      </c>
      <c r="H3677" s="5">
        <v>36.153264786277781</v>
      </c>
      <c r="I3677" s="5"/>
      <c r="J3677" s="5">
        <v>41.406703604366669</v>
      </c>
      <c r="K3677" s="5">
        <v>30</v>
      </c>
    </row>
    <row r="3678" spans="1:11" x14ac:dyDescent="0.25">
      <c r="A3678" s="2">
        <v>46250.625</v>
      </c>
      <c r="B3678" t="str">
        <f t="shared" si="114"/>
        <v>2026-08</v>
      </c>
      <c r="C3678" s="3">
        <f t="shared" si="115"/>
        <v>15</v>
      </c>
      <c r="D3678" s="4">
        <v>27.009823348480559</v>
      </c>
      <c r="E3678" s="4"/>
      <c r="F3678" s="4">
        <v>29.350393457305561</v>
      </c>
      <c r="G3678" s="4">
        <v>29.6</v>
      </c>
      <c r="H3678" s="5">
        <v>36.508023272711107</v>
      </c>
      <c r="I3678" s="5"/>
      <c r="J3678" s="5">
        <v>41.526463312175011</v>
      </c>
      <c r="K3678" s="5">
        <v>27</v>
      </c>
    </row>
    <row r="3679" spans="1:11" x14ac:dyDescent="0.25">
      <c r="A3679" s="2">
        <v>46250.666666666657</v>
      </c>
      <c r="B3679" t="str">
        <f t="shared" si="114"/>
        <v>2026-08</v>
      </c>
      <c r="C3679" s="3">
        <f t="shared" si="115"/>
        <v>16</v>
      </c>
      <c r="D3679" s="4">
        <v>27.04741199871944</v>
      </c>
      <c r="E3679" s="4"/>
      <c r="F3679" s="4">
        <v>29.355138736899999</v>
      </c>
      <c r="G3679" s="4">
        <v>29.2</v>
      </c>
      <c r="H3679" s="5">
        <v>35.953114888000002</v>
      </c>
      <c r="I3679" s="5"/>
      <c r="J3679" s="5">
        <v>41.593573621088893</v>
      </c>
      <c r="K3679" s="5">
        <v>27</v>
      </c>
    </row>
    <row r="3680" spans="1:11" x14ac:dyDescent="0.25">
      <c r="A3680" s="2">
        <v>46250.708333333343</v>
      </c>
      <c r="B3680" t="str">
        <f t="shared" si="114"/>
        <v>2026-08</v>
      </c>
      <c r="C3680" s="3">
        <f t="shared" si="115"/>
        <v>17</v>
      </c>
      <c r="D3680" s="4">
        <v>26.960457140144449</v>
      </c>
      <c r="E3680" s="4"/>
      <c r="F3680" s="4">
        <v>29.354583276591669</v>
      </c>
      <c r="G3680" s="4">
        <v>28.9</v>
      </c>
      <c r="H3680" s="5">
        <v>35.451502146274997</v>
      </c>
      <c r="I3680" s="5"/>
      <c r="J3680" s="5">
        <v>41.641973696858336</v>
      </c>
      <c r="K3680" s="5">
        <v>28</v>
      </c>
    </row>
    <row r="3681" spans="1:11" x14ac:dyDescent="0.25">
      <c r="A3681" s="2">
        <v>46250.75</v>
      </c>
      <c r="B3681" t="str">
        <f t="shared" si="114"/>
        <v>2026-08</v>
      </c>
      <c r="C3681" s="3">
        <f t="shared" si="115"/>
        <v>18</v>
      </c>
      <c r="D3681" s="4">
        <v>26.90813183943056</v>
      </c>
      <c r="E3681" s="4"/>
      <c r="F3681" s="4">
        <v>29.3408877062</v>
      </c>
      <c r="G3681" s="4">
        <v>28.2</v>
      </c>
      <c r="H3681" s="5">
        <v>35.210345919688891</v>
      </c>
      <c r="I3681" s="5"/>
      <c r="J3681" s="5">
        <v>41.640940498677779</v>
      </c>
      <c r="K3681" s="5">
        <v>31</v>
      </c>
    </row>
    <row r="3682" spans="1:11" x14ac:dyDescent="0.25">
      <c r="A3682" s="2">
        <v>46250.791666666657</v>
      </c>
      <c r="B3682" t="str">
        <f t="shared" si="114"/>
        <v>2026-08</v>
      </c>
      <c r="C3682" s="3">
        <f t="shared" si="115"/>
        <v>19</v>
      </c>
      <c r="D3682" s="4">
        <v>26.769269482227781</v>
      </c>
      <c r="E3682" s="4"/>
      <c r="F3682" s="4">
        <v>29.33652811130278</v>
      </c>
      <c r="G3682" s="4">
        <v>26.6</v>
      </c>
      <c r="H3682" s="5">
        <v>35.715166880591667</v>
      </c>
      <c r="I3682" s="5"/>
      <c r="J3682" s="5">
        <v>41.613386896836111</v>
      </c>
      <c r="K3682" s="5">
        <v>37</v>
      </c>
    </row>
    <row r="3683" spans="1:11" x14ac:dyDescent="0.25">
      <c r="A3683" s="2">
        <v>46250.833333333343</v>
      </c>
      <c r="B3683" t="str">
        <f t="shared" si="114"/>
        <v>2026-08</v>
      </c>
      <c r="C3683" s="3">
        <f t="shared" si="115"/>
        <v>20</v>
      </c>
      <c r="D3683" s="4">
        <v>26.300737149450001</v>
      </c>
      <c r="E3683" s="4"/>
      <c r="F3683" s="4">
        <v>29.327526483100002</v>
      </c>
      <c r="G3683" s="4">
        <v>24.9</v>
      </c>
      <c r="H3683" s="5">
        <v>37.592053483761113</v>
      </c>
      <c r="I3683" s="5"/>
      <c r="J3683" s="5">
        <v>41.622782759386112</v>
      </c>
      <c r="K3683" s="5">
        <v>44</v>
      </c>
    </row>
    <row r="3684" spans="1:11" x14ac:dyDescent="0.25">
      <c r="A3684" s="2">
        <v>46250.875</v>
      </c>
      <c r="B3684" t="str">
        <f t="shared" si="114"/>
        <v>2026-08</v>
      </c>
      <c r="C3684" s="3">
        <f t="shared" si="115"/>
        <v>21</v>
      </c>
      <c r="D3684" s="4">
        <v>25.904240173236111</v>
      </c>
      <c r="E3684" s="4"/>
      <c r="F3684" s="4">
        <v>29.31763564023889</v>
      </c>
      <c r="G3684" s="4">
        <v>23.6</v>
      </c>
      <c r="H3684" s="5">
        <v>38.980876507250002</v>
      </c>
      <c r="I3684" s="5"/>
      <c r="J3684" s="5">
        <v>41.688457536619453</v>
      </c>
      <c r="K3684" s="5">
        <v>49</v>
      </c>
    </row>
    <row r="3685" spans="1:11" x14ac:dyDescent="0.25">
      <c r="A3685" s="2">
        <v>46250.916666666657</v>
      </c>
      <c r="B3685" t="str">
        <f t="shared" si="114"/>
        <v>2026-08</v>
      </c>
      <c r="C3685" s="3">
        <f t="shared" si="115"/>
        <v>22</v>
      </c>
      <c r="D3685" s="4">
        <v>25.62669708395833</v>
      </c>
      <c r="E3685" s="4"/>
      <c r="F3685" s="4">
        <v>29.307108135572221</v>
      </c>
      <c r="G3685" s="4">
        <v>22.6</v>
      </c>
      <c r="H3685" s="5">
        <v>40.095305262977782</v>
      </c>
      <c r="I3685" s="5"/>
      <c r="J3685" s="5">
        <v>41.764353795933339</v>
      </c>
      <c r="K3685" s="5">
        <v>52</v>
      </c>
    </row>
    <row r="3686" spans="1:11" x14ac:dyDescent="0.25">
      <c r="A3686" s="2">
        <v>46250.958333333343</v>
      </c>
      <c r="B3686" t="str">
        <f t="shared" si="114"/>
        <v>2026-08</v>
      </c>
      <c r="C3686" s="3">
        <f t="shared" si="115"/>
        <v>23</v>
      </c>
      <c r="D3686" s="4">
        <v>25.75032236210556</v>
      </c>
      <c r="E3686" s="4"/>
      <c r="F3686" s="4">
        <v>29.302080183474999</v>
      </c>
      <c r="G3686" s="4">
        <v>21.7</v>
      </c>
      <c r="H3686" s="5">
        <v>40.154109372136112</v>
      </c>
      <c r="I3686" s="5"/>
      <c r="J3686" s="5">
        <v>41.852620935777779</v>
      </c>
      <c r="K3686" s="5">
        <v>53</v>
      </c>
    </row>
    <row r="3687" spans="1:11" x14ac:dyDescent="0.25">
      <c r="A3687" s="2">
        <v>46251</v>
      </c>
      <c r="B3687" t="str">
        <f t="shared" si="114"/>
        <v>2026-08</v>
      </c>
      <c r="C3687" s="3">
        <f t="shared" si="115"/>
        <v>0</v>
      </c>
      <c r="D3687" s="4">
        <v>25.52771270108056</v>
      </c>
      <c r="E3687" s="4"/>
      <c r="F3687" s="4">
        <v>29.286359632450001</v>
      </c>
      <c r="G3687" s="4">
        <v>20.8</v>
      </c>
      <c r="H3687" s="5">
        <v>40.409583681047224</v>
      </c>
      <c r="I3687" s="5"/>
      <c r="J3687" s="5">
        <v>41.927844122591672</v>
      </c>
      <c r="K3687" s="5">
        <v>55</v>
      </c>
    </row>
    <row r="3688" spans="1:11" x14ac:dyDescent="0.25">
      <c r="A3688" s="2">
        <v>46251.041666666657</v>
      </c>
      <c r="B3688" t="str">
        <f t="shared" si="114"/>
        <v>2026-08</v>
      </c>
      <c r="C3688" s="3">
        <f t="shared" si="115"/>
        <v>1</v>
      </c>
      <c r="D3688" s="4">
        <v>25.213451385305561</v>
      </c>
      <c r="E3688" s="4"/>
      <c r="F3688" s="4">
        <v>29.284328229569439</v>
      </c>
      <c r="G3688" s="4">
        <v>20.100000000000001</v>
      </c>
      <c r="H3688" s="5">
        <v>40.981567302952783</v>
      </c>
      <c r="I3688" s="5"/>
      <c r="J3688" s="5">
        <v>41.983504451297222</v>
      </c>
      <c r="K3688" s="5">
        <v>56</v>
      </c>
    </row>
    <row r="3689" spans="1:11" x14ac:dyDescent="0.25">
      <c r="A3689" s="2">
        <v>46251.083333333343</v>
      </c>
      <c r="B3689" t="str">
        <f t="shared" si="114"/>
        <v>2026-08</v>
      </c>
      <c r="C3689" s="3">
        <f t="shared" si="115"/>
        <v>2</v>
      </c>
      <c r="D3689" s="4">
        <v>24.701055844769449</v>
      </c>
      <c r="E3689" s="4"/>
      <c r="F3689" s="4">
        <v>29.259800961488889</v>
      </c>
      <c r="G3689" s="4">
        <v>19.399999999999999</v>
      </c>
      <c r="H3689" s="5">
        <v>41.751708349858333</v>
      </c>
      <c r="I3689" s="5"/>
      <c r="J3689" s="5">
        <v>42.034815410119442</v>
      </c>
      <c r="K3689" s="5">
        <v>58</v>
      </c>
    </row>
    <row r="3690" spans="1:11" x14ac:dyDescent="0.25">
      <c r="A3690" s="2">
        <v>46251.125</v>
      </c>
      <c r="B3690" t="str">
        <f t="shared" si="114"/>
        <v>2026-08</v>
      </c>
      <c r="C3690" s="3">
        <f t="shared" si="115"/>
        <v>3</v>
      </c>
      <c r="D3690" s="4">
        <v>24.137958535238891</v>
      </c>
      <c r="E3690" s="4"/>
      <c r="F3690" s="4">
        <v>29.227385861852781</v>
      </c>
      <c r="G3690" s="4">
        <v>18.3</v>
      </c>
      <c r="H3690" s="5">
        <v>41.917500096830551</v>
      </c>
      <c r="I3690" s="5"/>
      <c r="J3690" s="5">
        <v>42.025233803347227</v>
      </c>
      <c r="K3690" s="5">
        <v>62</v>
      </c>
    </row>
    <row r="3691" spans="1:11" x14ac:dyDescent="0.25">
      <c r="A3691" s="2">
        <v>46251.166666666657</v>
      </c>
      <c r="B3691" t="str">
        <f t="shared" si="114"/>
        <v>2026-08</v>
      </c>
      <c r="C3691" s="3">
        <f t="shared" si="115"/>
        <v>4</v>
      </c>
      <c r="D3691" s="4">
        <v>24.441225201688891</v>
      </c>
      <c r="E3691" s="4"/>
      <c r="F3691" s="4">
        <v>29.202410055808329</v>
      </c>
      <c r="G3691" s="4">
        <v>17.8</v>
      </c>
      <c r="H3691" s="5">
        <v>41.509729178169437</v>
      </c>
      <c r="I3691" s="5"/>
      <c r="J3691" s="5">
        <v>41.989861229302782</v>
      </c>
      <c r="K3691" s="5">
        <v>63</v>
      </c>
    </row>
    <row r="3692" spans="1:11" x14ac:dyDescent="0.25">
      <c r="A3692" s="2">
        <v>46251.208333333343</v>
      </c>
      <c r="B3692" t="str">
        <f t="shared" si="114"/>
        <v>2026-08</v>
      </c>
      <c r="C3692" s="3">
        <f t="shared" si="115"/>
        <v>5</v>
      </c>
      <c r="D3692" s="4">
        <v>24.311749069233329</v>
      </c>
      <c r="E3692" s="4"/>
      <c r="F3692" s="4">
        <v>29.178692414283329</v>
      </c>
      <c r="G3692" s="4">
        <v>17.5</v>
      </c>
      <c r="H3692" s="5">
        <v>41.295789498522232</v>
      </c>
      <c r="I3692" s="5"/>
      <c r="J3692" s="5">
        <v>41.980107920891662</v>
      </c>
      <c r="K3692" s="5">
        <v>63</v>
      </c>
    </row>
    <row r="3693" spans="1:11" x14ac:dyDescent="0.25">
      <c r="A3693" s="2">
        <v>46251.25</v>
      </c>
      <c r="B3693" t="str">
        <f t="shared" si="114"/>
        <v>2026-08</v>
      </c>
      <c r="C3693" s="3">
        <f t="shared" si="115"/>
        <v>6</v>
      </c>
      <c r="D3693" s="4">
        <v>24.88212939700556</v>
      </c>
      <c r="E3693" s="4"/>
      <c r="F3693" s="4">
        <v>29.162305814422229</v>
      </c>
      <c r="G3693" s="4">
        <v>17.7</v>
      </c>
      <c r="H3693" s="5">
        <v>39.568558251102779</v>
      </c>
      <c r="I3693" s="5"/>
      <c r="J3693" s="5">
        <v>41.940994619675003</v>
      </c>
      <c r="K3693" s="5">
        <v>62</v>
      </c>
    </row>
    <row r="3694" spans="1:11" x14ac:dyDescent="0.25">
      <c r="A3694" s="2">
        <v>46251.291666666657</v>
      </c>
      <c r="B3694" t="str">
        <f t="shared" si="114"/>
        <v>2026-08</v>
      </c>
      <c r="C3694" s="3">
        <f t="shared" si="115"/>
        <v>7</v>
      </c>
      <c r="D3694" s="4">
        <v>26.050404273113891</v>
      </c>
      <c r="E3694" s="4"/>
      <c r="F3694" s="4">
        <v>29.183281679402779</v>
      </c>
      <c r="G3694" s="4">
        <v>19.100000000000001</v>
      </c>
      <c r="H3694" s="5">
        <v>37.328873094800002</v>
      </c>
      <c r="I3694" s="5"/>
      <c r="J3694" s="5">
        <v>41.895187413980558</v>
      </c>
      <c r="K3694" s="5">
        <v>58</v>
      </c>
    </row>
    <row r="3695" spans="1:11" x14ac:dyDescent="0.25">
      <c r="A3695" s="2">
        <v>46251.333333333343</v>
      </c>
      <c r="B3695" t="str">
        <f t="shared" si="114"/>
        <v>2026-08</v>
      </c>
      <c r="C3695" s="3">
        <f t="shared" si="115"/>
        <v>8</v>
      </c>
      <c r="D3695" s="4">
        <v>26.97954404748889</v>
      </c>
      <c r="E3695" s="4"/>
      <c r="F3695" s="4">
        <v>29.224704179066659</v>
      </c>
      <c r="G3695" s="4">
        <v>21.3</v>
      </c>
      <c r="H3695" s="5">
        <v>36.75245346531667</v>
      </c>
      <c r="I3695" s="5"/>
      <c r="J3695" s="5">
        <v>41.880860580372222</v>
      </c>
      <c r="K3695" s="5">
        <v>52</v>
      </c>
    </row>
    <row r="3696" spans="1:11" x14ac:dyDescent="0.25">
      <c r="A3696" s="2">
        <v>46251.375</v>
      </c>
      <c r="B3696" t="str">
        <f t="shared" si="114"/>
        <v>2026-08</v>
      </c>
      <c r="C3696" s="3">
        <f t="shared" si="115"/>
        <v>9</v>
      </c>
      <c r="D3696" s="4">
        <v>27.628301037186109</v>
      </c>
      <c r="E3696" s="4"/>
      <c r="F3696" s="4">
        <v>29.27970054256112</v>
      </c>
      <c r="G3696" s="4">
        <v>24.1</v>
      </c>
      <c r="H3696" s="5">
        <v>34.949093799336097</v>
      </c>
      <c r="I3696" s="5"/>
      <c r="J3696" s="5">
        <v>41.91594807432778</v>
      </c>
      <c r="K3696" s="5">
        <v>46</v>
      </c>
    </row>
    <row r="3697" spans="1:11" x14ac:dyDescent="0.25">
      <c r="A3697" s="2">
        <v>46251.416666666657</v>
      </c>
      <c r="B3697" t="str">
        <f t="shared" si="114"/>
        <v>2026-08</v>
      </c>
      <c r="C3697" s="3">
        <f t="shared" si="115"/>
        <v>10</v>
      </c>
      <c r="D3697" s="4">
        <v>26.81425819890833</v>
      </c>
      <c r="E3697" s="4"/>
      <c r="F3697" s="4">
        <v>29.340890570875001</v>
      </c>
      <c r="G3697" s="4">
        <v>26.4</v>
      </c>
      <c r="H3697" s="5">
        <v>33.360446656850002</v>
      </c>
      <c r="I3697" s="5"/>
      <c r="J3697" s="5">
        <v>41.879373201711111</v>
      </c>
      <c r="K3697" s="5">
        <v>40</v>
      </c>
    </row>
    <row r="3698" spans="1:11" x14ac:dyDescent="0.25">
      <c r="A3698" s="2">
        <v>46251.458333333343</v>
      </c>
      <c r="B3698" t="str">
        <f t="shared" si="114"/>
        <v>2026-08</v>
      </c>
      <c r="C3698" s="3">
        <f t="shared" si="115"/>
        <v>11</v>
      </c>
      <c r="D3698" s="4">
        <v>24.981325689947219</v>
      </c>
      <c r="E3698" s="4"/>
      <c r="F3698" s="4">
        <v>29.287878082475</v>
      </c>
      <c r="G3698" s="4">
        <v>28.3</v>
      </c>
      <c r="H3698" s="5">
        <v>31.84976913835278</v>
      </c>
      <c r="I3698" s="5"/>
      <c r="J3698" s="5">
        <v>41.646592008722223</v>
      </c>
      <c r="K3698" s="5">
        <v>33</v>
      </c>
    </row>
    <row r="3699" spans="1:11" x14ac:dyDescent="0.25">
      <c r="A3699" s="2">
        <v>46251.5</v>
      </c>
      <c r="B3699" t="str">
        <f t="shared" si="114"/>
        <v>2026-08</v>
      </c>
      <c r="C3699" s="3">
        <f t="shared" si="115"/>
        <v>12</v>
      </c>
      <c r="D3699" s="4">
        <v>24.909441028411109</v>
      </c>
      <c r="E3699" s="4"/>
      <c r="F3699" s="4">
        <v>29.23835788196666</v>
      </c>
      <c r="G3699" s="4">
        <v>29.4</v>
      </c>
      <c r="H3699" s="5">
        <v>31.709872349980561</v>
      </c>
      <c r="I3699" s="5"/>
      <c r="J3699" s="5">
        <v>41.302919509349998</v>
      </c>
      <c r="K3699" s="5">
        <v>27</v>
      </c>
    </row>
    <row r="3700" spans="1:11" x14ac:dyDescent="0.25">
      <c r="A3700" s="2">
        <v>46251.541666666657</v>
      </c>
      <c r="B3700" t="str">
        <f t="shared" si="114"/>
        <v>2026-08</v>
      </c>
      <c r="C3700" s="3">
        <f t="shared" si="115"/>
        <v>13</v>
      </c>
      <c r="D3700" s="4">
        <v>24.693702288000001</v>
      </c>
      <c r="E3700" s="4"/>
      <c r="F3700" s="4">
        <v>29.217718962974999</v>
      </c>
      <c r="G3700" s="4">
        <v>30</v>
      </c>
      <c r="H3700" s="5">
        <v>33.046290496363888</v>
      </c>
      <c r="I3700" s="5"/>
      <c r="J3700" s="5">
        <v>41.019392606472223</v>
      </c>
      <c r="K3700" s="5">
        <v>26</v>
      </c>
    </row>
    <row r="3701" spans="1:11" x14ac:dyDescent="0.25">
      <c r="A3701" s="2">
        <v>46251.583333333343</v>
      </c>
      <c r="B3701" t="str">
        <f t="shared" si="114"/>
        <v>2026-08</v>
      </c>
      <c r="C3701" s="3">
        <f t="shared" si="115"/>
        <v>14</v>
      </c>
      <c r="D3701" s="4">
        <v>24.77164658865</v>
      </c>
      <c r="E3701" s="4"/>
      <c r="F3701" s="4">
        <v>29.221808512944449</v>
      </c>
      <c r="G3701" s="4">
        <v>30.3</v>
      </c>
      <c r="H3701" s="5">
        <v>34.921296969922217</v>
      </c>
      <c r="I3701" s="5"/>
      <c r="J3701" s="5">
        <v>40.898803332813891</v>
      </c>
      <c r="K3701" s="5">
        <v>26</v>
      </c>
    </row>
    <row r="3702" spans="1:11" x14ac:dyDescent="0.25">
      <c r="A3702" s="2">
        <v>46251.625</v>
      </c>
      <c r="B3702" t="str">
        <f t="shared" si="114"/>
        <v>2026-08</v>
      </c>
      <c r="C3702" s="3">
        <f t="shared" si="115"/>
        <v>15</v>
      </c>
      <c r="D3702" s="4">
        <v>25.461072508886112</v>
      </c>
      <c r="E3702" s="4"/>
      <c r="F3702" s="4">
        <v>29.256649918800001</v>
      </c>
      <c r="G3702" s="4">
        <v>31.2</v>
      </c>
      <c r="H3702" s="5">
        <v>39.115813013008342</v>
      </c>
      <c r="I3702" s="5"/>
      <c r="J3702" s="5">
        <v>40.937846042013888</v>
      </c>
      <c r="K3702" s="5">
        <v>25</v>
      </c>
    </row>
    <row r="3703" spans="1:11" x14ac:dyDescent="0.25">
      <c r="A3703" s="2">
        <v>46251.666666666657</v>
      </c>
      <c r="B3703" t="str">
        <f t="shared" si="114"/>
        <v>2026-08</v>
      </c>
      <c r="C3703" s="3">
        <f t="shared" si="115"/>
        <v>16</v>
      </c>
      <c r="D3703" s="4">
        <v>25.035218569411111</v>
      </c>
      <c r="E3703" s="4"/>
      <c r="F3703" s="4">
        <v>28.93200046125278</v>
      </c>
      <c r="G3703" s="4">
        <v>30.8</v>
      </c>
      <c r="H3703" s="5">
        <v>35.440121378361113</v>
      </c>
      <c r="I3703" s="5"/>
      <c r="J3703" s="5">
        <v>40.311973687391657</v>
      </c>
      <c r="K3703" s="5">
        <v>26</v>
      </c>
    </row>
    <row r="3704" spans="1:11" x14ac:dyDescent="0.25">
      <c r="A3704" s="2">
        <v>46251.708333333343</v>
      </c>
      <c r="B3704" t="str">
        <f t="shared" si="114"/>
        <v>2026-08</v>
      </c>
      <c r="C3704" s="3">
        <f t="shared" si="115"/>
        <v>17</v>
      </c>
      <c r="D3704" s="4">
        <v>25.00023481938333</v>
      </c>
      <c r="E3704" s="4"/>
      <c r="F3704" s="4">
        <v>29.007942417652689</v>
      </c>
      <c r="G3704" s="4">
        <v>30.4</v>
      </c>
      <c r="H3704" s="5">
        <v>37.972238722044438</v>
      </c>
      <c r="I3704" s="5"/>
      <c r="J3704" s="5">
        <v>40.184703300756567</v>
      </c>
      <c r="K3704" s="5">
        <v>27</v>
      </c>
    </row>
    <row r="3705" spans="1:11" x14ac:dyDescent="0.25">
      <c r="A3705" s="2">
        <v>46251.75</v>
      </c>
      <c r="B3705" t="str">
        <f t="shared" si="114"/>
        <v>2026-08</v>
      </c>
      <c r="C3705" s="3">
        <f t="shared" si="115"/>
        <v>18</v>
      </c>
      <c r="D3705" s="4">
        <v>24.639834009963892</v>
      </c>
      <c r="E3705" s="4"/>
      <c r="F3705" s="4">
        <v>29.242858272484611</v>
      </c>
      <c r="G3705" s="4">
        <v>29.8</v>
      </c>
      <c r="H3705" s="5">
        <v>35.521380385258333</v>
      </c>
      <c r="I3705" s="5"/>
      <c r="J3705" s="5">
        <v>40.427707531790027</v>
      </c>
      <c r="K3705" s="5">
        <v>29</v>
      </c>
    </row>
    <row r="3706" spans="1:11" x14ac:dyDescent="0.25">
      <c r="A3706" s="2">
        <v>46251.791666666657</v>
      </c>
      <c r="B3706" t="str">
        <f t="shared" si="114"/>
        <v>2026-08</v>
      </c>
      <c r="C3706" s="3">
        <f t="shared" si="115"/>
        <v>19</v>
      </c>
      <c r="D3706" s="4">
        <v>24.70685968162222</v>
      </c>
      <c r="E3706" s="4"/>
      <c r="F3706" s="4">
        <v>29.035255496952772</v>
      </c>
      <c r="G3706" s="4">
        <v>28.6</v>
      </c>
      <c r="H3706" s="5">
        <v>38.358119959424997</v>
      </c>
      <c r="I3706" s="5"/>
      <c r="J3706" s="5">
        <v>40.434281193697217</v>
      </c>
      <c r="K3706" s="5">
        <v>34</v>
      </c>
    </row>
    <row r="3707" spans="1:11" x14ac:dyDescent="0.25">
      <c r="A3707" s="2">
        <v>46251.833333333343</v>
      </c>
      <c r="B3707" t="str">
        <f t="shared" si="114"/>
        <v>2026-08</v>
      </c>
      <c r="C3707" s="3">
        <f t="shared" si="115"/>
        <v>20</v>
      </c>
      <c r="D3707" s="4">
        <v>25.58061022034444</v>
      </c>
      <c r="E3707" s="4"/>
      <c r="F3707" s="4">
        <v>29.10312011670834</v>
      </c>
      <c r="G3707" s="4">
        <v>26.4</v>
      </c>
      <c r="H3707" s="5">
        <v>39.26647492243611</v>
      </c>
      <c r="I3707" s="5"/>
      <c r="J3707" s="5">
        <v>40.786829325427782</v>
      </c>
      <c r="K3707" s="5">
        <v>41</v>
      </c>
    </row>
    <row r="3708" spans="1:11" x14ac:dyDescent="0.25">
      <c r="A3708" s="2">
        <v>46251.875</v>
      </c>
      <c r="B3708" t="str">
        <f t="shared" si="114"/>
        <v>2026-08</v>
      </c>
      <c r="C3708" s="3">
        <f t="shared" si="115"/>
        <v>21</v>
      </c>
      <c r="D3708" s="4">
        <v>25.836400882027771</v>
      </c>
      <c r="E3708" s="4"/>
      <c r="F3708" s="4">
        <v>29.119767566349999</v>
      </c>
      <c r="G3708" s="4">
        <v>25.3</v>
      </c>
      <c r="H3708" s="5">
        <v>38.536536150411109</v>
      </c>
      <c r="I3708" s="5"/>
      <c r="J3708" s="5">
        <v>41.059910402391672</v>
      </c>
      <c r="K3708" s="5">
        <v>41</v>
      </c>
    </row>
    <row r="3709" spans="1:11" x14ac:dyDescent="0.25">
      <c r="A3709" s="2">
        <v>46251.916666666657</v>
      </c>
      <c r="B3709" t="str">
        <f t="shared" si="114"/>
        <v>2026-08</v>
      </c>
      <c r="C3709" s="3">
        <f t="shared" si="115"/>
        <v>22</v>
      </c>
      <c r="D3709" s="4">
        <v>25.975567749027778</v>
      </c>
      <c r="E3709" s="4"/>
      <c r="F3709" s="4">
        <v>29.130293017752781</v>
      </c>
      <c r="G3709" s="4">
        <v>24.5</v>
      </c>
      <c r="H3709" s="5">
        <v>40.512338922555557</v>
      </c>
      <c r="I3709" s="5"/>
      <c r="J3709" s="5">
        <v>41.25018109206389</v>
      </c>
      <c r="K3709" s="5">
        <v>40</v>
      </c>
    </row>
    <row r="3710" spans="1:11" x14ac:dyDescent="0.25">
      <c r="A3710" s="2">
        <v>46251.958333333343</v>
      </c>
      <c r="B3710" t="str">
        <f t="shared" si="114"/>
        <v>2026-08</v>
      </c>
      <c r="C3710" s="3">
        <f t="shared" si="115"/>
        <v>23</v>
      </c>
      <c r="D3710" s="4">
        <v>26.215825553775002</v>
      </c>
      <c r="E3710" s="4"/>
      <c r="F3710" s="4">
        <v>29.194032179536109</v>
      </c>
      <c r="G3710" s="4">
        <v>23.3</v>
      </c>
      <c r="H3710" s="5">
        <v>39.514254246275001</v>
      </c>
      <c r="I3710" s="5"/>
      <c r="J3710" s="5">
        <v>41.371382797119438</v>
      </c>
      <c r="K3710" s="5">
        <v>44</v>
      </c>
    </row>
    <row r="3711" spans="1:11" x14ac:dyDescent="0.25">
      <c r="A3711" s="2">
        <v>46252</v>
      </c>
      <c r="B3711" t="str">
        <f t="shared" si="114"/>
        <v>2026-08</v>
      </c>
      <c r="C3711" s="3">
        <f t="shared" si="115"/>
        <v>0</v>
      </c>
      <c r="D3711" s="4">
        <v>26.08976640323333</v>
      </c>
      <c r="E3711" s="4"/>
      <c r="F3711" s="4">
        <v>29.22189538596945</v>
      </c>
      <c r="G3711" s="4">
        <v>22.4</v>
      </c>
      <c r="H3711" s="5">
        <v>36.907373028036112</v>
      </c>
      <c r="I3711" s="5"/>
      <c r="J3711" s="5">
        <v>41.427113332502778</v>
      </c>
      <c r="K3711" s="5">
        <v>47</v>
      </c>
    </row>
    <row r="3712" spans="1:11" x14ac:dyDescent="0.25">
      <c r="A3712" s="2">
        <v>46252.041666666657</v>
      </c>
      <c r="B3712" t="str">
        <f t="shared" si="114"/>
        <v>2026-08</v>
      </c>
      <c r="C3712" s="3">
        <f t="shared" si="115"/>
        <v>1</v>
      </c>
      <c r="D3712" s="4">
        <v>25.946406773247219</v>
      </c>
      <c r="E3712" s="4"/>
      <c r="F3712" s="4">
        <v>29.237418210013889</v>
      </c>
      <c r="G3712" s="4">
        <v>21.8</v>
      </c>
      <c r="H3712" s="5">
        <v>38.64062450024722</v>
      </c>
      <c r="I3712" s="5"/>
      <c r="J3712" s="5">
        <v>41.515964441311112</v>
      </c>
      <c r="K3712" s="5">
        <v>48</v>
      </c>
    </row>
    <row r="3713" spans="1:11" x14ac:dyDescent="0.25">
      <c r="A3713" s="2">
        <v>46252.083333333343</v>
      </c>
      <c r="B3713" t="str">
        <f t="shared" si="114"/>
        <v>2026-08</v>
      </c>
      <c r="C3713" s="3">
        <f t="shared" si="115"/>
        <v>2</v>
      </c>
      <c r="D3713" s="4">
        <v>25.626855951997221</v>
      </c>
      <c r="E3713" s="4"/>
      <c r="F3713" s="4">
        <v>29.258697329469449</v>
      </c>
      <c r="G3713" s="4">
        <v>21.3</v>
      </c>
      <c r="H3713" s="5">
        <v>39.435272595952767</v>
      </c>
      <c r="I3713" s="5"/>
      <c r="J3713" s="5">
        <v>41.635643495744439</v>
      </c>
      <c r="K3713" s="5">
        <v>48</v>
      </c>
    </row>
    <row r="3714" spans="1:11" x14ac:dyDescent="0.25">
      <c r="A3714" s="2">
        <v>46252.125</v>
      </c>
      <c r="B3714" t="str">
        <f t="shared" ref="B3714:B3777" si="116">TEXT(A3714,"yyyy-mm")</f>
        <v>2026-08</v>
      </c>
      <c r="C3714" s="3">
        <f t="shared" ref="C3714:C3777" si="117">HOUR(A3714)</f>
        <v>3</v>
      </c>
      <c r="D3714" s="4">
        <v>25.587866770152768</v>
      </c>
      <c r="E3714" s="4"/>
      <c r="F3714" s="4">
        <v>29.23932701908333</v>
      </c>
      <c r="G3714" s="4">
        <v>20.100000000000001</v>
      </c>
      <c r="H3714" s="5">
        <v>38.532794230844438</v>
      </c>
      <c r="I3714" s="5"/>
      <c r="J3714" s="5">
        <v>41.630938590402771</v>
      </c>
      <c r="K3714" s="5">
        <v>52</v>
      </c>
    </row>
    <row r="3715" spans="1:11" x14ac:dyDescent="0.25">
      <c r="A3715" s="2">
        <v>46252.166666666657</v>
      </c>
      <c r="B3715" t="str">
        <f t="shared" si="116"/>
        <v>2026-08</v>
      </c>
      <c r="C3715" s="3">
        <f t="shared" si="117"/>
        <v>4</v>
      </c>
      <c r="D3715" s="4">
        <v>25.49877103948889</v>
      </c>
      <c r="E3715" s="4"/>
      <c r="F3715" s="4">
        <v>29.210580211724999</v>
      </c>
      <c r="G3715" s="4">
        <v>19.600000000000001</v>
      </c>
      <c r="H3715" s="5">
        <v>37.873869303552773</v>
      </c>
      <c r="I3715" s="5"/>
      <c r="J3715" s="5">
        <v>41.558656061547218</v>
      </c>
      <c r="K3715" s="5">
        <v>53</v>
      </c>
    </row>
    <row r="3716" spans="1:11" x14ac:dyDescent="0.25">
      <c r="A3716" s="2">
        <v>46252.208333333343</v>
      </c>
      <c r="B3716" t="str">
        <f t="shared" si="116"/>
        <v>2026-08</v>
      </c>
      <c r="C3716" s="3">
        <f t="shared" si="117"/>
        <v>5</v>
      </c>
      <c r="D3716" s="4">
        <v>25.559502360913889</v>
      </c>
      <c r="E3716" s="4"/>
      <c r="F3716" s="4">
        <v>29.19552331066112</v>
      </c>
      <c r="G3716" s="4">
        <v>19.2</v>
      </c>
      <c r="H3716" s="5">
        <v>37.043278442677767</v>
      </c>
      <c r="I3716" s="5"/>
      <c r="J3716" s="5">
        <v>41.466335565036111</v>
      </c>
      <c r="K3716" s="5">
        <v>54</v>
      </c>
    </row>
    <row r="3717" spans="1:11" x14ac:dyDescent="0.25">
      <c r="A3717" s="2">
        <v>46252.25</v>
      </c>
      <c r="B3717" t="str">
        <f t="shared" si="116"/>
        <v>2026-08</v>
      </c>
      <c r="C3717" s="3">
        <f t="shared" si="117"/>
        <v>6</v>
      </c>
      <c r="D3717" s="4">
        <v>25.72853718863611</v>
      </c>
      <c r="E3717" s="4"/>
      <c r="F3717" s="4">
        <v>29.17702900528333</v>
      </c>
      <c r="G3717" s="4">
        <v>18.899999999999999</v>
      </c>
      <c r="H3717" s="5">
        <v>36.158299701361109</v>
      </c>
      <c r="I3717" s="5"/>
      <c r="J3717" s="5">
        <v>41.368114258938888</v>
      </c>
      <c r="K3717" s="5">
        <v>55</v>
      </c>
    </row>
    <row r="3718" spans="1:11" x14ac:dyDescent="0.25">
      <c r="A3718" s="2">
        <v>46252.291666666657</v>
      </c>
      <c r="B3718" t="str">
        <f t="shared" si="116"/>
        <v>2026-08</v>
      </c>
      <c r="C3718" s="3">
        <f t="shared" si="117"/>
        <v>7</v>
      </c>
      <c r="D3718" s="4">
        <v>26.378856201080559</v>
      </c>
      <c r="E3718" s="4"/>
      <c r="F3718" s="4">
        <v>29.192728934327778</v>
      </c>
      <c r="G3718" s="4">
        <v>19.899999999999999</v>
      </c>
      <c r="H3718" s="5">
        <v>35.493456781311117</v>
      </c>
      <c r="I3718" s="5"/>
      <c r="J3718" s="5">
        <v>41.362861659222233</v>
      </c>
      <c r="K3718" s="5">
        <v>53</v>
      </c>
    </row>
    <row r="3719" spans="1:11" x14ac:dyDescent="0.25">
      <c r="A3719" s="2">
        <v>46252.333333333343</v>
      </c>
      <c r="B3719" t="str">
        <f t="shared" si="116"/>
        <v>2026-08</v>
      </c>
      <c r="C3719" s="3">
        <f t="shared" si="117"/>
        <v>8</v>
      </c>
      <c r="D3719" s="4">
        <v>27.09073645394167</v>
      </c>
      <c r="E3719" s="4"/>
      <c r="F3719" s="4">
        <v>29.23375486463889</v>
      </c>
      <c r="G3719" s="4">
        <v>21.8</v>
      </c>
      <c r="H3719" s="5">
        <v>35.602053810302777</v>
      </c>
      <c r="I3719" s="5"/>
      <c r="J3719" s="5">
        <v>41.396315033950003</v>
      </c>
      <c r="K3719" s="5">
        <v>47</v>
      </c>
    </row>
    <row r="3720" spans="1:11" x14ac:dyDescent="0.25">
      <c r="A3720" s="2">
        <v>46252.375</v>
      </c>
      <c r="B3720" t="str">
        <f t="shared" si="116"/>
        <v>2026-08</v>
      </c>
      <c r="C3720" s="3">
        <f t="shared" si="117"/>
        <v>9</v>
      </c>
      <c r="D3720" s="4">
        <v>27.660232974838891</v>
      </c>
      <c r="E3720" s="4"/>
      <c r="F3720" s="4">
        <v>29.278258933113889</v>
      </c>
      <c r="G3720" s="4">
        <v>24.5</v>
      </c>
      <c r="H3720" s="5">
        <v>36.063926538397233</v>
      </c>
      <c r="I3720" s="5"/>
      <c r="J3720" s="5">
        <v>41.488843474986112</v>
      </c>
      <c r="K3720" s="5">
        <v>41</v>
      </c>
    </row>
    <row r="3721" spans="1:11" x14ac:dyDescent="0.25">
      <c r="A3721" s="2">
        <v>46252.416666666657</v>
      </c>
      <c r="B3721" t="str">
        <f t="shared" si="116"/>
        <v>2026-08</v>
      </c>
      <c r="C3721" s="3">
        <f t="shared" si="117"/>
        <v>10</v>
      </c>
      <c r="D3721" s="4">
        <v>27.37784554686111</v>
      </c>
      <c r="E3721" s="4"/>
      <c r="F3721" s="4">
        <v>29.33289219983056</v>
      </c>
      <c r="G3721" s="4">
        <v>26.9</v>
      </c>
      <c r="H3721" s="5">
        <v>33.987214096136107</v>
      </c>
      <c r="I3721" s="5"/>
      <c r="J3721" s="5">
        <v>41.501073666258343</v>
      </c>
      <c r="K3721" s="5">
        <v>38</v>
      </c>
    </row>
    <row r="3722" spans="1:11" x14ac:dyDescent="0.25">
      <c r="A3722" s="2">
        <v>46252.458333333343</v>
      </c>
      <c r="B3722" t="str">
        <f t="shared" si="116"/>
        <v>2026-08</v>
      </c>
      <c r="C3722" s="3">
        <f t="shared" si="117"/>
        <v>11</v>
      </c>
      <c r="D3722" s="4">
        <v>26.848999975580561</v>
      </c>
      <c r="E3722" s="4"/>
      <c r="F3722" s="4">
        <v>29.33414501386666</v>
      </c>
      <c r="G3722" s="4">
        <v>29.1</v>
      </c>
      <c r="H3722" s="5">
        <v>34.369001200074997</v>
      </c>
      <c r="I3722" s="5"/>
      <c r="J3722" s="5">
        <v>41.373848661055547</v>
      </c>
      <c r="K3722" s="5">
        <v>34</v>
      </c>
    </row>
    <row r="3723" spans="1:11" x14ac:dyDescent="0.25">
      <c r="A3723" s="2">
        <v>46252.5</v>
      </c>
      <c r="B3723" t="str">
        <f t="shared" si="116"/>
        <v>2026-08</v>
      </c>
      <c r="C3723" s="3">
        <f t="shared" si="117"/>
        <v>12</v>
      </c>
      <c r="D3723" s="4">
        <v>27.014958271391659</v>
      </c>
      <c r="E3723" s="4"/>
      <c r="F3723" s="4">
        <v>29.450922986211111</v>
      </c>
      <c r="G3723" s="4">
        <v>30.7</v>
      </c>
      <c r="H3723" s="5">
        <v>34.831421980727782</v>
      </c>
      <c r="I3723" s="5"/>
      <c r="J3723" s="5">
        <v>41.347814360530563</v>
      </c>
      <c r="K3723" s="5">
        <v>28</v>
      </c>
    </row>
    <row r="3724" spans="1:11" x14ac:dyDescent="0.25">
      <c r="A3724" s="2">
        <v>46252.541666666657</v>
      </c>
      <c r="B3724" t="str">
        <f t="shared" si="116"/>
        <v>2026-08</v>
      </c>
      <c r="C3724" s="3">
        <f t="shared" si="117"/>
        <v>13</v>
      </c>
      <c r="D3724" s="4">
        <v>26.36</v>
      </c>
      <c r="E3724" s="4"/>
      <c r="F3724" s="4">
        <v>29.064629749341659</v>
      </c>
      <c r="G3724" s="4">
        <v>31.2</v>
      </c>
      <c r="H3724" s="5">
        <v>32</v>
      </c>
      <c r="I3724" s="5"/>
      <c r="J3724" s="5">
        <v>40.053116235327778</v>
      </c>
      <c r="K3724" s="5">
        <v>25</v>
      </c>
    </row>
    <row r="3725" spans="1:11" x14ac:dyDescent="0.25">
      <c r="A3725" s="2">
        <v>46252.583333333343</v>
      </c>
      <c r="B3725" t="str">
        <f t="shared" si="116"/>
        <v>2026-08</v>
      </c>
      <c r="C3725" s="3">
        <f t="shared" si="117"/>
        <v>14</v>
      </c>
      <c r="D3725" s="4">
        <v>26.36</v>
      </c>
      <c r="E3725" s="4"/>
      <c r="F3725" s="4">
        <v>28.735663444008331</v>
      </c>
      <c r="G3725" s="4">
        <v>31.4</v>
      </c>
      <c r="H3725" s="5">
        <v>32</v>
      </c>
      <c r="I3725" s="5"/>
      <c r="J3725" s="5">
        <v>40.663067806055558</v>
      </c>
      <c r="K3725" s="5">
        <v>25</v>
      </c>
    </row>
    <row r="3726" spans="1:11" x14ac:dyDescent="0.25">
      <c r="A3726" s="2">
        <v>46252.625</v>
      </c>
      <c r="B3726" t="str">
        <f t="shared" si="116"/>
        <v>2026-08</v>
      </c>
      <c r="C3726" s="3">
        <f t="shared" si="117"/>
        <v>15</v>
      </c>
      <c r="D3726" s="4">
        <v>26.36</v>
      </c>
      <c r="E3726" s="4"/>
      <c r="F3726" s="4">
        <v>28.584501437850001</v>
      </c>
      <c r="G3726" s="4">
        <v>32.200000000000003</v>
      </c>
      <c r="H3726" s="5">
        <v>32</v>
      </c>
      <c r="I3726" s="5"/>
      <c r="J3726" s="5">
        <v>39.877286172166663</v>
      </c>
      <c r="K3726" s="5">
        <v>23</v>
      </c>
    </row>
    <row r="3727" spans="1:11" x14ac:dyDescent="0.25">
      <c r="A3727" s="2">
        <v>46252.666666666657</v>
      </c>
      <c r="B3727" t="str">
        <f t="shared" si="116"/>
        <v>2026-08</v>
      </c>
      <c r="C3727" s="3">
        <f t="shared" si="117"/>
        <v>16</v>
      </c>
      <c r="D3727" s="4">
        <v>26.36</v>
      </c>
      <c r="E3727" s="4"/>
      <c r="F3727" s="4">
        <v>28.861999756349999</v>
      </c>
      <c r="G3727" s="4">
        <v>31.7</v>
      </c>
      <c r="H3727" s="5">
        <v>32</v>
      </c>
      <c r="I3727" s="5"/>
      <c r="J3727" s="5">
        <v>39.470941264594451</v>
      </c>
      <c r="K3727" s="5">
        <v>23</v>
      </c>
    </row>
    <row r="3728" spans="1:11" x14ac:dyDescent="0.25">
      <c r="A3728" s="2">
        <v>46252.708333333343</v>
      </c>
      <c r="B3728" t="str">
        <f t="shared" si="116"/>
        <v>2026-08</v>
      </c>
      <c r="C3728" s="3">
        <f t="shared" si="117"/>
        <v>17</v>
      </c>
      <c r="D3728" s="4">
        <v>26.36</v>
      </c>
      <c r="E3728" s="4"/>
      <c r="F3728" s="4">
        <v>29.115994737844449</v>
      </c>
      <c r="G3728" s="4">
        <v>31.1</v>
      </c>
      <c r="H3728" s="5">
        <v>32</v>
      </c>
      <c r="I3728" s="5"/>
      <c r="J3728" s="5">
        <v>39.487027375152778</v>
      </c>
      <c r="K3728" s="5">
        <v>24</v>
      </c>
    </row>
    <row r="3729" spans="1:11" x14ac:dyDescent="0.25">
      <c r="A3729" s="2">
        <v>46252.75</v>
      </c>
      <c r="B3729" t="str">
        <f t="shared" si="116"/>
        <v>2026-08</v>
      </c>
      <c r="C3729" s="3">
        <f t="shared" si="117"/>
        <v>18</v>
      </c>
      <c r="D3729" s="4">
        <v>26.36</v>
      </c>
      <c r="E3729" s="4"/>
      <c r="F3729" s="4">
        <v>29.17639171905833</v>
      </c>
      <c r="G3729" s="4">
        <v>30.1</v>
      </c>
      <c r="H3729" s="5">
        <v>32</v>
      </c>
      <c r="I3729" s="5"/>
      <c r="J3729" s="5">
        <v>39.694727914738877</v>
      </c>
      <c r="K3729" s="5">
        <v>26</v>
      </c>
    </row>
    <row r="3730" spans="1:11" x14ac:dyDescent="0.25">
      <c r="A3730" s="2">
        <v>46252.791666666657</v>
      </c>
      <c r="B3730" t="str">
        <f t="shared" si="116"/>
        <v>2026-08</v>
      </c>
      <c r="C3730" s="3">
        <f t="shared" si="117"/>
        <v>19</v>
      </c>
      <c r="D3730" s="4">
        <v>26.36</v>
      </c>
      <c r="E3730" s="4"/>
      <c r="F3730" s="4">
        <v>29.178062176558331</v>
      </c>
      <c r="G3730" s="4">
        <v>28.7</v>
      </c>
      <c r="H3730" s="5">
        <v>32</v>
      </c>
      <c r="I3730" s="5"/>
      <c r="J3730" s="5">
        <v>39.655863614786107</v>
      </c>
      <c r="K3730" s="5">
        <v>31</v>
      </c>
    </row>
    <row r="3731" spans="1:11" x14ac:dyDescent="0.25">
      <c r="A3731" s="2">
        <v>46252.833333333343</v>
      </c>
      <c r="B3731" t="str">
        <f t="shared" si="116"/>
        <v>2026-08</v>
      </c>
      <c r="C3731" s="3">
        <f t="shared" si="117"/>
        <v>20</v>
      </c>
      <c r="D3731" s="4">
        <v>26.36</v>
      </c>
      <c r="E3731" s="4"/>
      <c r="F3731" s="4">
        <v>29.194972552288888</v>
      </c>
      <c r="G3731" s="4">
        <v>27</v>
      </c>
      <c r="H3731" s="5">
        <v>32</v>
      </c>
      <c r="I3731" s="5"/>
      <c r="J3731" s="5">
        <v>39.547179002694442</v>
      </c>
      <c r="K3731" s="5">
        <v>33</v>
      </c>
    </row>
    <row r="3732" spans="1:11" x14ac:dyDescent="0.25">
      <c r="A3732" s="2">
        <v>46252.875</v>
      </c>
      <c r="B3732" t="str">
        <f t="shared" si="116"/>
        <v>2026-08</v>
      </c>
      <c r="C3732" s="3">
        <f t="shared" si="117"/>
        <v>21</v>
      </c>
      <c r="D3732" s="4">
        <v>26.36</v>
      </c>
      <c r="E3732" s="4"/>
      <c r="F3732" s="4">
        <v>29.08104740316389</v>
      </c>
      <c r="G3732" s="4">
        <v>25.6</v>
      </c>
      <c r="H3732" s="5">
        <v>32</v>
      </c>
      <c r="I3732" s="5"/>
      <c r="J3732" s="5">
        <v>40.256862201402782</v>
      </c>
      <c r="K3732" s="5">
        <v>35</v>
      </c>
    </row>
    <row r="3733" spans="1:11" x14ac:dyDescent="0.25">
      <c r="A3733" s="2">
        <v>46252.916666666657</v>
      </c>
      <c r="B3733" t="str">
        <f t="shared" si="116"/>
        <v>2026-08</v>
      </c>
      <c r="C3733" s="3">
        <f t="shared" si="117"/>
        <v>22</v>
      </c>
      <c r="D3733" s="4">
        <v>26.36</v>
      </c>
      <c r="E3733" s="4"/>
      <c r="F3733" s="4">
        <v>28.876989592375001</v>
      </c>
      <c r="G3733" s="4">
        <v>24.8</v>
      </c>
      <c r="H3733" s="5">
        <v>32</v>
      </c>
      <c r="I3733" s="5"/>
      <c r="J3733" s="5">
        <v>41.578282775191667</v>
      </c>
      <c r="K3733" s="5">
        <v>36</v>
      </c>
    </row>
    <row r="3734" spans="1:11" x14ac:dyDescent="0.25">
      <c r="A3734" s="2">
        <v>46252.958333333343</v>
      </c>
      <c r="B3734" t="str">
        <f t="shared" si="116"/>
        <v>2026-08</v>
      </c>
      <c r="C3734" s="3">
        <f t="shared" si="117"/>
        <v>23</v>
      </c>
      <c r="D3734" s="4">
        <v>26.36</v>
      </c>
      <c r="E3734" s="4"/>
      <c r="F3734" s="4">
        <v>29.218671457825</v>
      </c>
      <c r="G3734" s="4">
        <v>24.2</v>
      </c>
      <c r="H3734" s="5">
        <v>32</v>
      </c>
      <c r="I3734" s="5"/>
      <c r="J3734" s="5">
        <v>40.889253300777767</v>
      </c>
      <c r="K3734" s="5">
        <v>36</v>
      </c>
    </row>
    <row r="3735" spans="1:11" x14ac:dyDescent="0.25">
      <c r="A3735" s="2">
        <v>46253</v>
      </c>
      <c r="B3735" t="str">
        <f t="shared" si="116"/>
        <v>2026-08</v>
      </c>
      <c r="C3735" s="3">
        <f t="shared" si="117"/>
        <v>0</v>
      </c>
      <c r="D3735" s="4">
        <v>26.36</v>
      </c>
      <c r="E3735" s="4"/>
      <c r="F3735" s="4">
        <v>29.254689645749998</v>
      </c>
      <c r="G3735" s="4">
        <v>23.4</v>
      </c>
      <c r="H3735" s="5">
        <v>32</v>
      </c>
      <c r="I3735" s="5"/>
      <c r="J3735" s="5">
        <v>40.927985145083333</v>
      </c>
      <c r="K3735" s="5">
        <v>38</v>
      </c>
    </row>
    <row r="3736" spans="1:11" x14ac:dyDescent="0.25">
      <c r="A3736" s="2">
        <v>46253.041666666657</v>
      </c>
      <c r="B3736" t="str">
        <f t="shared" si="116"/>
        <v>2026-08</v>
      </c>
      <c r="C3736" s="3">
        <f t="shared" si="117"/>
        <v>1</v>
      </c>
      <c r="D3736" s="4">
        <v>26.36</v>
      </c>
      <c r="E3736" s="4"/>
      <c r="F3736" s="4">
        <v>29.296591270438888</v>
      </c>
      <c r="G3736" s="4">
        <v>21.7</v>
      </c>
      <c r="H3736" s="5">
        <v>32</v>
      </c>
      <c r="I3736" s="5"/>
      <c r="J3736" s="5">
        <v>41.11338594389445</v>
      </c>
      <c r="K3736" s="5">
        <v>51</v>
      </c>
    </row>
    <row r="3737" spans="1:11" x14ac:dyDescent="0.25">
      <c r="A3737" s="2">
        <v>46253.083333333343</v>
      </c>
      <c r="B3737" t="str">
        <f t="shared" si="116"/>
        <v>2026-08</v>
      </c>
      <c r="C3737" s="3">
        <f t="shared" si="117"/>
        <v>2</v>
      </c>
      <c r="D3737" s="4">
        <v>26.36</v>
      </c>
      <c r="E3737" s="4"/>
      <c r="F3737" s="4">
        <v>29.297888858647219</v>
      </c>
      <c r="G3737" s="4">
        <v>20.399999999999999</v>
      </c>
      <c r="H3737" s="5">
        <v>32</v>
      </c>
      <c r="I3737" s="5"/>
      <c r="J3737" s="5">
        <v>41.32183139683611</v>
      </c>
      <c r="K3737" s="5">
        <v>64</v>
      </c>
    </row>
    <row r="3738" spans="1:11" x14ac:dyDescent="0.25">
      <c r="A3738" s="2">
        <v>46253.125</v>
      </c>
      <c r="B3738" t="str">
        <f t="shared" si="116"/>
        <v>2026-08</v>
      </c>
      <c r="C3738" s="3">
        <f t="shared" si="117"/>
        <v>3</v>
      </c>
      <c r="D3738" s="4">
        <v>26.36</v>
      </c>
      <c r="E3738" s="4"/>
      <c r="F3738" s="4">
        <v>29.296392806669449</v>
      </c>
      <c r="G3738" s="4">
        <v>18.7</v>
      </c>
      <c r="H3738" s="5">
        <v>32</v>
      </c>
      <c r="I3738" s="5"/>
      <c r="J3738" s="5">
        <v>41.480155963291672</v>
      </c>
      <c r="K3738" s="5">
        <v>75</v>
      </c>
    </row>
    <row r="3739" spans="1:11" x14ac:dyDescent="0.25">
      <c r="A3739" s="2">
        <v>46253.166666666657</v>
      </c>
      <c r="B3739" t="str">
        <f t="shared" si="116"/>
        <v>2026-08</v>
      </c>
      <c r="C3739" s="3">
        <f t="shared" si="117"/>
        <v>4</v>
      </c>
      <c r="D3739" s="4">
        <v>26.36</v>
      </c>
      <c r="E3739" s="4"/>
      <c r="F3739" s="4">
        <v>29.295915294408331</v>
      </c>
      <c r="G3739" s="4">
        <v>18.399999999999999</v>
      </c>
      <c r="H3739" s="5">
        <v>32</v>
      </c>
      <c r="I3739" s="5"/>
      <c r="J3739" s="5">
        <v>41.624649604338892</v>
      </c>
      <c r="K3739" s="5">
        <v>80</v>
      </c>
    </row>
    <row r="3740" spans="1:11" x14ac:dyDescent="0.25">
      <c r="A3740" s="2">
        <v>46253.208333333343</v>
      </c>
      <c r="B3740" t="str">
        <f t="shared" si="116"/>
        <v>2026-08</v>
      </c>
      <c r="C3740" s="3">
        <f t="shared" si="117"/>
        <v>5</v>
      </c>
      <c r="D3740" s="4">
        <v>26.36</v>
      </c>
      <c r="E3740" s="4"/>
      <c r="F3740" s="4">
        <v>29.291331437366669</v>
      </c>
      <c r="G3740" s="4">
        <v>17.8</v>
      </c>
      <c r="H3740" s="5">
        <v>32</v>
      </c>
      <c r="I3740" s="5"/>
      <c r="J3740" s="5">
        <v>41.905659146386107</v>
      </c>
      <c r="K3740" s="5">
        <v>83</v>
      </c>
    </row>
    <row r="3741" spans="1:11" x14ac:dyDescent="0.25">
      <c r="A3741" s="2">
        <v>46253.25</v>
      </c>
      <c r="B3741" t="str">
        <f t="shared" si="116"/>
        <v>2026-08</v>
      </c>
      <c r="C3741" s="3">
        <f t="shared" si="117"/>
        <v>6</v>
      </c>
      <c r="D3741" s="4">
        <v>26.36</v>
      </c>
      <c r="E3741" s="4"/>
      <c r="F3741" s="4">
        <v>29.293001359405551</v>
      </c>
      <c r="G3741" s="4">
        <v>17</v>
      </c>
      <c r="H3741" s="5">
        <v>32</v>
      </c>
      <c r="I3741" s="5"/>
      <c r="J3741" s="5">
        <v>42.133987105075001</v>
      </c>
      <c r="K3741" s="5">
        <v>82</v>
      </c>
    </row>
    <row r="3742" spans="1:11" x14ac:dyDescent="0.25">
      <c r="A3742" s="2">
        <v>46253.291666666657</v>
      </c>
      <c r="B3742" t="str">
        <f t="shared" si="116"/>
        <v>2026-08</v>
      </c>
      <c r="C3742" s="3">
        <f t="shared" si="117"/>
        <v>7</v>
      </c>
      <c r="D3742" s="4">
        <v>26.36</v>
      </c>
      <c r="E3742" s="4"/>
      <c r="F3742" s="4">
        <v>29.31597962458056</v>
      </c>
      <c r="G3742" s="4">
        <v>17.100000000000001</v>
      </c>
      <c r="H3742" s="5">
        <v>32</v>
      </c>
      <c r="I3742" s="5"/>
      <c r="J3742" s="5">
        <v>42.185879407313891</v>
      </c>
      <c r="K3742" s="5">
        <v>79</v>
      </c>
    </row>
    <row r="3743" spans="1:11" x14ac:dyDescent="0.25">
      <c r="A3743" s="2">
        <v>46253.333333333343</v>
      </c>
      <c r="B3743" t="str">
        <f t="shared" si="116"/>
        <v>2026-08</v>
      </c>
      <c r="C3743" s="3">
        <f t="shared" si="117"/>
        <v>8</v>
      </c>
      <c r="D3743" s="4">
        <v>26.36</v>
      </c>
      <c r="E3743" s="4"/>
      <c r="F3743" s="4">
        <v>29.31332551059722</v>
      </c>
      <c r="G3743" s="4">
        <v>17.8</v>
      </c>
      <c r="H3743" s="5">
        <v>32</v>
      </c>
      <c r="I3743" s="5"/>
      <c r="J3743" s="5">
        <v>42.23723805083889</v>
      </c>
      <c r="K3743" s="5">
        <v>74</v>
      </c>
    </row>
    <row r="3744" spans="1:11" x14ac:dyDescent="0.25">
      <c r="A3744" s="2">
        <v>46253.375</v>
      </c>
      <c r="B3744" t="str">
        <f t="shared" si="116"/>
        <v>2026-08</v>
      </c>
      <c r="C3744" s="3">
        <f t="shared" si="117"/>
        <v>9</v>
      </c>
      <c r="D3744" s="4">
        <v>26.36</v>
      </c>
      <c r="E3744" s="4"/>
      <c r="F3744" s="4">
        <v>29.296557065152779</v>
      </c>
      <c r="G3744" s="4">
        <v>18.8</v>
      </c>
      <c r="H3744" s="5">
        <v>32</v>
      </c>
      <c r="I3744" s="5"/>
      <c r="J3744" s="5">
        <v>42.286005265358327</v>
      </c>
      <c r="K3744" s="5">
        <v>65</v>
      </c>
    </row>
    <row r="3745" spans="1:11" x14ac:dyDescent="0.25">
      <c r="A3745" s="2">
        <v>46253.416666666657</v>
      </c>
      <c r="B3745" t="str">
        <f t="shared" si="116"/>
        <v>2026-08</v>
      </c>
      <c r="C3745" s="3">
        <f t="shared" si="117"/>
        <v>10</v>
      </c>
      <c r="D3745" s="4">
        <v>26.36</v>
      </c>
      <c r="E3745" s="4"/>
      <c r="F3745" s="4">
        <v>29.295362958113891</v>
      </c>
      <c r="G3745" s="4">
        <v>20.2</v>
      </c>
      <c r="H3745" s="5">
        <v>32</v>
      </c>
      <c r="I3745" s="5"/>
      <c r="J3745" s="5">
        <v>42.304609578744447</v>
      </c>
      <c r="K3745" s="5">
        <v>58</v>
      </c>
    </row>
    <row r="3746" spans="1:11" x14ac:dyDescent="0.25">
      <c r="A3746" s="2">
        <v>46253.458333333343</v>
      </c>
      <c r="B3746" t="str">
        <f t="shared" si="116"/>
        <v>2026-08</v>
      </c>
      <c r="C3746" s="3">
        <f t="shared" si="117"/>
        <v>11</v>
      </c>
      <c r="D3746" s="4">
        <v>26.36</v>
      </c>
      <c r="E3746" s="4"/>
      <c r="F3746" s="4">
        <v>29.382707423463891</v>
      </c>
      <c r="G3746" s="4">
        <v>19.5</v>
      </c>
      <c r="H3746" s="5">
        <v>32</v>
      </c>
      <c r="I3746" s="5"/>
      <c r="J3746" s="5">
        <v>42.160122706341667</v>
      </c>
      <c r="K3746" s="5">
        <v>59</v>
      </c>
    </row>
    <row r="3747" spans="1:11" x14ac:dyDescent="0.25">
      <c r="A3747" s="2">
        <v>46253.5</v>
      </c>
      <c r="B3747" t="str">
        <f t="shared" si="116"/>
        <v>2026-08</v>
      </c>
      <c r="C3747" s="3">
        <f t="shared" si="117"/>
        <v>12</v>
      </c>
      <c r="D3747" s="4">
        <v>26.36</v>
      </c>
      <c r="E3747" s="4"/>
      <c r="F3747" s="4">
        <v>29.373863872008329</v>
      </c>
      <c r="G3747" s="4">
        <v>19.600000000000001</v>
      </c>
      <c r="H3747" s="5">
        <v>32</v>
      </c>
      <c r="I3747" s="5"/>
      <c r="J3747" s="5">
        <v>42.261200291672218</v>
      </c>
      <c r="K3747" s="5">
        <v>58</v>
      </c>
    </row>
    <row r="3748" spans="1:11" x14ac:dyDescent="0.25">
      <c r="A3748" s="2">
        <v>46253.541666666657</v>
      </c>
      <c r="B3748" t="str">
        <f t="shared" si="116"/>
        <v>2026-08</v>
      </c>
      <c r="C3748" s="3">
        <f t="shared" si="117"/>
        <v>13</v>
      </c>
      <c r="D3748" s="4">
        <v>26.36</v>
      </c>
      <c r="E3748" s="4"/>
      <c r="F3748" s="4">
        <v>29.363796690641671</v>
      </c>
      <c r="G3748" s="4">
        <v>20.9</v>
      </c>
      <c r="H3748" s="5">
        <v>32</v>
      </c>
      <c r="I3748" s="5"/>
      <c r="J3748" s="5">
        <v>42.305675915499997</v>
      </c>
      <c r="K3748" s="5">
        <v>51</v>
      </c>
    </row>
    <row r="3749" spans="1:11" x14ac:dyDescent="0.25">
      <c r="A3749" s="2">
        <v>46253.583333333343</v>
      </c>
      <c r="B3749" t="str">
        <f t="shared" si="116"/>
        <v>2026-08</v>
      </c>
      <c r="C3749" s="3">
        <f t="shared" si="117"/>
        <v>14</v>
      </c>
      <c r="D3749" s="4">
        <v>26.36</v>
      </c>
      <c r="E3749" s="4"/>
      <c r="F3749" s="4">
        <v>29.388857646277771</v>
      </c>
      <c r="G3749" s="4">
        <v>23.3</v>
      </c>
      <c r="H3749" s="5">
        <v>32</v>
      </c>
      <c r="I3749" s="5"/>
      <c r="J3749" s="5">
        <v>42.257219604669437</v>
      </c>
      <c r="K3749" s="5">
        <v>39</v>
      </c>
    </row>
    <row r="3750" spans="1:11" x14ac:dyDescent="0.25">
      <c r="A3750" s="2">
        <v>46253.625</v>
      </c>
      <c r="B3750" t="str">
        <f t="shared" si="116"/>
        <v>2026-08</v>
      </c>
      <c r="C3750" s="3">
        <f t="shared" si="117"/>
        <v>15</v>
      </c>
      <c r="D3750" s="4">
        <v>26.36</v>
      </c>
      <c r="E3750" s="4"/>
      <c r="F3750" s="4">
        <v>29.38175472238056</v>
      </c>
      <c r="G3750" s="4">
        <v>23.2</v>
      </c>
      <c r="H3750" s="5">
        <v>32</v>
      </c>
      <c r="I3750" s="5"/>
      <c r="J3750" s="5">
        <v>42.211654046769453</v>
      </c>
      <c r="K3750" s="5">
        <v>40</v>
      </c>
    </row>
    <row r="3751" spans="1:11" x14ac:dyDescent="0.25">
      <c r="A3751" s="2">
        <v>46253.666666666657</v>
      </c>
      <c r="B3751" t="str">
        <f t="shared" si="116"/>
        <v>2026-08</v>
      </c>
      <c r="C3751" s="3">
        <f t="shared" si="117"/>
        <v>16</v>
      </c>
      <c r="D3751" s="4">
        <v>26.36</v>
      </c>
      <c r="E3751" s="4"/>
      <c r="F3751" s="4">
        <v>29.400394985122219</v>
      </c>
      <c r="G3751" s="4">
        <v>23.6</v>
      </c>
      <c r="H3751" s="5">
        <v>32</v>
      </c>
      <c r="I3751" s="5"/>
      <c r="J3751" s="5">
        <v>42.140074994333332</v>
      </c>
      <c r="K3751" s="5">
        <v>37</v>
      </c>
    </row>
    <row r="3752" spans="1:11" x14ac:dyDescent="0.25">
      <c r="A3752" s="2">
        <v>46253.708333333343</v>
      </c>
      <c r="B3752" t="str">
        <f t="shared" si="116"/>
        <v>2026-08</v>
      </c>
      <c r="C3752" s="3">
        <f t="shared" si="117"/>
        <v>17</v>
      </c>
      <c r="D3752" s="4">
        <v>26.36</v>
      </c>
      <c r="E3752" s="4"/>
      <c r="F3752" s="4">
        <v>29.415916644980559</v>
      </c>
      <c r="G3752" s="4">
        <v>23.5</v>
      </c>
      <c r="H3752" s="5">
        <v>32</v>
      </c>
      <c r="I3752" s="5"/>
      <c r="J3752" s="5">
        <v>42.096303464827777</v>
      </c>
      <c r="K3752" s="5">
        <v>37</v>
      </c>
    </row>
    <row r="3753" spans="1:11" x14ac:dyDescent="0.25">
      <c r="A3753" s="2">
        <v>46253.75</v>
      </c>
      <c r="B3753" t="str">
        <f t="shared" si="116"/>
        <v>2026-08</v>
      </c>
      <c r="C3753" s="3">
        <f t="shared" si="117"/>
        <v>18</v>
      </c>
      <c r="D3753" s="4">
        <v>26.36</v>
      </c>
      <c r="E3753" s="4"/>
      <c r="F3753" s="4">
        <v>29.43172360046389</v>
      </c>
      <c r="G3753" s="4">
        <v>23.1</v>
      </c>
      <c r="H3753" s="5">
        <v>32</v>
      </c>
      <c r="I3753" s="5"/>
      <c r="J3753" s="5">
        <v>42.062381591036107</v>
      </c>
      <c r="K3753" s="5">
        <v>39</v>
      </c>
    </row>
    <row r="3754" spans="1:11" x14ac:dyDescent="0.25">
      <c r="A3754" s="2">
        <v>46253.791666666657</v>
      </c>
      <c r="B3754" t="str">
        <f t="shared" si="116"/>
        <v>2026-08</v>
      </c>
      <c r="C3754" s="3">
        <f t="shared" si="117"/>
        <v>19</v>
      </c>
      <c r="D3754" s="4">
        <v>26.36</v>
      </c>
      <c r="E3754" s="4"/>
      <c r="F3754" s="4">
        <v>29.43491676827778</v>
      </c>
      <c r="G3754" s="4">
        <v>22.3</v>
      </c>
      <c r="H3754" s="5">
        <v>32</v>
      </c>
      <c r="I3754" s="5"/>
      <c r="J3754" s="5">
        <v>42.045938672052777</v>
      </c>
      <c r="K3754" s="5">
        <v>42</v>
      </c>
    </row>
    <row r="3755" spans="1:11" x14ac:dyDescent="0.25">
      <c r="A3755" s="2">
        <v>46253.833333333343</v>
      </c>
      <c r="B3755" t="str">
        <f t="shared" si="116"/>
        <v>2026-08</v>
      </c>
      <c r="C3755" s="3">
        <f t="shared" si="117"/>
        <v>20</v>
      </c>
      <c r="D3755" s="4">
        <v>26.36</v>
      </c>
      <c r="E3755" s="4"/>
      <c r="F3755" s="4">
        <v>29.436140166194441</v>
      </c>
      <c r="G3755" s="4">
        <v>21.6</v>
      </c>
      <c r="H3755" s="5">
        <v>32</v>
      </c>
      <c r="I3755" s="5"/>
      <c r="J3755" s="5">
        <v>41.95070670851667</v>
      </c>
      <c r="K3755" s="5">
        <v>45</v>
      </c>
    </row>
    <row r="3756" spans="1:11" x14ac:dyDescent="0.25">
      <c r="A3756" s="2">
        <v>46253.875</v>
      </c>
      <c r="B3756" t="str">
        <f t="shared" si="116"/>
        <v>2026-08</v>
      </c>
      <c r="C3756" s="3">
        <f t="shared" si="117"/>
        <v>21</v>
      </c>
      <c r="D3756" s="4">
        <v>26.36</v>
      </c>
      <c r="E3756" s="4"/>
      <c r="F3756" s="4">
        <v>29.447417587802779</v>
      </c>
      <c r="G3756" s="4">
        <v>20.9</v>
      </c>
      <c r="H3756" s="5">
        <v>32</v>
      </c>
      <c r="I3756" s="5"/>
      <c r="J3756" s="5">
        <v>41.917559972699998</v>
      </c>
      <c r="K3756" s="5">
        <v>47</v>
      </c>
    </row>
    <row r="3757" spans="1:11" x14ac:dyDescent="0.25">
      <c r="A3757" s="2">
        <v>46253.916666666657</v>
      </c>
      <c r="B3757" t="str">
        <f t="shared" si="116"/>
        <v>2026-08</v>
      </c>
      <c r="C3757" s="3">
        <f t="shared" si="117"/>
        <v>22</v>
      </c>
      <c r="D3757" s="4">
        <v>26.36</v>
      </c>
      <c r="E3757" s="4"/>
      <c r="F3757" s="4">
        <v>29.463889901944441</v>
      </c>
      <c r="G3757" s="4">
        <v>20.100000000000001</v>
      </c>
      <c r="H3757" s="5">
        <v>32</v>
      </c>
      <c r="I3757" s="5"/>
      <c r="J3757" s="5">
        <v>41.913912360177783</v>
      </c>
      <c r="K3757" s="5">
        <v>51</v>
      </c>
    </row>
    <row r="3758" spans="1:11" x14ac:dyDescent="0.25">
      <c r="A3758" s="2">
        <v>46253.958333333343</v>
      </c>
      <c r="B3758" t="str">
        <f t="shared" si="116"/>
        <v>2026-08</v>
      </c>
      <c r="C3758" s="3">
        <f t="shared" si="117"/>
        <v>23</v>
      </c>
      <c r="D3758" s="4">
        <v>26.36</v>
      </c>
      <c r="E3758" s="4"/>
      <c r="F3758" s="4">
        <v>29.46803116168612</v>
      </c>
      <c r="G3758" s="4">
        <v>18.7</v>
      </c>
      <c r="H3758" s="5">
        <v>32</v>
      </c>
      <c r="I3758" s="5"/>
      <c r="J3758" s="5">
        <v>41.875626703975001</v>
      </c>
      <c r="K3758" s="5">
        <v>59</v>
      </c>
    </row>
    <row r="3759" spans="1:11" x14ac:dyDescent="0.25">
      <c r="A3759" s="2">
        <v>46254</v>
      </c>
      <c r="B3759" t="str">
        <f t="shared" si="116"/>
        <v>2026-08</v>
      </c>
      <c r="C3759" s="3">
        <f t="shared" si="117"/>
        <v>0</v>
      </c>
      <c r="D3759" s="4">
        <v>26.36</v>
      </c>
      <c r="E3759" s="4"/>
      <c r="F3759" s="4">
        <v>29.443405861619439</v>
      </c>
      <c r="G3759" s="4">
        <v>17.8</v>
      </c>
      <c r="H3759" s="5">
        <v>32</v>
      </c>
      <c r="I3759" s="5"/>
      <c r="J3759" s="5">
        <v>41.879510053172233</v>
      </c>
      <c r="K3759" s="5">
        <v>64</v>
      </c>
    </row>
    <row r="3760" spans="1:11" x14ac:dyDescent="0.25">
      <c r="A3760" s="2">
        <v>46254.041666666657</v>
      </c>
      <c r="B3760" t="str">
        <f t="shared" si="116"/>
        <v>2026-08</v>
      </c>
      <c r="C3760" s="3">
        <f t="shared" si="117"/>
        <v>1</v>
      </c>
      <c r="D3760" s="4">
        <v>26.36</v>
      </c>
      <c r="E3760" s="4"/>
      <c r="F3760" s="4">
        <v>29.381214654830561</v>
      </c>
      <c r="G3760" s="4">
        <v>17.399999999999999</v>
      </c>
      <c r="H3760" s="5">
        <v>32</v>
      </c>
      <c r="I3760" s="5"/>
      <c r="J3760" s="5">
        <v>41.938752139374998</v>
      </c>
      <c r="K3760" s="5">
        <v>65</v>
      </c>
    </row>
    <row r="3761" spans="1:11" x14ac:dyDescent="0.25">
      <c r="A3761" s="2">
        <v>46254.083333333343</v>
      </c>
      <c r="B3761" t="str">
        <f t="shared" si="116"/>
        <v>2026-08</v>
      </c>
      <c r="C3761" s="3">
        <f t="shared" si="117"/>
        <v>2</v>
      </c>
      <c r="D3761" s="4">
        <v>26.36</v>
      </c>
      <c r="E3761" s="4"/>
      <c r="F3761" s="4">
        <v>29.34018862500556</v>
      </c>
      <c r="G3761" s="4">
        <v>16.899999999999999</v>
      </c>
      <c r="H3761" s="5">
        <v>32</v>
      </c>
      <c r="I3761" s="5"/>
      <c r="J3761" s="5">
        <v>41.908380917758343</v>
      </c>
      <c r="K3761" s="5">
        <v>66</v>
      </c>
    </row>
    <row r="3762" spans="1:11" x14ac:dyDescent="0.25">
      <c r="A3762" s="2">
        <v>46254.125</v>
      </c>
      <c r="B3762" t="str">
        <f t="shared" si="116"/>
        <v>2026-08</v>
      </c>
      <c r="C3762" s="3">
        <f t="shared" si="117"/>
        <v>3</v>
      </c>
      <c r="D3762" s="4">
        <v>26.36</v>
      </c>
      <c r="E3762" s="4"/>
      <c r="F3762" s="4">
        <v>29.30346751908333</v>
      </c>
      <c r="G3762" s="4">
        <v>15.8</v>
      </c>
      <c r="H3762" s="5">
        <v>32</v>
      </c>
      <c r="I3762" s="5"/>
      <c r="J3762" s="5">
        <v>41.866691285655563</v>
      </c>
      <c r="K3762" s="5">
        <v>68</v>
      </c>
    </row>
    <row r="3763" spans="1:11" x14ac:dyDescent="0.25">
      <c r="A3763" s="2">
        <v>46254.166666666657</v>
      </c>
      <c r="B3763" t="str">
        <f t="shared" si="116"/>
        <v>2026-08</v>
      </c>
      <c r="C3763" s="3">
        <f t="shared" si="117"/>
        <v>4</v>
      </c>
      <c r="D3763" s="4">
        <v>26.36</v>
      </c>
      <c r="E3763" s="4"/>
      <c r="F3763" s="4">
        <v>29.266964366747221</v>
      </c>
      <c r="G3763" s="4">
        <v>15.2</v>
      </c>
      <c r="H3763" s="5">
        <v>32</v>
      </c>
      <c r="I3763" s="5"/>
      <c r="J3763" s="5">
        <v>41.814628088891673</v>
      </c>
      <c r="K3763" s="5">
        <v>70</v>
      </c>
    </row>
    <row r="3764" spans="1:11" x14ac:dyDescent="0.25">
      <c r="A3764" s="2">
        <v>46254.208333333343</v>
      </c>
      <c r="B3764" t="str">
        <f t="shared" si="116"/>
        <v>2026-08</v>
      </c>
      <c r="C3764" s="3">
        <f t="shared" si="117"/>
        <v>5</v>
      </c>
      <c r="D3764" s="4">
        <v>26.36</v>
      </c>
      <c r="E3764" s="4"/>
      <c r="F3764" s="4">
        <v>29.23213397496944</v>
      </c>
      <c r="G3764" s="4">
        <v>14.7</v>
      </c>
      <c r="H3764" s="5">
        <v>32</v>
      </c>
      <c r="I3764" s="5"/>
      <c r="J3764" s="5">
        <v>41.742186404991671</v>
      </c>
      <c r="K3764" s="5">
        <v>74</v>
      </c>
    </row>
    <row r="3765" spans="1:11" x14ac:dyDescent="0.25">
      <c r="A3765" s="2">
        <v>46254.25</v>
      </c>
      <c r="B3765" t="str">
        <f t="shared" si="116"/>
        <v>2026-08</v>
      </c>
      <c r="C3765" s="3">
        <f t="shared" si="117"/>
        <v>6</v>
      </c>
      <c r="D3765" s="4">
        <v>26.36</v>
      </c>
      <c r="E3765" s="4"/>
      <c r="F3765" s="4">
        <v>29.22339321245833</v>
      </c>
      <c r="G3765" s="4">
        <v>14.5</v>
      </c>
      <c r="H3765" s="5">
        <v>32</v>
      </c>
      <c r="I3765" s="5"/>
      <c r="J3765" s="5">
        <v>41.662225656527767</v>
      </c>
      <c r="K3765" s="5">
        <v>76</v>
      </c>
    </row>
    <row r="3766" spans="1:11" x14ac:dyDescent="0.25">
      <c r="A3766" s="2">
        <v>46254.291666666657</v>
      </c>
      <c r="B3766" t="str">
        <f t="shared" si="116"/>
        <v>2026-08</v>
      </c>
      <c r="C3766" s="3">
        <f t="shared" si="117"/>
        <v>7</v>
      </c>
      <c r="D3766" s="4">
        <v>26.36</v>
      </c>
      <c r="E3766" s="4"/>
      <c r="F3766" s="4">
        <v>29.253726939155559</v>
      </c>
      <c r="G3766" s="4">
        <v>15.7</v>
      </c>
      <c r="H3766" s="5">
        <v>32</v>
      </c>
      <c r="I3766" s="5"/>
      <c r="J3766" s="5">
        <v>41.666890801552768</v>
      </c>
      <c r="K3766" s="5">
        <v>71</v>
      </c>
    </row>
    <row r="3767" spans="1:11" x14ac:dyDescent="0.25">
      <c r="A3767" s="2">
        <v>46254.333333333343</v>
      </c>
      <c r="B3767" t="str">
        <f t="shared" si="116"/>
        <v>2026-08</v>
      </c>
      <c r="C3767" s="3">
        <f t="shared" si="117"/>
        <v>8</v>
      </c>
      <c r="D3767" s="4">
        <v>26.36</v>
      </c>
      <c r="E3767" s="4"/>
      <c r="F3767" s="4">
        <v>29.31353871106111</v>
      </c>
      <c r="G3767" s="4">
        <v>18.100000000000001</v>
      </c>
      <c r="H3767" s="5">
        <v>32</v>
      </c>
      <c r="I3767" s="5"/>
      <c r="J3767" s="5">
        <v>41.734347303455557</v>
      </c>
      <c r="K3767" s="5">
        <v>62</v>
      </c>
    </row>
    <row r="3768" spans="1:11" x14ac:dyDescent="0.25">
      <c r="A3768" s="2">
        <v>46254.375</v>
      </c>
      <c r="B3768" t="str">
        <f t="shared" si="116"/>
        <v>2026-08</v>
      </c>
      <c r="C3768" s="3">
        <f t="shared" si="117"/>
        <v>9</v>
      </c>
      <c r="D3768" s="4">
        <v>26.36</v>
      </c>
      <c r="E3768" s="4"/>
      <c r="F3768" s="4">
        <v>29.376728508880561</v>
      </c>
      <c r="G3768" s="4">
        <v>21</v>
      </c>
      <c r="H3768" s="5">
        <v>32</v>
      </c>
      <c r="I3768" s="5"/>
      <c r="J3768" s="5">
        <v>41.846570525163891</v>
      </c>
      <c r="K3768" s="5">
        <v>53</v>
      </c>
    </row>
    <row r="3769" spans="1:11" x14ac:dyDescent="0.25">
      <c r="A3769" s="2">
        <v>46254.416666666657</v>
      </c>
      <c r="B3769" t="str">
        <f t="shared" si="116"/>
        <v>2026-08</v>
      </c>
      <c r="C3769" s="3">
        <f t="shared" si="117"/>
        <v>10</v>
      </c>
      <c r="D3769" s="4">
        <v>26.36</v>
      </c>
      <c r="E3769" s="4"/>
      <c r="F3769" s="4">
        <v>29.42664671261667</v>
      </c>
      <c r="G3769" s="4">
        <v>23</v>
      </c>
      <c r="H3769" s="5">
        <v>32</v>
      </c>
      <c r="I3769" s="5"/>
      <c r="J3769" s="5">
        <v>41.926425096558333</v>
      </c>
      <c r="K3769" s="5">
        <v>45</v>
      </c>
    </row>
    <row r="3770" spans="1:11" x14ac:dyDescent="0.25">
      <c r="A3770" s="2">
        <v>46254.458333333343</v>
      </c>
      <c r="B3770" t="str">
        <f t="shared" si="116"/>
        <v>2026-08</v>
      </c>
      <c r="C3770" s="3">
        <f t="shared" si="117"/>
        <v>11</v>
      </c>
      <c r="D3770" s="4">
        <v>26.36</v>
      </c>
      <c r="E3770" s="4"/>
      <c r="F3770" s="4">
        <v>29.456447753438891</v>
      </c>
      <c r="G3770" s="4">
        <v>24.5</v>
      </c>
      <c r="H3770" s="5">
        <v>32</v>
      </c>
      <c r="I3770" s="5"/>
      <c r="J3770" s="5">
        <v>41.972953111238887</v>
      </c>
      <c r="K3770" s="5">
        <v>38</v>
      </c>
    </row>
    <row r="3771" spans="1:11" x14ac:dyDescent="0.25">
      <c r="A3771" s="2">
        <v>46254.5</v>
      </c>
      <c r="B3771" t="str">
        <f t="shared" si="116"/>
        <v>2026-08</v>
      </c>
      <c r="C3771" s="3">
        <f t="shared" si="117"/>
        <v>12</v>
      </c>
      <c r="D3771" s="4">
        <v>26.36</v>
      </c>
      <c r="E3771" s="4"/>
      <c r="F3771" s="4">
        <v>29.447384836313891</v>
      </c>
      <c r="G3771" s="4">
        <v>25.3</v>
      </c>
      <c r="H3771" s="5">
        <v>32</v>
      </c>
      <c r="I3771" s="5"/>
      <c r="J3771" s="5">
        <v>41.937709207794441</v>
      </c>
      <c r="K3771" s="5">
        <v>34</v>
      </c>
    </row>
    <row r="3772" spans="1:11" x14ac:dyDescent="0.25">
      <c r="A3772" s="2">
        <v>46254.541666666657</v>
      </c>
      <c r="B3772" t="str">
        <f t="shared" si="116"/>
        <v>2026-08</v>
      </c>
      <c r="C3772" s="3">
        <f t="shared" si="117"/>
        <v>13</v>
      </c>
      <c r="D3772" s="4">
        <v>26.36</v>
      </c>
      <c r="E3772" s="4"/>
      <c r="F3772" s="4">
        <v>29.104405007627779</v>
      </c>
      <c r="G3772" s="4">
        <v>26.2</v>
      </c>
      <c r="H3772" s="5">
        <v>32</v>
      </c>
      <c r="I3772" s="5"/>
      <c r="J3772" s="5">
        <v>42.115310810258343</v>
      </c>
      <c r="K3772" s="5">
        <v>31</v>
      </c>
    </row>
    <row r="3773" spans="1:11" x14ac:dyDescent="0.25">
      <c r="A3773" s="2">
        <v>46254.583333333343</v>
      </c>
      <c r="B3773" t="str">
        <f t="shared" si="116"/>
        <v>2026-08</v>
      </c>
      <c r="C3773" s="3">
        <f t="shared" si="117"/>
        <v>14</v>
      </c>
      <c r="D3773" s="4">
        <v>26.36</v>
      </c>
      <c r="E3773" s="4"/>
      <c r="F3773" s="4">
        <v>28.999825878113889</v>
      </c>
      <c r="G3773" s="4">
        <v>26.8</v>
      </c>
      <c r="H3773" s="5">
        <v>32</v>
      </c>
      <c r="I3773" s="5"/>
      <c r="J3773" s="5">
        <v>41.977191899677777</v>
      </c>
      <c r="K3773" s="5">
        <v>29</v>
      </c>
    </row>
    <row r="3774" spans="1:11" x14ac:dyDescent="0.25">
      <c r="A3774" s="2">
        <v>46254.625</v>
      </c>
      <c r="B3774" t="str">
        <f t="shared" si="116"/>
        <v>2026-08</v>
      </c>
      <c r="C3774" s="3">
        <f t="shared" si="117"/>
        <v>15</v>
      </c>
      <c r="D3774" s="4">
        <v>26.36</v>
      </c>
      <c r="E3774" s="4"/>
      <c r="F3774" s="4">
        <v>29.25316669846389</v>
      </c>
      <c r="G3774" s="4">
        <v>28</v>
      </c>
      <c r="H3774" s="5">
        <v>32</v>
      </c>
      <c r="I3774" s="5"/>
      <c r="J3774" s="5">
        <v>41.867466305147232</v>
      </c>
      <c r="K3774" s="5">
        <v>27</v>
      </c>
    </row>
    <row r="3775" spans="1:11" x14ac:dyDescent="0.25">
      <c r="A3775" s="2">
        <v>46254.666666666657</v>
      </c>
      <c r="B3775" t="str">
        <f t="shared" si="116"/>
        <v>2026-08</v>
      </c>
      <c r="C3775" s="3">
        <f t="shared" si="117"/>
        <v>16</v>
      </c>
      <c r="D3775" s="4">
        <v>26.36</v>
      </c>
      <c r="E3775" s="4"/>
      <c r="F3775" s="4">
        <v>29.287835814480559</v>
      </c>
      <c r="G3775" s="4">
        <v>27.2</v>
      </c>
      <c r="H3775" s="5">
        <v>32</v>
      </c>
      <c r="I3775" s="5"/>
      <c r="J3775" s="5">
        <v>41.258479239683332</v>
      </c>
      <c r="K3775" s="5">
        <v>30</v>
      </c>
    </row>
    <row r="3776" spans="1:11" x14ac:dyDescent="0.25">
      <c r="A3776" s="2">
        <v>46254.708333333343</v>
      </c>
      <c r="B3776" t="str">
        <f t="shared" si="116"/>
        <v>2026-08</v>
      </c>
      <c r="C3776" s="3">
        <f t="shared" si="117"/>
        <v>17</v>
      </c>
      <c r="D3776" s="4">
        <v>26.36</v>
      </c>
      <c r="E3776" s="4"/>
      <c r="F3776" s="4">
        <v>29.129460235869441</v>
      </c>
      <c r="G3776" s="4">
        <v>27.1</v>
      </c>
      <c r="H3776" s="5">
        <v>32</v>
      </c>
      <c r="I3776" s="5"/>
      <c r="J3776" s="5">
        <v>40.749204300936107</v>
      </c>
      <c r="K3776" s="5">
        <v>31</v>
      </c>
    </row>
    <row r="3777" spans="1:11" x14ac:dyDescent="0.25">
      <c r="A3777" s="2">
        <v>46254.75</v>
      </c>
      <c r="B3777" t="str">
        <f t="shared" si="116"/>
        <v>2026-08</v>
      </c>
      <c r="C3777" s="3">
        <f t="shared" si="117"/>
        <v>18</v>
      </c>
      <c r="D3777" s="4">
        <v>26.36</v>
      </c>
      <c r="E3777" s="4"/>
      <c r="F3777" s="4">
        <v>29.112169848305559</v>
      </c>
      <c r="G3777" s="4">
        <v>26.8</v>
      </c>
      <c r="H3777" s="5">
        <v>32</v>
      </c>
      <c r="I3777" s="5"/>
      <c r="J3777" s="5">
        <v>41.339760585800001</v>
      </c>
      <c r="K3777" s="5">
        <v>33</v>
      </c>
    </row>
    <row r="3778" spans="1:11" x14ac:dyDescent="0.25">
      <c r="A3778" s="2">
        <v>46254.791666666657</v>
      </c>
      <c r="B3778" t="str">
        <f t="shared" ref="B3778:B3841" si="118">TEXT(A3778,"yyyy-mm")</f>
        <v>2026-08</v>
      </c>
      <c r="C3778" s="3">
        <f t="shared" ref="C3778:C3841" si="119">HOUR(A3778)</f>
        <v>19</v>
      </c>
      <c r="D3778" s="4">
        <v>26.36</v>
      </c>
      <c r="E3778" s="4"/>
      <c r="F3778" s="4">
        <v>28.954559984808331</v>
      </c>
      <c r="G3778" s="4">
        <v>26.2</v>
      </c>
      <c r="H3778" s="5">
        <v>32</v>
      </c>
      <c r="I3778" s="5"/>
      <c r="J3778" s="5">
        <v>41.302027807813893</v>
      </c>
      <c r="K3778" s="5">
        <v>35</v>
      </c>
    </row>
    <row r="3779" spans="1:11" x14ac:dyDescent="0.25">
      <c r="A3779" s="2">
        <v>46254.833333333343</v>
      </c>
      <c r="B3779" t="str">
        <f t="shared" si="118"/>
        <v>2026-08</v>
      </c>
      <c r="C3779" s="3">
        <f t="shared" si="119"/>
        <v>20</v>
      </c>
      <c r="D3779" s="4">
        <v>26.36</v>
      </c>
      <c r="E3779" s="4"/>
      <c r="F3779" s="4">
        <v>29.026718171990399</v>
      </c>
      <c r="G3779" s="4">
        <v>24.2</v>
      </c>
      <c r="H3779" s="5">
        <v>32</v>
      </c>
      <c r="I3779" s="5"/>
      <c r="J3779" s="5">
        <v>41.40315759510073</v>
      </c>
      <c r="K3779" s="5">
        <v>43</v>
      </c>
    </row>
    <row r="3780" spans="1:11" x14ac:dyDescent="0.25">
      <c r="A3780" s="2">
        <v>46254.875</v>
      </c>
      <c r="B3780" t="str">
        <f t="shared" si="118"/>
        <v>2026-08</v>
      </c>
      <c r="C3780" s="3">
        <f t="shared" si="119"/>
        <v>21</v>
      </c>
      <c r="D3780" s="4">
        <v>26.36</v>
      </c>
      <c r="E3780" s="4"/>
      <c r="F3780" s="4">
        <v>29.304465424983331</v>
      </c>
      <c r="G3780" s="4">
        <v>23</v>
      </c>
      <c r="H3780" s="5">
        <v>32</v>
      </c>
      <c r="I3780" s="5"/>
      <c r="J3780" s="5">
        <v>41.301560293169437</v>
      </c>
      <c r="K3780" s="5">
        <v>48</v>
      </c>
    </row>
    <row r="3781" spans="1:11" x14ac:dyDescent="0.25">
      <c r="A3781" s="2">
        <v>46254.916666666657</v>
      </c>
      <c r="B3781" t="str">
        <f t="shared" si="118"/>
        <v>2026-08</v>
      </c>
      <c r="C3781" s="3">
        <f t="shared" si="119"/>
        <v>22</v>
      </c>
      <c r="D3781" s="4">
        <v>26.36</v>
      </c>
      <c r="E3781" s="4"/>
      <c r="F3781" s="4">
        <v>29.384474066611109</v>
      </c>
      <c r="G3781" s="4">
        <v>22.4</v>
      </c>
      <c r="H3781" s="5">
        <v>32</v>
      </c>
      <c r="I3781" s="5"/>
      <c r="J3781" s="5">
        <v>41.198386220766672</v>
      </c>
      <c r="K3781" s="5">
        <v>49</v>
      </c>
    </row>
    <row r="3782" spans="1:11" x14ac:dyDescent="0.25">
      <c r="A3782" s="2">
        <v>46254.958333333343</v>
      </c>
      <c r="B3782" t="str">
        <f t="shared" si="118"/>
        <v>2026-08</v>
      </c>
      <c r="C3782" s="3">
        <f t="shared" si="119"/>
        <v>23</v>
      </c>
      <c r="D3782" s="4">
        <v>26.36</v>
      </c>
      <c r="E3782" s="4"/>
      <c r="F3782" s="4">
        <v>29.42069107487222</v>
      </c>
      <c r="G3782" s="4">
        <v>22.1</v>
      </c>
      <c r="H3782" s="5">
        <v>32</v>
      </c>
      <c r="I3782" s="5"/>
      <c r="J3782" s="5">
        <v>41.230413719819452</v>
      </c>
      <c r="K3782" s="5">
        <v>50</v>
      </c>
    </row>
    <row r="3783" spans="1:11" x14ac:dyDescent="0.25">
      <c r="A3783" s="2">
        <v>46255</v>
      </c>
      <c r="B3783" t="str">
        <f t="shared" si="118"/>
        <v>2026-08</v>
      </c>
      <c r="C3783" s="3">
        <f t="shared" si="119"/>
        <v>0</v>
      </c>
      <c r="D3783" s="4">
        <v>26.36</v>
      </c>
      <c r="E3783" s="4"/>
      <c r="F3783" s="4">
        <v>29.45778846990833</v>
      </c>
      <c r="G3783" s="4">
        <v>21.9</v>
      </c>
      <c r="H3783" s="5">
        <v>32</v>
      </c>
      <c r="I3783" s="5"/>
      <c r="J3783" s="5">
        <v>41.390169617380558</v>
      </c>
      <c r="K3783" s="5">
        <v>53</v>
      </c>
    </row>
    <row r="3784" spans="1:11" x14ac:dyDescent="0.25">
      <c r="A3784" s="2">
        <v>46255.041666666657</v>
      </c>
      <c r="B3784" t="str">
        <f t="shared" si="118"/>
        <v>2026-08</v>
      </c>
      <c r="C3784" s="3">
        <f t="shared" si="119"/>
        <v>1</v>
      </c>
      <c r="D3784" s="4">
        <v>26.36</v>
      </c>
      <c r="E3784" s="4"/>
      <c r="F3784" s="4">
        <v>29.523393518716659</v>
      </c>
      <c r="G3784" s="4">
        <v>21.6</v>
      </c>
      <c r="H3784" s="5">
        <v>32</v>
      </c>
      <c r="I3784" s="5"/>
      <c r="J3784" s="5">
        <v>41.434100024094441</v>
      </c>
      <c r="K3784" s="5">
        <v>57</v>
      </c>
    </row>
    <row r="3785" spans="1:11" x14ac:dyDescent="0.25">
      <c r="A3785" s="2">
        <v>46255.083333333343</v>
      </c>
      <c r="B3785" t="str">
        <f t="shared" si="118"/>
        <v>2026-08</v>
      </c>
      <c r="C3785" s="3">
        <f t="shared" si="119"/>
        <v>2</v>
      </c>
      <c r="D3785" s="4">
        <v>26.36</v>
      </c>
      <c r="E3785" s="4"/>
      <c r="F3785" s="4">
        <v>29.493125361788891</v>
      </c>
      <c r="G3785" s="4">
        <v>21.6</v>
      </c>
      <c r="H3785" s="5">
        <v>32</v>
      </c>
      <c r="I3785" s="5"/>
      <c r="J3785" s="5">
        <v>41.66205294785</v>
      </c>
      <c r="K3785" s="5">
        <v>61</v>
      </c>
    </row>
    <row r="3786" spans="1:11" x14ac:dyDescent="0.25">
      <c r="A3786" s="2">
        <v>46255.125</v>
      </c>
      <c r="B3786" t="str">
        <f t="shared" si="118"/>
        <v>2026-08</v>
      </c>
      <c r="C3786" s="3">
        <f t="shared" si="119"/>
        <v>3</v>
      </c>
      <c r="D3786" s="4">
        <v>26.36</v>
      </c>
      <c r="E3786" s="4"/>
      <c r="F3786" s="4">
        <v>29.413691409161121</v>
      </c>
      <c r="G3786" s="4">
        <v>21.1</v>
      </c>
      <c r="H3786" s="5">
        <v>32</v>
      </c>
      <c r="I3786" s="5"/>
      <c r="J3786" s="5">
        <v>42.025511412222222</v>
      </c>
      <c r="K3786" s="5">
        <v>65</v>
      </c>
    </row>
    <row r="3787" spans="1:11" x14ac:dyDescent="0.25">
      <c r="A3787" s="2">
        <v>46255.166666666657</v>
      </c>
      <c r="B3787" t="str">
        <f t="shared" si="118"/>
        <v>2026-08</v>
      </c>
      <c r="C3787" s="3">
        <f t="shared" si="119"/>
        <v>4</v>
      </c>
      <c r="D3787" s="4">
        <v>26.36</v>
      </c>
      <c r="E3787" s="4"/>
      <c r="F3787" s="4">
        <v>29.40877770511111</v>
      </c>
      <c r="G3787" s="4">
        <v>20.6</v>
      </c>
      <c r="H3787" s="5">
        <v>32</v>
      </c>
      <c r="I3787" s="5"/>
      <c r="J3787" s="5">
        <v>42.287651868572219</v>
      </c>
      <c r="K3787" s="5">
        <v>68</v>
      </c>
    </row>
    <row r="3788" spans="1:11" x14ac:dyDescent="0.25">
      <c r="A3788" s="2">
        <v>46255.208333333343</v>
      </c>
      <c r="B3788" t="str">
        <f t="shared" si="118"/>
        <v>2026-08</v>
      </c>
      <c r="C3788" s="3">
        <f t="shared" si="119"/>
        <v>5</v>
      </c>
      <c r="D3788" s="4">
        <v>26.36</v>
      </c>
      <c r="E3788" s="4"/>
      <c r="F3788" s="4">
        <v>29.409166737919449</v>
      </c>
      <c r="G3788" s="4">
        <v>20.2</v>
      </c>
      <c r="H3788" s="5">
        <v>32</v>
      </c>
      <c r="I3788" s="5"/>
      <c r="J3788" s="5">
        <v>42.456566147269442</v>
      </c>
      <c r="K3788" s="5">
        <v>70</v>
      </c>
    </row>
    <row r="3789" spans="1:11" x14ac:dyDescent="0.25">
      <c r="A3789" s="2">
        <v>46255.25</v>
      </c>
      <c r="B3789" t="str">
        <f t="shared" si="118"/>
        <v>2026-08</v>
      </c>
      <c r="C3789" s="3">
        <f t="shared" si="119"/>
        <v>6</v>
      </c>
      <c r="D3789" s="4">
        <v>26.36</v>
      </c>
      <c r="E3789" s="4"/>
      <c r="F3789" s="4">
        <v>29.417334879563889</v>
      </c>
      <c r="G3789" s="4">
        <v>19.899999999999999</v>
      </c>
      <c r="H3789" s="5">
        <v>32</v>
      </c>
      <c r="I3789" s="5"/>
      <c r="J3789" s="5">
        <v>42.558241931841657</v>
      </c>
      <c r="K3789" s="5">
        <v>70</v>
      </c>
    </row>
    <row r="3790" spans="1:11" x14ac:dyDescent="0.25">
      <c r="A3790" s="2">
        <v>46255.291666666657</v>
      </c>
      <c r="B3790" t="str">
        <f t="shared" si="118"/>
        <v>2026-08</v>
      </c>
      <c r="C3790" s="3">
        <f t="shared" si="119"/>
        <v>7</v>
      </c>
      <c r="D3790" s="4">
        <v>26.36</v>
      </c>
      <c r="E3790" s="4"/>
      <c r="F3790" s="4">
        <v>29.44245048593611</v>
      </c>
      <c r="G3790" s="4">
        <v>20.8</v>
      </c>
      <c r="H3790" s="5">
        <v>32</v>
      </c>
      <c r="I3790" s="5"/>
      <c r="J3790" s="5">
        <v>42.59671918048889</v>
      </c>
      <c r="K3790" s="5">
        <v>67</v>
      </c>
    </row>
    <row r="3791" spans="1:11" x14ac:dyDescent="0.25">
      <c r="A3791" s="2">
        <v>46255.333333333343</v>
      </c>
      <c r="B3791" t="str">
        <f t="shared" si="118"/>
        <v>2026-08</v>
      </c>
      <c r="C3791" s="3">
        <f t="shared" si="119"/>
        <v>8</v>
      </c>
      <c r="D3791" s="4">
        <v>26.36</v>
      </c>
      <c r="E3791" s="4"/>
      <c r="F3791" s="4">
        <v>29.471504646319449</v>
      </c>
      <c r="G3791" s="4">
        <v>22.1</v>
      </c>
      <c r="H3791" s="5">
        <v>32</v>
      </c>
      <c r="I3791" s="5"/>
      <c r="J3791" s="5">
        <v>42.580077525483333</v>
      </c>
      <c r="K3791" s="5">
        <v>62</v>
      </c>
    </row>
    <row r="3792" spans="1:11" x14ac:dyDescent="0.25">
      <c r="A3792" s="2">
        <v>46255.375</v>
      </c>
      <c r="B3792" t="str">
        <f t="shared" si="118"/>
        <v>2026-08</v>
      </c>
      <c r="C3792" s="3">
        <f t="shared" si="119"/>
        <v>9</v>
      </c>
      <c r="D3792" s="4">
        <v>26.36</v>
      </c>
      <c r="E3792" s="4"/>
      <c r="F3792" s="4">
        <v>29.531118483530548</v>
      </c>
      <c r="G3792" s="4">
        <v>24.4</v>
      </c>
      <c r="H3792" s="5">
        <v>32</v>
      </c>
      <c r="I3792" s="5"/>
      <c r="J3792" s="5">
        <v>42.532026576011113</v>
      </c>
      <c r="K3792" s="5">
        <v>55</v>
      </c>
    </row>
    <row r="3793" spans="1:11" x14ac:dyDescent="0.25">
      <c r="A3793" s="2">
        <v>46255.416666666657</v>
      </c>
      <c r="B3793" t="str">
        <f t="shared" si="118"/>
        <v>2026-08</v>
      </c>
      <c r="C3793" s="3">
        <f t="shared" si="119"/>
        <v>10</v>
      </c>
      <c r="D3793" s="4">
        <v>26.36</v>
      </c>
      <c r="E3793" s="4"/>
      <c r="F3793" s="4">
        <v>29.521131103844439</v>
      </c>
      <c r="G3793" s="4">
        <v>26.3</v>
      </c>
      <c r="H3793" s="5">
        <v>32</v>
      </c>
      <c r="I3793" s="5"/>
      <c r="J3793" s="5">
        <v>42.508842807011114</v>
      </c>
      <c r="K3793" s="5">
        <v>50</v>
      </c>
    </row>
    <row r="3794" spans="1:11" x14ac:dyDescent="0.25">
      <c r="A3794" s="2">
        <v>46255.458333333343</v>
      </c>
      <c r="B3794" t="str">
        <f t="shared" si="118"/>
        <v>2026-08</v>
      </c>
      <c r="C3794" s="3">
        <f t="shared" si="119"/>
        <v>11</v>
      </c>
      <c r="D3794" s="4">
        <v>26.36</v>
      </c>
      <c r="E3794" s="4"/>
      <c r="F3794" s="4">
        <v>29.460075726355559</v>
      </c>
      <c r="G3794" s="4">
        <v>28.1</v>
      </c>
      <c r="H3794" s="5">
        <v>32</v>
      </c>
      <c r="I3794" s="5"/>
      <c r="J3794" s="5">
        <v>42.201776434811109</v>
      </c>
      <c r="K3794" s="5">
        <v>46</v>
      </c>
    </row>
    <row r="3795" spans="1:11" x14ac:dyDescent="0.25">
      <c r="A3795" s="2">
        <v>46255.5</v>
      </c>
      <c r="B3795" t="str">
        <f t="shared" si="118"/>
        <v>2026-08</v>
      </c>
      <c r="C3795" s="3">
        <f t="shared" si="119"/>
        <v>12</v>
      </c>
      <c r="D3795" s="4">
        <v>26.36</v>
      </c>
      <c r="E3795" s="4"/>
      <c r="F3795" s="4">
        <v>29.43389207520833</v>
      </c>
      <c r="G3795" s="4">
        <v>29.8</v>
      </c>
      <c r="H3795" s="5">
        <v>32</v>
      </c>
      <c r="I3795" s="5"/>
      <c r="J3795" s="5">
        <v>41.959362180655553</v>
      </c>
      <c r="K3795" s="5">
        <v>41</v>
      </c>
    </row>
    <row r="3796" spans="1:11" x14ac:dyDescent="0.25">
      <c r="A3796" s="2">
        <v>46255.541666666657</v>
      </c>
      <c r="B3796" t="str">
        <f t="shared" si="118"/>
        <v>2026-08</v>
      </c>
      <c r="C3796" s="3">
        <f t="shared" si="119"/>
        <v>13</v>
      </c>
      <c r="D3796" s="4">
        <v>26.36</v>
      </c>
      <c r="E3796" s="4"/>
      <c r="F3796" s="4">
        <v>29.43674388223333</v>
      </c>
      <c r="G3796" s="4">
        <v>31.1</v>
      </c>
      <c r="H3796" s="5">
        <v>32</v>
      </c>
      <c r="I3796" s="5"/>
      <c r="J3796" s="5">
        <v>41.953809254641669</v>
      </c>
      <c r="K3796" s="5">
        <v>37</v>
      </c>
    </row>
    <row r="3797" spans="1:11" x14ac:dyDescent="0.25">
      <c r="A3797" s="2">
        <v>46255.583333333343</v>
      </c>
      <c r="B3797" t="str">
        <f t="shared" si="118"/>
        <v>2026-08</v>
      </c>
      <c r="C3797" s="3">
        <f t="shared" si="119"/>
        <v>14</v>
      </c>
      <c r="D3797" s="4">
        <v>26.36</v>
      </c>
      <c r="E3797" s="4"/>
      <c r="F3797" s="4">
        <v>29.411276462422219</v>
      </c>
      <c r="G3797" s="4">
        <v>31.8</v>
      </c>
      <c r="H3797" s="5">
        <v>32</v>
      </c>
      <c r="I3797" s="5"/>
      <c r="J3797" s="5">
        <v>42.067972635944443</v>
      </c>
      <c r="K3797" s="5">
        <v>35</v>
      </c>
    </row>
    <row r="3798" spans="1:11" x14ac:dyDescent="0.25">
      <c r="A3798" s="2">
        <v>46255.625</v>
      </c>
      <c r="B3798" t="str">
        <f t="shared" si="118"/>
        <v>2026-08</v>
      </c>
      <c r="C3798" s="3">
        <f t="shared" si="119"/>
        <v>15</v>
      </c>
      <c r="D3798" s="4">
        <v>26.36</v>
      </c>
      <c r="E3798" s="4"/>
      <c r="F3798" s="4">
        <v>29.333423531425002</v>
      </c>
      <c r="G3798" s="4">
        <v>33</v>
      </c>
      <c r="H3798" s="5">
        <v>32</v>
      </c>
      <c r="I3798" s="5"/>
      <c r="J3798" s="5">
        <v>42.233238554708343</v>
      </c>
      <c r="K3798" s="5">
        <v>31</v>
      </c>
    </row>
    <row r="3799" spans="1:11" x14ac:dyDescent="0.25">
      <c r="A3799" s="2">
        <v>46255.666666666657</v>
      </c>
      <c r="B3799" t="str">
        <f t="shared" si="118"/>
        <v>2026-08</v>
      </c>
      <c r="C3799" s="3">
        <f t="shared" si="119"/>
        <v>16</v>
      </c>
      <c r="D3799" s="4">
        <v>26.36</v>
      </c>
      <c r="E3799" s="4"/>
      <c r="F3799" s="4">
        <v>28.594210573674999</v>
      </c>
      <c r="G3799" s="4">
        <v>32.6</v>
      </c>
      <c r="H3799" s="5">
        <v>32</v>
      </c>
      <c r="I3799" s="5"/>
      <c r="J3799" s="5">
        <v>43.538099026655551</v>
      </c>
      <c r="K3799" s="5">
        <v>31</v>
      </c>
    </row>
    <row r="3800" spans="1:11" x14ac:dyDescent="0.25">
      <c r="A3800" s="2">
        <v>46255.708333333343</v>
      </c>
      <c r="B3800" t="str">
        <f t="shared" si="118"/>
        <v>2026-08</v>
      </c>
      <c r="C3800" s="3">
        <f t="shared" si="119"/>
        <v>17</v>
      </c>
      <c r="D3800" s="4">
        <v>26.36</v>
      </c>
      <c r="E3800" s="4"/>
      <c r="F3800" s="4">
        <v>29.20555322660833</v>
      </c>
      <c r="G3800" s="4">
        <v>32.200000000000003</v>
      </c>
      <c r="H3800" s="5">
        <v>32</v>
      </c>
      <c r="I3800" s="5"/>
      <c r="J3800" s="5">
        <v>42.813189516741673</v>
      </c>
      <c r="K3800" s="5">
        <v>31</v>
      </c>
    </row>
    <row r="3801" spans="1:11" x14ac:dyDescent="0.25">
      <c r="A3801" s="2">
        <v>46255.75</v>
      </c>
      <c r="B3801" t="str">
        <f t="shared" si="118"/>
        <v>2026-08</v>
      </c>
      <c r="C3801" s="3">
        <f t="shared" si="119"/>
        <v>18</v>
      </c>
      <c r="D3801" s="4">
        <v>26.36</v>
      </c>
      <c r="E3801" s="4"/>
      <c r="F3801" s="4">
        <v>29.411953367908328</v>
      </c>
      <c r="G3801" s="4">
        <v>31.4</v>
      </c>
      <c r="H3801" s="5">
        <v>32</v>
      </c>
      <c r="I3801" s="5"/>
      <c r="J3801" s="5">
        <v>42.581098811750003</v>
      </c>
      <c r="K3801" s="5">
        <v>32</v>
      </c>
    </row>
    <row r="3802" spans="1:11" x14ac:dyDescent="0.25">
      <c r="A3802" s="2">
        <v>46255.791666666657</v>
      </c>
      <c r="B3802" t="str">
        <f t="shared" si="118"/>
        <v>2026-08</v>
      </c>
      <c r="C3802" s="3">
        <f t="shared" si="119"/>
        <v>19</v>
      </c>
      <c r="D3802" s="4">
        <v>26.36</v>
      </c>
      <c r="E3802" s="4"/>
      <c r="F3802" s="4">
        <v>29.42633469963333</v>
      </c>
      <c r="G3802" s="4">
        <v>30</v>
      </c>
      <c r="H3802" s="5">
        <v>32</v>
      </c>
      <c r="I3802" s="5"/>
      <c r="J3802" s="5">
        <v>42.391569244216669</v>
      </c>
      <c r="K3802" s="5">
        <v>35</v>
      </c>
    </row>
    <row r="3803" spans="1:11" x14ac:dyDescent="0.25">
      <c r="A3803" s="2">
        <v>46255.833333333343</v>
      </c>
      <c r="B3803" t="str">
        <f t="shared" si="118"/>
        <v>2026-08</v>
      </c>
      <c r="C3803" s="3">
        <f t="shared" si="119"/>
        <v>20</v>
      </c>
      <c r="D3803" s="4">
        <v>26.36</v>
      </c>
      <c r="E3803" s="4"/>
      <c r="F3803" s="4">
        <v>29.38617921508612</v>
      </c>
      <c r="G3803" s="4">
        <v>28</v>
      </c>
      <c r="H3803" s="5">
        <v>32</v>
      </c>
      <c r="I3803" s="5"/>
      <c r="J3803" s="5">
        <v>42.14807575458611</v>
      </c>
      <c r="K3803" s="5">
        <v>40</v>
      </c>
    </row>
    <row r="3804" spans="1:11" x14ac:dyDescent="0.25">
      <c r="A3804" s="2">
        <v>46255.875</v>
      </c>
      <c r="B3804" t="str">
        <f t="shared" si="118"/>
        <v>2026-08</v>
      </c>
      <c r="C3804" s="3">
        <f t="shared" si="119"/>
        <v>21</v>
      </c>
      <c r="D3804" s="4">
        <v>26.36</v>
      </c>
      <c r="E3804" s="4"/>
      <c r="F3804" s="4">
        <v>28.581645935077781</v>
      </c>
      <c r="G3804" s="4">
        <v>26.9</v>
      </c>
      <c r="H3804" s="5">
        <v>32</v>
      </c>
      <c r="I3804" s="5"/>
      <c r="J3804" s="5">
        <v>43.611927672850001</v>
      </c>
      <c r="K3804" s="5">
        <v>41</v>
      </c>
    </row>
    <row r="3805" spans="1:11" x14ac:dyDescent="0.25">
      <c r="A3805" s="2">
        <v>46255.916666666657</v>
      </c>
      <c r="B3805" t="str">
        <f t="shared" si="118"/>
        <v>2026-08</v>
      </c>
      <c r="C3805" s="3">
        <f t="shared" si="119"/>
        <v>22</v>
      </c>
      <c r="D3805" s="4">
        <v>26.36</v>
      </c>
      <c r="E3805" s="4"/>
      <c r="F3805" s="4">
        <v>28.938663237644441</v>
      </c>
      <c r="G3805" s="4">
        <v>25.8</v>
      </c>
      <c r="H3805" s="5">
        <v>32</v>
      </c>
      <c r="I3805" s="5"/>
      <c r="J3805" s="5">
        <v>44.843425219713893</v>
      </c>
      <c r="K3805" s="5">
        <v>43</v>
      </c>
    </row>
    <row r="3806" spans="1:11" x14ac:dyDescent="0.25">
      <c r="A3806" s="2">
        <v>46255.958333333343</v>
      </c>
      <c r="B3806" t="str">
        <f t="shared" si="118"/>
        <v>2026-08</v>
      </c>
      <c r="C3806" s="3">
        <f t="shared" si="119"/>
        <v>23</v>
      </c>
      <c r="D3806" s="4">
        <v>26.36</v>
      </c>
      <c r="E3806" s="4"/>
      <c r="F3806" s="4">
        <v>29.22168478928889</v>
      </c>
      <c r="G3806" s="4">
        <v>24.9</v>
      </c>
      <c r="H3806" s="5">
        <v>32</v>
      </c>
      <c r="I3806" s="5"/>
      <c r="J3806" s="5">
        <v>42.743971846358328</v>
      </c>
      <c r="K3806" s="5">
        <v>45</v>
      </c>
    </row>
    <row r="3807" spans="1:11" x14ac:dyDescent="0.25">
      <c r="A3807" s="2">
        <v>46256</v>
      </c>
      <c r="B3807" t="str">
        <f t="shared" si="118"/>
        <v>2026-08</v>
      </c>
      <c r="C3807" s="3">
        <f t="shared" si="119"/>
        <v>0</v>
      </c>
      <c r="D3807" s="4">
        <v>26.36</v>
      </c>
      <c r="E3807" s="4"/>
      <c r="F3807" s="4">
        <v>29.309533602525001</v>
      </c>
      <c r="G3807" s="4">
        <v>24</v>
      </c>
      <c r="H3807" s="5">
        <v>32</v>
      </c>
      <c r="I3807" s="5"/>
      <c r="J3807" s="5">
        <v>42.181426623219437</v>
      </c>
      <c r="K3807" s="5">
        <v>46</v>
      </c>
    </row>
    <row r="3808" spans="1:11" x14ac:dyDescent="0.25">
      <c r="A3808" s="2">
        <v>46256.041666666657</v>
      </c>
      <c r="B3808" t="str">
        <f t="shared" si="118"/>
        <v>2026-08</v>
      </c>
      <c r="C3808" s="3">
        <f t="shared" si="119"/>
        <v>1</v>
      </c>
      <c r="D3808" s="4">
        <v>26.36</v>
      </c>
      <c r="E3808" s="4"/>
      <c r="F3808" s="4">
        <v>29.339697386274999</v>
      </c>
      <c r="G3808" s="4">
        <v>23.3</v>
      </c>
      <c r="H3808" s="5">
        <v>32</v>
      </c>
      <c r="I3808" s="5"/>
      <c r="J3808" s="5">
        <v>42.281193879850001</v>
      </c>
      <c r="K3808" s="5">
        <v>48</v>
      </c>
    </row>
    <row r="3809" spans="1:11" x14ac:dyDescent="0.25">
      <c r="A3809" s="2">
        <v>46256.083333333343</v>
      </c>
      <c r="B3809" t="str">
        <f t="shared" si="118"/>
        <v>2026-08</v>
      </c>
      <c r="C3809" s="3">
        <f t="shared" si="119"/>
        <v>2</v>
      </c>
      <c r="D3809" s="4">
        <v>26.36</v>
      </c>
      <c r="E3809" s="4"/>
      <c r="F3809" s="4">
        <v>29.355334866316671</v>
      </c>
      <c r="G3809" s="4">
        <v>22.5</v>
      </c>
      <c r="H3809" s="5">
        <v>32</v>
      </c>
      <c r="I3809" s="5"/>
      <c r="J3809" s="5">
        <v>42.447351861611111</v>
      </c>
      <c r="K3809" s="5">
        <v>49</v>
      </c>
    </row>
    <row r="3810" spans="1:11" x14ac:dyDescent="0.25">
      <c r="A3810" s="2">
        <v>46256.125</v>
      </c>
      <c r="B3810" t="str">
        <f t="shared" si="118"/>
        <v>2026-08</v>
      </c>
      <c r="C3810" s="3">
        <f t="shared" si="119"/>
        <v>3</v>
      </c>
      <c r="D3810" s="4">
        <v>26.36</v>
      </c>
      <c r="E3810" s="4"/>
      <c r="F3810" s="4">
        <v>29.376251527938891</v>
      </c>
      <c r="G3810" s="4">
        <v>21.4</v>
      </c>
      <c r="H3810" s="5">
        <v>32</v>
      </c>
      <c r="I3810" s="5"/>
      <c r="J3810" s="5">
        <v>42.496111171697223</v>
      </c>
      <c r="K3810" s="5">
        <v>52</v>
      </c>
    </row>
    <row r="3811" spans="1:11" x14ac:dyDescent="0.25">
      <c r="A3811" s="2">
        <v>46256.166666666657</v>
      </c>
      <c r="B3811" t="str">
        <f t="shared" si="118"/>
        <v>2026-08</v>
      </c>
      <c r="C3811" s="3">
        <f t="shared" si="119"/>
        <v>4</v>
      </c>
      <c r="D3811" s="4">
        <v>26.36</v>
      </c>
      <c r="E3811" s="4"/>
      <c r="F3811" s="4">
        <v>29.37388893970833</v>
      </c>
      <c r="G3811" s="4">
        <v>20.7</v>
      </c>
      <c r="H3811" s="5">
        <v>32</v>
      </c>
      <c r="I3811" s="5"/>
      <c r="J3811" s="5">
        <v>42.531424227752773</v>
      </c>
      <c r="K3811" s="5">
        <v>55</v>
      </c>
    </row>
    <row r="3812" spans="1:11" x14ac:dyDescent="0.25">
      <c r="A3812" s="2">
        <v>46256.208333333343</v>
      </c>
      <c r="B3812" t="str">
        <f t="shared" si="118"/>
        <v>2026-08</v>
      </c>
      <c r="C3812" s="3">
        <f t="shared" si="119"/>
        <v>5</v>
      </c>
      <c r="D3812" s="4">
        <v>26.36</v>
      </c>
      <c r="E3812" s="4"/>
      <c r="F3812" s="4">
        <v>29.36816663506945</v>
      </c>
      <c r="G3812" s="4">
        <v>20</v>
      </c>
      <c r="H3812" s="5">
        <v>32</v>
      </c>
      <c r="I3812" s="5"/>
      <c r="J3812" s="5">
        <v>42.534549613477779</v>
      </c>
      <c r="K3812" s="5">
        <v>57</v>
      </c>
    </row>
    <row r="3813" spans="1:11" x14ac:dyDescent="0.25">
      <c r="A3813" s="2">
        <v>46256.25</v>
      </c>
      <c r="B3813" t="str">
        <f t="shared" si="118"/>
        <v>2026-08</v>
      </c>
      <c r="C3813" s="3">
        <f t="shared" si="119"/>
        <v>6</v>
      </c>
      <c r="D3813" s="4">
        <v>26.36</v>
      </c>
      <c r="E3813" s="4"/>
      <c r="F3813" s="4">
        <v>29.377058582919449</v>
      </c>
      <c r="G3813" s="4">
        <v>19.5</v>
      </c>
      <c r="H3813" s="5">
        <v>32</v>
      </c>
      <c r="I3813" s="5"/>
      <c r="J3813" s="5">
        <v>42.475683854622233</v>
      </c>
      <c r="K3813" s="5">
        <v>59</v>
      </c>
    </row>
    <row r="3814" spans="1:11" x14ac:dyDescent="0.25">
      <c r="A3814" s="2">
        <v>46256.291666666657</v>
      </c>
      <c r="B3814" t="str">
        <f t="shared" si="118"/>
        <v>2026-08</v>
      </c>
      <c r="C3814" s="3">
        <f t="shared" si="119"/>
        <v>7</v>
      </c>
      <c r="D3814" s="4">
        <v>26.36</v>
      </c>
      <c r="E3814" s="4"/>
      <c r="F3814" s="4">
        <v>29.407172876791659</v>
      </c>
      <c r="G3814" s="4">
        <v>20.2</v>
      </c>
      <c r="H3814" s="5">
        <v>32</v>
      </c>
      <c r="I3814" s="5"/>
      <c r="J3814" s="5">
        <v>42.450921116516668</v>
      </c>
      <c r="K3814" s="5">
        <v>58</v>
      </c>
    </row>
    <row r="3815" spans="1:11" x14ac:dyDescent="0.25">
      <c r="A3815" s="2">
        <v>46256.333333333343</v>
      </c>
      <c r="B3815" t="str">
        <f t="shared" si="118"/>
        <v>2026-08</v>
      </c>
      <c r="C3815" s="3">
        <f t="shared" si="119"/>
        <v>8</v>
      </c>
      <c r="D3815" s="4">
        <v>26.36</v>
      </c>
      <c r="E3815" s="4"/>
      <c r="F3815" s="4">
        <v>29.458064415677779</v>
      </c>
      <c r="G3815" s="4">
        <v>22.2</v>
      </c>
      <c r="H3815" s="5">
        <v>32</v>
      </c>
      <c r="I3815" s="5"/>
      <c r="J3815" s="5">
        <v>42.496177244388889</v>
      </c>
      <c r="K3815" s="5">
        <v>52</v>
      </c>
    </row>
    <row r="3816" spans="1:11" x14ac:dyDescent="0.25">
      <c r="A3816" s="2">
        <v>46256.375</v>
      </c>
      <c r="B3816" t="str">
        <f t="shared" si="118"/>
        <v>2026-08</v>
      </c>
      <c r="C3816" s="3">
        <f t="shared" si="119"/>
        <v>9</v>
      </c>
      <c r="D3816" s="4">
        <v>26.36</v>
      </c>
      <c r="E3816" s="4"/>
      <c r="F3816" s="4">
        <v>29.536178774894449</v>
      </c>
      <c r="G3816" s="4">
        <v>25</v>
      </c>
      <c r="H3816" s="5">
        <v>32</v>
      </c>
      <c r="I3816" s="5"/>
      <c r="J3816" s="5">
        <v>42.565703316419437</v>
      </c>
      <c r="K3816" s="5">
        <v>45</v>
      </c>
    </row>
    <row r="3817" spans="1:11" x14ac:dyDescent="0.25">
      <c r="A3817" s="2">
        <v>46256.416666666657</v>
      </c>
      <c r="B3817" t="str">
        <f t="shared" si="118"/>
        <v>2026-08</v>
      </c>
      <c r="C3817" s="3">
        <f t="shared" si="119"/>
        <v>10</v>
      </c>
      <c r="D3817" s="4">
        <v>26.36</v>
      </c>
      <c r="E3817" s="4"/>
      <c r="F3817" s="4">
        <v>29.59987034325556</v>
      </c>
      <c r="G3817" s="4">
        <v>27.7</v>
      </c>
      <c r="H3817" s="5">
        <v>32</v>
      </c>
      <c r="I3817" s="5"/>
      <c r="J3817" s="5">
        <v>42.590715080236123</v>
      </c>
      <c r="K3817" s="5">
        <v>39</v>
      </c>
    </row>
    <row r="3818" spans="1:11" x14ac:dyDescent="0.25">
      <c r="A3818" s="2">
        <v>46256.458333333343</v>
      </c>
      <c r="B3818" t="str">
        <f t="shared" si="118"/>
        <v>2026-08</v>
      </c>
      <c r="C3818" s="3">
        <f t="shared" si="119"/>
        <v>11</v>
      </c>
      <c r="D3818" s="4">
        <v>26.36</v>
      </c>
      <c r="E3818" s="4"/>
      <c r="F3818" s="4">
        <v>29.64608909587777</v>
      </c>
      <c r="G3818" s="4">
        <v>29.7</v>
      </c>
      <c r="H3818" s="5">
        <v>32</v>
      </c>
      <c r="I3818" s="5"/>
      <c r="J3818" s="5">
        <v>42.52105402593611</v>
      </c>
      <c r="K3818" s="5">
        <v>35</v>
      </c>
    </row>
    <row r="3819" spans="1:11" x14ac:dyDescent="0.25">
      <c r="A3819" s="2">
        <v>46256.5</v>
      </c>
      <c r="B3819" t="str">
        <f t="shared" si="118"/>
        <v>2026-08</v>
      </c>
      <c r="C3819" s="3">
        <f t="shared" si="119"/>
        <v>12</v>
      </c>
      <c r="D3819" s="4">
        <v>26.36</v>
      </c>
      <c r="E3819" s="4"/>
      <c r="F3819" s="4">
        <v>29.68064358958333</v>
      </c>
      <c r="G3819" s="4">
        <v>30.9</v>
      </c>
      <c r="H3819" s="5">
        <v>32</v>
      </c>
      <c r="I3819" s="5"/>
      <c r="J3819" s="5">
        <v>42.572776382877777</v>
      </c>
      <c r="K3819" s="5">
        <v>33</v>
      </c>
    </row>
    <row r="3820" spans="1:11" x14ac:dyDescent="0.25">
      <c r="A3820" s="2">
        <v>46256.541666666657</v>
      </c>
      <c r="B3820" t="str">
        <f t="shared" si="118"/>
        <v>2026-08</v>
      </c>
      <c r="C3820" s="3">
        <f t="shared" si="119"/>
        <v>13</v>
      </c>
      <c r="D3820" s="4">
        <v>26.36</v>
      </c>
      <c r="E3820" s="4"/>
      <c r="F3820" s="4">
        <v>29.721194259613888</v>
      </c>
      <c r="G3820" s="4">
        <v>31.7</v>
      </c>
      <c r="H3820" s="5">
        <v>32</v>
      </c>
      <c r="I3820" s="5"/>
      <c r="J3820" s="5">
        <v>42.284916526852783</v>
      </c>
      <c r="K3820" s="5">
        <v>30</v>
      </c>
    </row>
    <row r="3821" spans="1:11" x14ac:dyDescent="0.25">
      <c r="A3821" s="2">
        <v>46256.583333333343</v>
      </c>
      <c r="B3821" t="str">
        <f t="shared" si="118"/>
        <v>2026-08</v>
      </c>
      <c r="C3821" s="3">
        <f t="shared" si="119"/>
        <v>14</v>
      </c>
      <c r="D3821" s="4">
        <v>26.36</v>
      </c>
      <c r="E3821" s="4"/>
      <c r="F3821" s="4">
        <v>29.651780069105559</v>
      </c>
      <c r="G3821" s="4">
        <v>32.200000000000003</v>
      </c>
      <c r="H3821" s="5">
        <v>32</v>
      </c>
      <c r="I3821" s="5"/>
      <c r="J3821" s="5">
        <v>41.748323434844451</v>
      </c>
      <c r="K3821" s="5">
        <v>28</v>
      </c>
    </row>
    <row r="3822" spans="1:11" x14ac:dyDescent="0.25">
      <c r="A3822" s="2">
        <v>46256.625</v>
      </c>
      <c r="B3822" t="str">
        <f t="shared" si="118"/>
        <v>2026-08</v>
      </c>
      <c r="C3822" s="3">
        <f t="shared" si="119"/>
        <v>15</v>
      </c>
      <c r="D3822" s="4">
        <v>26.36</v>
      </c>
      <c r="E3822" s="4"/>
      <c r="F3822" s="4">
        <v>29.694738769208332</v>
      </c>
      <c r="G3822" s="4">
        <v>33.5</v>
      </c>
      <c r="H3822" s="5">
        <v>32</v>
      </c>
      <c r="I3822" s="5"/>
      <c r="J3822" s="5">
        <v>42.04312597811667</v>
      </c>
      <c r="K3822" s="5">
        <v>27</v>
      </c>
    </row>
    <row r="3823" spans="1:11" x14ac:dyDescent="0.25">
      <c r="A3823" s="2">
        <v>46256.666666666657</v>
      </c>
      <c r="B3823" t="str">
        <f t="shared" si="118"/>
        <v>2026-08</v>
      </c>
      <c r="C3823" s="3">
        <f t="shared" si="119"/>
        <v>16</v>
      </c>
      <c r="D3823" s="4">
        <v>26.36</v>
      </c>
      <c r="E3823" s="4"/>
      <c r="F3823" s="4">
        <v>29.812804590524792</v>
      </c>
      <c r="G3823" s="4">
        <v>33.4</v>
      </c>
      <c r="H3823" s="5">
        <v>32</v>
      </c>
      <c r="I3823" s="5"/>
      <c r="J3823" s="5">
        <v>41.73013253535715</v>
      </c>
      <c r="K3823" s="5">
        <v>27</v>
      </c>
    </row>
    <row r="3824" spans="1:11" x14ac:dyDescent="0.25">
      <c r="A3824" s="2">
        <v>46256.708333333343</v>
      </c>
      <c r="B3824" t="str">
        <f t="shared" si="118"/>
        <v>2026-08</v>
      </c>
      <c r="C3824" s="3">
        <f t="shared" si="119"/>
        <v>17</v>
      </c>
      <c r="D3824" s="4">
        <v>26.36</v>
      </c>
      <c r="E3824" s="4"/>
      <c r="F3824" s="4">
        <v>29.757583423186109</v>
      </c>
      <c r="G3824" s="4">
        <v>33.200000000000003</v>
      </c>
      <c r="H3824" s="5">
        <v>32</v>
      </c>
      <c r="I3824" s="5"/>
      <c r="J3824" s="5">
        <v>41.051756132394438</v>
      </c>
      <c r="K3824" s="5">
        <v>26</v>
      </c>
    </row>
    <row r="3825" spans="1:11" x14ac:dyDescent="0.25">
      <c r="A3825" s="2">
        <v>46256.75</v>
      </c>
      <c r="B3825" t="str">
        <f t="shared" si="118"/>
        <v>2026-08</v>
      </c>
      <c r="C3825" s="3">
        <f t="shared" si="119"/>
        <v>18</v>
      </c>
      <c r="D3825" s="4">
        <v>26.36</v>
      </c>
      <c r="E3825" s="4"/>
      <c r="F3825" s="4">
        <v>29.819121723991671</v>
      </c>
      <c r="G3825" s="4">
        <v>32.6</v>
      </c>
      <c r="H3825" s="5">
        <v>32</v>
      </c>
      <c r="I3825" s="5"/>
      <c r="J3825" s="5">
        <v>40.648418780505558</v>
      </c>
      <c r="K3825" s="5">
        <v>27</v>
      </c>
    </row>
    <row r="3826" spans="1:11" x14ac:dyDescent="0.25">
      <c r="A3826" s="2">
        <v>46256.791666666657</v>
      </c>
      <c r="B3826" t="str">
        <f t="shared" si="118"/>
        <v>2026-08</v>
      </c>
      <c r="C3826" s="3">
        <f t="shared" si="119"/>
        <v>19</v>
      </c>
      <c r="D3826" s="4">
        <v>26.36</v>
      </c>
      <c r="E3826" s="4"/>
      <c r="F3826" s="4">
        <v>29.86203596434444</v>
      </c>
      <c r="G3826" s="4">
        <v>31.3</v>
      </c>
      <c r="H3826" s="5">
        <v>32</v>
      </c>
      <c r="I3826" s="5"/>
      <c r="J3826" s="5">
        <v>41.073486981522223</v>
      </c>
      <c r="K3826" s="5">
        <v>30</v>
      </c>
    </row>
    <row r="3827" spans="1:11" x14ac:dyDescent="0.25">
      <c r="A3827" s="2">
        <v>46256.833333333343</v>
      </c>
      <c r="B3827" t="str">
        <f t="shared" si="118"/>
        <v>2026-08</v>
      </c>
      <c r="C3827" s="3">
        <f t="shared" si="119"/>
        <v>20</v>
      </c>
      <c r="D3827" s="4">
        <v>26.36</v>
      </c>
      <c r="E3827" s="4"/>
      <c r="F3827" s="4">
        <v>29.88828243738611</v>
      </c>
      <c r="G3827" s="4">
        <v>29.5</v>
      </c>
      <c r="H3827" s="5">
        <v>32</v>
      </c>
      <c r="I3827" s="5"/>
      <c r="J3827" s="5">
        <v>40.899582168183343</v>
      </c>
      <c r="K3827" s="5">
        <v>35</v>
      </c>
    </row>
    <row r="3828" spans="1:11" x14ac:dyDescent="0.25">
      <c r="A3828" s="2">
        <v>46256.875</v>
      </c>
      <c r="B3828" t="str">
        <f t="shared" si="118"/>
        <v>2026-08</v>
      </c>
      <c r="C3828" s="3">
        <f t="shared" si="119"/>
        <v>21</v>
      </c>
      <c r="D3828" s="4">
        <v>26.36</v>
      </c>
      <c r="E3828" s="4"/>
      <c r="F3828" s="4">
        <v>29.90691020525</v>
      </c>
      <c r="G3828" s="4">
        <v>28.3</v>
      </c>
      <c r="H3828" s="5">
        <v>32</v>
      </c>
      <c r="I3828" s="5"/>
      <c r="J3828" s="5">
        <v>41.071794797499997</v>
      </c>
      <c r="K3828" s="5">
        <v>35</v>
      </c>
    </row>
    <row r="3829" spans="1:11" x14ac:dyDescent="0.25">
      <c r="A3829" s="2">
        <v>46256.916666666657</v>
      </c>
      <c r="B3829" t="str">
        <f t="shared" si="118"/>
        <v>2026-08</v>
      </c>
      <c r="C3829" s="3">
        <f t="shared" si="119"/>
        <v>22</v>
      </c>
      <c r="D3829" s="4">
        <v>26.36</v>
      </c>
      <c r="E3829" s="4"/>
      <c r="F3829" s="4">
        <v>29.63918247709444</v>
      </c>
      <c r="G3829" s="4">
        <v>27.1</v>
      </c>
      <c r="H3829" s="5">
        <v>32</v>
      </c>
      <c r="I3829" s="5"/>
      <c r="J3829" s="5">
        <v>41.522515306663891</v>
      </c>
      <c r="K3829" s="5">
        <v>36</v>
      </c>
    </row>
    <row r="3830" spans="1:11" x14ac:dyDescent="0.25">
      <c r="A3830" s="2">
        <v>46256.958333333343</v>
      </c>
      <c r="B3830" t="str">
        <f t="shared" si="118"/>
        <v>2026-08</v>
      </c>
      <c r="C3830" s="3">
        <f t="shared" si="119"/>
        <v>23</v>
      </c>
      <c r="D3830" s="4">
        <v>26.36</v>
      </c>
      <c r="E3830" s="4"/>
      <c r="F3830" s="4">
        <v>28.59534212317778</v>
      </c>
      <c r="G3830" s="4">
        <v>25.7</v>
      </c>
      <c r="H3830" s="5">
        <v>32</v>
      </c>
      <c r="I3830" s="5"/>
      <c r="J3830" s="5">
        <v>42.190474281158338</v>
      </c>
      <c r="K3830" s="5">
        <v>39</v>
      </c>
    </row>
    <row r="3831" spans="1:11" x14ac:dyDescent="0.25">
      <c r="A3831" s="2">
        <v>46257</v>
      </c>
      <c r="B3831" t="str">
        <f t="shared" si="118"/>
        <v>2026-08</v>
      </c>
      <c r="C3831" s="3">
        <f t="shared" si="119"/>
        <v>0</v>
      </c>
      <c r="D3831" s="4">
        <v>26.36</v>
      </c>
      <c r="E3831" s="4"/>
      <c r="F3831" s="4">
        <v>29.202516899163889</v>
      </c>
      <c r="G3831" s="4">
        <v>24.6</v>
      </c>
      <c r="H3831" s="5">
        <v>32</v>
      </c>
      <c r="I3831" s="5"/>
      <c r="J3831" s="5">
        <v>41.805273068208329</v>
      </c>
      <c r="K3831" s="5">
        <v>41</v>
      </c>
    </row>
    <row r="3832" spans="1:11" x14ac:dyDescent="0.25">
      <c r="A3832" s="2">
        <v>46257.041666666657</v>
      </c>
      <c r="B3832" t="str">
        <f t="shared" si="118"/>
        <v>2026-08</v>
      </c>
      <c r="C3832" s="3">
        <f t="shared" si="119"/>
        <v>1</v>
      </c>
      <c r="D3832" s="4">
        <v>26.36</v>
      </c>
      <c r="E3832" s="4"/>
      <c r="F3832" s="4">
        <v>29.570843431191669</v>
      </c>
      <c r="G3832" s="4">
        <v>23.7</v>
      </c>
      <c r="H3832" s="5">
        <v>32</v>
      </c>
      <c r="I3832" s="5"/>
      <c r="J3832" s="5">
        <v>41.565532188361111</v>
      </c>
      <c r="K3832" s="5">
        <v>42</v>
      </c>
    </row>
    <row r="3833" spans="1:11" x14ac:dyDescent="0.25">
      <c r="A3833" s="2">
        <v>46257.083333333343</v>
      </c>
      <c r="B3833" t="str">
        <f t="shared" si="118"/>
        <v>2026-08</v>
      </c>
      <c r="C3833" s="3">
        <f t="shared" si="119"/>
        <v>2</v>
      </c>
      <c r="D3833" s="4">
        <v>26.36</v>
      </c>
      <c r="E3833" s="4"/>
      <c r="F3833" s="4">
        <v>29.773965951752771</v>
      </c>
      <c r="G3833" s="4">
        <v>23</v>
      </c>
      <c r="H3833" s="5">
        <v>32</v>
      </c>
      <c r="I3833" s="5"/>
      <c r="J3833" s="5">
        <v>41.399057972716662</v>
      </c>
      <c r="K3833" s="5">
        <v>42</v>
      </c>
    </row>
    <row r="3834" spans="1:11" x14ac:dyDescent="0.25">
      <c r="A3834" s="2">
        <v>46257.125</v>
      </c>
      <c r="B3834" t="str">
        <f t="shared" si="118"/>
        <v>2026-08</v>
      </c>
      <c r="C3834" s="3">
        <f t="shared" si="119"/>
        <v>3</v>
      </c>
      <c r="D3834" s="4">
        <v>26.36</v>
      </c>
      <c r="E3834" s="4"/>
      <c r="F3834" s="4">
        <v>29.867507879744451</v>
      </c>
      <c r="G3834" s="4">
        <v>21.9</v>
      </c>
      <c r="H3834" s="5">
        <v>32</v>
      </c>
      <c r="I3834" s="5"/>
      <c r="J3834" s="5">
        <v>41.084431706480551</v>
      </c>
      <c r="K3834" s="5">
        <v>45</v>
      </c>
    </row>
    <row r="3835" spans="1:11" x14ac:dyDescent="0.25">
      <c r="A3835" s="2">
        <v>46257.166666666657</v>
      </c>
      <c r="B3835" t="str">
        <f t="shared" si="118"/>
        <v>2026-08</v>
      </c>
      <c r="C3835" s="3">
        <f t="shared" si="119"/>
        <v>4</v>
      </c>
      <c r="D3835" s="4">
        <v>26.36</v>
      </c>
      <c r="E3835" s="4"/>
      <c r="F3835" s="4">
        <v>29.872247151066659</v>
      </c>
      <c r="G3835" s="4">
        <v>21.2</v>
      </c>
      <c r="H3835" s="5">
        <v>32</v>
      </c>
      <c r="I3835" s="5"/>
      <c r="J3835" s="5">
        <v>40.789362307905563</v>
      </c>
      <c r="K3835" s="5">
        <v>46</v>
      </c>
    </row>
    <row r="3836" spans="1:11" x14ac:dyDescent="0.25">
      <c r="A3836" s="2">
        <v>46257.208333333343</v>
      </c>
      <c r="B3836" t="str">
        <f t="shared" si="118"/>
        <v>2026-08</v>
      </c>
      <c r="C3836" s="3">
        <f t="shared" si="119"/>
        <v>5</v>
      </c>
      <c r="D3836" s="4">
        <v>26.36</v>
      </c>
      <c r="E3836" s="4"/>
      <c r="F3836" s="4">
        <v>29.82465643085278</v>
      </c>
      <c r="G3836" s="4">
        <v>20.5</v>
      </c>
      <c r="H3836" s="5">
        <v>32</v>
      </c>
      <c r="I3836" s="5"/>
      <c r="J3836" s="5">
        <v>40.578692006488893</v>
      </c>
      <c r="K3836" s="5">
        <v>49</v>
      </c>
    </row>
    <row r="3837" spans="1:11" x14ac:dyDescent="0.25">
      <c r="A3837" s="2">
        <v>46257.25</v>
      </c>
      <c r="B3837" t="str">
        <f t="shared" si="118"/>
        <v>2026-08</v>
      </c>
      <c r="C3837" s="3">
        <f t="shared" si="119"/>
        <v>6</v>
      </c>
      <c r="D3837" s="4">
        <v>26.36</v>
      </c>
      <c r="E3837" s="4"/>
      <c r="F3837" s="4">
        <v>29.768106208469451</v>
      </c>
      <c r="G3837" s="4">
        <v>19.899999999999999</v>
      </c>
      <c r="H3837" s="5">
        <v>32</v>
      </c>
      <c r="I3837" s="5"/>
      <c r="J3837" s="5">
        <v>40.526900486836112</v>
      </c>
      <c r="K3837" s="5">
        <v>52</v>
      </c>
    </row>
    <row r="3838" spans="1:11" x14ac:dyDescent="0.25">
      <c r="A3838" s="2">
        <v>46257.291666666657</v>
      </c>
      <c r="B3838" t="str">
        <f t="shared" si="118"/>
        <v>2026-08</v>
      </c>
      <c r="C3838" s="3">
        <f t="shared" si="119"/>
        <v>7</v>
      </c>
      <c r="D3838" s="4">
        <v>26.36</v>
      </c>
      <c r="E3838" s="4"/>
      <c r="F3838" s="4">
        <v>29.77078284008056</v>
      </c>
      <c r="G3838" s="4">
        <v>21</v>
      </c>
      <c r="H3838" s="5">
        <v>32</v>
      </c>
      <c r="I3838" s="5"/>
      <c r="J3838" s="5">
        <v>40.65838330455</v>
      </c>
      <c r="K3838" s="5">
        <v>49</v>
      </c>
    </row>
    <row r="3839" spans="1:11" x14ac:dyDescent="0.25">
      <c r="A3839" s="2">
        <v>46257.333333333343</v>
      </c>
      <c r="B3839" t="str">
        <f t="shared" si="118"/>
        <v>2026-08</v>
      </c>
      <c r="C3839" s="3">
        <f t="shared" si="119"/>
        <v>8</v>
      </c>
      <c r="D3839" s="4">
        <v>26.36</v>
      </c>
      <c r="E3839" s="4"/>
      <c r="F3839" s="4">
        <v>29.812422921913889</v>
      </c>
      <c r="G3839" s="4">
        <v>23.1</v>
      </c>
      <c r="H3839" s="5">
        <v>32</v>
      </c>
      <c r="I3839" s="5"/>
      <c r="J3839" s="5">
        <v>40.861838881644452</v>
      </c>
      <c r="K3839" s="5">
        <v>43</v>
      </c>
    </row>
    <row r="3840" spans="1:11" x14ac:dyDescent="0.25">
      <c r="A3840" s="2">
        <v>46257.375</v>
      </c>
      <c r="B3840" t="str">
        <f t="shared" si="118"/>
        <v>2026-08</v>
      </c>
      <c r="C3840" s="3">
        <f t="shared" si="119"/>
        <v>9</v>
      </c>
      <c r="D3840" s="4">
        <v>26.36</v>
      </c>
      <c r="E3840" s="4"/>
      <c r="F3840" s="4">
        <v>29.860674848136121</v>
      </c>
      <c r="G3840" s="4">
        <v>25.7</v>
      </c>
      <c r="H3840" s="5">
        <v>32</v>
      </c>
      <c r="I3840" s="5"/>
      <c r="J3840" s="5">
        <v>41.048607572441661</v>
      </c>
      <c r="K3840" s="5">
        <v>35</v>
      </c>
    </row>
    <row r="3841" spans="1:11" x14ac:dyDescent="0.25">
      <c r="A3841" s="2">
        <v>46257.416666666657</v>
      </c>
      <c r="B3841" t="str">
        <f t="shared" si="118"/>
        <v>2026-08</v>
      </c>
      <c r="C3841" s="3">
        <f t="shared" si="119"/>
        <v>10</v>
      </c>
      <c r="D3841" s="4">
        <v>26.36</v>
      </c>
      <c r="E3841" s="4"/>
      <c r="F3841" s="4">
        <v>29.906561687930552</v>
      </c>
      <c r="G3841" s="4">
        <v>28.3</v>
      </c>
      <c r="H3841" s="5">
        <v>32</v>
      </c>
      <c r="I3841" s="5"/>
      <c r="J3841" s="5">
        <v>41.23767731625</v>
      </c>
      <c r="K3841" s="5">
        <v>31</v>
      </c>
    </row>
    <row r="3842" spans="1:11" x14ac:dyDescent="0.25">
      <c r="A3842" s="2">
        <v>46257.458333333343</v>
      </c>
      <c r="B3842" t="str">
        <f t="shared" ref="B3842:B3905" si="120">TEXT(A3842,"yyyy-mm")</f>
        <v>2026-08</v>
      </c>
      <c r="C3842" s="3">
        <f t="shared" ref="C3842:C3905" si="121">HOUR(A3842)</f>
        <v>11</v>
      </c>
      <c r="D3842" s="4">
        <v>26.36</v>
      </c>
      <c r="E3842" s="4"/>
      <c r="F3842" s="4">
        <v>29.957118752658332</v>
      </c>
      <c r="G3842" s="4">
        <v>30.3</v>
      </c>
      <c r="H3842" s="5">
        <v>32</v>
      </c>
      <c r="I3842" s="5"/>
      <c r="J3842" s="5">
        <v>41.432695609924998</v>
      </c>
      <c r="K3842" s="5">
        <v>28</v>
      </c>
    </row>
    <row r="3843" spans="1:11" x14ac:dyDescent="0.25">
      <c r="A3843" s="2">
        <v>46257.5</v>
      </c>
      <c r="B3843" t="str">
        <f t="shared" si="120"/>
        <v>2026-08</v>
      </c>
      <c r="C3843" s="3">
        <f t="shared" si="121"/>
        <v>12</v>
      </c>
      <c r="D3843" s="4">
        <v>26.36</v>
      </c>
      <c r="E3843" s="4"/>
      <c r="F3843" s="4">
        <v>29.869316632230561</v>
      </c>
      <c r="G3843" s="4">
        <v>31.5</v>
      </c>
      <c r="H3843" s="5">
        <v>32</v>
      </c>
      <c r="I3843" s="5"/>
      <c r="J3843" s="5">
        <v>41.370859135213891</v>
      </c>
      <c r="K3843" s="5">
        <v>27</v>
      </c>
    </row>
    <row r="3844" spans="1:11" x14ac:dyDescent="0.25">
      <c r="A3844" s="2">
        <v>46257.541666666657</v>
      </c>
      <c r="B3844" t="str">
        <f t="shared" si="120"/>
        <v>2026-08</v>
      </c>
      <c r="C3844" s="3">
        <f t="shared" si="121"/>
        <v>13</v>
      </c>
      <c r="D3844" s="4">
        <v>26.36</v>
      </c>
      <c r="E3844" s="4"/>
      <c r="F3844" s="4">
        <v>29.840413188680561</v>
      </c>
      <c r="G3844" s="4">
        <v>32.1</v>
      </c>
      <c r="H3844" s="5">
        <v>32</v>
      </c>
      <c r="I3844" s="5"/>
      <c r="J3844" s="5">
        <v>40.949528471613881</v>
      </c>
      <c r="K3844" s="5">
        <v>28</v>
      </c>
    </row>
    <row r="3845" spans="1:11" x14ac:dyDescent="0.25">
      <c r="A3845" s="2">
        <v>46257.583333333343</v>
      </c>
      <c r="B3845" t="str">
        <f t="shared" si="120"/>
        <v>2026-08</v>
      </c>
      <c r="C3845" s="3">
        <f t="shared" si="121"/>
        <v>14</v>
      </c>
      <c r="D3845" s="4">
        <v>26.36</v>
      </c>
      <c r="E3845" s="4"/>
      <c r="F3845" s="4">
        <v>29.758766850377778</v>
      </c>
      <c r="G3845" s="4">
        <v>32</v>
      </c>
      <c r="H3845" s="5">
        <v>32</v>
      </c>
      <c r="I3845" s="5"/>
      <c r="J3845" s="5">
        <v>40.635962060608328</v>
      </c>
      <c r="K3845" s="5">
        <v>32</v>
      </c>
    </row>
    <row r="3846" spans="1:11" x14ac:dyDescent="0.25">
      <c r="A3846" s="2">
        <v>46257.625</v>
      </c>
      <c r="B3846" t="str">
        <f t="shared" si="120"/>
        <v>2026-08</v>
      </c>
      <c r="C3846" s="3">
        <f t="shared" si="121"/>
        <v>15</v>
      </c>
      <c r="D3846" s="4">
        <v>26.36</v>
      </c>
      <c r="E3846" s="4"/>
      <c r="F3846" s="4">
        <v>29.732687838175</v>
      </c>
      <c r="G3846" s="4">
        <v>31.3</v>
      </c>
      <c r="H3846" s="5">
        <v>32</v>
      </c>
      <c r="I3846" s="5"/>
      <c r="J3846" s="5">
        <v>40.624270580844438</v>
      </c>
      <c r="K3846" s="5">
        <v>32</v>
      </c>
    </row>
    <row r="3847" spans="1:11" x14ac:dyDescent="0.25">
      <c r="A3847" s="2">
        <v>46257.666666666657</v>
      </c>
      <c r="B3847" t="str">
        <f t="shared" si="120"/>
        <v>2026-08</v>
      </c>
      <c r="C3847" s="3">
        <f t="shared" si="121"/>
        <v>16</v>
      </c>
      <c r="D3847" s="4">
        <v>26.36</v>
      </c>
      <c r="E3847" s="4"/>
      <c r="F3847" s="4">
        <v>29.716616097708329</v>
      </c>
      <c r="G3847" s="4">
        <v>30.3</v>
      </c>
      <c r="H3847" s="5">
        <v>32</v>
      </c>
      <c r="I3847" s="5"/>
      <c r="J3847" s="5">
        <v>41.122124838744448</v>
      </c>
      <c r="K3847" s="5">
        <v>41</v>
      </c>
    </row>
    <row r="3848" spans="1:11" x14ac:dyDescent="0.25">
      <c r="A3848" s="2">
        <v>46257.708333333343</v>
      </c>
      <c r="B3848" t="str">
        <f t="shared" si="120"/>
        <v>2026-08</v>
      </c>
      <c r="C3848" s="3">
        <f t="shared" si="121"/>
        <v>17</v>
      </c>
      <c r="D3848" s="4">
        <v>26.36</v>
      </c>
      <c r="E3848" s="4"/>
      <c r="F3848" s="4">
        <v>29.641859980761112</v>
      </c>
      <c r="G3848" s="4">
        <v>29.3</v>
      </c>
      <c r="H3848" s="5">
        <v>32</v>
      </c>
      <c r="I3848" s="5"/>
      <c r="J3848" s="5">
        <v>41.766368506858328</v>
      </c>
      <c r="K3848" s="5">
        <v>41</v>
      </c>
    </row>
    <row r="3849" spans="1:11" x14ac:dyDescent="0.25">
      <c r="A3849" s="2">
        <v>46257.75</v>
      </c>
      <c r="B3849" t="str">
        <f t="shared" si="120"/>
        <v>2026-08</v>
      </c>
      <c r="C3849" s="3">
        <f t="shared" si="121"/>
        <v>18</v>
      </c>
      <c r="D3849" s="4">
        <v>26.36</v>
      </c>
      <c r="E3849" s="4"/>
      <c r="F3849" s="4">
        <v>28.17014116256945</v>
      </c>
      <c r="G3849" s="4">
        <v>27</v>
      </c>
      <c r="H3849" s="5">
        <v>32</v>
      </c>
      <c r="I3849" s="5"/>
      <c r="J3849" s="5">
        <v>40.553807816863888</v>
      </c>
      <c r="K3849" s="5">
        <v>42</v>
      </c>
    </row>
    <row r="3850" spans="1:11" x14ac:dyDescent="0.25">
      <c r="A3850" s="2">
        <v>46257.791666666657</v>
      </c>
      <c r="B3850" t="str">
        <f t="shared" si="120"/>
        <v>2026-08</v>
      </c>
      <c r="C3850" s="3">
        <f t="shared" si="121"/>
        <v>19</v>
      </c>
      <c r="D3850" s="4">
        <v>26.36</v>
      </c>
      <c r="E3850" s="4"/>
      <c r="F3850" s="4">
        <v>27.52678415340278</v>
      </c>
      <c r="G3850" s="4">
        <v>25.3</v>
      </c>
      <c r="H3850" s="5">
        <v>32</v>
      </c>
      <c r="I3850" s="5"/>
      <c r="J3850" s="5">
        <v>39.139586228558343</v>
      </c>
      <c r="K3850" s="5">
        <v>43</v>
      </c>
    </row>
    <row r="3851" spans="1:11" x14ac:dyDescent="0.25">
      <c r="A3851" s="2">
        <v>46257.833333333343</v>
      </c>
      <c r="B3851" t="str">
        <f t="shared" si="120"/>
        <v>2026-08</v>
      </c>
      <c r="C3851" s="3">
        <f t="shared" si="121"/>
        <v>20</v>
      </c>
      <c r="D3851" s="4">
        <v>26.36</v>
      </c>
      <c r="E3851" s="4"/>
      <c r="F3851" s="4">
        <v>27.59233883549166</v>
      </c>
      <c r="G3851" s="4">
        <v>24.2</v>
      </c>
      <c r="H3851" s="5">
        <v>32</v>
      </c>
      <c r="I3851" s="5"/>
      <c r="J3851" s="5">
        <v>40.259327633280563</v>
      </c>
      <c r="K3851" s="5">
        <v>45</v>
      </c>
    </row>
    <row r="3852" spans="1:11" x14ac:dyDescent="0.25">
      <c r="A3852" s="2">
        <v>46257.875</v>
      </c>
      <c r="B3852" t="str">
        <f t="shared" si="120"/>
        <v>2026-08</v>
      </c>
      <c r="C3852" s="3">
        <f t="shared" si="121"/>
        <v>21</v>
      </c>
      <c r="D3852" s="4">
        <v>26.36</v>
      </c>
      <c r="E3852" s="4"/>
      <c r="F3852" s="4">
        <v>28.547240254150001</v>
      </c>
      <c r="G3852" s="4">
        <v>23.4</v>
      </c>
      <c r="H3852" s="5">
        <v>32</v>
      </c>
      <c r="I3852" s="5"/>
      <c r="J3852" s="5">
        <v>41.037404804572219</v>
      </c>
      <c r="K3852" s="5">
        <v>48</v>
      </c>
    </row>
    <row r="3853" spans="1:11" x14ac:dyDescent="0.25">
      <c r="A3853" s="2">
        <v>46257.916666666657</v>
      </c>
      <c r="B3853" t="str">
        <f t="shared" si="120"/>
        <v>2026-08</v>
      </c>
      <c r="C3853" s="3">
        <f t="shared" si="121"/>
        <v>22</v>
      </c>
      <c r="D3853" s="4">
        <v>26.36</v>
      </c>
      <c r="E3853" s="4"/>
      <c r="F3853" s="4">
        <v>28.97534550329722</v>
      </c>
      <c r="G3853" s="4">
        <v>22.7</v>
      </c>
      <c r="H3853" s="5">
        <v>32</v>
      </c>
      <c r="I3853" s="5"/>
      <c r="J3853" s="5">
        <v>41.596769588016663</v>
      </c>
      <c r="K3853" s="5">
        <v>50</v>
      </c>
    </row>
    <row r="3854" spans="1:11" x14ac:dyDescent="0.25">
      <c r="A3854" s="2">
        <v>46257.958333333343</v>
      </c>
      <c r="B3854" t="str">
        <f t="shared" si="120"/>
        <v>2026-08</v>
      </c>
      <c r="C3854" s="3">
        <f t="shared" si="121"/>
        <v>23</v>
      </c>
      <c r="D3854" s="4">
        <v>26.36</v>
      </c>
      <c r="E3854" s="4"/>
      <c r="F3854" s="4">
        <v>29.216556144999998</v>
      </c>
      <c r="G3854" s="4">
        <v>21.8</v>
      </c>
      <c r="H3854" s="5">
        <v>32</v>
      </c>
      <c r="I3854" s="5"/>
      <c r="J3854" s="5">
        <v>41.714154256322232</v>
      </c>
      <c r="K3854" s="5">
        <v>52</v>
      </c>
    </row>
    <row r="3855" spans="1:11" x14ac:dyDescent="0.25">
      <c r="A3855" s="2">
        <v>46258</v>
      </c>
      <c r="B3855" t="str">
        <f t="shared" si="120"/>
        <v>2026-08</v>
      </c>
      <c r="C3855" s="3">
        <f t="shared" si="121"/>
        <v>0</v>
      </c>
      <c r="D3855" s="4">
        <v>26.36</v>
      </c>
      <c r="E3855" s="4"/>
      <c r="F3855" s="4">
        <v>29.335553928336111</v>
      </c>
      <c r="G3855" s="4">
        <v>21.6</v>
      </c>
      <c r="H3855" s="5">
        <v>32</v>
      </c>
      <c r="I3855" s="5"/>
      <c r="J3855" s="5">
        <v>42.073531114308331</v>
      </c>
      <c r="K3855" s="5">
        <v>51</v>
      </c>
    </row>
    <row r="3856" spans="1:11" x14ac:dyDescent="0.25">
      <c r="A3856" s="2">
        <v>46258.041666666657</v>
      </c>
      <c r="B3856" t="str">
        <f t="shared" si="120"/>
        <v>2026-08</v>
      </c>
      <c r="C3856" s="3">
        <f t="shared" si="121"/>
        <v>1</v>
      </c>
      <c r="D3856" s="4">
        <v>26.36</v>
      </c>
      <c r="E3856" s="4"/>
      <c r="F3856" s="4">
        <v>29.54852933404166</v>
      </c>
      <c r="G3856" s="4">
        <v>20.9</v>
      </c>
      <c r="H3856" s="5">
        <v>32</v>
      </c>
      <c r="I3856" s="5"/>
      <c r="J3856" s="5">
        <v>42.017277312155557</v>
      </c>
      <c r="K3856" s="5">
        <v>51</v>
      </c>
    </row>
    <row r="3857" spans="1:11" x14ac:dyDescent="0.25">
      <c r="A3857" s="2">
        <v>46258.083333333343</v>
      </c>
      <c r="B3857" t="str">
        <f t="shared" si="120"/>
        <v>2026-08</v>
      </c>
      <c r="C3857" s="3">
        <f t="shared" si="121"/>
        <v>2</v>
      </c>
      <c r="D3857" s="4">
        <v>26.36</v>
      </c>
      <c r="E3857" s="4"/>
      <c r="F3857" s="4">
        <v>29.695043305083331</v>
      </c>
      <c r="G3857" s="4">
        <v>19.8</v>
      </c>
      <c r="H3857" s="5">
        <v>32</v>
      </c>
      <c r="I3857" s="5"/>
      <c r="J3857" s="5">
        <v>41.987270432430563</v>
      </c>
      <c r="K3857" s="5">
        <v>54</v>
      </c>
    </row>
    <row r="3858" spans="1:11" x14ac:dyDescent="0.25">
      <c r="A3858" s="2">
        <v>46258.125</v>
      </c>
      <c r="B3858" t="str">
        <f t="shared" si="120"/>
        <v>2026-08</v>
      </c>
      <c r="C3858" s="3">
        <f t="shared" si="121"/>
        <v>3</v>
      </c>
      <c r="D3858" s="4">
        <v>26.36</v>
      </c>
      <c r="E3858" s="4"/>
      <c r="F3858" s="4">
        <v>29.740941729897219</v>
      </c>
      <c r="G3858" s="4">
        <v>18.3</v>
      </c>
      <c r="H3858" s="5">
        <v>32</v>
      </c>
      <c r="I3858" s="5"/>
      <c r="J3858" s="5">
        <v>41.916953540380561</v>
      </c>
      <c r="K3858" s="5">
        <v>58</v>
      </c>
    </row>
    <row r="3859" spans="1:11" x14ac:dyDescent="0.25">
      <c r="A3859" s="2">
        <v>46258.166666666657</v>
      </c>
      <c r="B3859" t="str">
        <f t="shared" si="120"/>
        <v>2026-08</v>
      </c>
      <c r="C3859" s="3">
        <f t="shared" si="121"/>
        <v>4</v>
      </c>
      <c r="D3859" s="4">
        <v>26.36</v>
      </c>
      <c r="E3859" s="4"/>
      <c r="F3859" s="4">
        <v>29.687129182944449</v>
      </c>
      <c r="G3859" s="4">
        <v>17.600000000000001</v>
      </c>
      <c r="H3859" s="5">
        <v>32</v>
      </c>
      <c r="I3859" s="5"/>
      <c r="J3859" s="5">
        <v>41.725073283986113</v>
      </c>
      <c r="K3859" s="5">
        <v>61</v>
      </c>
    </row>
    <row r="3860" spans="1:11" x14ac:dyDescent="0.25">
      <c r="A3860" s="2">
        <v>46258.208333333343</v>
      </c>
      <c r="B3860" t="str">
        <f t="shared" si="120"/>
        <v>2026-08</v>
      </c>
      <c r="C3860" s="3">
        <f t="shared" si="121"/>
        <v>5</v>
      </c>
      <c r="D3860" s="4">
        <v>26.36</v>
      </c>
      <c r="E3860" s="4"/>
      <c r="F3860" s="4">
        <v>29.62679520460556</v>
      </c>
      <c r="G3860" s="4">
        <v>16.8</v>
      </c>
      <c r="H3860" s="5">
        <v>32</v>
      </c>
      <c r="I3860" s="5"/>
      <c r="J3860" s="5">
        <v>41.536786470744453</v>
      </c>
      <c r="K3860" s="5">
        <v>64</v>
      </c>
    </row>
    <row r="3861" spans="1:11" x14ac:dyDescent="0.25">
      <c r="A3861" s="2">
        <v>46258.25</v>
      </c>
      <c r="B3861" t="str">
        <f t="shared" si="120"/>
        <v>2026-08</v>
      </c>
      <c r="C3861" s="3">
        <f t="shared" si="121"/>
        <v>6</v>
      </c>
      <c r="D3861" s="4">
        <v>26.36</v>
      </c>
      <c r="E3861" s="4"/>
      <c r="F3861" s="4">
        <v>29.571384224066659</v>
      </c>
      <c r="G3861" s="4">
        <v>16.100000000000001</v>
      </c>
      <c r="H3861" s="5">
        <v>32</v>
      </c>
      <c r="I3861" s="5"/>
      <c r="J3861" s="5">
        <v>41.428509555841671</v>
      </c>
      <c r="K3861" s="5">
        <v>66</v>
      </c>
    </row>
    <row r="3862" spans="1:11" x14ac:dyDescent="0.25">
      <c r="A3862" s="2">
        <v>46258.291666666657</v>
      </c>
      <c r="B3862" t="str">
        <f t="shared" si="120"/>
        <v>2026-08</v>
      </c>
      <c r="C3862" s="3">
        <f t="shared" si="121"/>
        <v>7</v>
      </c>
      <c r="D3862" s="4">
        <v>26.36</v>
      </c>
      <c r="E3862" s="4"/>
      <c r="F3862" s="4">
        <v>29.57364458480556</v>
      </c>
      <c r="G3862" s="4">
        <v>16.600000000000001</v>
      </c>
      <c r="H3862" s="5">
        <v>32</v>
      </c>
      <c r="I3862" s="5"/>
      <c r="J3862" s="5">
        <v>41.375612998905559</v>
      </c>
      <c r="K3862" s="5">
        <v>64</v>
      </c>
    </row>
    <row r="3863" spans="1:11" x14ac:dyDescent="0.25">
      <c r="A3863" s="2">
        <v>46258.333333333343</v>
      </c>
      <c r="B3863" t="str">
        <f t="shared" si="120"/>
        <v>2026-08</v>
      </c>
      <c r="C3863" s="3">
        <f t="shared" si="121"/>
        <v>8</v>
      </c>
      <c r="D3863" s="4">
        <v>26.36</v>
      </c>
      <c r="E3863" s="4"/>
      <c r="F3863" s="4">
        <v>29.62561580757222</v>
      </c>
      <c r="G3863" s="4">
        <v>18</v>
      </c>
      <c r="H3863" s="5">
        <v>32</v>
      </c>
      <c r="I3863" s="5"/>
      <c r="J3863" s="5">
        <v>41.373690614925003</v>
      </c>
      <c r="K3863" s="5">
        <v>58</v>
      </c>
    </row>
    <row r="3864" spans="1:11" x14ac:dyDescent="0.25">
      <c r="A3864" s="2">
        <v>46258.375</v>
      </c>
      <c r="B3864" t="str">
        <f t="shared" si="120"/>
        <v>2026-08</v>
      </c>
      <c r="C3864" s="3">
        <f t="shared" si="121"/>
        <v>9</v>
      </c>
      <c r="D3864" s="4">
        <v>26.36</v>
      </c>
      <c r="E3864" s="4"/>
      <c r="F3864" s="4">
        <v>29.67445991371666</v>
      </c>
      <c r="G3864" s="4">
        <v>20.2</v>
      </c>
      <c r="H3864" s="5">
        <v>32</v>
      </c>
      <c r="I3864" s="5"/>
      <c r="J3864" s="5">
        <v>41.425791241452778</v>
      </c>
      <c r="K3864" s="5">
        <v>50</v>
      </c>
    </row>
    <row r="3865" spans="1:11" x14ac:dyDescent="0.25">
      <c r="A3865" s="2">
        <v>46258.416666666657</v>
      </c>
      <c r="B3865" t="str">
        <f t="shared" si="120"/>
        <v>2026-08</v>
      </c>
      <c r="C3865" s="3">
        <f t="shared" si="121"/>
        <v>10</v>
      </c>
      <c r="D3865" s="4">
        <v>26.36</v>
      </c>
      <c r="E3865" s="4"/>
      <c r="F3865" s="4">
        <v>29.778545997102778</v>
      </c>
      <c r="G3865" s="4">
        <v>21.8</v>
      </c>
      <c r="H3865" s="5">
        <v>32</v>
      </c>
      <c r="I3865" s="5"/>
      <c r="J3865" s="5">
        <v>41.429686254433342</v>
      </c>
      <c r="K3865" s="5">
        <v>42</v>
      </c>
    </row>
    <row r="3866" spans="1:11" x14ac:dyDescent="0.25">
      <c r="A3866" s="2">
        <v>46258.458333333343</v>
      </c>
      <c r="B3866" t="str">
        <f t="shared" si="120"/>
        <v>2026-08</v>
      </c>
      <c r="C3866" s="3">
        <f t="shared" si="121"/>
        <v>11</v>
      </c>
      <c r="D3866" s="4">
        <v>26.36</v>
      </c>
      <c r="E3866" s="4"/>
      <c r="F3866" s="4">
        <v>29.839610580269451</v>
      </c>
      <c r="G3866" s="4">
        <v>22.9</v>
      </c>
      <c r="H3866" s="5">
        <v>32</v>
      </c>
      <c r="I3866" s="5"/>
      <c r="J3866" s="5">
        <v>41.446902949938888</v>
      </c>
      <c r="K3866" s="5">
        <v>36</v>
      </c>
    </row>
    <row r="3867" spans="1:11" x14ac:dyDescent="0.25">
      <c r="A3867" s="2">
        <v>46258.5</v>
      </c>
      <c r="B3867" t="str">
        <f t="shared" si="120"/>
        <v>2026-08</v>
      </c>
      <c r="C3867" s="3">
        <f t="shared" si="121"/>
        <v>12</v>
      </c>
      <c r="D3867" s="4">
        <v>26.36</v>
      </c>
      <c r="E3867" s="4"/>
      <c r="F3867" s="4">
        <v>29.827664604538889</v>
      </c>
      <c r="G3867" s="4">
        <v>23.7</v>
      </c>
      <c r="H3867" s="5">
        <v>32</v>
      </c>
      <c r="I3867" s="5"/>
      <c r="J3867" s="5">
        <v>41.507021549158331</v>
      </c>
      <c r="K3867" s="5">
        <v>32</v>
      </c>
    </row>
    <row r="3868" spans="1:11" x14ac:dyDescent="0.25">
      <c r="A3868" s="2">
        <v>46258.541666666657</v>
      </c>
      <c r="B3868" t="str">
        <f t="shared" si="120"/>
        <v>2026-08</v>
      </c>
      <c r="C3868" s="3">
        <f t="shared" si="121"/>
        <v>13</v>
      </c>
      <c r="D3868" s="4">
        <v>26.78646081611944</v>
      </c>
      <c r="E3868" s="4"/>
      <c r="F3868" s="4">
        <v>29.84742313726667</v>
      </c>
      <c r="G3868" s="4">
        <v>24.3</v>
      </c>
      <c r="H3868" s="5">
        <v>30.156889630322219</v>
      </c>
      <c r="I3868" s="5"/>
      <c r="J3868" s="5">
        <v>41.293846808088887</v>
      </c>
      <c r="K3868" s="5">
        <v>31</v>
      </c>
    </row>
    <row r="3869" spans="1:11" x14ac:dyDescent="0.25">
      <c r="A3869" s="2">
        <v>46258.583333333343</v>
      </c>
      <c r="B3869" t="str">
        <f t="shared" si="120"/>
        <v>2026-08</v>
      </c>
      <c r="C3869" s="3">
        <f t="shared" si="121"/>
        <v>14</v>
      </c>
      <c r="D3869" s="4">
        <v>27.013558937211108</v>
      </c>
      <c r="E3869" s="4"/>
      <c r="F3869" s="4">
        <v>29.842026782963892</v>
      </c>
      <c r="G3869" s="4">
        <v>24.7</v>
      </c>
      <c r="H3869" s="5">
        <v>28.016260995319449</v>
      </c>
      <c r="I3869" s="5"/>
      <c r="J3869" s="5">
        <v>41.069630088280562</v>
      </c>
      <c r="K3869" s="5">
        <v>31</v>
      </c>
    </row>
    <row r="3870" spans="1:11" x14ac:dyDescent="0.25">
      <c r="A3870" s="2">
        <v>46258.625</v>
      </c>
      <c r="B3870" t="str">
        <f t="shared" si="120"/>
        <v>2026-08</v>
      </c>
      <c r="C3870" s="3">
        <f t="shared" si="121"/>
        <v>15</v>
      </c>
      <c r="D3870" s="4">
        <v>26.87625015111389</v>
      </c>
      <c r="E3870" s="4"/>
      <c r="F3870" s="4">
        <v>29.81916204385556</v>
      </c>
      <c r="G3870" s="4">
        <v>25.4</v>
      </c>
      <c r="H3870" s="5">
        <v>27.95892094618889</v>
      </c>
      <c r="I3870" s="5"/>
      <c r="J3870" s="5">
        <v>40.807964862461112</v>
      </c>
      <c r="K3870" s="5">
        <v>30</v>
      </c>
    </row>
    <row r="3871" spans="1:11" x14ac:dyDescent="0.25">
      <c r="A3871" s="2">
        <v>46258.666666666657</v>
      </c>
      <c r="B3871" t="str">
        <f t="shared" si="120"/>
        <v>2026-08</v>
      </c>
      <c r="C3871" s="3">
        <f t="shared" si="121"/>
        <v>16</v>
      </c>
      <c r="D3871" s="4">
        <v>26.808583691497219</v>
      </c>
      <c r="E3871" s="4"/>
      <c r="F3871" s="4">
        <v>29.802996979308329</v>
      </c>
      <c r="G3871" s="4">
        <v>25.1</v>
      </c>
      <c r="H3871" s="5">
        <v>28.555785618725</v>
      </c>
      <c r="I3871" s="5"/>
      <c r="J3871" s="5">
        <v>40.690764169216664</v>
      </c>
      <c r="K3871" s="5">
        <v>31</v>
      </c>
    </row>
    <row r="3872" spans="1:11" x14ac:dyDescent="0.25">
      <c r="A3872" s="2">
        <v>46258.708333333343</v>
      </c>
      <c r="B3872" t="str">
        <f t="shared" si="120"/>
        <v>2026-08</v>
      </c>
      <c r="C3872" s="3">
        <f t="shared" si="121"/>
        <v>17</v>
      </c>
      <c r="D3872" s="4">
        <v>26.728943522966659</v>
      </c>
      <c r="E3872" s="4"/>
      <c r="F3872" s="4">
        <v>29.636014178094442</v>
      </c>
      <c r="G3872" s="4">
        <v>24.8</v>
      </c>
      <c r="H3872" s="5">
        <v>29.10007225124167</v>
      </c>
      <c r="I3872" s="5"/>
      <c r="J3872" s="5">
        <v>39.359215533925003</v>
      </c>
      <c r="K3872" s="5">
        <v>31</v>
      </c>
    </row>
    <row r="3873" spans="1:11" x14ac:dyDescent="0.25">
      <c r="A3873" s="2">
        <v>46258.75</v>
      </c>
      <c r="B3873" t="str">
        <f t="shared" si="120"/>
        <v>2026-08</v>
      </c>
      <c r="C3873" s="3">
        <f t="shared" si="121"/>
        <v>18</v>
      </c>
      <c r="D3873" s="4">
        <v>26.675802950947219</v>
      </c>
      <c r="E3873" s="4"/>
      <c r="F3873" s="4">
        <v>28.954583822647219</v>
      </c>
      <c r="G3873" s="4">
        <v>24.2</v>
      </c>
      <c r="H3873" s="5">
        <v>29.755222109333332</v>
      </c>
      <c r="I3873" s="5"/>
      <c r="J3873" s="5">
        <v>37.21279724411945</v>
      </c>
      <c r="K3873" s="5">
        <v>31</v>
      </c>
    </row>
    <row r="3874" spans="1:11" x14ac:dyDescent="0.25">
      <c r="A3874" s="2">
        <v>46258.791666666657</v>
      </c>
      <c r="B3874" t="str">
        <f t="shared" si="120"/>
        <v>2026-08</v>
      </c>
      <c r="C3874" s="3">
        <f t="shared" si="121"/>
        <v>19</v>
      </c>
      <c r="D3874" s="4">
        <v>26.33354510208056</v>
      </c>
      <c r="E3874" s="4"/>
      <c r="F3874" s="4">
        <v>29.13299946558611</v>
      </c>
      <c r="G3874" s="4">
        <v>23.3</v>
      </c>
      <c r="H3874" s="5">
        <v>30.293990567380561</v>
      </c>
      <c r="I3874" s="5"/>
      <c r="J3874" s="5">
        <v>38.164575607813887</v>
      </c>
      <c r="K3874" s="5">
        <v>32</v>
      </c>
    </row>
    <row r="3875" spans="1:11" x14ac:dyDescent="0.25">
      <c r="A3875" s="2">
        <v>46258.833333333343</v>
      </c>
      <c r="B3875" t="str">
        <f t="shared" si="120"/>
        <v>2026-08</v>
      </c>
      <c r="C3875" s="3">
        <f t="shared" si="121"/>
        <v>20</v>
      </c>
      <c r="D3875" s="4">
        <v>25.80964802113056</v>
      </c>
      <c r="E3875" s="4"/>
      <c r="F3875" s="4">
        <v>29.404873855644439</v>
      </c>
      <c r="G3875" s="4">
        <v>22</v>
      </c>
      <c r="H3875" s="5">
        <v>31.595496439649999</v>
      </c>
      <c r="I3875" s="5"/>
      <c r="J3875" s="5">
        <v>38.89857283389167</v>
      </c>
      <c r="K3875" s="5">
        <v>37</v>
      </c>
    </row>
    <row r="3876" spans="1:11" x14ac:dyDescent="0.25">
      <c r="A3876" s="2">
        <v>46258.875</v>
      </c>
      <c r="B3876" t="str">
        <f t="shared" si="120"/>
        <v>2026-08</v>
      </c>
      <c r="C3876" s="3">
        <f t="shared" si="121"/>
        <v>21</v>
      </c>
      <c r="D3876" s="4">
        <v>25.301201982780551</v>
      </c>
      <c r="E3876" s="4"/>
      <c r="F3876" s="4">
        <v>29.520570676702778</v>
      </c>
      <c r="G3876" s="4">
        <v>20.5</v>
      </c>
      <c r="H3876" s="5">
        <v>32.280451305213887</v>
      </c>
      <c r="I3876" s="5"/>
      <c r="J3876" s="5">
        <v>38.824007108147221</v>
      </c>
      <c r="K3876" s="5">
        <v>41</v>
      </c>
    </row>
    <row r="3877" spans="1:11" x14ac:dyDescent="0.25">
      <c r="A3877" s="2">
        <v>46258.916666666657</v>
      </c>
      <c r="B3877" t="str">
        <f t="shared" si="120"/>
        <v>2026-08</v>
      </c>
      <c r="C3877" s="3">
        <f t="shared" si="121"/>
        <v>22</v>
      </c>
      <c r="D3877" s="4">
        <v>24.918628958900001</v>
      </c>
      <c r="E3877" s="4"/>
      <c r="F3877" s="4">
        <v>29.393746909102781</v>
      </c>
      <c r="G3877" s="4">
        <v>19.399999999999999</v>
      </c>
      <c r="H3877" s="5">
        <v>33.097203263927767</v>
      </c>
      <c r="I3877" s="5"/>
      <c r="J3877" s="5">
        <v>38.319628523547223</v>
      </c>
      <c r="K3877" s="5">
        <v>45</v>
      </c>
    </row>
    <row r="3878" spans="1:11" x14ac:dyDescent="0.25">
      <c r="A3878" s="2">
        <v>46258.958333333343</v>
      </c>
      <c r="B3878" t="str">
        <f t="shared" si="120"/>
        <v>2026-08</v>
      </c>
      <c r="C3878" s="3">
        <f t="shared" si="121"/>
        <v>23</v>
      </c>
      <c r="D3878" s="4">
        <v>24.797117875805551</v>
      </c>
      <c r="E3878" s="4"/>
      <c r="F3878" s="4">
        <v>29.497857831552778</v>
      </c>
      <c r="G3878" s="4">
        <v>18.5</v>
      </c>
      <c r="H3878" s="5">
        <v>33.64297115563334</v>
      </c>
      <c r="I3878" s="5"/>
      <c r="J3878" s="5">
        <v>38.621157652874999</v>
      </c>
      <c r="K3878" s="5">
        <v>49</v>
      </c>
    </row>
    <row r="3879" spans="1:11" x14ac:dyDescent="0.25">
      <c r="A3879" s="2">
        <v>46259</v>
      </c>
      <c r="B3879" t="str">
        <f t="shared" si="120"/>
        <v>2026-08</v>
      </c>
      <c r="C3879" s="3">
        <f t="shared" si="121"/>
        <v>0</v>
      </c>
      <c r="D3879" s="4">
        <v>24.894161980041659</v>
      </c>
      <c r="E3879" s="4"/>
      <c r="F3879" s="4">
        <v>29.580341831780551</v>
      </c>
      <c r="G3879" s="4">
        <v>17.7</v>
      </c>
      <c r="H3879" s="5">
        <v>32.828563744530562</v>
      </c>
      <c r="I3879" s="5"/>
      <c r="J3879" s="5">
        <v>38.898290296097223</v>
      </c>
      <c r="K3879" s="5">
        <v>52</v>
      </c>
    </row>
    <row r="3880" spans="1:11" x14ac:dyDescent="0.25">
      <c r="A3880" s="2">
        <v>46259.041666666657</v>
      </c>
      <c r="B3880" t="str">
        <f t="shared" si="120"/>
        <v>2026-08</v>
      </c>
      <c r="C3880" s="3">
        <f t="shared" si="121"/>
        <v>1</v>
      </c>
      <c r="D3880" s="4">
        <v>24.444974233911111</v>
      </c>
      <c r="E3880" s="4"/>
      <c r="F3880" s="4">
        <v>29.58290876775278</v>
      </c>
      <c r="G3880" s="4">
        <v>17</v>
      </c>
      <c r="H3880" s="5">
        <v>34.021465323594448</v>
      </c>
      <c r="I3880" s="5"/>
      <c r="J3880" s="5">
        <v>38.977918857452778</v>
      </c>
      <c r="K3880" s="5">
        <v>56</v>
      </c>
    </row>
    <row r="3881" spans="1:11" x14ac:dyDescent="0.25">
      <c r="A3881" s="2">
        <v>46259.083333333343</v>
      </c>
      <c r="B3881" t="str">
        <f t="shared" si="120"/>
        <v>2026-08</v>
      </c>
      <c r="C3881" s="3">
        <f t="shared" si="121"/>
        <v>2</v>
      </c>
      <c r="D3881" s="4">
        <v>23.87131624978889</v>
      </c>
      <c r="E3881" s="4"/>
      <c r="F3881" s="4">
        <v>29.546606495927779</v>
      </c>
      <c r="G3881" s="4">
        <v>16.2</v>
      </c>
      <c r="H3881" s="5">
        <v>35.734455146016657</v>
      </c>
      <c r="I3881" s="5"/>
      <c r="J3881" s="5">
        <v>38.921486753152777</v>
      </c>
      <c r="K3881" s="5">
        <v>60</v>
      </c>
    </row>
    <row r="3882" spans="1:11" x14ac:dyDescent="0.25">
      <c r="A3882" s="2">
        <v>46259.125</v>
      </c>
      <c r="B3882" t="str">
        <f t="shared" si="120"/>
        <v>2026-08</v>
      </c>
      <c r="C3882" s="3">
        <f t="shared" si="121"/>
        <v>3</v>
      </c>
      <c r="D3882" s="4">
        <v>23.27177231401112</v>
      </c>
      <c r="E3882" s="4"/>
      <c r="F3882" s="4">
        <v>29.485628235388891</v>
      </c>
      <c r="G3882" s="4">
        <v>15.3</v>
      </c>
      <c r="H3882" s="5">
        <v>36.733916093402783</v>
      </c>
      <c r="I3882" s="5"/>
      <c r="J3882" s="5">
        <v>38.864111157019437</v>
      </c>
      <c r="K3882" s="5">
        <v>62</v>
      </c>
    </row>
    <row r="3883" spans="1:11" x14ac:dyDescent="0.25">
      <c r="A3883" s="2">
        <v>46259.166666666657</v>
      </c>
      <c r="B3883" t="str">
        <f t="shared" si="120"/>
        <v>2026-08</v>
      </c>
      <c r="C3883" s="3">
        <f t="shared" si="121"/>
        <v>4</v>
      </c>
      <c r="D3883" s="4">
        <v>22.94716730824166</v>
      </c>
      <c r="E3883" s="4"/>
      <c r="F3883" s="4">
        <v>29.441854975983329</v>
      </c>
      <c r="G3883" s="4">
        <v>14.4</v>
      </c>
      <c r="H3883" s="5">
        <v>36.898485580402777</v>
      </c>
      <c r="I3883" s="5"/>
      <c r="J3883" s="5">
        <v>38.716009500177783</v>
      </c>
      <c r="K3883" s="5">
        <v>66</v>
      </c>
    </row>
    <row r="3884" spans="1:11" x14ac:dyDescent="0.25">
      <c r="A3884" s="2">
        <v>46259.208333333343</v>
      </c>
      <c r="B3884" t="str">
        <f t="shared" si="120"/>
        <v>2026-08</v>
      </c>
      <c r="C3884" s="3">
        <f t="shared" si="121"/>
        <v>5</v>
      </c>
      <c r="D3884" s="4">
        <v>23.04292193664444</v>
      </c>
      <c r="E3884" s="4"/>
      <c r="F3884" s="4">
        <v>29.410886065280561</v>
      </c>
      <c r="G3884" s="4">
        <v>14</v>
      </c>
      <c r="H3884" s="5">
        <v>36.246512514436112</v>
      </c>
      <c r="I3884" s="5"/>
      <c r="J3884" s="5">
        <v>38.611816020627778</v>
      </c>
      <c r="K3884" s="5">
        <v>67</v>
      </c>
    </row>
    <row r="3885" spans="1:11" x14ac:dyDescent="0.25">
      <c r="A3885" s="2">
        <v>46259.25</v>
      </c>
      <c r="B3885" t="str">
        <f t="shared" si="120"/>
        <v>2026-08</v>
      </c>
      <c r="C3885" s="3">
        <f t="shared" si="121"/>
        <v>6</v>
      </c>
      <c r="D3885" s="4">
        <v>23.51265984868612</v>
      </c>
      <c r="E3885" s="4"/>
      <c r="F3885" s="4">
        <v>29.395944647808331</v>
      </c>
      <c r="G3885" s="4">
        <v>13.6</v>
      </c>
      <c r="H3885" s="5">
        <v>34.899566438358328</v>
      </c>
      <c r="I3885" s="5"/>
      <c r="J3885" s="5">
        <v>38.529519820538887</v>
      </c>
      <c r="K3885" s="5">
        <v>68</v>
      </c>
    </row>
    <row r="3886" spans="1:11" x14ac:dyDescent="0.25">
      <c r="A3886" s="2">
        <v>46259.291666666657</v>
      </c>
      <c r="B3886" t="str">
        <f t="shared" si="120"/>
        <v>2026-08</v>
      </c>
      <c r="C3886" s="3">
        <f t="shared" si="121"/>
        <v>7</v>
      </c>
      <c r="D3886" s="4">
        <v>24.70575936199722</v>
      </c>
      <c r="E3886" s="4"/>
      <c r="F3886" s="4">
        <v>29.427175593094439</v>
      </c>
      <c r="G3886" s="4">
        <v>14.6</v>
      </c>
      <c r="H3886" s="5">
        <v>31.649179549827771</v>
      </c>
      <c r="I3886" s="5"/>
      <c r="J3886" s="5">
        <v>38.671964677369438</v>
      </c>
      <c r="K3886" s="5">
        <v>63</v>
      </c>
    </row>
    <row r="3887" spans="1:11" x14ac:dyDescent="0.25">
      <c r="A3887" s="2">
        <v>46259.333333333343</v>
      </c>
      <c r="B3887" t="str">
        <f t="shared" si="120"/>
        <v>2026-08</v>
      </c>
      <c r="C3887" s="3">
        <f t="shared" si="121"/>
        <v>8</v>
      </c>
      <c r="D3887" s="4">
        <v>25.796070825074999</v>
      </c>
      <c r="E3887" s="4"/>
      <c r="F3887" s="4">
        <v>29.48989801051389</v>
      </c>
      <c r="G3887" s="4">
        <v>16.600000000000001</v>
      </c>
      <c r="H3887" s="5">
        <v>29.467851068047221</v>
      </c>
      <c r="I3887" s="5"/>
      <c r="J3887" s="5">
        <v>38.77992451515</v>
      </c>
      <c r="K3887" s="5">
        <v>55</v>
      </c>
    </row>
    <row r="3888" spans="1:11" x14ac:dyDescent="0.25">
      <c r="A3888" s="2">
        <v>46259.375</v>
      </c>
      <c r="B3888" t="str">
        <f t="shared" si="120"/>
        <v>2026-08</v>
      </c>
      <c r="C3888" s="3">
        <f t="shared" si="121"/>
        <v>9</v>
      </c>
      <c r="D3888" s="4">
        <v>26.66877486432778</v>
      </c>
      <c r="E3888" s="4"/>
      <c r="F3888" s="4">
        <v>29.56301216549722</v>
      </c>
      <c r="G3888" s="4">
        <v>19.399999999999999</v>
      </c>
      <c r="H3888" s="5">
        <v>28.548983851713889</v>
      </c>
      <c r="I3888" s="5"/>
      <c r="J3888" s="5">
        <v>38.901052405400002</v>
      </c>
      <c r="K3888" s="5">
        <v>46</v>
      </c>
    </row>
    <row r="3889" spans="1:11" x14ac:dyDescent="0.25">
      <c r="A3889" s="2">
        <v>46259.416666666657</v>
      </c>
      <c r="B3889" t="str">
        <f t="shared" si="120"/>
        <v>2026-08</v>
      </c>
      <c r="C3889" s="3">
        <f t="shared" si="121"/>
        <v>10</v>
      </c>
      <c r="D3889" s="4">
        <v>27.015809121041659</v>
      </c>
      <c r="E3889" s="4"/>
      <c r="F3889" s="4">
        <v>29.634866741705551</v>
      </c>
      <c r="G3889" s="4">
        <v>21.6</v>
      </c>
      <c r="H3889" s="5">
        <v>27.430042009188881</v>
      </c>
      <c r="I3889" s="5"/>
      <c r="J3889" s="5">
        <v>39.077031970086111</v>
      </c>
      <c r="K3889" s="5">
        <v>36</v>
      </c>
    </row>
    <row r="3890" spans="1:11" x14ac:dyDescent="0.25">
      <c r="A3890" s="2">
        <v>46259.458333333343</v>
      </c>
      <c r="B3890" t="str">
        <f t="shared" si="120"/>
        <v>2026-08</v>
      </c>
      <c r="C3890" s="3">
        <f t="shared" si="121"/>
        <v>11</v>
      </c>
      <c r="D3890" s="4">
        <v>27.189474037797229</v>
      </c>
      <c r="E3890" s="4"/>
      <c r="F3890" s="4">
        <v>29.676257892075</v>
      </c>
      <c r="G3890" s="4">
        <v>22.7</v>
      </c>
      <c r="H3890" s="5">
        <v>26.979830736947221</v>
      </c>
      <c r="I3890" s="5"/>
      <c r="J3890" s="5">
        <v>39.254799323797222</v>
      </c>
      <c r="K3890" s="5">
        <v>32</v>
      </c>
    </row>
    <row r="3891" spans="1:11" x14ac:dyDescent="0.25">
      <c r="A3891" s="2">
        <v>46259.5</v>
      </c>
      <c r="B3891" t="str">
        <f t="shared" si="120"/>
        <v>2026-08</v>
      </c>
      <c r="C3891" s="3">
        <f t="shared" si="121"/>
        <v>12</v>
      </c>
      <c r="D3891" s="4">
        <v>27.16631538613056</v>
      </c>
      <c r="E3891" s="4"/>
      <c r="F3891" s="4">
        <v>29.703558531275</v>
      </c>
      <c r="G3891" s="4">
        <v>24</v>
      </c>
      <c r="H3891" s="5">
        <v>26.174427165733331</v>
      </c>
      <c r="I3891" s="5"/>
      <c r="J3891" s="5">
        <v>39.338802867166663</v>
      </c>
      <c r="K3891" s="5">
        <v>28</v>
      </c>
    </row>
    <row r="3892" spans="1:11" x14ac:dyDescent="0.25">
      <c r="A3892" s="2">
        <v>46259.541666666657</v>
      </c>
      <c r="B3892" t="str">
        <f t="shared" si="120"/>
        <v>2026-08</v>
      </c>
      <c r="C3892" s="3">
        <f t="shared" si="121"/>
        <v>13</v>
      </c>
      <c r="D3892" s="4">
        <v>26.903738954313891</v>
      </c>
      <c r="E3892" s="4"/>
      <c r="F3892" s="4">
        <v>29.70646898838611</v>
      </c>
      <c r="G3892" s="4">
        <v>24.1</v>
      </c>
      <c r="H3892" s="5">
        <v>26.103508246158331</v>
      </c>
      <c r="I3892" s="5"/>
      <c r="J3892" s="5">
        <v>39.26078248249722</v>
      </c>
      <c r="K3892" s="5">
        <v>28</v>
      </c>
    </row>
    <row r="3893" spans="1:11" x14ac:dyDescent="0.25">
      <c r="A3893" s="2">
        <v>46259.583333333343</v>
      </c>
      <c r="B3893" t="str">
        <f t="shared" si="120"/>
        <v>2026-08</v>
      </c>
      <c r="C3893" s="3">
        <f t="shared" si="121"/>
        <v>14</v>
      </c>
      <c r="D3893" s="4">
        <v>26.768976355863892</v>
      </c>
      <c r="E3893" s="4"/>
      <c r="F3893" s="4">
        <v>29.697415394327781</v>
      </c>
      <c r="G3893" s="4">
        <v>24.2</v>
      </c>
      <c r="H3893" s="5">
        <v>26.649619334130549</v>
      </c>
      <c r="I3893" s="5"/>
      <c r="J3893" s="5">
        <v>39.124466353413887</v>
      </c>
      <c r="K3893" s="5">
        <v>27</v>
      </c>
    </row>
    <row r="3894" spans="1:11" x14ac:dyDescent="0.25">
      <c r="A3894" s="2">
        <v>46259.625</v>
      </c>
      <c r="B3894" t="str">
        <f t="shared" si="120"/>
        <v>2026-08</v>
      </c>
      <c r="C3894" s="3">
        <f t="shared" si="121"/>
        <v>15</v>
      </c>
      <c r="D3894" s="4">
        <v>26.759077269363889</v>
      </c>
      <c r="E3894" s="4"/>
      <c r="F3894" s="4">
        <v>29.689914998436109</v>
      </c>
      <c r="G3894" s="4">
        <v>25.4</v>
      </c>
      <c r="H3894" s="5">
        <v>26.921082728013889</v>
      </c>
      <c r="I3894" s="5"/>
      <c r="J3894" s="5">
        <v>38.927870928777779</v>
      </c>
      <c r="K3894" s="5">
        <v>25</v>
      </c>
    </row>
    <row r="3895" spans="1:11" x14ac:dyDescent="0.25">
      <c r="A3895" s="2">
        <v>46259.666666666657</v>
      </c>
      <c r="B3895" t="str">
        <f t="shared" si="120"/>
        <v>2026-08</v>
      </c>
      <c r="C3895" s="3">
        <f t="shared" si="121"/>
        <v>16</v>
      </c>
      <c r="D3895" s="4">
        <v>26.764547582161111</v>
      </c>
      <c r="E3895" s="4"/>
      <c r="F3895" s="4">
        <v>29.685168296227779</v>
      </c>
      <c r="G3895" s="4">
        <v>25.1</v>
      </c>
      <c r="H3895" s="5">
        <v>28.25209140403334</v>
      </c>
      <c r="I3895" s="5"/>
      <c r="J3895" s="5">
        <v>38.827284030344451</v>
      </c>
      <c r="K3895" s="5">
        <v>25</v>
      </c>
    </row>
    <row r="3896" spans="1:11" x14ac:dyDescent="0.25">
      <c r="A3896" s="2">
        <v>46259.708333333343</v>
      </c>
      <c r="B3896" t="str">
        <f t="shared" si="120"/>
        <v>2026-08</v>
      </c>
      <c r="C3896" s="3">
        <f t="shared" si="121"/>
        <v>17</v>
      </c>
      <c r="D3896" s="4">
        <v>26.760858861563889</v>
      </c>
      <c r="E3896" s="4"/>
      <c r="F3896" s="4">
        <v>29.678554733536121</v>
      </c>
      <c r="G3896" s="4">
        <v>25</v>
      </c>
      <c r="H3896" s="5">
        <v>28.22549323133056</v>
      </c>
      <c r="I3896" s="5"/>
      <c r="J3896" s="5">
        <v>39.234204344802777</v>
      </c>
      <c r="K3896" s="5">
        <v>25</v>
      </c>
    </row>
    <row r="3897" spans="1:11" x14ac:dyDescent="0.25">
      <c r="A3897" s="2">
        <v>46259.75</v>
      </c>
      <c r="B3897" t="str">
        <f t="shared" si="120"/>
        <v>2026-08</v>
      </c>
      <c r="C3897" s="3">
        <f t="shared" si="121"/>
        <v>18</v>
      </c>
      <c r="D3897" s="4">
        <v>26.66757809569167</v>
      </c>
      <c r="E3897" s="4"/>
      <c r="F3897" s="4">
        <v>29.686836088677779</v>
      </c>
      <c r="G3897" s="4">
        <v>24.6</v>
      </c>
      <c r="H3897" s="5">
        <v>28.658944073336109</v>
      </c>
      <c r="I3897" s="5"/>
      <c r="J3897" s="5">
        <v>39.489712799350002</v>
      </c>
      <c r="K3897" s="5">
        <v>26</v>
      </c>
    </row>
    <row r="3898" spans="1:11" x14ac:dyDescent="0.25">
      <c r="A3898" s="2">
        <v>46259.791666666657</v>
      </c>
      <c r="B3898" t="str">
        <f t="shared" si="120"/>
        <v>2026-08</v>
      </c>
      <c r="C3898" s="3">
        <f t="shared" si="121"/>
        <v>19</v>
      </c>
      <c r="D3898" s="4">
        <v>26.37191939921945</v>
      </c>
      <c r="E3898" s="4"/>
      <c r="F3898" s="4">
        <v>29.703110911513889</v>
      </c>
      <c r="G3898" s="4">
        <v>23.8</v>
      </c>
      <c r="H3898" s="5">
        <v>30.788331192983328</v>
      </c>
      <c r="I3898" s="5"/>
      <c r="J3898" s="5">
        <v>39.615568758444446</v>
      </c>
      <c r="K3898" s="5">
        <v>29</v>
      </c>
    </row>
    <row r="3899" spans="1:11" x14ac:dyDescent="0.25">
      <c r="A3899" s="2">
        <v>46259.833333333343</v>
      </c>
      <c r="B3899" t="str">
        <f t="shared" si="120"/>
        <v>2026-08</v>
      </c>
      <c r="C3899" s="3">
        <f t="shared" si="121"/>
        <v>20</v>
      </c>
      <c r="D3899" s="4">
        <v>25.907018872355561</v>
      </c>
      <c r="E3899" s="4"/>
      <c r="F3899" s="4">
        <v>29.701970951549999</v>
      </c>
      <c r="G3899" s="4">
        <v>22.2</v>
      </c>
      <c r="H3899" s="5">
        <v>31.174552846797219</v>
      </c>
      <c r="I3899" s="5"/>
      <c r="J3899" s="5">
        <v>39.622657447602784</v>
      </c>
      <c r="K3899" s="5">
        <v>35</v>
      </c>
    </row>
    <row r="3900" spans="1:11" x14ac:dyDescent="0.25">
      <c r="A3900" s="2">
        <v>46259.875</v>
      </c>
      <c r="B3900" t="str">
        <f t="shared" si="120"/>
        <v>2026-08</v>
      </c>
      <c r="C3900" s="3">
        <f t="shared" si="121"/>
        <v>21</v>
      </c>
      <c r="D3900" s="4">
        <v>25.530325784566671</v>
      </c>
      <c r="E3900" s="4"/>
      <c r="F3900" s="4">
        <v>29.684998743405561</v>
      </c>
      <c r="G3900" s="4">
        <v>20.6</v>
      </c>
      <c r="H3900" s="5">
        <v>31.564040053577781</v>
      </c>
      <c r="I3900" s="5"/>
      <c r="J3900" s="5">
        <v>39.465865208277783</v>
      </c>
      <c r="K3900" s="5">
        <v>39</v>
      </c>
    </row>
    <row r="3901" spans="1:11" x14ac:dyDescent="0.25">
      <c r="A3901" s="2">
        <v>46259.916666666657</v>
      </c>
      <c r="B3901" t="str">
        <f t="shared" si="120"/>
        <v>2026-08</v>
      </c>
      <c r="C3901" s="3">
        <f t="shared" si="121"/>
        <v>22</v>
      </c>
      <c r="D3901" s="4">
        <v>25.426729399675001</v>
      </c>
      <c r="E3901" s="4"/>
      <c r="F3901" s="4">
        <v>29.690890416647221</v>
      </c>
      <c r="G3901" s="4">
        <v>20.3</v>
      </c>
      <c r="H3901" s="5">
        <v>31.719156458775</v>
      </c>
      <c r="I3901" s="5"/>
      <c r="J3901" s="5">
        <v>39.36730552546944</v>
      </c>
      <c r="K3901" s="5">
        <v>39</v>
      </c>
    </row>
    <row r="3902" spans="1:11" x14ac:dyDescent="0.25">
      <c r="A3902" s="2">
        <v>46259.958333333343</v>
      </c>
      <c r="B3902" t="str">
        <f t="shared" si="120"/>
        <v>2026-08</v>
      </c>
      <c r="C3902" s="3">
        <f t="shared" si="121"/>
        <v>23</v>
      </c>
      <c r="D3902" s="4">
        <v>25.414804721880561</v>
      </c>
      <c r="E3902" s="4"/>
      <c r="F3902" s="4">
        <v>29.700055119375001</v>
      </c>
      <c r="G3902" s="4">
        <v>19.899999999999999</v>
      </c>
      <c r="H3902" s="5">
        <v>32.608382159008329</v>
      </c>
      <c r="I3902" s="5"/>
      <c r="J3902" s="5">
        <v>39.275056389758333</v>
      </c>
      <c r="K3902" s="5">
        <v>40</v>
      </c>
    </row>
    <row r="3903" spans="1:11" x14ac:dyDescent="0.25">
      <c r="A3903" s="2">
        <v>46260</v>
      </c>
      <c r="B3903" t="str">
        <f t="shared" si="120"/>
        <v>2026-08</v>
      </c>
      <c r="C3903" s="3">
        <f t="shared" si="121"/>
        <v>0</v>
      </c>
      <c r="D3903" s="4">
        <v>25.139086596024999</v>
      </c>
      <c r="E3903" s="4"/>
      <c r="F3903" s="4">
        <v>29.70260925644444</v>
      </c>
      <c r="G3903" s="4">
        <v>18.600000000000001</v>
      </c>
      <c r="H3903" s="5">
        <v>32.326391250783331</v>
      </c>
      <c r="I3903" s="5"/>
      <c r="J3903" s="5">
        <v>39.207284022849997</v>
      </c>
      <c r="K3903" s="5">
        <v>44</v>
      </c>
    </row>
    <row r="3904" spans="1:11" x14ac:dyDescent="0.25">
      <c r="A3904" s="2">
        <v>46260.041666666657</v>
      </c>
      <c r="B3904" t="str">
        <f t="shared" si="120"/>
        <v>2026-08</v>
      </c>
      <c r="C3904" s="3">
        <f t="shared" si="121"/>
        <v>1</v>
      </c>
      <c r="D3904" s="4">
        <v>24.620480111833331</v>
      </c>
      <c r="E3904" s="4"/>
      <c r="F3904" s="4">
        <v>29.66335370118334</v>
      </c>
      <c r="G3904" s="4">
        <v>17.2</v>
      </c>
      <c r="H3904" s="5">
        <v>32.848547317891658</v>
      </c>
      <c r="I3904" s="5"/>
      <c r="J3904" s="5">
        <v>39.063069144883343</v>
      </c>
      <c r="K3904" s="5">
        <v>50</v>
      </c>
    </row>
    <row r="3905" spans="1:11" x14ac:dyDescent="0.25">
      <c r="A3905" s="2">
        <v>46260.083333333343</v>
      </c>
      <c r="B3905" t="str">
        <f t="shared" si="120"/>
        <v>2026-08</v>
      </c>
      <c r="C3905" s="3">
        <f t="shared" si="121"/>
        <v>2</v>
      </c>
      <c r="D3905" s="4">
        <v>24.279748121938891</v>
      </c>
      <c r="E3905" s="4"/>
      <c r="F3905" s="4">
        <v>29.622853593488891</v>
      </c>
      <c r="G3905" s="4">
        <v>16.5</v>
      </c>
      <c r="H3905" s="5">
        <v>32.850048857294453</v>
      </c>
      <c r="I3905" s="5"/>
      <c r="J3905" s="5">
        <v>38.91401371554722</v>
      </c>
      <c r="K3905" s="5">
        <v>54</v>
      </c>
    </row>
    <row r="3906" spans="1:11" x14ac:dyDescent="0.25">
      <c r="A3906" s="2">
        <v>46260.125</v>
      </c>
      <c r="B3906" t="str">
        <f t="shared" ref="B3906:B3969" si="122">TEXT(A3906,"yyyy-mm")</f>
        <v>2026-08</v>
      </c>
      <c r="C3906" s="3">
        <f t="shared" ref="C3906:C3969" si="123">HOUR(A3906)</f>
        <v>3</v>
      </c>
      <c r="D3906" s="4">
        <v>23.99857595598333</v>
      </c>
      <c r="E3906" s="4"/>
      <c r="F3906" s="4">
        <v>29.558046467002779</v>
      </c>
      <c r="G3906" s="4">
        <v>15.5</v>
      </c>
      <c r="H3906" s="5">
        <v>32.771043785938893</v>
      </c>
      <c r="I3906" s="5"/>
      <c r="J3906" s="5">
        <v>38.49799623991111</v>
      </c>
      <c r="K3906" s="5">
        <v>58</v>
      </c>
    </row>
    <row r="3907" spans="1:11" x14ac:dyDescent="0.25">
      <c r="A3907" s="2">
        <v>46260.166666666657</v>
      </c>
      <c r="B3907" t="str">
        <f t="shared" si="122"/>
        <v>2026-08</v>
      </c>
      <c r="C3907" s="3">
        <f t="shared" si="123"/>
        <v>4</v>
      </c>
      <c r="D3907" s="4">
        <v>23.903644489697221</v>
      </c>
      <c r="E3907" s="4"/>
      <c r="F3907" s="4">
        <v>29.50179803913333</v>
      </c>
      <c r="G3907" s="4">
        <v>15.4</v>
      </c>
      <c r="H3907" s="5">
        <v>34.401037914683343</v>
      </c>
      <c r="I3907" s="5"/>
      <c r="J3907" s="5">
        <v>38.256142056816657</v>
      </c>
      <c r="K3907" s="5">
        <v>58</v>
      </c>
    </row>
    <row r="3908" spans="1:11" x14ac:dyDescent="0.25">
      <c r="A3908" s="2">
        <v>46260.208333333343</v>
      </c>
      <c r="B3908" t="str">
        <f t="shared" si="122"/>
        <v>2026-08</v>
      </c>
      <c r="C3908" s="3">
        <f t="shared" si="123"/>
        <v>5</v>
      </c>
      <c r="D3908" s="4">
        <v>23.712980433036108</v>
      </c>
      <c r="E3908" s="4"/>
      <c r="F3908" s="4">
        <v>29.465996645886111</v>
      </c>
      <c r="G3908" s="4">
        <v>15.8</v>
      </c>
      <c r="H3908" s="5">
        <v>40.061245080036109</v>
      </c>
      <c r="I3908" s="5"/>
      <c r="J3908" s="5">
        <v>38.792904867258343</v>
      </c>
      <c r="K3908" s="5">
        <v>57</v>
      </c>
    </row>
    <row r="3909" spans="1:11" x14ac:dyDescent="0.25">
      <c r="A3909" s="2">
        <v>46260.25</v>
      </c>
      <c r="B3909" t="str">
        <f t="shared" si="122"/>
        <v>2026-08</v>
      </c>
      <c r="C3909" s="3">
        <f t="shared" si="123"/>
        <v>6</v>
      </c>
      <c r="D3909" s="4">
        <v>23.48304270661944</v>
      </c>
      <c r="E3909" s="4"/>
      <c r="F3909" s="4">
        <v>29.46027509055833</v>
      </c>
      <c r="G3909" s="4">
        <v>15.9</v>
      </c>
      <c r="H3909" s="5">
        <v>41.452787231166667</v>
      </c>
      <c r="I3909" s="5"/>
      <c r="J3909" s="5">
        <v>39.291641628847223</v>
      </c>
      <c r="K3909" s="5">
        <v>57</v>
      </c>
    </row>
    <row r="3910" spans="1:11" x14ac:dyDescent="0.25">
      <c r="A3910" s="2">
        <v>46260.291666666657</v>
      </c>
      <c r="B3910" t="str">
        <f t="shared" si="122"/>
        <v>2026-08</v>
      </c>
      <c r="C3910" s="3">
        <f t="shared" si="123"/>
        <v>7</v>
      </c>
      <c r="D3910" s="4">
        <v>23.425126013458328</v>
      </c>
      <c r="E3910" s="4"/>
      <c r="F3910" s="4">
        <v>29.449055630808331</v>
      </c>
      <c r="G3910" s="4">
        <v>16.600000000000001</v>
      </c>
      <c r="H3910" s="5">
        <v>41.131803122975001</v>
      </c>
      <c r="I3910" s="5"/>
      <c r="J3910" s="5">
        <v>39.50322091272222</v>
      </c>
      <c r="K3910" s="5">
        <v>54</v>
      </c>
    </row>
    <row r="3911" spans="1:11" x14ac:dyDescent="0.25">
      <c r="A3911" s="2">
        <v>46260.333333333343</v>
      </c>
      <c r="B3911" t="str">
        <f t="shared" si="122"/>
        <v>2026-08</v>
      </c>
      <c r="C3911" s="3">
        <f t="shared" si="123"/>
        <v>8</v>
      </c>
      <c r="D3911" s="4">
        <v>23.359133856422229</v>
      </c>
      <c r="E3911" s="4"/>
      <c r="F3911" s="4">
        <v>29.447554003311112</v>
      </c>
      <c r="G3911" s="4">
        <v>16.7</v>
      </c>
      <c r="H3911" s="5">
        <v>39.304626691694438</v>
      </c>
      <c r="I3911" s="5"/>
      <c r="J3911" s="5">
        <v>39.64960983872222</v>
      </c>
      <c r="K3911" s="5">
        <v>54</v>
      </c>
    </row>
    <row r="3912" spans="1:11" x14ac:dyDescent="0.25">
      <c r="A3912" s="2">
        <v>46260.375</v>
      </c>
      <c r="B3912" t="str">
        <f t="shared" si="122"/>
        <v>2026-08</v>
      </c>
      <c r="C3912" s="3">
        <f t="shared" si="123"/>
        <v>9</v>
      </c>
      <c r="D3912" s="4">
        <v>23.799707709469441</v>
      </c>
      <c r="E3912" s="4"/>
      <c r="F3912" s="4">
        <v>29.437859506666669</v>
      </c>
      <c r="G3912" s="4">
        <v>17.100000000000001</v>
      </c>
      <c r="H3912" s="5">
        <v>38.366079273983331</v>
      </c>
      <c r="I3912" s="5"/>
      <c r="J3912" s="5">
        <v>39.633513263511112</v>
      </c>
      <c r="K3912" s="5">
        <v>55</v>
      </c>
    </row>
    <row r="3913" spans="1:11" x14ac:dyDescent="0.25">
      <c r="A3913" s="2">
        <v>46260.416666666657</v>
      </c>
      <c r="B3913" t="str">
        <f t="shared" si="122"/>
        <v>2026-08</v>
      </c>
      <c r="C3913" s="3">
        <f t="shared" si="123"/>
        <v>10</v>
      </c>
      <c r="D3913" s="4">
        <v>24.287278479952771</v>
      </c>
      <c r="E3913" s="4"/>
      <c r="F3913" s="4">
        <v>29.40546708278611</v>
      </c>
      <c r="G3913" s="4">
        <v>20.7</v>
      </c>
      <c r="H3913" s="5">
        <v>37.231345630980563</v>
      </c>
      <c r="I3913" s="5"/>
      <c r="J3913" s="5">
        <v>39.536077921897217</v>
      </c>
      <c r="K3913" s="5">
        <v>42</v>
      </c>
    </row>
    <row r="3914" spans="1:11" x14ac:dyDescent="0.25">
      <c r="A3914" s="2">
        <v>46260.458333333343</v>
      </c>
      <c r="B3914" t="str">
        <f t="shared" si="122"/>
        <v>2026-08</v>
      </c>
      <c r="C3914" s="3">
        <f t="shared" si="123"/>
        <v>11</v>
      </c>
      <c r="D3914" s="4">
        <v>25.01356574706389</v>
      </c>
      <c r="E3914" s="4"/>
      <c r="F3914" s="4">
        <v>29.41239061078889</v>
      </c>
      <c r="G3914" s="4">
        <v>22.5</v>
      </c>
      <c r="H3914" s="5">
        <v>33.731410010211107</v>
      </c>
      <c r="I3914" s="5"/>
      <c r="J3914" s="5">
        <v>39.188913096924999</v>
      </c>
      <c r="K3914" s="5">
        <v>37</v>
      </c>
    </row>
    <row r="3915" spans="1:11" x14ac:dyDescent="0.25">
      <c r="A3915" s="2">
        <v>46260.5</v>
      </c>
      <c r="B3915" t="str">
        <f t="shared" si="122"/>
        <v>2026-08</v>
      </c>
      <c r="C3915" s="3">
        <f t="shared" si="123"/>
        <v>12</v>
      </c>
      <c r="D3915" s="4">
        <v>25.478857003741659</v>
      </c>
      <c r="E3915" s="4"/>
      <c r="F3915" s="4">
        <v>29.410753427900001</v>
      </c>
      <c r="G3915" s="4">
        <v>23.6</v>
      </c>
      <c r="H3915" s="5">
        <v>31.367426543724999</v>
      </c>
      <c r="I3915" s="5"/>
      <c r="J3915" s="5">
        <v>38.765323807338888</v>
      </c>
      <c r="K3915" s="5">
        <v>34</v>
      </c>
    </row>
    <row r="3916" spans="1:11" x14ac:dyDescent="0.25">
      <c r="A3916" s="2">
        <v>46260.541666666657</v>
      </c>
      <c r="B3916" t="str">
        <f t="shared" si="122"/>
        <v>2026-08</v>
      </c>
      <c r="C3916" s="3">
        <f t="shared" si="123"/>
        <v>13</v>
      </c>
      <c r="D3916" s="4">
        <v>25.92324116331389</v>
      </c>
      <c r="E3916" s="4"/>
      <c r="F3916" s="4">
        <v>29.453869120549999</v>
      </c>
      <c r="G3916" s="4">
        <v>24.2</v>
      </c>
      <c r="H3916" s="5">
        <v>31.686562597605551</v>
      </c>
      <c r="I3916" s="5"/>
      <c r="J3916" s="5">
        <v>39.022949515569437</v>
      </c>
      <c r="K3916" s="5">
        <v>33</v>
      </c>
    </row>
    <row r="3917" spans="1:11" x14ac:dyDescent="0.25">
      <c r="A3917" s="2">
        <v>46260.583333333343</v>
      </c>
      <c r="B3917" t="str">
        <f t="shared" si="122"/>
        <v>2026-08</v>
      </c>
      <c r="C3917" s="3">
        <f t="shared" si="123"/>
        <v>14</v>
      </c>
      <c r="D3917" s="4">
        <v>26.182591484694441</v>
      </c>
      <c r="E3917" s="4"/>
      <c r="F3917" s="4">
        <v>29.509896482205558</v>
      </c>
      <c r="G3917" s="4">
        <v>24</v>
      </c>
      <c r="H3917" s="5">
        <v>31.544267594233329</v>
      </c>
      <c r="I3917" s="5"/>
      <c r="J3917" s="5">
        <v>39.122236786311113</v>
      </c>
      <c r="K3917" s="5">
        <v>34</v>
      </c>
    </row>
    <row r="3918" spans="1:11" x14ac:dyDescent="0.25">
      <c r="A3918" s="2">
        <v>46260.625</v>
      </c>
      <c r="B3918" t="str">
        <f t="shared" si="122"/>
        <v>2026-08</v>
      </c>
      <c r="C3918" s="3">
        <f t="shared" si="123"/>
        <v>15</v>
      </c>
      <c r="D3918" s="4">
        <v>26.242297375822229</v>
      </c>
      <c r="E3918" s="4"/>
      <c r="F3918" s="4">
        <v>29.373933628736111</v>
      </c>
      <c r="G3918" s="4">
        <v>24.7</v>
      </c>
      <c r="H3918" s="5">
        <v>31.66187011400833</v>
      </c>
      <c r="I3918" s="5"/>
      <c r="J3918" s="5">
        <v>38.436519088658343</v>
      </c>
      <c r="K3918" s="5">
        <v>31</v>
      </c>
    </row>
    <row r="3919" spans="1:11" x14ac:dyDescent="0.25">
      <c r="A3919" s="2">
        <v>46260.666666666657</v>
      </c>
      <c r="B3919" t="str">
        <f t="shared" si="122"/>
        <v>2026-08</v>
      </c>
      <c r="C3919" s="3">
        <f t="shared" si="123"/>
        <v>16</v>
      </c>
      <c r="D3919" s="4">
        <v>26.254044244697219</v>
      </c>
      <c r="E3919" s="4"/>
      <c r="F3919" s="4">
        <v>29.485233149908339</v>
      </c>
      <c r="G3919" s="4">
        <v>23.8</v>
      </c>
      <c r="H3919" s="5">
        <v>32.976437562330553</v>
      </c>
      <c r="I3919" s="5"/>
      <c r="J3919" s="5">
        <v>38.948349524769441</v>
      </c>
      <c r="K3919" s="5">
        <v>36</v>
      </c>
    </row>
    <row r="3920" spans="1:11" x14ac:dyDescent="0.25">
      <c r="A3920" s="2">
        <v>46260.708333333343</v>
      </c>
      <c r="B3920" t="str">
        <f t="shared" si="122"/>
        <v>2026-08</v>
      </c>
      <c r="C3920" s="3">
        <f t="shared" si="123"/>
        <v>17</v>
      </c>
      <c r="D3920" s="4">
        <v>26.038627184508329</v>
      </c>
      <c r="E3920" s="4"/>
      <c r="F3920" s="4">
        <v>29.605935030322211</v>
      </c>
      <c r="G3920" s="4">
        <v>22.9</v>
      </c>
      <c r="H3920" s="5">
        <v>34.077091396358327</v>
      </c>
      <c r="I3920" s="5"/>
      <c r="J3920" s="5">
        <v>39.111552164183337</v>
      </c>
      <c r="K3920" s="5">
        <v>40</v>
      </c>
    </row>
    <row r="3921" spans="1:11" x14ac:dyDescent="0.25">
      <c r="A3921" s="2">
        <v>46260.75</v>
      </c>
      <c r="B3921" t="str">
        <f t="shared" si="122"/>
        <v>2026-08</v>
      </c>
      <c r="C3921" s="3">
        <f t="shared" si="123"/>
        <v>18</v>
      </c>
      <c r="D3921" s="4">
        <v>25.859339256675</v>
      </c>
      <c r="E3921" s="4"/>
      <c r="F3921" s="4">
        <v>29.525096822127779</v>
      </c>
      <c r="G3921" s="4">
        <v>21.9</v>
      </c>
      <c r="H3921" s="5">
        <v>36.352613483855563</v>
      </c>
      <c r="I3921" s="5"/>
      <c r="J3921" s="5">
        <v>39.801099324583333</v>
      </c>
      <c r="K3921" s="5">
        <v>44</v>
      </c>
    </row>
    <row r="3922" spans="1:11" x14ac:dyDescent="0.25">
      <c r="A3922" s="2">
        <v>46260.791666666657</v>
      </c>
      <c r="B3922" t="str">
        <f t="shared" si="122"/>
        <v>2026-08</v>
      </c>
      <c r="C3922" s="3">
        <f t="shared" si="123"/>
        <v>19</v>
      </c>
      <c r="D3922" s="4">
        <v>25.522187490136119</v>
      </c>
      <c r="E3922" s="4"/>
      <c r="F3922" s="4">
        <v>29.539409793766669</v>
      </c>
      <c r="G3922" s="4">
        <v>21.6</v>
      </c>
      <c r="H3922" s="5">
        <v>38.081988009372232</v>
      </c>
      <c r="I3922" s="5"/>
      <c r="J3922" s="5">
        <v>40.346439890647233</v>
      </c>
      <c r="K3922" s="5">
        <v>45</v>
      </c>
    </row>
    <row r="3923" spans="1:11" x14ac:dyDescent="0.25">
      <c r="A3923" s="2">
        <v>46260.833333333343</v>
      </c>
      <c r="B3923" t="str">
        <f t="shared" si="122"/>
        <v>2026-08</v>
      </c>
      <c r="C3923" s="3">
        <f t="shared" si="123"/>
        <v>20</v>
      </c>
      <c r="D3923" s="4">
        <v>25.479429407708331</v>
      </c>
      <c r="E3923" s="4"/>
      <c r="F3923" s="4">
        <v>29.67161955726111</v>
      </c>
      <c r="G3923" s="4">
        <v>21</v>
      </c>
      <c r="H3923" s="5">
        <v>37.325917057727771</v>
      </c>
      <c r="I3923" s="5"/>
      <c r="J3923" s="5">
        <v>40.410532657980553</v>
      </c>
      <c r="K3923" s="5">
        <v>51</v>
      </c>
    </row>
    <row r="3924" spans="1:11" x14ac:dyDescent="0.25">
      <c r="A3924" s="2">
        <v>46260.875</v>
      </c>
      <c r="B3924" t="str">
        <f t="shared" si="122"/>
        <v>2026-08</v>
      </c>
      <c r="C3924" s="3">
        <f t="shared" si="123"/>
        <v>21</v>
      </c>
      <c r="D3924" s="4">
        <v>25.437264016111111</v>
      </c>
      <c r="E3924" s="4"/>
      <c r="F3924" s="4">
        <v>29.697107014080551</v>
      </c>
      <c r="G3924" s="4">
        <v>20.100000000000001</v>
      </c>
      <c r="H3924" s="5">
        <v>35.587942782936111</v>
      </c>
      <c r="I3924" s="5"/>
      <c r="J3924" s="5">
        <v>40.00226207525278</v>
      </c>
      <c r="K3924" s="5">
        <v>56</v>
      </c>
    </row>
    <row r="3925" spans="1:11" x14ac:dyDescent="0.25">
      <c r="A3925" s="2">
        <v>46260.916666666657</v>
      </c>
      <c r="B3925" t="str">
        <f t="shared" si="122"/>
        <v>2026-08</v>
      </c>
      <c r="C3925" s="3">
        <f t="shared" si="123"/>
        <v>22</v>
      </c>
      <c r="D3925" s="4">
        <v>25.605680958627779</v>
      </c>
      <c r="E3925" s="4"/>
      <c r="F3925" s="4">
        <v>29.690276166883329</v>
      </c>
      <c r="G3925" s="4">
        <v>19.600000000000001</v>
      </c>
      <c r="H3925" s="5">
        <v>34.414461614288889</v>
      </c>
      <c r="I3925" s="5"/>
      <c r="J3925" s="5">
        <v>39.933574277633333</v>
      </c>
      <c r="K3925" s="5">
        <v>62</v>
      </c>
    </row>
    <row r="3926" spans="1:11" x14ac:dyDescent="0.25">
      <c r="A3926" s="2">
        <v>46260.958333333343</v>
      </c>
      <c r="B3926" t="str">
        <f t="shared" si="122"/>
        <v>2026-08</v>
      </c>
      <c r="C3926" s="3">
        <f t="shared" si="123"/>
        <v>23</v>
      </c>
      <c r="D3926" s="4">
        <v>25.538970621097221</v>
      </c>
      <c r="E3926" s="4"/>
      <c r="F3926" s="4">
        <v>29.680662700683332</v>
      </c>
      <c r="G3926" s="4">
        <v>19.100000000000001</v>
      </c>
      <c r="H3926" s="5">
        <v>34.538144511288877</v>
      </c>
      <c r="I3926" s="5"/>
      <c r="J3926" s="5">
        <v>39.847422593536109</v>
      </c>
      <c r="K3926" s="5">
        <v>63</v>
      </c>
    </row>
    <row r="3927" spans="1:11" x14ac:dyDescent="0.25">
      <c r="A3927" s="2">
        <v>46261</v>
      </c>
      <c r="B3927" t="str">
        <f t="shared" si="122"/>
        <v>2026-08</v>
      </c>
      <c r="C3927" s="3">
        <f t="shared" si="123"/>
        <v>0</v>
      </c>
      <c r="D3927" s="4">
        <v>24.79005008805834</v>
      </c>
      <c r="E3927" s="4"/>
      <c r="F3927" s="4">
        <v>29.606540095425</v>
      </c>
      <c r="G3927" s="4">
        <v>19.2</v>
      </c>
      <c r="H3927" s="5">
        <v>36.036777827861108</v>
      </c>
      <c r="I3927" s="5"/>
      <c r="J3927" s="5">
        <v>39.534979685258328</v>
      </c>
      <c r="K3927" s="5">
        <v>56</v>
      </c>
    </row>
    <row r="3928" spans="1:11" x14ac:dyDescent="0.25">
      <c r="A3928" s="2">
        <v>46261.041666666657</v>
      </c>
      <c r="B3928" t="str">
        <f t="shared" si="122"/>
        <v>2026-08</v>
      </c>
      <c r="C3928" s="3">
        <f t="shared" si="123"/>
        <v>1</v>
      </c>
      <c r="D3928" s="4">
        <v>24.311611677363889</v>
      </c>
      <c r="E3928" s="4"/>
      <c r="F3928" s="4">
        <v>29.565498440658331</v>
      </c>
      <c r="G3928" s="4">
        <v>18.5</v>
      </c>
      <c r="H3928" s="5">
        <v>40.692954167811109</v>
      </c>
      <c r="I3928" s="5"/>
      <c r="J3928" s="5">
        <v>39.735245161980551</v>
      </c>
      <c r="K3928" s="5">
        <v>55</v>
      </c>
    </row>
    <row r="3929" spans="1:11" x14ac:dyDescent="0.25">
      <c r="A3929" s="2">
        <v>46261.083333333343</v>
      </c>
      <c r="B3929" t="str">
        <f t="shared" si="122"/>
        <v>2026-08</v>
      </c>
      <c r="C3929" s="3">
        <f t="shared" si="123"/>
        <v>2</v>
      </c>
      <c r="D3929" s="4">
        <v>23.948123701825001</v>
      </c>
      <c r="E3929" s="4"/>
      <c r="F3929" s="4">
        <v>29.17239332022778</v>
      </c>
      <c r="G3929" s="4">
        <v>18.100000000000001</v>
      </c>
      <c r="H3929" s="5">
        <v>47.032411599180563</v>
      </c>
      <c r="I3929" s="5"/>
      <c r="J3929" s="5">
        <v>42.303702298383342</v>
      </c>
      <c r="K3929" s="5">
        <v>57</v>
      </c>
    </row>
    <row r="3930" spans="1:11" x14ac:dyDescent="0.25">
      <c r="A3930" s="2">
        <v>46261.125</v>
      </c>
      <c r="B3930" t="str">
        <f t="shared" si="122"/>
        <v>2026-08</v>
      </c>
      <c r="C3930" s="3">
        <f t="shared" si="123"/>
        <v>3</v>
      </c>
      <c r="D3930" s="4">
        <v>23.661096544205549</v>
      </c>
      <c r="E3930" s="4"/>
      <c r="F3930" s="4">
        <v>28.408477247874998</v>
      </c>
      <c r="G3930" s="4">
        <v>16.399999999999999</v>
      </c>
      <c r="H3930" s="5">
        <v>48.281999741024997</v>
      </c>
      <c r="I3930" s="5"/>
      <c r="J3930" s="5">
        <v>45.415014186874998</v>
      </c>
      <c r="K3930" s="5">
        <v>72</v>
      </c>
    </row>
    <row r="3931" spans="1:11" x14ac:dyDescent="0.25">
      <c r="A3931" s="2">
        <v>46261.166666666657</v>
      </c>
      <c r="B3931" t="str">
        <f t="shared" si="122"/>
        <v>2026-08</v>
      </c>
      <c r="C3931" s="3">
        <f t="shared" si="123"/>
        <v>4</v>
      </c>
      <c r="D3931" s="4">
        <v>23.40210363712778</v>
      </c>
      <c r="E3931" s="4"/>
      <c r="F3931" s="4">
        <v>28.917916906350001</v>
      </c>
      <c r="G3931" s="4">
        <v>16</v>
      </c>
      <c r="H3931" s="5">
        <v>46.960901709680549</v>
      </c>
      <c r="I3931" s="5"/>
      <c r="J3931" s="5">
        <v>43.289776575988888</v>
      </c>
      <c r="K3931" s="5">
        <v>75</v>
      </c>
    </row>
    <row r="3932" spans="1:11" x14ac:dyDescent="0.25">
      <c r="A3932" s="2">
        <v>46261.208333333343</v>
      </c>
      <c r="B3932" t="str">
        <f t="shared" si="122"/>
        <v>2026-08</v>
      </c>
      <c r="C3932" s="3">
        <f t="shared" si="123"/>
        <v>5</v>
      </c>
      <c r="D3932" s="4">
        <v>23.39810891786945</v>
      </c>
      <c r="E3932" s="4"/>
      <c r="F3932" s="4">
        <v>29.082641156125</v>
      </c>
      <c r="G3932" s="4">
        <v>15.8</v>
      </c>
      <c r="H3932" s="5">
        <v>45.679075624166671</v>
      </c>
      <c r="I3932" s="5"/>
      <c r="J3932" s="5">
        <v>42.512046156797233</v>
      </c>
      <c r="K3932" s="5">
        <v>76</v>
      </c>
    </row>
    <row r="3933" spans="1:11" x14ac:dyDescent="0.25">
      <c r="A3933" s="2">
        <v>46261.25</v>
      </c>
      <c r="B3933" t="str">
        <f t="shared" si="122"/>
        <v>2026-08</v>
      </c>
      <c r="C3933" s="3">
        <f t="shared" si="123"/>
        <v>6</v>
      </c>
      <c r="D3933" s="4">
        <v>23.293737455847221</v>
      </c>
      <c r="E3933" s="4"/>
      <c r="F3933" s="4">
        <v>29.133264416566661</v>
      </c>
      <c r="G3933" s="4">
        <v>15.8</v>
      </c>
      <c r="H3933" s="5">
        <v>46.140651591050002</v>
      </c>
      <c r="I3933" s="5"/>
      <c r="J3933" s="5">
        <v>42.230691572741669</v>
      </c>
      <c r="K3933" s="5">
        <v>74</v>
      </c>
    </row>
    <row r="3934" spans="1:11" x14ac:dyDescent="0.25">
      <c r="A3934" s="2">
        <v>46261.291666666657</v>
      </c>
      <c r="B3934" t="str">
        <f t="shared" si="122"/>
        <v>2026-08</v>
      </c>
      <c r="C3934" s="3">
        <f t="shared" si="123"/>
        <v>7</v>
      </c>
      <c r="D3934" s="4">
        <v>23.183116049483331</v>
      </c>
      <c r="E3934" s="4"/>
      <c r="F3934" s="4">
        <v>29.183890913266669</v>
      </c>
      <c r="G3934" s="4">
        <v>16</v>
      </c>
      <c r="H3934" s="5">
        <v>47.517018000741672</v>
      </c>
      <c r="I3934" s="5"/>
      <c r="J3934" s="5">
        <v>42.173852561647223</v>
      </c>
      <c r="K3934" s="5">
        <v>70</v>
      </c>
    </row>
    <row r="3935" spans="1:11" x14ac:dyDescent="0.25">
      <c r="A3935" s="2">
        <v>46261.333333333343</v>
      </c>
      <c r="B3935" t="str">
        <f t="shared" si="122"/>
        <v>2026-08</v>
      </c>
      <c r="C3935" s="3">
        <f t="shared" si="123"/>
        <v>8</v>
      </c>
      <c r="D3935" s="4">
        <v>23.49697915231112</v>
      </c>
      <c r="E3935" s="4"/>
      <c r="F3935" s="4">
        <v>29.18116404674722</v>
      </c>
      <c r="G3935" s="4">
        <v>16.899999999999999</v>
      </c>
      <c r="H3935" s="5">
        <v>46.367563589427768</v>
      </c>
      <c r="I3935" s="5"/>
      <c r="J3935" s="5">
        <v>42.256957196716662</v>
      </c>
      <c r="K3935" s="5">
        <v>65</v>
      </c>
    </row>
    <row r="3936" spans="1:11" x14ac:dyDescent="0.25">
      <c r="A3936" s="2">
        <v>46261.375</v>
      </c>
      <c r="B3936" t="str">
        <f t="shared" si="122"/>
        <v>2026-08</v>
      </c>
      <c r="C3936" s="3">
        <f t="shared" si="123"/>
        <v>9</v>
      </c>
      <c r="D3936" s="4">
        <v>23.884284027947221</v>
      </c>
      <c r="E3936" s="4"/>
      <c r="F3936" s="4">
        <v>29.125242160763889</v>
      </c>
      <c r="G3936" s="4">
        <v>17.8</v>
      </c>
      <c r="H3936" s="5">
        <v>44.239796650008337</v>
      </c>
      <c r="I3936" s="5"/>
      <c r="J3936" s="5">
        <v>42.241438122319437</v>
      </c>
      <c r="K3936" s="5">
        <v>65</v>
      </c>
    </row>
    <row r="3937" spans="1:11" x14ac:dyDescent="0.25">
      <c r="A3937" s="2">
        <v>46261.416666666657</v>
      </c>
      <c r="B3937" t="str">
        <f t="shared" si="122"/>
        <v>2026-08</v>
      </c>
      <c r="C3937" s="3">
        <f t="shared" si="123"/>
        <v>10</v>
      </c>
      <c r="D3937" s="4">
        <v>24.176134274824999</v>
      </c>
      <c r="E3937" s="4"/>
      <c r="F3937" s="4">
        <v>29.115918077744439</v>
      </c>
      <c r="G3937" s="4">
        <v>19.2</v>
      </c>
      <c r="H3937" s="5">
        <v>41.839754705027779</v>
      </c>
      <c r="I3937" s="5"/>
      <c r="J3937" s="5">
        <v>42.035749038288891</v>
      </c>
      <c r="K3937" s="5">
        <v>61</v>
      </c>
    </row>
    <row r="3938" spans="1:11" x14ac:dyDescent="0.25">
      <c r="A3938" s="2">
        <v>46261.458333333343</v>
      </c>
      <c r="B3938" t="str">
        <f t="shared" si="122"/>
        <v>2026-08</v>
      </c>
      <c r="C3938" s="3">
        <f t="shared" si="123"/>
        <v>11</v>
      </c>
      <c r="D3938" s="4">
        <v>24.327394720019441</v>
      </c>
      <c r="E3938" s="4"/>
      <c r="F3938" s="4">
        <v>29.122915157477781</v>
      </c>
      <c r="G3938" s="4">
        <v>20.7</v>
      </c>
      <c r="H3938" s="5">
        <v>40.558688647122217</v>
      </c>
      <c r="I3938" s="5"/>
      <c r="J3938" s="5">
        <v>41.68566395206944</v>
      </c>
      <c r="K3938" s="5">
        <v>55</v>
      </c>
    </row>
    <row r="3939" spans="1:11" x14ac:dyDescent="0.25">
      <c r="A3939" s="2">
        <v>46261.5</v>
      </c>
      <c r="B3939" t="str">
        <f t="shared" si="122"/>
        <v>2026-08</v>
      </c>
      <c r="C3939" s="3">
        <f t="shared" si="123"/>
        <v>12</v>
      </c>
      <c r="D3939" s="4">
        <v>23.639588273638889</v>
      </c>
      <c r="E3939" s="4"/>
      <c r="F3939" s="4">
        <v>29.023426454263891</v>
      </c>
      <c r="G3939" s="4">
        <v>21.7</v>
      </c>
      <c r="H3939" s="5">
        <v>41.031806180805553</v>
      </c>
      <c r="I3939" s="5"/>
      <c r="J3939" s="5">
        <v>41.10219576438611</v>
      </c>
      <c r="K3939" s="5">
        <v>49</v>
      </c>
    </row>
    <row r="3940" spans="1:11" x14ac:dyDescent="0.25">
      <c r="A3940" s="2">
        <v>46261.541666666657</v>
      </c>
      <c r="B3940" t="str">
        <f t="shared" si="122"/>
        <v>2026-08</v>
      </c>
      <c r="C3940" s="3">
        <f t="shared" si="123"/>
        <v>13</v>
      </c>
      <c r="D3940" s="4">
        <v>23.156770240933341</v>
      </c>
      <c r="E3940" s="4"/>
      <c r="F3940" s="4">
        <v>28.995112879963891</v>
      </c>
      <c r="G3940" s="4">
        <v>22.2</v>
      </c>
      <c r="H3940" s="5">
        <v>44.547474441791671</v>
      </c>
      <c r="I3940" s="5"/>
      <c r="J3940" s="5">
        <v>41.454427755099999</v>
      </c>
      <c r="K3940" s="5">
        <v>46</v>
      </c>
    </row>
    <row r="3941" spans="1:11" x14ac:dyDescent="0.25">
      <c r="A3941" s="2">
        <v>46261.583333333343</v>
      </c>
      <c r="B3941" t="str">
        <f t="shared" si="122"/>
        <v>2026-08</v>
      </c>
      <c r="C3941" s="3">
        <f t="shared" si="123"/>
        <v>14</v>
      </c>
      <c r="D3941" s="4">
        <v>23.209664724161112</v>
      </c>
      <c r="E3941" s="4"/>
      <c r="F3941" s="4">
        <v>29.018671110458339</v>
      </c>
      <c r="G3941" s="4">
        <v>22.3</v>
      </c>
      <c r="H3941" s="5">
        <v>45.70320079541667</v>
      </c>
      <c r="I3941" s="5"/>
      <c r="J3941" s="5">
        <v>41.749442575613891</v>
      </c>
      <c r="K3941" s="5">
        <v>45</v>
      </c>
    </row>
    <row r="3942" spans="1:11" x14ac:dyDescent="0.25">
      <c r="A3942" s="2">
        <v>46261.625</v>
      </c>
      <c r="B3942" t="str">
        <f t="shared" si="122"/>
        <v>2026-08</v>
      </c>
      <c r="C3942" s="3">
        <f t="shared" si="123"/>
        <v>15</v>
      </c>
      <c r="D3942" s="4">
        <v>23.07228636814445</v>
      </c>
      <c r="E3942" s="4"/>
      <c r="F3942" s="4">
        <v>29.040640145958331</v>
      </c>
      <c r="G3942" s="4">
        <v>20.2</v>
      </c>
      <c r="H3942" s="5">
        <v>46.683447542925002</v>
      </c>
      <c r="I3942" s="5"/>
      <c r="J3942" s="5">
        <v>42.04900421</v>
      </c>
      <c r="K3942" s="5">
        <v>55</v>
      </c>
    </row>
    <row r="3943" spans="1:11" x14ac:dyDescent="0.25">
      <c r="A3943" s="2">
        <v>46261.666666666657</v>
      </c>
      <c r="B3943" t="str">
        <f t="shared" si="122"/>
        <v>2026-08</v>
      </c>
      <c r="C3943" s="3">
        <f t="shared" si="123"/>
        <v>16</v>
      </c>
      <c r="D3943" s="4">
        <v>23.163732802688891</v>
      </c>
      <c r="E3943" s="4"/>
      <c r="F3943" s="4">
        <v>29.011165222852771</v>
      </c>
      <c r="G3943" s="4">
        <v>19.600000000000001</v>
      </c>
      <c r="H3943" s="5">
        <v>46.013116638966657</v>
      </c>
      <c r="I3943" s="5"/>
      <c r="J3943" s="5">
        <v>42.210667735394438</v>
      </c>
      <c r="K3943" s="5">
        <v>60</v>
      </c>
    </row>
    <row r="3944" spans="1:11" x14ac:dyDescent="0.25">
      <c r="A3944" s="2">
        <v>46261.708333333343</v>
      </c>
      <c r="B3944" t="str">
        <f t="shared" si="122"/>
        <v>2026-08</v>
      </c>
      <c r="C3944" s="3">
        <f t="shared" si="123"/>
        <v>17</v>
      </c>
      <c r="D3944" s="4">
        <v>23.451662992605559</v>
      </c>
      <c r="E3944" s="4"/>
      <c r="F3944" s="4">
        <v>29.030529831794439</v>
      </c>
      <c r="G3944" s="4">
        <v>19.600000000000001</v>
      </c>
      <c r="H3944" s="5">
        <v>44.885243323880552</v>
      </c>
      <c r="I3944" s="5"/>
      <c r="J3944" s="5">
        <v>42.160152307211114</v>
      </c>
      <c r="K3944" s="5">
        <v>63</v>
      </c>
    </row>
    <row r="3945" spans="1:11" x14ac:dyDescent="0.25">
      <c r="A3945" s="2">
        <v>46261.75</v>
      </c>
      <c r="B3945" t="str">
        <f t="shared" si="122"/>
        <v>2026-08</v>
      </c>
      <c r="C3945" s="3">
        <f t="shared" si="123"/>
        <v>18</v>
      </c>
      <c r="D3945" s="4">
        <v>23.36308083119722</v>
      </c>
      <c r="E3945" s="4"/>
      <c r="F3945" s="4">
        <v>29.043979301958331</v>
      </c>
      <c r="G3945" s="4">
        <v>19.399999999999999</v>
      </c>
      <c r="H3945" s="5">
        <v>44.741618082005552</v>
      </c>
      <c r="I3945" s="5"/>
      <c r="J3945" s="5">
        <v>42.020342284050002</v>
      </c>
      <c r="K3945" s="5">
        <v>64</v>
      </c>
    </row>
    <row r="3946" spans="1:11" x14ac:dyDescent="0.25">
      <c r="A3946" s="2">
        <v>46261.791666666657</v>
      </c>
      <c r="B3946" t="str">
        <f t="shared" si="122"/>
        <v>2026-08</v>
      </c>
      <c r="C3946" s="3">
        <f t="shared" si="123"/>
        <v>19</v>
      </c>
      <c r="D3946" s="4">
        <v>22.888380996247221</v>
      </c>
      <c r="E3946" s="4"/>
      <c r="F3946" s="4">
        <v>29.095975333441672</v>
      </c>
      <c r="G3946" s="4">
        <v>19</v>
      </c>
      <c r="H3946" s="5">
        <v>46.846222437058337</v>
      </c>
      <c r="I3946" s="5"/>
      <c r="J3946" s="5">
        <v>42.10379756735</v>
      </c>
      <c r="K3946" s="5">
        <v>66</v>
      </c>
    </row>
    <row r="3947" spans="1:11" x14ac:dyDescent="0.25">
      <c r="A3947" s="2">
        <v>46261.833333333343</v>
      </c>
      <c r="B3947" t="str">
        <f t="shared" si="122"/>
        <v>2026-08</v>
      </c>
      <c r="C3947" s="3">
        <f t="shared" si="123"/>
        <v>20</v>
      </c>
      <c r="D3947" s="4">
        <v>23.13232220035556</v>
      </c>
      <c r="E3947" s="4"/>
      <c r="F3947" s="4">
        <v>29.13717952730833</v>
      </c>
      <c r="G3947" s="4">
        <v>18.5</v>
      </c>
      <c r="H3947" s="5">
        <v>46.268598375755573</v>
      </c>
      <c r="I3947" s="5"/>
      <c r="J3947" s="5">
        <v>42.032152630016661</v>
      </c>
      <c r="K3947" s="5">
        <v>68</v>
      </c>
    </row>
    <row r="3948" spans="1:11" x14ac:dyDescent="0.25">
      <c r="A3948" s="2">
        <v>46261.875</v>
      </c>
      <c r="B3948" t="str">
        <f t="shared" si="122"/>
        <v>2026-08</v>
      </c>
      <c r="C3948" s="3">
        <f t="shared" si="123"/>
        <v>21</v>
      </c>
      <c r="D3948" s="4">
        <v>23.65967373302222</v>
      </c>
      <c r="E3948" s="4"/>
      <c r="F3948" s="4">
        <v>29.192751687861112</v>
      </c>
      <c r="G3948" s="4">
        <v>17.899999999999999</v>
      </c>
      <c r="H3948" s="5">
        <v>44.519301065572222</v>
      </c>
      <c r="I3948" s="5"/>
      <c r="J3948" s="5">
        <v>41.935025539566666</v>
      </c>
      <c r="K3948" s="5">
        <v>68</v>
      </c>
    </row>
    <row r="3949" spans="1:11" x14ac:dyDescent="0.25">
      <c r="A3949" s="2">
        <v>46261.916666666657</v>
      </c>
      <c r="B3949" t="str">
        <f t="shared" si="122"/>
        <v>2026-08</v>
      </c>
      <c r="C3949" s="3">
        <f t="shared" si="123"/>
        <v>22</v>
      </c>
      <c r="D3949" s="4">
        <v>23.927620563941669</v>
      </c>
      <c r="E3949" s="4"/>
      <c r="F3949" s="4">
        <v>29.211085264366659</v>
      </c>
      <c r="G3949" s="4">
        <v>17.8</v>
      </c>
      <c r="H3949" s="5">
        <v>43.612118936541663</v>
      </c>
      <c r="I3949" s="5"/>
      <c r="J3949" s="5">
        <v>41.916495672058332</v>
      </c>
      <c r="K3949" s="5">
        <v>66</v>
      </c>
    </row>
    <row r="3950" spans="1:11" x14ac:dyDescent="0.25">
      <c r="A3950" s="2">
        <v>46261.958333333343</v>
      </c>
      <c r="B3950" t="str">
        <f t="shared" si="122"/>
        <v>2026-08</v>
      </c>
      <c r="C3950" s="3">
        <f t="shared" si="123"/>
        <v>23</v>
      </c>
      <c r="D3950" s="4">
        <v>23.96628462721667</v>
      </c>
      <c r="E3950" s="4"/>
      <c r="F3950" s="4">
        <v>29.19346893237222</v>
      </c>
      <c r="G3950" s="4">
        <v>17.600000000000001</v>
      </c>
      <c r="H3950" s="5">
        <v>43.284844827461107</v>
      </c>
      <c r="I3950" s="5"/>
      <c r="J3950" s="5">
        <v>41.957789011736111</v>
      </c>
      <c r="K3950" s="5">
        <v>67</v>
      </c>
    </row>
    <row r="3951" spans="1:11" x14ac:dyDescent="0.25">
      <c r="A3951" s="2">
        <v>46262</v>
      </c>
      <c r="B3951" t="str">
        <f t="shared" si="122"/>
        <v>2026-08</v>
      </c>
      <c r="C3951" s="3">
        <f t="shared" si="123"/>
        <v>0</v>
      </c>
      <c r="D3951" s="4">
        <v>23.812699099655561</v>
      </c>
      <c r="E3951" s="4"/>
      <c r="F3951" s="4">
        <v>29.18062913851389</v>
      </c>
      <c r="G3951" s="4">
        <v>17.2</v>
      </c>
      <c r="H3951" s="5">
        <v>43.186171387936113</v>
      </c>
      <c r="I3951" s="5"/>
      <c r="J3951" s="5">
        <v>41.975530611294452</v>
      </c>
      <c r="K3951" s="5">
        <v>71</v>
      </c>
    </row>
    <row r="3952" spans="1:11" x14ac:dyDescent="0.25">
      <c r="A3952" s="2">
        <v>46262.041666666657</v>
      </c>
      <c r="B3952" t="str">
        <f t="shared" si="122"/>
        <v>2026-08</v>
      </c>
      <c r="C3952" s="3">
        <f t="shared" si="123"/>
        <v>1</v>
      </c>
      <c r="D3952" s="4">
        <v>23.298868897011111</v>
      </c>
      <c r="E3952" s="4"/>
      <c r="F3952" s="4">
        <v>29.105350051661109</v>
      </c>
      <c r="G3952" s="4">
        <v>16.600000000000001</v>
      </c>
      <c r="H3952" s="5">
        <v>43.979531188058331</v>
      </c>
      <c r="I3952" s="5"/>
      <c r="J3952" s="5">
        <v>41.970212415461113</v>
      </c>
      <c r="K3952" s="5">
        <v>72</v>
      </c>
    </row>
    <row r="3953" spans="1:11" x14ac:dyDescent="0.25">
      <c r="A3953" s="2">
        <v>46262.083333333343</v>
      </c>
      <c r="B3953" t="str">
        <f t="shared" si="122"/>
        <v>2026-08</v>
      </c>
      <c r="C3953" s="3">
        <f t="shared" si="123"/>
        <v>2</v>
      </c>
      <c r="D3953" s="4">
        <v>23.030872587636111</v>
      </c>
      <c r="E3953" s="4"/>
      <c r="F3953" s="4">
        <v>29.052219211361109</v>
      </c>
      <c r="G3953" s="4">
        <v>15.8</v>
      </c>
      <c r="H3953" s="5">
        <v>44.439024712561121</v>
      </c>
      <c r="I3953" s="5"/>
      <c r="J3953" s="5">
        <v>41.91451427753055</v>
      </c>
      <c r="K3953" s="5">
        <v>71</v>
      </c>
    </row>
    <row r="3954" spans="1:11" x14ac:dyDescent="0.25">
      <c r="A3954" s="2">
        <v>46262.125</v>
      </c>
      <c r="B3954" t="str">
        <f t="shared" si="122"/>
        <v>2026-08</v>
      </c>
      <c r="C3954" s="3">
        <f t="shared" si="123"/>
        <v>3</v>
      </c>
      <c r="D3954" s="4">
        <v>23.042179039916661</v>
      </c>
      <c r="E3954" s="4"/>
      <c r="F3954" s="4">
        <v>29.033661981694451</v>
      </c>
      <c r="G3954" s="4">
        <v>15.2</v>
      </c>
      <c r="H3954" s="5">
        <v>44.134946335794439</v>
      </c>
      <c r="I3954" s="5"/>
      <c r="J3954" s="5">
        <v>41.847043286680552</v>
      </c>
      <c r="K3954" s="5">
        <v>73</v>
      </c>
    </row>
    <row r="3955" spans="1:11" x14ac:dyDescent="0.25">
      <c r="A3955" s="2">
        <v>46262.166666666657</v>
      </c>
      <c r="B3955" t="str">
        <f t="shared" si="122"/>
        <v>2026-08</v>
      </c>
      <c r="C3955" s="3">
        <f t="shared" si="123"/>
        <v>4</v>
      </c>
      <c r="D3955" s="4">
        <v>22.72998614702222</v>
      </c>
      <c r="E3955" s="4"/>
      <c r="F3955" s="4">
        <v>29.004801098766659</v>
      </c>
      <c r="G3955" s="4">
        <v>14.7</v>
      </c>
      <c r="H3955" s="5">
        <v>44.514485880561118</v>
      </c>
      <c r="I3955" s="5"/>
      <c r="J3955" s="5">
        <v>41.747661858811107</v>
      </c>
      <c r="K3955" s="5">
        <v>76</v>
      </c>
    </row>
    <row r="3956" spans="1:11" x14ac:dyDescent="0.25">
      <c r="A3956" s="2">
        <v>46262.208333333343</v>
      </c>
      <c r="B3956" t="str">
        <f t="shared" si="122"/>
        <v>2026-08</v>
      </c>
      <c r="C3956" s="3">
        <f t="shared" si="123"/>
        <v>5</v>
      </c>
      <c r="D3956" s="4">
        <v>22.584699613988889</v>
      </c>
      <c r="E3956" s="4"/>
      <c r="F3956" s="4">
        <v>28.971964132622219</v>
      </c>
      <c r="G3956" s="4">
        <v>14.3</v>
      </c>
      <c r="H3956" s="5">
        <v>44.621479054805548</v>
      </c>
      <c r="I3956" s="5"/>
      <c r="J3956" s="5">
        <v>41.691070857566658</v>
      </c>
      <c r="K3956" s="5">
        <v>79</v>
      </c>
    </row>
    <row r="3957" spans="1:11" x14ac:dyDescent="0.25">
      <c r="A3957" s="2">
        <v>46262.25</v>
      </c>
      <c r="B3957" t="str">
        <f t="shared" si="122"/>
        <v>2026-08</v>
      </c>
      <c r="C3957" s="3">
        <f t="shared" si="123"/>
        <v>6</v>
      </c>
      <c r="D3957" s="4">
        <v>22.800797430533329</v>
      </c>
      <c r="E3957" s="4"/>
      <c r="F3957" s="4">
        <v>28.948279411352772</v>
      </c>
      <c r="G3957" s="4">
        <v>14</v>
      </c>
      <c r="H3957" s="5">
        <v>43.920246393125012</v>
      </c>
      <c r="I3957" s="5"/>
      <c r="J3957" s="5">
        <v>41.660289923194448</v>
      </c>
      <c r="K3957" s="5">
        <v>80</v>
      </c>
    </row>
    <row r="3958" spans="1:11" x14ac:dyDescent="0.25">
      <c r="A3958" s="2">
        <v>46262.291666666657</v>
      </c>
      <c r="B3958" t="str">
        <f t="shared" si="122"/>
        <v>2026-08</v>
      </c>
      <c r="C3958" s="3">
        <f t="shared" si="123"/>
        <v>7</v>
      </c>
      <c r="D3958" s="4">
        <v>23.847494399552779</v>
      </c>
      <c r="E3958" s="4"/>
      <c r="F3958" s="4">
        <v>28.985118081658332</v>
      </c>
      <c r="G3958" s="4">
        <v>14.4</v>
      </c>
      <c r="H3958" s="5">
        <v>41.439482532277772</v>
      </c>
      <c r="I3958" s="5"/>
      <c r="J3958" s="5">
        <v>41.726364305230561</v>
      </c>
      <c r="K3958" s="5">
        <v>77</v>
      </c>
    </row>
    <row r="3959" spans="1:11" x14ac:dyDescent="0.25">
      <c r="A3959" s="2">
        <v>46262.333333333343</v>
      </c>
      <c r="B3959" t="str">
        <f t="shared" si="122"/>
        <v>2026-08</v>
      </c>
      <c r="C3959" s="3">
        <f t="shared" si="123"/>
        <v>8</v>
      </c>
      <c r="D3959" s="4">
        <v>24.718210620363891</v>
      </c>
      <c r="E3959" s="4"/>
      <c r="F3959" s="4">
        <v>29.019893680561111</v>
      </c>
      <c r="G3959" s="4">
        <v>15.6</v>
      </c>
      <c r="H3959" s="5">
        <v>39.758240454411123</v>
      </c>
      <c r="I3959" s="5"/>
      <c r="J3959" s="5">
        <v>41.691016941241656</v>
      </c>
      <c r="K3959" s="5">
        <v>70</v>
      </c>
    </row>
    <row r="3960" spans="1:11" x14ac:dyDescent="0.25">
      <c r="A3960" s="2">
        <v>46262.375</v>
      </c>
      <c r="B3960" t="str">
        <f t="shared" si="122"/>
        <v>2026-08</v>
      </c>
      <c r="C3960" s="3">
        <f t="shared" si="123"/>
        <v>9</v>
      </c>
      <c r="D3960" s="4">
        <v>25.17286503015556</v>
      </c>
      <c r="E3960" s="4"/>
      <c r="F3960" s="4">
        <v>29.040526207119441</v>
      </c>
      <c r="G3960" s="4">
        <v>17</v>
      </c>
      <c r="H3960" s="5">
        <v>38.719910579786109</v>
      </c>
      <c r="I3960" s="5"/>
      <c r="J3960" s="5">
        <v>41.596481045297217</v>
      </c>
      <c r="K3960" s="5">
        <v>66</v>
      </c>
    </row>
    <row r="3961" spans="1:11" x14ac:dyDescent="0.25">
      <c r="A3961" s="2">
        <v>46262.416666666657</v>
      </c>
      <c r="B3961" t="str">
        <f t="shared" si="122"/>
        <v>2026-08</v>
      </c>
      <c r="C3961" s="3">
        <f t="shared" si="123"/>
        <v>10</v>
      </c>
      <c r="D3961" s="4">
        <v>24.900886778875002</v>
      </c>
      <c r="E3961" s="4"/>
      <c r="F3961" s="4">
        <v>28.997186778533329</v>
      </c>
      <c r="G3961" s="4">
        <v>18.8</v>
      </c>
      <c r="H3961" s="5">
        <v>38.587013929230558</v>
      </c>
      <c r="I3961" s="5"/>
      <c r="J3961" s="5">
        <v>41.293614353244443</v>
      </c>
      <c r="K3961" s="5">
        <v>61</v>
      </c>
    </row>
    <row r="3962" spans="1:11" x14ac:dyDescent="0.25">
      <c r="A3962" s="2">
        <v>46262.458333333343</v>
      </c>
      <c r="B3962" t="str">
        <f t="shared" si="122"/>
        <v>2026-08</v>
      </c>
      <c r="C3962" s="3">
        <f t="shared" si="123"/>
        <v>11</v>
      </c>
      <c r="D3962" s="4">
        <v>24.84999160741112</v>
      </c>
      <c r="E3962" s="4"/>
      <c r="F3962" s="4">
        <v>28.976473461072221</v>
      </c>
      <c r="G3962" s="4">
        <v>20.399999999999999</v>
      </c>
      <c r="H3962" s="5">
        <v>38.250664035636113</v>
      </c>
      <c r="I3962" s="5"/>
      <c r="J3962" s="5">
        <v>41.145391219427779</v>
      </c>
      <c r="K3962" s="5">
        <v>54</v>
      </c>
    </row>
    <row r="3963" spans="1:11" x14ac:dyDescent="0.25">
      <c r="A3963" s="2">
        <v>46262.5</v>
      </c>
      <c r="B3963" t="str">
        <f t="shared" si="122"/>
        <v>2026-08</v>
      </c>
      <c r="C3963" s="3">
        <f t="shared" si="123"/>
        <v>12</v>
      </c>
      <c r="D3963" s="4">
        <v>24.784336469013891</v>
      </c>
      <c r="E3963" s="4"/>
      <c r="F3963" s="4">
        <v>28.97288726990277</v>
      </c>
      <c r="G3963" s="4">
        <v>21.9</v>
      </c>
      <c r="H3963" s="5">
        <v>37.779590527172232</v>
      </c>
      <c r="I3963" s="5"/>
      <c r="J3963" s="5">
        <v>40.951835570775003</v>
      </c>
      <c r="K3963" s="5">
        <v>47</v>
      </c>
    </row>
    <row r="3964" spans="1:11" x14ac:dyDescent="0.25">
      <c r="A3964" s="2">
        <v>46262.541666666657</v>
      </c>
      <c r="B3964" t="str">
        <f t="shared" si="122"/>
        <v>2026-08</v>
      </c>
      <c r="C3964" s="3">
        <f t="shared" si="123"/>
        <v>13</v>
      </c>
      <c r="D3964" s="4">
        <v>24.69067739199722</v>
      </c>
      <c r="E3964" s="4"/>
      <c r="F3964" s="4">
        <v>28.93996506658889</v>
      </c>
      <c r="G3964" s="4">
        <v>22.4</v>
      </c>
      <c r="H3964" s="5">
        <v>37.817001424583331</v>
      </c>
      <c r="I3964" s="5"/>
      <c r="J3964" s="5">
        <v>40.805277363766663</v>
      </c>
      <c r="K3964" s="5">
        <v>44</v>
      </c>
    </row>
    <row r="3965" spans="1:11" x14ac:dyDescent="0.25">
      <c r="A3965" s="2">
        <v>46262.583333333343</v>
      </c>
      <c r="B3965" t="str">
        <f t="shared" si="122"/>
        <v>2026-08</v>
      </c>
      <c r="C3965" s="3">
        <f t="shared" si="123"/>
        <v>14</v>
      </c>
      <c r="D3965" s="4">
        <v>24.789507472363891</v>
      </c>
      <c r="E3965" s="4"/>
      <c r="F3965" s="4">
        <v>28.934420023525</v>
      </c>
      <c r="G3965" s="4">
        <v>22.1</v>
      </c>
      <c r="H3965" s="5">
        <v>37.324850779450003</v>
      </c>
      <c r="I3965" s="5"/>
      <c r="J3965" s="5">
        <v>40.866921015508332</v>
      </c>
      <c r="K3965" s="5">
        <v>44</v>
      </c>
    </row>
    <row r="3966" spans="1:11" x14ac:dyDescent="0.25">
      <c r="A3966" s="2">
        <v>46262.625</v>
      </c>
      <c r="B3966" t="str">
        <f t="shared" si="122"/>
        <v>2026-08</v>
      </c>
      <c r="C3966" s="3">
        <f t="shared" si="123"/>
        <v>15</v>
      </c>
      <c r="D3966" s="4">
        <v>24.857711552444439</v>
      </c>
      <c r="E3966" s="4"/>
      <c r="F3966" s="4">
        <v>28.82151967431945</v>
      </c>
      <c r="G3966" s="4">
        <v>22.9</v>
      </c>
      <c r="H3966" s="5">
        <v>37.075973248688889</v>
      </c>
      <c r="I3966" s="5"/>
      <c r="J3966" s="5">
        <v>40.767775956658333</v>
      </c>
      <c r="K3966" s="5">
        <v>42</v>
      </c>
    </row>
    <row r="3967" spans="1:11" x14ac:dyDescent="0.25">
      <c r="A3967" s="2">
        <v>46262.666666666657</v>
      </c>
      <c r="B3967" t="str">
        <f t="shared" si="122"/>
        <v>2026-08</v>
      </c>
      <c r="C3967" s="3">
        <f t="shared" si="123"/>
        <v>16</v>
      </c>
      <c r="D3967" s="4">
        <v>25.015766577947229</v>
      </c>
      <c r="E3967" s="4"/>
      <c r="F3967" s="4">
        <v>28.37360200477222</v>
      </c>
      <c r="G3967" s="4">
        <v>23.1</v>
      </c>
      <c r="H3967" s="5">
        <v>37.363107533633332</v>
      </c>
      <c r="I3967" s="5"/>
      <c r="J3967" s="5">
        <v>41.336275937363887</v>
      </c>
      <c r="K3967" s="5">
        <v>41</v>
      </c>
    </row>
    <row r="3968" spans="1:11" x14ac:dyDescent="0.25">
      <c r="A3968" s="2">
        <v>46262.708333333343</v>
      </c>
      <c r="B3968" t="str">
        <f t="shared" si="122"/>
        <v>2026-08</v>
      </c>
      <c r="C3968" s="3">
        <f t="shared" si="123"/>
        <v>17</v>
      </c>
      <c r="D3968" s="4">
        <v>25.072324669288889</v>
      </c>
      <c r="E3968" s="4"/>
      <c r="F3968" s="4">
        <v>28.756717747425</v>
      </c>
      <c r="G3968" s="4">
        <v>22.9</v>
      </c>
      <c r="H3968" s="5">
        <v>36.869567287086113</v>
      </c>
      <c r="I3968" s="5"/>
      <c r="J3968" s="5">
        <v>41.094445845716663</v>
      </c>
      <c r="K3968" s="5">
        <v>41</v>
      </c>
    </row>
    <row r="3969" spans="1:11" x14ac:dyDescent="0.25">
      <c r="A3969" s="2">
        <v>46262.75</v>
      </c>
      <c r="B3969" t="str">
        <f t="shared" si="122"/>
        <v>2026-08</v>
      </c>
      <c r="C3969" s="3">
        <f t="shared" si="123"/>
        <v>18</v>
      </c>
      <c r="D3969" s="4">
        <v>24.99322256490278</v>
      </c>
      <c r="E3969" s="4"/>
      <c r="F3969" s="4">
        <v>28.873905128691661</v>
      </c>
      <c r="G3969" s="4">
        <v>22.3</v>
      </c>
      <c r="H3969" s="5">
        <v>36.208877259961113</v>
      </c>
      <c r="I3969" s="5"/>
      <c r="J3969" s="5">
        <v>40.940365624572223</v>
      </c>
      <c r="K3969" s="5">
        <v>42</v>
      </c>
    </row>
    <row r="3970" spans="1:11" x14ac:dyDescent="0.25">
      <c r="A3970" s="2">
        <v>46262.791666666657</v>
      </c>
      <c r="B3970" t="str">
        <f t="shared" ref="B3970:B4033" si="124">TEXT(A3970,"yyyy-mm")</f>
        <v>2026-08</v>
      </c>
      <c r="C3970" s="3">
        <f t="shared" ref="C3970:C4033" si="125">HOUR(A3970)</f>
        <v>19</v>
      </c>
      <c r="D3970" s="4">
        <v>24.69903806624167</v>
      </c>
      <c r="E3970" s="4"/>
      <c r="F3970" s="4">
        <v>28.92731059106389</v>
      </c>
      <c r="G3970" s="4">
        <v>21.3</v>
      </c>
      <c r="H3970" s="5">
        <v>36.769222111636111</v>
      </c>
      <c r="I3970" s="5"/>
      <c r="J3970" s="5">
        <v>40.874301783372232</v>
      </c>
      <c r="K3970" s="5">
        <v>45</v>
      </c>
    </row>
    <row r="3971" spans="1:11" x14ac:dyDescent="0.25">
      <c r="A3971" s="2">
        <v>46262.833333333343</v>
      </c>
      <c r="B3971" t="str">
        <f t="shared" si="124"/>
        <v>2026-08</v>
      </c>
      <c r="C3971" s="3">
        <f t="shared" si="125"/>
        <v>20</v>
      </c>
      <c r="D3971" s="4">
        <v>24.382486728952781</v>
      </c>
      <c r="E3971" s="4"/>
      <c r="F3971" s="4">
        <v>28.937054049127781</v>
      </c>
      <c r="G3971" s="4">
        <v>20.100000000000001</v>
      </c>
      <c r="H3971" s="5">
        <v>37.506942866622218</v>
      </c>
      <c r="I3971" s="5"/>
      <c r="J3971" s="5">
        <v>40.866751191386108</v>
      </c>
      <c r="K3971" s="5">
        <v>50</v>
      </c>
    </row>
    <row r="3972" spans="1:11" x14ac:dyDescent="0.25">
      <c r="A3972" s="2">
        <v>46262.875</v>
      </c>
      <c r="B3972" t="str">
        <f t="shared" si="124"/>
        <v>2026-08</v>
      </c>
      <c r="C3972" s="3">
        <f t="shared" si="125"/>
        <v>21</v>
      </c>
      <c r="D3972" s="4">
        <v>23.91934581221944</v>
      </c>
      <c r="E3972" s="4"/>
      <c r="F3972" s="4">
        <v>28.909629548611111</v>
      </c>
      <c r="G3972" s="4">
        <v>18.899999999999999</v>
      </c>
      <c r="H3972" s="5">
        <v>38.673369590850001</v>
      </c>
      <c r="I3972" s="5"/>
      <c r="J3972" s="5">
        <v>40.82650092184722</v>
      </c>
      <c r="K3972" s="5">
        <v>54</v>
      </c>
    </row>
    <row r="3973" spans="1:11" x14ac:dyDescent="0.25">
      <c r="A3973" s="2">
        <v>46262.916666666657</v>
      </c>
      <c r="B3973" t="str">
        <f t="shared" si="124"/>
        <v>2026-08</v>
      </c>
      <c r="C3973" s="3">
        <f t="shared" si="125"/>
        <v>22</v>
      </c>
      <c r="D3973" s="4">
        <v>23.523512776311112</v>
      </c>
      <c r="E3973" s="4"/>
      <c r="F3973" s="4">
        <v>28.883832964402771</v>
      </c>
      <c r="G3973" s="4">
        <v>17.7</v>
      </c>
      <c r="H3973" s="5">
        <v>40.468605547661113</v>
      </c>
      <c r="I3973" s="5"/>
      <c r="J3973" s="5">
        <v>40.883283809447228</v>
      </c>
      <c r="K3973" s="5">
        <v>57</v>
      </c>
    </row>
    <row r="3974" spans="1:11" x14ac:dyDescent="0.25">
      <c r="A3974" s="2">
        <v>46262.958333333343</v>
      </c>
      <c r="B3974" t="str">
        <f t="shared" si="124"/>
        <v>2026-08</v>
      </c>
      <c r="C3974" s="3">
        <f t="shared" si="125"/>
        <v>23</v>
      </c>
      <c r="D3974" s="4">
        <v>23.452214910763889</v>
      </c>
      <c r="E3974" s="4"/>
      <c r="F3974" s="4">
        <v>28.875497351486121</v>
      </c>
      <c r="G3974" s="4">
        <v>17</v>
      </c>
      <c r="H3974" s="5">
        <v>39.939218392536112</v>
      </c>
      <c r="I3974" s="5"/>
      <c r="J3974" s="5">
        <v>40.805678371983333</v>
      </c>
      <c r="K3974" s="5">
        <v>58</v>
      </c>
    </row>
    <row r="3975" spans="1:11" x14ac:dyDescent="0.25">
      <c r="A3975" s="2">
        <v>46263</v>
      </c>
      <c r="B3975" t="str">
        <f t="shared" si="124"/>
        <v>2026-08</v>
      </c>
      <c r="C3975" s="3">
        <f t="shared" si="125"/>
        <v>0</v>
      </c>
      <c r="D3975" s="4">
        <v>23.336352816800002</v>
      </c>
      <c r="E3975" s="4"/>
      <c r="F3975" s="4">
        <v>28.82685128273889</v>
      </c>
      <c r="G3975" s="4">
        <v>16.3</v>
      </c>
      <c r="H3975" s="5">
        <v>40.10577503127778</v>
      </c>
      <c r="I3975" s="5"/>
      <c r="J3975" s="5">
        <v>40.711912758449998</v>
      </c>
      <c r="K3975" s="5">
        <v>60</v>
      </c>
    </row>
    <row r="3976" spans="1:11" x14ac:dyDescent="0.25">
      <c r="A3976" s="2">
        <v>46263.041666666657</v>
      </c>
      <c r="B3976" t="str">
        <f t="shared" si="124"/>
        <v>2026-08</v>
      </c>
      <c r="C3976" s="3">
        <f t="shared" si="125"/>
        <v>1</v>
      </c>
      <c r="D3976" s="4">
        <v>23.118535694286109</v>
      </c>
      <c r="E3976" s="4"/>
      <c r="F3976" s="4">
        <v>28.784963880877779</v>
      </c>
      <c r="G3976" s="4">
        <v>15.8</v>
      </c>
      <c r="H3976" s="5">
        <v>40.585579764836112</v>
      </c>
      <c r="I3976" s="5"/>
      <c r="J3976" s="5">
        <v>40.719310285150002</v>
      </c>
      <c r="K3976" s="5">
        <v>62</v>
      </c>
    </row>
    <row r="3977" spans="1:11" x14ac:dyDescent="0.25">
      <c r="A3977" s="2">
        <v>46263.083333333343</v>
      </c>
      <c r="B3977" t="str">
        <f t="shared" si="124"/>
        <v>2026-08</v>
      </c>
      <c r="C3977" s="3">
        <f t="shared" si="125"/>
        <v>2</v>
      </c>
      <c r="D3977" s="4">
        <v>22.071433601730561</v>
      </c>
      <c r="E3977" s="4"/>
      <c r="F3977" s="4">
        <v>28.715326535066669</v>
      </c>
      <c r="G3977" s="4">
        <v>15.3</v>
      </c>
      <c r="H3977" s="5">
        <v>42.413945134361121</v>
      </c>
      <c r="I3977" s="5"/>
      <c r="J3977" s="5">
        <v>40.402324019611108</v>
      </c>
      <c r="K3977" s="5">
        <v>65</v>
      </c>
    </row>
    <row r="3978" spans="1:11" x14ac:dyDescent="0.25">
      <c r="A3978" s="2">
        <v>46263.125</v>
      </c>
      <c r="B3978" t="str">
        <f t="shared" si="124"/>
        <v>2026-08</v>
      </c>
      <c r="C3978" s="3">
        <f t="shared" si="125"/>
        <v>3</v>
      </c>
      <c r="D3978" s="4">
        <v>21.672635802436108</v>
      </c>
      <c r="E3978" s="4"/>
      <c r="F3978" s="4">
        <v>28.698972203358331</v>
      </c>
      <c r="G3978" s="4">
        <v>14.6</v>
      </c>
      <c r="H3978" s="5">
        <v>43.171942998886117</v>
      </c>
      <c r="I3978" s="5"/>
      <c r="J3978" s="5">
        <v>40.368341618127779</v>
      </c>
      <c r="K3978" s="5">
        <v>67</v>
      </c>
    </row>
    <row r="3979" spans="1:11" x14ac:dyDescent="0.25">
      <c r="A3979" s="2">
        <v>46263.166666666657</v>
      </c>
      <c r="B3979" t="str">
        <f t="shared" si="124"/>
        <v>2026-08</v>
      </c>
      <c r="C3979" s="3">
        <f t="shared" si="125"/>
        <v>4</v>
      </c>
      <c r="D3979" s="4">
        <v>21.516524585205559</v>
      </c>
      <c r="E3979" s="4"/>
      <c r="F3979" s="4">
        <v>28.681410710908331</v>
      </c>
      <c r="G3979" s="4">
        <v>14.3</v>
      </c>
      <c r="H3979" s="5">
        <v>43.549541113808338</v>
      </c>
      <c r="I3979" s="5"/>
      <c r="J3979" s="5">
        <v>40.319739472363892</v>
      </c>
      <c r="K3979" s="5">
        <v>70</v>
      </c>
    </row>
    <row r="3980" spans="1:11" x14ac:dyDescent="0.25">
      <c r="A3980" s="2">
        <v>46263.208333333343</v>
      </c>
      <c r="B3980" t="str">
        <f t="shared" si="124"/>
        <v>2026-08</v>
      </c>
      <c r="C3980" s="3">
        <f t="shared" si="125"/>
        <v>5</v>
      </c>
      <c r="D3980" s="4">
        <v>21.40787163715278</v>
      </c>
      <c r="E3980" s="4"/>
      <c r="F3980" s="4">
        <v>28.648498528188892</v>
      </c>
      <c r="G3980" s="4">
        <v>14</v>
      </c>
      <c r="H3980" s="5">
        <v>43.688669840038891</v>
      </c>
      <c r="I3980" s="5"/>
      <c r="J3980" s="5">
        <v>40.25560330228889</v>
      </c>
      <c r="K3980" s="5">
        <v>71</v>
      </c>
    </row>
    <row r="3981" spans="1:11" x14ac:dyDescent="0.25">
      <c r="A3981" s="2">
        <v>46263.25</v>
      </c>
      <c r="B3981" t="str">
        <f t="shared" si="124"/>
        <v>2026-08</v>
      </c>
      <c r="C3981" s="3">
        <f t="shared" si="125"/>
        <v>6</v>
      </c>
      <c r="D3981" s="4">
        <v>21.599763754241671</v>
      </c>
      <c r="E3981" s="4"/>
      <c r="F3981" s="4">
        <v>28.642105797294441</v>
      </c>
      <c r="G3981" s="4">
        <v>13.7</v>
      </c>
      <c r="H3981" s="5">
        <v>42.853825337777778</v>
      </c>
      <c r="I3981" s="5"/>
      <c r="J3981" s="5">
        <v>40.150381181805557</v>
      </c>
      <c r="K3981" s="5">
        <v>71</v>
      </c>
    </row>
    <row r="3982" spans="1:11" x14ac:dyDescent="0.25">
      <c r="A3982" s="2">
        <v>46263.291666666657</v>
      </c>
      <c r="B3982" t="str">
        <f t="shared" si="124"/>
        <v>2026-08</v>
      </c>
      <c r="C3982" s="3">
        <f t="shared" si="125"/>
        <v>7</v>
      </c>
      <c r="D3982" s="4">
        <v>22.933032334280561</v>
      </c>
      <c r="E3982" s="4"/>
      <c r="F3982" s="4">
        <v>28.629864282572221</v>
      </c>
      <c r="G3982" s="4">
        <v>14.5</v>
      </c>
      <c r="H3982" s="5">
        <v>40.167057241958332</v>
      </c>
      <c r="I3982" s="5"/>
      <c r="J3982" s="5">
        <v>40.099125549675001</v>
      </c>
      <c r="K3982" s="5">
        <v>69</v>
      </c>
    </row>
    <row r="3983" spans="1:11" x14ac:dyDescent="0.25">
      <c r="A3983" s="2">
        <v>46263.333333333343</v>
      </c>
      <c r="B3983" t="str">
        <f t="shared" si="124"/>
        <v>2026-08</v>
      </c>
      <c r="C3983" s="3">
        <f t="shared" si="125"/>
        <v>8</v>
      </c>
      <c r="D3983" s="4">
        <v>24.133255107122221</v>
      </c>
      <c r="E3983" s="4"/>
      <c r="F3983" s="4">
        <v>28.66084164623334</v>
      </c>
      <c r="G3983" s="4">
        <v>16.100000000000001</v>
      </c>
      <c r="H3983" s="5">
        <v>38.321526244963891</v>
      </c>
      <c r="I3983" s="5"/>
      <c r="J3983" s="5">
        <v>40.215007062552779</v>
      </c>
      <c r="K3983" s="5">
        <v>63</v>
      </c>
    </row>
    <row r="3984" spans="1:11" x14ac:dyDescent="0.25">
      <c r="A3984" s="2">
        <v>46263.375</v>
      </c>
      <c r="B3984" t="str">
        <f t="shared" si="124"/>
        <v>2026-08</v>
      </c>
      <c r="C3984" s="3">
        <f t="shared" si="125"/>
        <v>9</v>
      </c>
      <c r="D3984" s="4">
        <v>25.069831804813891</v>
      </c>
      <c r="E3984" s="4"/>
      <c r="F3984" s="4">
        <v>28.7306801079</v>
      </c>
      <c r="G3984" s="4">
        <v>18.7</v>
      </c>
      <c r="H3984" s="5">
        <v>37.348903303688893</v>
      </c>
      <c r="I3984" s="5"/>
      <c r="J3984" s="5">
        <v>40.377138178880557</v>
      </c>
      <c r="K3984" s="5">
        <v>55</v>
      </c>
    </row>
    <row r="3985" spans="1:11" x14ac:dyDescent="0.25">
      <c r="A3985" s="2">
        <v>46263.416666666657</v>
      </c>
      <c r="B3985" t="str">
        <f t="shared" si="124"/>
        <v>2026-08</v>
      </c>
      <c r="C3985" s="3">
        <f t="shared" si="125"/>
        <v>10</v>
      </c>
      <c r="D3985" s="4">
        <v>25.583699965213889</v>
      </c>
      <c r="E3985" s="4"/>
      <c r="F3985" s="4">
        <v>28.799091556002779</v>
      </c>
      <c r="G3985" s="4">
        <v>20.9</v>
      </c>
      <c r="H3985" s="5">
        <v>36.392309477858333</v>
      </c>
      <c r="I3985" s="5"/>
      <c r="J3985" s="5">
        <v>40.588459069669447</v>
      </c>
      <c r="K3985" s="5">
        <v>49</v>
      </c>
    </row>
    <row r="3986" spans="1:11" x14ac:dyDescent="0.25">
      <c r="A3986" s="2">
        <v>46263.458333333343</v>
      </c>
      <c r="B3986" t="str">
        <f t="shared" si="124"/>
        <v>2026-08</v>
      </c>
      <c r="C3986" s="3">
        <f t="shared" si="125"/>
        <v>11</v>
      </c>
      <c r="D3986" s="4">
        <v>25.735150557133331</v>
      </c>
      <c r="E3986" s="4"/>
      <c r="F3986" s="4">
        <v>28.831923353888889</v>
      </c>
      <c r="G3986" s="4">
        <v>22.7</v>
      </c>
      <c r="H3986" s="5">
        <v>35.531555602088893</v>
      </c>
      <c r="I3986" s="5"/>
      <c r="J3986" s="5">
        <v>40.763668649033328</v>
      </c>
      <c r="K3986" s="5">
        <v>46</v>
      </c>
    </row>
    <row r="3987" spans="1:11" x14ac:dyDescent="0.25">
      <c r="A3987" s="2">
        <v>46263.5</v>
      </c>
      <c r="B3987" t="str">
        <f t="shared" si="124"/>
        <v>2026-08</v>
      </c>
      <c r="C3987" s="3">
        <f t="shared" si="125"/>
        <v>12</v>
      </c>
      <c r="D3987" s="4">
        <v>25.700621402711111</v>
      </c>
      <c r="E3987" s="4"/>
      <c r="F3987" s="4">
        <v>28.853832950383332</v>
      </c>
      <c r="G3987" s="4">
        <v>24.1</v>
      </c>
      <c r="H3987" s="5">
        <v>35.315915207402782</v>
      </c>
      <c r="I3987" s="5"/>
      <c r="J3987" s="5">
        <v>40.67706136564167</v>
      </c>
      <c r="K3987" s="5">
        <v>42</v>
      </c>
    </row>
    <row r="3988" spans="1:11" x14ac:dyDescent="0.25">
      <c r="A3988" s="2">
        <v>46263.541666666657</v>
      </c>
      <c r="B3988" t="str">
        <f t="shared" si="124"/>
        <v>2026-08</v>
      </c>
      <c r="C3988" s="3">
        <f t="shared" si="125"/>
        <v>13</v>
      </c>
      <c r="D3988" s="4">
        <v>25.647944594455559</v>
      </c>
      <c r="E3988" s="4"/>
      <c r="F3988" s="4">
        <v>28.856416736491671</v>
      </c>
      <c r="G3988" s="4">
        <v>24.9</v>
      </c>
      <c r="H3988" s="5">
        <v>34.630132442183331</v>
      </c>
      <c r="I3988" s="5"/>
      <c r="J3988" s="5">
        <v>40.518138581919438</v>
      </c>
      <c r="K3988" s="5">
        <v>39</v>
      </c>
    </row>
    <row r="3989" spans="1:11" x14ac:dyDescent="0.25">
      <c r="A3989" s="2">
        <v>46263.583333333343</v>
      </c>
      <c r="B3989" t="str">
        <f t="shared" si="124"/>
        <v>2026-08</v>
      </c>
      <c r="C3989" s="3">
        <f t="shared" si="125"/>
        <v>14</v>
      </c>
      <c r="D3989" s="4">
        <v>25.476339408363891</v>
      </c>
      <c r="E3989" s="4"/>
      <c r="F3989" s="4">
        <v>28.836076675947229</v>
      </c>
      <c r="G3989" s="4">
        <v>25.3</v>
      </c>
      <c r="H3989" s="5">
        <v>33.151245218174999</v>
      </c>
      <c r="I3989" s="5"/>
      <c r="J3989" s="5">
        <v>40.104475932880561</v>
      </c>
      <c r="K3989" s="5">
        <v>38</v>
      </c>
    </row>
    <row r="3990" spans="1:11" x14ac:dyDescent="0.25">
      <c r="A3990" s="2">
        <v>46263.625</v>
      </c>
      <c r="B3990" t="str">
        <f t="shared" si="124"/>
        <v>2026-08</v>
      </c>
      <c r="C3990" s="3">
        <f t="shared" si="125"/>
        <v>15</v>
      </c>
      <c r="D3990" s="4">
        <v>25.41762702662222</v>
      </c>
      <c r="E3990" s="4"/>
      <c r="F3990" s="4">
        <v>28.801607469777771</v>
      </c>
      <c r="G3990" s="4">
        <v>26.4</v>
      </c>
      <c r="H3990" s="5">
        <v>31.260693333358329</v>
      </c>
      <c r="I3990" s="5"/>
      <c r="J3990" s="5">
        <v>39.609022175322217</v>
      </c>
      <c r="K3990" s="5">
        <v>35</v>
      </c>
    </row>
    <row r="3991" spans="1:11" x14ac:dyDescent="0.25">
      <c r="A3991" s="2">
        <v>46263.666666666657</v>
      </c>
      <c r="B3991" t="str">
        <f t="shared" si="124"/>
        <v>2026-08</v>
      </c>
      <c r="C3991" s="3">
        <f t="shared" si="125"/>
        <v>16</v>
      </c>
      <c r="D3991" s="4">
        <v>25.48476026814167</v>
      </c>
      <c r="E3991" s="4"/>
      <c r="F3991" s="4">
        <v>28.786166573033331</v>
      </c>
      <c r="G3991" s="4">
        <v>26.3</v>
      </c>
      <c r="H3991" s="5">
        <v>31.23472878051945</v>
      </c>
      <c r="I3991" s="5"/>
      <c r="J3991" s="5">
        <v>39.344395782052779</v>
      </c>
      <c r="K3991" s="5">
        <v>34</v>
      </c>
    </row>
    <row r="3992" spans="1:11" x14ac:dyDescent="0.25">
      <c r="A3992" s="2">
        <v>46263.708333333343</v>
      </c>
      <c r="B3992" t="str">
        <f t="shared" si="124"/>
        <v>2026-08</v>
      </c>
      <c r="C3992" s="3">
        <f t="shared" si="125"/>
        <v>17</v>
      </c>
      <c r="D3992" s="4">
        <v>25.60003034815556</v>
      </c>
      <c r="E3992" s="4"/>
      <c r="F3992" s="4">
        <v>28.794309354016669</v>
      </c>
      <c r="G3992" s="4">
        <v>25.9</v>
      </c>
      <c r="H3992" s="5">
        <v>31.312077787816669</v>
      </c>
      <c r="I3992" s="5"/>
      <c r="J3992" s="5">
        <v>39.212679941341669</v>
      </c>
      <c r="K3992" s="5">
        <v>34</v>
      </c>
    </row>
    <row r="3993" spans="1:11" x14ac:dyDescent="0.25">
      <c r="A3993" s="2">
        <v>46263.75</v>
      </c>
      <c r="B3993" t="str">
        <f t="shared" si="124"/>
        <v>2026-08</v>
      </c>
      <c r="C3993" s="3">
        <f t="shared" si="125"/>
        <v>18</v>
      </c>
      <c r="D3993" s="4">
        <v>25.64761832776945</v>
      </c>
      <c r="E3993" s="4"/>
      <c r="F3993" s="4">
        <v>28.80283385237778</v>
      </c>
      <c r="G3993" s="4">
        <v>25.2</v>
      </c>
      <c r="H3993" s="5">
        <v>32.079410498430548</v>
      </c>
      <c r="I3993" s="5"/>
      <c r="J3993" s="5">
        <v>39.14861449784167</v>
      </c>
      <c r="K3993" s="5">
        <v>36</v>
      </c>
    </row>
    <row r="3994" spans="1:11" x14ac:dyDescent="0.25">
      <c r="A3994" s="2">
        <v>46263.791666666657</v>
      </c>
      <c r="B3994" t="str">
        <f t="shared" si="124"/>
        <v>2026-08</v>
      </c>
      <c r="C3994" s="3">
        <f t="shared" si="125"/>
        <v>19</v>
      </c>
      <c r="D3994" s="4">
        <v>25.428127682233331</v>
      </c>
      <c r="E3994" s="4"/>
      <c r="F3994" s="4">
        <v>28.819557740238888</v>
      </c>
      <c r="G3994" s="4">
        <v>24</v>
      </c>
      <c r="H3994" s="5">
        <v>32.808437021650001</v>
      </c>
      <c r="I3994" s="5"/>
      <c r="J3994" s="5">
        <v>39.135353897236108</v>
      </c>
      <c r="K3994" s="5">
        <v>40</v>
      </c>
    </row>
    <row r="3995" spans="1:11" x14ac:dyDescent="0.25">
      <c r="A3995" s="2">
        <v>46263.833333333343</v>
      </c>
      <c r="B3995" t="str">
        <f t="shared" si="124"/>
        <v>2026-08</v>
      </c>
      <c r="C3995" s="3">
        <f t="shared" si="125"/>
        <v>20</v>
      </c>
      <c r="D3995" s="4">
        <v>25.246754124802781</v>
      </c>
      <c r="E3995" s="4"/>
      <c r="F3995" s="4">
        <v>28.81849856154167</v>
      </c>
      <c r="G3995" s="4">
        <v>22.6</v>
      </c>
      <c r="H3995" s="5">
        <v>33.642711276486111</v>
      </c>
      <c r="I3995" s="5"/>
      <c r="J3995" s="5">
        <v>39.213944506991673</v>
      </c>
      <c r="K3995" s="5">
        <v>46</v>
      </c>
    </row>
    <row r="3996" spans="1:11" x14ac:dyDescent="0.25">
      <c r="A3996" s="2">
        <v>46263.875</v>
      </c>
      <c r="B3996" t="str">
        <f t="shared" si="124"/>
        <v>2026-08</v>
      </c>
      <c r="C3996" s="3">
        <f t="shared" si="125"/>
        <v>21</v>
      </c>
      <c r="D3996" s="4">
        <v>24.753369219047219</v>
      </c>
      <c r="E3996" s="4"/>
      <c r="F3996" s="4">
        <v>28.782823356175001</v>
      </c>
      <c r="G3996" s="4">
        <v>21.5</v>
      </c>
      <c r="H3996" s="5">
        <v>34.132247161361107</v>
      </c>
      <c r="I3996" s="5"/>
      <c r="J3996" s="5">
        <v>38.931428114894452</v>
      </c>
      <c r="K3996" s="5">
        <v>49</v>
      </c>
    </row>
    <row r="3997" spans="1:11" x14ac:dyDescent="0.25">
      <c r="A3997" s="2">
        <v>46263.916666666657</v>
      </c>
      <c r="B3997" t="str">
        <f t="shared" si="124"/>
        <v>2026-08</v>
      </c>
      <c r="C3997" s="3">
        <f t="shared" si="125"/>
        <v>22</v>
      </c>
      <c r="D3997" s="4">
        <v>24.295738915502781</v>
      </c>
      <c r="E3997" s="4"/>
      <c r="F3997" s="4">
        <v>28.71160051495</v>
      </c>
      <c r="G3997" s="4">
        <v>20.5</v>
      </c>
      <c r="H3997" s="5">
        <v>35.246336498941673</v>
      </c>
      <c r="I3997" s="5"/>
      <c r="J3997" s="5">
        <v>38.938954323852784</v>
      </c>
      <c r="K3997" s="5">
        <v>51</v>
      </c>
    </row>
    <row r="3998" spans="1:11" x14ac:dyDescent="0.25">
      <c r="A3998" s="2">
        <v>46263.958333333343</v>
      </c>
      <c r="B3998" t="str">
        <f t="shared" si="124"/>
        <v>2026-08</v>
      </c>
      <c r="C3998" s="3">
        <f t="shared" si="125"/>
        <v>23</v>
      </c>
      <c r="D3998" s="4">
        <v>23.96331642259722</v>
      </c>
      <c r="E3998" s="4"/>
      <c r="F3998" s="4">
        <v>28.67104970041111</v>
      </c>
      <c r="G3998" s="4">
        <v>19.600000000000001</v>
      </c>
      <c r="H3998" s="5">
        <v>36.041036135447222</v>
      </c>
      <c r="I3998" s="5"/>
      <c r="J3998" s="5">
        <v>38.99699999335278</v>
      </c>
      <c r="K3998" s="5">
        <v>54</v>
      </c>
    </row>
    <row r="3999" spans="1:11" x14ac:dyDescent="0.25">
      <c r="A3999" s="2">
        <v>46264</v>
      </c>
      <c r="B3999" t="str">
        <f t="shared" si="124"/>
        <v>2026-08</v>
      </c>
      <c r="C3999" s="3">
        <f t="shared" si="125"/>
        <v>0</v>
      </c>
      <c r="D3999" s="4">
        <v>23.326968527363888</v>
      </c>
      <c r="E3999" s="4"/>
      <c r="F3999" s="4">
        <v>28.63727214956112</v>
      </c>
      <c r="G3999" s="4">
        <v>18.7</v>
      </c>
      <c r="H3999" s="5">
        <v>36.786977523447227</v>
      </c>
      <c r="I3999" s="5"/>
      <c r="J3999" s="5">
        <v>38.893652782530552</v>
      </c>
      <c r="K3999" s="5">
        <v>58</v>
      </c>
    </row>
    <row r="4000" spans="1:11" x14ac:dyDescent="0.25">
      <c r="A4000" s="2">
        <v>46264.041666666657</v>
      </c>
      <c r="B4000" t="str">
        <f t="shared" si="124"/>
        <v>2026-08</v>
      </c>
      <c r="C4000" s="3">
        <f t="shared" si="125"/>
        <v>1</v>
      </c>
      <c r="D4000" s="4">
        <v>23.028510395372219</v>
      </c>
      <c r="E4000" s="4"/>
      <c r="F4000" s="4">
        <v>28.596872791338889</v>
      </c>
      <c r="G4000" s="4">
        <v>17.899999999999999</v>
      </c>
      <c r="H4000" s="5">
        <v>37.011775001516668</v>
      </c>
      <c r="I4000" s="5"/>
      <c r="J4000" s="5">
        <v>38.700769280327783</v>
      </c>
      <c r="K4000" s="5">
        <v>61</v>
      </c>
    </row>
    <row r="4001" spans="1:11" x14ac:dyDescent="0.25">
      <c r="A4001" s="2">
        <v>46264.083333333343</v>
      </c>
      <c r="B4001" t="str">
        <f t="shared" si="124"/>
        <v>2026-08</v>
      </c>
      <c r="C4001" s="3">
        <f t="shared" si="125"/>
        <v>2</v>
      </c>
      <c r="D4001" s="4">
        <v>22.47943123054166</v>
      </c>
      <c r="E4001" s="4"/>
      <c r="F4001" s="4">
        <v>28.49781986574445</v>
      </c>
      <c r="G4001" s="4">
        <v>17</v>
      </c>
      <c r="H4001" s="5">
        <v>37.90698299623056</v>
      </c>
      <c r="I4001" s="5"/>
      <c r="J4001" s="5">
        <v>38.54395226623889</v>
      </c>
      <c r="K4001" s="5">
        <v>62</v>
      </c>
    </row>
    <row r="4002" spans="1:11" x14ac:dyDescent="0.25">
      <c r="A4002" s="2">
        <v>46264.125</v>
      </c>
      <c r="B4002" t="str">
        <f t="shared" si="124"/>
        <v>2026-08</v>
      </c>
      <c r="C4002" s="3">
        <f t="shared" si="125"/>
        <v>3</v>
      </c>
      <c r="D4002" s="4">
        <v>21.892224909883328</v>
      </c>
      <c r="E4002" s="4"/>
      <c r="F4002" s="4">
        <v>28.425763212536111</v>
      </c>
      <c r="G4002" s="4">
        <v>16</v>
      </c>
      <c r="H4002" s="5">
        <v>38.859612608313888</v>
      </c>
      <c r="I4002" s="5"/>
      <c r="J4002" s="5">
        <v>38.387950434980553</v>
      </c>
      <c r="K4002" s="5">
        <v>64</v>
      </c>
    </row>
    <row r="4003" spans="1:11" x14ac:dyDescent="0.25">
      <c r="A4003" s="2">
        <v>46264.166666666657</v>
      </c>
      <c r="B4003" t="str">
        <f t="shared" si="124"/>
        <v>2026-08</v>
      </c>
      <c r="C4003" s="3">
        <f t="shared" si="125"/>
        <v>4</v>
      </c>
      <c r="D4003" s="4">
        <v>21.146659609322221</v>
      </c>
      <c r="E4003" s="4"/>
      <c r="F4003" s="4">
        <v>28.422588787802781</v>
      </c>
      <c r="G4003" s="4">
        <v>15.3</v>
      </c>
      <c r="H4003" s="5">
        <v>40.148248896947223</v>
      </c>
      <c r="I4003" s="5"/>
      <c r="J4003" s="5">
        <v>38.262292911280561</v>
      </c>
      <c r="K4003" s="5">
        <v>65</v>
      </c>
    </row>
    <row r="4004" spans="1:11" x14ac:dyDescent="0.25">
      <c r="A4004" s="2">
        <v>46264.208333333343</v>
      </c>
      <c r="B4004" t="str">
        <f t="shared" si="124"/>
        <v>2026-08</v>
      </c>
      <c r="C4004" s="3">
        <f t="shared" si="125"/>
        <v>5</v>
      </c>
      <c r="D4004" s="4">
        <v>21.468047606424999</v>
      </c>
      <c r="E4004" s="4"/>
      <c r="F4004" s="4">
        <v>28.366319517102781</v>
      </c>
      <c r="G4004" s="4">
        <v>14.8</v>
      </c>
      <c r="H4004" s="5">
        <v>39.309662306338893</v>
      </c>
      <c r="I4004" s="5"/>
      <c r="J4004" s="5">
        <v>38.171670836058333</v>
      </c>
      <c r="K4004" s="5">
        <v>67</v>
      </c>
    </row>
    <row r="4005" spans="1:11" x14ac:dyDescent="0.25">
      <c r="A4005" s="2">
        <v>46264.25</v>
      </c>
      <c r="B4005" t="str">
        <f t="shared" si="124"/>
        <v>2026-08</v>
      </c>
      <c r="C4005" s="3">
        <f t="shared" si="125"/>
        <v>6</v>
      </c>
      <c r="D4005" s="4">
        <v>21.806456112633331</v>
      </c>
      <c r="E4005" s="4"/>
      <c r="F4005" s="4">
        <v>28.31355555535556</v>
      </c>
      <c r="G4005" s="4">
        <v>14.3</v>
      </c>
      <c r="H4005" s="5">
        <v>38.458062329880562</v>
      </c>
      <c r="I4005" s="5"/>
      <c r="J4005" s="5">
        <v>38.108357332552778</v>
      </c>
      <c r="K4005" s="5">
        <v>67</v>
      </c>
    </row>
    <row r="4006" spans="1:11" x14ac:dyDescent="0.25">
      <c r="A4006" s="2">
        <v>46264.291666666657</v>
      </c>
      <c r="B4006" t="str">
        <f t="shared" si="124"/>
        <v>2026-08</v>
      </c>
      <c r="C4006" s="3">
        <f t="shared" si="125"/>
        <v>7</v>
      </c>
      <c r="D4006" s="4">
        <v>23.09673084023056</v>
      </c>
      <c r="E4006" s="4"/>
      <c r="F4006" s="4">
        <v>28.356647609108329</v>
      </c>
      <c r="G4006" s="4">
        <v>15</v>
      </c>
      <c r="H4006" s="5">
        <v>36.189893376083333</v>
      </c>
      <c r="I4006" s="5"/>
      <c r="J4006" s="5">
        <v>38.351104472144442</v>
      </c>
      <c r="K4006" s="5">
        <v>64</v>
      </c>
    </row>
    <row r="4007" spans="1:11" x14ac:dyDescent="0.25">
      <c r="A4007" s="2">
        <v>46264.333333333343</v>
      </c>
      <c r="B4007" t="str">
        <f t="shared" si="124"/>
        <v>2026-08</v>
      </c>
      <c r="C4007" s="3">
        <f t="shared" si="125"/>
        <v>8</v>
      </c>
      <c r="D4007" s="4">
        <v>24.467998096866669</v>
      </c>
      <c r="E4007" s="4"/>
      <c r="F4007" s="4">
        <v>28.431902772169451</v>
      </c>
      <c r="G4007" s="4">
        <v>16.8</v>
      </c>
      <c r="H4007" s="5">
        <v>34.938527118913889</v>
      </c>
      <c r="I4007" s="5"/>
      <c r="J4007" s="5">
        <v>38.657816456875011</v>
      </c>
      <c r="K4007" s="5">
        <v>57</v>
      </c>
    </row>
    <row r="4008" spans="1:11" x14ac:dyDescent="0.25">
      <c r="A4008" s="2">
        <v>46264.375</v>
      </c>
      <c r="B4008" t="str">
        <f t="shared" si="124"/>
        <v>2026-08</v>
      </c>
      <c r="C4008" s="3">
        <f t="shared" si="125"/>
        <v>9</v>
      </c>
      <c r="D4008" s="4">
        <v>25.314509497427778</v>
      </c>
      <c r="E4008" s="4"/>
      <c r="F4008" s="4">
        <v>28.531074399608329</v>
      </c>
      <c r="G4008" s="4">
        <v>19.7</v>
      </c>
      <c r="H4008" s="5">
        <v>34.498653639202779</v>
      </c>
      <c r="I4008" s="5"/>
      <c r="J4008" s="5">
        <v>38.851811451233331</v>
      </c>
      <c r="K4008" s="5">
        <v>49</v>
      </c>
    </row>
    <row r="4009" spans="1:11" x14ac:dyDescent="0.25">
      <c r="A4009" s="2">
        <v>46264.416666666657</v>
      </c>
      <c r="B4009" t="str">
        <f t="shared" si="124"/>
        <v>2026-08</v>
      </c>
      <c r="C4009" s="3">
        <f t="shared" si="125"/>
        <v>10</v>
      </c>
      <c r="D4009" s="4">
        <v>25.66991783369722</v>
      </c>
      <c r="E4009" s="4"/>
      <c r="F4009" s="4">
        <v>28.613649448216659</v>
      </c>
      <c r="G4009" s="4">
        <v>22</v>
      </c>
      <c r="H4009" s="5">
        <v>34.095098012252777</v>
      </c>
      <c r="I4009" s="5"/>
      <c r="J4009" s="5">
        <v>39.012296439661121</v>
      </c>
      <c r="K4009" s="5">
        <v>43</v>
      </c>
    </row>
    <row r="4010" spans="1:11" x14ac:dyDescent="0.25">
      <c r="A4010" s="2">
        <v>46264.458333333343</v>
      </c>
      <c r="B4010" t="str">
        <f t="shared" si="124"/>
        <v>2026-08</v>
      </c>
      <c r="C4010" s="3">
        <f t="shared" si="125"/>
        <v>11</v>
      </c>
      <c r="D4010" s="4">
        <v>25.883901491638891</v>
      </c>
      <c r="E4010" s="4"/>
      <c r="F4010" s="4">
        <v>28.677398042527781</v>
      </c>
      <c r="G4010" s="4">
        <v>24</v>
      </c>
      <c r="H4010" s="5">
        <v>33.207907832250001</v>
      </c>
      <c r="I4010" s="5"/>
      <c r="J4010" s="5">
        <v>39.094821943649997</v>
      </c>
      <c r="K4010" s="5">
        <v>38</v>
      </c>
    </row>
    <row r="4011" spans="1:11" x14ac:dyDescent="0.25">
      <c r="A4011" s="2">
        <v>46264.5</v>
      </c>
      <c r="B4011" t="str">
        <f t="shared" si="124"/>
        <v>2026-08</v>
      </c>
      <c r="C4011" s="3">
        <f t="shared" si="125"/>
        <v>12</v>
      </c>
      <c r="D4011" s="4">
        <v>26.027864584669441</v>
      </c>
      <c r="E4011" s="4"/>
      <c r="F4011" s="4">
        <v>28.717003625741668</v>
      </c>
      <c r="G4011" s="4">
        <v>25.7</v>
      </c>
      <c r="H4011" s="5">
        <v>33.906142198322222</v>
      </c>
      <c r="I4011" s="5"/>
      <c r="J4011" s="5">
        <v>39.356988698180551</v>
      </c>
      <c r="K4011" s="5">
        <v>35</v>
      </c>
    </row>
    <row r="4012" spans="1:11" x14ac:dyDescent="0.25">
      <c r="A4012" s="2">
        <v>46264.541666666657</v>
      </c>
      <c r="B4012" t="str">
        <f t="shared" si="124"/>
        <v>2026-08</v>
      </c>
      <c r="C4012" s="3">
        <f t="shared" si="125"/>
        <v>13</v>
      </c>
      <c r="D4012" s="4">
        <v>26.035783170088891</v>
      </c>
      <c r="E4012" s="4"/>
      <c r="F4012" s="4">
        <v>28.723446387833331</v>
      </c>
      <c r="G4012" s="4">
        <v>26.7</v>
      </c>
      <c r="H4012" s="5">
        <v>32.938178940950003</v>
      </c>
      <c r="I4012" s="5"/>
      <c r="J4012" s="5">
        <v>39.503952853180557</v>
      </c>
      <c r="K4012" s="5">
        <v>31</v>
      </c>
    </row>
    <row r="4013" spans="1:11" x14ac:dyDescent="0.25">
      <c r="A4013" s="2">
        <v>46264.583333333343</v>
      </c>
      <c r="B4013" t="str">
        <f t="shared" si="124"/>
        <v>2026-08</v>
      </c>
      <c r="C4013" s="3">
        <f t="shared" si="125"/>
        <v>14</v>
      </c>
      <c r="D4013" s="4">
        <v>26.023997505455551</v>
      </c>
      <c r="E4013" s="4"/>
      <c r="F4013" s="4">
        <v>28.730864514094449</v>
      </c>
      <c r="G4013" s="4">
        <v>27.1</v>
      </c>
      <c r="H4013" s="5">
        <v>31.522223749947219</v>
      </c>
      <c r="I4013" s="5"/>
      <c r="J4013" s="5">
        <v>39.449857531191668</v>
      </c>
      <c r="K4013" s="5">
        <v>29</v>
      </c>
    </row>
    <row r="4014" spans="1:11" x14ac:dyDescent="0.25">
      <c r="A4014" s="2">
        <v>46264.625</v>
      </c>
      <c r="B4014" t="str">
        <f t="shared" si="124"/>
        <v>2026-08</v>
      </c>
      <c r="C4014" s="3">
        <f t="shared" si="125"/>
        <v>15</v>
      </c>
      <c r="D4014" s="4">
        <v>26.028588548138892</v>
      </c>
      <c r="E4014" s="4"/>
      <c r="F4014" s="4">
        <v>28.766369805319439</v>
      </c>
      <c r="G4014" s="4">
        <v>28.2</v>
      </c>
      <c r="H4014" s="5">
        <v>32.120252721580563</v>
      </c>
      <c r="I4014" s="5"/>
      <c r="J4014" s="5">
        <v>39.362038153450008</v>
      </c>
      <c r="K4014" s="5">
        <v>27</v>
      </c>
    </row>
    <row r="4015" spans="1:11" x14ac:dyDescent="0.25">
      <c r="A4015" s="2">
        <v>46264.666666666657</v>
      </c>
      <c r="B4015" t="str">
        <f t="shared" si="124"/>
        <v>2026-08</v>
      </c>
      <c r="C4015" s="3">
        <f t="shared" si="125"/>
        <v>16</v>
      </c>
      <c r="D4015" s="4">
        <v>26.255128559574999</v>
      </c>
      <c r="E4015" s="4"/>
      <c r="F4015" s="4">
        <v>28.784672726693941</v>
      </c>
      <c r="G4015" s="4">
        <v>27.8</v>
      </c>
      <c r="H4015" s="5">
        <v>31.61216305094722</v>
      </c>
      <c r="I4015" s="5"/>
      <c r="J4015" s="5">
        <v>39.360818068469698</v>
      </c>
      <c r="K4015" s="5">
        <v>27</v>
      </c>
    </row>
    <row r="4016" spans="1:11" x14ac:dyDescent="0.25">
      <c r="A4016" s="2">
        <v>46264.708333333343</v>
      </c>
      <c r="B4016" t="str">
        <f t="shared" si="124"/>
        <v>2026-08</v>
      </c>
      <c r="C4016" s="3">
        <f t="shared" si="125"/>
        <v>17</v>
      </c>
      <c r="D4016" s="4">
        <v>26.465963883572218</v>
      </c>
      <c r="E4016" s="4"/>
      <c r="F4016" s="4"/>
      <c r="G4016" s="4">
        <v>27.4</v>
      </c>
      <c r="H4016" s="5">
        <v>32.120761293933327</v>
      </c>
      <c r="I4016" s="5"/>
      <c r="J4016" s="5"/>
      <c r="K4016" s="5">
        <v>28</v>
      </c>
    </row>
    <row r="4017" spans="1:11" x14ac:dyDescent="0.25">
      <c r="A4017" s="2">
        <v>46264.75</v>
      </c>
      <c r="B4017" t="str">
        <f t="shared" si="124"/>
        <v>2026-08</v>
      </c>
      <c r="C4017" s="3">
        <f t="shared" si="125"/>
        <v>18</v>
      </c>
      <c r="D4017" s="4">
        <v>26.582825275086108</v>
      </c>
      <c r="E4017" s="4"/>
      <c r="F4017" s="4"/>
      <c r="G4017" s="4">
        <v>26.7</v>
      </c>
      <c r="H4017" s="5">
        <v>31.36274224798612</v>
      </c>
      <c r="I4017" s="5"/>
      <c r="J4017" s="5"/>
      <c r="K4017" s="5">
        <v>30</v>
      </c>
    </row>
    <row r="4018" spans="1:11" x14ac:dyDescent="0.25">
      <c r="A4018" s="2">
        <v>46264.791666666657</v>
      </c>
      <c r="B4018" t="str">
        <f t="shared" si="124"/>
        <v>2026-08</v>
      </c>
      <c r="C4018" s="3">
        <f t="shared" si="125"/>
        <v>19</v>
      </c>
      <c r="D4018" s="4">
        <v>26.50982106555556</v>
      </c>
      <c r="E4018" s="4"/>
      <c r="F4018" s="4">
        <v>28.518728755456149</v>
      </c>
      <c r="G4018" s="4">
        <v>25</v>
      </c>
      <c r="H4018" s="5">
        <v>32.23201741022222</v>
      </c>
      <c r="I4018" s="5"/>
      <c r="J4018" s="5">
        <v>39.727452522641748</v>
      </c>
      <c r="K4018" s="5">
        <v>36</v>
      </c>
    </row>
    <row r="4019" spans="1:11" x14ac:dyDescent="0.25">
      <c r="A4019" s="2">
        <v>46264.833333333343</v>
      </c>
      <c r="B4019" t="str">
        <f t="shared" si="124"/>
        <v>2026-08</v>
      </c>
      <c r="C4019" s="3">
        <f t="shared" si="125"/>
        <v>20</v>
      </c>
      <c r="D4019" s="4">
        <v>26.294920970275001</v>
      </c>
      <c r="E4019" s="4"/>
      <c r="F4019" s="4">
        <v>28.962959611886109</v>
      </c>
      <c r="G4019" s="4">
        <v>23.5</v>
      </c>
      <c r="H4019" s="5">
        <v>31.500502085480552</v>
      </c>
      <c r="I4019" s="5"/>
      <c r="J4019" s="5">
        <v>39.349635065477777</v>
      </c>
      <c r="K4019" s="5">
        <v>40</v>
      </c>
    </row>
    <row r="4020" spans="1:11" x14ac:dyDescent="0.25">
      <c r="A4020" s="2">
        <v>46264.875</v>
      </c>
      <c r="B4020" t="str">
        <f t="shared" si="124"/>
        <v>2026-08</v>
      </c>
      <c r="C4020" s="3">
        <f t="shared" si="125"/>
        <v>21</v>
      </c>
      <c r="D4020" s="4">
        <v>26.08478913089445</v>
      </c>
      <c r="E4020" s="4"/>
      <c r="F4020" s="4">
        <v>28.95428099551944</v>
      </c>
      <c r="G4020" s="4">
        <v>22.3</v>
      </c>
      <c r="H4020" s="5">
        <v>31.117247574947221</v>
      </c>
      <c r="I4020" s="5"/>
      <c r="J4020" s="5">
        <v>38.981746168577779</v>
      </c>
      <c r="K4020" s="5">
        <v>44</v>
      </c>
    </row>
    <row r="4021" spans="1:11" x14ac:dyDescent="0.25">
      <c r="A4021" s="2">
        <v>46264.916666666657</v>
      </c>
      <c r="B4021" t="str">
        <f t="shared" si="124"/>
        <v>2026-08</v>
      </c>
      <c r="C4021" s="3">
        <f t="shared" si="125"/>
        <v>22</v>
      </c>
      <c r="D4021" s="4">
        <v>25.859454378163889</v>
      </c>
      <c r="E4021" s="4"/>
      <c r="F4021" s="4">
        <v>28.854442388024999</v>
      </c>
      <c r="G4021" s="4">
        <v>21</v>
      </c>
      <c r="H4021" s="5">
        <v>31.539607864091671</v>
      </c>
      <c r="I4021" s="5"/>
      <c r="J4021" s="5">
        <v>38.962779928677783</v>
      </c>
      <c r="K4021" s="5">
        <v>47</v>
      </c>
    </row>
    <row r="4022" spans="1:11" x14ac:dyDescent="0.25">
      <c r="A4022" s="2">
        <v>46264.958333333343</v>
      </c>
      <c r="B4022" t="str">
        <f t="shared" si="124"/>
        <v>2026-08</v>
      </c>
      <c r="C4022" s="3">
        <f t="shared" si="125"/>
        <v>23</v>
      </c>
      <c r="D4022" s="4">
        <v>25.59598594443333</v>
      </c>
      <c r="E4022" s="4"/>
      <c r="F4022" s="4">
        <v>28.998669960538891</v>
      </c>
      <c r="G4022" s="4">
        <v>20.100000000000001</v>
      </c>
      <c r="H4022" s="5">
        <v>30.69517973900556</v>
      </c>
      <c r="I4022" s="5"/>
      <c r="J4022" s="5">
        <v>38.929282183308338</v>
      </c>
      <c r="K4022" s="5">
        <v>48</v>
      </c>
    </row>
    <row r="4023" spans="1:11" x14ac:dyDescent="0.25">
      <c r="A4023" s="2">
        <v>46265</v>
      </c>
      <c r="B4023" t="str">
        <f t="shared" si="124"/>
        <v>2026-08</v>
      </c>
      <c r="C4023" s="3">
        <f t="shared" si="125"/>
        <v>0</v>
      </c>
      <c r="D4023" s="4">
        <v>25.400087284416671</v>
      </c>
      <c r="E4023" s="4"/>
      <c r="F4023" s="4">
        <v>29.050979565302779</v>
      </c>
      <c r="G4023" s="4">
        <v>19.2</v>
      </c>
      <c r="H4023" s="5">
        <v>30.38992707023889</v>
      </c>
      <c r="I4023" s="5"/>
      <c r="J4023" s="5">
        <v>38.882370739711121</v>
      </c>
      <c r="K4023" s="5">
        <v>49</v>
      </c>
    </row>
    <row r="4024" spans="1:11" x14ac:dyDescent="0.25">
      <c r="A4024" s="2">
        <v>46265.041666666657</v>
      </c>
      <c r="B4024" t="str">
        <f t="shared" si="124"/>
        <v>2026-08</v>
      </c>
      <c r="C4024" s="3">
        <f t="shared" si="125"/>
        <v>1</v>
      </c>
      <c r="D4024" s="4">
        <v>24.922518970294441</v>
      </c>
      <c r="E4024" s="4"/>
      <c r="F4024" s="4">
        <v>28.99255572000833</v>
      </c>
      <c r="G4024" s="4">
        <v>18.5</v>
      </c>
      <c r="H4024" s="5">
        <v>31.36492731618889</v>
      </c>
      <c r="I4024" s="5"/>
      <c r="J4024" s="5">
        <v>38.728489957763891</v>
      </c>
      <c r="K4024" s="5">
        <v>51</v>
      </c>
    </row>
    <row r="4025" spans="1:11" x14ac:dyDescent="0.25">
      <c r="A4025" s="2">
        <v>46265.083333333343</v>
      </c>
      <c r="B4025" t="str">
        <f t="shared" si="124"/>
        <v>2026-08</v>
      </c>
      <c r="C4025" s="3">
        <f t="shared" si="125"/>
        <v>2</v>
      </c>
      <c r="D4025" s="4">
        <v>24.532483594130561</v>
      </c>
      <c r="E4025" s="4"/>
      <c r="F4025" s="4">
        <v>28.916680992349999</v>
      </c>
      <c r="G4025" s="4">
        <v>18.100000000000001</v>
      </c>
      <c r="H4025" s="5">
        <v>31.665513254747221</v>
      </c>
      <c r="I4025" s="5"/>
      <c r="J4025" s="5">
        <v>38.576616070719453</v>
      </c>
      <c r="K4025" s="5">
        <v>52</v>
      </c>
    </row>
    <row r="4026" spans="1:11" x14ac:dyDescent="0.25">
      <c r="A4026" s="2">
        <v>46265.125</v>
      </c>
      <c r="B4026" t="str">
        <f t="shared" si="124"/>
        <v>2026-08</v>
      </c>
      <c r="C4026" s="3">
        <f t="shared" si="125"/>
        <v>3</v>
      </c>
      <c r="D4026" s="4">
        <v>24.41915156758612</v>
      </c>
      <c r="E4026" s="4"/>
      <c r="F4026" s="4">
        <v>28.853605457430561</v>
      </c>
      <c r="G4026" s="4">
        <v>16.899999999999999</v>
      </c>
      <c r="H4026" s="5">
        <v>31.628799473425001</v>
      </c>
      <c r="I4026" s="5"/>
      <c r="J4026" s="5">
        <v>38.484540894272222</v>
      </c>
      <c r="K4026" s="5">
        <v>56</v>
      </c>
    </row>
    <row r="4027" spans="1:11" x14ac:dyDescent="0.25">
      <c r="A4027" s="2">
        <v>46265.166666666657</v>
      </c>
      <c r="B4027" t="str">
        <f t="shared" si="124"/>
        <v>2026-08</v>
      </c>
      <c r="C4027" s="3">
        <f t="shared" si="125"/>
        <v>4</v>
      </c>
      <c r="D4027" s="4">
        <v>24.065630827911111</v>
      </c>
      <c r="E4027" s="4"/>
      <c r="F4027" s="4">
        <v>28.805206874016669</v>
      </c>
      <c r="G4027" s="4">
        <v>16.399999999999999</v>
      </c>
      <c r="H4027" s="5">
        <v>31.871021722563889</v>
      </c>
      <c r="I4027" s="5"/>
      <c r="J4027" s="5">
        <v>38.368224805316657</v>
      </c>
      <c r="K4027" s="5">
        <v>58</v>
      </c>
    </row>
    <row r="4028" spans="1:11" x14ac:dyDescent="0.25">
      <c r="A4028" s="2">
        <v>46265.208333333343</v>
      </c>
      <c r="B4028" t="str">
        <f t="shared" si="124"/>
        <v>2026-08</v>
      </c>
      <c r="C4028" s="3">
        <f t="shared" si="125"/>
        <v>5</v>
      </c>
      <c r="D4028" s="4">
        <v>23.777646687813888</v>
      </c>
      <c r="E4028" s="4"/>
      <c r="F4028" s="4">
        <v>28.764289222288891</v>
      </c>
      <c r="G4028" s="4">
        <v>15.8</v>
      </c>
      <c r="H4028" s="5">
        <v>31.871384062124999</v>
      </c>
      <c r="I4028" s="5"/>
      <c r="J4028" s="5">
        <v>38.25183844224167</v>
      </c>
      <c r="K4028" s="5">
        <v>60</v>
      </c>
    </row>
    <row r="4029" spans="1:11" x14ac:dyDescent="0.25">
      <c r="A4029" s="2">
        <v>46265.25</v>
      </c>
      <c r="B4029" t="str">
        <f t="shared" si="124"/>
        <v>2026-08</v>
      </c>
      <c r="C4029" s="3">
        <f t="shared" si="125"/>
        <v>6</v>
      </c>
      <c r="D4029" s="4">
        <v>24.197878203769449</v>
      </c>
      <c r="E4029" s="4"/>
      <c r="F4029" s="4">
        <v>28.69542491206111</v>
      </c>
      <c r="G4029" s="4">
        <v>15.3</v>
      </c>
      <c r="H4029" s="5">
        <v>30.709506821269439</v>
      </c>
      <c r="I4029" s="5"/>
      <c r="J4029" s="5">
        <v>38.010743381322222</v>
      </c>
      <c r="K4029" s="5">
        <v>62</v>
      </c>
    </row>
    <row r="4030" spans="1:11" x14ac:dyDescent="0.25">
      <c r="A4030" s="2">
        <v>46265.291666666657</v>
      </c>
      <c r="B4030" t="str">
        <f t="shared" si="124"/>
        <v>2026-08</v>
      </c>
      <c r="C4030" s="3">
        <f t="shared" si="125"/>
        <v>7</v>
      </c>
      <c r="D4030" s="4">
        <v>24.74690515180556</v>
      </c>
      <c r="E4030" s="4"/>
      <c r="F4030" s="4">
        <v>28.678860798194449</v>
      </c>
      <c r="G4030" s="4">
        <v>16</v>
      </c>
      <c r="H4030" s="5">
        <v>30.20212589106389</v>
      </c>
      <c r="I4030" s="5"/>
      <c r="J4030" s="5">
        <v>38.114390146211107</v>
      </c>
      <c r="K4030" s="5">
        <v>60</v>
      </c>
    </row>
    <row r="4031" spans="1:11" x14ac:dyDescent="0.25">
      <c r="A4031" s="2">
        <v>46265.333333333343</v>
      </c>
      <c r="B4031" t="str">
        <f t="shared" si="124"/>
        <v>2026-08</v>
      </c>
      <c r="C4031" s="3">
        <f t="shared" si="125"/>
        <v>8</v>
      </c>
      <c r="D4031" s="4">
        <v>25.596480794200001</v>
      </c>
      <c r="E4031" s="4"/>
      <c r="F4031" s="4">
        <v>28.69652210640556</v>
      </c>
      <c r="G4031" s="4">
        <v>18</v>
      </c>
      <c r="H4031" s="5">
        <v>29.52429653315</v>
      </c>
      <c r="I4031" s="5"/>
      <c r="J4031" s="5">
        <v>38.171577414561114</v>
      </c>
      <c r="K4031" s="5">
        <v>52</v>
      </c>
    </row>
    <row r="4032" spans="1:11" x14ac:dyDescent="0.25">
      <c r="A4032" s="2">
        <v>46265.375</v>
      </c>
      <c r="B4032" t="str">
        <f t="shared" si="124"/>
        <v>2026-08</v>
      </c>
      <c r="C4032" s="3">
        <f t="shared" si="125"/>
        <v>9</v>
      </c>
      <c r="D4032" s="4">
        <v>26.17943144497778</v>
      </c>
      <c r="E4032" s="4"/>
      <c r="F4032" s="4">
        <v>28.727686379369441</v>
      </c>
      <c r="G4032" s="4">
        <v>19.899999999999999</v>
      </c>
      <c r="H4032" s="5">
        <v>29.072458933508329</v>
      </c>
      <c r="I4032" s="5"/>
      <c r="J4032" s="5">
        <v>38.216412929486111</v>
      </c>
      <c r="K4032" s="5">
        <v>45</v>
      </c>
    </row>
    <row r="4033" spans="1:11" x14ac:dyDescent="0.25">
      <c r="A4033" s="2">
        <v>46265.416666666657</v>
      </c>
      <c r="B4033" t="str">
        <f t="shared" si="124"/>
        <v>2026-08</v>
      </c>
      <c r="C4033" s="3">
        <f t="shared" si="125"/>
        <v>10</v>
      </c>
      <c r="D4033" s="4">
        <v>26.463284733605558</v>
      </c>
      <c r="E4033" s="4"/>
      <c r="F4033" s="4">
        <v>28.764355020091671</v>
      </c>
      <c r="G4033" s="4">
        <v>21.4</v>
      </c>
      <c r="H4033" s="5">
        <v>28.64887466922222</v>
      </c>
      <c r="I4033" s="5"/>
      <c r="J4033" s="5">
        <v>38.297596300999999</v>
      </c>
      <c r="K4033" s="5">
        <v>41</v>
      </c>
    </row>
    <row r="4034" spans="1:11" x14ac:dyDescent="0.25">
      <c r="A4034" s="2">
        <v>46265.458333333343</v>
      </c>
      <c r="B4034" t="str">
        <f t="shared" ref="B4034:B4097" si="126">TEXT(A4034,"yyyy-mm")</f>
        <v>2026-08</v>
      </c>
      <c r="C4034" s="3">
        <f t="shared" ref="C4034:C4097" si="127">HOUR(A4034)</f>
        <v>11</v>
      </c>
      <c r="D4034" s="4">
        <v>26.713796812791671</v>
      </c>
      <c r="E4034" s="4"/>
      <c r="F4034" s="4">
        <v>28.794854844938889</v>
      </c>
      <c r="G4034" s="4">
        <v>24.4</v>
      </c>
      <c r="H4034" s="5">
        <v>26.732471254791669</v>
      </c>
      <c r="I4034" s="5"/>
      <c r="J4034" s="5">
        <v>38.334365098966657</v>
      </c>
      <c r="K4034" s="5">
        <v>31</v>
      </c>
    </row>
    <row r="4035" spans="1:11" x14ac:dyDescent="0.25">
      <c r="A4035" s="2">
        <v>46265.5</v>
      </c>
      <c r="B4035" t="str">
        <f t="shared" si="126"/>
        <v>2026-08</v>
      </c>
      <c r="C4035" s="3">
        <f t="shared" si="127"/>
        <v>12</v>
      </c>
      <c r="D4035" s="4">
        <v>26.897423964477781</v>
      </c>
      <c r="E4035" s="4"/>
      <c r="F4035" s="4">
        <v>28.773131401341669</v>
      </c>
      <c r="G4035" s="4">
        <v>25.7</v>
      </c>
      <c r="H4035" s="5">
        <v>25.858554134102771</v>
      </c>
      <c r="I4035" s="5"/>
      <c r="J4035" s="5">
        <v>36.791714465325001</v>
      </c>
      <c r="K4035" s="5">
        <v>27</v>
      </c>
    </row>
    <row r="4036" spans="1:11" x14ac:dyDescent="0.25">
      <c r="A4036" s="2">
        <v>46265.541666666657</v>
      </c>
      <c r="B4036" t="str">
        <f t="shared" si="126"/>
        <v>2026-08</v>
      </c>
      <c r="C4036" s="3">
        <f t="shared" si="127"/>
        <v>13</v>
      </c>
      <c r="D4036" s="4">
        <v>26.896325778927778</v>
      </c>
      <c r="E4036" s="4"/>
      <c r="F4036" s="4">
        <v>28.858281095308332</v>
      </c>
      <c r="G4036" s="4">
        <v>26.6</v>
      </c>
      <c r="H4036" s="5">
        <v>26.050817424249999</v>
      </c>
      <c r="I4036" s="5"/>
      <c r="J4036" s="5">
        <v>37.082270049074999</v>
      </c>
      <c r="K4036" s="5">
        <v>25</v>
      </c>
    </row>
    <row r="4037" spans="1:11" x14ac:dyDescent="0.25">
      <c r="A4037" s="2">
        <v>46265.583333333343</v>
      </c>
      <c r="B4037" t="str">
        <f t="shared" si="126"/>
        <v>2026-08</v>
      </c>
      <c r="C4037" s="3">
        <f t="shared" si="127"/>
        <v>14</v>
      </c>
      <c r="D4037" s="4">
        <v>26.827889161452781</v>
      </c>
      <c r="E4037" s="4"/>
      <c r="F4037" s="4">
        <v>29.070378593316661</v>
      </c>
      <c r="G4037" s="4">
        <v>27</v>
      </c>
      <c r="H4037" s="5">
        <v>25.888155718491671</v>
      </c>
      <c r="I4037" s="5"/>
      <c r="J4037" s="5">
        <v>37.393438401544451</v>
      </c>
      <c r="K4037" s="5">
        <v>25</v>
      </c>
    </row>
    <row r="4038" spans="1:11" x14ac:dyDescent="0.25">
      <c r="A4038" s="2">
        <v>46265.625</v>
      </c>
      <c r="B4038" t="str">
        <f t="shared" si="126"/>
        <v>2026-08</v>
      </c>
      <c r="C4038" s="3">
        <f t="shared" si="127"/>
        <v>15</v>
      </c>
      <c r="D4038" s="4">
        <v>26.902206905597222</v>
      </c>
      <c r="E4038" s="4"/>
      <c r="F4038" s="4">
        <v>29.141948463763889</v>
      </c>
      <c r="G4038" s="4">
        <v>28.3</v>
      </c>
      <c r="H4038" s="5">
        <v>25.14798470585</v>
      </c>
      <c r="I4038" s="5"/>
      <c r="J4038" s="5">
        <v>37.195182494575</v>
      </c>
      <c r="K4038" s="5">
        <v>23</v>
      </c>
    </row>
    <row r="4039" spans="1:11" x14ac:dyDescent="0.25">
      <c r="A4039" s="2">
        <v>46265.666666666657</v>
      </c>
      <c r="B4039" t="str">
        <f t="shared" si="126"/>
        <v>2026-08</v>
      </c>
      <c r="C4039" s="3">
        <f t="shared" si="127"/>
        <v>16</v>
      </c>
      <c r="D4039" s="4">
        <v>26.940418846591669</v>
      </c>
      <c r="E4039" s="4">
        <v>28.55911331867474</v>
      </c>
      <c r="F4039" s="4">
        <v>29.137448525105551</v>
      </c>
      <c r="G4039" s="4">
        <v>27.8</v>
      </c>
      <c r="H4039" s="5">
        <v>26.919273814891671</v>
      </c>
      <c r="I4039" s="5">
        <v>28.149343461827261</v>
      </c>
      <c r="J4039" s="5">
        <v>37.464800949527778</v>
      </c>
      <c r="K4039" s="5">
        <v>24</v>
      </c>
    </row>
    <row r="4040" spans="1:11" x14ac:dyDescent="0.25">
      <c r="A4040" s="2">
        <v>46265.708333333343</v>
      </c>
      <c r="B4040" t="str">
        <f t="shared" si="126"/>
        <v>2026-08</v>
      </c>
      <c r="C4040" s="3">
        <f t="shared" si="127"/>
        <v>17</v>
      </c>
      <c r="D4040" s="4">
        <v>26.960857280030559</v>
      </c>
      <c r="E4040" s="4">
        <v>28.365311246963891</v>
      </c>
      <c r="F4040" s="4">
        <v>29.090801988222221</v>
      </c>
      <c r="G4040" s="4">
        <v>27.2</v>
      </c>
      <c r="H4040" s="5">
        <v>27.904921160425001</v>
      </c>
      <c r="I4040" s="5">
        <v>27.22552386903611</v>
      </c>
      <c r="J4040" s="5">
        <v>37.333107153744443</v>
      </c>
      <c r="K4040" s="5">
        <v>25</v>
      </c>
    </row>
    <row r="4041" spans="1:11" x14ac:dyDescent="0.25">
      <c r="A4041" s="2">
        <v>46265.75</v>
      </c>
      <c r="B4041" t="str">
        <f t="shared" si="126"/>
        <v>2026-08</v>
      </c>
      <c r="C4041" s="3">
        <f t="shared" si="127"/>
        <v>18</v>
      </c>
      <c r="D4041" s="4">
        <v>26.911065826927778</v>
      </c>
      <c r="E4041" s="4">
        <v>28.062072893658328</v>
      </c>
      <c r="F4041" s="4">
        <v>29.016886903724998</v>
      </c>
      <c r="G4041" s="4">
        <v>26.4</v>
      </c>
      <c r="H4041" s="5">
        <v>26.269800076838891</v>
      </c>
      <c r="I4041" s="5">
        <v>29.410442129488889</v>
      </c>
      <c r="J4041" s="5">
        <v>37.224918669822223</v>
      </c>
      <c r="K4041" s="5">
        <v>26</v>
      </c>
    </row>
    <row r="4042" spans="1:11" x14ac:dyDescent="0.25">
      <c r="A4042" s="2">
        <v>46265.791666666657</v>
      </c>
      <c r="B4042" t="str">
        <f t="shared" si="126"/>
        <v>2026-08</v>
      </c>
      <c r="C4042" s="3">
        <f t="shared" si="127"/>
        <v>19</v>
      </c>
      <c r="D4042" s="4">
        <v>26.711973675780559</v>
      </c>
      <c r="E4042" s="4">
        <v>27.582411189588889</v>
      </c>
      <c r="F4042" s="4">
        <v>29.014198356813889</v>
      </c>
      <c r="G4042" s="4">
        <v>24.8</v>
      </c>
      <c r="H4042" s="5">
        <v>25.36851620837778</v>
      </c>
      <c r="I4042" s="5">
        <v>27.442656589552779</v>
      </c>
      <c r="J4042" s="5">
        <v>37.386234033202783</v>
      </c>
      <c r="K4042" s="5">
        <v>31</v>
      </c>
    </row>
    <row r="4043" spans="1:11" x14ac:dyDescent="0.25">
      <c r="A4043" s="2">
        <v>46265.833333333343</v>
      </c>
      <c r="B4043" t="str">
        <f t="shared" si="126"/>
        <v>2026-08</v>
      </c>
      <c r="C4043" s="3">
        <f t="shared" si="127"/>
        <v>20</v>
      </c>
      <c r="D4043" s="4">
        <v>26.461728861369451</v>
      </c>
      <c r="E4043" s="4">
        <v>27.307488068652781</v>
      </c>
      <c r="F4043" s="4">
        <v>28.974035688230561</v>
      </c>
      <c r="G4043" s="4">
        <v>23.4</v>
      </c>
      <c r="H4043" s="5">
        <v>23.903532790272219</v>
      </c>
      <c r="I4043" s="5">
        <v>28.076934635902781</v>
      </c>
      <c r="J4043" s="5">
        <v>37.191624983936123</v>
      </c>
      <c r="K4043" s="5">
        <v>34</v>
      </c>
    </row>
    <row r="4044" spans="1:11" x14ac:dyDescent="0.25">
      <c r="A4044" s="2">
        <v>46265.875</v>
      </c>
      <c r="B4044" t="str">
        <f t="shared" si="126"/>
        <v>2026-08</v>
      </c>
      <c r="C4044" s="3">
        <f t="shared" si="127"/>
        <v>21</v>
      </c>
      <c r="D4044" s="4">
        <v>26.215694008808331</v>
      </c>
      <c r="E4044" s="4">
        <v>27.829418862299999</v>
      </c>
      <c r="F4044" s="4">
        <v>28.85504303036112</v>
      </c>
      <c r="G4044" s="4">
        <v>22.9</v>
      </c>
      <c r="H4044" s="5">
        <v>24.001568242197219</v>
      </c>
      <c r="I4044" s="5">
        <v>26.953803989044449</v>
      </c>
      <c r="J4044" s="5">
        <v>35.614701873608333</v>
      </c>
      <c r="K4044" s="5">
        <v>32</v>
      </c>
    </row>
    <row r="4045" spans="1:11" x14ac:dyDescent="0.25">
      <c r="A4045" s="2">
        <v>46265.916666666657</v>
      </c>
      <c r="B4045" t="str">
        <f t="shared" si="126"/>
        <v>2026-08</v>
      </c>
      <c r="C4045" s="3">
        <f t="shared" si="127"/>
        <v>22</v>
      </c>
      <c r="D4045" s="4">
        <v>26.300617829427779</v>
      </c>
      <c r="E4045" s="4">
        <v>28.542068273086109</v>
      </c>
      <c r="F4045" s="4">
        <v>28.491889433022219</v>
      </c>
      <c r="G4045" s="4">
        <v>22</v>
      </c>
      <c r="H4045" s="5">
        <v>24.880404221741671</v>
      </c>
      <c r="I4045" s="5">
        <v>25.81567669341111</v>
      </c>
      <c r="J4045" s="5">
        <v>34.09584090916389</v>
      </c>
      <c r="K4045" s="5">
        <v>33</v>
      </c>
    </row>
    <row r="4046" spans="1:11" x14ac:dyDescent="0.25">
      <c r="A4046" s="2">
        <v>46265.958333333343</v>
      </c>
      <c r="B4046" t="str">
        <f t="shared" si="126"/>
        <v>2026-08</v>
      </c>
      <c r="C4046" s="3">
        <f t="shared" si="127"/>
        <v>23</v>
      </c>
      <c r="D4046" s="4">
        <v>25.961307345325</v>
      </c>
      <c r="E4046" s="4">
        <v>27.83498364395</v>
      </c>
      <c r="F4046" s="4">
        <v>28.814833715005548</v>
      </c>
      <c r="G4046" s="4">
        <v>20.399999999999999</v>
      </c>
      <c r="H4046" s="5">
        <v>23.364044966461108</v>
      </c>
      <c r="I4046" s="5">
        <v>26.166321904675002</v>
      </c>
      <c r="J4046" s="5">
        <v>35.290765060683327</v>
      </c>
      <c r="K4046" s="5">
        <v>38</v>
      </c>
    </row>
    <row r="4047" spans="1:11" x14ac:dyDescent="0.25">
      <c r="A4047" s="2">
        <v>46266</v>
      </c>
      <c r="B4047" t="str">
        <f t="shared" si="126"/>
        <v>2026-09</v>
      </c>
      <c r="C4047" s="3">
        <f t="shared" si="127"/>
        <v>0</v>
      </c>
      <c r="D4047" s="4">
        <v>25.487095994680558</v>
      </c>
      <c r="E4047" s="4">
        <v>27.58702006728333</v>
      </c>
      <c r="F4047" s="4">
        <v>28.888466265283331</v>
      </c>
      <c r="G4047" s="4">
        <v>19.2</v>
      </c>
      <c r="H4047" s="5">
        <v>23.26798719180556</v>
      </c>
      <c r="I4047" s="5">
        <v>25.16463303549444</v>
      </c>
      <c r="J4047" s="5">
        <v>35.586609413524997</v>
      </c>
      <c r="K4047" s="5">
        <v>41</v>
      </c>
    </row>
    <row r="4048" spans="1:11" x14ac:dyDescent="0.25">
      <c r="A4048" s="2">
        <v>46266.041666666657</v>
      </c>
      <c r="B4048" t="str">
        <f t="shared" si="126"/>
        <v>2026-09</v>
      </c>
      <c r="C4048" s="3">
        <f t="shared" si="127"/>
        <v>1</v>
      </c>
      <c r="D4048" s="4">
        <v>25.237329438566661</v>
      </c>
      <c r="E4048" s="4">
        <v>27.42393248800278</v>
      </c>
      <c r="F4048" s="4">
        <v>28.8833669984</v>
      </c>
      <c r="G4048" s="4">
        <v>18.3</v>
      </c>
      <c r="H4048" s="5">
        <v>23.889179680252781</v>
      </c>
      <c r="I4048" s="5">
        <v>25.183180140327771</v>
      </c>
      <c r="J4048" s="5">
        <v>35.723819748238888</v>
      </c>
      <c r="K4048" s="5">
        <v>43</v>
      </c>
    </row>
    <row r="4049" spans="1:11" x14ac:dyDescent="0.25">
      <c r="A4049" s="2">
        <v>46266.083333333343</v>
      </c>
      <c r="B4049" t="str">
        <f t="shared" si="126"/>
        <v>2026-09</v>
      </c>
      <c r="C4049" s="3">
        <f t="shared" si="127"/>
        <v>2</v>
      </c>
      <c r="D4049" s="4">
        <v>25.370627000538889</v>
      </c>
      <c r="E4049" s="4">
        <v>27.36227801759722</v>
      </c>
      <c r="F4049" s="4">
        <v>28.85750384340556</v>
      </c>
      <c r="G4049" s="4">
        <v>17.8</v>
      </c>
      <c r="H4049" s="5">
        <v>24.265072470386109</v>
      </c>
      <c r="I4049" s="5">
        <v>24.80672718175278</v>
      </c>
      <c r="J4049" s="5">
        <v>35.759745025424998</v>
      </c>
      <c r="K4049" s="5">
        <v>43</v>
      </c>
    </row>
    <row r="4050" spans="1:11" x14ac:dyDescent="0.25">
      <c r="A4050" s="2">
        <v>46266.125</v>
      </c>
      <c r="B4050" t="str">
        <f t="shared" si="126"/>
        <v>2026-09</v>
      </c>
      <c r="C4050" s="3">
        <f t="shared" si="127"/>
        <v>3</v>
      </c>
      <c r="D4050" s="4">
        <v>25.29542867699444</v>
      </c>
      <c r="E4050" s="4">
        <v>27.237817151158328</v>
      </c>
      <c r="F4050" s="4">
        <v>28.83425599760556</v>
      </c>
      <c r="G4050" s="4">
        <v>17.100000000000001</v>
      </c>
      <c r="H4050" s="5">
        <v>24.23447778129167</v>
      </c>
      <c r="I4050" s="5">
        <v>24.571171459552779</v>
      </c>
      <c r="J4050" s="5">
        <v>35.771467760580563</v>
      </c>
      <c r="K4050" s="5">
        <v>45</v>
      </c>
    </row>
    <row r="4051" spans="1:11" x14ac:dyDescent="0.25">
      <c r="A4051" s="2">
        <v>46266.166666666657</v>
      </c>
      <c r="B4051" t="str">
        <f t="shared" si="126"/>
        <v>2026-09</v>
      </c>
      <c r="C4051" s="3">
        <f t="shared" si="127"/>
        <v>4</v>
      </c>
      <c r="D4051" s="4">
        <v>24.964341520266672</v>
      </c>
      <c r="E4051" s="4">
        <v>27.095998728647221</v>
      </c>
      <c r="F4051" s="4">
        <v>28.80919825391944</v>
      </c>
      <c r="G4051" s="4">
        <v>16.5</v>
      </c>
      <c r="H4051" s="5">
        <v>24.08589749138056</v>
      </c>
      <c r="I4051" s="5">
        <v>24.515939601505561</v>
      </c>
      <c r="J4051" s="5">
        <v>35.736733601066668</v>
      </c>
      <c r="K4051" s="5">
        <v>46</v>
      </c>
    </row>
    <row r="4052" spans="1:11" x14ac:dyDescent="0.25">
      <c r="A4052" s="2">
        <v>46266.208333333343</v>
      </c>
      <c r="B4052" t="str">
        <f t="shared" si="126"/>
        <v>2026-09</v>
      </c>
      <c r="C4052" s="3">
        <f t="shared" si="127"/>
        <v>5</v>
      </c>
      <c r="D4052" s="4">
        <v>24.93061447601389</v>
      </c>
      <c r="E4052" s="4">
        <v>26.97398572817778</v>
      </c>
      <c r="F4052" s="4">
        <v>28.781090979188889</v>
      </c>
      <c r="G4052" s="4">
        <v>15.8</v>
      </c>
      <c r="H4052" s="5">
        <v>24.64307940024166</v>
      </c>
      <c r="I4052" s="5">
        <v>24.943274588975001</v>
      </c>
      <c r="J4052" s="5">
        <v>35.599609082919443</v>
      </c>
      <c r="K4052" s="5">
        <v>49</v>
      </c>
    </row>
    <row r="4053" spans="1:11" x14ac:dyDescent="0.25">
      <c r="A4053" s="2">
        <v>46266.25</v>
      </c>
      <c r="B4053" t="str">
        <f t="shared" si="126"/>
        <v>2026-09</v>
      </c>
      <c r="C4053" s="3">
        <f t="shared" si="127"/>
        <v>6</v>
      </c>
      <c r="D4053" s="4">
        <v>24.823552431705551</v>
      </c>
      <c r="E4053" s="4">
        <v>27.005104203855559</v>
      </c>
      <c r="F4053" s="4">
        <v>28.756309463772219</v>
      </c>
      <c r="G4053" s="4">
        <v>15.1</v>
      </c>
      <c r="H4053" s="5">
        <v>24.886602685574999</v>
      </c>
      <c r="I4053" s="5">
        <v>25.423860831925001</v>
      </c>
      <c r="J4053" s="5">
        <v>35.513238184936107</v>
      </c>
      <c r="K4053" s="5">
        <v>52</v>
      </c>
    </row>
    <row r="4054" spans="1:11" x14ac:dyDescent="0.25">
      <c r="A4054" s="2">
        <v>46266.291666666657</v>
      </c>
      <c r="B4054" t="str">
        <f t="shared" si="126"/>
        <v>2026-09</v>
      </c>
      <c r="C4054" s="3">
        <f t="shared" si="127"/>
        <v>7</v>
      </c>
      <c r="D4054" s="4">
        <v>25.502853815275</v>
      </c>
      <c r="E4054" s="4">
        <v>27.618931207919449</v>
      </c>
      <c r="F4054" s="4">
        <v>28.747914951272222</v>
      </c>
      <c r="G4054" s="4">
        <v>15.8</v>
      </c>
      <c r="H4054" s="5">
        <v>24.548667612161111</v>
      </c>
      <c r="I4054" s="5">
        <v>25.392207527188891</v>
      </c>
      <c r="J4054" s="5">
        <v>35.538040832583327</v>
      </c>
      <c r="K4054" s="5">
        <v>51</v>
      </c>
    </row>
    <row r="4055" spans="1:11" x14ac:dyDescent="0.25">
      <c r="A4055" s="2">
        <v>46266.333333333343</v>
      </c>
      <c r="B4055" t="str">
        <f t="shared" si="126"/>
        <v>2026-09</v>
      </c>
      <c r="C4055" s="3">
        <f t="shared" si="127"/>
        <v>8</v>
      </c>
      <c r="D4055" s="4">
        <v>26.43497446141944</v>
      </c>
      <c r="E4055" s="4">
        <v>28.38700176933056</v>
      </c>
      <c r="F4055" s="4">
        <v>28.77768303213611</v>
      </c>
      <c r="G4055" s="4">
        <v>17.8</v>
      </c>
      <c r="H4055" s="5">
        <v>24.236955850830551</v>
      </c>
      <c r="I4055" s="5">
        <v>24.231879744625001</v>
      </c>
      <c r="J4055" s="5">
        <v>35.693626245511112</v>
      </c>
      <c r="K4055" s="5">
        <v>45</v>
      </c>
    </row>
    <row r="4056" spans="1:11" x14ac:dyDescent="0.25">
      <c r="A4056" s="2">
        <v>46266.375</v>
      </c>
      <c r="B4056" t="str">
        <f t="shared" si="126"/>
        <v>2026-09</v>
      </c>
      <c r="C4056" s="3">
        <f t="shared" si="127"/>
        <v>9</v>
      </c>
      <c r="D4056" s="4">
        <v>27.08958739417222</v>
      </c>
      <c r="E4056" s="4">
        <v>28.719834042144441</v>
      </c>
      <c r="F4056" s="4">
        <v>28.824907011474998</v>
      </c>
      <c r="G4056" s="4">
        <v>20.7</v>
      </c>
      <c r="H4056" s="5">
        <v>24.19090904084166</v>
      </c>
      <c r="I4056" s="5">
        <v>22.95957281510556</v>
      </c>
      <c r="J4056" s="5">
        <v>35.915119176102777</v>
      </c>
      <c r="K4056" s="5">
        <v>38</v>
      </c>
    </row>
    <row r="4057" spans="1:11" x14ac:dyDescent="0.25">
      <c r="A4057" s="2">
        <v>46266.416666666657</v>
      </c>
      <c r="B4057" t="str">
        <f t="shared" si="126"/>
        <v>2026-09</v>
      </c>
      <c r="C4057" s="3">
        <f t="shared" si="127"/>
        <v>10</v>
      </c>
      <c r="D4057" s="4">
        <v>27.395977684127772</v>
      </c>
      <c r="E4057" s="4">
        <v>29.08327164178889</v>
      </c>
      <c r="F4057" s="4">
        <v>28.876494291316661</v>
      </c>
      <c r="G4057" s="4">
        <v>23.6</v>
      </c>
      <c r="H4057" s="5">
        <v>23.998971354066661</v>
      </c>
      <c r="I4057" s="5">
        <v>22.914013843549998</v>
      </c>
      <c r="J4057" s="5">
        <v>36.12423774406944</v>
      </c>
      <c r="K4057" s="5">
        <v>31</v>
      </c>
    </row>
    <row r="4058" spans="1:11" x14ac:dyDescent="0.25">
      <c r="A4058" s="2">
        <v>46266.458333333343</v>
      </c>
      <c r="B4058" t="str">
        <f t="shared" si="126"/>
        <v>2026-09</v>
      </c>
      <c r="C4058" s="3">
        <f t="shared" si="127"/>
        <v>11</v>
      </c>
      <c r="D4058" s="4">
        <v>27.63106092510278</v>
      </c>
      <c r="E4058" s="4">
        <v>29.580248834230559</v>
      </c>
      <c r="F4058" s="4">
        <v>28.926190510141659</v>
      </c>
      <c r="G4058" s="4">
        <v>25.7</v>
      </c>
      <c r="H4058" s="5">
        <v>23.900422257405559</v>
      </c>
      <c r="I4058" s="5">
        <v>22.13133595675</v>
      </c>
      <c r="J4058" s="5">
        <v>36.070097416858339</v>
      </c>
      <c r="K4058" s="5">
        <v>24</v>
      </c>
    </row>
    <row r="4059" spans="1:11" x14ac:dyDescent="0.25">
      <c r="A4059" s="2">
        <v>46266.5</v>
      </c>
      <c r="B4059" t="str">
        <f t="shared" si="126"/>
        <v>2026-09</v>
      </c>
      <c r="C4059" s="3">
        <f t="shared" si="127"/>
        <v>12</v>
      </c>
      <c r="D4059" s="4">
        <v>27.710750748555551</v>
      </c>
      <c r="E4059" s="4">
        <v>29.53024654385834</v>
      </c>
      <c r="F4059" s="4">
        <v>28.876677894586109</v>
      </c>
      <c r="G4059" s="4">
        <v>26.9</v>
      </c>
      <c r="H4059" s="5">
        <v>22.646109421966671</v>
      </c>
      <c r="I4059" s="5">
        <v>21.58222563490834</v>
      </c>
      <c r="J4059" s="5">
        <v>34.654211872205558</v>
      </c>
      <c r="K4059" s="5">
        <v>20</v>
      </c>
    </row>
    <row r="4060" spans="1:11" x14ac:dyDescent="0.25">
      <c r="A4060" s="2">
        <v>46266.541666666657</v>
      </c>
      <c r="B4060" t="str">
        <f t="shared" si="126"/>
        <v>2026-09</v>
      </c>
      <c r="C4060" s="3">
        <f t="shared" si="127"/>
        <v>13</v>
      </c>
      <c r="D4060" s="4">
        <v>27.14172486333333</v>
      </c>
      <c r="E4060" s="4">
        <v>28.902980334744441</v>
      </c>
      <c r="F4060" s="4">
        <v>28.658850709425</v>
      </c>
      <c r="G4060" s="4">
        <v>27.6</v>
      </c>
      <c r="H4060" s="5">
        <v>23.832515348747229</v>
      </c>
      <c r="I4060" s="5">
        <v>23.72645839164722</v>
      </c>
      <c r="J4060" s="5">
        <v>33.774273825180558</v>
      </c>
      <c r="K4060" s="5">
        <v>19</v>
      </c>
    </row>
    <row r="4061" spans="1:11" x14ac:dyDescent="0.25">
      <c r="A4061" s="2">
        <v>46266.583333333343</v>
      </c>
      <c r="B4061" t="str">
        <f t="shared" si="126"/>
        <v>2026-09</v>
      </c>
      <c r="C4061" s="3">
        <f t="shared" si="127"/>
        <v>14</v>
      </c>
      <c r="D4061" s="4">
        <v>25.546606015799998</v>
      </c>
      <c r="E4061" s="4">
        <v>27.927201398136109</v>
      </c>
      <c r="F4061" s="4">
        <v>27.91077729626112</v>
      </c>
      <c r="G4061" s="4">
        <v>28</v>
      </c>
      <c r="H4061" s="5">
        <v>25.503752848944441</v>
      </c>
      <c r="I4061" s="5">
        <v>25.398645777830559</v>
      </c>
      <c r="J4061" s="5">
        <v>33.033248757333332</v>
      </c>
      <c r="K4061" s="5">
        <v>18</v>
      </c>
    </row>
    <row r="4062" spans="1:11" x14ac:dyDescent="0.25">
      <c r="A4062" s="2">
        <v>46266.625</v>
      </c>
      <c r="B4062" t="str">
        <f t="shared" si="126"/>
        <v>2026-09</v>
      </c>
      <c r="C4062" s="3">
        <f t="shared" si="127"/>
        <v>15</v>
      </c>
      <c r="D4062" s="4">
        <v>25.201051789041671</v>
      </c>
      <c r="E4062" s="4">
        <v>27.60591987765833</v>
      </c>
      <c r="F4062" s="4">
        <v>27.602567541627771</v>
      </c>
      <c r="G4062" s="4">
        <v>28.9</v>
      </c>
      <c r="H4062" s="5">
        <v>27.32848144976111</v>
      </c>
      <c r="I4062" s="5">
        <v>27.063228974947229</v>
      </c>
      <c r="J4062" s="5">
        <v>34.213817636549997</v>
      </c>
      <c r="K4062" s="5">
        <v>17</v>
      </c>
    </row>
    <row r="4063" spans="1:11" x14ac:dyDescent="0.25">
      <c r="A4063" s="2">
        <v>46266.666666666657</v>
      </c>
      <c r="B4063" t="str">
        <f t="shared" si="126"/>
        <v>2026-09</v>
      </c>
      <c r="C4063" s="3">
        <f t="shared" si="127"/>
        <v>16</v>
      </c>
      <c r="D4063" s="4">
        <v>25.18961688903056</v>
      </c>
      <c r="E4063" s="4">
        <v>27.74603974986389</v>
      </c>
      <c r="F4063" s="4">
        <v>27.48464627938333</v>
      </c>
      <c r="G4063" s="4">
        <v>28.4</v>
      </c>
      <c r="H4063" s="5">
        <v>29.760838619872221</v>
      </c>
      <c r="I4063" s="5">
        <v>28.30683347606389</v>
      </c>
      <c r="J4063" s="5">
        <v>35.979742908980548</v>
      </c>
      <c r="K4063" s="5">
        <v>18</v>
      </c>
    </row>
    <row r="4064" spans="1:11" x14ac:dyDescent="0.25">
      <c r="A4064" s="2">
        <v>46266.708333333343</v>
      </c>
      <c r="B4064" t="str">
        <f t="shared" si="126"/>
        <v>2026-09</v>
      </c>
      <c r="C4064" s="3">
        <f t="shared" si="127"/>
        <v>17</v>
      </c>
      <c r="D4064" s="4">
        <v>26.539739731794441</v>
      </c>
      <c r="E4064" s="4">
        <v>28.82390756485556</v>
      </c>
      <c r="F4064" s="4">
        <v>27.874006774769441</v>
      </c>
      <c r="G4064" s="4">
        <v>27.9</v>
      </c>
      <c r="H4064" s="5">
        <v>32.885204515988903</v>
      </c>
      <c r="I4064" s="5">
        <v>32.050306211202781</v>
      </c>
      <c r="J4064" s="5">
        <v>37.261206232633327</v>
      </c>
      <c r="K4064" s="5">
        <v>19</v>
      </c>
    </row>
    <row r="4065" spans="1:11" x14ac:dyDescent="0.25">
      <c r="A4065" s="2">
        <v>46266.75</v>
      </c>
      <c r="B4065" t="str">
        <f t="shared" si="126"/>
        <v>2026-09</v>
      </c>
      <c r="C4065" s="3">
        <f t="shared" si="127"/>
        <v>18</v>
      </c>
      <c r="D4065" s="4">
        <v>25.593756201111109</v>
      </c>
      <c r="E4065" s="4">
        <v>27.689796255886112</v>
      </c>
      <c r="F4065" s="4">
        <v>27.965725996622229</v>
      </c>
      <c r="G4065" s="4">
        <v>27.1</v>
      </c>
      <c r="H4065" s="5">
        <v>29.485200356658339</v>
      </c>
      <c r="I4065" s="5">
        <v>31.352992977597221</v>
      </c>
      <c r="J4065" s="5">
        <v>37.313696991258333</v>
      </c>
      <c r="K4065" s="5">
        <v>20</v>
      </c>
    </row>
    <row r="4066" spans="1:11" x14ac:dyDescent="0.25">
      <c r="A4066" s="2">
        <v>46266.791666666657</v>
      </c>
      <c r="B4066" t="str">
        <f t="shared" si="126"/>
        <v>2026-09</v>
      </c>
      <c r="C4066" s="3">
        <f t="shared" si="127"/>
        <v>19</v>
      </c>
      <c r="D4066" s="4">
        <v>24.940420907099998</v>
      </c>
      <c r="E4066" s="4">
        <v>27.14545572442778</v>
      </c>
      <c r="F4066" s="4">
        <v>28.30300213299444</v>
      </c>
      <c r="G4066" s="4">
        <v>25.5</v>
      </c>
      <c r="H4066" s="5">
        <v>28.96224899889167</v>
      </c>
      <c r="I4066" s="5">
        <v>28.406454672522219</v>
      </c>
      <c r="J4066" s="5">
        <v>36.229038567941657</v>
      </c>
      <c r="K4066" s="5">
        <v>25</v>
      </c>
    </row>
    <row r="4067" spans="1:11" x14ac:dyDescent="0.25">
      <c r="A4067" s="2">
        <v>46266.833333333343</v>
      </c>
      <c r="B4067" t="str">
        <f t="shared" si="126"/>
        <v>2026-09</v>
      </c>
      <c r="C4067" s="3">
        <f t="shared" si="127"/>
        <v>20</v>
      </c>
      <c r="D4067" s="4">
        <v>25.987768513833331</v>
      </c>
      <c r="E4067" s="4">
        <v>27.790151948941659</v>
      </c>
      <c r="F4067" s="4">
        <v>28.37717052036944</v>
      </c>
      <c r="G4067" s="4">
        <v>23.5</v>
      </c>
      <c r="H4067" s="5">
        <v>30.007176284425</v>
      </c>
      <c r="I4067" s="5">
        <v>28.937625979355559</v>
      </c>
      <c r="J4067" s="5">
        <v>35.598576127530563</v>
      </c>
      <c r="K4067" s="5">
        <v>31</v>
      </c>
    </row>
    <row r="4068" spans="1:11" x14ac:dyDescent="0.25">
      <c r="A4068" s="2">
        <v>46266.875</v>
      </c>
      <c r="B4068" t="str">
        <f t="shared" si="126"/>
        <v>2026-09</v>
      </c>
      <c r="C4068" s="3">
        <f t="shared" si="127"/>
        <v>21</v>
      </c>
      <c r="D4068" s="4">
        <v>26.17743045363056</v>
      </c>
      <c r="E4068" s="4">
        <v>27.68372723079445</v>
      </c>
      <c r="F4068" s="4">
        <v>28.61608237428889</v>
      </c>
      <c r="G4068" s="4">
        <v>22.4</v>
      </c>
      <c r="H4068" s="5">
        <v>25.781863040316669</v>
      </c>
      <c r="I4068" s="5">
        <v>28.992989299722229</v>
      </c>
      <c r="J4068" s="5">
        <v>35.920957737413893</v>
      </c>
      <c r="K4068" s="5">
        <v>35</v>
      </c>
    </row>
    <row r="4069" spans="1:11" x14ac:dyDescent="0.25">
      <c r="A4069" s="2">
        <v>46266.916666666657</v>
      </c>
      <c r="B4069" t="str">
        <f t="shared" si="126"/>
        <v>2026-09</v>
      </c>
      <c r="C4069" s="3">
        <f t="shared" si="127"/>
        <v>22</v>
      </c>
      <c r="D4069" s="4">
        <v>25.956538476066669</v>
      </c>
      <c r="E4069" s="4">
        <v>27.824347719594439</v>
      </c>
      <c r="F4069" s="4">
        <v>28.83775022376944</v>
      </c>
      <c r="G4069" s="4">
        <v>21.1</v>
      </c>
      <c r="H4069" s="5">
        <v>24.65305060376944</v>
      </c>
      <c r="I4069" s="5">
        <v>28.296633928663891</v>
      </c>
      <c r="J4069" s="5">
        <v>35.810216104858327</v>
      </c>
      <c r="K4069" s="5">
        <v>40</v>
      </c>
    </row>
    <row r="4070" spans="1:11" x14ac:dyDescent="0.25">
      <c r="A4070" s="2">
        <v>46266.958333333343</v>
      </c>
      <c r="B4070" t="str">
        <f t="shared" si="126"/>
        <v>2026-09</v>
      </c>
      <c r="C4070" s="3">
        <f t="shared" si="127"/>
        <v>23</v>
      </c>
      <c r="D4070" s="4">
        <v>25.726985434555559</v>
      </c>
      <c r="E4070" s="4">
        <v>27.863895884249999</v>
      </c>
      <c r="F4070" s="4">
        <v>28.954068282097221</v>
      </c>
      <c r="G4070" s="4">
        <v>20.3</v>
      </c>
      <c r="H4070" s="5">
        <v>24.336172960252771</v>
      </c>
      <c r="I4070" s="5">
        <v>27.360696129158331</v>
      </c>
      <c r="J4070" s="5">
        <v>35.421158682105563</v>
      </c>
      <c r="K4070" s="5">
        <v>41</v>
      </c>
    </row>
    <row r="4071" spans="1:11" x14ac:dyDescent="0.25">
      <c r="A4071" s="2">
        <v>46267</v>
      </c>
      <c r="B4071" t="str">
        <f t="shared" si="126"/>
        <v>2026-09</v>
      </c>
      <c r="C4071" s="3">
        <f t="shared" si="127"/>
        <v>0</v>
      </c>
      <c r="D4071" s="4">
        <v>25.478289049297221</v>
      </c>
      <c r="E4071" s="4">
        <v>27.729322708436111</v>
      </c>
      <c r="F4071" s="4">
        <v>28.866736408041671</v>
      </c>
      <c r="G4071" s="4">
        <v>19.899999999999999</v>
      </c>
      <c r="H4071" s="5">
        <v>24.441049330866669</v>
      </c>
      <c r="I4071" s="5">
        <v>27.539933097725001</v>
      </c>
      <c r="J4071" s="5">
        <v>33.946005556133343</v>
      </c>
      <c r="K4071" s="5">
        <v>41</v>
      </c>
    </row>
    <row r="4072" spans="1:11" x14ac:dyDescent="0.25">
      <c r="A4072" s="2">
        <v>46267.041666666657</v>
      </c>
      <c r="B4072" t="str">
        <f t="shared" si="126"/>
        <v>2026-09</v>
      </c>
      <c r="C4072" s="3">
        <f t="shared" si="127"/>
        <v>1</v>
      </c>
      <c r="D4072" s="4">
        <v>25.256696885922221</v>
      </c>
      <c r="E4072" s="4">
        <v>27.24371347635833</v>
      </c>
      <c r="F4072" s="4"/>
      <c r="G4072" s="4">
        <v>18.899999999999999</v>
      </c>
      <c r="H4072" s="5">
        <v>24.992694034877779</v>
      </c>
      <c r="I4072" s="5">
        <v>27.006498853119439</v>
      </c>
      <c r="J4072" s="5"/>
      <c r="K4072" s="5">
        <v>43</v>
      </c>
    </row>
    <row r="4073" spans="1:11" x14ac:dyDescent="0.25">
      <c r="A4073" s="2">
        <v>46267.083333333343</v>
      </c>
      <c r="B4073" t="str">
        <f t="shared" si="126"/>
        <v>2026-09</v>
      </c>
      <c r="C4073" s="3">
        <f t="shared" si="127"/>
        <v>2</v>
      </c>
      <c r="D4073" s="4">
        <v>25.202133565391659</v>
      </c>
      <c r="E4073" s="4">
        <v>26.842187789269449</v>
      </c>
      <c r="F4073" s="4"/>
      <c r="G4073" s="4">
        <v>17.899999999999999</v>
      </c>
      <c r="H4073" s="5">
        <v>24.76537338590833</v>
      </c>
      <c r="I4073" s="5">
        <v>25.548938763616661</v>
      </c>
      <c r="J4073" s="5"/>
      <c r="K4073" s="5">
        <v>45</v>
      </c>
    </row>
    <row r="4074" spans="1:11" x14ac:dyDescent="0.25">
      <c r="A4074" s="2">
        <v>46267.125</v>
      </c>
      <c r="B4074" t="str">
        <f t="shared" si="126"/>
        <v>2026-09</v>
      </c>
      <c r="C4074" s="3">
        <f t="shared" si="127"/>
        <v>3</v>
      </c>
      <c r="D4074" s="4">
        <v>24.927785393105559</v>
      </c>
      <c r="E4074" s="4">
        <v>26.593714239430561</v>
      </c>
      <c r="F4074" s="4"/>
      <c r="G4074" s="4">
        <v>16.399999999999999</v>
      </c>
      <c r="H4074" s="5">
        <v>24.618391291544441</v>
      </c>
      <c r="I4074" s="5">
        <v>25.508629561088888</v>
      </c>
      <c r="J4074" s="5"/>
      <c r="K4074" s="5">
        <v>51</v>
      </c>
    </row>
    <row r="4075" spans="1:11" x14ac:dyDescent="0.25">
      <c r="A4075" s="2">
        <v>46267.166666666657</v>
      </c>
      <c r="B4075" t="str">
        <f t="shared" si="126"/>
        <v>2026-09</v>
      </c>
      <c r="C4075" s="3">
        <f t="shared" si="127"/>
        <v>4</v>
      </c>
      <c r="D4075" s="4">
        <v>24.46000017461111</v>
      </c>
      <c r="E4075" s="4">
        <v>26.38453747557778</v>
      </c>
      <c r="F4075" s="4"/>
      <c r="G4075" s="4">
        <v>16.3</v>
      </c>
      <c r="H4075" s="5">
        <v>25.046864090766661</v>
      </c>
      <c r="I4075" s="5">
        <v>25.73850260489445</v>
      </c>
      <c r="J4075" s="5"/>
      <c r="K4075" s="5">
        <v>49</v>
      </c>
    </row>
    <row r="4076" spans="1:11" x14ac:dyDescent="0.25">
      <c r="A4076" s="2">
        <v>46267.208333333343</v>
      </c>
      <c r="B4076" t="str">
        <f t="shared" si="126"/>
        <v>2026-09</v>
      </c>
      <c r="C4076" s="3">
        <f t="shared" si="127"/>
        <v>5</v>
      </c>
      <c r="D4076" s="4">
        <v>24.313699002875001</v>
      </c>
      <c r="E4076" s="4">
        <v>26.177998347969449</v>
      </c>
      <c r="F4076" s="4"/>
      <c r="G4076" s="4">
        <v>16.3</v>
      </c>
      <c r="H4076" s="5">
        <v>25.41927992479167</v>
      </c>
      <c r="I4076" s="5">
        <v>25.749814039505559</v>
      </c>
      <c r="J4076" s="5"/>
      <c r="K4076" s="5">
        <v>44</v>
      </c>
    </row>
    <row r="4077" spans="1:11" x14ac:dyDescent="0.25">
      <c r="A4077" s="2">
        <v>46267.25</v>
      </c>
      <c r="B4077" t="str">
        <f t="shared" si="126"/>
        <v>2026-09</v>
      </c>
      <c r="C4077" s="3">
        <f t="shared" si="127"/>
        <v>6</v>
      </c>
      <c r="D4077" s="4">
        <v>24.357198459411109</v>
      </c>
      <c r="E4077" s="4">
        <v>26.119897077372219</v>
      </c>
      <c r="F4077" s="4"/>
      <c r="G4077" s="4">
        <v>15.4</v>
      </c>
      <c r="H4077" s="5">
        <v>26.259732106824998</v>
      </c>
      <c r="I4077" s="5">
        <v>26.234997325780551</v>
      </c>
      <c r="J4077" s="5"/>
      <c r="K4077" s="5">
        <v>45</v>
      </c>
    </row>
    <row r="4078" spans="1:11" x14ac:dyDescent="0.25">
      <c r="A4078" s="2">
        <v>46267.291666666657</v>
      </c>
      <c r="B4078" t="str">
        <f t="shared" si="126"/>
        <v>2026-09</v>
      </c>
      <c r="C4078" s="3">
        <f t="shared" si="127"/>
        <v>7</v>
      </c>
      <c r="D4078" s="4">
        <v>25.065539710977781</v>
      </c>
      <c r="E4078" s="4">
        <v>26.50296540225278</v>
      </c>
      <c r="F4078" s="4"/>
      <c r="G4078" s="4">
        <v>16.3</v>
      </c>
      <c r="H4078" s="5">
        <v>26.082494731691671</v>
      </c>
      <c r="I4078" s="5">
        <v>26.351732127686109</v>
      </c>
      <c r="J4078" s="5"/>
      <c r="K4078" s="5">
        <v>43</v>
      </c>
    </row>
    <row r="4079" spans="1:11" x14ac:dyDescent="0.25">
      <c r="A4079" s="2">
        <v>46267.333333333343</v>
      </c>
      <c r="B4079" t="str">
        <f t="shared" si="126"/>
        <v>2026-09</v>
      </c>
      <c r="C4079" s="3">
        <f t="shared" si="127"/>
        <v>8</v>
      </c>
      <c r="D4079" s="4">
        <v>26.063330113961111</v>
      </c>
      <c r="E4079" s="4">
        <v>27.39768094224722</v>
      </c>
      <c r="F4079" s="4"/>
      <c r="G4079" s="4">
        <v>18</v>
      </c>
      <c r="H4079" s="5">
        <v>26.676898080111108</v>
      </c>
      <c r="I4079" s="5">
        <v>26.493915847783331</v>
      </c>
      <c r="J4079" s="5"/>
      <c r="K4079" s="5">
        <v>38</v>
      </c>
    </row>
    <row r="4080" spans="1:11" x14ac:dyDescent="0.25">
      <c r="A4080" s="2">
        <v>46267.375</v>
      </c>
      <c r="B4080" t="str">
        <f t="shared" si="126"/>
        <v>2026-09</v>
      </c>
      <c r="C4080" s="3">
        <f t="shared" si="127"/>
        <v>9</v>
      </c>
      <c r="D4080" s="4">
        <v>26.640665903475</v>
      </c>
      <c r="E4080" s="4">
        <v>27.911318838519449</v>
      </c>
      <c r="F4080" s="4"/>
      <c r="G4080" s="4">
        <v>20.2</v>
      </c>
      <c r="H4080" s="5">
        <v>28.06489983728056</v>
      </c>
      <c r="I4080" s="5">
        <v>27.68101002548612</v>
      </c>
      <c r="J4080" s="5"/>
      <c r="K4080" s="5">
        <v>34</v>
      </c>
    </row>
    <row r="4081" spans="1:11" x14ac:dyDescent="0.25">
      <c r="A4081" s="2">
        <v>46267.416666666657</v>
      </c>
      <c r="B4081" t="str">
        <f t="shared" si="126"/>
        <v>2026-09</v>
      </c>
      <c r="C4081" s="3">
        <f t="shared" si="127"/>
        <v>10</v>
      </c>
      <c r="D4081" s="4">
        <v>26.53319995464166</v>
      </c>
      <c r="E4081" s="4">
        <v>28.045969295358329</v>
      </c>
      <c r="F4081" s="4">
        <v>28.440502688516201</v>
      </c>
      <c r="G4081" s="4">
        <v>23</v>
      </c>
      <c r="H4081" s="5">
        <v>28.546001145086109</v>
      </c>
      <c r="I4081" s="5">
        <v>30.341043845874999</v>
      </c>
      <c r="J4081" s="5">
        <v>37.008833631253879</v>
      </c>
      <c r="K4081" s="5">
        <v>30</v>
      </c>
    </row>
    <row r="4082" spans="1:11" x14ac:dyDescent="0.25">
      <c r="A4082" s="2">
        <v>46267.458333333343</v>
      </c>
      <c r="B4082" t="str">
        <f t="shared" si="126"/>
        <v>2026-09</v>
      </c>
      <c r="C4082" s="3">
        <f t="shared" si="127"/>
        <v>11</v>
      </c>
      <c r="D4082" s="4">
        <v>26.61722938902777</v>
      </c>
      <c r="E4082" s="4">
        <v>27.683559024505559</v>
      </c>
      <c r="F4082" s="4">
        <v>28.951047737769439</v>
      </c>
      <c r="G4082" s="4">
        <v>24.6</v>
      </c>
      <c r="H4082" s="5">
        <v>29.959996911536109</v>
      </c>
      <c r="I4082" s="5">
        <v>31.835522475800001</v>
      </c>
      <c r="J4082" s="5">
        <v>36.341691675608338</v>
      </c>
      <c r="K4082" s="5">
        <v>28</v>
      </c>
    </row>
    <row r="4083" spans="1:11" x14ac:dyDescent="0.25">
      <c r="A4083" s="2">
        <v>46267.5</v>
      </c>
      <c r="B4083" t="str">
        <f t="shared" si="126"/>
        <v>2026-09</v>
      </c>
      <c r="C4083" s="3">
        <f t="shared" si="127"/>
        <v>12</v>
      </c>
      <c r="D4083" s="4">
        <v>26.630375928894448</v>
      </c>
      <c r="E4083" s="4">
        <v>27.544203021600001</v>
      </c>
      <c r="F4083" s="4">
        <v>29.131589355091659</v>
      </c>
      <c r="G4083" s="4">
        <v>26.2</v>
      </c>
      <c r="H4083" s="5">
        <v>29.22949403797778</v>
      </c>
      <c r="I4083" s="5">
        <v>31.506894453377779</v>
      </c>
      <c r="J4083" s="5">
        <v>36.35888429231111</v>
      </c>
      <c r="K4083" s="5">
        <v>26</v>
      </c>
    </row>
    <row r="4084" spans="1:11" x14ac:dyDescent="0.25">
      <c r="A4084" s="2">
        <v>46267.541666666657</v>
      </c>
      <c r="B4084" t="str">
        <f t="shared" si="126"/>
        <v>2026-09</v>
      </c>
      <c r="C4084" s="3">
        <f t="shared" si="127"/>
        <v>13</v>
      </c>
      <c r="D4084" s="4">
        <v>26.800206653724999</v>
      </c>
      <c r="E4084" s="4">
        <v>27.814190724638891</v>
      </c>
      <c r="F4084" s="4">
        <v>29.251950820644439</v>
      </c>
      <c r="G4084" s="4">
        <v>26.3</v>
      </c>
      <c r="H4084" s="5">
        <v>29.812799247691672</v>
      </c>
      <c r="I4084" s="5">
        <v>31.155610752305559</v>
      </c>
      <c r="J4084" s="5">
        <v>36.512090317069443</v>
      </c>
      <c r="K4084" s="5">
        <v>27</v>
      </c>
    </row>
    <row r="4085" spans="1:11" x14ac:dyDescent="0.25">
      <c r="A4085" s="2">
        <v>46267.583333333343</v>
      </c>
      <c r="B4085" t="str">
        <f t="shared" si="126"/>
        <v>2026-09</v>
      </c>
      <c r="C4085" s="3">
        <f t="shared" si="127"/>
        <v>14</v>
      </c>
      <c r="D4085" s="4">
        <v>26.955286882566671</v>
      </c>
      <c r="E4085" s="4">
        <v>27.838982618736111</v>
      </c>
      <c r="F4085" s="4">
        <v>29.365161936627771</v>
      </c>
      <c r="G4085" s="4">
        <v>25.6</v>
      </c>
      <c r="H4085" s="5">
        <v>31.318113998619442</v>
      </c>
      <c r="I4085" s="5">
        <v>36.950517414883329</v>
      </c>
      <c r="J4085" s="5">
        <v>36.969505169352779</v>
      </c>
      <c r="K4085" s="5">
        <v>32</v>
      </c>
    </row>
    <row r="4086" spans="1:11" x14ac:dyDescent="0.25">
      <c r="A4086" s="2">
        <v>46267.625</v>
      </c>
      <c r="B4086" t="str">
        <f t="shared" si="126"/>
        <v>2026-09</v>
      </c>
      <c r="C4086" s="3">
        <f t="shared" si="127"/>
        <v>15</v>
      </c>
      <c r="D4086" s="4">
        <v>27.15226168706111</v>
      </c>
      <c r="E4086" s="4">
        <v>28.542427560777771</v>
      </c>
      <c r="F4086" s="4">
        <v>29.468533969319441</v>
      </c>
      <c r="G4086" s="4">
        <v>27.6</v>
      </c>
      <c r="H4086" s="5">
        <v>33.574081899191668</v>
      </c>
      <c r="I4086" s="5">
        <v>33.63096325638611</v>
      </c>
      <c r="J4086" s="5">
        <v>37.371366968449998</v>
      </c>
      <c r="K4086" s="5">
        <v>30</v>
      </c>
    </row>
    <row r="4087" spans="1:11" x14ac:dyDescent="0.25">
      <c r="A4087" s="2">
        <v>46267.666666666657</v>
      </c>
      <c r="B4087" t="str">
        <f t="shared" si="126"/>
        <v>2026-09</v>
      </c>
      <c r="C4087" s="3">
        <f t="shared" si="127"/>
        <v>16</v>
      </c>
      <c r="D4087" s="4">
        <v>27.47134488691389</v>
      </c>
      <c r="E4087" s="4">
        <v>29.709615915200001</v>
      </c>
      <c r="F4087" s="4">
        <v>29.55968381008611</v>
      </c>
      <c r="G4087" s="4">
        <v>27.4</v>
      </c>
      <c r="H4087" s="5">
        <v>36.385414786733342</v>
      </c>
      <c r="I4087" s="5">
        <v>34.71388051212778</v>
      </c>
      <c r="J4087" s="5">
        <v>37.858552794383343</v>
      </c>
      <c r="K4087" s="5">
        <v>31</v>
      </c>
    </row>
    <row r="4088" spans="1:11" x14ac:dyDescent="0.25">
      <c r="A4088" s="2">
        <v>46267.708333333343</v>
      </c>
      <c r="B4088" t="str">
        <f t="shared" si="126"/>
        <v>2026-09</v>
      </c>
      <c r="C4088" s="3">
        <f t="shared" si="127"/>
        <v>17</v>
      </c>
      <c r="D4088" s="4">
        <v>27.5066598521</v>
      </c>
      <c r="E4088" s="4">
        <v>29.122161354338889</v>
      </c>
      <c r="F4088" s="4">
        <v>29.626789181613891</v>
      </c>
      <c r="G4088" s="4">
        <v>26.8</v>
      </c>
      <c r="H4088" s="5">
        <v>37.563634818016673</v>
      </c>
      <c r="I4088" s="5">
        <v>36.46384603906111</v>
      </c>
      <c r="J4088" s="5">
        <v>38.655362808113892</v>
      </c>
      <c r="K4088" s="5">
        <v>33</v>
      </c>
    </row>
    <row r="4089" spans="1:11" x14ac:dyDescent="0.25">
      <c r="A4089" s="2">
        <v>46267.75</v>
      </c>
      <c r="B4089" t="str">
        <f t="shared" si="126"/>
        <v>2026-09</v>
      </c>
      <c r="C4089" s="3">
        <f t="shared" si="127"/>
        <v>18</v>
      </c>
      <c r="D4089" s="4">
        <v>27.450784991652771</v>
      </c>
      <c r="E4089" s="4">
        <v>28.882634352413891</v>
      </c>
      <c r="F4089" s="4">
        <v>29.589755553455561</v>
      </c>
      <c r="G4089" s="4">
        <v>26</v>
      </c>
      <c r="H4089" s="5">
        <v>36.715398555305562</v>
      </c>
      <c r="I4089" s="5">
        <v>36.272648090147221</v>
      </c>
      <c r="J4089" s="5">
        <v>38.876832315677781</v>
      </c>
      <c r="K4089" s="5">
        <v>37</v>
      </c>
    </row>
    <row r="4090" spans="1:11" x14ac:dyDescent="0.25">
      <c r="A4090" s="2">
        <v>46267.791666666657</v>
      </c>
      <c r="B4090" t="str">
        <f t="shared" si="126"/>
        <v>2026-09</v>
      </c>
      <c r="C4090" s="3">
        <f t="shared" si="127"/>
        <v>19</v>
      </c>
      <c r="D4090" s="4">
        <v>27.232711720725</v>
      </c>
      <c r="E4090" s="4">
        <v>28.552283704669449</v>
      </c>
      <c r="F4090" s="4">
        <v>29.59605603547778</v>
      </c>
      <c r="G4090" s="4">
        <v>24.8</v>
      </c>
      <c r="H4090" s="5">
        <v>35.760283600216667</v>
      </c>
      <c r="I4090" s="5">
        <v>36.465906031772221</v>
      </c>
      <c r="J4090" s="5">
        <v>39.130855252544443</v>
      </c>
      <c r="K4090" s="5">
        <v>41</v>
      </c>
    </row>
    <row r="4091" spans="1:11" x14ac:dyDescent="0.25">
      <c r="A4091" s="2">
        <v>46267.833333333343</v>
      </c>
      <c r="B4091" t="str">
        <f t="shared" si="126"/>
        <v>2026-09</v>
      </c>
      <c r="C4091" s="3">
        <f t="shared" si="127"/>
        <v>20</v>
      </c>
      <c r="D4091" s="4">
        <v>26.786952598641669</v>
      </c>
      <c r="E4091" s="4">
        <v>28.341690191777779</v>
      </c>
      <c r="F4091" s="4">
        <v>29.558138665874999</v>
      </c>
      <c r="G4091" s="4">
        <v>23.3</v>
      </c>
      <c r="H4091" s="5">
        <v>37.205305074241657</v>
      </c>
      <c r="I4091" s="5">
        <v>37.427542038394442</v>
      </c>
      <c r="J4091" s="5">
        <v>39.214539912544453</v>
      </c>
      <c r="K4091" s="5">
        <v>47</v>
      </c>
    </row>
    <row r="4092" spans="1:11" x14ac:dyDescent="0.25">
      <c r="A4092" s="2">
        <v>46267.875</v>
      </c>
      <c r="B4092" t="str">
        <f t="shared" si="126"/>
        <v>2026-09</v>
      </c>
      <c r="C4092" s="3">
        <f t="shared" si="127"/>
        <v>21</v>
      </c>
      <c r="D4092" s="4">
        <v>26.14064859299722</v>
      </c>
      <c r="E4092" s="4">
        <v>28.31776655714167</v>
      </c>
      <c r="F4092" s="4">
        <v>29.50082733047222</v>
      </c>
      <c r="G4092" s="4">
        <v>22.1</v>
      </c>
      <c r="H4092" s="5">
        <v>40.752181495055559</v>
      </c>
      <c r="I4092" s="5">
        <v>39.419272202783333</v>
      </c>
      <c r="J4092" s="5">
        <v>39.094381032358328</v>
      </c>
      <c r="K4092" s="5">
        <v>51</v>
      </c>
    </row>
    <row r="4093" spans="1:11" x14ac:dyDescent="0.25">
      <c r="A4093" s="2">
        <v>46267.916666666657</v>
      </c>
      <c r="B4093" t="str">
        <f t="shared" si="126"/>
        <v>2026-09</v>
      </c>
      <c r="C4093" s="3">
        <f t="shared" si="127"/>
        <v>22</v>
      </c>
      <c r="D4093" s="4">
        <v>25.963771893763891</v>
      </c>
      <c r="E4093" s="4">
        <v>28.48657538396667</v>
      </c>
      <c r="F4093" s="4">
        <v>29.469632862699999</v>
      </c>
      <c r="G4093" s="4">
        <v>21.1</v>
      </c>
      <c r="H4093" s="5">
        <v>40.931128858194448</v>
      </c>
      <c r="I4093" s="5">
        <v>38.876488720416667</v>
      </c>
      <c r="J4093" s="5">
        <v>39.079556322713891</v>
      </c>
      <c r="K4093" s="5">
        <v>54</v>
      </c>
    </row>
    <row r="4094" spans="1:11" x14ac:dyDescent="0.25">
      <c r="A4094" s="2">
        <v>46267.958333333343</v>
      </c>
      <c r="B4094" t="str">
        <f t="shared" si="126"/>
        <v>2026-09</v>
      </c>
      <c r="C4094" s="3">
        <f t="shared" si="127"/>
        <v>23</v>
      </c>
      <c r="D4094" s="4">
        <v>25.893852608308329</v>
      </c>
      <c r="E4094" s="4">
        <v>28.132941720483331</v>
      </c>
      <c r="F4094" s="4">
        <v>29.419466402125</v>
      </c>
      <c r="G4094" s="4">
        <v>20</v>
      </c>
      <c r="H4094" s="5">
        <v>40.181389390786123</v>
      </c>
      <c r="I4094" s="5">
        <v>38.633300748177781</v>
      </c>
      <c r="J4094" s="5">
        <v>39.176098271102767</v>
      </c>
      <c r="K4094" s="5">
        <v>57</v>
      </c>
    </row>
    <row r="4095" spans="1:11" x14ac:dyDescent="0.25">
      <c r="A4095" s="2">
        <v>46268</v>
      </c>
      <c r="B4095" t="str">
        <f t="shared" si="126"/>
        <v>2026-09</v>
      </c>
      <c r="C4095" s="3">
        <f t="shared" si="127"/>
        <v>0</v>
      </c>
      <c r="D4095" s="4">
        <v>25.57953292023333</v>
      </c>
      <c r="E4095" s="4">
        <v>28.160913108530561</v>
      </c>
      <c r="F4095" s="4">
        <v>29.39566592435833</v>
      </c>
      <c r="G4095" s="4">
        <v>19.2</v>
      </c>
      <c r="H4095" s="5">
        <v>40.113347011077771</v>
      </c>
      <c r="I4095" s="5">
        <v>37.607493233044451</v>
      </c>
      <c r="J4095" s="5">
        <v>39.263951636547233</v>
      </c>
      <c r="K4095" s="5">
        <v>60</v>
      </c>
    </row>
    <row r="4096" spans="1:11" x14ac:dyDescent="0.25">
      <c r="A4096" s="2">
        <v>46268.041666666657</v>
      </c>
      <c r="B4096" t="str">
        <f t="shared" si="126"/>
        <v>2026-09</v>
      </c>
      <c r="C4096" s="3">
        <f t="shared" si="127"/>
        <v>1</v>
      </c>
      <c r="D4096" s="4">
        <v>25.14378671384722</v>
      </c>
      <c r="E4096" s="4">
        <v>27.478289588083332</v>
      </c>
      <c r="F4096" s="4">
        <v>29.31036611984722</v>
      </c>
      <c r="G4096" s="4">
        <v>18.399999999999999</v>
      </c>
      <c r="H4096" s="5">
        <v>40.685297998208327</v>
      </c>
      <c r="I4096" s="5">
        <v>38.391662143352782</v>
      </c>
      <c r="J4096" s="5">
        <v>39.739446635619437</v>
      </c>
      <c r="K4096" s="5">
        <v>63</v>
      </c>
    </row>
    <row r="4097" spans="1:11" x14ac:dyDescent="0.25">
      <c r="A4097" s="2">
        <v>46268.083333333343</v>
      </c>
      <c r="B4097" t="str">
        <f t="shared" si="126"/>
        <v>2026-09</v>
      </c>
      <c r="C4097" s="3">
        <f t="shared" si="127"/>
        <v>2</v>
      </c>
      <c r="D4097" s="4">
        <v>24.65000384121112</v>
      </c>
      <c r="E4097" s="4">
        <v>27.07143766015</v>
      </c>
      <c r="F4097" s="4">
        <v>29.261482859588892</v>
      </c>
      <c r="G4097" s="4">
        <v>17.7</v>
      </c>
      <c r="H4097" s="5">
        <v>40.564963565683328</v>
      </c>
      <c r="I4097" s="5">
        <v>37.499886150944441</v>
      </c>
      <c r="J4097" s="5">
        <v>39.635488381125001</v>
      </c>
      <c r="K4097" s="5">
        <v>66</v>
      </c>
    </row>
    <row r="4098" spans="1:11" x14ac:dyDescent="0.25">
      <c r="A4098" s="2">
        <v>46268.125</v>
      </c>
      <c r="B4098" t="str">
        <f t="shared" ref="B4098:B4161" si="128">TEXT(A4098,"yyyy-mm")</f>
        <v>2026-09</v>
      </c>
      <c r="C4098" s="3">
        <f t="shared" ref="C4098:C4161" si="129">HOUR(A4098)</f>
        <v>3</v>
      </c>
      <c r="D4098" s="4">
        <v>24.34487782461111</v>
      </c>
      <c r="E4098" s="4">
        <v>26.803830657411108</v>
      </c>
      <c r="F4098" s="4">
        <v>29.206293987691669</v>
      </c>
      <c r="G4098" s="4">
        <v>16.600000000000001</v>
      </c>
      <c r="H4098" s="5">
        <v>40.597680296791673</v>
      </c>
      <c r="I4098" s="5">
        <v>36.982121807144438</v>
      </c>
      <c r="J4098" s="5">
        <v>39.593244533763887</v>
      </c>
      <c r="K4098" s="5">
        <v>69</v>
      </c>
    </row>
    <row r="4099" spans="1:11" x14ac:dyDescent="0.25">
      <c r="A4099" s="2">
        <v>46268.166666666657</v>
      </c>
      <c r="B4099" t="str">
        <f t="shared" si="128"/>
        <v>2026-09</v>
      </c>
      <c r="C4099" s="3">
        <f t="shared" si="129"/>
        <v>4</v>
      </c>
      <c r="D4099" s="4">
        <v>24.060118273175</v>
      </c>
      <c r="E4099" s="4">
        <v>26.55169436990278</v>
      </c>
      <c r="F4099" s="4">
        <v>29.158110379788891</v>
      </c>
      <c r="G4099" s="4">
        <v>16</v>
      </c>
      <c r="H4099" s="5">
        <v>41.160729444005547</v>
      </c>
      <c r="I4099" s="5">
        <v>37.156616723733343</v>
      </c>
      <c r="J4099" s="5">
        <v>39.582043887711123</v>
      </c>
      <c r="K4099" s="5">
        <v>72</v>
      </c>
    </row>
    <row r="4100" spans="1:11" x14ac:dyDescent="0.25">
      <c r="A4100" s="2">
        <v>46268.208333333343</v>
      </c>
      <c r="B4100" t="str">
        <f t="shared" si="128"/>
        <v>2026-09</v>
      </c>
      <c r="C4100" s="3">
        <f t="shared" si="129"/>
        <v>5</v>
      </c>
      <c r="D4100" s="4">
        <v>23.828576163188892</v>
      </c>
      <c r="E4100" s="4">
        <v>26.394241600494439</v>
      </c>
      <c r="F4100" s="4">
        <v>29.118060833866672</v>
      </c>
      <c r="G4100" s="4">
        <v>15.3</v>
      </c>
      <c r="H4100" s="5">
        <v>41.604733087850001</v>
      </c>
      <c r="I4100" s="5">
        <v>37.252025132125013</v>
      </c>
      <c r="J4100" s="5">
        <v>39.601689713330558</v>
      </c>
      <c r="K4100" s="5">
        <v>75</v>
      </c>
    </row>
    <row r="4101" spans="1:11" x14ac:dyDescent="0.25">
      <c r="A4101" s="2">
        <v>46268.25</v>
      </c>
      <c r="B4101" t="str">
        <f t="shared" si="128"/>
        <v>2026-09</v>
      </c>
      <c r="C4101" s="3">
        <f t="shared" si="129"/>
        <v>6</v>
      </c>
      <c r="D4101" s="4">
        <v>23.941856663377781</v>
      </c>
      <c r="E4101" s="4">
        <v>26.451939865375</v>
      </c>
      <c r="F4101" s="4">
        <v>29.087784398686111</v>
      </c>
      <c r="G4101" s="4">
        <v>14.9</v>
      </c>
      <c r="H4101" s="5">
        <v>41.796911915549998</v>
      </c>
      <c r="I4101" s="5">
        <v>37.43650824045833</v>
      </c>
      <c r="J4101" s="5">
        <v>39.643473738886108</v>
      </c>
      <c r="K4101" s="5">
        <v>77</v>
      </c>
    </row>
    <row r="4102" spans="1:11" x14ac:dyDescent="0.25">
      <c r="A4102" s="2">
        <v>46268.291666666657</v>
      </c>
      <c r="B4102" t="str">
        <f t="shared" si="128"/>
        <v>2026-09</v>
      </c>
      <c r="C4102" s="3">
        <f t="shared" si="129"/>
        <v>7</v>
      </c>
      <c r="D4102" s="4">
        <v>24.30976304156944</v>
      </c>
      <c r="E4102" s="4">
        <v>26.592309294616669</v>
      </c>
      <c r="F4102" s="4">
        <v>29.07478861432778</v>
      </c>
      <c r="G4102" s="4">
        <v>15.6</v>
      </c>
      <c r="H4102" s="5">
        <v>41.453714923741657</v>
      </c>
      <c r="I4102" s="5">
        <v>37.487713657413892</v>
      </c>
      <c r="J4102" s="5">
        <v>39.684726260291669</v>
      </c>
      <c r="K4102" s="5">
        <v>74</v>
      </c>
    </row>
    <row r="4103" spans="1:11" x14ac:dyDescent="0.25">
      <c r="A4103" s="2">
        <v>46268.333333333343</v>
      </c>
      <c r="B4103" t="str">
        <f t="shared" si="128"/>
        <v>2026-09</v>
      </c>
      <c r="C4103" s="3">
        <f t="shared" si="129"/>
        <v>8</v>
      </c>
      <c r="D4103" s="4">
        <v>25.104377848794439</v>
      </c>
      <c r="E4103" s="4">
        <v>26.907588790913891</v>
      </c>
      <c r="F4103" s="4">
        <v>29.078239058338891</v>
      </c>
      <c r="G4103" s="4">
        <v>17.3</v>
      </c>
      <c r="H4103" s="5">
        <v>40.40470709591667</v>
      </c>
      <c r="I4103" s="5">
        <v>37.624175074127777</v>
      </c>
      <c r="J4103" s="5">
        <v>39.758071931966661</v>
      </c>
      <c r="K4103" s="5">
        <v>66</v>
      </c>
    </row>
    <row r="4104" spans="1:11" x14ac:dyDescent="0.25">
      <c r="A4104" s="2">
        <v>46268.375</v>
      </c>
      <c r="B4104" t="str">
        <f t="shared" si="128"/>
        <v>2026-09</v>
      </c>
      <c r="C4104" s="3">
        <f t="shared" si="129"/>
        <v>9</v>
      </c>
      <c r="D4104" s="4">
        <v>25.714908232966671</v>
      </c>
      <c r="E4104" s="4">
        <v>27.2588408628</v>
      </c>
      <c r="F4104" s="4">
        <v>29.096437114255551</v>
      </c>
      <c r="G4104" s="4">
        <v>19.7</v>
      </c>
      <c r="H4104" s="5">
        <v>39.301286528144438</v>
      </c>
      <c r="I4104" s="5">
        <v>37.580849170591669</v>
      </c>
      <c r="J4104" s="5">
        <v>39.828854189927767</v>
      </c>
      <c r="K4104" s="5">
        <v>56</v>
      </c>
    </row>
    <row r="4105" spans="1:11" x14ac:dyDescent="0.25">
      <c r="A4105" s="2">
        <v>46268.416666666657</v>
      </c>
      <c r="B4105" t="str">
        <f t="shared" si="128"/>
        <v>2026-09</v>
      </c>
      <c r="C4105" s="3">
        <f t="shared" si="129"/>
        <v>10</v>
      </c>
      <c r="D4105" s="4">
        <v>26.419061550466669</v>
      </c>
      <c r="E4105" s="4">
        <v>28.100381569675001</v>
      </c>
      <c r="F4105" s="4">
        <v>29.119283498158332</v>
      </c>
      <c r="G4105" s="4">
        <v>21.8</v>
      </c>
      <c r="H4105" s="5">
        <v>38.593294670213893</v>
      </c>
      <c r="I4105" s="5">
        <v>35.881958605130563</v>
      </c>
      <c r="J4105" s="5">
        <v>39.870849936355562</v>
      </c>
      <c r="K4105" s="5">
        <v>47</v>
      </c>
    </row>
    <row r="4106" spans="1:11" x14ac:dyDescent="0.25">
      <c r="A4106" s="2">
        <v>46268.458333333343</v>
      </c>
      <c r="B4106" t="str">
        <f t="shared" si="128"/>
        <v>2026-09</v>
      </c>
      <c r="C4106" s="3">
        <f t="shared" si="129"/>
        <v>11</v>
      </c>
      <c r="D4106" s="4">
        <v>26.89725075940833</v>
      </c>
      <c r="E4106" s="4">
        <v>28.593705244174998</v>
      </c>
      <c r="F4106" s="4">
        <v>29.15811300288334</v>
      </c>
      <c r="G4106" s="4">
        <v>23</v>
      </c>
      <c r="H4106" s="5">
        <v>37.721196407608339</v>
      </c>
      <c r="I4106" s="5">
        <v>35.730308808797233</v>
      </c>
      <c r="J4106" s="5">
        <v>39.872104257613891</v>
      </c>
      <c r="K4106" s="5">
        <v>43</v>
      </c>
    </row>
    <row r="4107" spans="1:11" x14ac:dyDescent="0.25">
      <c r="A4107" s="2">
        <v>46268.5</v>
      </c>
      <c r="B4107" t="str">
        <f t="shared" si="128"/>
        <v>2026-09</v>
      </c>
      <c r="C4107" s="3">
        <f t="shared" si="129"/>
        <v>12</v>
      </c>
      <c r="D4107" s="4">
        <v>27.24379369905278</v>
      </c>
      <c r="E4107" s="4">
        <v>29.20079748615278</v>
      </c>
      <c r="F4107" s="4">
        <v>29.241314533255562</v>
      </c>
      <c r="G4107" s="4">
        <v>24.2</v>
      </c>
      <c r="H4107" s="5">
        <v>36.738693035572233</v>
      </c>
      <c r="I4107" s="5">
        <v>36.033801021286124</v>
      </c>
      <c r="J4107" s="5">
        <v>42.141591573299998</v>
      </c>
      <c r="K4107" s="5">
        <v>39</v>
      </c>
    </row>
    <row r="4108" spans="1:11" x14ac:dyDescent="0.25">
      <c r="A4108" s="2">
        <v>46268.541666666657</v>
      </c>
      <c r="B4108" t="str">
        <f t="shared" si="128"/>
        <v>2026-09</v>
      </c>
      <c r="C4108" s="3">
        <f t="shared" si="129"/>
        <v>13</v>
      </c>
      <c r="D4108" s="4">
        <v>27.246083551405562</v>
      </c>
      <c r="E4108" s="4">
        <v>28.78198491639445</v>
      </c>
      <c r="F4108" s="4"/>
      <c r="G4108" s="4">
        <v>25</v>
      </c>
      <c r="H4108" s="5">
        <v>35.997735698144453</v>
      </c>
      <c r="I4108" s="5">
        <v>34.762089998619437</v>
      </c>
      <c r="J4108" s="5"/>
      <c r="K4108" s="5">
        <v>38</v>
      </c>
    </row>
    <row r="4109" spans="1:11" x14ac:dyDescent="0.25">
      <c r="A4109" s="2">
        <v>46268.583333333343</v>
      </c>
      <c r="B4109" t="str">
        <f t="shared" si="128"/>
        <v>2026-09</v>
      </c>
      <c r="C4109" s="3">
        <f t="shared" si="129"/>
        <v>14</v>
      </c>
      <c r="D4109" s="4">
        <v>27.24239336360278</v>
      </c>
      <c r="E4109" s="4">
        <v>28.753951208825001</v>
      </c>
      <c r="F4109" s="4"/>
      <c r="G4109" s="4">
        <v>25.4</v>
      </c>
      <c r="H4109" s="5">
        <v>34.974843028263898</v>
      </c>
      <c r="I4109" s="5">
        <v>33.649235593411113</v>
      </c>
      <c r="J4109" s="5"/>
      <c r="K4109" s="5">
        <v>38</v>
      </c>
    </row>
    <row r="4110" spans="1:11" x14ac:dyDescent="0.25">
      <c r="A4110" s="2">
        <v>46268.625</v>
      </c>
      <c r="B4110" t="str">
        <f t="shared" si="128"/>
        <v>2026-09</v>
      </c>
      <c r="C4110" s="3">
        <f t="shared" si="129"/>
        <v>15</v>
      </c>
      <c r="D4110" s="4">
        <v>27.17553079147778</v>
      </c>
      <c r="E4110" s="4">
        <v>28.383927737488889</v>
      </c>
      <c r="F4110" s="4"/>
      <c r="G4110" s="4">
        <v>25.9</v>
      </c>
      <c r="H4110" s="5">
        <v>32.81043226532222</v>
      </c>
      <c r="I4110" s="5">
        <v>33.364776842702781</v>
      </c>
      <c r="J4110" s="5"/>
      <c r="K4110" s="5">
        <v>35</v>
      </c>
    </row>
    <row r="4111" spans="1:11" x14ac:dyDescent="0.25">
      <c r="A4111" s="2">
        <v>46268.666666666657</v>
      </c>
      <c r="B4111" t="str">
        <f t="shared" si="128"/>
        <v>2026-09</v>
      </c>
      <c r="C4111" s="3">
        <f t="shared" si="129"/>
        <v>16</v>
      </c>
      <c r="D4111" s="4">
        <v>27.14748202737222</v>
      </c>
      <c r="E4111" s="4">
        <v>28.503978737905559</v>
      </c>
      <c r="F4111" s="4">
        <v>29.036326021128222</v>
      </c>
      <c r="G4111" s="4">
        <v>25.7</v>
      </c>
      <c r="H4111" s="5">
        <v>32.436583995649997</v>
      </c>
      <c r="I4111" s="5">
        <v>32.395586274744453</v>
      </c>
      <c r="J4111" s="5">
        <v>39.520529392536098</v>
      </c>
      <c r="K4111" s="5">
        <v>35</v>
      </c>
    </row>
    <row r="4112" spans="1:11" x14ac:dyDescent="0.25">
      <c r="A4112" s="2">
        <v>46268.708333333343</v>
      </c>
      <c r="B4112" t="str">
        <f t="shared" si="128"/>
        <v>2026-09</v>
      </c>
      <c r="C4112" s="3">
        <f t="shared" si="129"/>
        <v>17</v>
      </c>
      <c r="D4112" s="4">
        <v>27.121180912174999</v>
      </c>
      <c r="E4112" s="4">
        <v>28.354828130849999</v>
      </c>
      <c r="F4112" s="4">
        <v>29.340383409897221</v>
      </c>
      <c r="G4112" s="4">
        <v>25.4</v>
      </c>
      <c r="H4112" s="5">
        <v>32.273878610511112</v>
      </c>
      <c r="I4112" s="5">
        <v>32.319198124066673</v>
      </c>
      <c r="J4112" s="5">
        <v>39.524789766158342</v>
      </c>
      <c r="K4112" s="5">
        <v>36</v>
      </c>
    </row>
    <row r="4113" spans="1:11" x14ac:dyDescent="0.25">
      <c r="A4113" s="2">
        <v>46268.75</v>
      </c>
      <c r="B4113" t="str">
        <f t="shared" si="128"/>
        <v>2026-09</v>
      </c>
      <c r="C4113" s="3">
        <f t="shared" si="129"/>
        <v>18</v>
      </c>
      <c r="D4113" s="4">
        <v>25.783589617122221</v>
      </c>
      <c r="E4113" s="4">
        <v>27.311117397625001</v>
      </c>
      <c r="F4113" s="4">
        <v>29.456821119583331</v>
      </c>
      <c r="G4113" s="4">
        <v>24.8</v>
      </c>
      <c r="H4113" s="5">
        <v>32.28473823291111</v>
      </c>
      <c r="I4113" s="5">
        <v>32.414790318183343</v>
      </c>
      <c r="J4113" s="5">
        <v>39.272877898555564</v>
      </c>
      <c r="K4113" s="5">
        <v>37</v>
      </c>
    </row>
    <row r="4114" spans="1:11" x14ac:dyDescent="0.25">
      <c r="A4114" s="2">
        <v>46268.791666666657</v>
      </c>
      <c r="B4114" t="str">
        <f t="shared" si="128"/>
        <v>2026-09</v>
      </c>
      <c r="C4114" s="3">
        <f t="shared" si="129"/>
        <v>19</v>
      </c>
      <c r="D4114" s="4">
        <v>24.98834387710556</v>
      </c>
      <c r="E4114" s="4">
        <v>27.079089423105561</v>
      </c>
      <c r="F4114" s="4">
        <v>29.489017551625</v>
      </c>
      <c r="G4114" s="4">
        <v>23.8</v>
      </c>
      <c r="H4114" s="5">
        <v>32.791854023750012</v>
      </c>
      <c r="I4114" s="5">
        <v>31.1091755978</v>
      </c>
      <c r="J4114" s="5">
        <v>38.718841760686111</v>
      </c>
      <c r="K4114" s="5">
        <v>39</v>
      </c>
    </row>
    <row r="4115" spans="1:11" x14ac:dyDescent="0.25">
      <c r="A4115" s="2">
        <v>46268.833333333343</v>
      </c>
      <c r="B4115" t="str">
        <f t="shared" si="128"/>
        <v>2026-09</v>
      </c>
      <c r="C4115" s="3">
        <f t="shared" si="129"/>
        <v>20</v>
      </c>
      <c r="D4115" s="4">
        <v>24.6237454089</v>
      </c>
      <c r="E4115" s="4">
        <v>26.65869500668612</v>
      </c>
      <c r="F4115" s="4">
        <v>29.543013909163889</v>
      </c>
      <c r="G4115" s="4">
        <v>23</v>
      </c>
      <c r="H4115" s="5">
        <v>31.5157501184</v>
      </c>
      <c r="I4115" s="5">
        <v>29.691098188388889</v>
      </c>
      <c r="J4115" s="5">
        <v>38.410245778405553</v>
      </c>
      <c r="K4115" s="5">
        <v>42</v>
      </c>
    </row>
    <row r="4116" spans="1:11" x14ac:dyDescent="0.25">
      <c r="A4116" s="2">
        <v>46268.875</v>
      </c>
      <c r="B4116" t="str">
        <f t="shared" si="128"/>
        <v>2026-09</v>
      </c>
      <c r="C4116" s="3">
        <f t="shared" si="129"/>
        <v>21</v>
      </c>
      <c r="D4116" s="4">
        <v>25.805654794436109</v>
      </c>
      <c r="E4116" s="4">
        <v>27.335635733855561</v>
      </c>
      <c r="F4116" s="4">
        <v>29.518784047688889</v>
      </c>
      <c r="G4116" s="4">
        <v>22.3</v>
      </c>
      <c r="H4116" s="5">
        <v>34.540025929800002</v>
      </c>
      <c r="I4116" s="5">
        <v>32.505917261225001</v>
      </c>
      <c r="J4116" s="5">
        <v>38.377950731913892</v>
      </c>
      <c r="K4116" s="5">
        <v>45</v>
      </c>
    </row>
    <row r="4117" spans="1:11" x14ac:dyDescent="0.25">
      <c r="A4117" s="2">
        <v>46268.916666666657</v>
      </c>
      <c r="B4117" t="str">
        <f t="shared" si="128"/>
        <v>2026-09</v>
      </c>
      <c r="C4117" s="3">
        <f t="shared" si="129"/>
        <v>22</v>
      </c>
      <c r="D4117" s="4">
        <v>26.373460975827779</v>
      </c>
      <c r="E4117" s="4">
        <v>27.77663531330278</v>
      </c>
      <c r="F4117" s="4">
        <v>29.476039039166661</v>
      </c>
      <c r="G4117" s="4">
        <v>22</v>
      </c>
      <c r="H4117" s="5">
        <v>36.524183450711121</v>
      </c>
      <c r="I4117" s="5">
        <v>35.152141131424997</v>
      </c>
      <c r="J4117" s="5">
        <v>38.781058865902779</v>
      </c>
      <c r="K4117" s="5">
        <v>46</v>
      </c>
    </row>
    <row r="4118" spans="1:11" x14ac:dyDescent="0.25">
      <c r="A4118" s="2">
        <v>46268.958333333343</v>
      </c>
      <c r="B4118" t="str">
        <f t="shared" si="128"/>
        <v>2026-09</v>
      </c>
      <c r="C4118" s="3">
        <f t="shared" si="129"/>
        <v>23</v>
      </c>
      <c r="D4118" s="4">
        <v>25.68118172339166</v>
      </c>
      <c r="E4118" s="4">
        <v>27.569062111413889</v>
      </c>
      <c r="F4118" s="4">
        <v>29.45827798620833</v>
      </c>
      <c r="G4118" s="4">
        <v>20.2</v>
      </c>
      <c r="H4118" s="5">
        <v>38.351845857736123</v>
      </c>
      <c r="I4118" s="5">
        <v>36.650572116955551</v>
      </c>
      <c r="J4118" s="5">
        <v>39.179984587272223</v>
      </c>
      <c r="K4118" s="5">
        <v>55</v>
      </c>
    </row>
    <row r="4119" spans="1:11" x14ac:dyDescent="0.25">
      <c r="A4119" s="2">
        <v>46269</v>
      </c>
      <c r="B4119" t="str">
        <f t="shared" si="128"/>
        <v>2026-09</v>
      </c>
      <c r="C4119" s="3">
        <f t="shared" si="129"/>
        <v>0</v>
      </c>
      <c r="D4119" s="4">
        <v>24.90685328764722</v>
      </c>
      <c r="E4119" s="4">
        <v>26.997847281550001</v>
      </c>
      <c r="F4119" s="4">
        <v>29.51487841644445</v>
      </c>
      <c r="G4119" s="4">
        <v>17.600000000000001</v>
      </c>
      <c r="H4119" s="5">
        <v>40.728195403641656</v>
      </c>
      <c r="I4119" s="5">
        <v>36.791131701888887</v>
      </c>
      <c r="J4119" s="5">
        <v>39.445788619611122</v>
      </c>
      <c r="K4119" s="5">
        <v>72</v>
      </c>
    </row>
    <row r="4120" spans="1:11" x14ac:dyDescent="0.25">
      <c r="A4120" s="2">
        <v>46269.041666666657</v>
      </c>
      <c r="B4120" t="str">
        <f t="shared" si="128"/>
        <v>2026-09</v>
      </c>
      <c r="C4120" s="3">
        <f t="shared" si="129"/>
        <v>1</v>
      </c>
      <c r="D4120" s="4">
        <v>24.42227267928056</v>
      </c>
      <c r="E4120" s="4">
        <v>26.817969697041669</v>
      </c>
      <c r="F4120" s="4">
        <v>29.58600290895556</v>
      </c>
      <c r="G4120" s="4">
        <v>17.5</v>
      </c>
      <c r="H4120" s="5">
        <v>41.735627712961112</v>
      </c>
      <c r="I4120" s="5">
        <v>36.960622751091663</v>
      </c>
      <c r="J4120" s="5">
        <v>39.654797944466672</v>
      </c>
      <c r="K4120" s="5">
        <v>73</v>
      </c>
    </row>
    <row r="4121" spans="1:11" x14ac:dyDescent="0.25">
      <c r="A4121" s="2">
        <v>46269.083333333343</v>
      </c>
      <c r="B4121" t="str">
        <f t="shared" si="128"/>
        <v>2026-09</v>
      </c>
      <c r="C4121" s="3">
        <f t="shared" si="129"/>
        <v>2</v>
      </c>
      <c r="D4121" s="4">
        <v>24.619459498733331</v>
      </c>
      <c r="E4121" s="4">
        <v>26.359891620986119</v>
      </c>
      <c r="F4121" s="4">
        <v>29.618083231611109</v>
      </c>
      <c r="G4121" s="4">
        <v>16.8</v>
      </c>
      <c r="H4121" s="5">
        <v>41.11515335947778</v>
      </c>
      <c r="I4121" s="5">
        <v>37.335753208858343</v>
      </c>
      <c r="J4121" s="5">
        <v>39.790768680858328</v>
      </c>
      <c r="K4121" s="5">
        <v>77</v>
      </c>
    </row>
    <row r="4122" spans="1:11" x14ac:dyDescent="0.25">
      <c r="A4122" s="2">
        <v>46269.125</v>
      </c>
      <c r="B4122" t="str">
        <f t="shared" si="128"/>
        <v>2026-09</v>
      </c>
      <c r="C4122" s="3">
        <f t="shared" si="129"/>
        <v>3</v>
      </c>
      <c r="D4122" s="4">
        <v>24.155005075552779</v>
      </c>
      <c r="E4122" s="4">
        <v>26.331217738075001</v>
      </c>
      <c r="F4122" s="4">
        <v>29.624862499291659</v>
      </c>
      <c r="G4122" s="4">
        <v>15.6</v>
      </c>
      <c r="H4122" s="5">
        <v>42.865127473313891</v>
      </c>
      <c r="I4122" s="5">
        <v>37.894539836024997</v>
      </c>
      <c r="J4122" s="5">
        <v>39.918881486988887</v>
      </c>
      <c r="K4122" s="5">
        <v>86</v>
      </c>
    </row>
    <row r="4123" spans="1:11" x14ac:dyDescent="0.25">
      <c r="A4123" s="2">
        <v>46269.166666666657</v>
      </c>
      <c r="B4123" t="str">
        <f t="shared" si="128"/>
        <v>2026-09</v>
      </c>
      <c r="C4123" s="3">
        <f t="shared" si="129"/>
        <v>4</v>
      </c>
      <c r="D4123" s="4">
        <v>24.05286135024722</v>
      </c>
      <c r="E4123" s="4">
        <v>26.031663421061111</v>
      </c>
      <c r="F4123" s="4">
        <v>29.627579918161111</v>
      </c>
      <c r="G4123" s="4">
        <v>15.2</v>
      </c>
      <c r="H4123" s="5">
        <v>43.326136654088891</v>
      </c>
      <c r="I4123" s="5">
        <v>38.6950772044</v>
      </c>
      <c r="J4123" s="5">
        <v>40.053074054711111</v>
      </c>
      <c r="K4123" s="5">
        <v>90</v>
      </c>
    </row>
    <row r="4124" spans="1:11" x14ac:dyDescent="0.25">
      <c r="A4124" s="2">
        <v>46269.208333333343</v>
      </c>
      <c r="B4124" t="str">
        <f t="shared" si="128"/>
        <v>2026-09</v>
      </c>
      <c r="C4124" s="3">
        <f t="shared" si="129"/>
        <v>5</v>
      </c>
      <c r="D4124" s="4">
        <v>23.85550003570556</v>
      </c>
      <c r="E4124" s="4">
        <v>25.773472307091659</v>
      </c>
      <c r="F4124" s="4">
        <v>29.496396760900002</v>
      </c>
      <c r="G4124" s="4">
        <v>14.8</v>
      </c>
      <c r="H4124" s="5">
        <v>43.252523400874999</v>
      </c>
      <c r="I4124" s="5">
        <v>38.740929001502778</v>
      </c>
      <c r="J4124" s="5">
        <v>40.137098832525012</v>
      </c>
      <c r="K4124" s="5">
        <v>91</v>
      </c>
    </row>
    <row r="4125" spans="1:11" x14ac:dyDescent="0.25">
      <c r="A4125" s="2">
        <v>46269.25</v>
      </c>
      <c r="B4125" t="str">
        <f t="shared" si="128"/>
        <v>2026-09</v>
      </c>
      <c r="C4125" s="3">
        <f t="shared" si="129"/>
        <v>6</v>
      </c>
      <c r="D4125" s="4">
        <v>23.814541942288891</v>
      </c>
      <c r="E4125" s="4">
        <v>25.98029219808889</v>
      </c>
      <c r="F4125" s="4">
        <v>29.395261688819438</v>
      </c>
      <c r="G4125" s="4">
        <v>14.8</v>
      </c>
      <c r="H4125" s="5">
        <v>43.828310414244442</v>
      </c>
      <c r="I4125" s="5">
        <v>38.580373269288891</v>
      </c>
      <c r="J4125" s="5">
        <v>40.206142822663892</v>
      </c>
      <c r="K4125" s="5">
        <v>90</v>
      </c>
    </row>
    <row r="4126" spans="1:11" x14ac:dyDescent="0.25">
      <c r="A4126" s="2">
        <v>46269.291666666657</v>
      </c>
      <c r="B4126" t="str">
        <f t="shared" si="128"/>
        <v>2026-09</v>
      </c>
      <c r="C4126" s="3">
        <f t="shared" si="129"/>
        <v>7</v>
      </c>
      <c r="D4126" s="4">
        <v>25.142962339486111</v>
      </c>
      <c r="E4126" s="4">
        <v>27.002168488077771</v>
      </c>
      <c r="F4126" s="4">
        <v>29.370819356008329</v>
      </c>
      <c r="G4126" s="4">
        <v>15.3</v>
      </c>
      <c r="H4126" s="5">
        <v>41.735133425527778</v>
      </c>
      <c r="I4126" s="5">
        <v>37.709938254686108</v>
      </c>
      <c r="J4126" s="5">
        <v>40.226903351422223</v>
      </c>
      <c r="K4126" s="5">
        <v>89</v>
      </c>
    </row>
    <row r="4127" spans="1:11" x14ac:dyDescent="0.25">
      <c r="A4127" s="2">
        <v>46269.333333333343</v>
      </c>
      <c r="B4127" t="str">
        <f t="shared" si="128"/>
        <v>2026-09</v>
      </c>
      <c r="C4127" s="3">
        <f t="shared" si="129"/>
        <v>8</v>
      </c>
      <c r="D4127" s="4">
        <v>26.100249395658331</v>
      </c>
      <c r="E4127" s="4">
        <v>27.83279092153056</v>
      </c>
      <c r="F4127" s="4">
        <v>29.38526490558889</v>
      </c>
      <c r="G4127" s="4">
        <v>16.399999999999999</v>
      </c>
      <c r="H4127" s="5">
        <v>40.328090172269448</v>
      </c>
      <c r="I4127" s="5">
        <v>37.346693888197223</v>
      </c>
      <c r="J4127" s="5">
        <v>40.296296719380557</v>
      </c>
      <c r="K4127" s="5">
        <v>84</v>
      </c>
    </row>
    <row r="4128" spans="1:11" x14ac:dyDescent="0.25">
      <c r="A4128" s="2">
        <v>46269.375</v>
      </c>
      <c r="B4128" t="str">
        <f t="shared" si="128"/>
        <v>2026-09</v>
      </c>
      <c r="C4128" s="3">
        <f t="shared" si="129"/>
        <v>9</v>
      </c>
      <c r="D4128" s="4">
        <v>26.736083366113888</v>
      </c>
      <c r="E4128" s="4">
        <v>28.56234843449722</v>
      </c>
      <c r="F4128" s="4">
        <v>29.397487164405561</v>
      </c>
      <c r="G4128" s="4">
        <v>18.2</v>
      </c>
      <c r="H4128" s="5">
        <v>38.394734666702767</v>
      </c>
      <c r="I4128" s="5">
        <v>35.601265500516668</v>
      </c>
      <c r="J4128" s="5">
        <v>40.33141494974722</v>
      </c>
      <c r="K4128" s="5">
        <v>72</v>
      </c>
    </row>
    <row r="4129" spans="1:11" x14ac:dyDescent="0.25">
      <c r="A4129" s="2">
        <v>46269.416666666657</v>
      </c>
      <c r="B4129" t="str">
        <f t="shared" si="128"/>
        <v>2026-09</v>
      </c>
      <c r="C4129" s="3">
        <f t="shared" si="129"/>
        <v>10</v>
      </c>
      <c r="D4129" s="4">
        <v>27.147393125519439</v>
      </c>
      <c r="E4129" s="4">
        <v>29.276589873538889</v>
      </c>
      <c r="F4129" s="4">
        <v>29.42368197779167</v>
      </c>
      <c r="G4129" s="4">
        <v>20.3</v>
      </c>
      <c r="H4129" s="5">
        <v>37.755012682386109</v>
      </c>
      <c r="I4129" s="5">
        <v>35.034940282302777</v>
      </c>
      <c r="J4129" s="5">
        <v>40.314362136574999</v>
      </c>
      <c r="K4129" s="5">
        <v>59</v>
      </c>
    </row>
    <row r="4130" spans="1:11" x14ac:dyDescent="0.25">
      <c r="A4130" s="2">
        <v>46269.458333333343</v>
      </c>
      <c r="B4130" t="str">
        <f t="shared" si="128"/>
        <v>2026-09</v>
      </c>
      <c r="C4130" s="3">
        <f t="shared" si="129"/>
        <v>11</v>
      </c>
      <c r="D4130" s="4">
        <v>27.376515900269439</v>
      </c>
      <c r="E4130" s="4">
        <v>29.287620421216669</v>
      </c>
      <c r="F4130" s="4">
        <v>29.434962311011109</v>
      </c>
      <c r="G4130" s="4">
        <v>21.9</v>
      </c>
      <c r="H4130" s="5">
        <v>35.481003365855557</v>
      </c>
      <c r="I4130" s="5">
        <v>33.120647174216657</v>
      </c>
      <c r="J4130" s="5">
        <v>40.736996628700012</v>
      </c>
      <c r="K4130" s="5">
        <v>51</v>
      </c>
    </row>
    <row r="4131" spans="1:11" x14ac:dyDescent="0.25">
      <c r="A4131" s="2">
        <v>46269.5</v>
      </c>
      <c r="B4131" t="str">
        <f t="shared" si="128"/>
        <v>2026-09</v>
      </c>
      <c r="C4131" s="3">
        <f t="shared" si="129"/>
        <v>12</v>
      </c>
      <c r="D4131" s="4">
        <v>27.380775852011109</v>
      </c>
      <c r="E4131" s="4">
        <v>28.902045828780562</v>
      </c>
      <c r="F4131" s="4">
        <v>29.16350204282778</v>
      </c>
      <c r="G4131" s="4">
        <v>23.1</v>
      </c>
      <c r="H4131" s="5">
        <v>34.587091123402779</v>
      </c>
      <c r="I4131" s="5">
        <v>35.876222136169453</v>
      </c>
      <c r="J4131" s="5">
        <v>41.832540954172217</v>
      </c>
      <c r="K4131" s="5">
        <v>45</v>
      </c>
    </row>
    <row r="4132" spans="1:11" x14ac:dyDescent="0.25">
      <c r="A4132" s="2">
        <v>46269.541666666657</v>
      </c>
      <c r="B4132" t="str">
        <f t="shared" si="128"/>
        <v>2026-09</v>
      </c>
      <c r="C4132" s="3">
        <f t="shared" si="129"/>
        <v>13</v>
      </c>
      <c r="D4132" s="4">
        <v>27.199336258411108</v>
      </c>
      <c r="E4132" s="4">
        <v>28.60632980846389</v>
      </c>
      <c r="F4132" s="4">
        <v>28.93135574169445</v>
      </c>
      <c r="G4132" s="4">
        <v>24</v>
      </c>
      <c r="H4132" s="5">
        <v>33.866141010441673</v>
      </c>
      <c r="I4132" s="5">
        <v>37.808120935202773</v>
      </c>
      <c r="J4132" s="5">
        <v>41.084489491608331</v>
      </c>
      <c r="K4132" s="5">
        <v>40</v>
      </c>
    </row>
    <row r="4133" spans="1:11" x14ac:dyDescent="0.25">
      <c r="A4133" s="2">
        <v>46269.583333333343</v>
      </c>
      <c r="B4133" t="str">
        <f t="shared" si="128"/>
        <v>2026-09</v>
      </c>
      <c r="C4133" s="3">
        <f t="shared" si="129"/>
        <v>14</v>
      </c>
      <c r="D4133" s="4">
        <v>27.140695272005559</v>
      </c>
      <c r="E4133" s="4">
        <v>28.458170835927781</v>
      </c>
      <c r="F4133" s="4">
        <v>28.77147937744445</v>
      </c>
      <c r="G4133" s="4">
        <v>24.6</v>
      </c>
      <c r="H4133" s="5">
        <v>32.129594791430563</v>
      </c>
      <c r="I4133" s="5">
        <v>35.2693224418</v>
      </c>
      <c r="J4133" s="5">
        <v>39.798606370086112</v>
      </c>
      <c r="K4133" s="5">
        <v>38</v>
      </c>
    </row>
    <row r="4134" spans="1:11" x14ac:dyDescent="0.25">
      <c r="A4134" s="2">
        <v>46269.625</v>
      </c>
      <c r="B4134" t="str">
        <f t="shared" si="128"/>
        <v>2026-09</v>
      </c>
      <c r="C4134" s="3">
        <f t="shared" si="129"/>
        <v>15</v>
      </c>
      <c r="D4134" s="4">
        <v>27.151853694077779</v>
      </c>
      <c r="E4134" s="4">
        <v>28.407938270224999</v>
      </c>
      <c r="F4134" s="4">
        <v>28.655082034972221</v>
      </c>
      <c r="G4134" s="4">
        <v>25.7</v>
      </c>
      <c r="H4134" s="5">
        <v>30.977390650408331</v>
      </c>
      <c r="I4134" s="5">
        <v>32.725420458830563</v>
      </c>
      <c r="J4134" s="5">
        <v>38.54658490758333</v>
      </c>
      <c r="K4134" s="5">
        <v>33</v>
      </c>
    </row>
    <row r="4135" spans="1:11" x14ac:dyDescent="0.25">
      <c r="A4135" s="2">
        <v>46269.666666666657</v>
      </c>
      <c r="B4135" t="str">
        <f t="shared" si="128"/>
        <v>2026-09</v>
      </c>
      <c r="C4135" s="3">
        <f t="shared" si="129"/>
        <v>16</v>
      </c>
      <c r="D4135" s="4">
        <v>27.18795829945833</v>
      </c>
      <c r="E4135" s="4">
        <v>28.59383087885556</v>
      </c>
      <c r="F4135" s="4">
        <v>28.791081017250001</v>
      </c>
      <c r="G4135" s="4">
        <v>25.7</v>
      </c>
      <c r="H4135" s="5">
        <v>31.038214431447219</v>
      </c>
      <c r="I4135" s="5">
        <v>33.183198795750009</v>
      </c>
      <c r="J4135" s="5">
        <v>39.132657537258332</v>
      </c>
      <c r="K4135" s="5">
        <v>32</v>
      </c>
    </row>
    <row r="4136" spans="1:11" x14ac:dyDescent="0.25">
      <c r="A4136" s="2">
        <v>46269.708333333343</v>
      </c>
      <c r="B4136" t="str">
        <f t="shared" si="128"/>
        <v>2026-09</v>
      </c>
      <c r="C4136" s="3">
        <f t="shared" si="129"/>
        <v>17</v>
      </c>
      <c r="D4136" s="4">
        <v>27.09928900458889</v>
      </c>
      <c r="E4136" s="4">
        <v>28.117212890722229</v>
      </c>
      <c r="F4136" s="4">
        <v>29.023394616747229</v>
      </c>
      <c r="G4136" s="4">
        <v>25.4</v>
      </c>
      <c r="H4136" s="5">
        <v>31.196059672322221</v>
      </c>
      <c r="I4136" s="5">
        <v>34.145386796552778</v>
      </c>
      <c r="J4136" s="5">
        <v>39.453491381972221</v>
      </c>
      <c r="K4136" s="5">
        <v>33</v>
      </c>
    </row>
    <row r="4137" spans="1:11" x14ac:dyDescent="0.25">
      <c r="A4137" s="2">
        <v>46269.75</v>
      </c>
      <c r="B4137" t="str">
        <f t="shared" si="128"/>
        <v>2026-09</v>
      </c>
      <c r="C4137" s="3">
        <f t="shared" si="129"/>
        <v>18</v>
      </c>
      <c r="D4137" s="4">
        <v>26.89414347856945</v>
      </c>
      <c r="E4137" s="4">
        <v>27.78923444208333</v>
      </c>
      <c r="F4137" s="4">
        <v>29.11508462716111</v>
      </c>
      <c r="G4137" s="4">
        <v>24.8</v>
      </c>
      <c r="H4137" s="5">
        <v>30.910895500599999</v>
      </c>
      <c r="I4137" s="5">
        <v>33.462529860263892</v>
      </c>
      <c r="J4137" s="5">
        <v>39.413938807669453</v>
      </c>
      <c r="K4137" s="5">
        <v>34</v>
      </c>
    </row>
    <row r="4138" spans="1:11" x14ac:dyDescent="0.25">
      <c r="A4138" s="2">
        <v>46269.791666666657</v>
      </c>
      <c r="B4138" t="str">
        <f t="shared" si="128"/>
        <v>2026-09</v>
      </c>
      <c r="C4138" s="3">
        <f t="shared" si="129"/>
        <v>19</v>
      </c>
      <c r="D4138" s="4">
        <v>26.575716224163891</v>
      </c>
      <c r="E4138" s="4">
        <v>27.494467968641668</v>
      </c>
      <c r="F4138" s="4">
        <v>29.15411275423611</v>
      </c>
      <c r="G4138" s="4">
        <v>23.7</v>
      </c>
      <c r="H4138" s="5">
        <v>31.802884004494441</v>
      </c>
      <c r="I4138" s="5">
        <v>33.243167128791661</v>
      </c>
      <c r="J4138" s="5">
        <v>39.278732371166669</v>
      </c>
      <c r="K4138" s="5">
        <v>37</v>
      </c>
    </row>
    <row r="4139" spans="1:11" x14ac:dyDescent="0.25">
      <c r="A4139" s="2">
        <v>46269.833333333343</v>
      </c>
      <c r="B4139" t="str">
        <f t="shared" si="128"/>
        <v>2026-09</v>
      </c>
      <c r="C4139" s="3">
        <f t="shared" si="129"/>
        <v>20</v>
      </c>
      <c r="D4139" s="4">
        <v>26.21609262845277</v>
      </c>
      <c r="E4139" s="4">
        <v>27.307305295038891</v>
      </c>
      <c r="F4139" s="4">
        <v>29.18215299643612</v>
      </c>
      <c r="G4139" s="4">
        <v>22.7</v>
      </c>
      <c r="H4139" s="5">
        <v>32.513009007961109</v>
      </c>
      <c r="I4139" s="5">
        <v>32.751483895450001</v>
      </c>
      <c r="J4139" s="5">
        <v>39.205259170619449</v>
      </c>
      <c r="K4139" s="5">
        <v>41</v>
      </c>
    </row>
    <row r="4140" spans="1:11" x14ac:dyDescent="0.25">
      <c r="A4140" s="2">
        <v>46269.875</v>
      </c>
      <c r="B4140" t="str">
        <f t="shared" si="128"/>
        <v>2026-09</v>
      </c>
      <c r="C4140" s="3">
        <f t="shared" si="129"/>
        <v>21</v>
      </c>
      <c r="D4140" s="4">
        <v>25.958138076166659</v>
      </c>
      <c r="E4140" s="4">
        <v>27.098430066616672</v>
      </c>
      <c r="F4140" s="4">
        <v>29.16766592085278</v>
      </c>
      <c r="G4140" s="4">
        <v>21.6</v>
      </c>
      <c r="H4140" s="5">
        <v>32.400213419575003</v>
      </c>
      <c r="I4140" s="5">
        <v>32.461295450902767</v>
      </c>
      <c r="J4140" s="5">
        <v>39.141469628016672</v>
      </c>
      <c r="K4140" s="5">
        <v>53</v>
      </c>
    </row>
    <row r="4141" spans="1:11" x14ac:dyDescent="0.25">
      <c r="A4141" s="2">
        <v>46269.916666666657</v>
      </c>
      <c r="B4141" t="str">
        <f t="shared" si="128"/>
        <v>2026-09</v>
      </c>
      <c r="C4141" s="3">
        <f t="shared" si="129"/>
        <v>22</v>
      </c>
      <c r="D4141" s="4">
        <v>25.705263002683331</v>
      </c>
      <c r="E4141" s="4">
        <v>27.1189366961</v>
      </c>
      <c r="F4141" s="4">
        <v>29.129096013119451</v>
      </c>
      <c r="G4141" s="4">
        <v>20.6</v>
      </c>
      <c r="H4141" s="5">
        <v>33.43649346880278</v>
      </c>
      <c r="I4141" s="5">
        <v>33.639937998394437</v>
      </c>
      <c r="J4141" s="5">
        <v>38.976430701127782</v>
      </c>
      <c r="K4141" s="5">
        <v>54</v>
      </c>
    </row>
    <row r="4142" spans="1:11" x14ac:dyDescent="0.25">
      <c r="A4142" s="2">
        <v>46269.958333333343</v>
      </c>
      <c r="B4142" t="str">
        <f t="shared" si="128"/>
        <v>2026-09</v>
      </c>
      <c r="C4142" s="3">
        <f t="shared" si="129"/>
        <v>23</v>
      </c>
      <c r="D4142" s="4">
        <v>25.461301224900001</v>
      </c>
      <c r="E4142" s="4">
        <v>27.175854482358329</v>
      </c>
      <c r="F4142" s="4">
        <v>29.149876333224999</v>
      </c>
      <c r="G4142" s="4">
        <v>19.399999999999999</v>
      </c>
      <c r="H4142" s="5">
        <v>34.579016934302778</v>
      </c>
      <c r="I4142" s="5">
        <v>34.31672967778055</v>
      </c>
      <c r="J4142" s="5">
        <v>39.115765063791663</v>
      </c>
      <c r="K4142" s="5">
        <v>58</v>
      </c>
    </row>
    <row r="4143" spans="1:11" x14ac:dyDescent="0.25">
      <c r="A4143" s="2">
        <v>46270</v>
      </c>
      <c r="B4143" t="str">
        <f t="shared" si="128"/>
        <v>2026-09</v>
      </c>
      <c r="C4143" s="3">
        <f t="shared" si="129"/>
        <v>0</v>
      </c>
      <c r="D4143" s="4">
        <v>25.39496061057778</v>
      </c>
      <c r="E4143" s="4">
        <v>27.36515316368056</v>
      </c>
      <c r="F4143" s="4">
        <v>29.153041322383331</v>
      </c>
      <c r="G4143" s="4">
        <v>18.600000000000001</v>
      </c>
      <c r="H4143" s="5">
        <v>34.473037278366668</v>
      </c>
      <c r="I4143" s="5">
        <v>34.416140763611111</v>
      </c>
      <c r="J4143" s="5">
        <v>39.150986532088893</v>
      </c>
      <c r="K4143" s="5">
        <v>59</v>
      </c>
    </row>
    <row r="4144" spans="1:11" x14ac:dyDescent="0.25">
      <c r="A4144" s="2">
        <v>46270.041666666657</v>
      </c>
      <c r="B4144" t="str">
        <f t="shared" si="128"/>
        <v>2026-09</v>
      </c>
      <c r="C4144" s="3">
        <f t="shared" si="129"/>
        <v>1</v>
      </c>
      <c r="D4144" s="4">
        <v>25.10239105171112</v>
      </c>
      <c r="E4144" s="4">
        <v>27.297141784775</v>
      </c>
      <c r="F4144" s="4">
        <v>29.15348651564722</v>
      </c>
      <c r="G4144" s="4">
        <v>18.100000000000001</v>
      </c>
      <c r="H4144" s="5">
        <v>35.216566069780548</v>
      </c>
      <c r="I4144" s="5">
        <v>34.257520275447227</v>
      </c>
      <c r="J4144" s="5">
        <v>39.142709758891662</v>
      </c>
      <c r="K4144" s="5">
        <v>59</v>
      </c>
    </row>
    <row r="4145" spans="1:11" x14ac:dyDescent="0.25">
      <c r="A4145" s="2">
        <v>46270.083333333343</v>
      </c>
      <c r="B4145" t="str">
        <f t="shared" si="128"/>
        <v>2026-09</v>
      </c>
      <c r="C4145" s="3">
        <f t="shared" si="129"/>
        <v>2</v>
      </c>
      <c r="D4145" s="4">
        <v>25.03475226648056</v>
      </c>
      <c r="E4145" s="4">
        <v>26.76127131637222</v>
      </c>
      <c r="F4145" s="4">
        <v>29.14188892883611</v>
      </c>
      <c r="G4145" s="4">
        <v>17.600000000000001</v>
      </c>
      <c r="H4145" s="5">
        <v>35.712744402275</v>
      </c>
      <c r="I4145" s="5">
        <v>34.503772365766672</v>
      </c>
      <c r="J4145" s="5">
        <v>39.195988842894451</v>
      </c>
      <c r="K4145" s="5">
        <v>59</v>
      </c>
    </row>
    <row r="4146" spans="1:11" x14ac:dyDescent="0.25">
      <c r="A4146" s="2">
        <v>46270.125</v>
      </c>
      <c r="B4146" t="str">
        <f t="shared" si="128"/>
        <v>2026-09</v>
      </c>
      <c r="C4146" s="3">
        <f t="shared" si="129"/>
        <v>3</v>
      </c>
      <c r="D4146" s="4">
        <v>24.963815067916659</v>
      </c>
      <c r="E4146" s="4">
        <v>26.333551139413888</v>
      </c>
      <c r="F4146" s="4">
        <v>29.111136142333329</v>
      </c>
      <c r="G4146" s="4">
        <v>16.7</v>
      </c>
      <c r="H4146" s="5">
        <v>35.380997484352783</v>
      </c>
      <c r="I4146" s="5">
        <v>33.676065209647227</v>
      </c>
      <c r="J4146" s="5">
        <v>39.108727584544447</v>
      </c>
      <c r="K4146" s="5">
        <v>64</v>
      </c>
    </row>
    <row r="4147" spans="1:11" x14ac:dyDescent="0.25">
      <c r="A4147" s="2">
        <v>46270.166666666657</v>
      </c>
      <c r="B4147" t="str">
        <f t="shared" si="128"/>
        <v>2026-09</v>
      </c>
      <c r="C4147" s="3">
        <f t="shared" si="129"/>
        <v>4</v>
      </c>
      <c r="D4147" s="4">
        <v>24.641844183116671</v>
      </c>
      <c r="E4147" s="4">
        <v>26.170972005472219</v>
      </c>
      <c r="F4147" s="4">
        <v>29.069915645319441</v>
      </c>
      <c r="G4147" s="4">
        <v>16.5</v>
      </c>
      <c r="H4147" s="5">
        <v>35.916455909905558</v>
      </c>
      <c r="I4147" s="5">
        <v>33.739605945722232</v>
      </c>
      <c r="J4147" s="5">
        <v>39.029069174391672</v>
      </c>
      <c r="K4147" s="5">
        <v>64</v>
      </c>
    </row>
    <row r="4148" spans="1:11" x14ac:dyDescent="0.25">
      <c r="A4148" s="2">
        <v>46270.208333333343</v>
      </c>
      <c r="B4148" t="str">
        <f t="shared" si="128"/>
        <v>2026-09</v>
      </c>
      <c r="C4148" s="3">
        <f t="shared" si="129"/>
        <v>5</v>
      </c>
      <c r="D4148" s="4">
        <v>24.344819267386111</v>
      </c>
      <c r="E4148" s="4">
        <v>26.646957643663889</v>
      </c>
      <c r="F4148" s="4">
        <v>29.037026059875</v>
      </c>
      <c r="G4148" s="4">
        <v>16.399999999999999</v>
      </c>
      <c r="H4148" s="5">
        <v>36.451722558783338</v>
      </c>
      <c r="I4148" s="5">
        <v>32.896764784963892</v>
      </c>
      <c r="J4148" s="5">
        <v>38.951609636261111</v>
      </c>
      <c r="K4148" s="5">
        <v>63</v>
      </c>
    </row>
    <row r="4149" spans="1:11" x14ac:dyDescent="0.25">
      <c r="A4149" s="2">
        <v>46270.25</v>
      </c>
      <c r="B4149" t="str">
        <f t="shared" si="128"/>
        <v>2026-09</v>
      </c>
      <c r="C4149" s="3">
        <f t="shared" si="129"/>
        <v>6</v>
      </c>
      <c r="D4149" s="4">
        <v>24.586829785444451</v>
      </c>
      <c r="E4149" s="4">
        <v>26.521206428149998</v>
      </c>
      <c r="F4149" s="4">
        <v>29.005291138791659</v>
      </c>
      <c r="G4149" s="4">
        <v>16</v>
      </c>
      <c r="H4149" s="5">
        <v>36.19169731428611</v>
      </c>
      <c r="I4149" s="5">
        <v>33.127757610847233</v>
      </c>
      <c r="J4149" s="5">
        <v>38.906390400613887</v>
      </c>
      <c r="K4149" s="5">
        <v>65</v>
      </c>
    </row>
    <row r="4150" spans="1:11" x14ac:dyDescent="0.25">
      <c r="A4150" s="2">
        <v>46270.291666666657</v>
      </c>
      <c r="B4150" t="str">
        <f t="shared" si="128"/>
        <v>2026-09</v>
      </c>
      <c r="C4150" s="3">
        <f t="shared" si="129"/>
        <v>7</v>
      </c>
      <c r="D4150" s="4">
        <v>25.40515373763056</v>
      </c>
      <c r="E4150" s="4">
        <v>27.344902088780561</v>
      </c>
      <c r="F4150" s="4">
        <v>29.008569809736109</v>
      </c>
      <c r="G4150" s="4">
        <v>16.5</v>
      </c>
      <c r="H4150" s="5">
        <v>35.560518289694443</v>
      </c>
      <c r="I4150" s="5">
        <v>32.762889795402778</v>
      </c>
      <c r="J4150" s="5">
        <v>39.040201528916668</v>
      </c>
      <c r="K4150" s="5">
        <v>66</v>
      </c>
    </row>
    <row r="4151" spans="1:11" x14ac:dyDescent="0.25">
      <c r="A4151" s="2">
        <v>46270.333333333343</v>
      </c>
      <c r="B4151" t="str">
        <f t="shared" si="128"/>
        <v>2026-09</v>
      </c>
      <c r="C4151" s="3">
        <f t="shared" si="129"/>
        <v>8</v>
      </c>
      <c r="D4151" s="4">
        <v>26.052987348338888</v>
      </c>
      <c r="E4151" s="4">
        <v>27.98038259530556</v>
      </c>
      <c r="F4151" s="4">
        <v>29.050655211419439</v>
      </c>
      <c r="G4151" s="4">
        <v>18.2</v>
      </c>
      <c r="H4151" s="5">
        <v>36.041731780111121</v>
      </c>
      <c r="I4151" s="5">
        <v>33.209580432305557</v>
      </c>
      <c r="J4151" s="5">
        <v>39.219772066097221</v>
      </c>
      <c r="K4151" s="5">
        <v>64</v>
      </c>
    </row>
    <row r="4152" spans="1:11" x14ac:dyDescent="0.25">
      <c r="A4152" s="2">
        <v>46270.375</v>
      </c>
      <c r="B4152" t="str">
        <f t="shared" si="128"/>
        <v>2026-09</v>
      </c>
      <c r="C4152" s="3">
        <f t="shared" si="129"/>
        <v>9</v>
      </c>
      <c r="D4152" s="4">
        <v>26.626119544249999</v>
      </c>
      <c r="E4152" s="4">
        <v>28.789371967608329</v>
      </c>
      <c r="F4152" s="4">
        <v>29.109851365577779</v>
      </c>
      <c r="G4152" s="4">
        <v>20.5</v>
      </c>
      <c r="H4152" s="5">
        <v>35.527539424494442</v>
      </c>
      <c r="I4152" s="5">
        <v>32.662349775172217</v>
      </c>
      <c r="J4152" s="5">
        <v>39.37181147839167</v>
      </c>
      <c r="K4152" s="5">
        <v>60</v>
      </c>
    </row>
    <row r="4153" spans="1:11" x14ac:dyDescent="0.25">
      <c r="A4153" s="2">
        <v>46270.416666666657</v>
      </c>
      <c r="B4153" t="str">
        <f t="shared" si="128"/>
        <v>2026-09</v>
      </c>
      <c r="C4153" s="3">
        <f t="shared" si="129"/>
        <v>10</v>
      </c>
      <c r="D4153" s="4">
        <v>26.87551899658056</v>
      </c>
      <c r="E4153" s="4">
        <v>28.618218146977771</v>
      </c>
      <c r="F4153" s="4">
        <v>29.170834274080558</v>
      </c>
      <c r="G4153" s="4">
        <v>22.6</v>
      </c>
      <c r="H4153" s="5">
        <v>35.336184151091658</v>
      </c>
      <c r="I4153" s="5">
        <v>33.333186421763891</v>
      </c>
      <c r="J4153" s="5">
        <v>39.506078731794453</v>
      </c>
      <c r="K4153" s="5">
        <v>54</v>
      </c>
    </row>
    <row r="4154" spans="1:11" x14ac:dyDescent="0.25">
      <c r="A4154" s="2">
        <v>46270.458333333343</v>
      </c>
      <c r="B4154" t="str">
        <f t="shared" si="128"/>
        <v>2026-09</v>
      </c>
      <c r="C4154" s="3">
        <f t="shared" si="129"/>
        <v>11</v>
      </c>
      <c r="D4154" s="4">
        <v>26.50550650753334</v>
      </c>
      <c r="E4154" s="4">
        <v>27.345158867319441</v>
      </c>
      <c r="F4154" s="4">
        <v>29.189377088222219</v>
      </c>
      <c r="G4154" s="4">
        <v>24.8</v>
      </c>
      <c r="H4154" s="5">
        <v>36.430600237811113</v>
      </c>
      <c r="I4154" s="5">
        <v>35.758407146958326</v>
      </c>
      <c r="J4154" s="5">
        <v>39.656589913213892</v>
      </c>
      <c r="K4154" s="5">
        <v>46</v>
      </c>
    </row>
    <row r="4155" spans="1:11" x14ac:dyDescent="0.25">
      <c r="A4155" s="2">
        <v>46270.5</v>
      </c>
      <c r="B4155" t="str">
        <f t="shared" si="128"/>
        <v>2026-09</v>
      </c>
      <c r="C4155" s="3">
        <f t="shared" si="129"/>
        <v>12</v>
      </c>
      <c r="D4155" s="4">
        <v>26.480175644974999</v>
      </c>
      <c r="E4155" s="4">
        <v>27.449825410038891</v>
      </c>
      <c r="F4155" s="4">
        <v>29.202417697502771</v>
      </c>
      <c r="G4155" s="4">
        <v>24.8</v>
      </c>
      <c r="H4155" s="5">
        <v>36.707909791741663</v>
      </c>
      <c r="I4155" s="5">
        <v>37.180422059452773</v>
      </c>
      <c r="J4155" s="5">
        <v>39.777255587527783</v>
      </c>
      <c r="K4155" s="5">
        <v>46</v>
      </c>
    </row>
    <row r="4156" spans="1:11" x14ac:dyDescent="0.25">
      <c r="A4156" s="2">
        <v>46270.541666666657</v>
      </c>
      <c r="B4156" t="str">
        <f t="shared" si="128"/>
        <v>2026-09</v>
      </c>
      <c r="C4156" s="3">
        <f t="shared" si="129"/>
        <v>13</v>
      </c>
      <c r="D4156" s="4">
        <v>26.634805493619439</v>
      </c>
      <c r="E4156" s="4">
        <v>27.56507007615</v>
      </c>
      <c r="F4156" s="4">
        <v>29.157125438086108</v>
      </c>
      <c r="G4156" s="4">
        <v>25.5</v>
      </c>
      <c r="H4156" s="5">
        <v>36.212691467197217</v>
      </c>
      <c r="I4156" s="5">
        <v>36.623763898294442</v>
      </c>
      <c r="J4156" s="5">
        <v>40.618018799569448</v>
      </c>
      <c r="K4156" s="5">
        <v>44</v>
      </c>
    </row>
    <row r="4157" spans="1:11" x14ac:dyDescent="0.25">
      <c r="A4157" s="2">
        <v>46270.583333333343</v>
      </c>
      <c r="B4157" t="str">
        <f t="shared" si="128"/>
        <v>2026-09</v>
      </c>
      <c r="C4157" s="3">
        <f t="shared" si="129"/>
        <v>14</v>
      </c>
      <c r="D4157" s="4">
        <v>26.937731836266661</v>
      </c>
      <c r="E4157" s="4">
        <v>27.76909127893056</v>
      </c>
      <c r="F4157" s="4">
        <v>29.301855551530551</v>
      </c>
      <c r="G4157" s="4">
        <v>26.2</v>
      </c>
      <c r="H4157" s="5">
        <v>35.605224843350001</v>
      </c>
      <c r="I4157" s="5">
        <v>36.79899942803889</v>
      </c>
      <c r="J4157" s="5">
        <v>40.52084788463889</v>
      </c>
      <c r="K4157" s="5">
        <v>42</v>
      </c>
    </row>
    <row r="4158" spans="1:11" x14ac:dyDescent="0.25">
      <c r="A4158" s="2">
        <v>46270.625</v>
      </c>
      <c r="B4158" t="str">
        <f t="shared" si="128"/>
        <v>2026-09</v>
      </c>
      <c r="C4158" s="3">
        <f t="shared" si="129"/>
        <v>15</v>
      </c>
      <c r="D4158" s="4">
        <v>27.186667176861111</v>
      </c>
      <c r="E4158" s="4">
        <v>28.037864821913889</v>
      </c>
      <c r="F4158" s="4">
        <v>29.288903575936111</v>
      </c>
      <c r="G4158" s="4">
        <v>28.6</v>
      </c>
      <c r="H4158" s="5">
        <v>36.861085887013893</v>
      </c>
      <c r="I4158" s="5">
        <v>38.030707517674998</v>
      </c>
      <c r="J4158" s="5">
        <v>42.403333981141657</v>
      </c>
      <c r="K4158" s="5">
        <v>35</v>
      </c>
    </row>
    <row r="4159" spans="1:11" x14ac:dyDescent="0.25">
      <c r="A4159" s="2">
        <v>46270.666666666657</v>
      </c>
      <c r="B4159" t="str">
        <f t="shared" si="128"/>
        <v>2026-09</v>
      </c>
      <c r="C4159" s="3">
        <f t="shared" si="129"/>
        <v>16</v>
      </c>
      <c r="D4159" s="4">
        <v>27.349950158702779</v>
      </c>
      <c r="E4159" s="4">
        <v>28.164849695141669</v>
      </c>
      <c r="F4159" s="4">
        <v>29.19501123624444</v>
      </c>
      <c r="G4159" s="4">
        <v>27.6</v>
      </c>
      <c r="H4159" s="5">
        <v>36.706790498755559</v>
      </c>
      <c r="I4159" s="5">
        <v>37.16186300313889</v>
      </c>
      <c r="J4159" s="5">
        <v>43.327583662638887</v>
      </c>
      <c r="K4159" s="5">
        <v>39</v>
      </c>
    </row>
    <row r="4160" spans="1:11" x14ac:dyDescent="0.25">
      <c r="A4160" s="2">
        <v>46270.708333333343</v>
      </c>
      <c r="B4160" t="str">
        <f t="shared" si="128"/>
        <v>2026-09</v>
      </c>
      <c r="C4160" s="3">
        <f t="shared" si="129"/>
        <v>17</v>
      </c>
      <c r="D4160" s="4">
        <v>27.410102025627779</v>
      </c>
      <c r="E4160" s="4">
        <v>28.329690137663889</v>
      </c>
      <c r="F4160" s="4">
        <v>29.07322545915833</v>
      </c>
      <c r="G4160" s="4">
        <v>26.7</v>
      </c>
      <c r="H4160" s="5">
        <v>37.928455639130561</v>
      </c>
      <c r="I4160" s="5">
        <v>39.07748429076667</v>
      </c>
      <c r="J4160" s="5">
        <v>46.946013559413892</v>
      </c>
      <c r="K4160" s="5">
        <v>42</v>
      </c>
    </row>
    <row r="4161" spans="1:11" x14ac:dyDescent="0.25">
      <c r="A4161" s="2">
        <v>46270.75</v>
      </c>
      <c r="B4161" t="str">
        <f t="shared" si="128"/>
        <v>2026-09</v>
      </c>
      <c r="C4161" s="3">
        <f t="shared" si="129"/>
        <v>18</v>
      </c>
      <c r="D4161" s="4">
        <v>27.29430737440833</v>
      </c>
      <c r="E4161" s="4">
        <v>28.203837229000001</v>
      </c>
      <c r="F4161" s="4">
        <v>28.88755097380556</v>
      </c>
      <c r="G4161" s="4">
        <v>25.3</v>
      </c>
      <c r="H4161" s="5">
        <v>38.486001137458338</v>
      </c>
      <c r="I4161" s="5">
        <v>41.642265664444452</v>
      </c>
      <c r="J4161" s="5">
        <v>48.866859623900012</v>
      </c>
      <c r="K4161" s="5">
        <v>51</v>
      </c>
    </row>
    <row r="4162" spans="1:11" x14ac:dyDescent="0.25">
      <c r="A4162" s="2">
        <v>46270.791666666657</v>
      </c>
      <c r="B4162" t="str">
        <f t="shared" ref="B4162:B4225" si="130">TEXT(A4162,"yyyy-mm")</f>
        <v>2026-09</v>
      </c>
      <c r="C4162" s="3">
        <f t="shared" ref="C4162:C4225" si="131">HOUR(A4162)</f>
        <v>19</v>
      </c>
      <c r="D4162" s="4">
        <v>26.866724513116669</v>
      </c>
      <c r="E4162" s="4">
        <v>27.573341051313889</v>
      </c>
      <c r="F4162" s="4">
        <v>29.15364722407222</v>
      </c>
      <c r="G4162" s="4">
        <v>24.7</v>
      </c>
      <c r="H4162" s="5">
        <v>41.584697182905551</v>
      </c>
      <c r="I4162" s="5">
        <v>42.936315500288892</v>
      </c>
      <c r="J4162" s="5">
        <v>45.413045222127778</v>
      </c>
      <c r="K4162" s="5">
        <v>52</v>
      </c>
    </row>
    <row r="4163" spans="1:11" x14ac:dyDescent="0.25">
      <c r="A4163" s="2">
        <v>46270.833333333343</v>
      </c>
      <c r="B4163" t="str">
        <f t="shared" si="130"/>
        <v>2026-09</v>
      </c>
      <c r="C4163" s="3">
        <f t="shared" si="131"/>
        <v>20</v>
      </c>
      <c r="D4163" s="4">
        <v>26.08757165486389</v>
      </c>
      <c r="E4163" s="4">
        <v>27.48573335695556</v>
      </c>
      <c r="F4163" s="4">
        <v>29.250882546147221</v>
      </c>
      <c r="G4163" s="4">
        <v>21.9</v>
      </c>
      <c r="H4163" s="5">
        <v>51.374921736144451</v>
      </c>
      <c r="I4163" s="5">
        <v>49.748675029386114</v>
      </c>
      <c r="J4163" s="5">
        <v>46.290845236447218</v>
      </c>
      <c r="K4163" s="5">
        <v>67</v>
      </c>
    </row>
    <row r="4164" spans="1:11" x14ac:dyDescent="0.25">
      <c r="A4164" s="2">
        <v>46270.875</v>
      </c>
      <c r="B4164" t="str">
        <f t="shared" si="130"/>
        <v>2026-09</v>
      </c>
      <c r="C4164" s="3">
        <f t="shared" si="131"/>
        <v>21</v>
      </c>
      <c r="D4164" s="4">
        <v>25.736045471827779</v>
      </c>
      <c r="E4164" s="4">
        <v>27.805376365397219</v>
      </c>
      <c r="F4164" s="4">
        <v>28.77767862453889</v>
      </c>
      <c r="G4164" s="4">
        <v>19.8</v>
      </c>
      <c r="H4164" s="5">
        <v>55.371407360027781</v>
      </c>
      <c r="I4164" s="5">
        <v>51.022380978991663</v>
      </c>
      <c r="J4164" s="5">
        <v>54.561224029041682</v>
      </c>
      <c r="K4164" s="5">
        <v>87</v>
      </c>
    </row>
    <row r="4165" spans="1:11" x14ac:dyDescent="0.25">
      <c r="A4165" s="2">
        <v>46270.916666666657</v>
      </c>
      <c r="B4165" t="str">
        <f t="shared" si="130"/>
        <v>2026-09</v>
      </c>
      <c r="C4165" s="3">
        <f t="shared" si="131"/>
        <v>22</v>
      </c>
      <c r="D4165" s="4">
        <v>25.304663618611109</v>
      </c>
      <c r="E4165" s="4">
        <v>27.84631023765278</v>
      </c>
      <c r="F4165" s="4">
        <v>28.95488844620278</v>
      </c>
      <c r="G4165" s="4">
        <v>18.7</v>
      </c>
      <c r="H4165" s="5">
        <v>57.63570712895833</v>
      </c>
      <c r="I4165" s="5">
        <v>52.051725739122219</v>
      </c>
      <c r="J4165" s="5">
        <v>51.28945250973333</v>
      </c>
      <c r="K4165" s="5">
        <v>94</v>
      </c>
    </row>
    <row r="4166" spans="1:11" x14ac:dyDescent="0.25">
      <c r="A4166" s="2">
        <v>46270.958333333343</v>
      </c>
      <c r="B4166" t="str">
        <f t="shared" si="130"/>
        <v>2026-09</v>
      </c>
      <c r="C4166" s="3">
        <f t="shared" si="131"/>
        <v>23</v>
      </c>
      <c r="D4166" s="4">
        <v>24.92005108424722</v>
      </c>
      <c r="E4166" s="4">
        <v>28.155872079091669</v>
      </c>
      <c r="F4166" s="4">
        <v>29.145287464852782</v>
      </c>
      <c r="G4166" s="4">
        <v>18.5</v>
      </c>
      <c r="H4166" s="5">
        <v>56.850207307041657</v>
      </c>
      <c r="I4166" s="5">
        <v>49.601252657672227</v>
      </c>
      <c r="J4166" s="5">
        <v>50.528193411258343</v>
      </c>
      <c r="K4166" s="5">
        <v>94</v>
      </c>
    </row>
    <row r="4167" spans="1:11" x14ac:dyDescent="0.25">
      <c r="A4167" s="2">
        <v>46271</v>
      </c>
      <c r="B4167" t="str">
        <f t="shared" si="130"/>
        <v>2026-09</v>
      </c>
      <c r="C4167" s="3">
        <f t="shared" si="131"/>
        <v>0</v>
      </c>
      <c r="D4167" s="4">
        <v>24.807912865661109</v>
      </c>
      <c r="E4167" s="4">
        <v>27.99317592115834</v>
      </c>
      <c r="F4167" s="4">
        <v>29.30791090101112</v>
      </c>
      <c r="G4167" s="4">
        <v>18.2</v>
      </c>
      <c r="H4167" s="5">
        <v>53.51070109126389</v>
      </c>
      <c r="I4167" s="5">
        <v>47.459671480819438</v>
      </c>
      <c r="J4167" s="5">
        <v>48.777706510358342</v>
      </c>
      <c r="K4167" s="5">
        <v>95</v>
      </c>
    </row>
    <row r="4168" spans="1:11" x14ac:dyDescent="0.25">
      <c r="A4168" s="2">
        <v>46271.041666666657</v>
      </c>
      <c r="B4168" t="str">
        <f t="shared" si="130"/>
        <v>2026-09</v>
      </c>
      <c r="C4168" s="3">
        <f t="shared" si="131"/>
        <v>1</v>
      </c>
      <c r="D4168" s="4">
        <v>24.72447645155556</v>
      </c>
      <c r="E4168" s="4">
        <v>27.583792861969449</v>
      </c>
      <c r="F4168" s="4">
        <v>29.333374135974999</v>
      </c>
      <c r="G4168" s="4">
        <v>17.899999999999999</v>
      </c>
      <c r="H4168" s="5">
        <v>51.722482554238887</v>
      </c>
      <c r="I4168" s="5">
        <v>46.286414038855547</v>
      </c>
      <c r="J4168" s="5">
        <v>48.667392681555562</v>
      </c>
      <c r="K4168" s="5">
        <v>94</v>
      </c>
    </row>
    <row r="4169" spans="1:11" x14ac:dyDescent="0.25">
      <c r="A4169" s="2">
        <v>46271.083333333343</v>
      </c>
      <c r="B4169" t="str">
        <f t="shared" si="130"/>
        <v>2026-09</v>
      </c>
      <c r="C4169" s="3">
        <f t="shared" si="131"/>
        <v>2</v>
      </c>
      <c r="D4169" s="4">
        <v>24.26265937153056</v>
      </c>
      <c r="E4169" s="4">
        <v>27.045479007074999</v>
      </c>
      <c r="F4169" s="4">
        <v>29.377002230216661</v>
      </c>
      <c r="G4169" s="4">
        <v>17.2</v>
      </c>
      <c r="H4169" s="5">
        <v>51.852636629988893</v>
      </c>
      <c r="I4169" s="5">
        <v>46.362391008811109</v>
      </c>
      <c r="J4169" s="5">
        <v>47.869374521719443</v>
      </c>
      <c r="K4169" s="5">
        <v>91</v>
      </c>
    </row>
    <row r="4170" spans="1:11" x14ac:dyDescent="0.25">
      <c r="A4170" s="2">
        <v>46271.125</v>
      </c>
      <c r="B4170" t="str">
        <f t="shared" si="130"/>
        <v>2026-09</v>
      </c>
      <c r="C4170" s="3">
        <f t="shared" si="131"/>
        <v>3</v>
      </c>
      <c r="D4170" s="4">
        <v>24.025744845736121</v>
      </c>
      <c r="E4170" s="4">
        <v>26.60644034496389</v>
      </c>
      <c r="F4170" s="4">
        <v>29.391568245730561</v>
      </c>
      <c r="G4170" s="4">
        <v>17</v>
      </c>
      <c r="H4170" s="5">
        <v>51.330792063927781</v>
      </c>
      <c r="I4170" s="5">
        <v>46.40649120286389</v>
      </c>
      <c r="J4170" s="5">
        <v>47.072851559494453</v>
      </c>
      <c r="K4170" s="5">
        <v>87</v>
      </c>
    </row>
    <row r="4171" spans="1:11" x14ac:dyDescent="0.25">
      <c r="A4171" s="2">
        <v>46271.166666666657</v>
      </c>
      <c r="B4171" t="str">
        <f t="shared" si="130"/>
        <v>2026-09</v>
      </c>
      <c r="C4171" s="3">
        <f t="shared" si="131"/>
        <v>4</v>
      </c>
      <c r="D4171" s="4">
        <v>23.618792732211109</v>
      </c>
      <c r="E4171" s="4">
        <v>26.397630239074999</v>
      </c>
      <c r="F4171" s="4">
        <v>29.349996497808331</v>
      </c>
      <c r="G4171" s="4">
        <v>16.2</v>
      </c>
      <c r="H4171" s="5">
        <v>50.441161082197233</v>
      </c>
      <c r="I4171" s="5">
        <v>45.324988705447232</v>
      </c>
      <c r="J4171" s="5">
        <v>46.464258890375</v>
      </c>
      <c r="K4171" s="5">
        <v>84</v>
      </c>
    </row>
    <row r="4172" spans="1:11" x14ac:dyDescent="0.25">
      <c r="A4172" s="2">
        <v>46271.208333333343</v>
      </c>
      <c r="B4172" t="str">
        <f t="shared" si="130"/>
        <v>2026-09</v>
      </c>
      <c r="C4172" s="3">
        <f t="shared" si="131"/>
        <v>5</v>
      </c>
      <c r="D4172" s="4">
        <v>23.403951678647221</v>
      </c>
      <c r="E4172" s="4">
        <v>26.215091661236109</v>
      </c>
      <c r="F4172" s="4">
        <v>29.30134436714167</v>
      </c>
      <c r="G4172" s="4">
        <v>15.3</v>
      </c>
      <c r="H4172" s="5">
        <v>48.486803354999999</v>
      </c>
      <c r="I4172" s="5">
        <v>43.493738964922223</v>
      </c>
      <c r="J4172" s="5">
        <v>45.841065091527781</v>
      </c>
      <c r="K4172" s="5">
        <v>82</v>
      </c>
    </row>
    <row r="4173" spans="1:11" x14ac:dyDescent="0.25">
      <c r="A4173" s="2">
        <v>46271.25</v>
      </c>
      <c r="B4173" t="str">
        <f t="shared" si="130"/>
        <v>2026-09</v>
      </c>
      <c r="C4173" s="3">
        <f t="shared" si="131"/>
        <v>6</v>
      </c>
      <c r="D4173" s="4">
        <v>23.59806228285278</v>
      </c>
      <c r="E4173" s="4">
        <v>26.13838918385278</v>
      </c>
      <c r="F4173" s="4">
        <v>29.242150023044449</v>
      </c>
      <c r="G4173" s="4">
        <v>14.6</v>
      </c>
      <c r="H4173" s="5">
        <v>47.640204082102777</v>
      </c>
      <c r="I4173" s="5">
        <v>42.708731752527783</v>
      </c>
      <c r="J4173" s="5">
        <v>45.325250930205563</v>
      </c>
      <c r="K4173" s="5">
        <v>81</v>
      </c>
    </row>
    <row r="4174" spans="1:11" x14ac:dyDescent="0.25">
      <c r="A4174" s="2">
        <v>46271.291666666657</v>
      </c>
      <c r="B4174" t="str">
        <f t="shared" si="130"/>
        <v>2026-09</v>
      </c>
      <c r="C4174" s="3">
        <f t="shared" si="131"/>
        <v>7</v>
      </c>
      <c r="D4174" s="4">
        <v>24.454858512772219</v>
      </c>
      <c r="E4174" s="4">
        <v>26.733756430450001</v>
      </c>
      <c r="F4174" s="4">
        <v>29.19876259904445</v>
      </c>
      <c r="G4174" s="4">
        <v>14.8</v>
      </c>
      <c r="H4174" s="5">
        <v>44.413625311991673</v>
      </c>
      <c r="I4174" s="5">
        <v>41.075701476238891</v>
      </c>
      <c r="J4174" s="5">
        <v>45.025415757388892</v>
      </c>
      <c r="K4174" s="5">
        <v>77</v>
      </c>
    </row>
    <row r="4175" spans="1:11" x14ac:dyDescent="0.25">
      <c r="A4175" s="2">
        <v>46271.333333333343</v>
      </c>
      <c r="B4175" t="str">
        <f t="shared" si="130"/>
        <v>2026-09</v>
      </c>
      <c r="C4175" s="3">
        <f t="shared" si="131"/>
        <v>8</v>
      </c>
      <c r="D4175" s="4">
        <v>25.583879056163891</v>
      </c>
      <c r="E4175" s="4">
        <v>27.340645435599999</v>
      </c>
      <c r="F4175" s="4">
        <v>29.186346617550001</v>
      </c>
      <c r="G4175" s="4">
        <v>16.2</v>
      </c>
      <c r="H4175" s="5">
        <v>40.416690107319447</v>
      </c>
      <c r="I4175" s="5">
        <v>39.60365104878889</v>
      </c>
      <c r="J4175" s="5">
        <v>44.73834690253333</v>
      </c>
      <c r="K4175" s="5">
        <v>71</v>
      </c>
    </row>
    <row r="4176" spans="1:11" x14ac:dyDescent="0.25">
      <c r="A4176" s="2">
        <v>46271.375</v>
      </c>
      <c r="B4176" t="str">
        <f t="shared" si="130"/>
        <v>2026-09</v>
      </c>
      <c r="C4176" s="3">
        <f t="shared" si="131"/>
        <v>9</v>
      </c>
      <c r="D4176" s="4">
        <v>26.437218413322221</v>
      </c>
      <c r="E4176" s="4">
        <v>28.057723138208331</v>
      </c>
      <c r="F4176" s="4">
        <v>29.19497339262778</v>
      </c>
      <c r="G4176" s="4">
        <v>17.399999999999999</v>
      </c>
      <c r="H4176" s="5">
        <v>37.318379525733327</v>
      </c>
      <c r="I4176" s="5">
        <v>37.364456148902782</v>
      </c>
      <c r="J4176" s="5">
        <v>44.51458646959167</v>
      </c>
      <c r="K4176" s="5">
        <v>68</v>
      </c>
    </row>
    <row r="4177" spans="1:11" x14ac:dyDescent="0.25">
      <c r="A4177" s="2">
        <v>46271.416666666657</v>
      </c>
      <c r="B4177" t="str">
        <f t="shared" si="130"/>
        <v>2026-09</v>
      </c>
      <c r="C4177" s="3">
        <f t="shared" si="131"/>
        <v>10</v>
      </c>
      <c r="D4177" s="4">
        <v>26.84454101020556</v>
      </c>
      <c r="E4177" s="4">
        <v>28.457838383475</v>
      </c>
      <c r="F4177" s="4">
        <v>29.217391143775</v>
      </c>
      <c r="G4177" s="4">
        <v>18.600000000000001</v>
      </c>
      <c r="H4177" s="5">
        <v>34.21265199829444</v>
      </c>
      <c r="I4177" s="5">
        <v>34.984609737530548</v>
      </c>
      <c r="J4177" s="5">
        <v>44.266897969463891</v>
      </c>
      <c r="K4177" s="5">
        <v>59</v>
      </c>
    </row>
    <row r="4178" spans="1:11" x14ac:dyDescent="0.25">
      <c r="A4178" s="2">
        <v>46271.458333333343</v>
      </c>
      <c r="B4178" t="str">
        <f t="shared" si="130"/>
        <v>2026-09</v>
      </c>
      <c r="C4178" s="3">
        <f t="shared" si="131"/>
        <v>11</v>
      </c>
      <c r="D4178" s="4">
        <v>26.852246571816661</v>
      </c>
      <c r="E4178" s="4">
        <v>28.290465509616659</v>
      </c>
      <c r="F4178" s="4">
        <v>29.233638806938892</v>
      </c>
      <c r="G4178" s="4">
        <v>19.600000000000001</v>
      </c>
      <c r="H4178" s="5">
        <v>32.662837209000003</v>
      </c>
      <c r="I4178" s="5">
        <v>34.564186263908333</v>
      </c>
      <c r="J4178" s="5">
        <v>43.957036990213894</v>
      </c>
      <c r="K4178" s="5">
        <v>51</v>
      </c>
    </row>
    <row r="4179" spans="1:11" x14ac:dyDescent="0.25">
      <c r="A4179" s="2">
        <v>46271.5</v>
      </c>
      <c r="B4179" t="str">
        <f t="shared" si="130"/>
        <v>2026-09</v>
      </c>
      <c r="C4179" s="3">
        <f t="shared" si="131"/>
        <v>12</v>
      </c>
      <c r="D4179" s="4">
        <v>26.43206576386666</v>
      </c>
      <c r="E4179" s="4">
        <v>27.851518075794441</v>
      </c>
      <c r="F4179" s="4">
        <v>29.24263884576111</v>
      </c>
      <c r="G4179" s="4">
        <v>20.3</v>
      </c>
      <c r="H4179" s="5">
        <v>31.475585469983329</v>
      </c>
      <c r="I4179" s="5">
        <v>33.017778562750003</v>
      </c>
      <c r="J4179" s="5">
        <v>43.510245868574998</v>
      </c>
      <c r="K4179" s="5">
        <v>45</v>
      </c>
    </row>
    <row r="4180" spans="1:11" x14ac:dyDescent="0.25">
      <c r="A4180" s="2">
        <v>46271.541666666657</v>
      </c>
      <c r="B4180" t="str">
        <f t="shared" si="130"/>
        <v>2026-09</v>
      </c>
      <c r="C4180" s="3">
        <f t="shared" si="131"/>
        <v>13</v>
      </c>
      <c r="D4180" s="4">
        <v>26.19824514028333</v>
      </c>
      <c r="E4180" s="4">
        <v>27.753938986369441</v>
      </c>
      <c r="F4180" s="4">
        <v>29.215123419916669</v>
      </c>
      <c r="G4180" s="4">
        <v>20.7</v>
      </c>
      <c r="H4180" s="5">
        <v>31.151743530541669</v>
      </c>
      <c r="I4180" s="5">
        <v>31.815295591508331</v>
      </c>
      <c r="J4180" s="5">
        <v>42.530967874961107</v>
      </c>
      <c r="K4180" s="5">
        <v>42</v>
      </c>
    </row>
    <row r="4181" spans="1:11" x14ac:dyDescent="0.25">
      <c r="A4181" s="2">
        <v>46271.583333333343</v>
      </c>
      <c r="B4181" t="str">
        <f t="shared" si="130"/>
        <v>2026-09</v>
      </c>
      <c r="C4181" s="3">
        <f t="shared" si="131"/>
        <v>14</v>
      </c>
      <c r="D4181" s="4">
        <v>25.936321604208331</v>
      </c>
      <c r="E4181" s="4">
        <v>27.83030109105556</v>
      </c>
      <c r="F4181" s="4">
        <v>28.769381841738891</v>
      </c>
      <c r="G4181" s="4">
        <v>21.2</v>
      </c>
      <c r="H4181" s="5">
        <v>32.230785233208337</v>
      </c>
      <c r="I4181" s="5">
        <v>33.210252496350002</v>
      </c>
      <c r="J4181" s="5">
        <v>40.247672449838888</v>
      </c>
      <c r="K4181" s="5">
        <v>44</v>
      </c>
    </row>
    <row r="4182" spans="1:11" x14ac:dyDescent="0.25">
      <c r="A4182" s="2">
        <v>46271.625</v>
      </c>
      <c r="B4182" t="str">
        <f t="shared" si="130"/>
        <v>2026-09</v>
      </c>
      <c r="C4182" s="3">
        <f t="shared" si="131"/>
        <v>15</v>
      </c>
      <c r="D4182" s="4">
        <v>25.588408199869441</v>
      </c>
      <c r="E4182" s="4">
        <v>27.417838048349999</v>
      </c>
      <c r="F4182" s="4">
        <v>28.950481743502781</v>
      </c>
      <c r="G4182" s="4">
        <v>20.9</v>
      </c>
      <c r="H4182" s="5">
        <v>36.285398280608327</v>
      </c>
      <c r="I4182" s="5">
        <v>34.470937250283328</v>
      </c>
      <c r="J4182" s="5">
        <v>41.569812588880559</v>
      </c>
      <c r="K4182" s="5">
        <v>43</v>
      </c>
    </row>
    <row r="4183" spans="1:11" x14ac:dyDescent="0.25">
      <c r="A4183" s="2">
        <v>46271.666666666657</v>
      </c>
      <c r="B4183" t="str">
        <f t="shared" si="130"/>
        <v>2026-09</v>
      </c>
      <c r="C4183" s="3">
        <f t="shared" si="131"/>
        <v>16</v>
      </c>
      <c r="D4183" s="4">
        <v>25.315981713616669</v>
      </c>
      <c r="E4183" s="4">
        <v>27.286107338655551</v>
      </c>
      <c r="F4183" s="4">
        <v>29.061018006352779</v>
      </c>
      <c r="G4183" s="4">
        <v>17.7</v>
      </c>
      <c r="H4183" s="5">
        <v>35.776460613386107</v>
      </c>
      <c r="I4183" s="5">
        <v>34.608401570727779</v>
      </c>
      <c r="J4183" s="5">
        <v>41.797975513902777</v>
      </c>
      <c r="K4183" s="5">
        <v>66</v>
      </c>
    </row>
    <row r="4184" spans="1:11" x14ac:dyDescent="0.25">
      <c r="A4184" s="2">
        <v>46271.708333333343</v>
      </c>
      <c r="B4184" t="str">
        <f t="shared" si="130"/>
        <v>2026-09</v>
      </c>
      <c r="C4184" s="3">
        <f t="shared" si="131"/>
        <v>17</v>
      </c>
      <c r="D4184" s="4">
        <v>24.921049182705559</v>
      </c>
      <c r="E4184" s="4">
        <v>27.505652723238889</v>
      </c>
      <c r="F4184" s="4">
        <v>28.687108297352779</v>
      </c>
      <c r="G4184" s="4">
        <v>18</v>
      </c>
      <c r="H4184" s="5">
        <v>37.209165278288893</v>
      </c>
      <c r="I4184" s="5">
        <v>35.902267455547218</v>
      </c>
      <c r="J4184" s="5">
        <v>41.262783472966667</v>
      </c>
      <c r="K4184" s="5">
        <v>60</v>
      </c>
    </row>
    <row r="4185" spans="1:11" x14ac:dyDescent="0.25">
      <c r="A4185" s="2">
        <v>46271.75</v>
      </c>
      <c r="B4185" t="str">
        <f t="shared" si="130"/>
        <v>2026-09</v>
      </c>
      <c r="C4185" s="3">
        <f t="shared" si="131"/>
        <v>18</v>
      </c>
      <c r="D4185" s="4">
        <v>24.41974496203056</v>
      </c>
      <c r="E4185" s="4">
        <v>27.376197699616672</v>
      </c>
      <c r="F4185" s="4">
        <v>27.878447958058331</v>
      </c>
      <c r="G4185" s="4">
        <v>16.3</v>
      </c>
      <c r="H4185" s="5">
        <v>39.862479989355563</v>
      </c>
      <c r="I4185" s="5">
        <v>37.465697808949997</v>
      </c>
      <c r="J4185" s="5">
        <v>42.900223734800001</v>
      </c>
      <c r="K4185" s="5">
        <v>73</v>
      </c>
    </row>
    <row r="4186" spans="1:11" x14ac:dyDescent="0.25">
      <c r="A4186" s="2">
        <v>46271.791666666657</v>
      </c>
      <c r="B4186" t="str">
        <f t="shared" si="130"/>
        <v>2026-09</v>
      </c>
      <c r="C4186" s="3">
        <f t="shared" si="131"/>
        <v>19</v>
      </c>
      <c r="D4186" s="4">
        <v>24.122798361055551</v>
      </c>
      <c r="E4186" s="4">
        <v>26.844115833561119</v>
      </c>
      <c r="F4186" s="4">
        <v>28.237179473563891</v>
      </c>
      <c r="G4186" s="4">
        <v>15.4</v>
      </c>
      <c r="H4186" s="5">
        <v>41.529266973027781</v>
      </c>
      <c r="I4186" s="5">
        <v>38.700651617883331</v>
      </c>
      <c r="J4186" s="5">
        <v>42.865606134844448</v>
      </c>
      <c r="K4186" s="5">
        <v>80</v>
      </c>
    </row>
    <row r="4187" spans="1:11" x14ac:dyDescent="0.25">
      <c r="A4187" s="2">
        <v>46271.833333333343</v>
      </c>
      <c r="B4187" t="str">
        <f t="shared" si="130"/>
        <v>2026-09</v>
      </c>
      <c r="C4187" s="3">
        <f t="shared" si="131"/>
        <v>20</v>
      </c>
      <c r="D4187" s="4">
        <v>23.702345753811109</v>
      </c>
      <c r="E4187" s="4">
        <v>26.969290696052781</v>
      </c>
      <c r="F4187" s="4">
        <v>28.367078123327779</v>
      </c>
      <c r="G4187" s="4">
        <v>14.4</v>
      </c>
      <c r="H4187" s="5">
        <v>47.228747919897224</v>
      </c>
      <c r="I4187" s="5">
        <v>49.293868652005557</v>
      </c>
      <c r="J4187" s="5">
        <v>47.415792658219438</v>
      </c>
      <c r="K4187" s="5">
        <v>86</v>
      </c>
    </row>
    <row r="4188" spans="1:11" x14ac:dyDescent="0.25">
      <c r="A4188" s="2">
        <v>46271.875</v>
      </c>
      <c r="B4188" t="str">
        <f t="shared" si="130"/>
        <v>2026-09</v>
      </c>
      <c r="C4188" s="3">
        <f t="shared" si="131"/>
        <v>21</v>
      </c>
      <c r="D4188" s="4">
        <v>23.57106105082778</v>
      </c>
      <c r="E4188" s="4">
        <v>27.113064906122229</v>
      </c>
      <c r="F4188" s="4">
        <v>27.445574568166659</v>
      </c>
      <c r="G4188" s="4">
        <v>14.1</v>
      </c>
      <c r="H4188" s="5">
        <v>43.576914937580547</v>
      </c>
      <c r="I4188" s="5">
        <v>39.976737781833329</v>
      </c>
      <c r="J4188" s="5">
        <v>45.578029005266671</v>
      </c>
      <c r="K4188" s="5">
        <v>85</v>
      </c>
    </row>
    <row r="4189" spans="1:11" x14ac:dyDescent="0.25">
      <c r="A4189" s="2">
        <v>46271.916666666657</v>
      </c>
      <c r="B4189" t="str">
        <f t="shared" si="130"/>
        <v>2026-09</v>
      </c>
      <c r="C4189" s="3">
        <f t="shared" si="131"/>
        <v>22</v>
      </c>
      <c r="D4189" s="4">
        <v>23.258415596369449</v>
      </c>
      <c r="E4189" s="4">
        <v>27.122107332555551</v>
      </c>
      <c r="F4189" s="4">
        <v>26.934510752213889</v>
      </c>
      <c r="G4189" s="4">
        <v>13.4</v>
      </c>
      <c r="H4189" s="5">
        <v>44.47818378585</v>
      </c>
      <c r="I4189" s="5">
        <v>40.948748033013892</v>
      </c>
      <c r="J4189" s="5">
        <v>45.834284540838887</v>
      </c>
      <c r="K4189" s="5">
        <v>88</v>
      </c>
    </row>
    <row r="4190" spans="1:11" x14ac:dyDescent="0.25">
      <c r="A4190" s="2">
        <v>46271.958333333343</v>
      </c>
      <c r="B4190" t="str">
        <f t="shared" si="130"/>
        <v>2026-09</v>
      </c>
      <c r="C4190" s="3">
        <f t="shared" si="131"/>
        <v>23</v>
      </c>
      <c r="D4190" s="4">
        <v>23.265499467458341</v>
      </c>
      <c r="E4190" s="4">
        <v>27.206704858444439</v>
      </c>
      <c r="F4190" s="4">
        <v>26.730780470319441</v>
      </c>
      <c r="G4190" s="4">
        <v>12.8</v>
      </c>
      <c r="H4190" s="5">
        <v>43.59201022175278</v>
      </c>
      <c r="I4190" s="5">
        <v>39.080707009919443</v>
      </c>
      <c r="J4190" s="5">
        <v>45.989205022252783</v>
      </c>
      <c r="K4190" s="5">
        <v>93</v>
      </c>
    </row>
    <row r="4191" spans="1:11" x14ac:dyDescent="0.25">
      <c r="A4191" s="2">
        <v>46272</v>
      </c>
      <c r="B4191" t="str">
        <f t="shared" si="130"/>
        <v>2026-09</v>
      </c>
      <c r="C4191" s="3">
        <f t="shared" si="131"/>
        <v>0</v>
      </c>
      <c r="D4191" s="4">
        <v>23.18232058678889</v>
      </c>
      <c r="E4191" s="4">
        <v>27.09548206257778</v>
      </c>
      <c r="F4191" s="4">
        <v>26.583389862469449</v>
      </c>
      <c r="G4191" s="4">
        <v>12.1</v>
      </c>
      <c r="H4191" s="5">
        <v>43.939308436041657</v>
      </c>
      <c r="I4191" s="5">
        <v>38.169381050247218</v>
      </c>
      <c r="J4191" s="5">
        <v>45.994183744608343</v>
      </c>
      <c r="K4191" s="5">
        <v>94</v>
      </c>
    </row>
    <row r="4192" spans="1:11" x14ac:dyDescent="0.25">
      <c r="A4192" s="2">
        <v>46272.041666666657</v>
      </c>
      <c r="B4192" t="str">
        <f t="shared" si="130"/>
        <v>2026-09</v>
      </c>
      <c r="C4192" s="3">
        <f t="shared" si="131"/>
        <v>1</v>
      </c>
      <c r="D4192" s="4">
        <v>22.622989152300001</v>
      </c>
      <c r="E4192" s="4">
        <v>26.483981124105551</v>
      </c>
      <c r="F4192" s="4">
        <v>26.53992186885278</v>
      </c>
      <c r="G4192" s="4">
        <v>12.2</v>
      </c>
      <c r="H4192" s="5">
        <v>44.836702171666673</v>
      </c>
      <c r="I4192" s="5">
        <v>39.249437152505557</v>
      </c>
      <c r="J4192" s="5">
        <v>45.551354955150003</v>
      </c>
      <c r="K4192" s="5">
        <v>93</v>
      </c>
    </row>
    <row r="4193" spans="1:11" x14ac:dyDescent="0.25">
      <c r="A4193" s="2">
        <v>46272.083333333343</v>
      </c>
      <c r="B4193" t="str">
        <f t="shared" si="130"/>
        <v>2026-09</v>
      </c>
      <c r="C4193" s="3">
        <f t="shared" si="131"/>
        <v>2</v>
      </c>
      <c r="D4193" s="4">
        <v>22.042769507627771</v>
      </c>
      <c r="E4193" s="4">
        <v>25.709262588138891</v>
      </c>
      <c r="F4193" s="4">
        <v>27.293641051461108</v>
      </c>
      <c r="G4193" s="4">
        <v>12.1</v>
      </c>
      <c r="H4193" s="5">
        <v>45.16700497576111</v>
      </c>
      <c r="I4193" s="5">
        <v>38.619963361611113</v>
      </c>
      <c r="J4193" s="5">
        <v>44.622483207480563</v>
      </c>
      <c r="K4193" s="5">
        <v>93</v>
      </c>
    </row>
    <row r="4194" spans="1:11" x14ac:dyDescent="0.25">
      <c r="A4194" s="2">
        <v>46272.125</v>
      </c>
      <c r="B4194" t="str">
        <f t="shared" si="130"/>
        <v>2026-09</v>
      </c>
      <c r="C4194" s="3">
        <f t="shared" si="131"/>
        <v>3</v>
      </c>
      <c r="D4194" s="4">
        <v>21.64181660752778</v>
      </c>
      <c r="E4194" s="4">
        <v>25.358946645450001</v>
      </c>
      <c r="F4194" s="4">
        <v>27.74256342234445</v>
      </c>
      <c r="G4194" s="4">
        <v>11.9</v>
      </c>
      <c r="H4194" s="5">
        <v>45.461129438769447</v>
      </c>
      <c r="I4194" s="5">
        <v>38.227663048594451</v>
      </c>
      <c r="J4194" s="5">
        <v>43.87858175821389</v>
      </c>
      <c r="K4194" s="5">
        <v>88</v>
      </c>
    </row>
    <row r="4195" spans="1:11" x14ac:dyDescent="0.25">
      <c r="A4195" s="2">
        <v>46272.166666666657</v>
      </c>
      <c r="B4195" t="str">
        <f t="shared" si="130"/>
        <v>2026-09</v>
      </c>
      <c r="C4195" s="3">
        <f t="shared" si="131"/>
        <v>4</v>
      </c>
      <c r="D4195" s="4">
        <v>21.191701920961108</v>
      </c>
      <c r="E4195" s="4">
        <v>25.06174812554444</v>
      </c>
      <c r="F4195" s="4">
        <v>27.97856875931944</v>
      </c>
      <c r="G4195" s="4">
        <v>11.7</v>
      </c>
      <c r="H4195" s="5">
        <v>46.516502816100001</v>
      </c>
      <c r="I4195" s="5">
        <v>38.473639843519443</v>
      </c>
      <c r="J4195" s="5">
        <v>43.399011596438889</v>
      </c>
      <c r="K4195" s="5">
        <v>88</v>
      </c>
    </row>
    <row r="4196" spans="1:11" x14ac:dyDescent="0.25">
      <c r="A4196" s="2">
        <v>46272.208333333343</v>
      </c>
      <c r="B4196" t="str">
        <f t="shared" si="130"/>
        <v>2026-09</v>
      </c>
      <c r="C4196" s="3">
        <f t="shared" si="131"/>
        <v>5</v>
      </c>
      <c r="D4196" s="4">
        <v>21.115970843247229</v>
      </c>
      <c r="E4196" s="4">
        <v>24.887027252341671</v>
      </c>
      <c r="F4196" s="4">
        <v>28.124271836666669</v>
      </c>
      <c r="G4196" s="4">
        <v>11.4</v>
      </c>
      <c r="H4196" s="5">
        <v>46.938055596950001</v>
      </c>
      <c r="I4196" s="5">
        <v>38.744303827800003</v>
      </c>
      <c r="J4196" s="5">
        <v>43.029436169205553</v>
      </c>
      <c r="K4196" s="5">
        <v>89</v>
      </c>
    </row>
    <row r="4197" spans="1:11" x14ac:dyDescent="0.25">
      <c r="A4197" s="2">
        <v>46272.25</v>
      </c>
      <c r="B4197" t="str">
        <f t="shared" si="130"/>
        <v>2026-09</v>
      </c>
      <c r="C4197" s="3">
        <f t="shared" si="131"/>
        <v>6</v>
      </c>
      <c r="D4197" s="4">
        <v>21.03688667523333</v>
      </c>
      <c r="E4197" s="4">
        <v>24.66247427685278</v>
      </c>
      <c r="F4197" s="4">
        <v>28.219048228455559</v>
      </c>
      <c r="G4197" s="4">
        <v>11.2</v>
      </c>
      <c r="H4197" s="5">
        <v>47.766031280113893</v>
      </c>
      <c r="I4197" s="5">
        <v>39.341091694266673</v>
      </c>
      <c r="J4197" s="5">
        <v>42.730744079127781</v>
      </c>
      <c r="K4197" s="5">
        <v>90</v>
      </c>
    </row>
    <row r="4198" spans="1:11" x14ac:dyDescent="0.25">
      <c r="A4198" s="2">
        <v>46272.291666666657</v>
      </c>
      <c r="B4198" t="str">
        <f t="shared" si="130"/>
        <v>2026-09</v>
      </c>
      <c r="C4198" s="3">
        <f t="shared" si="131"/>
        <v>7</v>
      </c>
      <c r="D4198" s="4">
        <v>21.166599147413891</v>
      </c>
      <c r="E4198" s="4">
        <v>24.61784793685278</v>
      </c>
      <c r="F4198" s="4">
        <v>28.28137866894722</v>
      </c>
      <c r="G4198" s="4">
        <v>11.7</v>
      </c>
      <c r="H4198" s="5">
        <v>47.811309209727767</v>
      </c>
      <c r="I4198" s="5">
        <v>39.728320149208344</v>
      </c>
      <c r="J4198" s="5">
        <v>42.578160798222221</v>
      </c>
      <c r="K4198" s="5">
        <v>89</v>
      </c>
    </row>
    <row r="4199" spans="1:11" x14ac:dyDescent="0.25">
      <c r="A4199" s="2">
        <v>46272.333333333343</v>
      </c>
      <c r="B4199" t="str">
        <f t="shared" si="130"/>
        <v>2026-09</v>
      </c>
      <c r="C4199" s="3">
        <f t="shared" si="131"/>
        <v>8</v>
      </c>
      <c r="D4199" s="4">
        <v>21.457447603022221</v>
      </c>
      <c r="E4199" s="4">
        <v>24.675129007619439</v>
      </c>
      <c r="F4199" s="4">
        <v>28.33347517873333</v>
      </c>
      <c r="G4199" s="4">
        <v>13</v>
      </c>
      <c r="H4199" s="5">
        <v>47.40038600424166</v>
      </c>
      <c r="I4199" s="5">
        <v>39.863303469558332</v>
      </c>
      <c r="J4199" s="5">
        <v>42.411875277613888</v>
      </c>
      <c r="K4199" s="5">
        <v>83</v>
      </c>
    </row>
    <row r="4200" spans="1:11" x14ac:dyDescent="0.25">
      <c r="A4200" s="2">
        <v>46272.375</v>
      </c>
      <c r="B4200" t="str">
        <f t="shared" si="130"/>
        <v>2026-09</v>
      </c>
      <c r="C4200" s="3">
        <f t="shared" si="131"/>
        <v>9</v>
      </c>
      <c r="D4200" s="4">
        <v>22.295182503002781</v>
      </c>
      <c r="E4200" s="4">
        <v>25.026677038824999</v>
      </c>
      <c r="F4200" s="4">
        <v>28.378267451380559</v>
      </c>
      <c r="G4200" s="4">
        <v>13.6</v>
      </c>
      <c r="H4200" s="5">
        <v>45.178958989199998</v>
      </c>
      <c r="I4200" s="5">
        <v>39.29156108202222</v>
      </c>
      <c r="J4200" s="5">
        <v>42.38194315143889</v>
      </c>
      <c r="K4200" s="5">
        <v>81</v>
      </c>
    </row>
    <row r="4201" spans="1:11" x14ac:dyDescent="0.25">
      <c r="A4201" s="2">
        <v>46272.416666666657</v>
      </c>
      <c r="B4201" t="str">
        <f t="shared" si="130"/>
        <v>2026-09</v>
      </c>
      <c r="C4201" s="3">
        <f t="shared" si="131"/>
        <v>10</v>
      </c>
      <c r="D4201" s="4">
        <v>23.529391235441661</v>
      </c>
      <c r="E4201" s="4">
        <v>25.892788764308332</v>
      </c>
      <c r="F4201" s="4">
        <v>28.424865719838891</v>
      </c>
      <c r="G4201" s="4">
        <v>14.6</v>
      </c>
      <c r="H4201" s="5">
        <v>42.219586334466669</v>
      </c>
      <c r="I4201" s="5">
        <v>39.548423892494448</v>
      </c>
      <c r="J4201" s="5">
        <v>42.334163983816673</v>
      </c>
      <c r="K4201" s="5">
        <v>76</v>
      </c>
    </row>
    <row r="4202" spans="1:11" x14ac:dyDescent="0.25">
      <c r="A4202" s="2">
        <v>46272.458333333343</v>
      </c>
      <c r="B4202" t="str">
        <f t="shared" si="130"/>
        <v>2026-09</v>
      </c>
      <c r="C4202" s="3">
        <f t="shared" si="131"/>
        <v>11</v>
      </c>
      <c r="D4202" s="4">
        <v>23.317436994180561</v>
      </c>
      <c r="E4202" s="4">
        <v>25.900969118338889</v>
      </c>
      <c r="F4202" s="4">
        <v>28.488532436647219</v>
      </c>
      <c r="G4202" s="4">
        <v>15.3</v>
      </c>
      <c r="H4202" s="5">
        <v>43.294075330119448</v>
      </c>
      <c r="I4202" s="5">
        <v>41.505748261411121</v>
      </c>
      <c r="J4202" s="5">
        <v>42.297606272644451</v>
      </c>
      <c r="K4202" s="5">
        <v>72</v>
      </c>
    </row>
    <row r="4203" spans="1:11" x14ac:dyDescent="0.25">
      <c r="A4203" s="2">
        <v>46272.5</v>
      </c>
      <c r="B4203" t="str">
        <f t="shared" si="130"/>
        <v>2026-09</v>
      </c>
      <c r="C4203" s="3">
        <f t="shared" si="131"/>
        <v>12</v>
      </c>
      <c r="D4203" s="4">
        <v>22.502365921708329</v>
      </c>
      <c r="E4203" s="4">
        <v>25.693883963011121</v>
      </c>
      <c r="F4203" s="4">
        <v>28.417729767727771</v>
      </c>
      <c r="G4203" s="4">
        <v>15.6</v>
      </c>
      <c r="H4203" s="5">
        <v>44.706311596986119</v>
      </c>
      <c r="I4203" s="5">
        <v>40.815297342900003</v>
      </c>
      <c r="J4203" s="5">
        <v>42.151607507936113</v>
      </c>
      <c r="K4203" s="5">
        <v>69</v>
      </c>
    </row>
    <row r="4204" spans="1:11" x14ac:dyDescent="0.25">
      <c r="A4204" s="2">
        <v>46272.541666666657</v>
      </c>
      <c r="B4204" t="str">
        <f t="shared" si="130"/>
        <v>2026-09</v>
      </c>
      <c r="C4204" s="3">
        <f t="shared" si="131"/>
        <v>13</v>
      </c>
      <c r="D4204" s="4">
        <v>22.572490637711109</v>
      </c>
      <c r="E4204" s="4">
        <v>25.69390535597222</v>
      </c>
      <c r="F4204" s="4">
        <v>28.39130783472222</v>
      </c>
      <c r="G4204" s="4">
        <v>15.7</v>
      </c>
      <c r="H4204" s="5">
        <v>43.900686232522219</v>
      </c>
      <c r="I4204" s="5">
        <v>39.143761622783337</v>
      </c>
      <c r="J4204" s="5">
        <v>42.18184270028889</v>
      </c>
      <c r="K4204" s="5">
        <v>67</v>
      </c>
    </row>
    <row r="4205" spans="1:11" x14ac:dyDescent="0.25">
      <c r="A4205" s="2">
        <v>46272.583333333343</v>
      </c>
      <c r="B4205" t="str">
        <f t="shared" si="130"/>
        <v>2026-09</v>
      </c>
      <c r="C4205" s="3">
        <f t="shared" si="131"/>
        <v>14</v>
      </c>
      <c r="D4205" s="4">
        <v>22.725617981291659</v>
      </c>
      <c r="E4205" s="4">
        <v>25.45753569895556</v>
      </c>
      <c r="F4205" s="4">
        <v>28.526768556808332</v>
      </c>
      <c r="G4205" s="4">
        <v>16.899999999999999</v>
      </c>
      <c r="H4205" s="5">
        <v>42.089616179377778</v>
      </c>
      <c r="I4205" s="5">
        <v>38.137672292152779</v>
      </c>
      <c r="J4205" s="5">
        <v>41.930131725852782</v>
      </c>
      <c r="K4205" s="5">
        <v>61</v>
      </c>
    </row>
    <row r="4206" spans="1:11" x14ac:dyDescent="0.25">
      <c r="A4206" s="2">
        <v>46272.625</v>
      </c>
      <c r="B4206" t="str">
        <f t="shared" si="130"/>
        <v>2026-09</v>
      </c>
      <c r="C4206" s="3">
        <f t="shared" si="131"/>
        <v>15</v>
      </c>
      <c r="D4206" s="4">
        <v>23.249074200602781</v>
      </c>
      <c r="E4206" s="4">
        <v>25.994869818163892</v>
      </c>
      <c r="F4206" s="4">
        <v>27.522276967541671</v>
      </c>
      <c r="G4206" s="4">
        <v>18.2</v>
      </c>
      <c r="H4206" s="5">
        <v>39.069880936013902</v>
      </c>
      <c r="I4206" s="5">
        <v>36.520464716627778</v>
      </c>
      <c r="J4206" s="5">
        <v>40.62130806759167</v>
      </c>
      <c r="K4206" s="5">
        <v>48</v>
      </c>
    </row>
    <row r="4207" spans="1:11" x14ac:dyDescent="0.25">
      <c r="A4207" s="2">
        <v>46272.666666666657</v>
      </c>
      <c r="B4207" t="str">
        <f t="shared" si="130"/>
        <v>2026-09</v>
      </c>
      <c r="C4207" s="3">
        <f t="shared" si="131"/>
        <v>16</v>
      </c>
      <c r="D4207" s="4">
        <v>23.38948591359722</v>
      </c>
      <c r="E4207" s="4">
        <v>25.945115857713891</v>
      </c>
      <c r="F4207" s="4">
        <v>26.934650645033329</v>
      </c>
      <c r="G4207" s="4">
        <v>18.399999999999999</v>
      </c>
      <c r="H4207" s="5">
        <v>34.653168607577783</v>
      </c>
      <c r="I4207" s="5">
        <v>35.715571190702782</v>
      </c>
      <c r="J4207" s="5">
        <v>38.970917858963887</v>
      </c>
      <c r="K4207" s="5">
        <v>44</v>
      </c>
    </row>
    <row r="4208" spans="1:11" x14ac:dyDescent="0.25">
      <c r="A4208" s="2">
        <v>46272.708333333343</v>
      </c>
      <c r="B4208" t="str">
        <f t="shared" si="130"/>
        <v>2026-09</v>
      </c>
      <c r="C4208" s="3">
        <f t="shared" si="131"/>
        <v>17</v>
      </c>
      <c r="D4208" s="4">
        <v>23.01946147392222</v>
      </c>
      <c r="E4208" s="4">
        <v>26.219554752711112</v>
      </c>
      <c r="F4208" s="4">
        <v>26.615235417097221</v>
      </c>
      <c r="G4208" s="4">
        <v>17.3</v>
      </c>
      <c r="H4208" s="5">
        <v>33.412383174386107</v>
      </c>
      <c r="I4208" s="5">
        <v>33.465229799827782</v>
      </c>
      <c r="J4208" s="5">
        <v>37.52243295732778</v>
      </c>
      <c r="K4208" s="5">
        <v>45</v>
      </c>
    </row>
    <row r="4209" spans="1:11" x14ac:dyDescent="0.25">
      <c r="A4209" s="2">
        <v>46272.75</v>
      </c>
      <c r="B4209" t="str">
        <f t="shared" si="130"/>
        <v>2026-09</v>
      </c>
      <c r="C4209" s="3">
        <f t="shared" si="131"/>
        <v>18</v>
      </c>
      <c r="D4209" s="4">
        <v>23.126370769738891</v>
      </c>
      <c r="E4209" s="4">
        <v>26.049630288283328</v>
      </c>
      <c r="F4209" s="4">
        <v>26.460588354380558</v>
      </c>
      <c r="G4209" s="4">
        <v>16.8</v>
      </c>
      <c r="H4209" s="5">
        <v>33.438708172480553</v>
      </c>
      <c r="I4209" s="5">
        <v>32.879771343194442</v>
      </c>
      <c r="J4209" s="5">
        <v>37.615946610258327</v>
      </c>
      <c r="K4209" s="5">
        <v>48</v>
      </c>
    </row>
    <row r="4210" spans="1:11" x14ac:dyDescent="0.25">
      <c r="A4210" s="2">
        <v>46272.791666666657</v>
      </c>
      <c r="B4210" t="str">
        <f t="shared" si="130"/>
        <v>2026-09</v>
      </c>
      <c r="C4210" s="3">
        <f t="shared" si="131"/>
        <v>19</v>
      </c>
      <c r="D4210" s="4">
        <v>22.88304233880833</v>
      </c>
      <c r="E4210" s="4">
        <v>25.381117289602781</v>
      </c>
      <c r="F4210" s="4">
        <v>27.035164384366659</v>
      </c>
      <c r="G4210" s="4">
        <v>15.9</v>
      </c>
      <c r="H4210" s="5">
        <v>34.234565651044441</v>
      </c>
      <c r="I4210" s="5">
        <v>32.976270616338887</v>
      </c>
      <c r="J4210" s="5">
        <v>38.60432050871389</v>
      </c>
      <c r="K4210" s="5">
        <v>53</v>
      </c>
    </row>
    <row r="4211" spans="1:11" x14ac:dyDescent="0.25">
      <c r="A4211" s="2">
        <v>46272.833333333343</v>
      </c>
      <c r="B4211" t="str">
        <f t="shared" si="130"/>
        <v>2026-09</v>
      </c>
      <c r="C4211" s="3">
        <f t="shared" si="131"/>
        <v>20</v>
      </c>
      <c r="D4211" s="4">
        <v>22.541411243447229</v>
      </c>
      <c r="E4211" s="4">
        <v>25.28325395428611</v>
      </c>
      <c r="F4211" s="4">
        <v>27.660787711099999</v>
      </c>
      <c r="G4211" s="4">
        <v>15</v>
      </c>
      <c r="H4211" s="5">
        <v>34.255087274394448</v>
      </c>
      <c r="I4211" s="5">
        <v>32.022058839291667</v>
      </c>
      <c r="J4211" s="5">
        <v>38.905807593211122</v>
      </c>
      <c r="K4211" s="5">
        <v>57</v>
      </c>
    </row>
    <row r="4212" spans="1:11" x14ac:dyDescent="0.25">
      <c r="A4212" s="2">
        <v>46272.875</v>
      </c>
      <c r="B4212" t="str">
        <f t="shared" si="130"/>
        <v>2026-09</v>
      </c>
      <c r="C4212" s="3">
        <f t="shared" si="131"/>
        <v>21</v>
      </c>
      <c r="D4212" s="4">
        <v>22.41226576484722</v>
      </c>
      <c r="E4212" s="4">
        <v>26.09113758781945</v>
      </c>
      <c r="F4212" s="4">
        <v>27.99677691957778</v>
      </c>
      <c r="G4212" s="4">
        <v>13.5</v>
      </c>
      <c r="H4212" s="5">
        <v>33.078676257033329</v>
      </c>
      <c r="I4212" s="5">
        <v>31.872377566102781</v>
      </c>
      <c r="J4212" s="5">
        <v>38.631156299486122</v>
      </c>
      <c r="K4212" s="5">
        <v>65</v>
      </c>
    </row>
    <row r="4213" spans="1:11" x14ac:dyDescent="0.25">
      <c r="A4213" s="2">
        <v>46272.916666666657</v>
      </c>
      <c r="B4213" t="str">
        <f t="shared" si="130"/>
        <v>2026-09</v>
      </c>
      <c r="C4213" s="3">
        <f t="shared" si="131"/>
        <v>22</v>
      </c>
      <c r="D4213" s="4">
        <v>22.12451433665834</v>
      </c>
      <c r="E4213" s="4">
        <v>26.21247144621389</v>
      </c>
      <c r="F4213" s="4">
        <v>28.074712824358329</v>
      </c>
      <c r="G4213" s="4">
        <v>12.6</v>
      </c>
      <c r="H4213" s="5">
        <v>34.174521619899998</v>
      </c>
      <c r="I4213" s="5">
        <v>31.139442731963889</v>
      </c>
      <c r="J4213" s="5">
        <v>37.726008470936122</v>
      </c>
      <c r="K4213" s="5">
        <v>69</v>
      </c>
    </row>
    <row r="4214" spans="1:11" x14ac:dyDescent="0.25">
      <c r="A4214" s="2">
        <v>46272.958333333343</v>
      </c>
      <c r="B4214" t="str">
        <f t="shared" si="130"/>
        <v>2026-09</v>
      </c>
      <c r="C4214" s="3">
        <f t="shared" si="131"/>
        <v>23</v>
      </c>
      <c r="D4214" s="4">
        <v>21.200051968644441</v>
      </c>
      <c r="E4214" s="4">
        <v>26.201809303180561</v>
      </c>
      <c r="F4214" s="4">
        <v>27.803878897694439</v>
      </c>
      <c r="G4214" s="4">
        <v>12.1</v>
      </c>
      <c r="H4214" s="5">
        <v>37.417339971269449</v>
      </c>
      <c r="I4214" s="5">
        <v>32.028621672802778</v>
      </c>
      <c r="J4214" s="5">
        <v>37.240037942319447</v>
      </c>
      <c r="K4214" s="5">
        <v>71</v>
      </c>
    </row>
    <row r="4215" spans="1:11" x14ac:dyDescent="0.25">
      <c r="A4215" s="2">
        <v>46273</v>
      </c>
      <c r="B4215" t="str">
        <f t="shared" si="130"/>
        <v>2026-09</v>
      </c>
      <c r="C4215" s="3">
        <f t="shared" si="131"/>
        <v>0</v>
      </c>
      <c r="D4215" s="4">
        <v>21.15693497471111</v>
      </c>
      <c r="E4215" s="4">
        <v>25.487194574241659</v>
      </c>
      <c r="F4215" s="4">
        <v>27.712058528922221</v>
      </c>
      <c r="G4215" s="4">
        <v>11.6</v>
      </c>
      <c r="H4215" s="5">
        <v>37.038287848905561</v>
      </c>
      <c r="I4215" s="5">
        <v>31.68665435819166</v>
      </c>
      <c r="J4215" s="5">
        <v>37.843670204472232</v>
      </c>
      <c r="K4215" s="5">
        <v>72</v>
      </c>
    </row>
    <row r="4216" spans="1:11" x14ac:dyDescent="0.25">
      <c r="A4216" s="2">
        <v>46273.041666666657</v>
      </c>
      <c r="B4216" t="str">
        <f t="shared" si="130"/>
        <v>2026-09</v>
      </c>
      <c r="C4216" s="3">
        <f t="shared" si="131"/>
        <v>1</v>
      </c>
      <c r="D4216" s="4">
        <v>22.390053028586109</v>
      </c>
      <c r="E4216" s="4">
        <v>25.297040216313889</v>
      </c>
      <c r="F4216" s="4">
        <v>28.132055010133332</v>
      </c>
      <c r="G4216" s="4">
        <v>11.4</v>
      </c>
      <c r="H4216" s="5">
        <v>36.431505772911109</v>
      </c>
      <c r="I4216" s="5">
        <v>32.64657981478333</v>
      </c>
      <c r="J4216" s="5">
        <v>38.050809872619453</v>
      </c>
      <c r="K4216" s="5">
        <v>72</v>
      </c>
    </row>
    <row r="4217" spans="1:11" x14ac:dyDescent="0.25">
      <c r="A4217" s="2">
        <v>46273.083333333343</v>
      </c>
      <c r="B4217" t="str">
        <f t="shared" si="130"/>
        <v>2026-09</v>
      </c>
      <c r="C4217" s="3">
        <f t="shared" si="131"/>
        <v>2</v>
      </c>
      <c r="D4217" s="4">
        <v>23.03277901805</v>
      </c>
      <c r="E4217" s="4">
        <v>25.130595199055549</v>
      </c>
      <c r="F4217" s="4">
        <v>28.379321933177781</v>
      </c>
      <c r="G4217" s="4">
        <v>11.2</v>
      </c>
      <c r="H4217" s="5">
        <v>36.13161660398611</v>
      </c>
      <c r="I4217" s="5">
        <v>33.179390450658332</v>
      </c>
      <c r="J4217" s="5">
        <v>38.312444413286109</v>
      </c>
      <c r="K4217" s="5">
        <v>73</v>
      </c>
    </row>
    <row r="4218" spans="1:11" x14ac:dyDescent="0.25">
      <c r="A4218" s="2">
        <v>46273.125</v>
      </c>
      <c r="B4218" t="str">
        <f t="shared" si="130"/>
        <v>2026-09</v>
      </c>
      <c r="C4218" s="3">
        <f t="shared" si="131"/>
        <v>3</v>
      </c>
      <c r="D4218" s="4">
        <v>22.993032383980552</v>
      </c>
      <c r="E4218" s="4">
        <v>25.050373301524999</v>
      </c>
      <c r="F4218" s="4">
        <v>28.480920240855561</v>
      </c>
      <c r="G4218" s="4">
        <v>10.5</v>
      </c>
      <c r="H4218" s="5">
        <v>37.248481165900003</v>
      </c>
      <c r="I4218" s="5">
        <v>34.073963257555548</v>
      </c>
      <c r="J4218" s="5">
        <v>38.407314735361112</v>
      </c>
      <c r="K4218" s="5">
        <v>78</v>
      </c>
    </row>
    <row r="4219" spans="1:11" x14ac:dyDescent="0.25">
      <c r="A4219" s="2">
        <v>46273.166666666657</v>
      </c>
      <c r="B4219" t="str">
        <f t="shared" si="130"/>
        <v>2026-09</v>
      </c>
      <c r="C4219" s="3">
        <f t="shared" si="131"/>
        <v>4</v>
      </c>
      <c r="D4219" s="4">
        <v>23.022609920730559</v>
      </c>
      <c r="E4219" s="4">
        <v>24.993774442338889</v>
      </c>
      <c r="F4219" s="4">
        <v>28.511292776194448</v>
      </c>
      <c r="G4219" s="4">
        <v>10.4</v>
      </c>
      <c r="H4219" s="5">
        <v>38.091477762152778</v>
      </c>
      <c r="I4219" s="5">
        <v>34.843496091861113</v>
      </c>
      <c r="J4219" s="5">
        <v>38.512598639838892</v>
      </c>
      <c r="K4219" s="5">
        <v>82</v>
      </c>
    </row>
    <row r="4220" spans="1:11" x14ac:dyDescent="0.25">
      <c r="A4220" s="2">
        <v>46273.208333333343</v>
      </c>
      <c r="B4220" t="str">
        <f t="shared" si="130"/>
        <v>2026-09</v>
      </c>
      <c r="C4220" s="3">
        <f t="shared" si="131"/>
        <v>5</v>
      </c>
      <c r="D4220" s="4">
        <v>23.038016840408329</v>
      </c>
      <c r="E4220" s="4">
        <v>25.05704135515278</v>
      </c>
      <c r="F4220" s="4">
        <v>28.517320473636111</v>
      </c>
      <c r="G4220" s="4">
        <v>10.199999999999999</v>
      </c>
      <c r="H4220" s="5">
        <v>38.487517031405559</v>
      </c>
      <c r="I4220" s="5">
        <v>35.18094149475278</v>
      </c>
      <c r="J4220" s="5">
        <v>38.68553896648055</v>
      </c>
      <c r="K4220" s="5">
        <v>86</v>
      </c>
    </row>
    <row r="4221" spans="1:11" x14ac:dyDescent="0.25">
      <c r="A4221" s="2">
        <v>46273.25</v>
      </c>
      <c r="B4221" t="str">
        <f t="shared" si="130"/>
        <v>2026-09</v>
      </c>
      <c r="C4221" s="3">
        <f t="shared" si="131"/>
        <v>6</v>
      </c>
      <c r="D4221" s="4">
        <v>23.390794334691659</v>
      </c>
      <c r="E4221" s="4">
        <v>25.138914070649999</v>
      </c>
      <c r="F4221" s="4">
        <v>28.509651710711111</v>
      </c>
      <c r="G4221" s="4">
        <v>9.9</v>
      </c>
      <c r="H4221" s="5">
        <v>38.174986478391673</v>
      </c>
      <c r="I4221" s="5">
        <v>35.432454313547233</v>
      </c>
      <c r="J4221" s="5">
        <v>38.810722547713887</v>
      </c>
      <c r="K4221" s="5">
        <v>89</v>
      </c>
    </row>
    <row r="4222" spans="1:11" x14ac:dyDescent="0.25">
      <c r="A4222" s="2">
        <v>46273.291666666657</v>
      </c>
      <c r="B4222" t="str">
        <f t="shared" si="130"/>
        <v>2026-09</v>
      </c>
      <c r="C4222" s="3">
        <f t="shared" si="131"/>
        <v>7</v>
      </c>
      <c r="D4222" s="4">
        <v>24.539055928844441</v>
      </c>
      <c r="E4222" s="4">
        <v>25.993109207700002</v>
      </c>
      <c r="F4222" s="4">
        <v>28.514987174938891</v>
      </c>
      <c r="G4222" s="4">
        <v>10.5</v>
      </c>
      <c r="H4222" s="5">
        <v>36.56343850948889</v>
      </c>
      <c r="I4222" s="5">
        <v>34.711920608752777</v>
      </c>
      <c r="J4222" s="5">
        <v>38.992505940080562</v>
      </c>
      <c r="K4222" s="5">
        <v>88</v>
      </c>
    </row>
    <row r="4223" spans="1:11" x14ac:dyDescent="0.25">
      <c r="A4223" s="2">
        <v>46273.333333333343</v>
      </c>
      <c r="B4223" t="str">
        <f t="shared" si="130"/>
        <v>2026-09</v>
      </c>
      <c r="C4223" s="3">
        <f t="shared" si="131"/>
        <v>8</v>
      </c>
      <c r="D4223" s="4">
        <v>25.48630965486667</v>
      </c>
      <c r="E4223" s="4">
        <v>27.091885955861109</v>
      </c>
      <c r="F4223" s="4">
        <v>28.55020024075278</v>
      </c>
      <c r="G4223" s="4">
        <v>12</v>
      </c>
      <c r="H4223" s="5">
        <v>36.338766768619443</v>
      </c>
      <c r="I4223" s="5">
        <v>33.734405463172223</v>
      </c>
      <c r="J4223" s="5">
        <v>39.206756107330563</v>
      </c>
      <c r="K4223" s="5">
        <v>83</v>
      </c>
    </row>
    <row r="4224" spans="1:11" x14ac:dyDescent="0.25">
      <c r="A4224" s="2">
        <v>46273.375</v>
      </c>
      <c r="B4224" t="str">
        <f t="shared" si="130"/>
        <v>2026-09</v>
      </c>
      <c r="C4224" s="3">
        <f t="shared" si="131"/>
        <v>9</v>
      </c>
      <c r="D4224" s="4">
        <v>25.994233198777781</v>
      </c>
      <c r="E4224" s="4">
        <v>28.23762994102222</v>
      </c>
      <c r="F4224" s="4">
        <v>28.59494819876112</v>
      </c>
      <c r="G4224" s="4">
        <v>13.9</v>
      </c>
      <c r="H4224" s="5">
        <v>35.796682432983339</v>
      </c>
      <c r="I4224" s="5">
        <v>32.368245808502778</v>
      </c>
      <c r="J4224" s="5">
        <v>39.391058013047221</v>
      </c>
      <c r="K4224" s="5">
        <v>76</v>
      </c>
    </row>
    <row r="4225" spans="1:11" x14ac:dyDescent="0.25">
      <c r="A4225" s="2">
        <v>46273.416666666657</v>
      </c>
      <c r="B4225" t="str">
        <f t="shared" si="130"/>
        <v>2026-09</v>
      </c>
      <c r="C4225" s="3">
        <f t="shared" si="131"/>
        <v>10</v>
      </c>
      <c r="D4225" s="4">
        <v>26.309390544972221</v>
      </c>
      <c r="E4225" s="4">
        <v>28.744828333927781</v>
      </c>
      <c r="F4225" s="4">
        <v>28.655772555586111</v>
      </c>
      <c r="G4225" s="4">
        <v>15.7</v>
      </c>
      <c r="H4225" s="5">
        <v>33.573812149380558</v>
      </c>
      <c r="I4225" s="5">
        <v>33.565444222580552</v>
      </c>
      <c r="J4225" s="5">
        <v>39.632553551016663</v>
      </c>
      <c r="K4225" s="5">
        <v>69</v>
      </c>
    </row>
    <row r="4226" spans="1:11" x14ac:dyDescent="0.25">
      <c r="A4226" s="2">
        <v>46273.458333333343</v>
      </c>
      <c r="B4226" t="str">
        <f t="shared" ref="B4226:B4289" si="132">TEXT(A4226,"yyyy-mm")</f>
        <v>2026-09</v>
      </c>
      <c r="C4226" s="3">
        <f t="shared" ref="C4226:C4289" si="133">HOUR(A4226)</f>
        <v>11</v>
      </c>
      <c r="D4226" s="4">
        <v>26.264470941691659</v>
      </c>
      <c r="E4226" s="4">
        <v>28.412082730286109</v>
      </c>
      <c r="F4226" s="4">
        <v>28.386473406363891</v>
      </c>
      <c r="G4226" s="4">
        <v>17.3</v>
      </c>
      <c r="H4226" s="5">
        <v>30.68639216815556</v>
      </c>
      <c r="I4226" s="5">
        <v>32.266099314605547</v>
      </c>
      <c r="J4226" s="5">
        <v>39.17910302066111</v>
      </c>
      <c r="K4226" s="5">
        <v>57</v>
      </c>
    </row>
    <row r="4227" spans="1:11" x14ac:dyDescent="0.25">
      <c r="A4227" s="2">
        <v>46273.5</v>
      </c>
      <c r="B4227" t="str">
        <f t="shared" si="132"/>
        <v>2026-09</v>
      </c>
      <c r="C4227" s="3">
        <f t="shared" si="133"/>
        <v>12</v>
      </c>
      <c r="D4227" s="4">
        <v>25.887930947494439</v>
      </c>
      <c r="E4227" s="4">
        <v>28.20771802339722</v>
      </c>
      <c r="F4227" s="4">
        <v>28.03246184450278</v>
      </c>
      <c r="G4227" s="4">
        <v>18.3</v>
      </c>
      <c r="H4227" s="5">
        <v>29.599258528544439</v>
      </c>
      <c r="I4227" s="5">
        <v>30.4498426414</v>
      </c>
      <c r="J4227" s="5">
        <v>37.44627624856389</v>
      </c>
      <c r="K4227" s="5">
        <v>50</v>
      </c>
    </row>
    <row r="4228" spans="1:11" x14ac:dyDescent="0.25">
      <c r="A4228" s="2">
        <v>46273.541666666657</v>
      </c>
      <c r="B4228" t="str">
        <f t="shared" si="132"/>
        <v>2026-09</v>
      </c>
      <c r="C4228" s="3">
        <f t="shared" si="133"/>
        <v>13</v>
      </c>
      <c r="D4228" s="4">
        <v>25.432024006663891</v>
      </c>
      <c r="E4228" s="4">
        <v>27.784210003244439</v>
      </c>
      <c r="F4228" s="4">
        <v>27.773074459933341</v>
      </c>
      <c r="G4228" s="4">
        <v>19.100000000000001</v>
      </c>
      <c r="H4228" s="5">
        <v>29.503715295105561</v>
      </c>
      <c r="I4228" s="5">
        <v>29.95633574511945</v>
      </c>
      <c r="J4228" s="5">
        <v>36.321358237719437</v>
      </c>
      <c r="K4228" s="5">
        <v>45</v>
      </c>
    </row>
    <row r="4229" spans="1:11" x14ac:dyDescent="0.25">
      <c r="A4229" s="2">
        <v>46273.583333333343</v>
      </c>
      <c r="B4229" t="str">
        <f t="shared" si="132"/>
        <v>2026-09</v>
      </c>
      <c r="C4229" s="3">
        <f t="shared" si="133"/>
        <v>14</v>
      </c>
      <c r="D4229" s="4">
        <v>25.132721695038889</v>
      </c>
      <c r="E4229" s="4">
        <v>27.026954405000001</v>
      </c>
      <c r="F4229" s="4">
        <v>27.886293524833331</v>
      </c>
      <c r="G4229" s="4">
        <v>19.8</v>
      </c>
      <c r="H4229" s="5">
        <v>30.33662060253333</v>
      </c>
      <c r="I4229" s="5">
        <v>36.507089754994453</v>
      </c>
      <c r="J4229" s="5">
        <v>37.567634006586111</v>
      </c>
      <c r="K4229" s="5">
        <v>41</v>
      </c>
    </row>
    <row r="4230" spans="1:11" x14ac:dyDescent="0.25">
      <c r="A4230" s="2">
        <v>46273.625</v>
      </c>
      <c r="B4230" t="str">
        <f t="shared" si="132"/>
        <v>2026-09</v>
      </c>
      <c r="C4230" s="3">
        <f t="shared" si="133"/>
        <v>15</v>
      </c>
      <c r="D4230" s="4">
        <v>25.006631639925001</v>
      </c>
      <c r="E4230" s="4">
        <v>27.118269407330551</v>
      </c>
      <c r="F4230" s="4">
        <v>28.23929917825</v>
      </c>
      <c r="G4230" s="4">
        <v>20.7</v>
      </c>
      <c r="H4230" s="5">
        <v>31.50138434139722</v>
      </c>
      <c r="I4230" s="5">
        <v>38.116840716261109</v>
      </c>
      <c r="J4230" s="5">
        <v>38.159878591005558</v>
      </c>
      <c r="K4230" s="5">
        <v>38</v>
      </c>
    </row>
    <row r="4231" spans="1:11" x14ac:dyDescent="0.25">
      <c r="A4231" s="2">
        <v>46273.666666666657</v>
      </c>
      <c r="B4231" t="str">
        <f t="shared" si="132"/>
        <v>2026-09</v>
      </c>
      <c r="C4231" s="3">
        <f t="shared" si="133"/>
        <v>16</v>
      </c>
      <c r="D4231" s="4">
        <v>25.0995100403</v>
      </c>
      <c r="E4231" s="4">
        <v>26.971038946299998</v>
      </c>
      <c r="F4231" s="4">
        <v>28.389704783391672</v>
      </c>
      <c r="G4231" s="4">
        <v>20.7</v>
      </c>
      <c r="H4231" s="5">
        <v>30.610374428233339</v>
      </c>
      <c r="I4231" s="5">
        <v>36.186195794922227</v>
      </c>
      <c r="J4231" s="5">
        <v>38.400341712411112</v>
      </c>
      <c r="K4231" s="5">
        <v>38</v>
      </c>
    </row>
    <row r="4232" spans="1:11" x14ac:dyDescent="0.25">
      <c r="A4232" s="2">
        <v>46273.708333333343</v>
      </c>
      <c r="B4232" t="str">
        <f t="shared" si="132"/>
        <v>2026-09</v>
      </c>
      <c r="C4232" s="3">
        <f t="shared" si="133"/>
        <v>17</v>
      </c>
      <c r="D4232" s="4">
        <v>25.037648175836111</v>
      </c>
      <c r="E4232" s="4">
        <v>26.83015084803889</v>
      </c>
      <c r="F4232" s="4">
        <v>28.45978399897222</v>
      </c>
      <c r="G4232" s="4">
        <v>20.3</v>
      </c>
      <c r="H4232" s="5">
        <v>30.461224842630561</v>
      </c>
      <c r="I4232" s="5">
        <v>32.36069767241667</v>
      </c>
      <c r="J4232" s="5">
        <v>38.419668704138893</v>
      </c>
      <c r="K4232" s="5">
        <v>40</v>
      </c>
    </row>
    <row r="4233" spans="1:11" x14ac:dyDescent="0.25">
      <c r="A4233" s="2">
        <v>46273.75</v>
      </c>
      <c r="B4233" t="str">
        <f t="shared" si="132"/>
        <v>2026-09</v>
      </c>
      <c r="C4233" s="3">
        <f t="shared" si="133"/>
        <v>18</v>
      </c>
      <c r="D4233" s="4">
        <v>24.59240992545833</v>
      </c>
      <c r="E4233" s="4">
        <v>26.716654760733331</v>
      </c>
      <c r="F4233" s="4">
        <v>28.508683711905562</v>
      </c>
      <c r="G4233" s="4">
        <v>19.3</v>
      </c>
      <c r="H4233" s="5">
        <v>31.537017291561121</v>
      </c>
      <c r="I4233" s="5">
        <v>32.069166048722217</v>
      </c>
      <c r="J4233" s="5">
        <v>38.407130744925013</v>
      </c>
      <c r="K4233" s="5">
        <v>45</v>
      </c>
    </row>
    <row r="4234" spans="1:11" x14ac:dyDescent="0.25">
      <c r="A4234" s="2">
        <v>46273.791666666657</v>
      </c>
      <c r="B4234" t="str">
        <f t="shared" si="132"/>
        <v>2026-09</v>
      </c>
      <c r="C4234" s="3">
        <f t="shared" si="133"/>
        <v>19</v>
      </c>
      <c r="D4234" s="4">
        <v>24.090265655216669</v>
      </c>
      <c r="E4234" s="4">
        <v>26.91940734265</v>
      </c>
      <c r="F4234" s="4">
        <v>28.533779810119441</v>
      </c>
      <c r="G4234" s="4">
        <v>17.8</v>
      </c>
      <c r="H4234" s="5">
        <v>32.752627642383338</v>
      </c>
      <c r="I4234" s="5">
        <v>32.933031295330558</v>
      </c>
      <c r="J4234" s="5">
        <v>38.420495311405553</v>
      </c>
      <c r="K4234" s="5">
        <v>51</v>
      </c>
    </row>
    <row r="4235" spans="1:11" x14ac:dyDescent="0.25">
      <c r="A4235" s="2">
        <v>46273.833333333343</v>
      </c>
      <c r="B4235" t="str">
        <f t="shared" si="132"/>
        <v>2026-09</v>
      </c>
      <c r="C4235" s="3">
        <f t="shared" si="133"/>
        <v>20</v>
      </c>
      <c r="D4235" s="4">
        <v>23.89340287151667</v>
      </c>
      <c r="E4235" s="4">
        <v>27.31513624002778</v>
      </c>
      <c r="F4235" s="4">
        <v>28.546209257802779</v>
      </c>
      <c r="G4235" s="4">
        <v>16.399999999999999</v>
      </c>
      <c r="H4235" s="5">
        <v>32.725116115852778</v>
      </c>
      <c r="I4235" s="5">
        <v>30.655949185572229</v>
      </c>
      <c r="J4235" s="5">
        <v>38.462542068963891</v>
      </c>
      <c r="K4235" s="5">
        <v>57</v>
      </c>
    </row>
    <row r="4236" spans="1:11" x14ac:dyDescent="0.25">
      <c r="A4236" s="2">
        <v>46273.875</v>
      </c>
      <c r="B4236" t="str">
        <f t="shared" si="132"/>
        <v>2026-09</v>
      </c>
      <c r="C4236" s="3">
        <f t="shared" si="133"/>
        <v>21</v>
      </c>
      <c r="D4236" s="4">
        <v>23.66913149163889</v>
      </c>
      <c r="E4236" s="4">
        <v>27.297198574191668</v>
      </c>
      <c r="F4236" s="4">
        <v>28.558779918561111</v>
      </c>
      <c r="G4236" s="4">
        <v>15.3</v>
      </c>
      <c r="H4236" s="5">
        <v>33.209595242472233</v>
      </c>
      <c r="I4236" s="5">
        <v>31.326015630608332</v>
      </c>
      <c r="J4236" s="5">
        <v>38.467944925025002</v>
      </c>
      <c r="K4236" s="5">
        <v>61</v>
      </c>
    </row>
    <row r="4237" spans="1:11" x14ac:dyDescent="0.25">
      <c r="A4237" s="2">
        <v>46273.916666666657</v>
      </c>
      <c r="B4237" t="str">
        <f t="shared" si="132"/>
        <v>2026-09</v>
      </c>
      <c r="C4237" s="3">
        <f t="shared" si="133"/>
        <v>22</v>
      </c>
      <c r="D4237" s="4">
        <v>23.309642874233329</v>
      </c>
      <c r="E4237" s="4">
        <v>27.074159939397219</v>
      </c>
      <c r="F4237" s="4">
        <v>28.565027821522222</v>
      </c>
      <c r="G4237" s="4">
        <v>14.5</v>
      </c>
      <c r="H4237" s="5">
        <v>34.135222836849998</v>
      </c>
      <c r="I4237" s="5">
        <v>31.376981268436111</v>
      </c>
      <c r="J4237" s="5">
        <v>38.46385904458333</v>
      </c>
      <c r="K4237" s="5">
        <v>65</v>
      </c>
    </row>
    <row r="4238" spans="1:11" x14ac:dyDescent="0.25">
      <c r="A4238" s="2">
        <v>46273.958333333343</v>
      </c>
      <c r="B4238" t="str">
        <f t="shared" si="132"/>
        <v>2026-09</v>
      </c>
      <c r="C4238" s="3">
        <f t="shared" si="133"/>
        <v>23</v>
      </c>
      <c r="D4238" s="4">
        <v>22.66753513303334</v>
      </c>
      <c r="E4238" s="4">
        <v>26.620344202930561</v>
      </c>
      <c r="F4238" s="4">
        <v>28.567333306091669</v>
      </c>
      <c r="G4238" s="4">
        <v>13.6</v>
      </c>
      <c r="H4238" s="5">
        <v>35.666142599058333</v>
      </c>
      <c r="I4238" s="5">
        <v>30.91241152598333</v>
      </c>
      <c r="J4238" s="5">
        <v>38.406521253519443</v>
      </c>
      <c r="K4238" s="5">
        <v>69</v>
      </c>
    </row>
    <row r="4239" spans="1:11" x14ac:dyDescent="0.25">
      <c r="A4239" s="2">
        <v>46274</v>
      </c>
      <c r="B4239" t="str">
        <f t="shared" si="132"/>
        <v>2026-09</v>
      </c>
      <c r="C4239" s="3">
        <f t="shared" si="133"/>
        <v>0</v>
      </c>
      <c r="D4239" s="4">
        <v>21.864847127872221</v>
      </c>
      <c r="E4239" s="4">
        <v>26.37186231588333</v>
      </c>
      <c r="F4239" s="4">
        <v>28.55952568884722</v>
      </c>
      <c r="G4239" s="4">
        <v>12.7</v>
      </c>
      <c r="H4239" s="5">
        <v>37.03113871121667</v>
      </c>
      <c r="I4239" s="5">
        <v>34.253893379858333</v>
      </c>
      <c r="J4239" s="5">
        <v>38.33674374583611</v>
      </c>
      <c r="K4239" s="5">
        <v>73</v>
      </c>
    </row>
    <row r="4240" spans="1:11" x14ac:dyDescent="0.25">
      <c r="A4240" s="2">
        <v>46274.041666666657</v>
      </c>
      <c r="B4240" t="str">
        <f t="shared" si="132"/>
        <v>2026-09</v>
      </c>
      <c r="C4240" s="3">
        <f t="shared" si="133"/>
        <v>1</v>
      </c>
      <c r="D4240" s="4"/>
      <c r="E4240" s="4">
        <v>26.177857554094441</v>
      </c>
      <c r="F4240" s="4">
        <v>28.531316289561111</v>
      </c>
      <c r="G4240" s="4">
        <v>11.9</v>
      </c>
      <c r="H4240" s="5"/>
      <c r="I4240" s="5">
        <v>33.882752817397218</v>
      </c>
      <c r="J4240" s="5">
        <v>38.300903820863887</v>
      </c>
      <c r="K4240" s="5">
        <v>77</v>
      </c>
    </row>
    <row r="4241" spans="1:11" x14ac:dyDescent="0.25">
      <c r="A4241" s="2">
        <v>46274.083333333343</v>
      </c>
      <c r="B4241" t="str">
        <f t="shared" si="132"/>
        <v>2026-09</v>
      </c>
      <c r="C4241" s="3">
        <f t="shared" si="133"/>
        <v>2</v>
      </c>
      <c r="D4241" s="4">
        <v>24.12429872625933</v>
      </c>
      <c r="E4241" s="4">
        <v>26.019897319413889</v>
      </c>
      <c r="F4241" s="4">
        <v>28.519138856605551</v>
      </c>
      <c r="G4241" s="4">
        <v>11.2</v>
      </c>
      <c r="H4241" s="5">
        <v>37.285426084904728</v>
      </c>
      <c r="I4241" s="5">
        <v>34.524035437572223</v>
      </c>
      <c r="J4241" s="5">
        <v>38.415615940713892</v>
      </c>
      <c r="K4241" s="5">
        <v>81</v>
      </c>
    </row>
    <row r="4242" spans="1:11" x14ac:dyDescent="0.25">
      <c r="A4242" s="2">
        <v>46274.125</v>
      </c>
      <c r="B4242" t="str">
        <f t="shared" si="132"/>
        <v>2026-09</v>
      </c>
      <c r="C4242" s="3">
        <f t="shared" si="133"/>
        <v>3</v>
      </c>
      <c r="D4242" s="4">
        <v>24.341259421786109</v>
      </c>
      <c r="E4242" s="4">
        <v>25.886287496233329</v>
      </c>
      <c r="F4242" s="4">
        <v>28.513457161327779</v>
      </c>
      <c r="G4242" s="4">
        <v>10.1</v>
      </c>
      <c r="H4242" s="5">
        <v>36.95406992830555</v>
      </c>
      <c r="I4242" s="5">
        <v>35.025913696197222</v>
      </c>
      <c r="J4242" s="5">
        <v>38.567265410224998</v>
      </c>
      <c r="K4242" s="5">
        <v>83</v>
      </c>
    </row>
    <row r="4243" spans="1:11" x14ac:dyDescent="0.25">
      <c r="A4243" s="2">
        <v>46274.166666666657</v>
      </c>
      <c r="B4243" t="str">
        <f t="shared" si="132"/>
        <v>2026-09</v>
      </c>
      <c r="C4243" s="3">
        <f t="shared" si="133"/>
        <v>4</v>
      </c>
      <c r="D4243" s="4">
        <v>24.491394072430559</v>
      </c>
      <c r="E4243" s="4">
        <v>25.7825089625</v>
      </c>
      <c r="F4243" s="4">
        <v>28.503540569219439</v>
      </c>
      <c r="G4243" s="4">
        <v>9.6</v>
      </c>
      <c r="H4243" s="5">
        <v>36.742617795166673</v>
      </c>
      <c r="I4243" s="5">
        <v>35.292963891524998</v>
      </c>
      <c r="J4243" s="5">
        <v>38.685829143205559</v>
      </c>
      <c r="K4243" s="5">
        <v>85</v>
      </c>
    </row>
    <row r="4244" spans="1:11" x14ac:dyDescent="0.25">
      <c r="A4244" s="2">
        <v>46274.208333333343</v>
      </c>
      <c r="B4244" t="str">
        <f t="shared" si="132"/>
        <v>2026-09</v>
      </c>
      <c r="C4244" s="3">
        <f t="shared" si="133"/>
        <v>5</v>
      </c>
      <c r="D4244" s="4">
        <v>24.531427982997229</v>
      </c>
      <c r="E4244" s="4">
        <v>25.661067857488892</v>
      </c>
      <c r="F4244" s="4">
        <v>28.495734849641661</v>
      </c>
      <c r="G4244" s="4">
        <v>9.1</v>
      </c>
      <c r="H4244" s="5">
        <v>36.625406211777779</v>
      </c>
      <c r="I4244" s="5">
        <v>35.541255384524987</v>
      </c>
      <c r="J4244" s="5">
        <v>38.777135079700003</v>
      </c>
      <c r="K4244" s="5">
        <v>87</v>
      </c>
    </row>
    <row r="4245" spans="1:11" x14ac:dyDescent="0.25">
      <c r="A4245" s="2">
        <v>46274.25</v>
      </c>
      <c r="B4245" t="str">
        <f t="shared" si="132"/>
        <v>2026-09</v>
      </c>
      <c r="C4245" s="3">
        <f t="shared" si="133"/>
        <v>6</v>
      </c>
      <c r="D4245" s="4">
        <v>24.71928266073056</v>
      </c>
      <c r="E4245" s="4">
        <v>25.90271528498889</v>
      </c>
      <c r="F4245" s="4">
        <v>28.49643140695278</v>
      </c>
      <c r="G4245" s="4">
        <v>8.8000000000000007</v>
      </c>
      <c r="H4245" s="5">
        <v>35.672182991333337</v>
      </c>
      <c r="I4245" s="5">
        <v>34.624261107272233</v>
      </c>
      <c r="J4245" s="5">
        <v>38.83153465377778</v>
      </c>
      <c r="K4245" s="5">
        <v>88</v>
      </c>
    </row>
    <row r="4246" spans="1:11" x14ac:dyDescent="0.25">
      <c r="A4246" s="2">
        <v>46274.291666666657</v>
      </c>
      <c r="B4246" t="str">
        <f t="shared" si="132"/>
        <v>2026-09</v>
      </c>
      <c r="C4246" s="3">
        <f t="shared" si="133"/>
        <v>7</v>
      </c>
      <c r="D4246" s="4">
        <v>25.384971656302781</v>
      </c>
      <c r="E4246" s="4">
        <v>26.721681541294441</v>
      </c>
      <c r="F4246" s="4">
        <v>28.491722200688891</v>
      </c>
      <c r="G4246" s="4">
        <v>9.6999999999999993</v>
      </c>
      <c r="H4246" s="5">
        <v>34.412249117138892</v>
      </c>
      <c r="I4246" s="5">
        <v>33.706608600877779</v>
      </c>
      <c r="J4246" s="5">
        <v>38.913882649205547</v>
      </c>
      <c r="K4246" s="5">
        <v>85</v>
      </c>
    </row>
    <row r="4247" spans="1:11" x14ac:dyDescent="0.25">
      <c r="A4247" s="2">
        <v>46274.333333333343</v>
      </c>
      <c r="B4247" t="str">
        <f t="shared" si="132"/>
        <v>2026-09</v>
      </c>
      <c r="C4247" s="3">
        <f t="shared" si="133"/>
        <v>8</v>
      </c>
      <c r="D4247" s="4">
        <v>26.039071188725</v>
      </c>
      <c r="E4247" s="4">
        <v>27.926023727461111</v>
      </c>
      <c r="F4247" s="4">
        <v>28.51598943536111</v>
      </c>
      <c r="G4247" s="4">
        <v>11.5</v>
      </c>
      <c r="H4247" s="5">
        <v>34.828202048680552</v>
      </c>
      <c r="I4247" s="5">
        <v>30.971833015661119</v>
      </c>
      <c r="J4247" s="5">
        <v>38.989233508738877</v>
      </c>
      <c r="K4247" s="5">
        <v>79</v>
      </c>
    </row>
    <row r="4248" spans="1:11" x14ac:dyDescent="0.25">
      <c r="A4248" s="2">
        <v>46274.375</v>
      </c>
      <c r="B4248" t="str">
        <f t="shared" si="132"/>
        <v>2026-09</v>
      </c>
      <c r="C4248" s="3">
        <f t="shared" si="133"/>
        <v>9</v>
      </c>
      <c r="D4248" s="4">
        <v>26.391166670922221</v>
      </c>
      <c r="E4248" s="4">
        <v>29.089762135486112</v>
      </c>
      <c r="F4248" s="4">
        <v>28.542767186380551</v>
      </c>
      <c r="G4248" s="4">
        <v>14.3</v>
      </c>
      <c r="H4248" s="5">
        <v>35.206559157330553</v>
      </c>
      <c r="I4248" s="5">
        <v>28.73236428815833</v>
      </c>
      <c r="J4248" s="5">
        <v>39.103316715466669</v>
      </c>
      <c r="K4248" s="5">
        <v>67</v>
      </c>
    </row>
    <row r="4249" spans="1:11" x14ac:dyDescent="0.25">
      <c r="A4249" s="2">
        <v>46274.416666666657</v>
      </c>
      <c r="B4249" t="str">
        <f t="shared" si="132"/>
        <v>2026-09</v>
      </c>
      <c r="C4249" s="3">
        <f t="shared" si="133"/>
        <v>10</v>
      </c>
      <c r="D4249" s="4">
        <v>26.649978880894441</v>
      </c>
      <c r="E4249" s="4">
        <v>29.570857188674999</v>
      </c>
      <c r="F4249" s="4">
        <v>28.580782599900001</v>
      </c>
      <c r="G4249" s="4">
        <v>16.8</v>
      </c>
      <c r="H4249" s="5">
        <v>35.499862601558327</v>
      </c>
      <c r="I4249" s="5">
        <v>30.26652872747778</v>
      </c>
      <c r="J4249" s="5">
        <v>39.181756997083333</v>
      </c>
      <c r="K4249" s="5">
        <v>56</v>
      </c>
    </row>
    <row r="4250" spans="1:11" x14ac:dyDescent="0.25">
      <c r="A4250" s="2">
        <v>46274.458333333343</v>
      </c>
      <c r="B4250" t="str">
        <f t="shared" si="132"/>
        <v>2026-09</v>
      </c>
      <c r="C4250" s="3">
        <f t="shared" si="133"/>
        <v>11</v>
      </c>
      <c r="D4250" s="4">
        <v>26.806096492116659</v>
      </c>
      <c r="E4250" s="4">
        <v>29.02662136751389</v>
      </c>
      <c r="F4250" s="4">
        <v>28.577847206125</v>
      </c>
      <c r="G4250" s="4">
        <v>18.600000000000001</v>
      </c>
      <c r="H4250" s="5">
        <v>31.365774480619439</v>
      </c>
      <c r="I4250" s="5">
        <v>30.340599425358331</v>
      </c>
      <c r="J4250" s="5">
        <v>39.105668181550001</v>
      </c>
      <c r="K4250" s="5">
        <v>51</v>
      </c>
    </row>
    <row r="4251" spans="1:11" x14ac:dyDescent="0.25">
      <c r="A4251" s="2">
        <v>46274.5</v>
      </c>
      <c r="B4251" t="str">
        <f t="shared" si="132"/>
        <v>2026-09</v>
      </c>
      <c r="C4251" s="3">
        <f t="shared" si="133"/>
        <v>12</v>
      </c>
      <c r="D4251" s="4">
        <v>26.631965837336111</v>
      </c>
      <c r="E4251" s="4">
        <v>28.620276504875001</v>
      </c>
      <c r="F4251" s="4">
        <v>28.372582112583331</v>
      </c>
      <c r="G4251" s="4">
        <v>19.899999999999999</v>
      </c>
      <c r="H4251" s="5">
        <v>30.406298507019439</v>
      </c>
      <c r="I4251" s="5">
        <v>30.802032975827771</v>
      </c>
      <c r="J4251" s="5">
        <v>38.340508288850003</v>
      </c>
      <c r="K4251" s="5">
        <v>47</v>
      </c>
    </row>
    <row r="4252" spans="1:11" x14ac:dyDescent="0.25">
      <c r="A4252" s="2">
        <v>46274.541666666657</v>
      </c>
      <c r="B4252" t="str">
        <f t="shared" si="132"/>
        <v>2026-09</v>
      </c>
      <c r="C4252" s="3">
        <f t="shared" si="133"/>
        <v>13</v>
      </c>
      <c r="D4252" s="4">
        <v>26.33264298689722</v>
      </c>
      <c r="E4252" s="4">
        <v>28.26043640019444</v>
      </c>
      <c r="F4252" s="4">
        <v>28.43573880852778</v>
      </c>
      <c r="G4252" s="4">
        <v>20.7</v>
      </c>
      <c r="H4252" s="5">
        <v>30.639626789200001</v>
      </c>
      <c r="I4252" s="5">
        <v>30.58908770587222</v>
      </c>
      <c r="J4252" s="5">
        <v>38.840313884350003</v>
      </c>
      <c r="K4252" s="5">
        <v>45</v>
      </c>
    </row>
    <row r="4253" spans="1:11" x14ac:dyDescent="0.25">
      <c r="A4253" s="2">
        <v>46274.583333333343</v>
      </c>
      <c r="B4253" t="str">
        <f t="shared" si="132"/>
        <v>2026-09</v>
      </c>
      <c r="C4253" s="3">
        <f t="shared" si="133"/>
        <v>14</v>
      </c>
      <c r="D4253" s="4">
        <v>26.175316791688889</v>
      </c>
      <c r="E4253" s="4">
        <v>27.876072545088888</v>
      </c>
      <c r="F4253" s="4">
        <v>28.525325530838892</v>
      </c>
      <c r="G4253" s="4">
        <v>21.3</v>
      </c>
      <c r="H4253" s="5">
        <v>31.142524136027781</v>
      </c>
      <c r="I4253" s="5">
        <v>31.471520966797229</v>
      </c>
      <c r="J4253" s="5">
        <v>38.917393551780563</v>
      </c>
      <c r="K4253" s="5">
        <v>44</v>
      </c>
    </row>
    <row r="4254" spans="1:11" x14ac:dyDescent="0.25">
      <c r="A4254" s="2">
        <v>46274.625</v>
      </c>
      <c r="B4254" t="str">
        <f t="shared" si="132"/>
        <v>2026-09</v>
      </c>
      <c r="C4254" s="3">
        <f t="shared" si="133"/>
        <v>15</v>
      </c>
      <c r="D4254" s="4">
        <v>26.10621718261666</v>
      </c>
      <c r="E4254" s="4">
        <v>27.813363479238891</v>
      </c>
      <c r="F4254" s="4">
        <v>28.562476806905561</v>
      </c>
      <c r="G4254" s="4">
        <v>22.7</v>
      </c>
      <c r="H4254" s="5">
        <v>30.934100507744439</v>
      </c>
      <c r="I4254" s="5">
        <v>31.630150401377779</v>
      </c>
      <c r="J4254" s="5">
        <v>38.934207374269441</v>
      </c>
      <c r="K4254" s="5">
        <v>39</v>
      </c>
    </row>
    <row r="4255" spans="1:11" x14ac:dyDescent="0.25">
      <c r="A4255" s="2">
        <v>46274.666666666657</v>
      </c>
      <c r="B4255" t="str">
        <f t="shared" si="132"/>
        <v>2026-09</v>
      </c>
      <c r="C4255" s="3">
        <f t="shared" si="133"/>
        <v>16</v>
      </c>
      <c r="D4255" s="4">
        <v>25.94550120592778</v>
      </c>
      <c r="E4255" s="4">
        <v>28.066382207711111</v>
      </c>
      <c r="F4255" s="4">
        <v>28.582320602169439</v>
      </c>
      <c r="G4255" s="4">
        <v>22.9</v>
      </c>
      <c r="H4255" s="5">
        <v>30.967515608036109</v>
      </c>
      <c r="I4255" s="5">
        <v>33.299271503577778</v>
      </c>
      <c r="J4255" s="5">
        <v>38.923611184891662</v>
      </c>
      <c r="K4255" s="5">
        <v>38</v>
      </c>
    </row>
    <row r="4256" spans="1:11" x14ac:dyDescent="0.25">
      <c r="A4256" s="2">
        <v>46274.708333333343</v>
      </c>
      <c r="B4256" t="str">
        <f t="shared" si="132"/>
        <v>2026-09</v>
      </c>
      <c r="C4256" s="3">
        <f t="shared" si="133"/>
        <v>17</v>
      </c>
      <c r="D4256" s="4">
        <v>25.957094827338889</v>
      </c>
      <c r="E4256" s="4">
        <v>28.048991438880549</v>
      </c>
      <c r="F4256" s="4">
        <v>28.60540636023612</v>
      </c>
      <c r="G4256" s="4">
        <v>22.7</v>
      </c>
      <c r="H4256" s="5">
        <v>32.383790291463889</v>
      </c>
      <c r="I4256" s="5">
        <v>34.091527946963893</v>
      </c>
      <c r="J4256" s="5">
        <v>38.956282443880561</v>
      </c>
      <c r="K4256" s="5">
        <v>40</v>
      </c>
    </row>
    <row r="4257" spans="1:11" x14ac:dyDescent="0.25">
      <c r="A4257" s="2">
        <v>46274.75</v>
      </c>
      <c r="B4257" t="str">
        <f t="shared" si="132"/>
        <v>2026-09</v>
      </c>
      <c r="C4257" s="3">
        <f t="shared" si="133"/>
        <v>18</v>
      </c>
      <c r="D4257" s="4">
        <v>25.719135012397221</v>
      </c>
      <c r="E4257" s="4">
        <v>27.828100484375</v>
      </c>
      <c r="F4257" s="4">
        <v>28.624654365169441</v>
      </c>
      <c r="G4257" s="4">
        <v>22</v>
      </c>
      <c r="H4257" s="5">
        <v>31.794729754330561</v>
      </c>
      <c r="I4257" s="5">
        <v>31.695978115102779</v>
      </c>
      <c r="J4257" s="5">
        <v>38.943613396630553</v>
      </c>
      <c r="K4257" s="5">
        <v>46</v>
      </c>
    </row>
    <row r="4258" spans="1:11" x14ac:dyDescent="0.25">
      <c r="A4258" s="2">
        <v>46274.791666666657</v>
      </c>
      <c r="B4258" t="str">
        <f t="shared" si="132"/>
        <v>2026-09</v>
      </c>
      <c r="C4258" s="3">
        <f t="shared" si="133"/>
        <v>19</v>
      </c>
      <c r="D4258" s="4">
        <v>25.267895906447219</v>
      </c>
      <c r="E4258" s="4">
        <v>27.640346557050002</v>
      </c>
      <c r="F4258" s="4">
        <v>28.63365406005833</v>
      </c>
      <c r="G4258" s="4">
        <v>20.2</v>
      </c>
      <c r="H4258" s="5">
        <v>33.696712783336118</v>
      </c>
      <c r="I4258" s="5">
        <v>34.49309702781111</v>
      </c>
      <c r="J4258" s="5">
        <v>38.885580537925001</v>
      </c>
      <c r="K4258" s="5">
        <v>56</v>
      </c>
    </row>
    <row r="4259" spans="1:11" x14ac:dyDescent="0.25">
      <c r="A4259" s="2">
        <v>46274.833333333343</v>
      </c>
      <c r="B4259" t="str">
        <f t="shared" si="132"/>
        <v>2026-09</v>
      </c>
      <c r="C4259" s="3">
        <f t="shared" si="133"/>
        <v>20</v>
      </c>
      <c r="D4259" s="4">
        <v>24.787774817275</v>
      </c>
      <c r="E4259" s="4">
        <v>27.69102886969722</v>
      </c>
      <c r="F4259" s="4">
        <v>28.39323088118612</v>
      </c>
      <c r="G4259" s="4">
        <v>18.5</v>
      </c>
      <c r="H4259" s="5">
        <v>35.158985145038891</v>
      </c>
      <c r="I4259" s="5">
        <v>33.70503764588333</v>
      </c>
      <c r="J4259" s="5">
        <v>38.621388318066657</v>
      </c>
      <c r="K4259" s="5">
        <v>63</v>
      </c>
    </row>
    <row r="4260" spans="1:11" x14ac:dyDescent="0.25">
      <c r="A4260" s="2">
        <v>46274.875</v>
      </c>
      <c r="B4260" t="str">
        <f t="shared" si="132"/>
        <v>2026-09</v>
      </c>
      <c r="C4260" s="3">
        <f t="shared" si="133"/>
        <v>21</v>
      </c>
      <c r="D4260" s="4">
        <v>24.495500995625001</v>
      </c>
      <c r="E4260" s="4">
        <v>27.630639561580551</v>
      </c>
      <c r="F4260" s="4">
        <v>28.239374755130559</v>
      </c>
      <c r="G4260" s="4">
        <v>17.399999999999999</v>
      </c>
      <c r="H4260" s="5">
        <v>35.137235047891672</v>
      </c>
      <c r="I4260" s="5">
        <v>33.11944399978055</v>
      </c>
      <c r="J4260" s="5">
        <v>38.897066211999999</v>
      </c>
      <c r="K4260" s="5">
        <v>66</v>
      </c>
    </row>
    <row r="4261" spans="1:11" x14ac:dyDescent="0.25">
      <c r="A4261" s="2">
        <v>46274.916666666657</v>
      </c>
      <c r="B4261" t="str">
        <f t="shared" si="132"/>
        <v>2026-09</v>
      </c>
      <c r="C4261" s="3">
        <f t="shared" si="133"/>
        <v>22</v>
      </c>
      <c r="D4261" s="4">
        <v>24.819533757058331</v>
      </c>
      <c r="E4261" s="4">
        <v>27.75587781971112</v>
      </c>
      <c r="F4261" s="4">
        <v>28.418305094699999</v>
      </c>
      <c r="G4261" s="4">
        <v>16.100000000000001</v>
      </c>
      <c r="H4261" s="5">
        <v>33.97541246478611</v>
      </c>
      <c r="I4261" s="5">
        <v>31.997459594999999</v>
      </c>
      <c r="J4261" s="5">
        <v>38.930376031680559</v>
      </c>
      <c r="K4261" s="5">
        <v>72</v>
      </c>
    </row>
    <row r="4262" spans="1:11" x14ac:dyDescent="0.25">
      <c r="A4262" s="2">
        <v>46274.958333333343</v>
      </c>
      <c r="B4262" t="str">
        <f t="shared" si="132"/>
        <v>2026-09</v>
      </c>
      <c r="C4262" s="3">
        <f t="shared" si="133"/>
        <v>23</v>
      </c>
      <c r="D4262" s="4">
        <v>24.644495197230551</v>
      </c>
      <c r="E4262" s="4">
        <v>27.545689738513889</v>
      </c>
      <c r="F4262" s="4">
        <v>28.48743424386112</v>
      </c>
      <c r="G4262" s="4">
        <v>15.3</v>
      </c>
      <c r="H4262" s="5">
        <v>34.899521715458327</v>
      </c>
      <c r="I4262" s="5">
        <v>32.47945196725</v>
      </c>
      <c r="J4262" s="5">
        <v>38.941610705922223</v>
      </c>
      <c r="K4262" s="5">
        <v>76</v>
      </c>
    </row>
    <row r="4263" spans="1:11" x14ac:dyDescent="0.25">
      <c r="A4263" s="2">
        <v>46275</v>
      </c>
      <c r="B4263" t="str">
        <f t="shared" si="132"/>
        <v>2026-09</v>
      </c>
      <c r="C4263" s="3">
        <f t="shared" si="133"/>
        <v>0</v>
      </c>
      <c r="D4263" s="4">
        <v>24.01650173085833</v>
      </c>
      <c r="E4263" s="4">
        <v>27.478017258938891</v>
      </c>
      <c r="F4263" s="4">
        <v>28.523754929216668</v>
      </c>
      <c r="G4263" s="4">
        <v>14.7</v>
      </c>
      <c r="H4263" s="5">
        <v>35.911912891127777</v>
      </c>
      <c r="I4263" s="5">
        <v>31.796044744166661</v>
      </c>
      <c r="J4263" s="5">
        <v>38.935275318983336</v>
      </c>
      <c r="K4263" s="5">
        <v>76</v>
      </c>
    </row>
    <row r="4264" spans="1:11" x14ac:dyDescent="0.25">
      <c r="A4264" s="2">
        <v>46275.041666666657</v>
      </c>
      <c r="B4264" t="str">
        <f t="shared" si="132"/>
        <v>2026-09</v>
      </c>
      <c r="C4264" s="3">
        <f t="shared" si="133"/>
        <v>1</v>
      </c>
      <c r="D4264" s="4">
        <v>24.11326739018612</v>
      </c>
      <c r="E4264" s="4">
        <v>27.291854346758331</v>
      </c>
      <c r="F4264" s="4">
        <v>28.541028027652771</v>
      </c>
      <c r="G4264" s="4">
        <v>14.2</v>
      </c>
      <c r="H4264" s="5">
        <v>36.821386558555552</v>
      </c>
      <c r="I4264" s="5">
        <v>33.031235197999997</v>
      </c>
      <c r="J4264" s="5">
        <v>38.918729851036112</v>
      </c>
      <c r="K4264" s="5">
        <v>77</v>
      </c>
    </row>
    <row r="4265" spans="1:11" x14ac:dyDescent="0.25">
      <c r="A4265" s="2">
        <v>46275.083333333343</v>
      </c>
      <c r="B4265" t="str">
        <f t="shared" si="132"/>
        <v>2026-09</v>
      </c>
      <c r="C4265" s="3">
        <f t="shared" si="133"/>
        <v>2</v>
      </c>
      <c r="D4265" s="4">
        <v>24.900431649013889</v>
      </c>
      <c r="E4265" s="4">
        <v>26.93909714400278</v>
      </c>
      <c r="F4265" s="4">
        <v>28.557613852072219</v>
      </c>
      <c r="G4265" s="4">
        <v>13.7</v>
      </c>
      <c r="H4265" s="5">
        <v>36.082670985494453</v>
      </c>
      <c r="I4265" s="5">
        <v>33.645597992302783</v>
      </c>
      <c r="J4265" s="5">
        <v>39.011772476713887</v>
      </c>
      <c r="K4265" s="5">
        <v>78</v>
      </c>
    </row>
    <row r="4266" spans="1:11" x14ac:dyDescent="0.25">
      <c r="A4266" s="2">
        <v>46275.125</v>
      </c>
      <c r="B4266" t="str">
        <f t="shared" si="132"/>
        <v>2026-09</v>
      </c>
      <c r="C4266" s="3">
        <f t="shared" si="133"/>
        <v>3</v>
      </c>
      <c r="D4266" s="4">
        <v>25.001196893366672</v>
      </c>
      <c r="E4266" s="4">
        <v>26.675178787333341</v>
      </c>
      <c r="F4266" s="4">
        <v>28.547775217722229</v>
      </c>
      <c r="G4266" s="4">
        <v>12.7</v>
      </c>
      <c r="H4266" s="5">
        <v>35.713238929649997</v>
      </c>
      <c r="I4266" s="5">
        <v>33.745889101502783</v>
      </c>
      <c r="J4266" s="5">
        <v>39.090257705630563</v>
      </c>
      <c r="K4266" s="5">
        <v>81</v>
      </c>
    </row>
    <row r="4267" spans="1:11" x14ac:dyDescent="0.25">
      <c r="A4267" s="2">
        <v>46275.166666666657</v>
      </c>
      <c r="B4267" t="str">
        <f t="shared" si="132"/>
        <v>2026-09</v>
      </c>
      <c r="C4267" s="3">
        <f t="shared" si="133"/>
        <v>4</v>
      </c>
      <c r="D4267" s="4">
        <v>25.000555326055562</v>
      </c>
      <c r="E4267" s="4">
        <v>26.48056790396944</v>
      </c>
      <c r="F4267" s="4">
        <v>28.534774998544449</v>
      </c>
      <c r="G4267" s="4">
        <v>12.6</v>
      </c>
      <c r="H4267" s="5">
        <v>35.316232971294447</v>
      </c>
      <c r="I4267" s="5">
        <v>33.516454261094452</v>
      </c>
      <c r="J4267" s="5">
        <v>39.112027677091667</v>
      </c>
      <c r="K4267" s="5">
        <v>80</v>
      </c>
    </row>
    <row r="4268" spans="1:11" x14ac:dyDescent="0.25">
      <c r="A4268" s="2">
        <v>46275.208333333343</v>
      </c>
      <c r="B4268" t="str">
        <f t="shared" si="132"/>
        <v>2026-09</v>
      </c>
      <c r="C4268" s="3">
        <f t="shared" si="133"/>
        <v>5</v>
      </c>
      <c r="D4268" s="4">
        <v>24.914676072919441</v>
      </c>
      <c r="E4268" s="4">
        <v>26.42154483735834</v>
      </c>
      <c r="F4268" s="4">
        <v>28.525555478502781</v>
      </c>
      <c r="G4268" s="4">
        <v>12.2</v>
      </c>
      <c r="H4268" s="5">
        <v>34.802533098144437</v>
      </c>
      <c r="I4268" s="5">
        <v>33.088740759575003</v>
      </c>
      <c r="J4268" s="5">
        <v>39.080075850050001</v>
      </c>
      <c r="K4268" s="5">
        <v>81</v>
      </c>
    </row>
    <row r="4269" spans="1:11" x14ac:dyDescent="0.25">
      <c r="A4269" s="2">
        <v>46275.25</v>
      </c>
      <c r="B4269" t="str">
        <f t="shared" si="132"/>
        <v>2026-09</v>
      </c>
      <c r="C4269" s="3">
        <f t="shared" si="133"/>
        <v>6</v>
      </c>
      <c r="D4269" s="4">
        <v>25.13630830323611</v>
      </c>
      <c r="E4269" s="4">
        <v>26.489232264563888</v>
      </c>
      <c r="F4269" s="4">
        <v>28.504469839088891</v>
      </c>
      <c r="G4269" s="4">
        <v>12</v>
      </c>
      <c r="H4269" s="5">
        <v>33.643806021236109</v>
      </c>
      <c r="I4269" s="5">
        <v>32.453318358816666</v>
      </c>
      <c r="J4269" s="5">
        <v>39.039371511061113</v>
      </c>
      <c r="K4269" s="5">
        <v>81</v>
      </c>
    </row>
    <row r="4270" spans="1:11" x14ac:dyDescent="0.25">
      <c r="A4270" s="2">
        <v>46275.291666666657</v>
      </c>
      <c r="B4270" t="str">
        <f t="shared" si="132"/>
        <v>2026-09</v>
      </c>
      <c r="C4270" s="3">
        <f t="shared" si="133"/>
        <v>7</v>
      </c>
      <c r="D4270" s="4">
        <v>25.883816042491659</v>
      </c>
      <c r="E4270" s="4">
        <v>27.175172311230561</v>
      </c>
      <c r="F4270" s="4">
        <v>28.500931712347221</v>
      </c>
      <c r="G4270" s="4">
        <v>12.7</v>
      </c>
      <c r="H4270" s="5">
        <v>32.797431496105553</v>
      </c>
      <c r="I4270" s="5">
        <v>32.037061794433328</v>
      </c>
      <c r="J4270" s="5">
        <v>39.046699585266673</v>
      </c>
      <c r="K4270" s="5">
        <v>78</v>
      </c>
    </row>
    <row r="4271" spans="1:11" x14ac:dyDescent="0.25">
      <c r="A4271" s="2">
        <v>46275.333333333343</v>
      </c>
      <c r="B4271" t="str">
        <f t="shared" si="132"/>
        <v>2026-09</v>
      </c>
      <c r="C4271" s="3">
        <f t="shared" si="133"/>
        <v>8</v>
      </c>
      <c r="D4271" s="4">
        <v>26.50635903772778</v>
      </c>
      <c r="E4271" s="4">
        <v>28.07994000228889</v>
      </c>
      <c r="F4271" s="4">
        <v>28.51716942918889</v>
      </c>
      <c r="G4271" s="4">
        <v>14.9</v>
      </c>
      <c r="H4271" s="5">
        <v>32.636395114863888</v>
      </c>
      <c r="I4271" s="5">
        <v>30.719776742033329</v>
      </c>
      <c r="J4271" s="5">
        <v>39.097914297458331</v>
      </c>
      <c r="K4271" s="5">
        <v>73</v>
      </c>
    </row>
    <row r="4272" spans="1:11" x14ac:dyDescent="0.25">
      <c r="A4272" s="2">
        <v>46275.375</v>
      </c>
      <c r="B4272" t="str">
        <f t="shared" si="132"/>
        <v>2026-09</v>
      </c>
      <c r="C4272" s="3">
        <f t="shared" si="133"/>
        <v>9</v>
      </c>
      <c r="D4272" s="4">
        <v>26.935946245952781</v>
      </c>
      <c r="E4272" s="4">
        <v>29.365382101327778</v>
      </c>
      <c r="F4272" s="4">
        <v>28.555591189711109</v>
      </c>
      <c r="G4272" s="4">
        <v>18</v>
      </c>
      <c r="H4272" s="5">
        <v>33.764017426036112</v>
      </c>
      <c r="I4272" s="5">
        <v>29.998673974461109</v>
      </c>
      <c r="J4272" s="5">
        <v>39.185730115638883</v>
      </c>
      <c r="K4272" s="5">
        <v>63</v>
      </c>
    </row>
    <row r="4273" spans="1:11" x14ac:dyDescent="0.25">
      <c r="A4273" s="2">
        <v>46275.416666666657</v>
      </c>
      <c r="B4273" t="str">
        <f t="shared" si="132"/>
        <v>2026-09</v>
      </c>
      <c r="C4273" s="3">
        <f t="shared" si="133"/>
        <v>10</v>
      </c>
      <c r="D4273" s="4">
        <v>27.34044262699722</v>
      </c>
      <c r="E4273" s="4">
        <v>29.940752650016659</v>
      </c>
      <c r="F4273" s="4">
        <v>28.60769965054444</v>
      </c>
      <c r="G4273" s="4">
        <v>20.8</v>
      </c>
      <c r="H4273" s="5">
        <v>34.800257082394452</v>
      </c>
      <c r="I4273" s="5">
        <v>32.22571424757222</v>
      </c>
      <c r="J4273" s="5">
        <v>39.269404420838889</v>
      </c>
      <c r="K4273" s="5">
        <v>56</v>
      </c>
    </row>
    <row r="4274" spans="1:11" x14ac:dyDescent="0.25">
      <c r="A4274" s="2">
        <v>46275.458333333343</v>
      </c>
      <c r="B4274" t="str">
        <f t="shared" si="132"/>
        <v>2026-09</v>
      </c>
      <c r="C4274" s="3">
        <f t="shared" si="133"/>
        <v>11</v>
      </c>
      <c r="D4274" s="4">
        <v>27.556930096522219</v>
      </c>
      <c r="E4274" s="4">
        <v>30.36168807715833</v>
      </c>
      <c r="F4274" s="4">
        <v>28.658298175502779</v>
      </c>
      <c r="G4274" s="4">
        <v>23.2</v>
      </c>
      <c r="H4274" s="5">
        <v>36.515572827625</v>
      </c>
      <c r="I4274" s="5">
        <v>32.120912712299997</v>
      </c>
      <c r="J4274" s="5">
        <v>39.694680360083332</v>
      </c>
      <c r="K4274" s="5">
        <v>52</v>
      </c>
    </row>
    <row r="4275" spans="1:11" x14ac:dyDescent="0.25">
      <c r="A4275" s="2">
        <v>46275.5</v>
      </c>
      <c r="B4275" t="str">
        <f t="shared" si="132"/>
        <v>2026-09</v>
      </c>
      <c r="C4275" s="3">
        <f t="shared" si="133"/>
        <v>12</v>
      </c>
      <c r="D4275" s="4">
        <v>27.597958785058331</v>
      </c>
      <c r="E4275" s="4">
        <v>29.938474538202779</v>
      </c>
      <c r="F4275" s="4"/>
      <c r="G4275" s="4">
        <v>25</v>
      </c>
      <c r="H4275" s="5">
        <v>36.583299614163892</v>
      </c>
      <c r="I4275" s="5">
        <v>32.82748106781667</v>
      </c>
      <c r="J4275" s="5"/>
      <c r="K4275" s="5">
        <v>47</v>
      </c>
    </row>
    <row r="4276" spans="1:11" x14ac:dyDescent="0.25">
      <c r="A4276" s="2">
        <v>46275.541666666657</v>
      </c>
      <c r="B4276" t="str">
        <f t="shared" si="132"/>
        <v>2026-09</v>
      </c>
      <c r="C4276" s="3">
        <f t="shared" si="133"/>
        <v>13</v>
      </c>
      <c r="D4276" s="4">
        <v>27.472224187725001</v>
      </c>
      <c r="E4276" s="4">
        <v>29.052757477144439</v>
      </c>
      <c r="F4276" s="4"/>
      <c r="G4276" s="4">
        <v>26.2</v>
      </c>
      <c r="H4276" s="5">
        <v>35.258130440824999</v>
      </c>
      <c r="I4276" s="5">
        <v>36.289630124827767</v>
      </c>
      <c r="J4276" s="5"/>
      <c r="K4276" s="5">
        <v>42</v>
      </c>
    </row>
    <row r="4277" spans="1:11" x14ac:dyDescent="0.25">
      <c r="A4277" s="2">
        <v>46275.583333333343</v>
      </c>
      <c r="B4277" t="str">
        <f t="shared" si="132"/>
        <v>2026-09</v>
      </c>
      <c r="C4277" s="3">
        <f t="shared" si="133"/>
        <v>14</v>
      </c>
      <c r="D4277" s="4">
        <v>27.39446026832222</v>
      </c>
      <c r="E4277" s="4">
        <v>28.773541897113891</v>
      </c>
      <c r="F4277" s="4"/>
      <c r="G4277" s="4">
        <v>26.8</v>
      </c>
      <c r="H4277" s="5">
        <v>34.585822272158332</v>
      </c>
      <c r="I4277" s="5">
        <v>35.341714934913888</v>
      </c>
      <c r="J4277" s="5"/>
      <c r="K4277" s="5">
        <v>40</v>
      </c>
    </row>
    <row r="4278" spans="1:11" x14ac:dyDescent="0.25">
      <c r="A4278" s="2">
        <v>46275.625</v>
      </c>
      <c r="B4278" t="str">
        <f t="shared" si="132"/>
        <v>2026-09</v>
      </c>
      <c r="C4278" s="3">
        <f t="shared" si="133"/>
        <v>15</v>
      </c>
      <c r="D4278" s="4">
        <v>27.42780314760833</v>
      </c>
      <c r="E4278" s="4">
        <v>29.009432025166671</v>
      </c>
      <c r="F4278" s="4"/>
      <c r="G4278" s="4">
        <v>28.1</v>
      </c>
      <c r="H4278" s="5">
        <v>34.56910587771111</v>
      </c>
      <c r="I4278" s="5">
        <v>35.456500113125003</v>
      </c>
      <c r="J4278" s="5"/>
      <c r="K4278" s="5">
        <v>35</v>
      </c>
    </row>
    <row r="4279" spans="1:11" x14ac:dyDescent="0.25">
      <c r="A4279" s="2">
        <v>46275.666666666657</v>
      </c>
      <c r="B4279" t="str">
        <f t="shared" si="132"/>
        <v>2026-09</v>
      </c>
      <c r="C4279" s="3">
        <f t="shared" si="133"/>
        <v>16</v>
      </c>
      <c r="D4279" s="4">
        <v>27.40556390411945</v>
      </c>
      <c r="E4279" s="4">
        <v>28.87663373083889</v>
      </c>
      <c r="F4279" s="4"/>
      <c r="G4279" s="4">
        <v>28.2</v>
      </c>
      <c r="H4279" s="5">
        <v>35.566989739319453</v>
      </c>
      <c r="I4279" s="5">
        <v>34.355536113130547</v>
      </c>
      <c r="J4279" s="5"/>
      <c r="K4279" s="5">
        <v>34</v>
      </c>
    </row>
    <row r="4280" spans="1:11" x14ac:dyDescent="0.25">
      <c r="A4280" s="2">
        <v>46275.708333333343</v>
      </c>
      <c r="B4280" t="str">
        <f t="shared" si="132"/>
        <v>2026-09</v>
      </c>
      <c r="C4280" s="3">
        <f t="shared" si="133"/>
        <v>17</v>
      </c>
      <c r="D4280" s="4">
        <v>27.46855896449167</v>
      </c>
      <c r="E4280" s="4">
        <v>28.724227010086111</v>
      </c>
      <c r="F4280" s="4"/>
      <c r="G4280" s="4">
        <v>27.7</v>
      </c>
      <c r="H4280" s="5">
        <v>34.067666613686107</v>
      </c>
      <c r="I4280" s="5">
        <v>37.200627293841663</v>
      </c>
      <c r="J4280" s="5"/>
      <c r="K4280" s="5">
        <v>34</v>
      </c>
    </row>
    <row r="4281" spans="1:11" x14ac:dyDescent="0.25">
      <c r="A4281" s="2">
        <v>46275.75</v>
      </c>
      <c r="B4281" t="str">
        <f t="shared" si="132"/>
        <v>2026-09</v>
      </c>
      <c r="C4281" s="3">
        <f t="shared" si="133"/>
        <v>18</v>
      </c>
      <c r="D4281" s="4">
        <v>27.340626766250001</v>
      </c>
      <c r="E4281" s="4">
        <v>28.929928587361111</v>
      </c>
      <c r="F4281" s="4"/>
      <c r="G4281" s="4">
        <v>26.4</v>
      </c>
      <c r="H4281" s="5">
        <v>34.647345132586111</v>
      </c>
      <c r="I4281" s="5">
        <v>36.852364599436108</v>
      </c>
      <c r="J4281" s="5"/>
      <c r="K4281" s="5">
        <v>38</v>
      </c>
    </row>
    <row r="4282" spans="1:11" x14ac:dyDescent="0.25">
      <c r="A4282" s="2">
        <v>46275.791666666657</v>
      </c>
      <c r="B4282" t="str">
        <f t="shared" si="132"/>
        <v>2026-09</v>
      </c>
      <c r="C4282" s="3">
        <f t="shared" si="133"/>
        <v>19</v>
      </c>
      <c r="D4282" s="4">
        <v>26.891162535405559</v>
      </c>
      <c r="E4282" s="4">
        <v>28.387182490230561</v>
      </c>
      <c r="F4282" s="4"/>
      <c r="G4282" s="4">
        <v>24.2</v>
      </c>
      <c r="H4282" s="5">
        <v>37.005825082080563</v>
      </c>
      <c r="I4282" s="5">
        <v>37.980431910702777</v>
      </c>
      <c r="J4282" s="5"/>
      <c r="K4282" s="5">
        <v>45</v>
      </c>
    </row>
    <row r="4283" spans="1:11" x14ac:dyDescent="0.25">
      <c r="A4283" s="2">
        <v>46275.833333333343</v>
      </c>
      <c r="B4283" t="str">
        <f t="shared" si="132"/>
        <v>2026-09</v>
      </c>
      <c r="C4283" s="3">
        <f t="shared" si="133"/>
        <v>20</v>
      </c>
      <c r="D4283" s="4">
        <v>26.52990190766667</v>
      </c>
      <c r="E4283" s="4">
        <v>28.573049431772219</v>
      </c>
      <c r="F4283" s="4"/>
      <c r="G4283" s="4">
        <v>22.7</v>
      </c>
      <c r="H4283" s="5">
        <v>38.239987734613891</v>
      </c>
      <c r="I4283" s="5">
        <v>37.440397093355557</v>
      </c>
      <c r="J4283" s="5"/>
      <c r="K4283" s="5">
        <v>50</v>
      </c>
    </row>
    <row r="4284" spans="1:11" x14ac:dyDescent="0.25">
      <c r="A4284" s="2">
        <v>46275.875</v>
      </c>
      <c r="B4284" t="str">
        <f t="shared" si="132"/>
        <v>2026-09</v>
      </c>
      <c r="C4284" s="3">
        <f t="shared" si="133"/>
        <v>21</v>
      </c>
      <c r="D4284" s="4">
        <v>26.289390121516661</v>
      </c>
      <c r="E4284" s="4">
        <v>28.816656656816669</v>
      </c>
      <c r="F4284" s="4"/>
      <c r="G4284" s="4">
        <v>21.7</v>
      </c>
      <c r="H4284" s="5">
        <v>39.470139540683327</v>
      </c>
      <c r="I4284" s="5">
        <v>39.151600132122219</v>
      </c>
      <c r="J4284" s="5"/>
      <c r="K4284" s="5">
        <v>51</v>
      </c>
    </row>
    <row r="4285" spans="1:11" x14ac:dyDescent="0.25">
      <c r="A4285" s="2">
        <v>46275.916666666657</v>
      </c>
      <c r="B4285" t="str">
        <f t="shared" si="132"/>
        <v>2026-09</v>
      </c>
      <c r="C4285" s="3">
        <f t="shared" si="133"/>
        <v>22</v>
      </c>
      <c r="D4285" s="4">
        <v>25.986265274866671</v>
      </c>
      <c r="E4285" s="4">
        <v>28.316157096711109</v>
      </c>
      <c r="F4285" s="4"/>
      <c r="G4285" s="4">
        <v>20.9</v>
      </c>
      <c r="H4285" s="5">
        <v>38.889574255741671</v>
      </c>
      <c r="I4285" s="5">
        <v>38.015565299722219</v>
      </c>
      <c r="J4285" s="5"/>
      <c r="K4285" s="5">
        <v>53</v>
      </c>
    </row>
    <row r="4286" spans="1:11" x14ac:dyDescent="0.25">
      <c r="A4286" s="2">
        <v>46275.958333333343</v>
      </c>
      <c r="B4286" t="str">
        <f t="shared" si="132"/>
        <v>2026-09</v>
      </c>
      <c r="C4286" s="3">
        <f t="shared" si="133"/>
        <v>23</v>
      </c>
      <c r="D4286" s="4">
        <v>25.92304219434444</v>
      </c>
      <c r="E4286" s="4">
        <v>28.03122024690833</v>
      </c>
      <c r="F4286" s="4"/>
      <c r="G4286" s="4">
        <v>20.399999999999999</v>
      </c>
      <c r="H4286" s="5">
        <v>38.203878603055557</v>
      </c>
      <c r="I4286" s="5">
        <v>36.46989555986945</v>
      </c>
      <c r="J4286" s="5"/>
      <c r="K4286" s="5">
        <v>54</v>
      </c>
    </row>
    <row r="4287" spans="1:11" x14ac:dyDescent="0.25">
      <c r="A4287" s="2">
        <v>46276</v>
      </c>
      <c r="B4287" t="str">
        <f t="shared" si="132"/>
        <v>2026-09</v>
      </c>
      <c r="C4287" s="3">
        <f t="shared" si="133"/>
        <v>0</v>
      </c>
      <c r="D4287" s="4">
        <v>25.716432939616659</v>
      </c>
      <c r="E4287" s="4">
        <v>27.511545235838891</v>
      </c>
      <c r="F4287" s="4"/>
      <c r="G4287" s="4">
        <v>19.899999999999999</v>
      </c>
      <c r="H4287" s="5">
        <v>38.167154989083343</v>
      </c>
      <c r="I4287" s="5">
        <v>37.502566181366667</v>
      </c>
      <c r="J4287" s="5"/>
      <c r="K4287" s="5">
        <v>56</v>
      </c>
    </row>
    <row r="4288" spans="1:11" x14ac:dyDescent="0.25">
      <c r="A4288" s="2">
        <v>46276.041666666657</v>
      </c>
      <c r="B4288" t="str">
        <f t="shared" si="132"/>
        <v>2026-09</v>
      </c>
      <c r="C4288" s="3">
        <f t="shared" si="133"/>
        <v>1</v>
      </c>
      <c r="D4288" s="4">
        <v>25.244109153830561</v>
      </c>
      <c r="E4288" s="4">
        <v>27.22300402737222</v>
      </c>
      <c r="F4288" s="4"/>
      <c r="G4288" s="4">
        <v>19.3</v>
      </c>
      <c r="H4288" s="5">
        <v>39.175461246788892</v>
      </c>
      <c r="I4288" s="5">
        <v>37.336647088541667</v>
      </c>
      <c r="J4288" s="5"/>
      <c r="K4288" s="5">
        <v>58</v>
      </c>
    </row>
    <row r="4289" spans="1:11" x14ac:dyDescent="0.25">
      <c r="A4289" s="2">
        <v>46276.083333333343</v>
      </c>
      <c r="B4289" t="str">
        <f t="shared" si="132"/>
        <v>2026-09</v>
      </c>
      <c r="C4289" s="3">
        <f t="shared" si="133"/>
        <v>2</v>
      </c>
      <c r="D4289" s="4">
        <v>24.624190066194441</v>
      </c>
      <c r="E4289" s="4">
        <v>26.92414099162222</v>
      </c>
      <c r="F4289" s="4"/>
      <c r="G4289" s="4">
        <v>18.7</v>
      </c>
      <c r="H4289" s="5">
        <v>40.332449695530563</v>
      </c>
      <c r="I4289" s="5">
        <v>36.59523787233055</v>
      </c>
      <c r="J4289" s="5"/>
      <c r="K4289" s="5">
        <v>60</v>
      </c>
    </row>
    <row r="4290" spans="1:11" x14ac:dyDescent="0.25">
      <c r="A4290" s="2">
        <v>46276.125</v>
      </c>
      <c r="B4290" t="str">
        <f t="shared" ref="B4290:B4353" si="134">TEXT(A4290,"yyyy-mm")</f>
        <v>2026-09</v>
      </c>
      <c r="C4290" s="3">
        <f t="shared" ref="C4290:C4353" si="135">HOUR(A4290)</f>
        <v>3</v>
      </c>
      <c r="D4290" s="4">
        <v>24.42906591594722</v>
      </c>
      <c r="E4290" s="4">
        <v>26.706729343138889</v>
      </c>
      <c r="F4290" s="4"/>
      <c r="G4290" s="4">
        <v>17.7</v>
      </c>
      <c r="H4290" s="5">
        <v>40.836570064033332</v>
      </c>
      <c r="I4290" s="5">
        <v>36.782914790222222</v>
      </c>
      <c r="J4290" s="5"/>
      <c r="K4290" s="5">
        <v>67</v>
      </c>
    </row>
    <row r="4291" spans="1:11" x14ac:dyDescent="0.25">
      <c r="A4291" s="2">
        <v>46276.166666666657</v>
      </c>
      <c r="B4291" t="str">
        <f t="shared" si="134"/>
        <v>2026-09</v>
      </c>
      <c r="C4291" s="3">
        <f t="shared" si="135"/>
        <v>4</v>
      </c>
      <c r="D4291" s="4">
        <v>23.723844606002771</v>
      </c>
      <c r="E4291" s="4">
        <v>26.378127174697219</v>
      </c>
      <c r="F4291" s="4"/>
      <c r="G4291" s="4">
        <v>17.5</v>
      </c>
      <c r="H4291" s="5">
        <v>42.192689762299999</v>
      </c>
      <c r="I4291" s="5">
        <v>36.944586720736112</v>
      </c>
      <c r="J4291" s="5"/>
      <c r="K4291" s="5">
        <v>69</v>
      </c>
    </row>
    <row r="4292" spans="1:11" x14ac:dyDescent="0.25">
      <c r="A4292" s="2">
        <v>46276.208333333343</v>
      </c>
      <c r="B4292" t="str">
        <f t="shared" si="134"/>
        <v>2026-09</v>
      </c>
      <c r="C4292" s="3">
        <f t="shared" si="135"/>
        <v>5</v>
      </c>
      <c r="D4292" s="4">
        <v>23.484994449508331</v>
      </c>
      <c r="E4292" s="4">
        <v>26.223134814163888</v>
      </c>
      <c r="F4292" s="4"/>
      <c r="G4292" s="4">
        <v>17.399999999999999</v>
      </c>
      <c r="H4292" s="5">
        <v>43.456590885883337</v>
      </c>
      <c r="I4292" s="5">
        <v>37.430136283505561</v>
      </c>
      <c r="J4292" s="5"/>
      <c r="K4292" s="5">
        <v>71</v>
      </c>
    </row>
    <row r="4293" spans="1:11" x14ac:dyDescent="0.25">
      <c r="A4293" s="2">
        <v>46276.25</v>
      </c>
      <c r="B4293" t="str">
        <f t="shared" si="134"/>
        <v>2026-09</v>
      </c>
      <c r="C4293" s="3">
        <f t="shared" si="135"/>
        <v>6</v>
      </c>
      <c r="D4293" s="4">
        <v>23.659186884905559</v>
      </c>
      <c r="E4293" s="4">
        <v>26.218286755575001</v>
      </c>
      <c r="F4293" s="4"/>
      <c r="G4293" s="4">
        <v>16.899999999999999</v>
      </c>
      <c r="H4293" s="5">
        <v>43.860162978163878</v>
      </c>
      <c r="I4293" s="5">
        <v>37.97066599294444</v>
      </c>
      <c r="J4293" s="5"/>
      <c r="K4293" s="5">
        <v>74</v>
      </c>
    </row>
    <row r="4294" spans="1:11" x14ac:dyDescent="0.25">
      <c r="A4294" s="2">
        <v>46276.291666666657</v>
      </c>
      <c r="B4294" t="str">
        <f t="shared" si="134"/>
        <v>2026-09</v>
      </c>
      <c r="C4294" s="3">
        <f t="shared" si="135"/>
        <v>7</v>
      </c>
      <c r="D4294" s="4">
        <v>23.892636218377781</v>
      </c>
      <c r="E4294" s="4">
        <v>26.22454232817778</v>
      </c>
      <c r="F4294" s="4"/>
      <c r="G4294" s="4">
        <v>17.2</v>
      </c>
      <c r="H4294" s="5">
        <v>44.443315991166664</v>
      </c>
      <c r="I4294" s="5">
        <v>38.850717006444448</v>
      </c>
      <c r="J4294" s="5"/>
      <c r="K4294" s="5">
        <v>74</v>
      </c>
    </row>
    <row r="4295" spans="1:11" x14ac:dyDescent="0.25">
      <c r="A4295" s="2">
        <v>46276.333333333343</v>
      </c>
      <c r="B4295" t="str">
        <f t="shared" si="134"/>
        <v>2026-09</v>
      </c>
      <c r="C4295" s="3">
        <f t="shared" si="135"/>
        <v>8</v>
      </c>
      <c r="D4295" s="4">
        <v>24.09730387903889</v>
      </c>
      <c r="E4295" s="4">
        <v>26.276210192205561</v>
      </c>
      <c r="F4295" s="4"/>
      <c r="G4295" s="4">
        <v>18.5</v>
      </c>
      <c r="H4295" s="5">
        <v>45.057622205149997</v>
      </c>
      <c r="I4295" s="5">
        <v>39.645448447422218</v>
      </c>
      <c r="J4295" s="5"/>
      <c r="K4295" s="5">
        <v>71</v>
      </c>
    </row>
    <row r="4296" spans="1:11" x14ac:dyDescent="0.25">
      <c r="A4296" s="2">
        <v>46276.375</v>
      </c>
      <c r="B4296" t="str">
        <f t="shared" si="134"/>
        <v>2026-09</v>
      </c>
      <c r="C4296" s="3">
        <f t="shared" si="135"/>
        <v>9</v>
      </c>
      <c r="D4296" s="4">
        <v>24.544552139844441</v>
      </c>
      <c r="E4296" s="4">
        <v>26.39733448948612</v>
      </c>
      <c r="F4296" s="4"/>
      <c r="G4296" s="4">
        <v>18.8</v>
      </c>
      <c r="H4296" s="5">
        <v>45.283242654388893</v>
      </c>
      <c r="I4296" s="5">
        <v>40.299053462433328</v>
      </c>
      <c r="J4296" s="5"/>
      <c r="K4296" s="5">
        <v>71</v>
      </c>
    </row>
    <row r="4297" spans="1:11" x14ac:dyDescent="0.25">
      <c r="A4297" s="2">
        <v>46276.416666666657</v>
      </c>
      <c r="B4297" t="str">
        <f t="shared" si="134"/>
        <v>2026-09</v>
      </c>
      <c r="C4297" s="3">
        <f t="shared" si="135"/>
        <v>10</v>
      </c>
      <c r="D4297" s="4">
        <v>24.408764937325</v>
      </c>
      <c r="E4297" s="4">
        <v>26.425693277124999</v>
      </c>
      <c r="F4297" s="4"/>
      <c r="G4297" s="4">
        <v>20.7</v>
      </c>
      <c r="H4297" s="5">
        <v>47.634104223908331</v>
      </c>
      <c r="I4297" s="5">
        <v>41.60255438934167</v>
      </c>
      <c r="J4297" s="5"/>
      <c r="K4297" s="5">
        <v>67</v>
      </c>
    </row>
    <row r="4298" spans="1:11" x14ac:dyDescent="0.25">
      <c r="A4298" s="2">
        <v>46276.458333333343</v>
      </c>
      <c r="B4298" t="str">
        <f t="shared" si="134"/>
        <v>2026-09</v>
      </c>
      <c r="C4298" s="3">
        <f t="shared" si="135"/>
        <v>11</v>
      </c>
      <c r="D4298" s="4">
        <v>24.066274487113891</v>
      </c>
      <c r="E4298" s="4">
        <v>26.66623983712778</v>
      </c>
      <c r="F4298" s="4"/>
      <c r="G4298" s="4">
        <v>21.4</v>
      </c>
      <c r="H4298" s="5">
        <v>52.269383925350013</v>
      </c>
      <c r="I4298" s="5">
        <v>44.858187344902781</v>
      </c>
      <c r="J4298" s="5"/>
      <c r="K4298" s="5">
        <v>66</v>
      </c>
    </row>
    <row r="4299" spans="1:11" x14ac:dyDescent="0.25">
      <c r="A4299" s="2">
        <v>46276.5</v>
      </c>
      <c r="B4299" t="str">
        <f t="shared" si="134"/>
        <v>2026-09</v>
      </c>
      <c r="C4299" s="3">
        <f t="shared" si="135"/>
        <v>12</v>
      </c>
      <c r="D4299" s="4">
        <v>24.295375241811112</v>
      </c>
      <c r="E4299" s="4">
        <v>26.93655718449444</v>
      </c>
      <c r="F4299" s="4"/>
      <c r="G4299" s="4">
        <v>20.7</v>
      </c>
      <c r="H4299" s="5">
        <v>52.156813356577779</v>
      </c>
      <c r="I4299" s="5">
        <v>44.93155246645</v>
      </c>
      <c r="J4299" s="5"/>
      <c r="K4299" s="5">
        <v>68</v>
      </c>
    </row>
    <row r="4300" spans="1:11" x14ac:dyDescent="0.25">
      <c r="A4300" s="2">
        <v>46276.541666666657</v>
      </c>
      <c r="B4300" t="str">
        <f t="shared" si="134"/>
        <v>2026-09</v>
      </c>
      <c r="C4300" s="3">
        <f t="shared" si="135"/>
        <v>13</v>
      </c>
      <c r="D4300" s="4"/>
      <c r="E4300" s="4">
        <v>26.962519318861109</v>
      </c>
      <c r="F4300" s="4"/>
      <c r="G4300" s="4">
        <v>21.2</v>
      </c>
      <c r="H4300" s="5"/>
      <c r="I4300" s="5">
        <v>44.527339962591668</v>
      </c>
      <c r="J4300" s="5"/>
      <c r="K4300" s="5">
        <v>62</v>
      </c>
    </row>
    <row r="4301" spans="1:11" x14ac:dyDescent="0.25">
      <c r="A4301" s="2">
        <v>46276.583333333343</v>
      </c>
      <c r="B4301" t="str">
        <f t="shared" si="134"/>
        <v>2026-09</v>
      </c>
      <c r="C4301" s="3">
        <f t="shared" si="135"/>
        <v>14</v>
      </c>
      <c r="D4301" s="4"/>
      <c r="E4301" s="4">
        <v>26.878345718352779</v>
      </c>
      <c r="F4301" s="4"/>
      <c r="G4301" s="4">
        <v>22.6</v>
      </c>
      <c r="H4301" s="5"/>
      <c r="I4301" s="5">
        <v>39.201717853383343</v>
      </c>
      <c r="J4301" s="5"/>
      <c r="K4301" s="5">
        <v>50</v>
      </c>
    </row>
    <row r="4302" spans="1:11" x14ac:dyDescent="0.25">
      <c r="A4302" s="2">
        <v>46276.625</v>
      </c>
      <c r="B4302" t="str">
        <f t="shared" si="134"/>
        <v>2026-09</v>
      </c>
      <c r="C4302" s="3">
        <f t="shared" si="135"/>
        <v>15</v>
      </c>
      <c r="D4302" s="4">
        <v>25.07814038234087</v>
      </c>
      <c r="E4302" s="4">
        <v>27.02330768288612</v>
      </c>
      <c r="F4302" s="4"/>
      <c r="G4302" s="4">
        <v>23.2</v>
      </c>
      <c r="H4302" s="5">
        <v>38.315719900628977</v>
      </c>
      <c r="I4302" s="5">
        <v>38.491383336736106</v>
      </c>
      <c r="J4302" s="5"/>
      <c r="K4302" s="5">
        <v>43</v>
      </c>
    </row>
    <row r="4303" spans="1:11" x14ac:dyDescent="0.25">
      <c r="A4303" s="2">
        <v>46276.666666666657</v>
      </c>
      <c r="B4303" t="str">
        <f t="shared" si="134"/>
        <v>2026-09</v>
      </c>
      <c r="C4303" s="3">
        <f t="shared" si="135"/>
        <v>16</v>
      </c>
      <c r="D4303" s="4">
        <v>25.469429464002779</v>
      </c>
      <c r="E4303" s="4">
        <v>27.53054474655</v>
      </c>
      <c r="F4303" s="4"/>
      <c r="G4303" s="4">
        <v>23.2</v>
      </c>
      <c r="H4303" s="5">
        <v>36.993965876394448</v>
      </c>
      <c r="I4303" s="5">
        <v>38.943400005402772</v>
      </c>
      <c r="J4303" s="5"/>
      <c r="K4303" s="5">
        <v>40</v>
      </c>
    </row>
    <row r="4304" spans="1:11" x14ac:dyDescent="0.25">
      <c r="A4304" s="2">
        <v>46276.708333333343</v>
      </c>
      <c r="B4304" t="str">
        <f t="shared" si="134"/>
        <v>2026-09</v>
      </c>
      <c r="C4304" s="3">
        <f t="shared" si="135"/>
        <v>17</v>
      </c>
      <c r="D4304" s="4">
        <v>25.712810071552781</v>
      </c>
      <c r="E4304" s="4">
        <v>27.62953418805278</v>
      </c>
      <c r="F4304" s="4"/>
      <c r="G4304" s="4">
        <v>22.7</v>
      </c>
      <c r="H4304" s="5">
        <v>37.573788009927767</v>
      </c>
      <c r="I4304" s="5">
        <v>38.126954544908337</v>
      </c>
      <c r="J4304" s="5"/>
      <c r="K4304" s="5">
        <v>39</v>
      </c>
    </row>
    <row r="4305" spans="1:11" x14ac:dyDescent="0.25">
      <c r="A4305" s="2">
        <v>46276.75</v>
      </c>
      <c r="B4305" t="str">
        <f t="shared" si="134"/>
        <v>2026-09</v>
      </c>
      <c r="C4305" s="3">
        <f t="shared" si="135"/>
        <v>18</v>
      </c>
      <c r="D4305" s="4">
        <v>25.59466588230833</v>
      </c>
      <c r="E4305" s="4">
        <v>28.007233030697229</v>
      </c>
      <c r="F4305" s="4"/>
      <c r="G4305" s="4">
        <v>21.8</v>
      </c>
      <c r="H4305" s="5">
        <v>37.788530113177778</v>
      </c>
      <c r="I4305" s="5">
        <v>37.88379286393333</v>
      </c>
      <c r="J4305" s="5"/>
      <c r="K4305" s="5">
        <v>42</v>
      </c>
    </row>
    <row r="4306" spans="1:11" x14ac:dyDescent="0.25">
      <c r="A4306" s="2">
        <v>46276.791666666657</v>
      </c>
      <c r="B4306" t="str">
        <f t="shared" si="134"/>
        <v>2026-09</v>
      </c>
      <c r="C4306" s="3">
        <f t="shared" si="135"/>
        <v>19</v>
      </c>
      <c r="D4306" s="4">
        <v>24.942971557111111</v>
      </c>
      <c r="E4306" s="4">
        <v>28.023029909052781</v>
      </c>
      <c r="F4306" s="4"/>
      <c r="G4306" s="4">
        <v>20.3</v>
      </c>
      <c r="H4306" s="5">
        <v>40.212964321352779</v>
      </c>
      <c r="I4306" s="5">
        <v>36.922826931347217</v>
      </c>
      <c r="J4306" s="5"/>
      <c r="K4306" s="5">
        <v>49</v>
      </c>
    </row>
    <row r="4307" spans="1:11" x14ac:dyDescent="0.25">
      <c r="A4307" s="2">
        <v>46276.833333333343</v>
      </c>
      <c r="B4307" t="str">
        <f t="shared" si="134"/>
        <v>2026-09</v>
      </c>
      <c r="C4307" s="3">
        <f t="shared" si="135"/>
        <v>20</v>
      </c>
      <c r="D4307" s="4">
        <v>24.604654583622221</v>
      </c>
      <c r="E4307" s="4">
        <v>27.90982508746389</v>
      </c>
      <c r="F4307" s="4"/>
      <c r="G4307" s="4">
        <v>19</v>
      </c>
      <c r="H4307" s="5">
        <v>40.955188391705562</v>
      </c>
      <c r="I4307" s="5">
        <v>36.890388462944443</v>
      </c>
      <c r="J4307" s="5"/>
      <c r="K4307" s="5">
        <v>57</v>
      </c>
    </row>
    <row r="4308" spans="1:11" x14ac:dyDescent="0.25">
      <c r="A4308" s="2">
        <v>46276.875</v>
      </c>
      <c r="B4308" t="str">
        <f t="shared" si="134"/>
        <v>2026-09</v>
      </c>
      <c r="C4308" s="3">
        <f t="shared" si="135"/>
        <v>21</v>
      </c>
      <c r="D4308" s="4">
        <v>23.916589448713889</v>
      </c>
      <c r="E4308" s="4">
        <v>27.287065603702789</v>
      </c>
      <c r="F4308" s="4"/>
      <c r="G4308" s="4">
        <v>17.8</v>
      </c>
      <c r="H4308" s="5">
        <v>41.827096642583342</v>
      </c>
      <c r="I4308" s="5">
        <v>37.509334526208328</v>
      </c>
      <c r="J4308" s="5"/>
      <c r="K4308" s="5">
        <v>63</v>
      </c>
    </row>
    <row r="4309" spans="1:11" x14ac:dyDescent="0.25">
      <c r="A4309" s="2">
        <v>46276.916666666657</v>
      </c>
      <c r="B4309" t="str">
        <f t="shared" si="134"/>
        <v>2026-09</v>
      </c>
      <c r="C4309" s="3">
        <f t="shared" si="135"/>
        <v>22</v>
      </c>
      <c r="D4309" s="4">
        <v>23.36774856185</v>
      </c>
      <c r="E4309" s="4">
        <v>26.987089565950001</v>
      </c>
      <c r="F4309" s="4"/>
      <c r="G4309" s="4">
        <v>17.100000000000001</v>
      </c>
      <c r="H4309" s="5">
        <v>41.843249802286117</v>
      </c>
      <c r="I4309" s="5">
        <v>36.110942514330553</v>
      </c>
      <c r="J4309" s="5"/>
      <c r="K4309" s="5">
        <v>66</v>
      </c>
    </row>
    <row r="4310" spans="1:11" x14ac:dyDescent="0.25">
      <c r="A4310" s="2">
        <v>46276.958333333343</v>
      </c>
      <c r="B4310" t="str">
        <f t="shared" si="134"/>
        <v>2026-09</v>
      </c>
      <c r="C4310" s="3">
        <f t="shared" si="135"/>
        <v>23</v>
      </c>
      <c r="D4310" s="4">
        <v>23.227318347666671</v>
      </c>
      <c r="E4310" s="4">
        <v>27.287639859725001</v>
      </c>
      <c r="F4310" s="4"/>
      <c r="G4310" s="4">
        <v>16.399999999999999</v>
      </c>
      <c r="H4310" s="5">
        <v>41.58352607251944</v>
      </c>
      <c r="I4310" s="5">
        <v>35.050613357866673</v>
      </c>
      <c r="J4310" s="5"/>
      <c r="K4310" s="5">
        <v>69</v>
      </c>
    </row>
    <row r="4311" spans="1:11" x14ac:dyDescent="0.25">
      <c r="A4311" s="2">
        <v>46277</v>
      </c>
      <c r="B4311" t="str">
        <f t="shared" si="134"/>
        <v>2026-09</v>
      </c>
      <c r="C4311" s="3">
        <f t="shared" si="135"/>
        <v>0</v>
      </c>
      <c r="D4311" s="4">
        <v>23.03638117423889</v>
      </c>
      <c r="E4311" s="4">
        <v>27.279311440027779</v>
      </c>
      <c r="F4311" s="4"/>
      <c r="G4311" s="4">
        <v>15.5</v>
      </c>
      <c r="H4311" s="5">
        <v>40.292220380186123</v>
      </c>
      <c r="I4311" s="5">
        <v>34.384033357205553</v>
      </c>
      <c r="J4311" s="5"/>
      <c r="K4311" s="5">
        <v>71</v>
      </c>
    </row>
    <row r="4312" spans="1:11" x14ac:dyDescent="0.25">
      <c r="A4312" s="2">
        <v>46277.041666666657</v>
      </c>
      <c r="B4312" t="str">
        <f t="shared" si="134"/>
        <v>2026-09</v>
      </c>
      <c r="C4312" s="3">
        <f t="shared" si="135"/>
        <v>1</v>
      </c>
      <c r="D4312" s="4">
        <v>22.40075937703611</v>
      </c>
      <c r="E4312" s="4">
        <v>26.75229081641389</v>
      </c>
      <c r="F4312" s="4"/>
      <c r="G4312" s="4">
        <v>14.9</v>
      </c>
      <c r="H4312" s="5">
        <v>41.62548359651111</v>
      </c>
      <c r="I4312" s="5">
        <v>34.776726405058326</v>
      </c>
      <c r="J4312" s="5"/>
      <c r="K4312" s="5">
        <v>71</v>
      </c>
    </row>
    <row r="4313" spans="1:11" x14ac:dyDescent="0.25">
      <c r="A4313" s="2">
        <v>46277.083333333343</v>
      </c>
      <c r="B4313" t="str">
        <f t="shared" si="134"/>
        <v>2026-09</v>
      </c>
      <c r="C4313" s="3">
        <f t="shared" si="135"/>
        <v>2</v>
      </c>
      <c r="D4313" s="4">
        <v>22.526903482994449</v>
      </c>
      <c r="E4313" s="4">
        <v>26.09662531264722</v>
      </c>
      <c r="F4313" s="4"/>
      <c r="G4313" s="4">
        <v>14.5</v>
      </c>
      <c r="H4313" s="5">
        <v>40.394255973308333</v>
      </c>
      <c r="I4313" s="5">
        <v>35.451068822219447</v>
      </c>
      <c r="J4313" s="5"/>
      <c r="K4313" s="5">
        <v>70</v>
      </c>
    </row>
    <row r="4314" spans="1:11" x14ac:dyDescent="0.25">
      <c r="A4314" s="2">
        <v>46277.125</v>
      </c>
      <c r="B4314" t="str">
        <f t="shared" si="134"/>
        <v>2026-09</v>
      </c>
      <c r="C4314" s="3">
        <f t="shared" si="135"/>
        <v>3</v>
      </c>
      <c r="D4314" s="4">
        <v>22.566416571325</v>
      </c>
      <c r="E4314" s="4">
        <v>25.622214737988891</v>
      </c>
      <c r="F4314" s="4"/>
      <c r="G4314" s="4">
        <v>13.5</v>
      </c>
      <c r="H4314" s="5">
        <v>39.013906567897223</v>
      </c>
      <c r="I4314" s="5">
        <v>34.013392946099998</v>
      </c>
      <c r="J4314" s="5"/>
      <c r="K4314" s="5">
        <v>69</v>
      </c>
    </row>
    <row r="4315" spans="1:11" x14ac:dyDescent="0.25">
      <c r="A4315" s="2">
        <v>46277.166666666657</v>
      </c>
      <c r="B4315" t="str">
        <f t="shared" si="134"/>
        <v>2026-09</v>
      </c>
      <c r="C4315" s="3">
        <f t="shared" si="135"/>
        <v>4</v>
      </c>
      <c r="D4315" s="4">
        <v>22.086781615633331</v>
      </c>
      <c r="E4315" s="4">
        <v>25.314085718811121</v>
      </c>
      <c r="F4315" s="4"/>
      <c r="G4315" s="4">
        <v>13.2</v>
      </c>
      <c r="H4315" s="5">
        <v>40.242712990716669</v>
      </c>
      <c r="I4315" s="5">
        <v>34.205801302752782</v>
      </c>
      <c r="J4315" s="5"/>
      <c r="K4315" s="5">
        <v>70</v>
      </c>
    </row>
    <row r="4316" spans="1:11" x14ac:dyDescent="0.25">
      <c r="A4316" s="2">
        <v>46277.208333333343</v>
      </c>
      <c r="B4316" t="str">
        <f t="shared" si="134"/>
        <v>2026-09</v>
      </c>
      <c r="C4316" s="3">
        <f t="shared" si="135"/>
        <v>5</v>
      </c>
      <c r="D4316" s="4">
        <v>21.820926033425</v>
      </c>
      <c r="E4316" s="4">
        <v>25.099434611869441</v>
      </c>
      <c r="F4316" s="4"/>
      <c r="G4316" s="4">
        <v>12.5</v>
      </c>
      <c r="H4316" s="5">
        <v>42.342688666030561</v>
      </c>
      <c r="I4316" s="5">
        <v>35.58490149029722</v>
      </c>
      <c r="J4316" s="5"/>
      <c r="K4316" s="5">
        <v>74</v>
      </c>
    </row>
    <row r="4317" spans="1:11" x14ac:dyDescent="0.25">
      <c r="A4317" s="2">
        <v>46277.25</v>
      </c>
      <c r="B4317" t="str">
        <f t="shared" si="134"/>
        <v>2026-09</v>
      </c>
      <c r="C4317" s="3">
        <f t="shared" si="135"/>
        <v>6</v>
      </c>
      <c r="D4317" s="4">
        <v>22.15279729721389</v>
      </c>
      <c r="E4317" s="4">
        <v>25.079869264363889</v>
      </c>
      <c r="F4317" s="4"/>
      <c r="G4317" s="4">
        <v>12</v>
      </c>
      <c r="H4317" s="5">
        <v>39.851868705866671</v>
      </c>
      <c r="I4317" s="5">
        <v>34.419937178336113</v>
      </c>
      <c r="J4317" s="5"/>
      <c r="K4317" s="5">
        <v>77</v>
      </c>
    </row>
    <row r="4318" spans="1:11" x14ac:dyDescent="0.25">
      <c r="A4318" s="2">
        <v>46277.291666666657</v>
      </c>
      <c r="B4318" t="str">
        <f t="shared" si="134"/>
        <v>2026-09</v>
      </c>
      <c r="C4318" s="3">
        <f t="shared" si="135"/>
        <v>7</v>
      </c>
      <c r="D4318" s="4">
        <v>22.170945820947221</v>
      </c>
      <c r="E4318" s="4">
        <v>25.21261890505556</v>
      </c>
      <c r="F4318" s="4"/>
      <c r="G4318" s="4">
        <v>12.5</v>
      </c>
      <c r="H4318" s="5">
        <v>38.863302059294448</v>
      </c>
      <c r="I4318" s="5">
        <v>33.46189131441389</v>
      </c>
      <c r="J4318" s="5"/>
      <c r="K4318" s="5">
        <v>75</v>
      </c>
    </row>
    <row r="4319" spans="1:11" x14ac:dyDescent="0.25">
      <c r="A4319" s="2">
        <v>46277.333333333343</v>
      </c>
      <c r="B4319" t="str">
        <f t="shared" si="134"/>
        <v>2026-09</v>
      </c>
      <c r="C4319" s="3">
        <f t="shared" si="135"/>
        <v>8</v>
      </c>
      <c r="D4319" s="4">
        <v>22.931890284925</v>
      </c>
      <c r="E4319" s="4">
        <v>25.529271152408331</v>
      </c>
      <c r="F4319" s="4"/>
      <c r="G4319" s="4">
        <v>13.8</v>
      </c>
      <c r="H4319" s="5">
        <v>37.646924292866672</v>
      </c>
      <c r="I4319" s="5">
        <v>33.14347447862778</v>
      </c>
      <c r="J4319" s="5"/>
      <c r="K4319" s="5">
        <v>71</v>
      </c>
    </row>
    <row r="4320" spans="1:11" x14ac:dyDescent="0.25">
      <c r="A4320" s="2">
        <v>46277.375</v>
      </c>
      <c r="B4320" t="str">
        <f t="shared" si="134"/>
        <v>2026-09</v>
      </c>
      <c r="C4320" s="3">
        <f t="shared" si="135"/>
        <v>9</v>
      </c>
      <c r="D4320" s="4">
        <v>23.621433825450001</v>
      </c>
      <c r="E4320" s="4">
        <v>25.7007701422</v>
      </c>
      <c r="F4320" s="4"/>
      <c r="G4320" s="4">
        <v>16.2</v>
      </c>
      <c r="H4320" s="5">
        <v>37.47560312348611</v>
      </c>
      <c r="I4320" s="5">
        <v>34.117525405302779</v>
      </c>
      <c r="J4320" s="5"/>
      <c r="K4320" s="5">
        <v>62</v>
      </c>
    </row>
    <row r="4321" spans="1:11" x14ac:dyDescent="0.25">
      <c r="A4321" s="2">
        <v>46277.416666666657</v>
      </c>
      <c r="B4321" t="str">
        <f t="shared" si="134"/>
        <v>2026-09</v>
      </c>
      <c r="C4321" s="3">
        <f t="shared" si="135"/>
        <v>10</v>
      </c>
      <c r="D4321" s="4">
        <v>24.595208459655559</v>
      </c>
      <c r="E4321" s="4">
        <v>26.386017936152779</v>
      </c>
      <c r="F4321" s="4"/>
      <c r="G4321" s="4">
        <v>18</v>
      </c>
      <c r="H4321" s="5">
        <v>36.359838996477777</v>
      </c>
      <c r="I4321" s="5">
        <v>33.720697904950001</v>
      </c>
      <c r="J4321" s="5"/>
      <c r="K4321" s="5">
        <v>56</v>
      </c>
    </row>
    <row r="4322" spans="1:11" x14ac:dyDescent="0.25">
      <c r="A4322" s="2">
        <v>46277.458333333343</v>
      </c>
      <c r="B4322" t="str">
        <f t="shared" si="134"/>
        <v>2026-09</v>
      </c>
      <c r="C4322" s="3">
        <f t="shared" si="135"/>
        <v>11</v>
      </c>
      <c r="D4322" s="4">
        <v>25.038870801577779</v>
      </c>
      <c r="E4322" s="4">
        <v>26.682360006724998</v>
      </c>
      <c r="F4322" s="4"/>
      <c r="G4322" s="4">
        <v>19.7</v>
      </c>
      <c r="H4322" s="5">
        <v>35.339675278127778</v>
      </c>
      <c r="I4322" s="5">
        <v>33.323327630586107</v>
      </c>
      <c r="J4322" s="5"/>
      <c r="K4322" s="5">
        <v>50</v>
      </c>
    </row>
    <row r="4323" spans="1:11" x14ac:dyDescent="0.25">
      <c r="A4323" s="2">
        <v>46277.5</v>
      </c>
      <c r="B4323" t="str">
        <f t="shared" si="134"/>
        <v>2026-09</v>
      </c>
      <c r="C4323" s="3">
        <f t="shared" si="135"/>
        <v>12</v>
      </c>
      <c r="D4323" s="4">
        <v>25.267718269483339</v>
      </c>
      <c r="E4323" s="4">
        <v>26.916161476494441</v>
      </c>
      <c r="F4323" s="4"/>
      <c r="G4323" s="4">
        <v>21.1</v>
      </c>
      <c r="H4323" s="5">
        <v>34.407826102100003</v>
      </c>
      <c r="I4323" s="5">
        <v>32.943261981299997</v>
      </c>
      <c r="J4323" s="5"/>
      <c r="K4323" s="5">
        <v>45</v>
      </c>
    </row>
    <row r="4324" spans="1:11" x14ac:dyDescent="0.25">
      <c r="A4324" s="2">
        <v>46277.541666666657</v>
      </c>
      <c r="B4324" t="str">
        <f t="shared" si="134"/>
        <v>2026-09</v>
      </c>
      <c r="C4324" s="3">
        <f t="shared" si="135"/>
        <v>13</v>
      </c>
      <c r="D4324" s="4">
        <v>25.28072799366112</v>
      </c>
      <c r="E4324" s="4">
        <v>27.183273327616661</v>
      </c>
      <c r="F4324" s="4"/>
      <c r="G4324" s="4">
        <v>21.9</v>
      </c>
      <c r="H4324" s="5">
        <v>33.692999738099999</v>
      </c>
      <c r="I4324" s="5">
        <v>34.093340863213889</v>
      </c>
      <c r="J4324" s="5"/>
      <c r="K4324" s="5">
        <v>43</v>
      </c>
    </row>
    <row r="4325" spans="1:11" x14ac:dyDescent="0.25">
      <c r="A4325" s="2">
        <v>46277.583333333343</v>
      </c>
      <c r="B4325" t="str">
        <f t="shared" si="134"/>
        <v>2026-09</v>
      </c>
      <c r="C4325" s="3">
        <f t="shared" si="135"/>
        <v>14</v>
      </c>
      <c r="D4325" s="4">
        <v>25.30794823113612</v>
      </c>
      <c r="E4325" s="4">
        <v>26.91585792631389</v>
      </c>
      <c r="F4325" s="4"/>
      <c r="G4325" s="4">
        <v>22.2</v>
      </c>
      <c r="H4325" s="5">
        <v>31.466596952288889</v>
      </c>
      <c r="I4325" s="5">
        <v>30.835034223813889</v>
      </c>
      <c r="J4325" s="5"/>
      <c r="K4325" s="5">
        <v>42</v>
      </c>
    </row>
    <row r="4326" spans="1:11" x14ac:dyDescent="0.25">
      <c r="A4326" s="2">
        <v>46277.625</v>
      </c>
      <c r="B4326" t="str">
        <f t="shared" si="134"/>
        <v>2026-09</v>
      </c>
      <c r="C4326" s="3">
        <f t="shared" si="135"/>
        <v>15</v>
      </c>
      <c r="D4326" s="4">
        <v>25.197784454463889</v>
      </c>
      <c r="E4326" s="4">
        <v>26.80849897621944</v>
      </c>
      <c r="F4326" s="4"/>
      <c r="G4326" s="4">
        <v>23.3</v>
      </c>
      <c r="H4326" s="5">
        <v>33.197969205677779</v>
      </c>
      <c r="I4326" s="5">
        <v>34.185189937997222</v>
      </c>
      <c r="J4326" s="5"/>
      <c r="K4326" s="5">
        <v>39</v>
      </c>
    </row>
    <row r="4327" spans="1:11" x14ac:dyDescent="0.25">
      <c r="A4327" s="2">
        <v>46277.666666666657</v>
      </c>
      <c r="B4327" t="str">
        <f t="shared" si="134"/>
        <v>2026-09</v>
      </c>
      <c r="C4327" s="3">
        <f t="shared" si="135"/>
        <v>16</v>
      </c>
      <c r="D4327" s="4">
        <v>24.934608205949999</v>
      </c>
      <c r="E4327" s="4">
        <v>26.543485849227778</v>
      </c>
      <c r="F4327" s="4"/>
      <c r="G4327" s="4">
        <v>23.2</v>
      </c>
      <c r="H4327" s="5">
        <v>34.429151008208329</v>
      </c>
      <c r="I4327" s="5">
        <v>32.906610340638892</v>
      </c>
      <c r="J4327" s="5"/>
      <c r="K4327" s="5">
        <v>39</v>
      </c>
    </row>
    <row r="4328" spans="1:11" x14ac:dyDescent="0.25">
      <c r="A4328" s="2">
        <v>46277.708333333343</v>
      </c>
      <c r="B4328" t="str">
        <f t="shared" si="134"/>
        <v>2026-09</v>
      </c>
      <c r="C4328" s="3">
        <f t="shared" si="135"/>
        <v>17</v>
      </c>
      <c r="D4328" s="4">
        <v>24.687829127705559</v>
      </c>
      <c r="E4328" s="4">
        <v>26.249159025391659</v>
      </c>
      <c r="F4328" s="4"/>
      <c r="G4328" s="4">
        <v>22.7</v>
      </c>
      <c r="H4328" s="5">
        <v>33.495687030788893</v>
      </c>
      <c r="I4328" s="5">
        <v>31.858891645252779</v>
      </c>
      <c r="J4328" s="5"/>
      <c r="K4328" s="5">
        <v>41</v>
      </c>
    </row>
    <row r="4329" spans="1:11" x14ac:dyDescent="0.25">
      <c r="A4329" s="2">
        <v>46277.75</v>
      </c>
      <c r="B4329" t="str">
        <f t="shared" si="134"/>
        <v>2026-09</v>
      </c>
      <c r="C4329" s="3">
        <f t="shared" si="135"/>
        <v>18</v>
      </c>
      <c r="D4329" s="4">
        <v>24.004440969988892</v>
      </c>
      <c r="E4329" s="4">
        <v>25.992167840827779</v>
      </c>
      <c r="F4329" s="4"/>
      <c r="G4329" s="4">
        <v>21.8</v>
      </c>
      <c r="H4329" s="5">
        <v>34.785856933283327</v>
      </c>
      <c r="I4329" s="5">
        <v>32.154784394430557</v>
      </c>
      <c r="J4329" s="5"/>
      <c r="K4329" s="5">
        <v>43</v>
      </c>
    </row>
    <row r="4330" spans="1:11" x14ac:dyDescent="0.25">
      <c r="A4330" s="2">
        <v>46277.791666666657</v>
      </c>
      <c r="B4330" t="str">
        <f t="shared" si="134"/>
        <v>2026-09</v>
      </c>
      <c r="C4330" s="3">
        <f t="shared" si="135"/>
        <v>19</v>
      </c>
      <c r="D4330" s="4">
        <v>24.45987583366389</v>
      </c>
      <c r="E4330" s="4">
        <v>26.098837783836121</v>
      </c>
      <c r="F4330" s="4"/>
      <c r="G4330" s="4">
        <v>20.5</v>
      </c>
      <c r="H4330" s="5">
        <v>34.755579603152768</v>
      </c>
      <c r="I4330" s="5">
        <v>32.431914262527783</v>
      </c>
      <c r="J4330" s="5"/>
      <c r="K4330" s="5">
        <v>47</v>
      </c>
    </row>
    <row r="4331" spans="1:11" x14ac:dyDescent="0.25">
      <c r="A4331" s="2">
        <v>46277.833333333343</v>
      </c>
      <c r="B4331" t="str">
        <f t="shared" si="134"/>
        <v>2026-09</v>
      </c>
      <c r="C4331" s="3">
        <f t="shared" si="135"/>
        <v>20</v>
      </c>
      <c r="D4331" s="4">
        <v>23.965565206494439</v>
      </c>
      <c r="E4331" s="4">
        <v>26.817592123466671</v>
      </c>
      <c r="F4331" s="4"/>
      <c r="G4331" s="4">
        <v>19.100000000000001</v>
      </c>
      <c r="H4331" s="5">
        <v>36.384560176319447</v>
      </c>
      <c r="I4331" s="5">
        <v>34.156474799461108</v>
      </c>
      <c r="J4331" s="5"/>
      <c r="K4331" s="5">
        <v>52</v>
      </c>
    </row>
    <row r="4332" spans="1:11" x14ac:dyDescent="0.25">
      <c r="A4332" s="2">
        <v>46277.875</v>
      </c>
      <c r="B4332" t="str">
        <f t="shared" si="134"/>
        <v>2026-09</v>
      </c>
      <c r="C4332" s="3">
        <f t="shared" si="135"/>
        <v>21</v>
      </c>
      <c r="D4332" s="4">
        <v>23.672357340616671</v>
      </c>
      <c r="E4332" s="4">
        <v>26.821897967819439</v>
      </c>
      <c r="F4332" s="4"/>
      <c r="G4332" s="4">
        <v>17.600000000000001</v>
      </c>
      <c r="H4332" s="5">
        <v>37.946533111597219</v>
      </c>
      <c r="I4332" s="5">
        <v>35.041592740038887</v>
      </c>
      <c r="J4332" s="5"/>
      <c r="K4332" s="5">
        <v>56</v>
      </c>
    </row>
    <row r="4333" spans="1:11" x14ac:dyDescent="0.25">
      <c r="A4333" s="2">
        <v>46277.916666666657</v>
      </c>
      <c r="B4333" t="str">
        <f t="shared" si="134"/>
        <v>2026-09</v>
      </c>
      <c r="C4333" s="3">
        <f t="shared" si="135"/>
        <v>22</v>
      </c>
      <c r="D4333" s="4">
        <v>23.206570794697221</v>
      </c>
      <c r="E4333" s="4">
        <v>26.70244119261945</v>
      </c>
      <c r="F4333" s="4"/>
      <c r="G4333" s="4">
        <v>17.5</v>
      </c>
      <c r="H4333" s="5">
        <v>39.385568822000003</v>
      </c>
      <c r="I4333" s="5">
        <v>35.254987178961109</v>
      </c>
      <c r="J4333" s="5"/>
      <c r="K4333" s="5">
        <v>54</v>
      </c>
    </row>
    <row r="4334" spans="1:11" x14ac:dyDescent="0.25">
      <c r="A4334" s="2">
        <v>46277.958333333343</v>
      </c>
      <c r="B4334" t="str">
        <f t="shared" si="134"/>
        <v>2026-09</v>
      </c>
      <c r="C4334" s="3">
        <f t="shared" si="135"/>
        <v>23</v>
      </c>
      <c r="D4334" s="4">
        <v>22.921780270191661</v>
      </c>
      <c r="E4334" s="4">
        <v>26.518919121119438</v>
      </c>
      <c r="F4334" s="4"/>
      <c r="G4334" s="4">
        <v>17.5</v>
      </c>
      <c r="H4334" s="5">
        <v>40.276352050702783</v>
      </c>
      <c r="I4334" s="5">
        <v>34.539919045333328</v>
      </c>
      <c r="J4334" s="5"/>
      <c r="K4334" s="5">
        <v>52</v>
      </c>
    </row>
    <row r="4335" spans="1:11" x14ac:dyDescent="0.25">
      <c r="A4335" s="2">
        <v>46278</v>
      </c>
      <c r="B4335" t="str">
        <f t="shared" si="134"/>
        <v>2026-09</v>
      </c>
      <c r="C4335" s="3">
        <f t="shared" si="135"/>
        <v>0</v>
      </c>
      <c r="D4335" s="4">
        <v>23.139901386527779</v>
      </c>
      <c r="E4335" s="4">
        <v>26.738294882475</v>
      </c>
      <c r="F4335" s="4"/>
      <c r="G4335" s="4">
        <v>17.5</v>
      </c>
      <c r="H4335" s="5">
        <v>41.119057974908337</v>
      </c>
      <c r="I4335" s="5">
        <v>37.032711425400002</v>
      </c>
      <c r="J4335" s="5"/>
      <c r="K4335" s="5">
        <v>50</v>
      </c>
    </row>
    <row r="4336" spans="1:11" x14ac:dyDescent="0.25">
      <c r="A4336" s="2">
        <v>46278.041666666657</v>
      </c>
      <c r="B4336" t="str">
        <f t="shared" si="134"/>
        <v>2026-09</v>
      </c>
      <c r="C4336" s="3">
        <f t="shared" si="135"/>
        <v>1</v>
      </c>
      <c r="D4336" s="4">
        <v>23.52477250445833</v>
      </c>
      <c r="E4336" s="4">
        <v>26.878165766863891</v>
      </c>
      <c r="F4336" s="4"/>
      <c r="G4336" s="4">
        <v>17</v>
      </c>
      <c r="H4336" s="5">
        <v>41.443622910458338</v>
      </c>
      <c r="I4336" s="5">
        <v>36.370881805416673</v>
      </c>
      <c r="J4336" s="5"/>
      <c r="K4336" s="5">
        <v>52</v>
      </c>
    </row>
    <row r="4337" spans="1:11" x14ac:dyDescent="0.25">
      <c r="A4337" s="2">
        <v>46278.083333333343</v>
      </c>
      <c r="B4337" t="str">
        <f t="shared" si="134"/>
        <v>2026-09</v>
      </c>
      <c r="C4337" s="3">
        <f t="shared" si="135"/>
        <v>2</v>
      </c>
      <c r="D4337" s="4">
        <v>23.390746543938889</v>
      </c>
      <c r="E4337" s="4">
        <v>26.554747116061112</v>
      </c>
      <c r="F4337" s="4"/>
      <c r="G4337" s="4">
        <v>16.600000000000001</v>
      </c>
      <c r="H4337" s="5">
        <v>42.093411427652782</v>
      </c>
      <c r="I4337" s="5">
        <v>36.310332004536107</v>
      </c>
      <c r="J4337" s="5"/>
      <c r="K4337" s="5">
        <v>55</v>
      </c>
    </row>
    <row r="4338" spans="1:11" x14ac:dyDescent="0.25">
      <c r="A4338" s="2">
        <v>46278.125</v>
      </c>
      <c r="B4338" t="str">
        <f t="shared" si="134"/>
        <v>2026-09</v>
      </c>
      <c r="C4338" s="3">
        <f t="shared" si="135"/>
        <v>3</v>
      </c>
      <c r="D4338" s="4">
        <v>22.84174684726111</v>
      </c>
      <c r="E4338" s="4">
        <v>26.14626366177778</v>
      </c>
      <c r="F4338" s="4"/>
      <c r="G4338" s="4">
        <v>15.2</v>
      </c>
      <c r="H4338" s="5">
        <v>43.790103450025008</v>
      </c>
      <c r="I4338" s="5">
        <v>36.998001396358333</v>
      </c>
      <c r="J4338" s="5"/>
      <c r="K4338" s="5">
        <v>71</v>
      </c>
    </row>
    <row r="4339" spans="1:11" x14ac:dyDescent="0.25">
      <c r="A4339" s="2">
        <v>46278.166666666657</v>
      </c>
      <c r="B4339" t="str">
        <f t="shared" si="134"/>
        <v>2026-09</v>
      </c>
      <c r="C4339" s="3">
        <f t="shared" si="135"/>
        <v>4</v>
      </c>
      <c r="D4339" s="4">
        <v>22.09308431423333</v>
      </c>
      <c r="E4339" s="4">
        <v>25.86853725111667</v>
      </c>
      <c r="F4339" s="4"/>
      <c r="G4339" s="4">
        <v>14.7</v>
      </c>
      <c r="H4339" s="5">
        <v>45.694517492191672</v>
      </c>
      <c r="I4339" s="5">
        <v>37.419099333402777</v>
      </c>
      <c r="J4339" s="5"/>
      <c r="K4339" s="5">
        <v>77</v>
      </c>
    </row>
    <row r="4340" spans="1:11" x14ac:dyDescent="0.25">
      <c r="A4340" s="2">
        <v>46278.208333333343</v>
      </c>
      <c r="B4340" t="str">
        <f t="shared" si="134"/>
        <v>2026-09</v>
      </c>
      <c r="C4340" s="3">
        <f t="shared" si="135"/>
        <v>5</v>
      </c>
      <c r="D4340" s="4">
        <v>21.60217508993334</v>
      </c>
      <c r="E4340" s="4">
        <v>25.610451693786121</v>
      </c>
      <c r="F4340" s="4"/>
      <c r="G4340" s="4">
        <v>14.2</v>
      </c>
      <c r="H4340" s="5">
        <v>46.541437702055553</v>
      </c>
      <c r="I4340" s="5">
        <v>37.424807745527779</v>
      </c>
      <c r="J4340" s="5"/>
      <c r="K4340" s="5">
        <v>81</v>
      </c>
    </row>
    <row r="4341" spans="1:11" x14ac:dyDescent="0.25">
      <c r="A4341" s="2">
        <v>46278.25</v>
      </c>
      <c r="B4341" t="str">
        <f t="shared" si="134"/>
        <v>2026-09</v>
      </c>
      <c r="C4341" s="3">
        <f t="shared" si="135"/>
        <v>6</v>
      </c>
      <c r="D4341" s="4">
        <v>21.660023077091669</v>
      </c>
      <c r="E4341" s="4">
        <v>25.576683886772219</v>
      </c>
      <c r="F4341" s="4"/>
      <c r="G4341" s="4">
        <v>13.9</v>
      </c>
      <c r="H4341" s="5">
        <v>46.786420268755563</v>
      </c>
      <c r="I4341" s="5">
        <v>37.760295394944443</v>
      </c>
      <c r="J4341" s="5"/>
      <c r="K4341" s="5">
        <v>83</v>
      </c>
    </row>
    <row r="4342" spans="1:11" x14ac:dyDescent="0.25">
      <c r="A4342" s="2">
        <v>46278.291666666657</v>
      </c>
      <c r="B4342" t="str">
        <f t="shared" si="134"/>
        <v>2026-09</v>
      </c>
      <c r="C4342" s="3">
        <f t="shared" si="135"/>
        <v>7</v>
      </c>
      <c r="D4342" s="4">
        <v>22.427553057963891</v>
      </c>
      <c r="E4342" s="4">
        <v>25.923611781283331</v>
      </c>
      <c r="F4342" s="4"/>
      <c r="G4342" s="4">
        <v>14.1</v>
      </c>
      <c r="H4342" s="5">
        <v>45.511278007097218</v>
      </c>
      <c r="I4342" s="5">
        <v>38.267081324094448</v>
      </c>
      <c r="J4342" s="5"/>
      <c r="K4342" s="5">
        <v>82</v>
      </c>
    </row>
    <row r="4343" spans="1:11" x14ac:dyDescent="0.25">
      <c r="A4343" s="2">
        <v>46278.333333333343</v>
      </c>
      <c r="B4343" t="str">
        <f t="shared" si="134"/>
        <v>2026-09</v>
      </c>
      <c r="C4343" s="3">
        <f t="shared" si="135"/>
        <v>8</v>
      </c>
      <c r="D4343" s="4">
        <v>23.495046985938892</v>
      </c>
      <c r="E4343" s="4">
        <v>26.356332535825</v>
      </c>
      <c r="F4343" s="4"/>
      <c r="G4343" s="4">
        <v>15.1</v>
      </c>
      <c r="H4343" s="5">
        <v>43.558643675508343</v>
      </c>
      <c r="I4343" s="5">
        <v>38.647937901063891</v>
      </c>
      <c r="J4343" s="5"/>
      <c r="K4343" s="5">
        <v>77</v>
      </c>
    </row>
    <row r="4344" spans="1:11" x14ac:dyDescent="0.25">
      <c r="A4344" s="2">
        <v>46278.375</v>
      </c>
      <c r="B4344" t="str">
        <f t="shared" si="134"/>
        <v>2026-09</v>
      </c>
      <c r="C4344" s="3">
        <f t="shared" si="135"/>
        <v>9</v>
      </c>
      <c r="D4344" s="4">
        <v>23.703990760147221</v>
      </c>
      <c r="E4344" s="4">
        <v>26.270702023794449</v>
      </c>
      <c r="F4344" s="4"/>
      <c r="G4344" s="4">
        <v>16.2</v>
      </c>
      <c r="H4344" s="5">
        <v>43.358118435061108</v>
      </c>
      <c r="I4344" s="5">
        <v>38.639987715091671</v>
      </c>
      <c r="J4344" s="5"/>
      <c r="K4344" s="5">
        <v>73</v>
      </c>
    </row>
    <row r="4345" spans="1:11" x14ac:dyDescent="0.25">
      <c r="A4345" s="2">
        <v>46278.416666666657</v>
      </c>
      <c r="B4345" t="str">
        <f t="shared" si="134"/>
        <v>2026-09</v>
      </c>
      <c r="C4345" s="3">
        <f t="shared" si="135"/>
        <v>10</v>
      </c>
      <c r="D4345" s="4">
        <v>23.85066657139722</v>
      </c>
      <c r="E4345" s="4">
        <v>26.204653538211112</v>
      </c>
      <c r="F4345" s="4"/>
      <c r="G4345" s="4">
        <v>17.8</v>
      </c>
      <c r="H4345" s="5">
        <v>43.326385781113878</v>
      </c>
      <c r="I4345" s="5">
        <v>38.610253397494439</v>
      </c>
      <c r="J4345" s="5"/>
      <c r="K4345" s="5">
        <v>67</v>
      </c>
    </row>
    <row r="4346" spans="1:11" x14ac:dyDescent="0.25">
      <c r="A4346" s="2">
        <v>46278.458333333343</v>
      </c>
      <c r="B4346" t="str">
        <f t="shared" si="134"/>
        <v>2026-09</v>
      </c>
      <c r="C4346" s="3">
        <f t="shared" si="135"/>
        <v>11</v>
      </c>
      <c r="D4346" s="4">
        <v>24.389111056663889</v>
      </c>
      <c r="E4346" s="4">
        <v>26.321266622300001</v>
      </c>
      <c r="F4346" s="4"/>
      <c r="G4346" s="4">
        <v>18.3</v>
      </c>
      <c r="H4346" s="5">
        <v>42.965774404419449</v>
      </c>
      <c r="I4346" s="5">
        <v>39.023049015969448</v>
      </c>
      <c r="J4346" s="5"/>
      <c r="K4346" s="5">
        <v>66</v>
      </c>
    </row>
    <row r="4347" spans="1:11" x14ac:dyDescent="0.25">
      <c r="A4347" s="2">
        <v>46278.5</v>
      </c>
      <c r="B4347" t="str">
        <f t="shared" si="134"/>
        <v>2026-09</v>
      </c>
      <c r="C4347" s="3">
        <f t="shared" si="135"/>
        <v>12</v>
      </c>
      <c r="D4347" s="4">
        <v>24.64501714220556</v>
      </c>
      <c r="E4347" s="4">
        <v>26.773504762708331</v>
      </c>
      <c r="F4347" s="4"/>
      <c r="G4347" s="4">
        <v>19.8</v>
      </c>
      <c r="H4347" s="5">
        <v>43.820545846452781</v>
      </c>
      <c r="I4347" s="5">
        <v>40.852460437250002</v>
      </c>
      <c r="J4347" s="5"/>
      <c r="K4347" s="5">
        <v>61</v>
      </c>
    </row>
    <row r="4348" spans="1:11" x14ac:dyDescent="0.25">
      <c r="A4348" s="2">
        <v>46278.541666666657</v>
      </c>
      <c r="B4348" t="str">
        <f t="shared" si="134"/>
        <v>2026-09</v>
      </c>
      <c r="C4348" s="3">
        <f t="shared" si="135"/>
        <v>13</v>
      </c>
      <c r="D4348" s="4">
        <v>24.800875085327771</v>
      </c>
      <c r="E4348" s="4">
        <v>27.202763601188892</v>
      </c>
      <c r="F4348" s="4"/>
      <c r="G4348" s="4">
        <v>20.8</v>
      </c>
      <c r="H4348" s="5">
        <v>44.620508713461113</v>
      </c>
      <c r="I4348" s="5">
        <v>41.836807522961109</v>
      </c>
      <c r="J4348" s="5"/>
      <c r="K4348" s="5">
        <v>58</v>
      </c>
    </row>
    <row r="4349" spans="1:11" x14ac:dyDescent="0.25">
      <c r="A4349" s="2">
        <v>46278.583333333343</v>
      </c>
      <c r="B4349" t="str">
        <f t="shared" si="134"/>
        <v>2026-09</v>
      </c>
      <c r="C4349" s="3">
        <f t="shared" si="135"/>
        <v>14</v>
      </c>
      <c r="D4349" s="4">
        <v>25.040991944958328</v>
      </c>
      <c r="E4349" s="4">
        <v>27.216296937844451</v>
      </c>
      <c r="F4349" s="4"/>
      <c r="G4349" s="4">
        <v>21.3</v>
      </c>
      <c r="H4349" s="5">
        <v>43.90156459921667</v>
      </c>
      <c r="I4349" s="5">
        <v>40.911753364894437</v>
      </c>
      <c r="J4349" s="5"/>
      <c r="K4349" s="5">
        <v>56</v>
      </c>
    </row>
    <row r="4350" spans="1:11" x14ac:dyDescent="0.25">
      <c r="A4350" s="2">
        <v>46278.625</v>
      </c>
      <c r="B4350" t="str">
        <f t="shared" si="134"/>
        <v>2026-09</v>
      </c>
      <c r="C4350" s="3">
        <f t="shared" si="135"/>
        <v>15</v>
      </c>
      <c r="D4350" s="4">
        <v>24.907124816774999</v>
      </c>
      <c r="E4350" s="4">
        <v>27.031151457516671</v>
      </c>
      <c r="F4350" s="4"/>
      <c r="G4350" s="4">
        <v>22.3</v>
      </c>
      <c r="H4350" s="5">
        <v>44.20532541127222</v>
      </c>
      <c r="I4350" s="5">
        <v>41.048057751061123</v>
      </c>
      <c r="J4350" s="5"/>
      <c r="K4350" s="5">
        <v>55</v>
      </c>
    </row>
    <row r="4351" spans="1:11" x14ac:dyDescent="0.25">
      <c r="A4351" s="2">
        <v>46278.666666666657</v>
      </c>
      <c r="B4351" t="str">
        <f t="shared" si="134"/>
        <v>2026-09</v>
      </c>
      <c r="C4351" s="3">
        <f t="shared" si="135"/>
        <v>16</v>
      </c>
      <c r="D4351" s="4">
        <v>24.792555264663889</v>
      </c>
      <c r="E4351" s="4">
        <v>27.035031201447222</v>
      </c>
      <c r="F4351" s="4"/>
      <c r="G4351" s="4">
        <v>21.8</v>
      </c>
      <c r="H4351" s="5">
        <v>44.629581543024997</v>
      </c>
      <c r="I4351" s="5">
        <v>41.613761981783327</v>
      </c>
      <c r="J4351" s="5"/>
      <c r="K4351" s="5">
        <v>57</v>
      </c>
    </row>
    <row r="4352" spans="1:11" x14ac:dyDescent="0.25">
      <c r="A4352" s="2">
        <v>46278.708333333343</v>
      </c>
      <c r="B4352" t="str">
        <f t="shared" si="134"/>
        <v>2026-09</v>
      </c>
      <c r="C4352" s="3">
        <f t="shared" si="135"/>
        <v>17</v>
      </c>
      <c r="D4352" s="4">
        <v>24.793160177324999</v>
      </c>
      <c r="E4352" s="4">
        <v>27.236395048350001</v>
      </c>
      <c r="F4352" s="4"/>
      <c r="G4352" s="4">
        <v>21</v>
      </c>
      <c r="H4352" s="5">
        <v>44.958083621074998</v>
      </c>
      <c r="I4352" s="5">
        <v>42.465878394105552</v>
      </c>
      <c r="J4352" s="5"/>
      <c r="K4352" s="5">
        <v>59</v>
      </c>
    </row>
    <row r="4353" spans="1:11" x14ac:dyDescent="0.25">
      <c r="A4353" s="2">
        <v>46278.75</v>
      </c>
      <c r="B4353" t="str">
        <f t="shared" si="134"/>
        <v>2026-09</v>
      </c>
      <c r="C4353" s="3">
        <f t="shared" si="135"/>
        <v>18</v>
      </c>
      <c r="D4353" s="4">
        <v>24.48240335501389</v>
      </c>
      <c r="E4353" s="4">
        <v>27.320131751955561</v>
      </c>
      <c r="F4353" s="4"/>
      <c r="G4353" s="4">
        <v>19.8</v>
      </c>
      <c r="H4353" s="5">
        <v>45.767829085149998</v>
      </c>
      <c r="I4353" s="5">
        <v>42.83973140761389</v>
      </c>
      <c r="J4353" s="5"/>
      <c r="K4353" s="5">
        <v>63</v>
      </c>
    </row>
    <row r="4354" spans="1:11" x14ac:dyDescent="0.25">
      <c r="A4354" s="2">
        <v>46278.791666666657</v>
      </c>
      <c r="B4354" t="str">
        <f t="shared" ref="B4354:B4417" si="136">TEXT(A4354,"yyyy-mm")</f>
        <v>2026-09</v>
      </c>
      <c r="C4354" s="3">
        <f t="shared" ref="C4354:C4403" si="137">HOUR(A4354)</f>
        <v>19</v>
      </c>
      <c r="D4354" s="4">
        <v>23.904066446538891</v>
      </c>
      <c r="E4354" s="4">
        <v>26.911935503072229</v>
      </c>
      <c r="F4354" s="4">
        <v>27.841875458302152</v>
      </c>
      <c r="G4354" s="4">
        <v>18.100000000000001</v>
      </c>
      <c r="H4354" s="5">
        <v>48.330752824947218</v>
      </c>
      <c r="I4354" s="5">
        <v>43.116493424994452</v>
      </c>
      <c r="J4354" s="5">
        <v>44.896228251900681</v>
      </c>
      <c r="K4354" s="5">
        <v>69</v>
      </c>
    </row>
    <row r="4355" spans="1:11" x14ac:dyDescent="0.25">
      <c r="A4355" s="2">
        <v>46278.833333333343</v>
      </c>
      <c r="B4355" t="str">
        <f t="shared" si="136"/>
        <v>2026-09</v>
      </c>
      <c r="C4355" s="3">
        <f t="shared" si="137"/>
        <v>20</v>
      </c>
      <c r="D4355" s="4">
        <v>23.226164977197211</v>
      </c>
      <c r="E4355" s="4">
        <v>26.368682224499999</v>
      </c>
      <c r="F4355" s="4">
        <v>28.175500359327771</v>
      </c>
      <c r="G4355" s="4">
        <v>17.100000000000001</v>
      </c>
      <c r="H4355" s="5">
        <v>48.399067468752783</v>
      </c>
      <c r="I4355" s="5">
        <v>41.285441716605547</v>
      </c>
      <c r="J4355" s="5">
        <v>43.249680367566668</v>
      </c>
      <c r="K4355" s="5">
        <v>73</v>
      </c>
    </row>
    <row r="4356" spans="1:11" x14ac:dyDescent="0.25">
      <c r="A4356" s="2">
        <v>46278.875</v>
      </c>
      <c r="B4356" t="str">
        <f t="shared" si="136"/>
        <v>2026-09</v>
      </c>
      <c r="C4356" s="3">
        <f t="shared" si="137"/>
        <v>21</v>
      </c>
      <c r="D4356" s="4">
        <v>22.653167654366669</v>
      </c>
      <c r="E4356" s="4">
        <v>25.965024268577778</v>
      </c>
      <c r="F4356" s="4">
        <v>28.23120381290833</v>
      </c>
      <c r="G4356" s="4">
        <v>16</v>
      </c>
      <c r="H4356" s="5">
        <v>48.568230879836108</v>
      </c>
      <c r="I4356" s="5">
        <v>40.769526626050002</v>
      </c>
      <c r="J4356" s="5">
        <v>42.75663754419444</v>
      </c>
      <c r="K4356" s="5">
        <v>80</v>
      </c>
    </row>
    <row r="4357" spans="1:11" x14ac:dyDescent="0.25">
      <c r="A4357" s="2">
        <v>46278.916666666657</v>
      </c>
      <c r="B4357" t="str">
        <f t="shared" si="136"/>
        <v>2026-09</v>
      </c>
      <c r="C4357" s="3">
        <f t="shared" si="137"/>
        <v>22</v>
      </c>
      <c r="D4357" s="4">
        <v>22.164752453805551</v>
      </c>
      <c r="E4357" s="4">
        <v>25.887263262136109</v>
      </c>
      <c r="F4357" s="4">
        <v>28.248685174097229</v>
      </c>
      <c r="G4357" s="4">
        <v>15.2</v>
      </c>
      <c r="H4357" s="5">
        <v>49.465852216000002</v>
      </c>
      <c r="I4357" s="5">
        <v>41.22399704195</v>
      </c>
      <c r="J4357" s="5">
        <v>42.502539651033331</v>
      </c>
      <c r="K4357" s="5">
        <v>83</v>
      </c>
    </row>
    <row r="4358" spans="1:11" x14ac:dyDescent="0.25">
      <c r="A4358" s="2">
        <v>46278.958333333343</v>
      </c>
      <c r="B4358" t="str">
        <f t="shared" si="136"/>
        <v>2026-09</v>
      </c>
      <c r="C4358" s="3">
        <f t="shared" si="137"/>
        <v>23</v>
      </c>
      <c r="D4358" s="4">
        <v>22.088938404055561</v>
      </c>
      <c r="E4358" s="4">
        <v>26.45340809198056</v>
      </c>
      <c r="F4358" s="4">
        <v>28.24727657601666</v>
      </c>
      <c r="G4358" s="4">
        <v>14.5</v>
      </c>
      <c r="H4358" s="5">
        <v>51.204934370972218</v>
      </c>
      <c r="I4358" s="5">
        <v>42.745291096258327</v>
      </c>
      <c r="J4358" s="5">
        <v>42.436753472277779</v>
      </c>
      <c r="K4358" s="5">
        <v>86</v>
      </c>
    </row>
    <row r="4359" spans="1:11" x14ac:dyDescent="0.25">
      <c r="A4359" s="2">
        <v>46279</v>
      </c>
      <c r="B4359" t="str">
        <f t="shared" si="136"/>
        <v>2026-09</v>
      </c>
      <c r="C4359" s="3">
        <f t="shared" si="137"/>
        <v>0</v>
      </c>
      <c r="D4359" s="4">
        <v>22.193473773311108</v>
      </c>
      <c r="E4359" s="4">
        <v>26.311420928250001</v>
      </c>
      <c r="F4359" s="4">
        <v>28.248666000475001</v>
      </c>
      <c r="G4359" s="4">
        <v>14.1</v>
      </c>
      <c r="H4359" s="5">
        <v>49.215431448247223</v>
      </c>
      <c r="I4359" s="5">
        <v>40.498983326716669</v>
      </c>
      <c r="J4359" s="5">
        <v>42.387582243394441</v>
      </c>
      <c r="K4359" s="5">
        <v>87</v>
      </c>
    </row>
    <row r="4360" spans="1:11" x14ac:dyDescent="0.25">
      <c r="A4360" s="2">
        <v>46279.041666666657</v>
      </c>
      <c r="B4360" t="str">
        <f t="shared" si="136"/>
        <v>2026-09</v>
      </c>
      <c r="C4360" s="3">
        <f t="shared" si="137"/>
        <v>1</v>
      </c>
      <c r="D4360" s="4">
        <v>23.1501317699</v>
      </c>
      <c r="E4360" s="4">
        <v>26.18440320771667</v>
      </c>
      <c r="F4360" s="4">
        <v>28.222491221133328</v>
      </c>
      <c r="G4360" s="4">
        <v>13.9</v>
      </c>
      <c r="H4360" s="5">
        <v>47.338511551708343</v>
      </c>
      <c r="I4360" s="5">
        <v>40.864745198177779</v>
      </c>
      <c r="J4360" s="5">
        <v>42.301206382849998</v>
      </c>
      <c r="K4360" s="5">
        <v>87</v>
      </c>
    </row>
    <row r="4361" spans="1:11" x14ac:dyDescent="0.25">
      <c r="A4361" s="2">
        <v>46279.083333333343</v>
      </c>
      <c r="B4361" t="str">
        <f t="shared" si="136"/>
        <v>2026-09</v>
      </c>
      <c r="C4361" s="3">
        <f t="shared" si="137"/>
        <v>2</v>
      </c>
      <c r="D4361" s="4">
        <v>23.638948412702771</v>
      </c>
      <c r="E4361" s="4">
        <v>26.082106821233332</v>
      </c>
      <c r="F4361" s="4">
        <v>28.216703960430561</v>
      </c>
      <c r="G4361" s="4">
        <v>13.7</v>
      </c>
      <c r="H4361" s="5">
        <v>49.005103689899997</v>
      </c>
      <c r="I4361" s="5">
        <v>42.139806492158343</v>
      </c>
      <c r="J4361" s="5">
        <v>42.207601695186113</v>
      </c>
      <c r="K4361" s="5">
        <v>87</v>
      </c>
    </row>
    <row r="4362" spans="1:11" x14ac:dyDescent="0.25">
      <c r="A4362" s="2">
        <v>46279.125</v>
      </c>
      <c r="B4362" t="str">
        <f t="shared" si="136"/>
        <v>2026-09</v>
      </c>
      <c r="C4362" s="3">
        <f t="shared" si="137"/>
        <v>3</v>
      </c>
      <c r="D4362" s="4">
        <v>23.635205252297219</v>
      </c>
      <c r="E4362" s="4">
        <v>25.918860237536109</v>
      </c>
      <c r="F4362" s="4">
        <v>28.220490739016672</v>
      </c>
      <c r="G4362" s="4">
        <v>13.9</v>
      </c>
      <c r="H4362" s="5">
        <v>48.354374330036109</v>
      </c>
      <c r="I4362" s="5">
        <v>42.58848870626111</v>
      </c>
      <c r="J4362" s="5">
        <v>42.133120315872233</v>
      </c>
      <c r="K4362" s="5">
        <v>85</v>
      </c>
    </row>
    <row r="4363" spans="1:11" x14ac:dyDescent="0.25">
      <c r="A4363" s="2">
        <v>46279.166666666657</v>
      </c>
      <c r="B4363" t="str">
        <f t="shared" si="136"/>
        <v>2026-09</v>
      </c>
      <c r="C4363" s="3">
        <f t="shared" si="137"/>
        <v>4</v>
      </c>
      <c r="D4363" s="4">
        <v>23.663157001511109</v>
      </c>
      <c r="E4363" s="4">
        <v>25.8068964508</v>
      </c>
      <c r="F4363" s="4">
        <v>28.214186872622221</v>
      </c>
      <c r="G4363" s="4">
        <v>13.9</v>
      </c>
      <c r="H4363" s="5">
        <v>47.654193425330561</v>
      </c>
      <c r="I4363" s="5">
        <v>42.374221877916661</v>
      </c>
      <c r="J4363" s="5">
        <v>42.047195138113892</v>
      </c>
      <c r="K4363" s="5">
        <v>84</v>
      </c>
    </row>
    <row r="4364" spans="1:11" x14ac:dyDescent="0.25">
      <c r="A4364" s="2">
        <v>46279.208333333343</v>
      </c>
      <c r="B4364" t="str">
        <f t="shared" si="136"/>
        <v>2026-09</v>
      </c>
      <c r="C4364" s="3">
        <f t="shared" si="137"/>
        <v>5</v>
      </c>
      <c r="D4364" s="4">
        <v>23.563730707752779</v>
      </c>
      <c r="E4364" s="4">
        <v>25.751462327591661</v>
      </c>
      <c r="F4364" s="4">
        <v>28.195703470213889</v>
      </c>
      <c r="G4364" s="4">
        <v>13.9</v>
      </c>
      <c r="H4364" s="5">
        <v>47.380253117005559</v>
      </c>
      <c r="I4364" s="5">
        <v>42.090359184361112</v>
      </c>
      <c r="J4364" s="5">
        <v>42.007505793838888</v>
      </c>
      <c r="K4364" s="5">
        <v>83</v>
      </c>
    </row>
    <row r="4365" spans="1:11" x14ac:dyDescent="0.25">
      <c r="A4365" s="2">
        <v>46279.25</v>
      </c>
      <c r="B4365" t="str">
        <f t="shared" si="136"/>
        <v>2026-09</v>
      </c>
      <c r="C4365" s="3">
        <f t="shared" si="137"/>
        <v>6</v>
      </c>
      <c r="D4365" s="4">
        <v>23.512030301330551</v>
      </c>
      <c r="E4365" s="4">
        <v>25.657301945566669</v>
      </c>
      <c r="F4365" s="4">
        <v>28.178629307547219</v>
      </c>
      <c r="G4365" s="4">
        <v>13.9</v>
      </c>
      <c r="H4365" s="5">
        <v>47.110510472983329</v>
      </c>
      <c r="I4365" s="5">
        <v>41.855542657358328</v>
      </c>
      <c r="J4365" s="5">
        <v>42.005582839436109</v>
      </c>
      <c r="K4365" s="5">
        <v>82</v>
      </c>
    </row>
    <row r="4366" spans="1:11" x14ac:dyDescent="0.25">
      <c r="A4366" s="2">
        <v>46279.291666666657</v>
      </c>
      <c r="B4366" t="str">
        <f t="shared" si="136"/>
        <v>2026-09</v>
      </c>
      <c r="C4366" s="3">
        <f t="shared" si="137"/>
        <v>7</v>
      </c>
      <c r="D4366" s="4">
        <v>23.484555643591669</v>
      </c>
      <c r="E4366" s="4">
        <v>25.587754418838891</v>
      </c>
      <c r="F4366" s="4">
        <v>28.169324149280559</v>
      </c>
      <c r="G4366" s="4">
        <v>14</v>
      </c>
      <c r="H4366" s="5">
        <v>46.880928046075013</v>
      </c>
      <c r="I4366" s="5">
        <v>41.652011714416673</v>
      </c>
      <c r="J4366" s="5">
        <v>41.98581402563611</v>
      </c>
      <c r="K4366" s="5">
        <v>82</v>
      </c>
    </row>
    <row r="4367" spans="1:11" x14ac:dyDescent="0.25">
      <c r="A4367" s="2">
        <v>46279.333333333343</v>
      </c>
      <c r="B4367" t="str">
        <f t="shared" si="136"/>
        <v>2026-09</v>
      </c>
      <c r="C4367" s="3">
        <f t="shared" si="137"/>
        <v>8</v>
      </c>
      <c r="D4367" s="4">
        <v>23.708896960258329</v>
      </c>
      <c r="E4367" s="4">
        <v>25.714832727899999</v>
      </c>
      <c r="F4367" s="4">
        <v>28.157759197000001</v>
      </c>
      <c r="G4367" s="4">
        <v>14.6</v>
      </c>
      <c r="H4367" s="5">
        <v>46.462249284299993</v>
      </c>
      <c r="I4367" s="5">
        <v>41.367727394894438</v>
      </c>
      <c r="J4367" s="5">
        <v>41.975565261919442</v>
      </c>
      <c r="K4367" s="5">
        <v>79</v>
      </c>
    </row>
    <row r="4368" spans="1:11" x14ac:dyDescent="0.25">
      <c r="A4368" s="2">
        <v>46279.375</v>
      </c>
      <c r="B4368" t="str">
        <f t="shared" si="136"/>
        <v>2026-09</v>
      </c>
      <c r="C4368" s="3">
        <f t="shared" si="137"/>
        <v>9</v>
      </c>
      <c r="D4368" s="4">
        <v>23.774571568247222</v>
      </c>
      <c r="E4368" s="4">
        <v>25.65713844468889</v>
      </c>
      <c r="F4368" s="4">
        <v>28.13807385686944</v>
      </c>
      <c r="G4368" s="4">
        <v>14.6</v>
      </c>
      <c r="H4368" s="5">
        <v>46.308442335563889</v>
      </c>
      <c r="I4368" s="5">
        <v>41.494771284316663</v>
      </c>
      <c r="J4368" s="5">
        <v>41.958331496441673</v>
      </c>
      <c r="K4368" s="5">
        <v>80</v>
      </c>
    </row>
    <row r="4369" spans="1:11" x14ac:dyDescent="0.25">
      <c r="A4369" s="2">
        <v>46279.416666666657</v>
      </c>
      <c r="B4369" t="str">
        <f t="shared" si="136"/>
        <v>2026-09</v>
      </c>
      <c r="C4369" s="3">
        <f t="shared" si="137"/>
        <v>10</v>
      </c>
      <c r="D4369" s="4">
        <v>23.75061044021944</v>
      </c>
      <c r="E4369" s="4">
        <v>25.801356782733329</v>
      </c>
      <c r="F4369" s="4">
        <v>28.13260163770833</v>
      </c>
      <c r="G4369" s="4">
        <v>15.4</v>
      </c>
      <c r="H4369" s="5">
        <v>46.402951250794437</v>
      </c>
      <c r="I4369" s="5">
        <v>41.511379655322223</v>
      </c>
      <c r="J4369" s="5">
        <v>42.021660209730562</v>
      </c>
      <c r="K4369" s="5">
        <v>77</v>
      </c>
    </row>
    <row r="4370" spans="1:11" x14ac:dyDescent="0.25">
      <c r="A4370" s="2">
        <v>46279.458333333343</v>
      </c>
      <c r="B4370" t="str">
        <f t="shared" si="136"/>
        <v>2026-09</v>
      </c>
      <c r="C4370" s="3">
        <f t="shared" si="137"/>
        <v>11</v>
      </c>
      <c r="D4370" s="4">
        <v>23.758328517297219</v>
      </c>
      <c r="E4370" s="4">
        <v>26.00558365116667</v>
      </c>
      <c r="F4370" s="4">
        <v>28.117599914916671</v>
      </c>
      <c r="G4370" s="4">
        <v>16.899999999999999</v>
      </c>
      <c r="H4370" s="5">
        <v>47.095533653502777</v>
      </c>
      <c r="I4370" s="5">
        <v>41.575632034916673</v>
      </c>
      <c r="J4370" s="5">
        <v>42.282330202202779</v>
      </c>
      <c r="K4370" s="5">
        <v>72</v>
      </c>
    </row>
    <row r="4371" spans="1:11" x14ac:dyDescent="0.25">
      <c r="A4371" s="2">
        <v>46279.5</v>
      </c>
      <c r="B4371" t="str">
        <f t="shared" si="136"/>
        <v>2026-09</v>
      </c>
      <c r="C4371" s="3">
        <f t="shared" si="137"/>
        <v>12</v>
      </c>
      <c r="D4371" s="4">
        <v>23.728613867100002</v>
      </c>
      <c r="E4371" s="4">
        <v>26.18907892703611</v>
      </c>
      <c r="F4371" s="4">
        <v>28.085679349275001</v>
      </c>
      <c r="G4371" s="4">
        <v>17.5</v>
      </c>
      <c r="H4371" s="5">
        <v>47.064820169719447</v>
      </c>
      <c r="I4371" s="5">
        <v>41.117535201172217</v>
      </c>
      <c r="J4371" s="5">
        <v>43.33324770828056</v>
      </c>
      <c r="K4371" s="5">
        <v>71</v>
      </c>
    </row>
    <row r="4372" spans="1:11" x14ac:dyDescent="0.25">
      <c r="A4372" s="2">
        <v>46279.541666666657</v>
      </c>
      <c r="B4372" t="str">
        <f t="shared" si="136"/>
        <v>2026-09</v>
      </c>
      <c r="C4372" s="3">
        <f t="shared" si="137"/>
        <v>13</v>
      </c>
      <c r="D4372" s="4">
        <v>23.796349441036121</v>
      </c>
      <c r="E4372" s="4">
        <v>26.31875667840556</v>
      </c>
      <c r="F4372" s="4">
        <v>28.047117614177779</v>
      </c>
      <c r="G4372" s="4">
        <v>17.600000000000001</v>
      </c>
      <c r="H4372" s="5">
        <v>47.409506091627783</v>
      </c>
      <c r="I4372" s="5">
        <v>41.844378408025001</v>
      </c>
      <c r="J4372" s="5">
        <v>43.986602711002767</v>
      </c>
      <c r="K4372" s="5">
        <v>73</v>
      </c>
    </row>
    <row r="4373" spans="1:11" x14ac:dyDescent="0.25">
      <c r="A4373" s="2">
        <v>46279.583333333343</v>
      </c>
      <c r="B4373" t="str">
        <f t="shared" si="136"/>
        <v>2026-09</v>
      </c>
      <c r="C4373" s="3">
        <f t="shared" si="137"/>
        <v>14</v>
      </c>
      <c r="D4373" s="4">
        <v>24.299122640966669</v>
      </c>
      <c r="E4373" s="4">
        <v>26.753892109058331</v>
      </c>
      <c r="F4373" s="4">
        <v>27.954559016869439</v>
      </c>
      <c r="G4373" s="4">
        <v>18.399999999999999</v>
      </c>
      <c r="H4373" s="5">
        <v>47.726223188166671</v>
      </c>
      <c r="I4373" s="5">
        <v>42.074344717452782</v>
      </c>
      <c r="J4373" s="5">
        <v>45.037614611661112</v>
      </c>
      <c r="K4373" s="5">
        <v>70</v>
      </c>
    </row>
    <row r="4374" spans="1:11" x14ac:dyDescent="0.25">
      <c r="A4374" s="2">
        <v>46279.625</v>
      </c>
      <c r="B4374" t="str">
        <f t="shared" si="136"/>
        <v>2026-09</v>
      </c>
      <c r="C4374" s="3">
        <f t="shared" si="137"/>
        <v>15</v>
      </c>
      <c r="D4374" s="4">
        <v>24.694519296386112</v>
      </c>
      <c r="E4374" s="4">
        <v>26.695479212944441</v>
      </c>
      <c r="F4374" s="4">
        <v>27.700286611091659</v>
      </c>
      <c r="G4374" s="4">
        <v>18.399999999999999</v>
      </c>
      <c r="H4374" s="5">
        <v>47.06323715963611</v>
      </c>
      <c r="I4374" s="5">
        <v>42.351529663666668</v>
      </c>
      <c r="J4374" s="5">
        <v>46.201135685330563</v>
      </c>
      <c r="K4374" s="5">
        <v>71</v>
      </c>
    </row>
    <row r="4375" spans="1:11" x14ac:dyDescent="0.25">
      <c r="A4375" s="2">
        <v>46279.666666666657</v>
      </c>
      <c r="B4375" t="str">
        <f t="shared" si="136"/>
        <v>2026-09</v>
      </c>
      <c r="C4375" s="3">
        <f t="shared" si="137"/>
        <v>16</v>
      </c>
      <c r="D4375" s="4">
        <v>24.80717994138611</v>
      </c>
      <c r="E4375" s="4">
        <v>26.539817773227771</v>
      </c>
      <c r="F4375" s="4">
        <v>27.951414848677771</v>
      </c>
      <c r="G4375" s="4">
        <v>18.2</v>
      </c>
      <c r="H4375" s="5">
        <v>47.775258977386109</v>
      </c>
      <c r="I4375" s="5">
        <v>42.798310284363893</v>
      </c>
      <c r="J4375" s="5">
        <v>45.332835833250002</v>
      </c>
      <c r="K4375" s="5">
        <v>73</v>
      </c>
    </row>
    <row r="4376" spans="1:11" x14ac:dyDescent="0.25">
      <c r="A4376" s="2">
        <v>46279.708333333343</v>
      </c>
      <c r="B4376" t="str">
        <f t="shared" si="136"/>
        <v>2026-09</v>
      </c>
      <c r="C4376" s="3">
        <f t="shared" si="137"/>
        <v>17</v>
      </c>
      <c r="D4376" s="4">
        <v>24.74674259875556</v>
      </c>
      <c r="E4376" s="4">
        <v>26.480082851072229</v>
      </c>
      <c r="F4376" s="4">
        <v>28.139207263966671</v>
      </c>
      <c r="G4376" s="4">
        <v>17.600000000000001</v>
      </c>
      <c r="H4376" s="5">
        <v>50.636615377544437</v>
      </c>
      <c r="I4376" s="5">
        <v>47.15016050671111</v>
      </c>
      <c r="J4376" s="5">
        <v>44.558579173002776</v>
      </c>
      <c r="K4376" s="5">
        <v>78</v>
      </c>
    </row>
    <row r="4377" spans="1:11" x14ac:dyDescent="0.25">
      <c r="A4377" s="2">
        <v>46279.75</v>
      </c>
      <c r="B4377" t="str">
        <f t="shared" si="136"/>
        <v>2026-09</v>
      </c>
      <c r="C4377" s="3">
        <f t="shared" si="137"/>
        <v>18</v>
      </c>
      <c r="D4377" s="4">
        <v>24.75411476150278</v>
      </c>
      <c r="E4377" s="4">
        <v>26.37840832565</v>
      </c>
      <c r="F4377" s="4">
        <v>28.264327288263889</v>
      </c>
      <c r="G4377" s="4">
        <v>17</v>
      </c>
      <c r="H4377" s="5">
        <v>49.784847889691669</v>
      </c>
      <c r="I4377" s="5">
        <v>46.181447941708328</v>
      </c>
      <c r="J4377" s="5">
        <v>44.266239696905558</v>
      </c>
      <c r="K4377" s="5">
        <v>83</v>
      </c>
    </row>
    <row r="4378" spans="1:11" x14ac:dyDescent="0.25">
      <c r="A4378" s="2">
        <v>46279.791666666657</v>
      </c>
      <c r="B4378" t="str">
        <f t="shared" si="136"/>
        <v>2026-09</v>
      </c>
      <c r="C4378" s="3">
        <f t="shared" si="137"/>
        <v>19</v>
      </c>
      <c r="D4378" s="4">
        <v>24.672362026436119</v>
      </c>
      <c r="E4378" s="4">
        <v>26.573333375394441</v>
      </c>
      <c r="F4378" s="4">
        <v>27.584124328841671</v>
      </c>
      <c r="G4378" s="4">
        <v>16.899999999999999</v>
      </c>
      <c r="H4378" s="5">
        <v>47.865064115830563</v>
      </c>
      <c r="I4378" s="5">
        <v>43.740261358738877</v>
      </c>
      <c r="J4378" s="5">
        <v>47.990203967366661</v>
      </c>
      <c r="K4378" s="5">
        <v>82</v>
      </c>
    </row>
    <row r="4379" spans="1:11" x14ac:dyDescent="0.25">
      <c r="A4379" s="2">
        <v>46279.833333333343</v>
      </c>
      <c r="B4379" t="str">
        <f t="shared" si="136"/>
        <v>2026-09</v>
      </c>
      <c r="C4379" s="3">
        <f t="shared" si="137"/>
        <v>20</v>
      </c>
      <c r="D4379" s="4">
        <v>24.624313810730559</v>
      </c>
      <c r="E4379" s="4">
        <v>26.453671434008331</v>
      </c>
      <c r="F4379" s="4">
        <v>26.913604579680559</v>
      </c>
      <c r="G4379" s="4">
        <v>16.399999999999999</v>
      </c>
      <c r="H4379" s="5">
        <v>47.238804168436111</v>
      </c>
      <c r="I4379" s="5">
        <v>43.909811112488889</v>
      </c>
      <c r="J4379" s="5">
        <v>49.412761865058343</v>
      </c>
      <c r="K4379" s="5">
        <v>84</v>
      </c>
    </row>
    <row r="4380" spans="1:11" x14ac:dyDescent="0.25">
      <c r="A4380" s="2">
        <v>46279.875</v>
      </c>
      <c r="B4380" t="str">
        <f t="shared" si="136"/>
        <v>2026-09</v>
      </c>
      <c r="C4380" s="3">
        <f t="shared" si="137"/>
        <v>21</v>
      </c>
      <c r="D4380" s="4">
        <v>24.40695955733889</v>
      </c>
      <c r="E4380" s="4">
        <v>26.256334635211111</v>
      </c>
      <c r="F4380" s="4">
        <v>26.967018602863892</v>
      </c>
      <c r="G4380" s="4">
        <v>16.399999999999999</v>
      </c>
      <c r="H4380" s="5">
        <v>48.513683045513893</v>
      </c>
      <c r="I4380" s="5">
        <v>45.978864566338892</v>
      </c>
      <c r="J4380" s="5">
        <v>49.590677047061121</v>
      </c>
      <c r="K4380" s="5">
        <v>88</v>
      </c>
    </row>
    <row r="4381" spans="1:11" x14ac:dyDescent="0.25">
      <c r="A4381" s="2">
        <v>46279.916666666657</v>
      </c>
      <c r="B4381" t="str">
        <f t="shared" si="136"/>
        <v>2026-09</v>
      </c>
      <c r="C4381" s="3">
        <f t="shared" si="137"/>
        <v>22</v>
      </c>
      <c r="D4381" s="4">
        <v>23.880370689161111</v>
      </c>
      <c r="E4381" s="4">
        <v>25.857045805758329</v>
      </c>
      <c r="F4381" s="4">
        <v>27.449783003536108</v>
      </c>
      <c r="G4381" s="4">
        <v>16.2</v>
      </c>
      <c r="H4381" s="5">
        <v>48.845553646866669</v>
      </c>
      <c r="I4381" s="5">
        <v>44.814823389816667</v>
      </c>
      <c r="J4381" s="5">
        <v>47.391049063377778</v>
      </c>
      <c r="K4381" s="5">
        <v>91</v>
      </c>
    </row>
    <row r="4382" spans="1:11" x14ac:dyDescent="0.25">
      <c r="A4382" s="2">
        <v>46279.958333333343</v>
      </c>
      <c r="B4382" t="str">
        <f t="shared" si="136"/>
        <v>2026-09</v>
      </c>
      <c r="C4382" s="3">
        <f t="shared" si="137"/>
        <v>23</v>
      </c>
      <c r="D4382" s="4">
        <v>24.358019885425001</v>
      </c>
      <c r="E4382" s="4">
        <v>26.41268033455556</v>
      </c>
      <c r="F4382" s="4">
        <v>27.68602521327778</v>
      </c>
      <c r="G4382" s="4">
        <v>15.6</v>
      </c>
      <c r="H4382" s="5">
        <v>47.705256858186111</v>
      </c>
      <c r="I4382" s="5">
        <v>43.520180976405562</v>
      </c>
      <c r="J4382" s="5">
        <v>46.304273214222228</v>
      </c>
      <c r="K4382" s="5">
        <v>94</v>
      </c>
    </row>
    <row r="4383" spans="1:11" x14ac:dyDescent="0.25">
      <c r="A4383" s="2">
        <v>46280</v>
      </c>
      <c r="B4383" t="str">
        <f t="shared" si="136"/>
        <v>2026-09</v>
      </c>
      <c r="C4383" s="3">
        <f t="shared" si="137"/>
        <v>0</v>
      </c>
      <c r="D4383" s="4">
        <v>24.584687216797221</v>
      </c>
      <c r="E4383" s="4">
        <v>26.359618272913892</v>
      </c>
      <c r="F4383" s="4">
        <v>27.796889512</v>
      </c>
      <c r="G4383" s="4">
        <v>15.2</v>
      </c>
      <c r="H4383" s="5">
        <v>47.162923152702767</v>
      </c>
      <c r="I4383" s="5">
        <v>44.359080686944438</v>
      </c>
      <c r="J4383" s="5">
        <v>45.840323869755558</v>
      </c>
      <c r="K4383" s="5">
        <v>96</v>
      </c>
    </row>
    <row r="4384" spans="1:11" x14ac:dyDescent="0.25">
      <c r="A4384" s="2">
        <v>46280.041666666657</v>
      </c>
      <c r="B4384" t="str">
        <f t="shared" si="136"/>
        <v>2026-09</v>
      </c>
      <c r="C4384" s="3">
        <f t="shared" si="137"/>
        <v>1</v>
      </c>
      <c r="D4384" s="4">
        <v>24.195514373824999</v>
      </c>
      <c r="E4384" s="4">
        <v>26.052575302902781</v>
      </c>
      <c r="F4384" s="4">
        <v>27.841123110783329</v>
      </c>
      <c r="G4384" s="4">
        <v>14.8</v>
      </c>
      <c r="H4384" s="5">
        <v>49.138524444786107</v>
      </c>
      <c r="I4384" s="5">
        <v>46.219672399669442</v>
      </c>
      <c r="J4384" s="5">
        <v>46.369608693313893</v>
      </c>
      <c r="K4384" s="5">
        <v>97</v>
      </c>
    </row>
    <row r="4385" spans="1:11" x14ac:dyDescent="0.25">
      <c r="A4385" s="2">
        <v>46280.083333333343</v>
      </c>
      <c r="B4385" t="str">
        <f t="shared" si="136"/>
        <v>2026-09</v>
      </c>
      <c r="C4385" s="3">
        <f t="shared" si="137"/>
        <v>2</v>
      </c>
      <c r="D4385" s="4">
        <v>23.922094966386108</v>
      </c>
      <c r="E4385" s="4">
        <v>25.75260538001945</v>
      </c>
      <c r="F4385" s="4">
        <v>27.990882465011111</v>
      </c>
      <c r="G4385" s="4">
        <v>14.8</v>
      </c>
      <c r="H4385" s="5">
        <v>50.241846482044451</v>
      </c>
      <c r="I4385" s="5">
        <v>45.993961177422221</v>
      </c>
      <c r="J4385" s="5">
        <v>45.434826970338889</v>
      </c>
      <c r="K4385" s="5">
        <v>97</v>
      </c>
    </row>
    <row r="4386" spans="1:11" x14ac:dyDescent="0.25">
      <c r="A4386" s="2">
        <v>46280.125</v>
      </c>
      <c r="B4386" t="str">
        <f t="shared" si="136"/>
        <v>2026-09</v>
      </c>
      <c r="C4386" s="3">
        <f t="shared" si="137"/>
        <v>3</v>
      </c>
      <c r="D4386" s="4">
        <v>24.508040689594441</v>
      </c>
      <c r="E4386" s="4">
        <v>25.814553065675</v>
      </c>
      <c r="F4386" s="4">
        <v>28.089614270386111</v>
      </c>
      <c r="G4386" s="4">
        <v>14</v>
      </c>
      <c r="H4386" s="5">
        <v>49.750284256308333</v>
      </c>
      <c r="I4386" s="5">
        <v>45.375558874675001</v>
      </c>
      <c r="J4386" s="5">
        <v>44.91883850751389</v>
      </c>
      <c r="K4386" s="5">
        <v>98</v>
      </c>
    </row>
    <row r="4387" spans="1:11" x14ac:dyDescent="0.25">
      <c r="A4387" s="2">
        <v>46280.166666666657</v>
      </c>
      <c r="B4387" t="str">
        <f t="shared" si="136"/>
        <v>2026-09</v>
      </c>
      <c r="C4387" s="3">
        <f t="shared" si="137"/>
        <v>4</v>
      </c>
      <c r="D4387" s="4">
        <v>24.599362452780561</v>
      </c>
      <c r="E4387" s="4">
        <v>25.845005880888891</v>
      </c>
      <c r="F4387" s="4">
        <v>28.149881897669449</v>
      </c>
      <c r="G4387" s="4">
        <v>14.3</v>
      </c>
      <c r="H4387" s="5">
        <v>50.056336292202779</v>
      </c>
      <c r="I4387" s="5">
        <v>45.366226402372227</v>
      </c>
      <c r="J4387" s="5">
        <v>44.543749269975002</v>
      </c>
      <c r="K4387" s="5">
        <v>98</v>
      </c>
    </row>
    <row r="4388" spans="1:11" x14ac:dyDescent="0.25">
      <c r="A4388" s="2">
        <v>46280.208333333343</v>
      </c>
      <c r="B4388" t="str">
        <f t="shared" si="136"/>
        <v>2026-09</v>
      </c>
      <c r="C4388" s="3">
        <f t="shared" si="137"/>
        <v>5</v>
      </c>
      <c r="D4388" s="4">
        <v>24.611354966861111</v>
      </c>
      <c r="E4388" s="4">
        <v>25.82002609466112</v>
      </c>
      <c r="F4388" s="4">
        <v>28.154981010555559</v>
      </c>
      <c r="G4388" s="4">
        <v>14.3</v>
      </c>
      <c r="H4388" s="5">
        <v>50.379007787666673</v>
      </c>
      <c r="I4388" s="5">
        <v>45.439374971980563</v>
      </c>
      <c r="J4388" s="5">
        <v>44.230354321969443</v>
      </c>
      <c r="K4388" s="5">
        <v>98</v>
      </c>
    </row>
    <row r="4389" spans="1:11" x14ac:dyDescent="0.25">
      <c r="A4389" s="2">
        <v>46280.25</v>
      </c>
      <c r="B4389" t="str">
        <f t="shared" si="136"/>
        <v>2026-09</v>
      </c>
      <c r="C4389" s="3">
        <f t="shared" si="137"/>
        <v>6</v>
      </c>
      <c r="D4389" s="4">
        <v>24.61883334119722</v>
      </c>
      <c r="E4389" s="4">
        <v>25.822702000338889</v>
      </c>
      <c r="F4389" s="4">
        <v>28.118925753799999</v>
      </c>
      <c r="G4389" s="4">
        <v>13.8</v>
      </c>
      <c r="H4389" s="5">
        <v>50.23657639630278</v>
      </c>
      <c r="I4389" s="5">
        <v>45.290985735500001</v>
      </c>
      <c r="J4389" s="5">
        <v>44.029317258819447</v>
      </c>
      <c r="K4389" s="5">
        <v>98</v>
      </c>
    </row>
    <row r="4390" spans="1:11" x14ac:dyDescent="0.25">
      <c r="A4390" s="2">
        <v>46280.291666666657</v>
      </c>
      <c r="B4390" t="str">
        <f t="shared" si="136"/>
        <v>2026-09</v>
      </c>
      <c r="C4390" s="3">
        <f t="shared" si="137"/>
        <v>7</v>
      </c>
      <c r="D4390" s="4">
        <v>24.617666543824999</v>
      </c>
      <c r="E4390" s="4">
        <v>25.782808192672221</v>
      </c>
      <c r="F4390" s="4">
        <v>28.079841025219441</v>
      </c>
      <c r="G4390" s="4">
        <v>13.4</v>
      </c>
      <c r="H4390" s="5">
        <v>50.008500672783327</v>
      </c>
      <c r="I4390" s="5">
        <v>45.389352701111108</v>
      </c>
      <c r="J4390" s="5">
        <v>43.885830205444442</v>
      </c>
      <c r="K4390" s="5">
        <v>97</v>
      </c>
    </row>
    <row r="4391" spans="1:11" x14ac:dyDescent="0.25">
      <c r="A4391" s="2">
        <v>46280.333333333343</v>
      </c>
      <c r="B4391" t="str">
        <f t="shared" si="136"/>
        <v>2026-09</v>
      </c>
      <c r="C4391" s="3">
        <f t="shared" si="137"/>
        <v>8</v>
      </c>
      <c r="D4391" s="4">
        <v>24.615604955988889</v>
      </c>
      <c r="E4391" s="4">
        <v>25.814620167952778</v>
      </c>
      <c r="F4391" s="4">
        <v>28.050905720133329</v>
      </c>
      <c r="G4391" s="4">
        <v>13.4</v>
      </c>
      <c r="H4391" s="5">
        <v>50.012671322744438</v>
      </c>
      <c r="I4391" s="5">
        <v>45.372305825150001</v>
      </c>
      <c r="J4391" s="5">
        <v>43.794461915702783</v>
      </c>
      <c r="K4391" s="5">
        <v>97</v>
      </c>
    </row>
    <row r="4392" spans="1:11" x14ac:dyDescent="0.25">
      <c r="A4392" s="2">
        <v>46280.375</v>
      </c>
      <c r="B4392" t="str">
        <f t="shared" si="136"/>
        <v>2026-09</v>
      </c>
      <c r="C4392" s="3">
        <f t="shared" si="137"/>
        <v>9</v>
      </c>
      <c r="D4392" s="4">
        <v>24.63140967525834</v>
      </c>
      <c r="E4392" s="4">
        <v>25.839859894197222</v>
      </c>
      <c r="F4392" s="4">
        <v>28.021674745130561</v>
      </c>
      <c r="G4392" s="4">
        <v>12.9</v>
      </c>
      <c r="H4392" s="5">
        <v>50.062282239066668</v>
      </c>
      <c r="I4392" s="5">
        <v>45.479378212936098</v>
      </c>
      <c r="J4392" s="5">
        <v>43.786175812277783</v>
      </c>
      <c r="K4392" s="5">
        <v>97</v>
      </c>
    </row>
    <row r="4393" spans="1:11" x14ac:dyDescent="0.25">
      <c r="A4393" s="2">
        <v>46280.416666666657</v>
      </c>
      <c r="B4393" t="str">
        <f t="shared" si="136"/>
        <v>2026-09</v>
      </c>
      <c r="C4393" s="3">
        <f t="shared" si="137"/>
        <v>10</v>
      </c>
      <c r="D4393" s="4">
        <v>24.659359155827779</v>
      </c>
      <c r="E4393" s="4">
        <v>26.093817870544441</v>
      </c>
      <c r="F4393" s="4">
        <v>28.004036537408339</v>
      </c>
      <c r="G4393" s="4">
        <v>13.2</v>
      </c>
      <c r="H4393" s="5">
        <v>50.554921104197227</v>
      </c>
      <c r="I4393" s="5">
        <v>46.465556242119447</v>
      </c>
      <c r="J4393" s="5">
        <v>44.185873226852777</v>
      </c>
      <c r="K4393" s="5">
        <v>96</v>
      </c>
    </row>
    <row r="4394" spans="1:11" x14ac:dyDescent="0.25">
      <c r="A4394" s="2">
        <v>46280.458333333343</v>
      </c>
      <c r="B4394" t="str">
        <f t="shared" si="136"/>
        <v>2026-09</v>
      </c>
      <c r="C4394" s="3">
        <f t="shared" si="137"/>
        <v>11</v>
      </c>
      <c r="D4394" s="4">
        <v>24.689166870547229</v>
      </c>
      <c r="E4394" s="4">
        <v>25.938944880588888</v>
      </c>
      <c r="F4394" s="4">
        <v>28.01821377505556</v>
      </c>
      <c r="G4394" s="4">
        <v>13.6</v>
      </c>
      <c r="H4394" s="5">
        <v>50.41278947189722</v>
      </c>
      <c r="I4394" s="5">
        <v>46.780685342669443</v>
      </c>
      <c r="J4394" s="5">
        <v>44.737630561652772</v>
      </c>
      <c r="K4394" s="5">
        <v>94</v>
      </c>
    </row>
    <row r="4395" spans="1:11" x14ac:dyDescent="0.25">
      <c r="A4395" s="2">
        <v>46280.5</v>
      </c>
      <c r="B4395" t="str">
        <f t="shared" si="136"/>
        <v>2026-09</v>
      </c>
      <c r="C4395" s="3">
        <f t="shared" si="137"/>
        <v>12</v>
      </c>
      <c r="D4395" s="4">
        <v>24.690938763213889</v>
      </c>
      <c r="E4395" s="4">
        <v>26.066176759494439</v>
      </c>
      <c r="F4395" s="4">
        <v>28.05204663356945</v>
      </c>
      <c r="G4395" s="4">
        <v>14.8</v>
      </c>
      <c r="H4395" s="5">
        <v>49.813827707252777</v>
      </c>
      <c r="I4395" s="5">
        <v>46.232288303213892</v>
      </c>
      <c r="J4395" s="5">
        <v>44.864275135586119</v>
      </c>
      <c r="K4395" s="5">
        <v>84</v>
      </c>
    </row>
    <row r="4396" spans="1:11" x14ac:dyDescent="0.25">
      <c r="A4396" s="2">
        <v>46280.541666666657</v>
      </c>
      <c r="B4396" t="str">
        <f t="shared" si="136"/>
        <v>2026-09</v>
      </c>
      <c r="C4396" s="3">
        <f t="shared" si="137"/>
        <v>13</v>
      </c>
      <c r="D4396" s="4">
        <v>24.73080460333334</v>
      </c>
      <c r="E4396" s="4">
        <v>26.144698686775001</v>
      </c>
      <c r="F4396" s="4">
        <v>27.979322109138892</v>
      </c>
      <c r="G4396" s="4">
        <v>15.4</v>
      </c>
      <c r="H4396" s="5">
        <v>49.575305417563889</v>
      </c>
      <c r="I4396" s="5">
        <v>45.401365077152782</v>
      </c>
      <c r="J4396" s="5">
        <v>45.80275527888611</v>
      </c>
      <c r="K4396" s="5">
        <v>85</v>
      </c>
    </row>
    <row r="4397" spans="1:11" x14ac:dyDescent="0.25">
      <c r="A4397" s="2">
        <v>46280.583333333343</v>
      </c>
      <c r="B4397" t="str">
        <f t="shared" si="136"/>
        <v>2026-09</v>
      </c>
      <c r="C4397" s="3">
        <f t="shared" si="137"/>
        <v>14</v>
      </c>
      <c r="D4397" s="4">
        <v>24.763971772927778</v>
      </c>
      <c r="E4397" s="4">
        <v>26.165938665563889</v>
      </c>
      <c r="F4397" s="4">
        <v>28.063782385466659</v>
      </c>
      <c r="G4397" s="4">
        <v>15</v>
      </c>
      <c r="H4397" s="5">
        <v>49.139287193519444</v>
      </c>
      <c r="I4397" s="5">
        <v>45.561837735127767</v>
      </c>
      <c r="J4397" s="5">
        <v>45.433062077105546</v>
      </c>
      <c r="K4397" s="5">
        <v>86</v>
      </c>
    </row>
    <row r="4398" spans="1:11" x14ac:dyDescent="0.25">
      <c r="A4398" s="2">
        <v>46280.625</v>
      </c>
      <c r="B4398" t="str">
        <f t="shared" si="136"/>
        <v>2026-09</v>
      </c>
      <c r="C4398" s="3">
        <f t="shared" si="137"/>
        <v>15</v>
      </c>
      <c r="D4398" s="4">
        <v>24.500265691369449</v>
      </c>
      <c r="E4398" s="4">
        <v>26.193103407119441</v>
      </c>
      <c r="F4398" s="4">
        <v>28.10706506260556</v>
      </c>
      <c r="G4398" s="4">
        <v>14.4</v>
      </c>
      <c r="H4398" s="5">
        <v>49.443397976486118</v>
      </c>
      <c r="I4398" s="5">
        <v>45.432397630174997</v>
      </c>
      <c r="J4398" s="5">
        <v>45.847063361508333</v>
      </c>
      <c r="K4398" s="5">
        <v>86</v>
      </c>
    </row>
    <row r="4399" spans="1:11" x14ac:dyDescent="0.25">
      <c r="A4399" s="2">
        <v>46280.666666666657</v>
      </c>
      <c r="B4399" t="str">
        <f t="shared" si="136"/>
        <v>2026-09</v>
      </c>
      <c r="C4399" s="3">
        <f t="shared" si="137"/>
        <v>16</v>
      </c>
      <c r="D4399" s="4">
        <v>24.029141850183329</v>
      </c>
      <c r="E4399" s="4">
        <v>26.196189135891672</v>
      </c>
      <c r="F4399" s="4">
        <v>28.166168838266671</v>
      </c>
      <c r="G4399" s="4">
        <v>13.8</v>
      </c>
      <c r="H4399" s="5">
        <v>50.079670082822219</v>
      </c>
      <c r="I4399" s="5">
        <v>44.875660316577779</v>
      </c>
      <c r="J4399" s="5">
        <v>45.698774969602773</v>
      </c>
      <c r="K4399" s="5">
        <v>90</v>
      </c>
    </row>
    <row r="4400" spans="1:11" x14ac:dyDescent="0.25">
      <c r="A4400" s="2">
        <v>46280.708333333343</v>
      </c>
      <c r="B4400" t="str">
        <f t="shared" si="136"/>
        <v>2026-09</v>
      </c>
      <c r="C4400" s="3">
        <f t="shared" si="137"/>
        <v>17</v>
      </c>
      <c r="D4400" s="4">
        <v>23.910708880772219</v>
      </c>
      <c r="E4400" s="4">
        <v>26.276318096400001</v>
      </c>
      <c r="F4400" s="4">
        <v>27.96851707007778</v>
      </c>
      <c r="G4400" s="4">
        <v>13.6</v>
      </c>
      <c r="H4400" s="5">
        <v>50.404770411166659</v>
      </c>
      <c r="I4400" s="5">
        <v>46.33585800717222</v>
      </c>
      <c r="J4400" s="5">
        <v>46.789657510741669</v>
      </c>
      <c r="K4400" s="5">
        <v>91</v>
      </c>
    </row>
    <row r="4401" spans="1:11" x14ac:dyDescent="0.25">
      <c r="A4401" s="2">
        <v>46280.75</v>
      </c>
      <c r="B4401" t="str">
        <f t="shared" si="136"/>
        <v>2026-09</v>
      </c>
      <c r="C4401" s="3">
        <f t="shared" si="137"/>
        <v>18</v>
      </c>
      <c r="D4401" s="4">
        <v>24.080643011063891</v>
      </c>
      <c r="E4401" s="4">
        <v>26.51838783168612</v>
      </c>
      <c r="F4401" s="4">
        <v>27.34379395140278</v>
      </c>
      <c r="G4401" s="4">
        <v>13.3</v>
      </c>
      <c r="H4401" s="5">
        <v>50.479611905494451</v>
      </c>
      <c r="I4401" s="5">
        <v>46.984398800861108</v>
      </c>
      <c r="J4401" s="5">
        <v>49.69746187362778</v>
      </c>
      <c r="K4401" s="5">
        <v>91</v>
      </c>
    </row>
    <row r="4402" spans="1:11" x14ac:dyDescent="0.25">
      <c r="A4402" s="2">
        <v>46280.791666666657</v>
      </c>
      <c r="B4402" t="str">
        <f t="shared" si="136"/>
        <v>2026-09</v>
      </c>
      <c r="C4402" s="3">
        <f t="shared" si="137"/>
        <v>19</v>
      </c>
      <c r="D4402" s="4">
        <v>24.013121979916669</v>
      </c>
      <c r="E4402" s="4">
        <v>26.327210885116671</v>
      </c>
      <c r="F4402" s="4">
        <v>27.38284604211389</v>
      </c>
      <c r="G4402" s="4">
        <v>13</v>
      </c>
      <c r="H4402" s="5">
        <v>49.348918665822232</v>
      </c>
      <c r="I4402" s="5">
        <v>44.714398326194448</v>
      </c>
      <c r="J4402" s="5">
        <v>48.295939840908339</v>
      </c>
      <c r="K4402" s="5">
        <v>90</v>
      </c>
    </row>
    <row r="4403" spans="1:11" x14ac:dyDescent="0.25">
      <c r="A4403" s="2">
        <v>46280.833333333343</v>
      </c>
      <c r="B4403" t="str">
        <f t="shared" si="136"/>
        <v>2026-09</v>
      </c>
      <c r="C4403" s="3">
        <f t="shared" si="137"/>
        <v>20</v>
      </c>
      <c r="D4403" s="4">
        <v>23.93033670286944</v>
      </c>
      <c r="E4403" s="4">
        <v>26.349122249311112</v>
      </c>
      <c r="F4403" s="4">
        <v>27.747102684213889</v>
      </c>
      <c r="G4403" s="4">
        <v>12.8</v>
      </c>
      <c r="H4403" s="5">
        <v>50.725865918311108</v>
      </c>
      <c r="I4403" s="5">
        <v>46.72209541920833</v>
      </c>
      <c r="J4403" s="5">
        <v>46.924946554666661</v>
      </c>
      <c r="K4403" s="5">
        <v>89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3" width="18" customWidth="1"/>
    <col min="4" max="5" width="14" customWidth="1"/>
    <col min="6" max="6" width="10" customWidth="1"/>
    <col min="7" max="7" width="12" customWidth="1"/>
    <col min="8" max="8" width="70" customWidth="1"/>
    <col min="10" max="10" width="34" customWidth="1"/>
    <col min="11" max="11" width="12" customWidth="1"/>
  </cols>
  <sheetData>
    <row r="1" spans="1:11" ht="3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  <c r="H1" s="1" t="s">
        <v>17</v>
      </c>
      <c r="J1" s="6" t="s">
        <v>18</v>
      </c>
    </row>
    <row r="2" spans="1:11" ht="30" x14ac:dyDescent="0.25">
      <c r="A2">
        <v>1</v>
      </c>
      <c r="B2" s="2">
        <v>46099.125</v>
      </c>
      <c r="C2" s="2">
        <v>46099.375</v>
      </c>
      <c r="D2" s="4">
        <v>6</v>
      </c>
      <c r="E2" t="str">
        <f>TEXT(B2,"dddd")</f>
        <v>середа</v>
      </c>
      <c r="F2" t="str">
        <f>TEXT(B2,"yyyy-mm")</f>
        <v>2026-03</v>
      </c>
      <c r="G2" t="s">
        <v>19</v>
      </c>
      <c r="H2" s="7" t="s">
        <v>20</v>
      </c>
      <c r="J2" t="s">
        <v>21</v>
      </c>
      <c r="K2">
        <f>COUNTA(A2:A6)</f>
        <v>5</v>
      </c>
    </row>
    <row r="3" spans="1:11" ht="30" x14ac:dyDescent="0.25">
      <c r="A3">
        <v>2</v>
      </c>
      <c r="B3" s="2">
        <v>46186.458333333343</v>
      </c>
      <c r="C3" s="2">
        <v>46186.791666666657</v>
      </c>
      <c r="D3" s="4">
        <v>8</v>
      </c>
      <c r="E3" t="str">
        <f>TEXT(B3,"dddd")</f>
        <v>субота</v>
      </c>
      <c r="F3" t="str">
        <f>TEXT(B3,"yyyy-mm")</f>
        <v>2026-06</v>
      </c>
      <c r="G3" t="s">
        <v>19</v>
      </c>
      <c r="H3" s="7" t="s">
        <v>22</v>
      </c>
      <c r="J3" t="s">
        <v>23</v>
      </c>
      <c r="K3" s="4">
        <f>SUM(D2:D6)</f>
        <v>35</v>
      </c>
    </row>
    <row r="4" spans="1:11" ht="45" x14ac:dyDescent="0.25">
      <c r="A4">
        <v>3</v>
      </c>
      <c r="B4" s="2">
        <v>46214.5</v>
      </c>
      <c r="C4" s="2">
        <v>46214.708333333343</v>
      </c>
      <c r="D4" s="4">
        <v>5</v>
      </c>
      <c r="E4" t="str">
        <f>TEXT(B4,"dddd")</f>
        <v>субота</v>
      </c>
      <c r="F4" t="str">
        <f>TEXT(B4,"yyyy-mm")</f>
        <v>2026-07</v>
      </c>
      <c r="G4" t="s">
        <v>19</v>
      </c>
      <c r="H4" s="7" t="s">
        <v>24</v>
      </c>
      <c r="J4" t="s">
        <v>25</v>
      </c>
      <c r="K4" s="4">
        <f>MEDIAN(D2:D6)</f>
        <v>7</v>
      </c>
    </row>
    <row r="5" spans="1:11" ht="45" x14ac:dyDescent="0.25">
      <c r="A5">
        <v>4</v>
      </c>
      <c r="B5" s="2">
        <v>46215.458333333343</v>
      </c>
      <c r="C5" s="2">
        <v>46215.75</v>
      </c>
      <c r="D5" s="4">
        <v>7</v>
      </c>
      <c r="E5" t="str">
        <f>TEXT(B5,"dddd")</f>
        <v>неділя</v>
      </c>
      <c r="F5" t="str">
        <f>TEXT(B5,"yyyy-mm")</f>
        <v>2026-07</v>
      </c>
      <c r="G5" t="s">
        <v>19</v>
      </c>
      <c r="H5" s="7" t="s">
        <v>24</v>
      </c>
      <c r="J5" t="s">
        <v>26</v>
      </c>
      <c r="K5" s="4">
        <f>MAX(D2:D6)</f>
        <v>9</v>
      </c>
    </row>
    <row r="6" spans="1:11" ht="45" x14ac:dyDescent="0.25">
      <c r="A6">
        <v>5</v>
      </c>
      <c r="B6" s="2">
        <v>46228.458333333343</v>
      </c>
      <c r="C6" s="2">
        <v>46228.833333333343</v>
      </c>
      <c r="D6" s="4">
        <v>9</v>
      </c>
      <c r="E6" t="str">
        <f>TEXT(B6,"dddd")</f>
        <v>субота</v>
      </c>
      <c r="F6" t="str">
        <f>TEXT(B6,"yyyy-mm")</f>
        <v>2026-07</v>
      </c>
      <c r="G6" t="s">
        <v>19</v>
      </c>
      <c r="H6" s="7" t="s">
        <v>24</v>
      </c>
      <c r="J6" t="s">
        <v>27</v>
      </c>
      <c r="K6">
        <v>4402</v>
      </c>
    </row>
    <row r="7" spans="1:11" x14ac:dyDescent="0.25">
      <c r="J7" t="s">
        <v>28</v>
      </c>
      <c r="K7" s="8">
        <f>1-K3/K6</f>
        <v>0.9920490686051795</v>
      </c>
    </row>
  </sheetData>
  <autoFilter ref="A1:H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0"/>
  <sheetViews>
    <sheetView tabSelected="1" workbookViewId="0">
      <pane ySplit="1" topLeftCell="A86" activePane="bottomLeft" state="frozen"/>
      <selection pane="bottomLeft" activeCell="I122" sqref="I122"/>
    </sheetView>
  </sheetViews>
  <sheetFormatPr defaultRowHeight="15" x14ac:dyDescent="0.25"/>
  <cols>
    <col min="1" max="1" width="19.5703125" bestFit="1" customWidth="1"/>
    <col min="2" max="2" width="20.5703125" bestFit="1" customWidth="1"/>
    <col min="3" max="3" width="18.5703125" bestFit="1" customWidth="1"/>
    <col min="4" max="4" width="21" bestFit="1" customWidth="1"/>
    <col min="5" max="5" width="11" customWidth="1"/>
    <col min="6" max="6" width="3" customWidth="1"/>
    <col min="7" max="7" width="11" customWidth="1"/>
    <col min="8" max="8" width="14" customWidth="1"/>
    <col min="9" max="9" width="11" customWidth="1"/>
  </cols>
  <sheetData>
    <row r="1" spans="1:9" ht="18.75" x14ac:dyDescent="0.3">
      <c r="A1" s="9" t="s">
        <v>29</v>
      </c>
    </row>
    <row r="4" spans="1:9" x14ac:dyDescent="0.25">
      <c r="A4" s="15" t="s">
        <v>30</v>
      </c>
      <c r="B4" s="16"/>
      <c r="C4" s="16"/>
      <c r="D4" s="16"/>
      <c r="E4" s="16"/>
      <c r="G4" s="15" t="s">
        <v>31</v>
      </c>
      <c r="H4" s="16"/>
      <c r="I4" s="16"/>
    </row>
    <row r="5" spans="1:9" x14ac:dyDescent="0.25">
      <c r="A5" s="1" t="s">
        <v>1</v>
      </c>
      <c r="B5" s="1" t="s">
        <v>32</v>
      </c>
      <c r="C5" s="1" t="s">
        <v>33</v>
      </c>
      <c r="D5" s="1" t="s">
        <v>34</v>
      </c>
      <c r="E5" s="1" t="s">
        <v>35</v>
      </c>
      <c r="G5" s="1" t="s">
        <v>32</v>
      </c>
      <c r="H5" s="1" t="s">
        <v>36</v>
      </c>
      <c r="I5" s="1" t="s">
        <v>37</v>
      </c>
    </row>
    <row r="6" spans="1:9" x14ac:dyDescent="0.25">
      <c r="A6" t="s">
        <v>38</v>
      </c>
      <c r="B6" s="4">
        <f>IFERROR(AVERAGEIFS(raw[Кімната °C],raw[Місяць],$A6),"")</f>
        <v>22.691940732567932</v>
      </c>
      <c r="C6" s="4" t="str">
        <f>IFERROR(AVERAGEIFS(raw[Кухня °C],raw[Місяць],$A6),"")</f>
        <v/>
      </c>
      <c r="D6" s="4" t="str">
        <f>IFERROR(AVERAGEIFS(raw[Кладова °C],raw[Місяць],$A6),"")</f>
        <v/>
      </c>
      <c r="E6" s="4">
        <f>IFERROR(AVERAGEIFS(raw[Надворі °C],raw[Місяць],$A6),"")</f>
        <v>6.9075067024128689</v>
      </c>
      <c r="G6" t="s">
        <v>32</v>
      </c>
      <c r="H6" s="4">
        <f>MIN(raw[Кімната °C])</f>
        <v>19.164767300313891</v>
      </c>
      <c r="I6" s="4">
        <f>MAX(raw[Кімната °C])</f>
        <v>30.17057808117778</v>
      </c>
    </row>
    <row r="7" spans="1:9" x14ac:dyDescent="0.25">
      <c r="A7" t="s">
        <v>39</v>
      </c>
      <c r="B7" s="4">
        <f>IFERROR(AVERAGEIFS(raw[Кімната °C],raw[Місяць],$A7),"")</f>
        <v>21.954304186203391</v>
      </c>
      <c r="C7" s="4">
        <f>IFERROR(AVERAGEIFS(raw[Кухня °C],raw[Місяць],$A7),"")</f>
        <v>23.45483194734966</v>
      </c>
      <c r="D7" s="4">
        <f>IFERROR(AVERAGEIFS(raw[Кладова °C],raw[Місяць],$A7),"")</f>
        <v>23.409542848288098</v>
      </c>
      <c r="E7" s="4">
        <f>IFERROR(AVERAGEIFS(raw[Надворі °C],raw[Місяць],$A7),"")</f>
        <v>7.2530555555555587</v>
      </c>
      <c r="G7" t="s">
        <v>33</v>
      </c>
      <c r="H7" s="4">
        <f>MIN(raw[Кухня °C])</f>
        <v>21.697223572624999</v>
      </c>
      <c r="I7" s="4">
        <f>MAX(raw[Кухня °C])</f>
        <v>30.36168807715833</v>
      </c>
    </row>
    <row r="8" spans="1:9" x14ac:dyDescent="0.25">
      <c r="A8" t="s">
        <v>40</v>
      </c>
      <c r="B8" s="4">
        <f>IFERROR(AVERAGEIFS(raw[Кімната °C],raw[Місяць],$A8),"")</f>
        <v>24.057717418919836</v>
      </c>
      <c r="C8" s="4">
        <f>IFERROR(AVERAGEIFS(raw[Кухня °C],raw[Місяць],$A8),"")</f>
        <v>25.560902907173734</v>
      </c>
      <c r="D8" s="4">
        <f>IFERROR(AVERAGEIFS(raw[Кладова °C],raw[Місяць],$A8),"")</f>
        <v>25.578650854200049</v>
      </c>
      <c r="E8" s="4">
        <f>IFERROR(AVERAGEIFS(raw[Надворі °C],raw[Місяць],$A8),"")</f>
        <v>16.918145161290333</v>
      </c>
      <c r="G8" t="s">
        <v>34</v>
      </c>
      <c r="H8" s="4">
        <f>MIN(raw[Кладова °C])</f>
        <v>22.15518236511112</v>
      </c>
      <c r="I8" s="4">
        <f>MAX(raw[Кладова °C])</f>
        <v>30.173220590416669</v>
      </c>
    </row>
    <row r="9" spans="1:9" x14ac:dyDescent="0.25">
      <c r="A9" t="s">
        <v>41</v>
      </c>
      <c r="B9" s="4">
        <f>IFERROR(AVERAGEIFS(raw[Кімната °C],raw[Місяць],$A9),"")</f>
        <v>25.502107266610487</v>
      </c>
      <c r="C9" s="4">
        <f>IFERROR(AVERAGEIFS(raw[Кухня °C],raw[Місяць],$A9),"")</f>
        <v>26.992543891684953</v>
      </c>
      <c r="D9" s="4">
        <f>IFERROR(AVERAGEIFS(raw[Кладова °C],raw[Місяць],$A9),"")</f>
        <v>28.464859472866959</v>
      </c>
      <c r="E9" s="4">
        <f>IFERROR(AVERAGEIFS(raw[Надворі °C],raw[Місяць],$A9),"")</f>
        <v>20.949027777777793</v>
      </c>
      <c r="G9" t="s">
        <v>35</v>
      </c>
      <c r="H9" s="4">
        <f>MIN(raw[Надворі °C])</f>
        <v>-1.3</v>
      </c>
      <c r="I9" s="4">
        <f>MAX(raw[Надворі °C])</f>
        <v>36.1</v>
      </c>
    </row>
    <row r="10" spans="1:9" x14ac:dyDescent="0.25">
      <c r="A10" t="s">
        <v>42</v>
      </c>
      <c r="B10" s="4">
        <f>IFERROR(AVERAGEIFS(raw[Кімната °C],raw[Місяць],$A10),"")</f>
        <v>25.630405831100706</v>
      </c>
      <c r="C10" s="4">
        <f>IFERROR(AVERAGEIFS(raw[Кухня °C],raw[Місяць],$A10),"")</f>
        <v>27.523684908238042</v>
      </c>
      <c r="D10" s="4">
        <f>IFERROR(AVERAGEIFS(raw[Кладова °C],raw[Місяць],$A10),"")</f>
        <v>28.770269807590111</v>
      </c>
      <c r="E10" s="4">
        <f>IFERROR(AVERAGEIFS(raw[Надворі °C],raw[Місяць],$A10),"")</f>
        <v>20.749059139784944</v>
      </c>
    </row>
    <row r="11" spans="1:9" x14ac:dyDescent="0.25">
      <c r="A11" t="s">
        <v>43</v>
      </c>
      <c r="B11" s="4">
        <f>IFERROR(AVERAGEIFS(raw[Кімната °C],raw[Місяць],$A11),"")</f>
        <v>25.561816947517585</v>
      </c>
      <c r="C11" s="4">
        <f>IFERROR(AVERAGEIFS(raw[Кухня °C],raw[Місяць],$A11),"")</f>
        <v>27.848079982648322</v>
      </c>
      <c r="D11" s="4">
        <f>IFERROR(AVERAGEIFS(raw[Кладова °C],raw[Місяць],$A11),"")</f>
        <v>29.319181600894126</v>
      </c>
      <c r="E11" s="4">
        <f>IFERROR(AVERAGEIFS(raw[Надворі °C],raw[Місяць],$A11),"")</f>
        <v>23.061962365591416</v>
      </c>
      <c r="G11" s="15" t="s">
        <v>44</v>
      </c>
      <c r="H11" s="16"/>
    </row>
    <row r="12" spans="1:9" ht="30" x14ac:dyDescent="0.25">
      <c r="A12" t="s">
        <v>45</v>
      </c>
      <c r="B12" s="4">
        <f>IFERROR(AVERAGEIFS(raw[Кімната °C],raw[Місяць],$A12),"")</f>
        <v>24.84383464314195</v>
      </c>
      <c r="C12" s="4">
        <f>IFERROR(AVERAGEIFS(raw[Кухня °C],raw[Місяць],$A12),"")</f>
        <v>27.053649424755541</v>
      </c>
      <c r="D12" s="4">
        <f>IFERROR(AVERAGEIFS(raw[Кладова °C],raw[Місяць],$A12),"")</f>
        <v>28.585871687367447</v>
      </c>
      <c r="E12" s="4">
        <f>IFERROR(AVERAGEIFS(raw[Надворі °C],raw[Місяць],$A12),"")</f>
        <v>18.230532212885134</v>
      </c>
      <c r="G12" s="1" t="s">
        <v>32</v>
      </c>
      <c r="H12" s="1" t="s">
        <v>46</v>
      </c>
    </row>
    <row r="13" spans="1:9" x14ac:dyDescent="0.25">
      <c r="G13" t="s">
        <v>32</v>
      </c>
      <c r="H13" s="8">
        <f>(COUNTIFS(raw[Кімната °C],"&lt;20")+COUNTIFS(raw[Кімната °C],"&gt;24"))/COUNT(raw[Кімната °C])</f>
        <v>0.58755493869997688</v>
      </c>
    </row>
    <row r="14" spans="1:9" x14ac:dyDescent="0.25">
      <c r="A14" s="15" t="s">
        <v>47</v>
      </c>
      <c r="B14" s="16"/>
      <c r="G14" t="s">
        <v>33</v>
      </c>
      <c r="H14" s="8">
        <f>(COUNTIFS(raw[Кухня °C],"&lt;20")+COUNTIFS(raw[Кухня °C],"&gt;24"))/COUNT(raw[Кухня °C])</f>
        <v>0.78200821201941018</v>
      </c>
    </row>
    <row r="15" spans="1:9" ht="30" x14ac:dyDescent="0.25">
      <c r="A15" s="1" t="s">
        <v>1</v>
      </c>
      <c r="B15" s="1" t="s">
        <v>48</v>
      </c>
      <c r="G15" t="s">
        <v>34</v>
      </c>
      <c r="H15" s="8">
        <f>(COUNTIFS(raw[Кладова °C],"&lt;20")+COUNTIFS(raw[Кладова °C],"&gt;24"))/COUNT(raw[Кладова °C])</f>
        <v>0.8258234519104084</v>
      </c>
    </row>
    <row r="16" spans="1:9" x14ac:dyDescent="0.25">
      <c r="A16" t="str">
        <f t="shared" ref="A16:A22" si="0">$A6</f>
        <v>2026-03</v>
      </c>
      <c r="B16" s="4">
        <f>SUMIFS(Blackout_Log!$D$2:$D$6,Blackout_Log!$F$2:$F$6,$A16)</f>
        <v>6</v>
      </c>
    </row>
    <row r="17" spans="1:2" x14ac:dyDescent="0.25">
      <c r="A17" t="str">
        <f t="shared" si="0"/>
        <v>2026-04</v>
      </c>
      <c r="B17" s="4">
        <f>SUMIFS(Blackout_Log!$D$2:$D$6,Blackout_Log!$F$2:$F$6,$A17)</f>
        <v>0</v>
      </c>
    </row>
    <row r="18" spans="1:2" x14ac:dyDescent="0.25">
      <c r="A18" t="str">
        <f t="shared" si="0"/>
        <v>2026-05</v>
      </c>
      <c r="B18" s="4">
        <f>SUMIFS(Blackout_Log!$D$2:$D$6,Blackout_Log!$F$2:$F$6,$A18)</f>
        <v>0</v>
      </c>
    </row>
    <row r="19" spans="1:2" x14ac:dyDescent="0.25">
      <c r="A19" t="str">
        <f t="shared" si="0"/>
        <v>2026-06</v>
      </c>
      <c r="B19" s="4">
        <f>SUMIFS(Blackout_Log!$D$2:$D$6,Blackout_Log!$F$2:$F$6,$A19)</f>
        <v>8</v>
      </c>
    </row>
    <row r="20" spans="1:2" x14ac:dyDescent="0.25">
      <c r="A20" t="str">
        <f t="shared" si="0"/>
        <v>2026-07</v>
      </c>
      <c r="B20" s="4">
        <f>SUMIFS(Blackout_Log!$D$2:$D$6,Blackout_Log!$F$2:$F$6,$A20)</f>
        <v>21</v>
      </c>
    </row>
    <row r="21" spans="1:2" x14ac:dyDescent="0.25">
      <c r="A21" t="str">
        <f t="shared" si="0"/>
        <v>2026-08</v>
      </c>
      <c r="B21" s="4">
        <f>SUMIFS(Blackout_Log!$D$2:$D$6,Blackout_Log!$F$2:$F$6,$A21)</f>
        <v>0</v>
      </c>
    </row>
    <row r="22" spans="1:2" x14ac:dyDescent="0.25">
      <c r="A22" t="str">
        <f t="shared" si="0"/>
        <v>2026-09</v>
      </c>
      <c r="B22" s="4">
        <f>SUMIFS(Blackout_Log!$D$2:$D$6,Blackout_Log!$F$2:$F$6,$A22)</f>
        <v>0</v>
      </c>
    </row>
    <row r="110" spans="1:4" x14ac:dyDescent="0.25">
      <c r="A110" s="10" t="s">
        <v>49</v>
      </c>
    </row>
    <row r="112" spans="1:4" x14ac:dyDescent="0.25">
      <c r="A112" s="20" t="s">
        <v>70</v>
      </c>
      <c r="B112" t="s">
        <v>72</v>
      </c>
      <c r="C112" t="s">
        <v>73</v>
      </c>
      <c r="D112" t="s">
        <v>74</v>
      </c>
    </row>
    <row r="113" spans="1:4" x14ac:dyDescent="0.25">
      <c r="A113" s="21" t="s">
        <v>38</v>
      </c>
      <c r="B113" s="4">
        <v>22.691940732567932</v>
      </c>
      <c r="C113" s="4"/>
      <c r="D113" s="4"/>
    </row>
    <row r="114" spans="1:4" x14ac:dyDescent="0.25">
      <c r="A114" s="21" t="s">
        <v>39</v>
      </c>
      <c r="B114" s="4">
        <v>21.954304186203391</v>
      </c>
      <c r="C114" s="4">
        <v>23.45483194734966</v>
      </c>
      <c r="D114" s="4">
        <v>23.409542848288098</v>
      </c>
    </row>
    <row r="115" spans="1:4" x14ac:dyDescent="0.25">
      <c r="A115" s="21" t="s">
        <v>40</v>
      </c>
      <c r="B115" s="4">
        <v>24.057717418919836</v>
      </c>
      <c r="C115" s="4">
        <v>25.560902907173734</v>
      </c>
      <c r="D115" s="4">
        <v>25.578650854200049</v>
      </c>
    </row>
    <row r="116" spans="1:4" x14ac:dyDescent="0.25">
      <c r="A116" s="21" t="s">
        <v>41</v>
      </c>
      <c r="B116" s="4">
        <v>25.502107266610487</v>
      </c>
      <c r="C116" s="4">
        <v>26.992543891684953</v>
      </c>
      <c r="D116" s="4">
        <v>28.464859472866959</v>
      </c>
    </row>
    <row r="117" spans="1:4" x14ac:dyDescent="0.25">
      <c r="A117" s="21" t="s">
        <v>42</v>
      </c>
      <c r="B117" s="4">
        <v>25.630405831100706</v>
      </c>
      <c r="C117" s="4">
        <v>27.523684908238042</v>
      </c>
      <c r="D117" s="4">
        <v>28.770269807590111</v>
      </c>
    </row>
    <row r="118" spans="1:4" x14ac:dyDescent="0.25">
      <c r="A118" s="21" t="s">
        <v>43</v>
      </c>
      <c r="B118" s="4">
        <v>25.561816947517585</v>
      </c>
      <c r="C118" s="4">
        <v>27.848079982648322</v>
      </c>
      <c r="D118" s="4">
        <v>29.319181600894126</v>
      </c>
    </row>
    <row r="119" spans="1:4" x14ac:dyDescent="0.25">
      <c r="A119" s="21" t="s">
        <v>45</v>
      </c>
      <c r="B119" s="4">
        <v>24.84383464314195</v>
      </c>
      <c r="C119" s="4">
        <v>27.053649424755541</v>
      </c>
      <c r="D119" s="4">
        <v>28.585871687367447</v>
      </c>
    </row>
    <row r="120" spans="1:4" x14ac:dyDescent="0.25">
      <c r="A120" s="21" t="s">
        <v>71</v>
      </c>
      <c r="B120" s="4">
        <v>24.407426051721163</v>
      </c>
      <c r="C120" s="4">
        <v>25.866580451546341</v>
      </c>
      <c r="D120" s="4">
        <v>27.294839596953874</v>
      </c>
    </row>
  </sheetData>
  <mergeCells count="4">
    <mergeCell ref="A14:B14"/>
    <mergeCell ref="G4:I4"/>
    <mergeCell ref="A4:E4"/>
    <mergeCell ref="G11:H11"/>
  </mergeCells>
  <pageMargins left="0.75" right="0.75" top="1" bottom="1" header="0.5" footer="0.5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5" width="11" customWidth="1"/>
  </cols>
  <sheetData>
    <row r="1" spans="1:5" ht="18.75" x14ac:dyDescent="0.3">
      <c r="A1" s="9" t="s">
        <v>50</v>
      </c>
    </row>
    <row r="3" spans="1:5" x14ac:dyDescent="0.25">
      <c r="A3" s="1" t="s">
        <v>2</v>
      </c>
      <c r="B3" s="1" t="s">
        <v>32</v>
      </c>
      <c r="C3" s="1" t="s">
        <v>33</v>
      </c>
      <c r="D3" s="1" t="s">
        <v>34</v>
      </c>
      <c r="E3" s="1" t="s">
        <v>35</v>
      </c>
    </row>
    <row r="4" spans="1:5" x14ac:dyDescent="0.25">
      <c r="A4">
        <v>0</v>
      </c>
      <c r="B4" s="4">
        <v>23.972999999999999</v>
      </c>
      <c r="C4" s="4">
        <v>26.001000000000001</v>
      </c>
      <c r="D4" s="4">
        <v>27.306000000000001</v>
      </c>
      <c r="E4" s="4">
        <v>14.909000000000001</v>
      </c>
    </row>
    <row r="5" spans="1:5" x14ac:dyDescent="0.25">
      <c r="A5">
        <v>1</v>
      </c>
      <c r="B5" s="4">
        <v>23.699000000000002</v>
      </c>
      <c r="C5" s="4">
        <v>25.797000000000001</v>
      </c>
      <c r="D5" s="4">
        <v>27.318000000000001</v>
      </c>
      <c r="E5" s="4">
        <v>14.294</v>
      </c>
    </row>
    <row r="6" spans="1:5" x14ac:dyDescent="0.25">
      <c r="A6">
        <v>2</v>
      </c>
      <c r="B6" s="4">
        <v>23.417000000000002</v>
      </c>
      <c r="C6" s="4">
        <v>25.498000000000001</v>
      </c>
      <c r="D6" s="4">
        <v>27.331</v>
      </c>
      <c r="E6" s="4">
        <v>13.744</v>
      </c>
    </row>
    <row r="7" spans="1:5" x14ac:dyDescent="0.25">
      <c r="A7">
        <v>3</v>
      </c>
      <c r="B7" s="4">
        <v>23.23</v>
      </c>
      <c r="C7" s="4">
        <v>25.231000000000002</v>
      </c>
      <c r="D7" s="4">
        <v>27.324000000000002</v>
      </c>
      <c r="E7" s="4">
        <v>13.153</v>
      </c>
    </row>
    <row r="8" spans="1:5" x14ac:dyDescent="0.25">
      <c r="A8">
        <v>4</v>
      </c>
      <c r="B8" s="4">
        <v>23.053999999999998</v>
      </c>
      <c r="C8" s="4">
        <v>25.015999999999998</v>
      </c>
      <c r="D8" s="4">
        <v>27.312999999999999</v>
      </c>
      <c r="E8" s="4">
        <v>12.663</v>
      </c>
    </row>
    <row r="9" spans="1:5" x14ac:dyDescent="0.25">
      <c r="A9">
        <v>5</v>
      </c>
      <c r="B9" s="4">
        <v>23.085999999999999</v>
      </c>
      <c r="C9" s="4">
        <v>24.896000000000001</v>
      </c>
      <c r="D9" s="4">
        <v>27.295999999999999</v>
      </c>
      <c r="E9" s="4">
        <v>12.29</v>
      </c>
    </row>
    <row r="10" spans="1:5" x14ac:dyDescent="0.25">
      <c r="A10">
        <v>6</v>
      </c>
      <c r="B10" s="4">
        <v>23.597000000000001</v>
      </c>
      <c r="C10" s="4">
        <v>25.004000000000001</v>
      </c>
      <c r="D10" s="4">
        <v>27.286000000000001</v>
      </c>
      <c r="E10" s="4">
        <v>12.441000000000001</v>
      </c>
    </row>
    <row r="11" spans="1:5" x14ac:dyDescent="0.25">
      <c r="A11">
        <v>7</v>
      </c>
      <c r="B11" s="4">
        <v>24.254000000000001</v>
      </c>
      <c r="C11" s="4">
        <v>25.311</v>
      </c>
      <c r="D11" s="4">
        <v>27.29</v>
      </c>
      <c r="E11" s="4">
        <v>13.419</v>
      </c>
    </row>
    <row r="12" spans="1:5" x14ac:dyDescent="0.25">
      <c r="A12">
        <v>8</v>
      </c>
      <c r="B12" s="4">
        <v>24.849</v>
      </c>
      <c r="C12" s="4">
        <v>25.684000000000001</v>
      </c>
      <c r="D12" s="4">
        <v>27.311</v>
      </c>
      <c r="E12" s="4">
        <v>14.958</v>
      </c>
    </row>
    <row r="13" spans="1:5" x14ac:dyDescent="0.25">
      <c r="A13">
        <v>9</v>
      </c>
      <c r="B13" s="4">
        <v>25.210999999999999</v>
      </c>
      <c r="C13" s="4">
        <v>25.975999999999999</v>
      </c>
      <c r="D13" s="4">
        <v>27.331</v>
      </c>
      <c r="E13" s="4">
        <v>16.829000000000001</v>
      </c>
    </row>
    <row r="14" spans="1:5" x14ac:dyDescent="0.25">
      <c r="A14">
        <v>10</v>
      </c>
      <c r="B14" s="4">
        <v>25.280999999999999</v>
      </c>
      <c r="C14" s="4">
        <v>26.213999999999999</v>
      </c>
      <c r="D14" s="4">
        <v>27.350999999999999</v>
      </c>
      <c r="E14" s="4">
        <v>18.257999999999999</v>
      </c>
    </row>
    <row r="15" spans="1:5" x14ac:dyDescent="0.25">
      <c r="A15">
        <v>11</v>
      </c>
      <c r="B15" s="4">
        <v>25.238</v>
      </c>
      <c r="C15" s="4">
        <v>26.361000000000001</v>
      </c>
      <c r="D15" s="4">
        <v>27.338999999999999</v>
      </c>
      <c r="E15" s="4">
        <v>19.436</v>
      </c>
    </row>
    <row r="16" spans="1:5" x14ac:dyDescent="0.25">
      <c r="A16">
        <v>12</v>
      </c>
      <c r="B16" s="4">
        <v>25.178000000000001</v>
      </c>
      <c r="C16" s="4">
        <v>26.401</v>
      </c>
      <c r="D16" s="4">
        <v>27.329000000000001</v>
      </c>
      <c r="E16" s="4">
        <v>20.283000000000001</v>
      </c>
    </row>
    <row r="17" spans="1:5" x14ac:dyDescent="0.25">
      <c r="A17">
        <v>13</v>
      </c>
      <c r="B17" s="4">
        <v>25.042000000000002</v>
      </c>
      <c r="C17" s="4">
        <v>26.306999999999999</v>
      </c>
      <c r="D17" s="4">
        <v>27.308</v>
      </c>
      <c r="E17" s="4">
        <v>20.759</v>
      </c>
    </row>
    <row r="18" spans="1:5" x14ac:dyDescent="0.25">
      <c r="A18">
        <v>14</v>
      </c>
      <c r="B18" s="4">
        <v>24.914000000000001</v>
      </c>
      <c r="C18" s="4">
        <v>26.198</v>
      </c>
      <c r="D18" s="4">
        <v>27.27</v>
      </c>
      <c r="E18" s="4">
        <v>20.861000000000001</v>
      </c>
    </row>
    <row r="19" spans="1:5" x14ac:dyDescent="0.25">
      <c r="A19">
        <v>15</v>
      </c>
      <c r="B19" s="4">
        <v>24.84</v>
      </c>
      <c r="C19" s="4">
        <v>26.164000000000001</v>
      </c>
      <c r="D19" s="4">
        <v>27.254000000000001</v>
      </c>
      <c r="E19" s="4">
        <v>21.119</v>
      </c>
    </row>
    <row r="20" spans="1:5" x14ac:dyDescent="0.25">
      <c r="A20">
        <v>16</v>
      </c>
      <c r="B20" s="4">
        <v>24.802</v>
      </c>
      <c r="C20" s="4">
        <v>26.169</v>
      </c>
      <c r="D20" s="4">
        <v>27.25</v>
      </c>
      <c r="E20" s="4">
        <v>20.821999999999999</v>
      </c>
    </row>
    <row r="21" spans="1:5" x14ac:dyDescent="0.25">
      <c r="A21">
        <v>17</v>
      </c>
      <c r="B21" s="4">
        <v>24.741</v>
      </c>
      <c r="C21" s="4">
        <v>26.137</v>
      </c>
      <c r="D21" s="4">
        <v>27.25</v>
      </c>
      <c r="E21" s="4">
        <v>20.498000000000001</v>
      </c>
    </row>
    <row r="22" spans="1:5" x14ac:dyDescent="0.25">
      <c r="A22">
        <v>18</v>
      </c>
      <c r="B22" s="4">
        <v>24.7</v>
      </c>
      <c r="C22" s="4">
        <v>26.088999999999999</v>
      </c>
      <c r="D22" s="4">
        <v>27.248999999999999</v>
      </c>
      <c r="E22" s="4">
        <v>19.861000000000001</v>
      </c>
    </row>
    <row r="23" spans="1:5" x14ac:dyDescent="0.25">
      <c r="A23">
        <v>19</v>
      </c>
      <c r="B23" s="4">
        <v>24.504999999999999</v>
      </c>
      <c r="C23" s="4">
        <v>26.001999999999999</v>
      </c>
      <c r="D23" s="4">
        <v>27.26</v>
      </c>
      <c r="E23" s="4">
        <v>18.972999999999999</v>
      </c>
    </row>
    <row r="24" spans="1:5" x14ac:dyDescent="0.25">
      <c r="A24">
        <v>20</v>
      </c>
      <c r="B24" s="4">
        <v>24.353000000000002</v>
      </c>
      <c r="C24" s="4">
        <v>25.968</v>
      </c>
      <c r="D24" s="4">
        <v>27.274000000000001</v>
      </c>
      <c r="E24" s="4">
        <v>17.913</v>
      </c>
    </row>
    <row r="25" spans="1:5" x14ac:dyDescent="0.25">
      <c r="A25">
        <v>21</v>
      </c>
      <c r="B25" s="4">
        <v>24.196000000000002</v>
      </c>
      <c r="C25" s="4">
        <v>25.966999999999999</v>
      </c>
      <c r="D25" s="4">
        <v>27.263999999999999</v>
      </c>
      <c r="E25" s="4">
        <v>17.036000000000001</v>
      </c>
    </row>
    <row r="26" spans="1:5" x14ac:dyDescent="0.25">
      <c r="A26">
        <v>22</v>
      </c>
      <c r="B26" s="4">
        <v>24.106999999999999</v>
      </c>
      <c r="C26" s="4">
        <v>26.013999999999999</v>
      </c>
      <c r="D26" s="4">
        <v>27.283999999999999</v>
      </c>
      <c r="E26" s="4">
        <v>16.295000000000002</v>
      </c>
    </row>
    <row r="27" spans="1:5" x14ac:dyDescent="0.25">
      <c r="A27">
        <v>23</v>
      </c>
      <c r="B27" s="4">
        <v>24.058</v>
      </c>
      <c r="C27" s="4">
        <v>26.01</v>
      </c>
      <c r="D27" s="4">
        <v>27.286999999999999</v>
      </c>
      <c r="E27" s="4">
        <v>15.563000000000001</v>
      </c>
    </row>
    <row r="30" spans="1:5" x14ac:dyDescent="0.25">
      <c r="A30" s="15" t="s">
        <v>51</v>
      </c>
      <c r="B30" s="16"/>
      <c r="C30" s="16"/>
      <c r="D30" s="16"/>
    </row>
    <row r="31" spans="1:5" x14ac:dyDescent="0.25">
      <c r="A31" s="1" t="s">
        <v>1</v>
      </c>
      <c r="B31" s="1" t="s">
        <v>32</v>
      </c>
      <c r="C31" s="1" t="s">
        <v>33</v>
      </c>
      <c r="D31" s="1" t="s">
        <v>34</v>
      </c>
    </row>
    <row r="32" spans="1:5" x14ac:dyDescent="0.25">
      <c r="A32" t="s">
        <v>38</v>
      </c>
      <c r="B32" s="5">
        <v>94.2</v>
      </c>
      <c r="C32" s="5"/>
      <c r="D32" s="5"/>
    </row>
    <row r="33" spans="1:6" x14ac:dyDescent="0.25">
      <c r="A33" t="s">
        <v>39</v>
      </c>
      <c r="B33" s="5">
        <v>90.1</v>
      </c>
      <c r="C33" s="5">
        <v>75.599999999999994</v>
      </c>
      <c r="D33" s="5">
        <v>76.8</v>
      </c>
    </row>
    <row r="34" spans="1:6" x14ac:dyDescent="0.25">
      <c r="A34" t="s">
        <v>40</v>
      </c>
      <c r="B34" s="5">
        <v>45.1</v>
      </c>
      <c r="C34" s="5">
        <v>14</v>
      </c>
      <c r="D34" s="5">
        <v>23.9</v>
      </c>
    </row>
    <row r="35" spans="1:6" x14ac:dyDescent="0.25">
      <c r="A35" t="s">
        <v>41</v>
      </c>
      <c r="B35" s="5">
        <v>20.3</v>
      </c>
      <c r="C35" s="5">
        <v>1</v>
      </c>
      <c r="D35" s="5">
        <v>0</v>
      </c>
    </row>
    <row r="36" spans="1:6" x14ac:dyDescent="0.25">
      <c r="A36" t="s">
        <v>42</v>
      </c>
      <c r="B36" s="5">
        <v>14.2</v>
      </c>
      <c r="C36" s="5">
        <v>0</v>
      </c>
      <c r="D36" s="5">
        <v>0</v>
      </c>
    </row>
    <row r="37" spans="1:6" x14ac:dyDescent="0.25">
      <c r="A37" t="s">
        <v>43</v>
      </c>
      <c r="B37" s="5">
        <v>19</v>
      </c>
      <c r="C37" s="5">
        <v>0</v>
      </c>
      <c r="D37" s="5">
        <v>0</v>
      </c>
    </row>
    <row r="38" spans="1:6" x14ac:dyDescent="0.25">
      <c r="A38" t="s">
        <v>45</v>
      </c>
      <c r="B38" s="5">
        <v>28.8</v>
      </c>
      <c r="C38" s="5">
        <v>0</v>
      </c>
      <c r="D38" s="5">
        <v>0</v>
      </c>
    </row>
    <row r="40" spans="1:6" x14ac:dyDescent="0.25">
      <c r="A40" s="17" t="s">
        <v>52</v>
      </c>
      <c r="B40" s="16"/>
      <c r="C40" s="16"/>
      <c r="D40" s="16"/>
      <c r="E40" s="16"/>
      <c r="F40" s="16"/>
    </row>
  </sheetData>
  <mergeCells count="2">
    <mergeCell ref="A40:F40"/>
    <mergeCell ref="A30:D30"/>
  </mergeCells>
  <conditionalFormatting sqref="B4:B27">
    <cfRule type="colorScale" priority="1">
      <colorScale>
        <cfvo type="min"/>
        <cfvo type="percentile" val="50"/>
        <cfvo type="max"/>
        <color rgb="FF4472C4"/>
        <color rgb="FFFFFFFF"/>
        <color rgb="FFC0504D"/>
      </colorScale>
    </cfRule>
  </conditionalFormatting>
  <conditionalFormatting sqref="C4:C27">
    <cfRule type="colorScale" priority="2">
      <colorScale>
        <cfvo type="min"/>
        <cfvo type="percentile" val="50"/>
        <cfvo type="max"/>
        <color rgb="FF4472C4"/>
        <color rgb="FFFFFFFF"/>
        <color rgb="FFC0504D"/>
      </colorScale>
    </cfRule>
  </conditionalFormatting>
  <conditionalFormatting sqref="D4:D27">
    <cfRule type="colorScale" priority="3">
      <colorScale>
        <cfvo type="min"/>
        <cfvo type="percentile" val="50"/>
        <cfvo type="max"/>
        <color rgb="FF4472C4"/>
        <color rgb="FFFFFFFF"/>
        <color rgb="FFC0504D"/>
      </colorScale>
    </cfRule>
  </conditionalFormatting>
  <conditionalFormatting sqref="E4:E27">
    <cfRule type="colorScale" priority="4">
      <colorScale>
        <cfvo type="min"/>
        <cfvo type="percentile" val="50"/>
        <cfvo type="max"/>
        <color rgb="FF4472C4"/>
        <color rgb="FFFFFFFF"/>
        <color rgb="FFC0504D"/>
      </colorScale>
    </cfRule>
  </conditionalFormatting>
  <conditionalFormatting sqref="B32:D38">
    <cfRule type="colorScale" priority="5">
      <colorScale>
        <cfvo type="min"/>
        <cfvo type="percentile" val="50"/>
        <cfvo type="max"/>
        <color rgb="FFC0504D"/>
        <color rgb="FFFFEB84"/>
        <color rgb="FF70AD47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5" x14ac:dyDescent="0.25"/>
  <cols>
    <col min="1" max="1" width="12" customWidth="1"/>
    <col min="2" max="2" width="26" customWidth="1"/>
    <col min="3" max="3" width="12" customWidth="1"/>
    <col min="4" max="4" width="16" customWidth="1"/>
    <col min="5" max="7" width="12" customWidth="1"/>
  </cols>
  <sheetData>
    <row r="1" spans="1:7" ht="18.75" x14ac:dyDescent="0.3">
      <c r="A1" s="9" t="s">
        <v>53</v>
      </c>
    </row>
    <row r="2" spans="1:7" x14ac:dyDescent="0.25">
      <c r="D2" s="1" t="s">
        <v>32</v>
      </c>
      <c r="E2" s="1" t="s">
        <v>54</v>
      </c>
    </row>
    <row r="3" spans="1:7" x14ac:dyDescent="0.25">
      <c r="B3" s="6" t="s">
        <v>55</v>
      </c>
      <c r="D3" t="s">
        <v>32</v>
      </c>
      <c r="E3" s="11">
        <v>3.4787376113406699E-3</v>
      </c>
    </row>
    <row r="4" spans="1:7" x14ac:dyDescent="0.25">
      <c r="B4" t="s">
        <v>32</v>
      </c>
      <c r="C4" s="12" t="s">
        <v>32</v>
      </c>
      <c r="D4" t="s">
        <v>33</v>
      </c>
      <c r="E4" s="11">
        <v>2.2148328192010801E-3</v>
      </c>
    </row>
    <row r="5" spans="1:7" x14ac:dyDescent="0.25">
      <c r="B5" t="s">
        <v>56</v>
      </c>
      <c r="C5" s="13">
        <v>22</v>
      </c>
      <c r="D5" t="s">
        <v>34</v>
      </c>
      <c r="E5" s="11">
        <v>3.053875543190893E-3</v>
      </c>
    </row>
    <row r="6" spans="1:7" x14ac:dyDescent="0.25">
      <c r="B6" t="s">
        <v>57</v>
      </c>
      <c r="C6" s="13">
        <v>-10</v>
      </c>
      <c r="D6" s="18" t="s">
        <v>58</v>
      </c>
      <c r="E6" s="16"/>
      <c r="F6" s="16"/>
    </row>
    <row r="7" spans="1:7" x14ac:dyDescent="0.25">
      <c r="B7" t="s">
        <v>59</v>
      </c>
      <c r="C7" s="13">
        <v>18</v>
      </c>
    </row>
    <row r="9" spans="1:7" x14ac:dyDescent="0.25">
      <c r="B9" t="s">
        <v>60</v>
      </c>
      <c r="C9" s="11">
        <f>INDEX($E$3:$E$5,MATCH(C4,$D$3:$D$5,0))</f>
        <v>3.4787376113406699E-3</v>
      </c>
    </row>
    <row r="10" spans="1:7" x14ac:dyDescent="0.25">
      <c r="B10" t="s">
        <v>61</v>
      </c>
      <c r="C10" s="14">
        <f>IFERROR(LN((C5-C6)/(C7-C6))/C9,"перевірте вхідні дані")</f>
        <v>38.385014204351258</v>
      </c>
    </row>
    <row r="11" spans="1:7" x14ac:dyDescent="0.25">
      <c r="B11" s="19" t="str">
        <f>"Якщо надворі "&amp;TEXT(C6,"0")&amp;" °C, кімната охолоне з "&amp;TEXT(C5,"0")&amp;" до "&amp;TEXT(C7,"0")&amp;" °C приблизно за "&amp;TEXT(C10,"0,0")&amp;" год."</f>
        <v>Якщо надворі -10 °C, кімната охолоне з 22 до 18 °C приблизно за 38,4 год.</v>
      </c>
      <c r="C11" s="16"/>
      <c r="D11" s="16"/>
      <c r="E11" s="16"/>
      <c r="F11" s="16"/>
      <c r="G11" s="16"/>
    </row>
    <row r="13" spans="1:7" x14ac:dyDescent="0.25">
      <c r="B13" s="17" t="s">
        <v>62</v>
      </c>
      <c r="C13" s="16"/>
      <c r="D13" s="16"/>
      <c r="E13" s="16"/>
      <c r="F13" s="16"/>
      <c r="G13" s="16"/>
    </row>
    <row r="16" spans="1:7" x14ac:dyDescent="0.25">
      <c r="B16" s="15" t="s">
        <v>63</v>
      </c>
      <c r="C16" s="16"/>
      <c r="D16" s="16"/>
      <c r="E16" s="16"/>
    </row>
    <row r="17" spans="1:5" x14ac:dyDescent="0.25">
      <c r="B17" t="s">
        <v>64</v>
      </c>
      <c r="C17">
        <v>22</v>
      </c>
      <c r="D17" t="s">
        <v>65</v>
      </c>
      <c r="E17">
        <v>18</v>
      </c>
    </row>
    <row r="19" spans="1:5" x14ac:dyDescent="0.25">
      <c r="A19" s="1" t="s">
        <v>66</v>
      </c>
      <c r="B19" s="1" t="s">
        <v>67</v>
      </c>
      <c r="C19" s="1" t="s">
        <v>68</v>
      </c>
      <c r="D19" s="1" t="s">
        <v>69</v>
      </c>
    </row>
    <row r="20" spans="1:5" x14ac:dyDescent="0.25">
      <c r="A20" s="3">
        <v>-20</v>
      </c>
      <c r="B20" s="4">
        <f t="shared" ref="B20:B26" si="0">IFERROR(LN(($C$17-$A20)/($E$17-$A20))/k_bedroom,"")</f>
        <v>28.770051018136858</v>
      </c>
      <c r="C20" s="4">
        <f t="shared" ref="C20:C26" si="1">IFERROR(LN(($C$17-$A20)/($E$17-$A20))/k_kitchen,"")</f>
        <v>45.187816294452453</v>
      </c>
      <c r="D20" s="4">
        <f t="shared" ref="D20:D26" si="2">IFERROR(LN(($C$17-$A20)/($E$17-$A20))/k_printernya,"")</f>
        <v>32.772605543842417</v>
      </c>
    </row>
    <row r="21" spans="1:5" x14ac:dyDescent="0.25">
      <c r="A21" s="3">
        <v>-15</v>
      </c>
      <c r="B21" s="4">
        <f t="shared" si="0"/>
        <v>32.888468162924063</v>
      </c>
      <c r="C21" s="4">
        <f t="shared" si="1"/>
        <v>51.656427602970716</v>
      </c>
      <c r="D21" s="4">
        <f t="shared" si="2"/>
        <v>37.463986190544148</v>
      </c>
    </row>
    <row r="22" spans="1:5" x14ac:dyDescent="0.25">
      <c r="A22" s="3">
        <v>-10</v>
      </c>
      <c r="B22" s="4">
        <f t="shared" si="0"/>
        <v>38.385014204351258</v>
      </c>
      <c r="C22" s="4">
        <f t="shared" si="1"/>
        <v>60.289603561450356</v>
      </c>
      <c r="D22" s="4">
        <f t="shared" si="2"/>
        <v>43.72522414092883</v>
      </c>
    </row>
    <row r="23" spans="1:5" x14ac:dyDescent="0.25">
      <c r="A23" s="3">
        <v>-5</v>
      </c>
      <c r="B23" s="4">
        <f t="shared" si="0"/>
        <v>46.092194350175511</v>
      </c>
      <c r="C23" s="4">
        <f t="shared" si="1"/>
        <v>72.394922400065042</v>
      </c>
      <c r="D23" s="4">
        <f t="shared" si="2"/>
        <v>52.504644608942634</v>
      </c>
    </row>
    <row r="24" spans="1:5" x14ac:dyDescent="0.25">
      <c r="A24" s="3">
        <v>0</v>
      </c>
      <c r="B24" s="4">
        <f t="shared" si="0"/>
        <v>57.684918462365665</v>
      </c>
      <c r="C24" s="4">
        <f t="shared" si="1"/>
        <v>90.603089191416188</v>
      </c>
      <c r="D24" s="4">
        <f t="shared" si="2"/>
        <v>65.710174702298801</v>
      </c>
    </row>
    <row r="25" spans="1:5" x14ac:dyDescent="0.25">
      <c r="A25" s="3">
        <v>5</v>
      </c>
      <c r="B25" s="4">
        <f t="shared" si="0"/>
        <v>77.115326467894533</v>
      </c>
      <c r="C25" s="4">
        <f t="shared" si="1"/>
        <v>121.12155114779533</v>
      </c>
      <c r="D25" s="4">
        <f t="shared" si="2"/>
        <v>87.843784987511071</v>
      </c>
    </row>
    <row r="26" spans="1:5" x14ac:dyDescent="0.25">
      <c r="A26" s="3">
        <v>10</v>
      </c>
      <c r="B26" s="4">
        <f t="shared" si="0"/>
        <v>116.55524313945089</v>
      </c>
      <c r="C26" s="4">
        <f t="shared" si="1"/>
        <v>183.06804224366743</v>
      </c>
      <c r="D26" s="4">
        <f t="shared" si="2"/>
        <v>132.77067201124621</v>
      </c>
    </row>
  </sheetData>
  <sheetProtection sheet="1"/>
  <mergeCells count="4">
    <mergeCell ref="D6:F6"/>
    <mergeCell ref="B13:G13"/>
    <mergeCell ref="B11:G11"/>
    <mergeCell ref="B16:E16"/>
  </mergeCells>
  <dataValidations count="4">
    <dataValidation type="list" sqref="C4" xr:uid="{00000000-0002-0000-0400-000000000000}">
      <formula1>"Кімната,Кухня,Кладова"</formula1>
    </dataValidation>
    <dataValidation type="decimal" showErrorMessage="1" errorTitle="Поза діапазоном" error="T0 має бути між -20 і 40 °C" sqref="C5" xr:uid="{00000000-0002-0000-0400-000001000000}">
      <formula1>-20</formula1>
      <formula2>40</formula2>
    </dataValidation>
    <dataValidation type="decimal" showErrorMessage="1" errorTitle="Поза діапазоном" error="T_вул має бути між -40 і 40 °C" sqref="C6" xr:uid="{00000000-0002-0000-0400-000002000000}">
      <formula1>-40</formula1>
      <formula2>40</formula2>
    </dataValidation>
    <dataValidation type="decimal" operator="lessThan" showErrorMessage="1" errorTitle="Поріг завеликий" error="поріг має бути менше за T0" sqref="C7" xr:uid="{00000000-0002-0000-0400-000003000000}">
      <formula1>$C$5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5</vt:i4>
      </vt:variant>
      <vt:variant>
        <vt:lpstr>Іменовані діапазони</vt:lpstr>
      </vt:variant>
      <vt:variant>
        <vt:i4>6</vt:i4>
      </vt:variant>
    </vt:vector>
  </HeadingPairs>
  <TitlesOfParts>
    <vt:vector size="11" baseType="lpstr">
      <vt:lpstr>Data</vt:lpstr>
      <vt:lpstr>Blackout_Log</vt:lpstr>
      <vt:lpstr>Dashboard</vt:lpstr>
      <vt:lpstr>Comfort</vt:lpstr>
      <vt:lpstr>Cooling_Calc</vt:lpstr>
      <vt:lpstr>k_bedroom</vt:lpstr>
      <vt:lpstr>k_kitchen</vt:lpstr>
      <vt:lpstr>k_printernya</vt:lpstr>
      <vt:lpstr>Porig</vt:lpstr>
      <vt:lpstr>T_vul</vt:lpstr>
      <vt:lpstr>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Girl Danger</cp:lastModifiedBy>
  <dcterms:created xsi:type="dcterms:W3CDTF">2026-09-16T16:22:30Z</dcterms:created>
  <dcterms:modified xsi:type="dcterms:W3CDTF">2026-09-16T16:36:09Z</dcterms:modified>
</cp:coreProperties>
</file>