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Blackout_Log" sheetId="2" state="visible" r:id="rId2"/>
    <sheet name="Dashboard" sheetId="3" state="visible" r:id="rId3"/>
    <sheet name="Comfort" sheetId="4" state="visible" r:id="rId4"/>
    <sheet name="Cooling_Calc" sheetId="5" state="visible" r:id="rId5"/>
  </sheets>
  <definedNames>
    <definedName name="k_bedroom">'Cooling_Calc'!$E$3</definedName>
    <definedName name="k_kitchen">'Cooling_Calc'!$E$4</definedName>
    <definedName name="k_printernya">'Cooling_Calc'!$E$5</definedName>
    <definedName name="T0">'Cooling_Calc'!$C$5</definedName>
    <definedName name="T_vul">'Cooling_Calc'!$C$6</definedName>
    <definedName name="Porig">'Cooling_Calc'!$C$7</definedName>
    <definedName name="_xlnm._FilterDatabase" localSheetId="1" hidden="1">'Blackout_Log'!$A$1:$H$6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.mm.yyyy hh:mm"/>
    <numFmt numFmtId="166" formatCode="0.0"/>
    <numFmt numFmtId="167" formatCode="0.0&quot;%&quot;"/>
    <numFmt numFmtId="168" formatCode="0.0%"/>
    <numFmt numFmtId="169" formatCode="0.00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2E86AB"/>
      <sz val="14"/>
    </font>
    <font>
      <i val="1"/>
      <color rgb="00666666"/>
    </font>
    <font>
      <b val="1"/>
      <i val="1"/>
      <color rgb="008A6D00"/>
      <sz val="13"/>
    </font>
  </fonts>
  <fills count="5">
    <fill>
      <patternFill/>
    </fill>
    <fill>
      <patternFill patternType="gray125"/>
    </fill>
    <fill>
      <patternFill patternType="solid">
        <fgColor rgb="002E86AB"/>
      </patternFill>
    </fill>
    <fill>
      <patternFill patternType="solid">
        <fgColor rgb="00FFF2CC"/>
      </patternFill>
    </fill>
    <fill>
      <patternFill patternType="solid">
        <fgColor rgb="00F5F0E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 vertical="top" wrapText="1"/>
    </xf>
    <xf numFmtId="168" fontId="0" fillId="0" borderId="0" pivotButton="0" quotePrefix="0" xfId="0"/>
    <xf numFmtId="0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4" fillId="0" borderId="0" applyAlignment="1" pivotButton="0" quotePrefix="0" xfId="0">
      <alignment horizontal="left" vertical="top" wrapText="1"/>
    </xf>
    <xf numFmtId="169" fontId="0" fillId="0" borderId="0" pivotButton="0" quotePrefix="0" xfId="0"/>
    <xf numFmtId="0" fontId="0" fillId="3" borderId="1" applyProtection="1" pivotButton="0" quotePrefix="0" xfId="0">
      <protection locked="0" hidden="0"/>
    </xf>
    <xf numFmtId="166" fontId="0" fillId="3" borderId="1" applyProtection="1" pivotButton="0" quotePrefix="0" xfId="0">
      <protection locked="0" hidden="0"/>
    </xf>
    <xf numFmtId="0" fontId="4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Середня температура за місяць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'Dashboard'!$A$6:$A$12</f>
            </numRef>
          </cat>
          <val>
            <numRef>
              <f>'Dashboard'!$B$6:$B$12</f>
            </numRef>
          </val>
        </ser>
        <ser>
          <idx val="1"/>
          <order val="1"/>
          <tx>
            <strRef>
              <f>'Dashboard'!C5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'Dashboard'!$A$6:$A$12</f>
            </numRef>
          </cat>
          <val>
            <numRef>
              <f>'Dashboard'!$C$6:$C$12</f>
            </numRef>
          </val>
        </ser>
        <ser>
          <idx val="2"/>
          <order val="2"/>
          <tx>
            <strRef>
              <f>'Dashboard'!D5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'Dashboard'!$A$6:$A$12</f>
            </numRef>
          </cat>
          <val>
            <numRef>
              <f>'Dashboard'!$D$6:$D$12</f>
            </numRef>
          </val>
        </ser>
        <ser>
          <idx val="3"/>
          <order val="3"/>
          <tx>
            <strRef>
              <f>'Dashboard'!E5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'Dashboard'!$A$6:$A$12</f>
            </numRef>
          </cat>
          <val>
            <numRef>
              <f>'Dashboard'!$E$6:$E$12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Місяць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Години без світла за місяць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>
              <a:prstDash val="solid"/>
            </a:ln>
          </spPr>
          <cat>
            <numRef>
              <f>'Dashboard'!$A$16:$A$22</f>
            </numRef>
          </cat>
          <val>
            <numRef>
              <f>'Dashboard'!$B$16:$B$22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Місяць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Годин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Годин до 18°C залежно від температури надворі (Cooling_Calc)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'Cooling_Calc'!B19</f>
            </strRef>
          </tx>
          <spPr>
            <a:ln>
              <a:prstDash val="solid"/>
            </a:ln>
          </spPr>
          <cat>
            <numRef>
              <f>'Cooling_Calc'!$A$20:$A$26</f>
            </numRef>
          </cat>
          <val>
            <numRef>
              <f>'Cooling_Calc'!$B$20:$B$26</f>
            </numRef>
          </val>
        </ser>
        <ser>
          <idx val="1"/>
          <order val="1"/>
          <tx>
            <strRef>
              <f>'Cooling_Calc'!C19</f>
            </strRef>
          </tx>
          <spPr>
            <a:ln>
              <a:prstDash val="solid"/>
            </a:ln>
          </spPr>
          <cat>
            <numRef>
              <f>'Cooling_Calc'!$A$20:$A$26</f>
            </numRef>
          </cat>
          <val>
            <numRef>
              <f>'Cooling_Calc'!$C$20:$C$26</f>
            </numRef>
          </val>
        </ser>
        <ser>
          <idx val="2"/>
          <order val="2"/>
          <tx>
            <strRef>
              <f>'Cooling_Calc'!D19</f>
            </strRef>
          </tx>
          <spPr>
            <a:ln>
              <a:prstDash val="solid"/>
            </a:ln>
          </spPr>
          <cat>
            <numRef>
              <f>'Cooling_Calc'!$A$20:$A$26</f>
            </numRef>
          </cat>
          <val>
            <numRef>
              <f>'Cooling_Calc'!$D$20:$D$26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надворі, °C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Годин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Частка часу поза комфортом 20–24°C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'Dashboard'!H12</f>
            </strRef>
          </tx>
          <spPr>
            <a:ln>
              <a:prstDash val="solid"/>
            </a:ln>
          </spPr>
          <cat>
            <numRef>
              <f>'Dashboard'!$G$13:$G$15</f>
            </numRef>
          </cat>
          <val>
            <numRef>
              <f>'Dashboard'!$H$13:$H$15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Кімната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часу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Годин до 18°C залежно від температури надворі</a:t>
            </a:r>
          </a:p>
        </rich>
      </tx>
    </title>
    <plotArea>
      <lineChart>
        <grouping val="standard"/>
        <ser>
          <idx val="0"/>
          <order val="0"/>
          <tx>
            <strRef>
              <f>'Cooling_Calc'!B19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'Cooling_Calc'!$A$20:$A$26</f>
            </numRef>
          </cat>
          <val>
            <numRef>
              <f>'Cooling_Calc'!$B$20:$B$26</f>
            </numRef>
          </val>
        </ser>
        <ser>
          <idx val="1"/>
          <order val="1"/>
          <tx>
            <strRef>
              <f>'Cooling_Calc'!C19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'Cooling_Calc'!$A$20:$A$26</f>
            </numRef>
          </cat>
          <val>
            <numRef>
              <f>'Cooling_Calc'!$C$20:$C$26</f>
            </numRef>
          </val>
        </ser>
        <ser>
          <idx val="2"/>
          <order val="2"/>
          <tx>
            <strRef>
              <f>'Cooling_Calc'!D19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'Cooling_Calc'!$A$20:$A$26</f>
            </numRef>
          </cat>
          <val>
            <numRef>
              <f>'Cooling_Calc'!$D$20:$D$26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надворі, °C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Годин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45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66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87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28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aw" displayName="raw" ref="A1:K4403" headerRowCount="1">
  <autoFilter ref="A1:K4403"/>
  <tableColumns count="11">
    <tableColumn id="1" name="Дата-час (Київ)"/>
    <tableColumn id="2" name="Місяць"/>
    <tableColumn id="3" name="Година"/>
    <tableColumn id="4" name="Кімната °C"/>
    <tableColumn id="5" name="Кухня °C"/>
    <tableColumn id="6" name="Кладова °C"/>
    <tableColumn id="7" name="Надворі °C"/>
    <tableColumn id="8" name="Кімната RH"/>
    <tableColumn id="9" name="Кухня RH"/>
    <tableColumn id="10" name="Кладова RH"/>
    <tableColumn id="11" name="Надворі R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Дата-час (Київ)</t>
        </is>
      </c>
      <c r="B1" s="1" t="inlineStr">
        <is>
          <t>Місяць</t>
        </is>
      </c>
      <c r="C1" s="1" t="inlineStr">
        <is>
          <t>Година</t>
        </is>
      </c>
      <c r="D1" s="1" t="inlineStr">
        <is>
          <t>Кімната °C</t>
        </is>
      </c>
      <c r="E1" s="1" t="inlineStr">
        <is>
          <t>Кухня °C</t>
        </is>
      </c>
      <c r="F1" s="1" t="inlineStr">
        <is>
          <t>Кладова °C</t>
        </is>
      </c>
      <c r="G1" s="1" t="inlineStr">
        <is>
          <t>Надворі °C</t>
        </is>
      </c>
      <c r="H1" s="1" t="inlineStr">
        <is>
          <t>Кімната RH</t>
        </is>
      </c>
      <c r="I1" s="1" t="inlineStr">
        <is>
          <t>Кухня RH</t>
        </is>
      </c>
      <c r="J1" s="1" t="inlineStr">
        <is>
          <t>Кладова RH</t>
        </is>
      </c>
      <c r="K1" s="1" t="inlineStr">
        <is>
          <t>Надворі RH</t>
        </is>
      </c>
    </row>
    <row r="2">
      <c r="A2" s="2" t="n">
        <v>46097.41666666666</v>
      </c>
      <c r="B2">
        <f>TEXT(A2,"yyyy-mm")</f>
        <v/>
      </c>
      <c r="C2" s="3">
        <f>HOUR(A2)</f>
        <v/>
      </c>
      <c r="D2" s="4" t="n">
        <v>23.75084543600223</v>
      </c>
      <c r="E2" s="4" t="n"/>
      <c r="F2" s="4" t="n"/>
      <c r="G2" s="4" t="n">
        <v>5.7</v>
      </c>
      <c r="H2" s="5" t="n">
        <v>28.13301524715389</v>
      </c>
      <c r="I2" s="5" t="n"/>
      <c r="J2" s="5" t="n"/>
      <c r="K2" s="5" t="n">
        <v>69</v>
      </c>
    </row>
    <row r="3">
      <c r="A3" s="2" t="n">
        <v>46097.45833333334</v>
      </c>
      <c r="B3">
        <f>TEXT(A3,"yyyy-mm")</f>
        <v/>
      </c>
      <c r="C3" s="3">
        <f>HOUR(A3)</f>
        <v/>
      </c>
      <c r="D3" s="4" t="n">
        <v>24.79722838935277</v>
      </c>
      <c r="E3" s="4" t="n"/>
      <c r="F3" s="4" t="n"/>
      <c r="G3" s="4" t="n">
        <v>7.3</v>
      </c>
      <c r="H3" s="5" t="n">
        <v>28.30750083935277</v>
      </c>
      <c r="I3" s="5" t="n"/>
      <c r="J3" s="5" t="n"/>
      <c r="K3" s="5" t="n">
        <v>62</v>
      </c>
    </row>
    <row r="4">
      <c r="A4" s="2" t="n">
        <v>46097.5</v>
      </c>
      <c r="B4">
        <f>TEXT(A4,"yyyy-mm")</f>
        <v/>
      </c>
      <c r="C4" s="3">
        <f>HOUR(A4)</f>
        <v/>
      </c>
      <c r="D4" s="4" t="n">
        <v>23.03691653145278</v>
      </c>
      <c r="E4" s="4" t="n"/>
      <c r="F4" s="4" t="n"/>
      <c r="G4" s="4" t="n">
        <v>8.300000000000001</v>
      </c>
      <c r="H4" s="5" t="n">
        <v>27.54653601695</v>
      </c>
      <c r="I4" s="5" t="n"/>
      <c r="J4" s="5" t="n"/>
      <c r="K4" s="5" t="n">
        <v>57</v>
      </c>
    </row>
    <row r="5">
      <c r="A5" s="2" t="n">
        <v>46097.54166666666</v>
      </c>
      <c r="B5">
        <f>TEXT(A5,"yyyy-mm")</f>
        <v/>
      </c>
      <c r="C5" s="3">
        <f>HOUR(A5)</f>
        <v/>
      </c>
      <c r="D5" s="4" t="n">
        <v>23.58867207686944</v>
      </c>
      <c r="E5" s="4" t="n"/>
      <c r="F5" s="4" t="n"/>
      <c r="G5" s="4" t="n">
        <v>8</v>
      </c>
      <c r="H5" s="5" t="n">
        <v>26.78321593123889</v>
      </c>
      <c r="I5" s="5" t="n"/>
      <c r="J5" s="5" t="n"/>
      <c r="K5" s="5" t="n">
        <v>60</v>
      </c>
    </row>
    <row r="6">
      <c r="A6" s="2" t="n">
        <v>46097.58333333334</v>
      </c>
      <c r="B6">
        <f>TEXT(A6,"yyyy-mm")</f>
        <v/>
      </c>
      <c r="C6" s="3">
        <f>HOUR(A6)</f>
        <v/>
      </c>
      <c r="D6" s="4" t="n">
        <v>24.66411066461389</v>
      </c>
      <c r="E6" s="4" t="n"/>
      <c r="F6" s="4" t="n"/>
      <c r="G6" s="4" t="n">
        <v>9.1</v>
      </c>
      <c r="H6" s="5" t="n">
        <v>27.83159241350834</v>
      </c>
      <c r="I6" s="5" t="n"/>
      <c r="J6" s="5" t="n"/>
      <c r="K6" s="5" t="n">
        <v>54</v>
      </c>
    </row>
    <row r="7">
      <c r="A7" s="2" t="n">
        <v>46097.625</v>
      </c>
      <c r="B7">
        <f>TEXT(A7,"yyyy-mm")</f>
        <v/>
      </c>
      <c r="C7" s="3">
        <f>HOUR(A7)</f>
        <v/>
      </c>
      <c r="D7" s="4" t="n">
        <v>24.74141390615278</v>
      </c>
      <c r="E7" s="4" t="n"/>
      <c r="F7" s="4" t="n"/>
      <c r="G7" s="4" t="n">
        <v>9.199999999999999</v>
      </c>
      <c r="H7" s="5" t="n">
        <v>28.36321783371945</v>
      </c>
      <c r="I7" s="5" t="n"/>
      <c r="J7" s="5" t="n"/>
      <c r="K7" s="5" t="n">
        <v>51</v>
      </c>
    </row>
    <row r="8">
      <c r="A8" s="2" t="n">
        <v>46097.66666666666</v>
      </c>
      <c r="B8">
        <f>TEXT(A8,"yyyy-mm")</f>
        <v/>
      </c>
      <c r="C8" s="3">
        <f>HOUR(A8)</f>
        <v/>
      </c>
      <c r="D8" s="4" t="n">
        <v>24.48731267617222</v>
      </c>
      <c r="E8" s="4" t="n"/>
      <c r="F8" s="4" t="n"/>
      <c r="G8" s="4" t="n">
        <v>8.6</v>
      </c>
      <c r="H8" s="5" t="n">
        <v>29.40307228461944</v>
      </c>
      <c r="I8" s="5" t="n"/>
      <c r="J8" s="5" t="n"/>
      <c r="K8" s="5" t="n">
        <v>56</v>
      </c>
    </row>
    <row r="9">
      <c r="A9" s="2" t="n">
        <v>46097.70833333334</v>
      </c>
      <c r="B9">
        <f>TEXT(A9,"yyyy-mm")</f>
        <v/>
      </c>
      <c r="C9" s="3">
        <f>HOUR(A9)</f>
        <v/>
      </c>
      <c r="D9" s="4" t="n">
        <v>24.55346962163334</v>
      </c>
      <c r="E9" s="4" t="n"/>
      <c r="F9" s="4" t="n"/>
      <c r="G9" s="4" t="n">
        <v>7.5</v>
      </c>
      <c r="H9" s="5" t="n">
        <v>31.45371962581945</v>
      </c>
      <c r="I9" s="5" t="n"/>
      <c r="J9" s="5" t="n"/>
      <c r="K9" s="5" t="n">
        <v>62</v>
      </c>
    </row>
    <row r="10">
      <c r="A10" s="2" t="n">
        <v>46097.75</v>
      </c>
      <c r="B10">
        <f>TEXT(A10,"yyyy-mm")</f>
        <v/>
      </c>
      <c r="C10" s="3">
        <f>HOUR(A10)</f>
        <v/>
      </c>
      <c r="D10" s="4" t="n">
        <v>24.566718848225</v>
      </c>
      <c r="E10" s="4" t="n"/>
      <c r="F10" s="4" t="n"/>
      <c r="G10" s="4" t="n">
        <v>6.4</v>
      </c>
      <c r="H10" s="5" t="n">
        <v>31.74965943133056</v>
      </c>
      <c r="I10" s="5" t="n"/>
      <c r="J10" s="5" t="n"/>
      <c r="K10" s="5" t="n">
        <v>67</v>
      </c>
    </row>
    <row r="11">
      <c r="A11" s="2" t="n">
        <v>46097.79166666666</v>
      </c>
      <c r="B11">
        <f>TEXT(A11,"yyyy-mm")</f>
        <v/>
      </c>
      <c r="C11" s="3">
        <f>HOUR(A11)</f>
        <v/>
      </c>
      <c r="D11" s="4" t="n">
        <v>24.40922066245556</v>
      </c>
      <c r="E11" s="4" t="n"/>
      <c r="F11" s="4" t="n"/>
      <c r="G11" s="4" t="n">
        <v>5.5</v>
      </c>
      <c r="H11" s="5" t="n">
        <v>32.09412586900277</v>
      </c>
      <c r="I11" s="5" t="n"/>
      <c r="J11" s="5" t="n"/>
      <c r="K11" s="5" t="n">
        <v>71</v>
      </c>
    </row>
    <row r="12">
      <c r="A12" s="2" t="n">
        <v>46097.83333333334</v>
      </c>
      <c r="B12">
        <f>TEXT(A12,"yyyy-mm")</f>
        <v/>
      </c>
      <c r="C12" s="3">
        <f>HOUR(A12)</f>
        <v/>
      </c>
      <c r="D12" s="4" t="n">
        <v>24.355717181175</v>
      </c>
      <c r="E12" s="4" t="n"/>
      <c r="F12" s="4" t="n"/>
      <c r="G12" s="4" t="n">
        <v>5.3</v>
      </c>
      <c r="H12" s="5" t="n">
        <v>34.98125925436111</v>
      </c>
      <c r="I12" s="5" t="n"/>
      <c r="J12" s="5" t="n"/>
      <c r="K12" s="5" t="n">
        <v>77</v>
      </c>
    </row>
    <row r="13">
      <c r="A13" s="2" t="n">
        <v>46097.875</v>
      </c>
      <c r="B13">
        <f>TEXT(A13,"yyyy-mm")</f>
        <v/>
      </c>
      <c r="C13" s="3">
        <f>HOUR(A13)</f>
        <v/>
      </c>
      <c r="D13" s="4" t="n">
        <v>24.28201461077777</v>
      </c>
      <c r="E13" s="4" t="n"/>
      <c r="F13" s="4" t="n"/>
      <c r="G13" s="4" t="n">
        <v>4.5</v>
      </c>
      <c r="H13" s="5" t="n">
        <v>37.28380270045</v>
      </c>
      <c r="I13" s="5" t="n"/>
      <c r="J13" s="5" t="n"/>
      <c r="K13" s="5" t="n">
        <v>80</v>
      </c>
    </row>
    <row r="14">
      <c r="A14" s="2" t="n">
        <v>46097.91666666666</v>
      </c>
      <c r="B14">
        <f>TEXT(A14,"yyyy-mm")</f>
        <v/>
      </c>
      <c r="C14" s="3">
        <f>HOUR(A14)</f>
        <v/>
      </c>
      <c r="D14" s="4" t="n">
        <v>24.23382310214722</v>
      </c>
      <c r="E14" s="4" t="n"/>
      <c r="F14" s="4" t="n"/>
      <c r="G14" s="4" t="n">
        <v>3.7</v>
      </c>
      <c r="H14" s="5" t="n">
        <v>36.71790466864167</v>
      </c>
      <c r="I14" s="5" t="n"/>
      <c r="J14" s="5" t="n"/>
      <c r="K14" s="5" t="n">
        <v>83</v>
      </c>
    </row>
    <row r="15">
      <c r="A15" s="2" t="n">
        <v>46097.95833333334</v>
      </c>
      <c r="B15">
        <f>TEXT(A15,"yyyy-mm")</f>
        <v/>
      </c>
      <c r="C15" s="3">
        <f>HOUR(A15)</f>
        <v/>
      </c>
      <c r="D15" s="4" t="n">
        <v>24.32409066234722</v>
      </c>
      <c r="E15" s="4" t="n"/>
      <c r="F15" s="4" t="n"/>
      <c r="G15" s="4" t="n">
        <v>2.8</v>
      </c>
      <c r="H15" s="5" t="n">
        <v>37.5147263625</v>
      </c>
      <c r="I15" s="5" t="n"/>
      <c r="J15" s="5" t="n"/>
      <c r="K15" s="5" t="n">
        <v>88</v>
      </c>
    </row>
    <row r="16">
      <c r="A16" s="2" t="n">
        <v>46098</v>
      </c>
      <c r="B16">
        <f>TEXT(A16,"yyyy-mm")</f>
        <v/>
      </c>
      <c r="C16" s="3">
        <f>HOUR(A16)</f>
        <v/>
      </c>
      <c r="D16" s="4" t="n">
        <v>24.09458103043889</v>
      </c>
      <c r="E16" s="4" t="n"/>
      <c r="F16" s="4" t="n"/>
      <c r="G16" s="4" t="n">
        <v>2.2</v>
      </c>
      <c r="H16" s="5" t="n">
        <v>37.23837814492222</v>
      </c>
      <c r="I16" s="5" t="n"/>
      <c r="J16" s="5" t="n"/>
      <c r="K16" s="5" t="n">
        <v>90</v>
      </c>
    </row>
    <row r="17">
      <c r="A17" s="2" t="n">
        <v>46098.04166666666</v>
      </c>
      <c r="B17">
        <f>TEXT(A17,"yyyy-mm")</f>
        <v/>
      </c>
      <c r="C17" s="3">
        <f>HOUR(A17)</f>
        <v/>
      </c>
      <c r="D17" s="4" t="n">
        <v>23.80605774486667</v>
      </c>
      <c r="E17" s="4" t="n"/>
      <c r="F17" s="4" t="n"/>
      <c r="G17" s="4" t="n">
        <v>1.9</v>
      </c>
      <c r="H17" s="5" t="n">
        <v>36.86624490464445</v>
      </c>
      <c r="I17" s="5" t="n"/>
      <c r="J17" s="5" t="n"/>
      <c r="K17" s="5" t="n">
        <v>92</v>
      </c>
    </row>
    <row r="18">
      <c r="A18" s="2" t="n">
        <v>46098.08333333334</v>
      </c>
      <c r="B18">
        <f>TEXT(A18,"yyyy-mm")</f>
        <v/>
      </c>
      <c r="C18" s="3">
        <f>HOUR(A18)</f>
        <v/>
      </c>
      <c r="D18" s="4" t="n">
        <v>23.63206538788333</v>
      </c>
      <c r="E18" s="4" t="n"/>
      <c r="F18" s="4" t="n"/>
      <c r="G18" s="4" t="n">
        <v>1.6</v>
      </c>
      <c r="H18" s="5" t="n">
        <v>36.29111300738056</v>
      </c>
      <c r="I18" s="5" t="n"/>
      <c r="J18" s="5" t="n"/>
      <c r="K18" s="5" t="n">
        <v>93</v>
      </c>
    </row>
    <row r="19">
      <c r="A19" s="2" t="n">
        <v>46098.125</v>
      </c>
      <c r="B19">
        <f>TEXT(A19,"yyyy-mm")</f>
        <v/>
      </c>
      <c r="C19" s="3">
        <f>HOUR(A19)</f>
        <v/>
      </c>
      <c r="D19" s="4" t="n">
        <v>23.50910170742222</v>
      </c>
      <c r="E19" s="4" t="n"/>
      <c r="F19" s="4" t="n"/>
      <c r="G19" s="4" t="n">
        <v>1.7</v>
      </c>
      <c r="H19" s="5" t="n">
        <v>36.06949483390833</v>
      </c>
      <c r="I19" s="5" t="n"/>
      <c r="J19" s="5" t="n"/>
      <c r="K19" s="5" t="n">
        <v>95</v>
      </c>
    </row>
    <row r="20">
      <c r="A20" s="2" t="n">
        <v>46098.16666666666</v>
      </c>
      <c r="B20">
        <f>TEXT(A20,"yyyy-mm")</f>
        <v/>
      </c>
      <c r="C20" s="3">
        <f>HOUR(A20)</f>
        <v/>
      </c>
      <c r="D20" s="4" t="n">
        <v>23.41165568440278</v>
      </c>
      <c r="E20" s="4" t="n"/>
      <c r="F20" s="4" t="n"/>
      <c r="G20" s="4" t="n">
        <v>2.2</v>
      </c>
      <c r="H20" s="5" t="n">
        <v>35.95758248352778</v>
      </c>
      <c r="I20" s="5" t="n"/>
      <c r="J20" s="5" t="n"/>
      <c r="K20" s="5" t="n">
        <v>95</v>
      </c>
    </row>
    <row r="21">
      <c r="A21" s="2" t="n">
        <v>46098.20833333334</v>
      </c>
      <c r="B21">
        <f>TEXT(A21,"yyyy-mm")</f>
        <v/>
      </c>
      <c r="C21" s="3">
        <f>HOUR(A21)</f>
        <v/>
      </c>
      <c r="D21" s="4" t="n">
        <v>23.30623804961944</v>
      </c>
      <c r="E21" s="4" t="n"/>
      <c r="F21" s="4" t="n"/>
      <c r="G21" s="4" t="n">
        <v>2.3</v>
      </c>
      <c r="H21" s="5" t="n">
        <v>35.55075881466666</v>
      </c>
      <c r="I21" s="5" t="n"/>
      <c r="J21" s="5" t="n"/>
      <c r="K21" s="5" t="n">
        <v>96</v>
      </c>
    </row>
    <row r="22">
      <c r="A22" s="2" t="n">
        <v>46098.25</v>
      </c>
      <c r="B22">
        <f>TEXT(A22,"yyyy-mm")</f>
        <v/>
      </c>
      <c r="C22" s="3">
        <f>HOUR(A22)</f>
        <v/>
      </c>
      <c r="D22" s="4" t="n">
        <v>23.23629454639444</v>
      </c>
      <c r="E22" s="4" t="n"/>
      <c r="F22" s="4" t="n"/>
      <c r="G22" s="4" t="n">
        <v>2.1</v>
      </c>
      <c r="H22" s="5" t="n">
        <v>35.54141257617223</v>
      </c>
      <c r="I22" s="5" t="n"/>
      <c r="J22" s="5" t="n"/>
      <c r="K22" s="5" t="n">
        <v>97</v>
      </c>
    </row>
    <row r="23">
      <c r="A23" s="2" t="n">
        <v>46098.29166666666</v>
      </c>
      <c r="B23">
        <f>TEXT(A23,"yyyy-mm")</f>
        <v/>
      </c>
      <c r="C23" s="3">
        <f>HOUR(A23)</f>
        <v/>
      </c>
      <c r="D23" s="4" t="n">
        <v>23.21510978231667</v>
      </c>
      <c r="E23" s="4" t="n"/>
      <c r="F23" s="4" t="n"/>
      <c r="G23" s="4" t="n">
        <v>1.8</v>
      </c>
      <c r="H23" s="5" t="n">
        <v>35.26705374570833</v>
      </c>
      <c r="I23" s="5" t="n"/>
      <c r="J23" s="5" t="n"/>
      <c r="K23" s="5" t="n">
        <v>98</v>
      </c>
    </row>
    <row r="24">
      <c r="A24" s="2" t="n">
        <v>46098.33333333334</v>
      </c>
      <c r="B24">
        <f>TEXT(A24,"yyyy-mm")</f>
        <v/>
      </c>
      <c r="C24" s="3">
        <f>HOUR(A24)</f>
        <v/>
      </c>
      <c r="D24" s="4" t="n">
        <v>23.29426097294167</v>
      </c>
      <c r="E24" s="4" t="n"/>
      <c r="F24" s="4" t="n"/>
      <c r="G24" s="4" t="n">
        <v>1.3</v>
      </c>
      <c r="H24" s="5" t="n">
        <v>36.02991589874444</v>
      </c>
      <c r="I24" s="5" t="n"/>
      <c r="J24" s="5" t="n"/>
      <c r="K24" s="5" t="n">
        <v>99</v>
      </c>
    </row>
    <row r="25">
      <c r="A25" s="2" t="n">
        <v>46098.375</v>
      </c>
      <c r="B25">
        <f>TEXT(A25,"yyyy-mm")</f>
        <v/>
      </c>
      <c r="C25" s="3">
        <f>HOUR(A25)</f>
        <v/>
      </c>
      <c r="D25" s="4" t="n">
        <v>23.33236709963056</v>
      </c>
      <c r="E25" s="4" t="n"/>
      <c r="F25" s="4" t="n"/>
      <c r="G25" s="4" t="n">
        <v>1.6</v>
      </c>
      <c r="H25" s="5" t="n">
        <v>35.44726427388889</v>
      </c>
      <c r="I25" s="5" t="n"/>
      <c r="J25" s="5" t="n"/>
      <c r="K25" s="5" t="n">
        <v>99</v>
      </c>
    </row>
    <row r="26">
      <c r="A26" s="2" t="n">
        <v>46098.41666666666</v>
      </c>
      <c r="B26">
        <f>TEXT(A26,"yyyy-mm")</f>
        <v/>
      </c>
      <c r="C26" s="3">
        <f>HOUR(A26)</f>
        <v/>
      </c>
      <c r="D26" s="4" t="n">
        <v>23.41072624854167</v>
      </c>
      <c r="E26" s="4" t="n"/>
      <c r="F26" s="4" t="n"/>
      <c r="G26" s="4" t="n">
        <v>2.3</v>
      </c>
      <c r="H26" s="5" t="n">
        <v>35.35392897303333</v>
      </c>
      <c r="I26" s="5" t="n"/>
      <c r="J26" s="5" t="n"/>
      <c r="K26" s="5" t="n">
        <v>94</v>
      </c>
    </row>
    <row r="27">
      <c r="A27" s="2" t="n">
        <v>46098.45833333334</v>
      </c>
      <c r="B27">
        <f>TEXT(A27,"yyyy-mm")</f>
        <v/>
      </c>
      <c r="C27" s="3">
        <f>HOUR(A27)</f>
        <v/>
      </c>
      <c r="D27" s="4" t="n">
        <v>23.66364903050278</v>
      </c>
      <c r="E27" s="4" t="n"/>
      <c r="F27" s="4" t="n"/>
      <c r="G27" s="4" t="n">
        <v>2.6</v>
      </c>
      <c r="H27" s="5" t="n">
        <v>34.89040468898611</v>
      </c>
      <c r="I27" s="5" t="n"/>
      <c r="J27" s="5" t="n"/>
      <c r="K27" s="5" t="n">
        <v>93</v>
      </c>
    </row>
    <row r="28">
      <c r="A28" s="2" t="n">
        <v>46098.5</v>
      </c>
      <c r="B28">
        <f>TEXT(A28,"yyyy-mm")</f>
        <v/>
      </c>
      <c r="C28" s="3">
        <f>HOUR(A28)</f>
        <v/>
      </c>
      <c r="D28" s="4" t="n">
        <v>23.68480688641111</v>
      </c>
      <c r="E28" s="4" t="n"/>
      <c r="F28" s="4" t="n"/>
      <c r="G28" s="4" t="n">
        <v>2.9</v>
      </c>
      <c r="H28" s="5" t="n">
        <v>34.38122668918055</v>
      </c>
      <c r="I28" s="5" t="n"/>
      <c r="J28" s="5" t="n"/>
      <c r="K28" s="5" t="n">
        <v>92</v>
      </c>
    </row>
    <row r="29">
      <c r="A29" s="2" t="n">
        <v>46098.54166666666</v>
      </c>
      <c r="B29">
        <f>TEXT(A29,"yyyy-mm")</f>
        <v/>
      </c>
      <c r="C29" s="3">
        <f>HOUR(A29)</f>
        <v/>
      </c>
      <c r="D29" s="4" t="n">
        <v>23.60928503014722</v>
      </c>
      <c r="E29" s="4" t="n"/>
      <c r="F29" s="4" t="n"/>
      <c r="G29" s="4" t="n">
        <v>3.3</v>
      </c>
      <c r="H29" s="5" t="n">
        <v>34.21465177184444</v>
      </c>
      <c r="I29" s="5" t="n"/>
      <c r="J29" s="5" t="n"/>
      <c r="K29" s="5" t="n">
        <v>90</v>
      </c>
    </row>
    <row r="30">
      <c r="A30" s="2" t="n">
        <v>46098.58333333334</v>
      </c>
      <c r="B30">
        <f>TEXT(A30,"yyyy-mm")</f>
        <v/>
      </c>
      <c r="C30" s="3">
        <f>HOUR(A30)</f>
        <v/>
      </c>
      <c r="D30" s="4" t="n">
        <v>23.46116313886667</v>
      </c>
      <c r="E30" s="4" t="n"/>
      <c r="F30" s="4" t="n"/>
      <c r="G30" s="4" t="n">
        <v>3.6</v>
      </c>
      <c r="H30" s="5" t="n">
        <v>34.11183672589444</v>
      </c>
      <c r="I30" s="5" t="n"/>
      <c r="J30" s="5" t="n"/>
      <c r="K30" s="5" t="n">
        <v>89</v>
      </c>
    </row>
    <row r="31">
      <c r="A31" s="2" t="n">
        <v>46098.625</v>
      </c>
      <c r="B31">
        <f>TEXT(A31,"yyyy-mm")</f>
        <v/>
      </c>
      <c r="C31" s="3">
        <f>HOUR(A31)</f>
        <v/>
      </c>
      <c r="D31" s="4" t="n">
        <v>23.44982779212222</v>
      </c>
      <c r="E31" s="4" t="n"/>
      <c r="F31" s="4" t="n"/>
      <c r="G31" s="4" t="n">
        <v>3.8</v>
      </c>
      <c r="H31" s="5" t="n">
        <v>34.03069081038611</v>
      </c>
      <c r="I31" s="5" t="n"/>
      <c r="J31" s="5" t="n"/>
      <c r="K31" s="5" t="n">
        <v>88</v>
      </c>
    </row>
    <row r="32">
      <c r="A32" s="2" t="n">
        <v>46098.66666666666</v>
      </c>
      <c r="B32">
        <f>TEXT(A32,"yyyy-mm")</f>
        <v/>
      </c>
      <c r="C32" s="3">
        <f>HOUR(A32)</f>
        <v/>
      </c>
      <c r="D32" s="4" t="n">
        <v>23.40907111245833</v>
      </c>
      <c r="E32" s="4" t="n"/>
      <c r="F32" s="4" t="n"/>
      <c r="G32" s="4" t="n">
        <v>3.5</v>
      </c>
      <c r="H32" s="5" t="n">
        <v>34.39740195614166</v>
      </c>
      <c r="I32" s="5" t="n"/>
      <c r="J32" s="5" t="n"/>
      <c r="K32" s="5" t="n">
        <v>88</v>
      </c>
    </row>
    <row r="33">
      <c r="A33" s="2" t="n">
        <v>46098.70833333334</v>
      </c>
      <c r="B33">
        <f>TEXT(A33,"yyyy-mm")</f>
        <v/>
      </c>
      <c r="C33" s="3">
        <f>HOUR(A33)</f>
        <v/>
      </c>
      <c r="D33" s="4" t="n">
        <v>23.31538094739444</v>
      </c>
      <c r="E33" s="4" t="n"/>
      <c r="F33" s="4" t="n"/>
      <c r="G33" s="4" t="n">
        <v>3.2</v>
      </c>
      <c r="H33" s="5" t="n">
        <v>33.89839911522223</v>
      </c>
      <c r="I33" s="5" t="n"/>
      <c r="J33" s="5" t="n"/>
      <c r="K33" s="5" t="n">
        <v>91</v>
      </c>
    </row>
    <row r="34">
      <c r="A34" s="2" t="n">
        <v>46098.75</v>
      </c>
      <c r="B34">
        <f>TEXT(A34,"yyyy-mm")</f>
        <v/>
      </c>
      <c r="C34" s="3">
        <f>HOUR(A34)</f>
        <v/>
      </c>
      <c r="D34" s="4" t="n">
        <v>23.44295828753611</v>
      </c>
      <c r="E34" s="4" t="n"/>
      <c r="F34" s="4" t="n"/>
      <c r="G34" s="4" t="n">
        <v>2.8</v>
      </c>
      <c r="H34" s="5" t="n">
        <v>35.37538491971111</v>
      </c>
      <c r="I34" s="5" t="n"/>
      <c r="J34" s="5" t="n"/>
      <c r="K34" s="5" t="n">
        <v>93</v>
      </c>
    </row>
    <row r="35">
      <c r="A35" s="2" t="n">
        <v>46098.79166666666</v>
      </c>
      <c r="B35">
        <f>TEXT(A35,"yyyy-mm")</f>
        <v/>
      </c>
      <c r="C35" s="3">
        <f>HOUR(A35)</f>
        <v/>
      </c>
      <c r="D35" s="4" t="n">
        <v>23.29613442819166</v>
      </c>
      <c r="E35" s="4" t="n"/>
      <c r="F35" s="4" t="n"/>
      <c r="G35" s="4" t="n">
        <v>2.6</v>
      </c>
      <c r="H35" s="5" t="n">
        <v>36.27501708298611</v>
      </c>
      <c r="I35" s="5" t="n"/>
      <c r="J35" s="5" t="n"/>
      <c r="K35" s="5" t="n">
        <v>95</v>
      </c>
    </row>
    <row r="36">
      <c r="A36" s="2" t="n">
        <v>46098.83333333334</v>
      </c>
      <c r="B36">
        <f>TEXT(A36,"yyyy-mm")</f>
        <v/>
      </c>
      <c r="C36" s="3">
        <f>HOUR(A36)</f>
        <v/>
      </c>
      <c r="D36" s="4" t="n">
        <v>23.10750689193611</v>
      </c>
      <c r="E36" s="4" t="n"/>
      <c r="F36" s="4" t="n"/>
      <c r="G36" s="4" t="n">
        <v>3</v>
      </c>
      <c r="H36" s="5" t="n">
        <v>36.89519973752223</v>
      </c>
      <c r="I36" s="5" t="n"/>
      <c r="J36" s="5" t="n"/>
      <c r="K36" s="5" t="n">
        <v>96</v>
      </c>
    </row>
    <row r="37">
      <c r="A37" s="2" t="n">
        <v>46098.875</v>
      </c>
      <c r="B37">
        <f>TEXT(A37,"yyyy-mm")</f>
        <v/>
      </c>
      <c r="C37" s="3">
        <f>HOUR(A37)</f>
        <v/>
      </c>
      <c r="D37" s="4" t="n">
        <v>23.087905714025</v>
      </c>
      <c r="E37" s="4" t="n"/>
      <c r="F37" s="4" t="n"/>
      <c r="G37" s="4" t="n">
        <v>3</v>
      </c>
      <c r="H37" s="5" t="n">
        <v>36.95053513106111</v>
      </c>
      <c r="I37" s="5" t="n"/>
      <c r="J37" s="5" t="n"/>
      <c r="K37" s="5" t="n">
        <v>97</v>
      </c>
    </row>
    <row r="38">
      <c r="A38" s="2" t="n">
        <v>46098.91666666666</v>
      </c>
      <c r="B38">
        <f>TEXT(A38,"yyyy-mm")</f>
        <v/>
      </c>
      <c r="C38" s="3">
        <f>HOUR(A38)</f>
        <v/>
      </c>
      <c r="D38" s="4" t="n">
        <v>23.29488002357222</v>
      </c>
      <c r="E38" s="4" t="n"/>
      <c r="F38" s="4" t="n"/>
      <c r="G38" s="4" t="n">
        <v>2.8</v>
      </c>
      <c r="H38" s="5" t="n">
        <v>37.325344859325</v>
      </c>
      <c r="I38" s="5" t="n"/>
      <c r="J38" s="5" t="n"/>
      <c r="K38" s="5" t="n">
        <v>98</v>
      </c>
    </row>
    <row r="39">
      <c r="A39" s="2" t="n">
        <v>46098.95833333334</v>
      </c>
      <c r="B39">
        <f>TEXT(A39,"yyyy-mm")</f>
        <v/>
      </c>
      <c r="C39" s="3">
        <f>HOUR(A39)</f>
        <v/>
      </c>
      <c r="D39" s="4" t="n">
        <v>23.67426959606389</v>
      </c>
      <c r="E39" s="4" t="n"/>
      <c r="F39" s="4" t="n"/>
      <c r="G39" s="4" t="n">
        <v>2.5</v>
      </c>
      <c r="H39" s="5" t="n">
        <v>36.73300104025</v>
      </c>
      <c r="I39" s="5" t="n"/>
      <c r="J39" s="5" t="n"/>
      <c r="K39" s="5" t="n">
        <v>98</v>
      </c>
    </row>
    <row r="40">
      <c r="A40" s="2" t="n">
        <v>46099</v>
      </c>
      <c r="B40">
        <f>TEXT(A40,"yyyy-mm")</f>
        <v/>
      </c>
      <c r="C40" s="3">
        <f>HOUR(A40)</f>
        <v/>
      </c>
      <c r="D40" s="4" t="n">
        <v>24.01931953166389</v>
      </c>
      <c r="E40" s="4" t="n"/>
      <c r="F40" s="4" t="n"/>
      <c r="G40" s="4" t="n">
        <v>2.3</v>
      </c>
      <c r="H40" s="5" t="n">
        <v>36.08313319512778</v>
      </c>
      <c r="I40" s="5" t="n"/>
      <c r="J40" s="5" t="n"/>
      <c r="K40" s="5" t="n">
        <v>99</v>
      </c>
    </row>
    <row r="41">
      <c r="A41" s="2" t="n">
        <v>46099.04166666666</v>
      </c>
      <c r="B41">
        <f>TEXT(A41,"yyyy-mm")</f>
        <v/>
      </c>
      <c r="C41" s="3">
        <f>HOUR(A41)</f>
        <v/>
      </c>
      <c r="D41" s="4" t="n">
        <v>23.55315820945833</v>
      </c>
      <c r="E41" s="4" t="n"/>
      <c r="F41" s="4" t="n"/>
      <c r="G41" s="4" t="n">
        <v>2.3</v>
      </c>
      <c r="H41" s="5" t="n">
        <v>36.99398779451111</v>
      </c>
      <c r="I41" s="5" t="n"/>
      <c r="J41" s="5" t="n"/>
      <c r="K41" s="5" t="n">
        <v>99</v>
      </c>
    </row>
    <row r="42">
      <c r="A42" s="2" t="n">
        <v>46099.08333333334</v>
      </c>
      <c r="B42">
        <f>TEXT(A42,"yyyy-mm")</f>
        <v/>
      </c>
      <c r="C42" s="3">
        <f>HOUR(A42)</f>
        <v/>
      </c>
      <c r="D42" s="4" t="n">
        <v>23.20839556638333</v>
      </c>
      <c r="E42" s="4" t="n"/>
      <c r="F42" s="4" t="n"/>
      <c r="G42" s="4" t="n">
        <v>2.2</v>
      </c>
      <c r="H42" s="5" t="n">
        <v>36.76746807183611</v>
      </c>
      <c r="I42" s="5" t="n"/>
      <c r="J42" s="5" t="n"/>
      <c r="K42" s="5" t="n">
        <v>98</v>
      </c>
    </row>
    <row r="43">
      <c r="A43" s="2" t="n">
        <v>46099.125</v>
      </c>
      <c r="B43">
        <f>TEXT(A43,"yyyy-mm")</f>
        <v/>
      </c>
      <c r="C43" s="3">
        <f>HOUR(A43)</f>
        <v/>
      </c>
      <c r="D43" s="4" t="n"/>
      <c r="E43" s="4" t="n"/>
      <c r="F43" s="4" t="n"/>
      <c r="G43" s="4" t="n">
        <v>2.3</v>
      </c>
      <c r="H43" s="5" t="n"/>
      <c r="I43" s="5" t="n"/>
      <c r="J43" s="5" t="n"/>
      <c r="K43" s="5" t="n">
        <v>98</v>
      </c>
    </row>
    <row r="44">
      <c r="A44" s="2" t="n">
        <v>46099.16666666666</v>
      </c>
      <c r="B44">
        <f>TEXT(A44,"yyyy-mm")</f>
        <v/>
      </c>
      <c r="C44" s="3">
        <f>HOUR(A44)</f>
        <v/>
      </c>
      <c r="D44" s="4" t="n"/>
      <c r="E44" s="4" t="n"/>
      <c r="F44" s="4" t="n"/>
      <c r="G44" s="4" t="n">
        <v>2.1</v>
      </c>
      <c r="H44" s="5" t="n"/>
      <c r="I44" s="5" t="n"/>
      <c r="J44" s="5" t="n"/>
      <c r="K44" s="5" t="n">
        <v>98</v>
      </c>
    </row>
    <row r="45">
      <c r="A45" s="2" t="n">
        <v>46099.20833333334</v>
      </c>
      <c r="B45">
        <f>TEXT(A45,"yyyy-mm")</f>
        <v/>
      </c>
      <c r="C45" s="3">
        <f>HOUR(A45)</f>
        <v/>
      </c>
      <c r="D45" s="4" t="n"/>
      <c r="E45" s="4" t="n"/>
      <c r="F45" s="4" t="n"/>
      <c r="G45" s="4" t="n">
        <v>1.8</v>
      </c>
      <c r="H45" s="5" t="n"/>
      <c r="I45" s="5" t="n"/>
      <c r="J45" s="5" t="n"/>
      <c r="K45" s="5" t="n">
        <v>99</v>
      </c>
    </row>
    <row r="46">
      <c r="A46" s="2" t="n">
        <v>46099.25</v>
      </c>
      <c r="B46">
        <f>TEXT(A46,"yyyy-mm")</f>
        <v/>
      </c>
      <c r="C46" s="3">
        <f>HOUR(A46)</f>
        <v/>
      </c>
      <c r="D46" s="4" t="n"/>
      <c r="E46" s="4" t="n"/>
      <c r="F46" s="4" t="n"/>
      <c r="G46" s="4" t="n">
        <v>1.6</v>
      </c>
      <c r="H46" s="5" t="n"/>
      <c r="I46" s="5" t="n"/>
      <c r="J46" s="5" t="n"/>
      <c r="K46" s="5" t="n">
        <v>99</v>
      </c>
    </row>
    <row r="47">
      <c r="A47" s="2" t="n">
        <v>46099.29166666666</v>
      </c>
      <c r="B47">
        <f>TEXT(A47,"yyyy-mm")</f>
        <v/>
      </c>
      <c r="C47" s="3">
        <f>HOUR(A47)</f>
        <v/>
      </c>
      <c r="D47" s="4" t="n"/>
      <c r="E47" s="4" t="n"/>
      <c r="F47" s="4" t="n"/>
      <c r="G47" s="4" t="n">
        <v>2.1</v>
      </c>
      <c r="H47" s="5" t="n"/>
      <c r="I47" s="5" t="n"/>
      <c r="J47" s="5" t="n"/>
      <c r="K47" s="5" t="n">
        <v>96</v>
      </c>
    </row>
    <row r="48">
      <c r="A48" s="2" t="n">
        <v>46099.33333333334</v>
      </c>
      <c r="B48">
        <f>TEXT(A48,"yyyy-mm")</f>
        <v/>
      </c>
      <c r="C48" s="3">
        <f>HOUR(A48)</f>
        <v/>
      </c>
      <c r="D48" s="4" t="n"/>
      <c r="E48" s="4" t="n"/>
      <c r="F48" s="4" t="n"/>
      <c r="G48" s="4" t="n">
        <v>3</v>
      </c>
      <c r="H48" s="5" t="n"/>
      <c r="I48" s="5" t="n"/>
      <c r="J48" s="5" t="n"/>
      <c r="K48" s="5" t="n">
        <v>93</v>
      </c>
    </row>
    <row r="49">
      <c r="A49" s="2" t="n">
        <v>46099.375</v>
      </c>
      <c r="B49">
        <f>TEXT(A49,"yyyy-mm")</f>
        <v/>
      </c>
      <c r="C49" s="3">
        <f>HOUR(A49)</f>
        <v/>
      </c>
      <c r="D49" s="4" t="n">
        <v>22.84381316466514</v>
      </c>
      <c r="E49" s="4" t="n"/>
      <c r="F49" s="4" t="n"/>
      <c r="G49" s="4" t="n">
        <v>3.8</v>
      </c>
      <c r="H49" s="5" t="n">
        <v>38.33571806804764</v>
      </c>
      <c r="I49" s="5" t="n"/>
      <c r="J49" s="5" t="n"/>
      <c r="K49" s="5" t="n">
        <v>89</v>
      </c>
    </row>
    <row r="50">
      <c r="A50" s="2" t="n">
        <v>46099.41666666666</v>
      </c>
      <c r="B50">
        <f>TEXT(A50,"yyyy-mm")</f>
        <v/>
      </c>
      <c r="C50" s="3">
        <f>HOUR(A50)</f>
        <v/>
      </c>
      <c r="D50" s="4" t="n">
        <v>22.79709571056389</v>
      </c>
      <c r="E50" s="4" t="n"/>
      <c r="F50" s="4" t="n"/>
      <c r="G50" s="4" t="n">
        <v>4.2</v>
      </c>
      <c r="H50" s="5" t="n">
        <v>37.24125503858889</v>
      </c>
      <c r="I50" s="5" t="n"/>
      <c r="J50" s="5" t="n"/>
      <c r="K50" s="5" t="n">
        <v>88</v>
      </c>
    </row>
    <row r="51">
      <c r="A51" s="2" t="n">
        <v>46099.45833333334</v>
      </c>
      <c r="B51">
        <f>TEXT(A51,"yyyy-mm")</f>
        <v/>
      </c>
      <c r="C51" s="3">
        <f>HOUR(A51)</f>
        <v/>
      </c>
      <c r="D51" s="4" t="n">
        <v>23.26592894333704</v>
      </c>
      <c r="E51" s="4" t="n"/>
      <c r="F51" s="4" t="n"/>
      <c r="G51" s="4" t="n">
        <v>4.4</v>
      </c>
      <c r="H51" s="5" t="n">
        <v>36.51748577056667</v>
      </c>
      <c r="I51" s="5" t="n"/>
      <c r="J51" s="5" t="n"/>
      <c r="K51" s="5" t="n">
        <v>87</v>
      </c>
    </row>
    <row r="52">
      <c r="A52" s="2" t="n">
        <v>46099.5</v>
      </c>
      <c r="B52">
        <f>TEXT(A52,"yyyy-mm")</f>
        <v/>
      </c>
      <c r="C52" s="3">
        <f>HOUR(A52)</f>
        <v/>
      </c>
      <c r="D52" s="4" t="n">
        <v>23.50571075065113</v>
      </c>
      <c r="E52" s="4" t="n"/>
      <c r="F52" s="4" t="n"/>
      <c r="G52" s="4" t="n">
        <v>4.9</v>
      </c>
      <c r="H52" s="5" t="n">
        <v>35.93493564766705</v>
      </c>
      <c r="I52" s="5" t="n"/>
      <c r="J52" s="5" t="n"/>
      <c r="K52" s="5" t="n">
        <v>86</v>
      </c>
    </row>
    <row r="53">
      <c r="A53" s="2" t="n">
        <v>46099.54166666666</v>
      </c>
      <c r="B53">
        <f>TEXT(A53,"yyyy-mm")</f>
        <v/>
      </c>
      <c r="C53" s="3">
        <f>HOUR(A53)</f>
        <v/>
      </c>
      <c r="D53" s="4" t="n">
        <v>23.23941015109166</v>
      </c>
      <c r="E53" s="4" t="n"/>
      <c r="F53" s="4" t="n"/>
      <c r="G53" s="4" t="n">
        <v>5.1</v>
      </c>
      <c r="H53" s="5" t="n">
        <v>35.076860478725</v>
      </c>
      <c r="I53" s="5" t="n"/>
      <c r="J53" s="5" t="n"/>
      <c r="K53" s="5" t="n">
        <v>84</v>
      </c>
    </row>
    <row r="54">
      <c r="A54" s="2" t="n">
        <v>46099.58333333334</v>
      </c>
      <c r="B54">
        <f>TEXT(A54,"yyyy-mm")</f>
        <v/>
      </c>
      <c r="C54" s="3">
        <f>HOUR(A54)</f>
        <v/>
      </c>
      <c r="D54" s="4" t="n">
        <v>23.23760274229722</v>
      </c>
      <c r="E54" s="4" t="n"/>
      <c r="F54" s="4" t="n"/>
      <c r="G54" s="4" t="n">
        <v>5.3</v>
      </c>
      <c r="H54" s="5" t="n">
        <v>34.22299205655</v>
      </c>
      <c r="I54" s="5" t="n"/>
      <c r="J54" s="5" t="n"/>
      <c r="K54" s="5" t="n">
        <v>83</v>
      </c>
    </row>
    <row r="55">
      <c r="A55" s="2" t="n">
        <v>46099.625</v>
      </c>
      <c r="B55">
        <f>TEXT(A55,"yyyy-mm")</f>
        <v/>
      </c>
      <c r="C55" s="3">
        <f>HOUR(A55)</f>
        <v/>
      </c>
      <c r="D55" s="4" t="n">
        <v>23.35340104455556</v>
      </c>
      <c r="E55" s="4" t="n"/>
      <c r="F55" s="4" t="n"/>
      <c r="G55" s="4" t="n">
        <v>5.2</v>
      </c>
      <c r="H55" s="5" t="n">
        <v>33.81590406706945</v>
      </c>
      <c r="I55" s="5" t="n"/>
      <c r="J55" s="5" t="n"/>
      <c r="K55" s="5" t="n">
        <v>82</v>
      </c>
    </row>
    <row r="56">
      <c r="A56" s="2" t="n">
        <v>46099.66666666666</v>
      </c>
      <c r="B56">
        <f>TEXT(A56,"yyyy-mm")</f>
        <v/>
      </c>
      <c r="C56" s="3">
        <f>HOUR(A56)</f>
        <v/>
      </c>
      <c r="D56" s="4" t="n">
        <v>23.27213457532222</v>
      </c>
      <c r="E56" s="4" t="n"/>
      <c r="F56" s="4" t="n"/>
      <c r="G56" s="4" t="n">
        <v>5.1</v>
      </c>
      <c r="H56" s="5" t="n">
        <v>34.67893070688334</v>
      </c>
      <c r="I56" s="5" t="n"/>
      <c r="J56" s="5" t="n"/>
      <c r="K56" s="5" t="n">
        <v>82</v>
      </c>
    </row>
    <row r="57">
      <c r="A57" s="2" t="n">
        <v>46099.70833333334</v>
      </c>
      <c r="B57">
        <f>TEXT(A57,"yyyy-mm")</f>
        <v/>
      </c>
      <c r="C57" s="3">
        <f>HOUR(A57)</f>
        <v/>
      </c>
      <c r="D57" s="4" t="n">
        <v>23.07559337294444</v>
      </c>
      <c r="E57" s="4" t="n"/>
      <c r="F57" s="4" t="n"/>
      <c r="G57" s="4" t="n">
        <v>4.6</v>
      </c>
      <c r="H57" s="5" t="n">
        <v>35.60356894787778</v>
      </c>
      <c r="I57" s="5" t="n"/>
      <c r="J57" s="5" t="n"/>
      <c r="K57" s="5" t="n">
        <v>85</v>
      </c>
    </row>
    <row r="58">
      <c r="A58" s="2" t="n">
        <v>46099.75</v>
      </c>
      <c r="B58">
        <f>TEXT(A58,"yyyy-mm")</f>
        <v/>
      </c>
      <c r="C58" s="3">
        <f>HOUR(A58)</f>
        <v/>
      </c>
      <c r="D58" s="4" t="n">
        <v>23.12304404831667</v>
      </c>
      <c r="E58" s="4" t="n"/>
      <c r="F58" s="4" t="n"/>
      <c r="G58" s="4" t="n">
        <v>3.8</v>
      </c>
      <c r="H58" s="5" t="n">
        <v>38.08090035928056</v>
      </c>
      <c r="I58" s="5" t="n"/>
      <c r="J58" s="5" t="n"/>
      <c r="K58" s="5" t="n">
        <v>89</v>
      </c>
    </row>
    <row r="59">
      <c r="A59" s="2" t="n">
        <v>46099.79166666666</v>
      </c>
      <c r="B59">
        <f>TEXT(A59,"yyyy-mm")</f>
        <v/>
      </c>
      <c r="C59" s="3">
        <f>HOUR(A59)</f>
        <v/>
      </c>
      <c r="D59" s="4" t="n">
        <v>23.18925281239167</v>
      </c>
      <c r="E59" s="4" t="n"/>
      <c r="F59" s="4" t="n"/>
      <c r="G59" s="4" t="n">
        <v>3.1</v>
      </c>
      <c r="H59" s="5" t="n">
        <v>39.17266076778611</v>
      </c>
      <c r="I59" s="5" t="n"/>
      <c r="J59" s="5" t="n"/>
      <c r="K59" s="5" t="n">
        <v>93</v>
      </c>
    </row>
    <row r="60">
      <c r="A60" s="2" t="n">
        <v>46099.83333333334</v>
      </c>
      <c r="B60">
        <f>TEXT(A60,"yyyy-mm")</f>
        <v/>
      </c>
      <c r="C60" s="3">
        <f>HOUR(A60)</f>
        <v/>
      </c>
      <c r="D60" s="4" t="n">
        <v>23.29481728369722</v>
      </c>
      <c r="E60" s="4" t="n"/>
      <c r="F60" s="4" t="n"/>
      <c r="G60" s="4" t="n">
        <v>3.5</v>
      </c>
      <c r="H60" s="5" t="n">
        <v>41.05882735965277</v>
      </c>
      <c r="I60" s="5" t="n"/>
      <c r="J60" s="5" t="n"/>
      <c r="K60" s="5" t="n">
        <v>96</v>
      </c>
    </row>
    <row r="61">
      <c r="A61" s="2" t="n">
        <v>46099.875</v>
      </c>
      <c r="B61">
        <f>TEXT(A61,"yyyy-mm")</f>
        <v/>
      </c>
      <c r="C61" s="3">
        <f>HOUR(A61)</f>
        <v/>
      </c>
      <c r="D61" s="4" t="n">
        <v>23.22729729881667</v>
      </c>
      <c r="E61" s="4" t="n"/>
      <c r="F61" s="4" t="n"/>
      <c r="G61" s="4" t="n">
        <v>3</v>
      </c>
      <c r="H61" s="5" t="n">
        <v>42.00261379220556</v>
      </c>
      <c r="I61" s="5" t="n"/>
      <c r="J61" s="5" t="n"/>
      <c r="K61" s="5" t="n">
        <v>97</v>
      </c>
    </row>
    <row r="62">
      <c r="A62" s="2" t="n">
        <v>46099.91666666666</v>
      </c>
      <c r="B62">
        <f>TEXT(A62,"yyyy-mm")</f>
        <v/>
      </c>
      <c r="C62" s="3">
        <f>HOUR(A62)</f>
        <v/>
      </c>
      <c r="D62" s="4" t="n">
        <v>23.12837826327222</v>
      </c>
      <c r="E62" s="4" t="n"/>
      <c r="F62" s="4" t="n"/>
      <c r="G62" s="4" t="n">
        <v>3</v>
      </c>
      <c r="H62" s="5" t="n">
        <v>40.74318607763611</v>
      </c>
      <c r="I62" s="5" t="n"/>
      <c r="J62" s="5" t="n"/>
      <c r="K62" s="5" t="n">
        <v>98</v>
      </c>
    </row>
    <row r="63">
      <c r="A63" s="2" t="n">
        <v>46099.95833333334</v>
      </c>
      <c r="B63">
        <f>TEXT(A63,"yyyy-mm")</f>
        <v/>
      </c>
      <c r="C63" s="3">
        <f>HOUR(A63)</f>
        <v/>
      </c>
      <c r="D63" s="4" t="n">
        <v>22.88156298002778</v>
      </c>
      <c r="E63" s="4" t="n"/>
      <c r="F63" s="4" t="n"/>
      <c r="G63" s="4" t="n">
        <v>2.6</v>
      </c>
      <c r="H63" s="5" t="n">
        <v>40.36823830854723</v>
      </c>
      <c r="I63" s="5" t="n"/>
      <c r="J63" s="5" t="n"/>
      <c r="K63" s="5" t="n">
        <v>99</v>
      </c>
    </row>
    <row r="64">
      <c r="A64" s="2" t="n">
        <v>46100</v>
      </c>
      <c r="B64">
        <f>TEXT(A64,"yyyy-mm")</f>
        <v/>
      </c>
      <c r="C64" s="3">
        <f>HOUR(A64)</f>
        <v/>
      </c>
      <c r="D64" s="4" t="n">
        <v>22.69119677012222</v>
      </c>
      <c r="E64" s="4" t="n"/>
      <c r="F64" s="4" t="n"/>
      <c r="G64" s="4" t="n">
        <v>2.5</v>
      </c>
      <c r="H64" s="5" t="n">
        <v>39.87963722756944</v>
      </c>
      <c r="I64" s="5" t="n"/>
      <c r="J64" s="5" t="n"/>
      <c r="K64" s="5" t="n">
        <v>100</v>
      </c>
    </row>
    <row r="65">
      <c r="A65" s="2" t="n">
        <v>46100.04166666666</v>
      </c>
      <c r="B65">
        <f>TEXT(A65,"yyyy-mm")</f>
        <v/>
      </c>
      <c r="C65" s="3">
        <f>HOUR(A65)</f>
        <v/>
      </c>
      <c r="D65" s="4" t="n">
        <v>22.57727822594167</v>
      </c>
      <c r="E65" s="4" t="n"/>
      <c r="F65" s="4" t="n"/>
      <c r="G65" s="4" t="n">
        <v>2.3</v>
      </c>
      <c r="H65" s="5" t="n">
        <v>39.63744171694167</v>
      </c>
      <c r="I65" s="5" t="n"/>
      <c r="J65" s="5" t="n"/>
      <c r="K65" s="5" t="n">
        <v>100</v>
      </c>
    </row>
    <row r="66">
      <c r="A66" s="2" t="n">
        <v>46100.08333333334</v>
      </c>
      <c r="B66">
        <f>TEXT(A66,"yyyy-mm")</f>
        <v/>
      </c>
      <c r="C66" s="3">
        <f>HOUR(A66)</f>
        <v/>
      </c>
      <c r="D66" s="4" t="n">
        <v>22.49174946923056</v>
      </c>
      <c r="E66" s="4" t="n"/>
      <c r="F66" s="4" t="n"/>
      <c r="G66" s="4" t="n">
        <v>2.6</v>
      </c>
      <c r="H66" s="5" t="n">
        <v>39.44233423119445</v>
      </c>
      <c r="I66" s="5" t="n"/>
      <c r="J66" s="5" t="n"/>
      <c r="K66" s="5" t="n">
        <v>99</v>
      </c>
    </row>
    <row r="67">
      <c r="A67" s="2" t="n">
        <v>46100.125</v>
      </c>
      <c r="B67">
        <f>TEXT(A67,"yyyy-mm")</f>
        <v/>
      </c>
      <c r="C67" s="3">
        <f>HOUR(A67)</f>
        <v/>
      </c>
      <c r="D67" s="4" t="n">
        <v>22.41681839906945</v>
      </c>
      <c r="E67" s="4" t="n"/>
      <c r="F67" s="4" t="n"/>
      <c r="G67" s="4" t="n">
        <v>2.8</v>
      </c>
      <c r="H67" s="5" t="n">
        <v>39.33353333117223</v>
      </c>
      <c r="I67" s="5" t="n"/>
      <c r="J67" s="5" t="n"/>
      <c r="K67" s="5" t="n">
        <v>98</v>
      </c>
    </row>
    <row r="68">
      <c r="A68" s="2" t="n">
        <v>46100.16666666666</v>
      </c>
      <c r="B68">
        <f>TEXT(A68,"yyyy-mm")</f>
        <v/>
      </c>
      <c r="C68" s="3">
        <f>HOUR(A68)</f>
        <v/>
      </c>
      <c r="D68" s="4" t="n">
        <v>22.35226196785278</v>
      </c>
      <c r="E68" s="4" t="n"/>
      <c r="F68" s="4" t="n"/>
      <c r="G68" s="4" t="n">
        <v>2.7</v>
      </c>
      <c r="H68" s="5" t="n">
        <v>38.85084129840278</v>
      </c>
      <c r="I68" s="5" t="n"/>
      <c r="J68" s="5" t="n"/>
      <c r="K68" s="5" t="n">
        <v>99</v>
      </c>
    </row>
    <row r="69">
      <c r="A69" s="2" t="n">
        <v>46100.20833333334</v>
      </c>
      <c r="B69">
        <f>TEXT(A69,"yyyy-mm")</f>
        <v/>
      </c>
      <c r="C69" s="3">
        <f>HOUR(A69)</f>
        <v/>
      </c>
      <c r="D69" s="4" t="n">
        <v>22.27085813141389</v>
      </c>
      <c r="E69" s="4" t="n"/>
      <c r="F69" s="4" t="n"/>
      <c r="G69" s="4" t="n">
        <v>2.8</v>
      </c>
      <c r="H69" s="5" t="n">
        <v>38.49313084375</v>
      </c>
      <c r="I69" s="5" t="n"/>
      <c r="J69" s="5" t="n"/>
      <c r="K69" s="5" t="n">
        <v>99</v>
      </c>
    </row>
    <row r="70">
      <c r="A70" s="2" t="n">
        <v>46100.25</v>
      </c>
      <c r="B70">
        <f>TEXT(A70,"yyyy-mm")</f>
        <v/>
      </c>
      <c r="C70" s="3">
        <f>HOUR(A70)</f>
        <v/>
      </c>
      <c r="D70" s="4" t="n">
        <v>22.22147117956111</v>
      </c>
      <c r="E70" s="4" t="n"/>
      <c r="F70" s="4" t="n"/>
      <c r="G70" s="4" t="n">
        <v>2.6</v>
      </c>
      <c r="H70" s="5" t="n">
        <v>38.21721774715555</v>
      </c>
      <c r="I70" s="5" t="n"/>
      <c r="J70" s="5" t="n"/>
      <c r="K70" s="5" t="n">
        <v>99</v>
      </c>
    </row>
    <row r="71">
      <c r="A71" s="2" t="n">
        <v>46100.29166666666</v>
      </c>
      <c r="B71">
        <f>TEXT(A71,"yyyy-mm")</f>
        <v/>
      </c>
      <c r="C71" s="3">
        <f>HOUR(A71)</f>
        <v/>
      </c>
      <c r="D71" s="4" t="n">
        <v>22.18983242528056</v>
      </c>
      <c r="E71" s="4" t="n"/>
      <c r="F71" s="4" t="n"/>
      <c r="G71" s="4" t="n">
        <v>2.9</v>
      </c>
      <c r="H71" s="5" t="n">
        <v>38.1356532354</v>
      </c>
      <c r="I71" s="5" t="n"/>
      <c r="J71" s="5" t="n"/>
      <c r="K71" s="5" t="n">
        <v>95</v>
      </c>
    </row>
    <row r="72">
      <c r="A72" s="2" t="n">
        <v>46100.33333333334</v>
      </c>
      <c r="B72">
        <f>TEXT(A72,"yyyy-mm")</f>
        <v/>
      </c>
      <c r="C72" s="3">
        <f>HOUR(A72)</f>
        <v/>
      </c>
      <c r="D72" s="4" t="n">
        <v>22.24087043094444</v>
      </c>
      <c r="E72" s="4" t="n"/>
      <c r="F72" s="4" t="n"/>
      <c r="G72" s="4" t="n">
        <v>2.8</v>
      </c>
      <c r="H72" s="5" t="n">
        <v>39.66514018552778</v>
      </c>
      <c r="I72" s="5" t="n"/>
      <c r="J72" s="5" t="n"/>
      <c r="K72" s="5" t="n">
        <v>97</v>
      </c>
    </row>
    <row r="73">
      <c r="A73" s="2" t="n">
        <v>46100.375</v>
      </c>
      <c r="B73">
        <f>TEXT(A73,"yyyy-mm")</f>
        <v/>
      </c>
      <c r="C73" s="3">
        <f>HOUR(A73)</f>
        <v/>
      </c>
      <c r="D73" s="4" t="n">
        <v>22.38024457262778</v>
      </c>
      <c r="E73" s="4" t="n"/>
      <c r="F73" s="4" t="n"/>
      <c r="G73" s="4" t="n">
        <v>3.9</v>
      </c>
      <c r="H73" s="5" t="n">
        <v>40.07159510403611</v>
      </c>
      <c r="I73" s="5" t="n"/>
      <c r="J73" s="5" t="n"/>
      <c r="K73" s="5" t="n">
        <v>91</v>
      </c>
    </row>
    <row r="74">
      <c r="A74" s="2" t="n">
        <v>46100.41666666666</v>
      </c>
      <c r="B74">
        <f>TEXT(A74,"yyyy-mm")</f>
        <v/>
      </c>
      <c r="C74" s="3">
        <f>HOUR(A74)</f>
        <v/>
      </c>
      <c r="D74" s="4" t="n">
        <v>22.49958274585</v>
      </c>
      <c r="E74" s="4" t="n"/>
      <c r="F74" s="4" t="n"/>
      <c r="G74" s="4" t="n">
        <v>4.9</v>
      </c>
      <c r="H74" s="5" t="n">
        <v>40.01418426698333</v>
      </c>
      <c r="I74" s="5" t="n"/>
      <c r="J74" s="5" t="n"/>
      <c r="K74" s="5" t="n">
        <v>84</v>
      </c>
    </row>
    <row r="75">
      <c r="A75" s="2" t="n">
        <v>46100.45833333334</v>
      </c>
      <c r="B75">
        <f>TEXT(A75,"yyyy-mm")</f>
        <v/>
      </c>
      <c r="C75" s="3">
        <f>HOUR(A75)</f>
        <v/>
      </c>
      <c r="D75" s="4" t="n">
        <v>22.43982673153889</v>
      </c>
      <c r="E75" s="4" t="n"/>
      <c r="F75" s="4" t="n"/>
      <c r="G75" s="4" t="n">
        <v>6.1</v>
      </c>
      <c r="H75" s="5" t="n">
        <v>38.33125456198055</v>
      </c>
      <c r="I75" s="5" t="n"/>
      <c r="J75" s="5" t="n"/>
      <c r="K75" s="5" t="n">
        <v>78</v>
      </c>
    </row>
    <row r="76">
      <c r="A76" s="2" t="n">
        <v>46100.5</v>
      </c>
      <c r="B76">
        <f>TEXT(A76,"yyyy-mm")</f>
        <v/>
      </c>
      <c r="C76" s="3">
        <f>HOUR(A76)</f>
        <v/>
      </c>
      <c r="D76" s="4" t="n">
        <v>22.54989455654722</v>
      </c>
      <c r="E76" s="4" t="n"/>
      <c r="F76" s="4" t="n"/>
      <c r="G76" s="4" t="n">
        <v>6.1</v>
      </c>
      <c r="H76" s="5" t="n">
        <v>38.04225254353612</v>
      </c>
      <c r="I76" s="5" t="n"/>
      <c r="J76" s="5" t="n"/>
      <c r="K76" s="5" t="n">
        <v>78</v>
      </c>
    </row>
    <row r="77">
      <c r="A77" s="2" t="n">
        <v>46100.54166666666</v>
      </c>
      <c r="B77">
        <f>TEXT(A77,"yyyy-mm")</f>
        <v/>
      </c>
      <c r="C77" s="3">
        <f>HOUR(A77)</f>
        <v/>
      </c>
      <c r="D77" s="4" t="n">
        <v>22.44534059821111</v>
      </c>
      <c r="E77" s="4" t="n"/>
      <c r="F77" s="4" t="n"/>
      <c r="G77" s="4" t="n">
        <v>6.8</v>
      </c>
      <c r="H77" s="5" t="n">
        <v>37.55374614849722</v>
      </c>
      <c r="I77" s="5" t="n"/>
      <c r="J77" s="5" t="n"/>
      <c r="K77" s="5" t="n">
        <v>75</v>
      </c>
    </row>
    <row r="78">
      <c r="A78" s="2" t="n">
        <v>46100.58333333334</v>
      </c>
      <c r="B78">
        <f>TEXT(A78,"yyyy-mm")</f>
        <v/>
      </c>
      <c r="C78" s="3">
        <f>HOUR(A78)</f>
        <v/>
      </c>
      <c r="D78" s="4" t="n">
        <v>22.46518645907222</v>
      </c>
      <c r="E78" s="4" t="n"/>
      <c r="F78" s="4" t="n"/>
      <c r="G78" s="4" t="n">
        <v>6.6</v>
      </c>
      <c r="H78" s="5" t="n">
        <v>37.05842457081389</v>
      </c>
      <c r="I78" s="5" t="n"/>
      <c r="J78" s="5" t="n"/>
      <c r="K78" s="5" t="n">
        <v>75</v>
      </c>
    </row>
    <row r="79">
      <c r="A79" s="2" t="n">
        <v>46100.625</v>
      </c>
      <c r="B79">
        <f>TEXT(A79,"yyyy-mm")</f>
        <v/>
      </c>
      <c r="C79" s="3">
        <f>HOUR(A79)</f>
        <v/>
      </c>
      <c r="D79" s="4" t="n">
        <v>22.26305201319444</v>
      </c>
      <c r="E79" s="4" t="n"/>
      <c r="F79" s="4" t="n"/>
      <c r="G79" s="4" t="n">
        <v>6.1</v>
      </c>
      <c r="H79" s="5" t="n">
        <v>37.17402511146389</v>
      </c>
      <c r="I79" s="5" t="n"/>
      <c r="J79" s="5" t="n"/>
      <c r="K79" s="5" t="n">
        <v>79</v>
      </c>
    </row>
    <row r="80">
      <c r="A80" s="2" t="n">
        <v>46100.66666666666</v>
      </c>
      <c r="B80">
        <f>TEXT(A80,"yyyy-mm")</f>
        <v/>
      </c>
      <c r="C80" s="3">
        <f>HOUR(A80)</f>
        <v/>
      </c>
      <c r="D80" s="4" t="n">
        <v>22.18575601964167</v>
      </c>
      <c r="E80" s="4" t="n"/>
      <c r="F80" s="4" t="n"/>
      <c r="G80" s="4" t="n">
        <v>6</v>
      </c>
      <c r="H80" s="5" t="n">
        <v>37.17603528785556</v>
      </c>
      <c r="I80" s="5" t="n"/>
      <c r="J80" s="5" t="n"/>
      <c r="K80" s="5" t="n">
        <v>80</v>
      </c>
    </row>
    <row r="81">
      <c r="A81" s="2" t="n">
        <v>46100.70833333334</v>
      </c>
      <c r="B81">
        <f>TEXT(A81,"yyyy-mm")</f>
        <v/>
      </c>
      <c r="C81" s="3">
        <f>HOUR(A81)</f>
        <v/>
      </c>
      <c r="D81" s="4" t="n">
        <v>22.30083905621944</v>
      </c>
      <c r="E81" s="4" t="n"/>
      <c r="F81" s="4" t="n"/>
      <c r="G81" s="4" t="n">
        <v>5.5</v>
      </c>
      <c r="H81" s="5" t="n">
        <v>39.32426808325278</v>
      </c>
      <c r="I81" s="5" t="n"/>
      <c r="J81" s="5" t="n"/>
      <c r="K81" s="5" t="n">
        <v>82</v>
      </c>
    </row>
    <row r="82">
      <c r="A82" s="2" t="n">
        <v>46100.75</v>
      </c>
      <c r="B82">
        <f>TEXT(A82,"yyyy-mm")</f>
        <v/>
      </c>
      <c r="C82" s="3">
        <f>HOUR(A82)</f>
        <v/>
      </c>
      <c r="D82" s="4" t="n">
        <v>22.26043583724167</v>
      </c>
      <c r="E82" s="4" t="n"/>
      <c r="F82" s="4" t="n"/>
      <c r="G82" s="4" t="n">
        <v>4.1</v>
      </c>
      <c r="H82" s="5" t="n">
        <v>40.13233632138333</v>
      </c>
      <c r="I82" s="5" t="n"/>
      <c r="J82" s="5" t="n"/>
      <c r="K82" s="5" t="n">
        <v>87</v>
      </c>
    </row>
    <row r="83">
      <c r="A83" s="2" t="n">
        <v>46100.79166666666</v>
      </c>
      <c r="B83">
        <f>TEXT(A83,"yyyy-mm")</f>
        <v/>
      </c>
      <c r="C83" s="3">
        <f>HOUR(A83)</f>
        <v/>
      </c>
      <c r="D83" s="4" t="n">
        <v>22.31820874343889</v>
      </c>
      <c r="E83" s="4" t="n"/>
      <c r="F83" s="4" t="n"/>
      <c r="G83" s="4" t="n">
        <v>2.8</v>
      </c>
      <c r="H83" s="5" t="n">
        <v>40.82529664153611</v>
      </c>
      <c r="I83" s="5" t="n"/>
      <c r="J83" s="5" t="n"/>
      <c r="K83" s="5" t="n">
        <v>90</v>
      </c>
    </row>
    <row r="84">
      <c r="A84" s="2" t="n">
        <v>46100.83333333334</v>
      </c>
      <c r="B84">
        <f>TEXT(A84,"yyyy-mm")</f>
        <v/>
      </c>
      <c r="C84" s="3">
        <f>HOUR(A84)</f>
        <v/>
      </c>
      <c r="D84" s="4" t="n">
        <v>22.34143391378612</v>
      </c>
      <c r="E84" s="4" t="n"/>
      <c r="F84" s="4" t="n"/>
      <c r="G84" s="4" t="n">
        <v>3.9</v>
      </c>
      <c r="H84" s="5" t="n">
        <v>40.91037674880555</v>
      </c>
      <c r="I84" s="5" t="n"/>
      <c r="J84" s="5" t="n"/>
      <c r="K84" s="5" t="n">
        <v>94</v>
      </c>
    </row>
    <row r="85">
      <c r="A85" s="2" t="n">
        <v>46100.875</v>
      </c>
      <c r="B85">
        <f>TEXT(A85,"yyyy-mm")</f>
        <v/>
      </c>
      <c r="C85" s="3">
        <f>HOUR(A85)</f>
        <v/>
      </c>
      <c r="D85" s="4" t="n">
        <v>22.46318583523333</v>
      </c>
      <c r="E85" s="4" t="n"/>
      <c r="F85" s="4" t="n"/>
      <c r="G85" s="4" t="n">
        <v>2.7</v>
      </c>
      <c r="H85" s="5" t="n">
        <v>40.76156593691389</v>
      </c>
      <c r="I85" s="5" t="n"/>
      <c r="J85" s="5" t="n"/>
      <c r="K85" s="5" t="n">
        <v>90</v>
      </c>
    </row>
    <row r="86">
      <c r="A86" s="2" t="n">
        <v>46100.91666666666</v>
      </c>
      <c r="B86">
        <f>TEXT(A86,"yyyy-mm")</f>
        <v/>
      </c>
      <c r="C86" s="3">
        <f>HOUR(A86)</f>
        <v/>
      </c>
      <c r="D86" s="4" t="n">
        <v>22.96042643698055</v>
      </c>
      <c r="E86" s="4" t="n"/>
      <c r="F86" s="4" t="n"/>
      <c r="G86" s="4" t="n">
        <v>2.7</v>
      </c>
      <c r="H86" s="5" t="n">
        <v>39.18514227726112</v>
      </c>
      <c r="I86" s="5" t="n"/>
      <c r="J86" s="5" t="n"/>
      <c r="K86" s="5" t="n">
        <v>95</v>
      </c>
    </row>
    <row r="87">
      <c r="A87" s="2" t="n">
        <v>46100.95833333334</v>
      </c>
      <c r="B87">
        <f>TEXT(A87,"yyyy-mm")</f>
        <v/>
      </c>
      <c r="C87" s="3">
        <f>HOUR(A87)</f>
        <v/>
      </c>
      <c r="D87" s="4" t="n">
        <v>23.21830621308611</v>
      </c>
      <c r="E87" s="4" t="n"/>
      <c r="F87" s="4" t="n"/>
      <c r="G87" s="4" t="n">
        <v>1.7</v>
      </c>
      <c r="H87" s="5" t="n">
        <v>38.422722949875</v>
      </c>
      <c r="I87" s="5" t="n"/>
      <c r="J87" s="5" t="n"/>
      <c r="K87" s="5" t="n">
        <v>90</v>
      </c>
    </row>
    <row r="88">
      <c r="A88" s="2" t="n">
        <v>46101</v>
      </c>
      <c r="B88">
        <f>TEXT(A88,"yyyy-mm")</f>
        <v/>
      </c>
      <c r="C88" s="3">
        <f>HOUR(A88)</f>
        <v/>
      </c>
      <c r="D88" s="4" t="n">
        <v>22.94544102131944</v>
      </c>
      <c r="E88" s="4" t="n"/>
      <c r="F88" s="4" t="n"/>
      <c r="G88" s="4" t="n">
        <v>0.9</v>
      </c>
      <c r="H88" s="5" t="n">
        <v>42.87340840623889</v>
      </c>
      <c r="I88" s="5" t="n"/>
      <c r="J88" s="5" t="n"/>
      <c r="K88" s="5" t="n">
        <v>89</v>
      </c>
    </row>
    <row r="89">
      <c r="A89" s="2" t="n">
        <v>46101.04166666666</v>
      </c>
      <c r="B89">
        <f>TEXT(A89,"yyyy-mm")</f>
        <v/>
      </c>
      <c r="C89" s="3">
        <f>HOUR(A89)</f>
        <v/>
      </c>
      <c r="D89" s="4" t="n">
        <v>22.52533264863056</v>
      </c>
      <c r="E89" s="4" t="n"/>
      <c r="F89" s="4" t="n"/>
      <c r="G89" s="4" t="n">
        <v>0.5</v>
      </c>
      <c r="H89" s="5" t="n">
        <v>41.62347826992778</v>
      </c>
      <c r="I89" s="5" t="n"/>
      <c r="J89" s="5" t="n"/>
      <c r="K89" s="5" t="n">
        <v>95</v>
      </c>
    </row>
    <row r="90">
      <c r="A90" s="2" t="n">
        <v>46101.08333333334</v>
      </c>
      <c r="B90">
        <f>TEXT(A90,"yyyy-mm")</f>
        <v/>
      </c>
      <c r="C90" s="3">
        <f>HOUR(A90)</f>
        <v/>
      </c>
      <c r="D90" s="4" t="n">
        <v>22.25446267196667</v>
      </c>
      <c r="E90" s="4" t="n"/>
      <c r="F90" s="4" t="n"/>
      <c r="G90" s="4" t="n">
        <v>1.1</v>
      </c>
      <c r="H90" s="5" t="n">
        <v>40.89950185770278</v>
      </c>
      <c r="I90" s="5" t="n"/>
      <c r="J90" s="5" t="n"/>
      <c r="K90" s="5" t="n">
        <v>95</v>
      </c>
    </row>
    <row r="91">
      <c r="A91" s="2" t="n">
        <v>46101.125</v>
      </c>
      <c r="B91">
        <f>TEXT(A91,"yyyy-mm")</f>
        <v/>
      </c>
      <c r="C91" s="3">
        <f>HOUR(A91)</f>
        <v/>
      </c>
      <c r="D91" s="4" t="n">
        <v>22.0815632012</v>
      </c>
      <c r="E91" s="4" t="n"/>
      <c r="F91" s="4" t="n"/>
      <c r="G91" s="4" t="n">
        <v>0.6</v>
      </c>
      <c r="H91" s="5" t="n">
        <v>40.553023687325</v>
      </c>
      <c r="I91" s="5" t="n"/>
      <c r="J91" s="5" t="n"/>
      <c r="K91" s="5" t="n">
        <v>95</v>
      </c>
    </row>
    <row r="92">
      <c r="A92" s="2" t="n">
        <v>46101.16666666666</v>
      </c>
      <c r="B92">
        <f>TEXT(A92,"yyyy-mm")</f>
        <v/>
      </c>
      <c r="C92" s="3">
        <f>HOUR(A92)</f>
        <v/>
      </c>
      <c r="D92" s="4" t="n">
        <v>21.97186070801667</v>
      </c>
      <c r="E92" s="4" t="n"/>
      <c r="F92" s="4" t="n"/>
      <c r="G92" s="4" t="n">
        <v>0</v>
      </c>
      <c r="H92" s="5" t="n">
        <v>40.54960294014445</v>
      </c>
      <c r="I92" s="5" t="n"/>
      <c r="J92" s="5" t="n"/>
      <c r="K92" s="5" t="n">
        <v>95</v>
      </c>
    </row>
    <row r="93">
      <c r="A93" s="2" t="n">
        <v>46101.20833333334</v>
      </c>
      <c r="B93">
        <f>TEXT(A93,"yyyy-mm")</f>
        <v/>
      </c>
      <c r="C93" s="3">
        <f>HOUR(A93)</f>
        <v/>
      </c>
      <c r="D93" s="4" t="n">
        <v>21.87610533991944</v>
      </c>
      <c r="E93" s="4" t="n"/>
      <c r="F93" s="4" t="n"/>
      <c r="G93" s="4" t="n">
        <v>0.3</v>
      </c>
      <c r="H93" s="5" t="n">
        <v>40.15457899560833</v>
      </c>
      <c r="I93" s="5" t="n"/>
      <c r="J93" s="5" t="n"/>
      <c r="K93" s="5" t="n">
        <v>95</v>
      </c>
    </row>
    <row r="94">
      <c r="A94" s="2" t="n">
        <v>46101.25</v>
      </c>
      <c r="B94">
        <f>TEXT(A94,"yyyy-mm")</f>
        <v/>
      </c>
      <c r="C94" s="3">
        <f>HOUR(A94)</f>
        <v/>
      </c>
      <c r="D94" s="4" t="n">
        <v>21.82098213224722</v>
      </c>
      <c r="E94" s="4" t="n"/>
      <c r="F94" s="4" t="n"/>
      <c r="G94" s="4" t="n">
        <v>0.8</v>
      </c>
      <c r="H94" s="5" t="n">
        <v>40.01162553613611</v>
      </c>
      <c r="I94" s="5" t="n"/>
      <c r="J94" s="5" t="n"/>
      <c r="K94" s="5" t="n">
        <v>95</v>
      </c>
    </row>
    <row r="95">
      <c r="A95" s="2" t="n">
        <v>46101.29166666666</v>
      </c>
      <c r="B95">
        <f>TEXT(A95,"yyyy-mm")</f>
        <v/>
      </c>
      <c r="C95" s="3">
        <f>HOUR(A95)</f>
        <v/>
      </c>
      <c r="D95" s="4" t="n">
        <v>21.77416487438333</v>
      </c>
      <c r="E95" s="4" t="n"/>
      <c r="F95" s="4" t="n"/>
      <c r="G95" s="4" t="n">
        <v>1.8</v>
      </c>
      <c r="H95" s="5" t="n">
        <v>39.614708573075</v>
      </c>
      <c r="I95" s="5" t="n"/>
      <c r="J95" s="5" t="n"/>
      <c r="K95" s="5" t="n">
        <v>94</v>
      </c>
    </row>
    <row r="96">
      <c r="A96" s="2" t="n">
        <v>46101.33333333334</v>
      </c>
      <c r="B96">
        <f>TEXT(A96,"yyyy-mm")</f>
        <v/>
      </c>
      <c r="C96" s="3">
        <f>HOUR(A96)</f>
        <v/>
      </c>
      <c r="D96" s="4" t="n">
        <v>21.72740665338056</v>
      </c>
      <c r="E96" s="4" t="n"/>
      <c r="F96" s="4" t="n"/>
      <c r="G96" s="4" t="n">
        <v>2.2</v>
      </c>
      <c r="H96" s="5" t="n">
        <v>39.35102711617222</v>
      </c>
      <c r="I96" s="5" t="n"/>
      <c r="J96" s="5" t="n"/>
      <c r="K96" s="5" t="n">
        <v>95</v>
      </c>
    </row>
    <row r="97">
      <c r="A97" s="2" t="n">
        <v>46101.375</v>
      </c>
      <c r="B97">
        <f>TEXT(A97,"yyyy-mm")</f>
        <v/>
      </c>
      <c r="C97" s="3">
        <f>HOUR(A97)</f>
        <v/>
      </c>
      <c r="D97" s="4" t="n">
        <v>21.89850977550556</v>
      </c>
      <c r="E97" s="4" t="n"/>
      <c r="F97" s="4" t="n"/>
      <c r="G97" s="4" t="n">
        <v>3.9</v>
      </c>
      <c r="H97" s="5" t="n">
        <v>43.59488728843888</v>
      </c>
      <c r="I97" s="5" t="n"/>
      <c r="J97" s="5" t="n"/>
      <c r="K97" s="5" t="n">
        <v>91</v>
      </c>
    </row>
    <row r="98">
      <c r="A98" s="2" t="n">
        <v>46101.41666666666</v>
      </c>
      <c r="B98">
        <f>TEXT(A98,"yyyy-mm")</f>
        <v/>
      </c>
      <c r="C98" s="3">
        <f>HOUR(A98)</f>
        <v/>
      </c>
      <c r="D98" s="4" t="n">
        <v>22.07120558038056</v>
      </c>
      <c r="E98" s="4" t="n"/>
      <c r="F98" s="4" t="n"/>
      <c r="G98" s="4" t="n">
        <v>4.4</v>
      </c>
      <c r="H98" s="5" t="n">
        <v>42.05105336308333</v>
      </c>
      <c r="I98" s="5" t="n"/>
      <c r="J98" s="5" t="n"/>
      <c r="K98" s="5" t="n">
        <v>88</v>
      </c>
    </row>
    <row r="99">
      <c r="A99" s="2" t="n">
        <v>46101.45833333334</v>
      </c>
      <c r="B99">
        <f>TEXT(A99,"yyyy-mm")</f>
        <v/>
      </c>
      <c r="C99" s="3">
        <f>HOUR(A99)</f>
        <v/>
      </c>
      <c r="D99" s="4" t="n">
        <v>22.29812205833889</v>
      </c>
      <c r="E99" s="4" t="n"/>
      <c r="F99" s="4" t="n"/>
      <c r="G99" s="4" t="n">
        <v>5</v>
      </c>
      <c r="H99" s="5" t="n">
        <v>39.63699742588612</v>
      </c>
      <c r="I99" s="5" t="n"/>
      <c r="J99" s="5" t="n"/>
      <c r="K99" s="5" t="n">
        <v>84</v>
      </c>
    </row>
    <row r="100">
      <c r="A100" s="2" t="n">
        <v>46101.5</v>
      </c>
      <c r="B100">
        <f>TEXT(A100,"yyyy-mm")</f>
        <v/>
      </c>
      <c r="C100" s="3">
        <f>HOUR(A100)</f>
        <v/>
      </c>
      <c r="D100" s="4" t="n">
        <v>22.57493560140556</v>
      </c>
      <c r="E100" s="4" t="n"/>
      <c r="F100" s="4" t="n"/>
      <c r="G100" s="4" t="n">
        <v>5.8</v>
      </c>
      <c r="H100" s="5" t="n">
        <v>38.61648488113334</v>
      </c>
      <c r="I100" s="5" t="n"/>
      <c r="J100" s="5" t="n"/>
      <c r="K100" s="5" t="n">
        <v>83</v>
      </c>
    </row>
    <row r="101">
      <c r="A101" s="2" t="n">
        <v>46101.54166666666</v>
      </c>
      <c r="B101">
        <f>TEXT(A101,"yyyy-mm")</f>
        <v/>
      </c>
      <c r="C101" s="3">
        <f>HOUR(A101)</f>
        <v/>
      </c>
      <c r="D101" s="4" t="n">
        <v>22.75281692086945</v>
      </c>
      <c r="E101" s="4" t="n"/>
      <c r="F101" s="4" t="n"/>
      <c r="G101" s="4" t="n">
        <v>5.5</v>
      </c>
      <c r="H101" s="5" t="n">
        <v>37.88782572779167</v>
      </c>
      <c r="I101" s="5" t="n"/>
      <c r="J101" s="5" t="n"/>
      <c r="K101" s="5" t="n">
        <v>84</v>
      </c>
    </row>
    <row r="102">
      <c r="A102" s="2" t="n">
        <v>46101.58333333334</v>
      </c>
      <c r="B102">
        <f>TEXT(A102,"yyyy-mm")</f>
        <v/>
      </c>
      <c r="C102" s="3">
        <f>HOUR(A102)</f>
        <v/>
      </c>
      <c r="D102" s="4" t="n">
        <v>22.80152024825</v>
      </c>
      <c r="E102" s="4" t="n"/>
      <c r="F102" s="4" t="n"/>
      <c r="G102" s="4" t="n">
        <v>7</v>
      </c>
      <c r="H102" s="5" t="n">
        <v>38.14542690933889</v>
      </c>
      <c r="I102" s="5" t="n"/>
      <c r="J102" s="5" t="n"/>
      <c r="K102" s="5" t="n">
        <v>80</v>
      </c>
    </row>
    <row r="103">
      <c r="A103" s="2" t="n">
        <v>46101.625</v>
      </c>
      <c r="B103">
        <f>TEXT(A103,"yyyy-mm")</f>
        <v/>
      </c>
      <c r="C103" s="3">
        <f>HOUR(A103)</f>
        <v/>
      </c>
      <c r="D103" s="4" t="n">
        <v>22.846194092275</v>
      </c>
      <c r="E103" s="4" t="n"/>
      <c r="F103" s="4" t="n"/>
      <c r="G103" s="4" t="n">
        <v>7.3</v>
      </c>
      <c r="H103" s="5" t="n">
        <v>38.35868798805834</v>
      </c>
      <c r="I103" s="5" t="n"/>
      <c r="J103" s="5" t="n"/>
      <c r="K103" s="5" t="n">
        <v>79</v>
      </c>
    </row>
    <row r="104">
      <c r="A104" s="2" t="n">
        <v>46101.66666666666</v>
      </c>
      <c r="B104">
        <f>TEXT(A104,"yyyy-mm")</f>
        <v/>
      </c>
      <c r="C104" s="3">
        <f>HOUR(A104)</f>
        <v/>
      </c>
      <c r="D104" s="4" t="n">
        <v>22.63641067982222</v>
      </c>
      <c r="E104" s="4" t="n"/>
      <c r="F104" s="4" t="n"/>
      <c r="G104" s="4" t="n">
        <v>7.1</v>
      </c>
      <c r="H104" s="5" t="n">
        <v>38.64194191801111</v>
      </c>
      <c r="I104" s="5" t="n"/>
      <c r="J104" s="5" t="n"/>
      <c r="K104" s="5" t="n">
        <v>80</v>
      </c>
    </row>
    <row r="105">
      <c r="A105" s="2" t="n">
        <v>46101.70833333334</v>
      </c>
      <c r="B105">
        <f>TEXT(A105,"yyyy-mm")</f>
        <v/>
      </c>
      <c r="C105" s="3">
        <f>HOUR(A105)</f>
        <v/>
      </c>
      <c r="D105" s="4" t="n">
        <v>22.48022983310278</v>
      </c>
      <c r="E105" s="4" t="n"/>
      <c r="F105" s="4" t="n"/>
      <c r="G105" s="4" t="n">
        <v>6.3</v>
      </c>
      <c r="H105" s="5" t="n">
        <v>39.68262276515278</v>
      </c>
      <c r="I105" s="5" t="n"/>
      <c r="J105" s="5" t="n"/>
      <c r="K105" s="5" t="n">
        <v>81</v>
      </c>
    </row>
    <row r="106">
      <c r="A106" s="2" t="n">
        <v>46101.75</v>
      </c>
      <c r="B106">
        <f>TEXT(A106,"yyyy-mm")</f>
        <v/>
      </c>
      <c r="C106" s="3">
        <f>HOUR(A106)</f>
        <v/>
      </c>
      <c r="D106" s="4" t="n">
        <v>22.47992120428333</v>
      </c>
      <c r="E106" s="4" t="n"/>
      <c r="F106" s="4" t="n"/>
      <c r="G106" s="4" t="n">
        <v>5.2</v>
      </c>
      <c r="H106" s="5" t="n">
        <v>39.778828441975</v>
      </c>
      <c r="I106" s="5" t="n"/>
      <c r="J106" s="5" t="n"/>
      <c r="K106" s="5" t="n">
        <v>84</v>
      </c>
    </row>
    <row r="107">
      <c r="A107" s="2" t="n">
        <v>46101.79166666666</v>
      </c>
      <c r="B107">
        <f>TEXT(A107,"yyyy-mm")</f>
        <v/>
      </c>
      <c r="C107" s="3">
        <f>HOUR(A107)</f>
        <v/>
      </c>
      <c r="D107" s="4" t="n">
        <v>22.46956903596111</v>
      </c>
      <c r="E107" s="4" t="n"/>
      <c r="F107" s="4" t="n"/>
      <c r="G107" s="4" t="n">
        <v>4.9</v>
      </c>
      <c r="H107" s="5" t="n">
        <v>39.70472835621389</v>
      </c>
      <c r="I107" s="5" t="n"/>
      <c r="J107" s="5" t="n"/>
      <c r="K107" s="5" t="n">
        <v>84</v>
      </c>
    </row>
    <row r="108">
      <c r="A108" s="2" t="n">
        <v>46101.83333333334</v>
      </c>
      <c r="B108">
        <f>TEXT(A108,"yyyy-mm")</f>
        <v/>
      </c>
      <c r="C108" s="3">
        <f>HOUR(A108)</f>
        <v/>
      </c>
      <c r="D108" s="4" t="n">
        <v>22.43415491167222</v>
      </c>
      <c r="E108" s="4" t="n"/>
      <c r="F108" s="4" t="n"/>
      <c r="G108" s="4" t="n">
        <v>5.2</v>
      </c>
      <c r="H108" s="5" t="n">
        <v>46.08532132730556</v>
      </c>
      <c r="I108" s="5" t="n"/>
      <c r="J108" s="5" t="n"/>
      <c r="K108" s="5" t="n">
        <v>84</v>
      </c>
    </row>
    <row r="109">
      <c r="A109" s="2" t="n">
        <v>46101.875</v>
      </c>
      <c r="B109">
        <f>TEXT(A109,"yyyy-mm")</f>
        <v/>
      </c>
      <c r="C109" s="3">
        <f>HOUR(A109)</f>
        <v/>
      </c>
      <c r="D109" s="4" t="n">
        <v>22.84989019816389</v>
      </c>
      <c r="E109" s="4" t="n"/>
      <c r="F109" s="4" t="n"/>
      <c r="G109" s="4" t="n">
        <v>5</v>
      </c>
      <c r="H109" s="5" t="n">
        <v>47.68969652498888</v>
      </c>
      <c r="I109" s="5" t="n"/>
      <c r="J109" s="5" t="n"/>
      <c r="K109" s="5" t="n">
        <v>82</v>
      </c>
    </row>
    <row r="110">
      <c r="A110" s="2" t="n">
        <v>46101.91666666666</v>
      </c>
      <c r="B110">
        <f>TEXT(A110,"yyyy-mm")</f>
        <v/>
      </c>
      <c r="C110" s="3">
        <f>HOUR(A110)</f>
        <v/>
      </c>
      <c r="D110" s="4" t="n">
        <v>22.77054658540278</v>
      </c>
      <c r="E110" s="4" t="n"/>
      <c r="F110" s="4" t="n"/>
      <c r="G110" s="4" t="n">
        <v>4.6</v>
      </c>
      <c r="H110" s="5" t="n">
        <v>47.07376114704721</v>
      </c>
      <c r="I110" s="5" t="n"/>
      <c r="J110" s="5" t="n"/>
      <c r="K110" s="5" t="n">
        <v>83</v>
      </c>
    </row>
    <row r="111">
      <c r="A111" s="2" t="n">
        <v>46101.95833333334</v>
      </c>
      <c r="B111">
        <f>TEXT(A111,"yyyy-mm")</f>
        <v/>
      </c>
      <c r="C111" s="3">
        <f>HOUR(A111)</f>
        <v/>
      </c>
      <c r="D111" s="4" t="n">
        <v>22.93804899379722</v>
      </c>
      <c r="E111" s="4" t="n"/>
      <c r="F111" s="4" t="n"/>
      <c r="G111" s="4" t="n">
        <v>4.1</v>
      </c>
      <c r="H111" s="5" t="n">
        <v>46.65976832374167</v>
      </c>
      <c r="I111" s="5" t="n"/>
      <c r="J111" s="5" t="n"/>
      <c r="K111" s="5" t="n">
        <v>83</v>
      </c>
    </row>
    <row r="112">
      <c r="A112" s="2" t="n">
        <v>46102</v>
      </c>
      <c r="B112">
        <f>TEXT(A112,"yyyy-mm")</f>
        <v/>
      </c>
      <c r="C112" s="3">
        <f>HOUR(A112)</f>
        <v/>
      </c>
      <c r="D112" s="4" t="n">
        <v>22.91979173775</v>
      </c>
      <c r="E112" s="4" t="n"/>
      <c r="F112" s="4" t="n"/>
      <c r="G112" s="4" t="n">
        <v>3.8</v>
      </c>
      <c r="H112" s="5" t="n">
        <v>45.47090366619445</v>
      </c>
      <c r="I112" s="5" t="n"/>
      <c r="J112" s="5" t="n"/>
      <c r="K112" s="5" t="n">
        <v>84</v>
      </c>
    </row>
    <row r="113">
      <c r="A113" s="2" t="n">
        <v>46102.04166666666</v>
      </c>
      <c r="B113">
        <f>TEXT(A113,"yyyy-mm")</f>
        <v/>
      </c>
      <c r="C113" s="3">
        <f>HOUR(A113)</f>
        <v/>
      </c>
      <c r="D113" s="4" t="n">
        <v>22.36819589345278</v>
      </c>
      <c r="E113" s="4" t="n"/>
      <c r="F113" s="4" t="n"/>
      <c r="G113" s="4" t="n">
        <v>3.8</v>
      </c>
      <c r="H113" s="5" t="n">
        <v>45.26592177256112</v>
      </c>
      <c r="I113" s="5" t="n"/>
      <c r="J113" s="5" t="n"/>
      <c r="K113" s="5" t="n">
        <v>83</v>
      </c>
    </row>
    <row r="114">
      <c r="A114" s="2" t="n">
        <v>46102.08333333334</v>
      </c>
      <c r="B114">
        <f>TEXT(A114,"yyyy-mm")</f>
        <v/>
      </c>
      <c r="C114" s="3">
        <f>HOUR(A114)</f>
        <v/>
      </c>
      <c r="D114" s="4" t="n">
        <v>22.06340441732222</v>
      </c>
      <c r="E114" s="4" t="n"/>
      <c r="F114" s="4" t="n"/>
      <c r="G114" s="4" t="n">
        <v>3</v>
      </c>
      <c r="H114" s="5" t="n">
        <v>44.12001147390279</v>
      </c>
      <c r="I114" s="5" t="n"/>
      <c r="J114" s="5" t="n"/>
      <c r="K114" s="5" t="n">
        <v>86</v>
      </c>
    </row>
    <row r="115">
      <c r="A115" s="2" t="n">
        <v>46102.125</v>
      </c>
      <c r="B115">
        <f>TEXT(A115,"yyyy-mm")</f>
        <v/>
      </c>
      <c r="C115" s="3">
        <f>HOUR(A115)</f>
        <v/>
      </c>
      <c r="D115" s="4" t="n">
        <v>21.8855573764</v>
      </c>
      <c r="E115" s="4" t="n"/>
      <c r="F115" s="4" t="n"/>
      <c r="G115" s="4" t="n">
        <v>2.9</v>
      </c>
      <c r="H115" s="5" t="n">
        <v>43.12327929166111</v>
      </c>
      <c r="I115" s="5" t="n"/>
      <c r="J115" s="5" t="n"/>
      <c r="K115" s="5" t="n">
        <v>87</v>
      </c>
    </row>
    <row r="116">
      <c r="A116" s="2" t="n">
        <v>46102.16666666666</v>
      </c>
      <c r="B116">
        <f>TEXT(A116,"yyyy-mm")</f>
        <v/>
      </c>
      <c r="C116" s="3">
        <f>HOUR(A116)</f>
        <v/>
      </c>
      <c r="D116" s="4" t="n">
        <v>21.74857144685833</v>
      </c>
      <c r="E116" s="4" t="n"/>
      <c r="F116" s="4" t="n"/>
      <c r="G116" s="4" t="n">
        <v>2.7</v>
      </c>
      <c r="H116" s="5" t="n">
        <v>42.34253118730278</v>
      </c>
      <c r="I116" s="5" t="n"/>
      <c r="J116" s="5" t="n"/>
      <c r="K116" s="5" t="n">
        <v>88</v>
      </c>
    </row>
    <row r="117">
      <c r="A117" s="2" t="n">
        <v>46102.20833333334</v>
      </c>
      <c r="B117">
        <f>TEXT(A117,"yyyy-mm")</f>
        <v/>
      </c>
      <c r="C117" s="3">
        <f>HOUR(A117)</f>
        <v/>
      </c>
      <c r="D117" s="4" t="n">
        <v>21.65177658543611</v>
      </c>
      <c r="E117" s="4" t="n"/>
      <c r="F117" s="4" t="n"/>
      <c r="G117" s="4" t="n">
        <v>2.3</v>
      </c>
      <c r="H117" s="5" t="n">
        <v>41.9261995316</v>
      </c>
      <c r="I117" s="5" t="n"/>
      <c r="J117" s="5" t="n"/>
      <c r="K117" s="5" t="n">
        <v>88</v>
      </c>
    </row>
    <row r="118">
      <c r="A118" s="2" t="n">
        <v>46102.25</v>
      </c>
      <c r="B118">
        <f>TEXT(A118,"yyyy-mm")</f>
        <v/>
      </c>
      <c r="C118" s="3">
        <f>HOUR(A118)</f>
        <v/>
      </c>
      <c r="D118" s="4" t="n">
        <v>21.60761634993889</v>
      </c>
      <c r="E118" s="4" t="n"/>
      <c r="F118" s="4" t="n"/>
      <c r="G118" s="4" t="n">
        <v>2.2</v>
      </c>
      <c r="H118" s="5" t="n">
        <v>41.33600946803611</v>
      </c>
      <c r="I118" s="5" t="n"/>
      <c r="J118" s="5" t="n"/>
      <c r="K118" s="5" t="n">
        <v>86</v>
      </c>
    </row>
    <row r="119">
      <c r="A119" s="2" t="n">
        <v>46102.29166666666</v>
      </c>
      <c r="B119">
        <f>TEXT(A119,"yyyy-mm")</f>
        <v/>
      </c>
      <c r="C119" s="3">
        <f>HOUR(A119)</f>
        <v/>
      </c>
      <c r="D119" s="4" t="n">
        <v>21.69958148178611</v>
      </c>
      <c r="E119" s="4" t="n"/>
      <c r="F119" s="4" t="n"/>
      <c r="G119" s="4" t="n">
        <v>2.5</v>
      </c>
      <c r="H119" s="5" t="n">
        <v>40.41773395685278</v>
      </c>
      <c r="I119" s="5" t="n"/>
      <c r="J119" s="5" t="n"/>
      <c r="K119" s="5" t="n">
        <v>82</v>
      </c>
    </row>
    <row r="120">
      <c r="A120" s="2" t="n">
        <v>46102.33333333334</v>
      </c>
      <c r="B120">
        <f>TEXT(A120,"yyyy-mm")</f>
        <v/>
      </c>
      <c r="C120" s="3">
        <f>HOUR(A120)</f>
        <v/>
      </c>
      <c r="D120" s="4" t="n">
        <v>22.44061725965278</v>
      </c>
      <c r="E120" s="4" t="n"/>
      <c r="F120" s="4" t="n"/>
      <c r="G120" s="4" t="n">
        <v>2.4</v>
      </c>
      <c r="H120" s="5" t="n">
        <v>39.30559076871389</v>
      </c>
      <c r="I120" s="5" t="n"/>
      <c r="J120" s="5" t="n"/>
      <c r="K120" s="5" t="n">
        <v>84</v>
      </c>
    </row>
    <row r="121">
      <c r="A121" s="2" t="n">
        <v>46102.375</v>
      </c>
      <c r="B121">
        <f>TEXT(A121,"yyyy-mm")</f>
        <v/>
      </c>
      <c r="C121" s="3">
        <f>HOUR(A121)</f>
        <v/>
      </c>
      <c r="D121" s="4" t="n">
        <v>23.29244751382222</v>
      </c>
      <c r="E121" s="4" t="n"/>
      <c r="F121" s="4" t="n"/>
      <c r="G121" s="4" t="n">
        <v>4.4</v>
      </c>
      <c r="H121" s="5" t="n">
        <v>38.93268276722223</v>
      </c>
      <c r="I121" s="5" t="n"/>
      <c r="J121" s="5" t="n"/>
      <c r="K121" s="5" t="n">
        <v>76</v>
      </c>
    </row>
    <row r="122">
      <c r="A122" s="2" t="n">
        <v>46102.41666666666</v>
      </c>
      <c r="B122">
        <f>TEXT(A122,"yyyy-mm")</f>
        <v/>
      </c>
      <c r="C122" s="3">
        <f>HOUR(A122)</f>
        <v/>
      </c>
      <c r="D122" s="4" t="n">
        <v>23.23375362844167</v>
      </c>
      <c r="E122" s="4" t="n"/>
      <c r="F122" s="4" t="n"/>
      <c r="G122" s="4" t="n">
        <v>6.6</v>
      </c>
      <c r="H122" s="5" t="n">
        <v>40.20169357722222</v>
      </c>
      <c r="I122" s="5" t="n"/>
      <c r="J122" s="5" t="n"/>
      <c r="K122" s="5" t="n">
        <v>66</v>
      </c>
    </row>
    <row r="123">
      <c r="A123" s="2" t="n">
        <v>46102.45833333334</v>
      </c>
      <c r="B123">
        <f>TEXT(A123,"yyyy-mm")</f>
        <v/>
      </c>
      <c r="C123" s="3">
        <f>HOUR(A123)</f>
        <v/>
      </c>
      <c r="D123" s="4" t="n">
        <v>23.22177583378055</v>
      </c>
      <c r="E123" s="4" t="n"/>
      <c r="F123" s="4" t="n"/>
      <c r="G123" s="4" t="n">
        <v>8.199999999999999</v>
      </c>
      <c r="H123" s="5" t="n">
        <v>39.82001411101388</v>
      </c>
      <c r="I123" s="5" t="n"/>
      <c r="J123" s="5" t="n"/>
      <c r="K123" s="5" t="n">
        <v>59</v>
      </c>
    </row>
    <row r="124">
      <c r="A124" s="2" t="n">
        <v>46102.5</v>
      </c>
      <c r="B124">
        <f>TEXT(A124,"yyyy-mm")</f>
        <v/>
      </c>
      <c r="C124" s="3">
        <f>HOUR(A124)</f>
        <v/>
      </c>
      <c r="D124" s="4" t="n">
        <v>23.05187345485</v>
      </c>
      <c r="E124" s="4" t="n"/>
      <c r="F124" s="4" t="n"/>
      <c r="G124" s="4" t="n">
        <v>9.199999999999999</v>
      </c>
      <c r="H124" s="5" t="n">
        <v>38.40329831677778</v>
      </c>
      <c r="I124" s="5" t="n"/>
      <c r="J124" s="5" t="n"/>
      <c r="K124" s="5" t="n">
        <v>54</v>
      </c>
    </row>
    <row r="125">
      <c r="A125" s="2" t="n">
        <v>46102.54166666666</v>
      </c>
      <c r="B125">
        <f>TEXT(A125,"yyyy-mm")</f>
        <v/>
      </c>
      <c r="C125" s="3">
        <f>HOUR(A125)</f>
        <v/>
      </c>
      <c r="D125" s="4" t="n">
        <v>22.80692182568333</v>
      </c>
      <c r="E125" s="4" t="n"/>
      <c r="F125" s="4" t="n"/>
      <c r="G125" s="4" t="n">
        <v>9.9</v>
      </c>
      <c r="H125" s="5" t="n">
        <v>38.69076603441111</v>
      </c>
      <c r="I125" s="5" t="n"/>
      <c r="J125" s="5" t="n"/>
      <c r="K125" s="5" t="n">
        <v>51</v>
      </c>
    </row>
    <row r="126">
      <c r="A126" s="2" t="n">
        <v>46102.58333333334</v>
      </c>
      <c r="B126">
        <f>TEXT(A126,"yyyy-mm")</f>
        <v/>
      </c>
      <c r="C126" s="3">
        <f>HOUR(A126)</f>
        <v/>
      </c>
      <c r="D126" s="4" t="n">
        <v>23.00509497163334</v>
      </c>
      <c r="E126" s="4" t="n"/>
      <c r="F126" s="4" t="n"/>
      <c r="G126" s="4" t="n">
        <v>10.4</v>
      </c>
      <c r="H126" s="5" t="n">
        <v>40.56377263128334</v>
      </c>
      <c r="I126" s="5" t="n"/>
      <c r="J126" s="5" t="n"/>
      <c r="K126" s="5" t="n">
        <v>49</v>
      </c>
    </row>
    <row r="127">
      <c r="A127" s="2" t="n">
        <v>46102.625</v>
      </c>
      <c r="B127">
        <f>TEXT(A127,"yyyy-mm")</f>
        <v/>
      </c>
      <c r="C127" s="3">
        <f>HOUR(A127)</f>
        <v/>
      </c>
      <c r="D127" s="4" t="n">
        <v>23.08781759788333</v>
      </c>
      <c r="E127" s="4" t="n"/>
      <c r="F127" s="4" t="n"/>
      <c r="G127" s="4" t="n">
        <v>10.3</v>
      </c>
      <c r="H127" s="5" t="n">
        <v>39.75581695483056</v>
      </c>
      <c r="I127" s="5" t="n"/>
      <c r="J127" s="5" t="n"/>
      <c r="K127" s="5" t="n">
        <v>49</v>
      </c>
    </row>
    <row r="128">
      <c r="A128" s="2" t="n">
        <v>46102.66666666666</v>
      </c>
      <c r="B128">
        <f>TEXT(A128,"yyyy-mm")</f>
        <v/>
      </c>
      <c r="C128" s="3">
        <f>HOUR(A128)</f>
        <v/>
      </c>
      <c r="D128" s="4" t="n">
        <v>22.90222879533333</v>
      </c>
      <c r="E128" s="4" t="n"/>
      <c r="F128" s="4" t="n"/>
      <c r="G128" s="4" t="n">
        <v>9.699999999999999</v>
      </c>
      <c r="H128" s="5" t="n">
        <v>39.14792970170833</v>
      </c>
      <c r="I128" s="5" t="n"/>
      <c r="J128" s="5" t="n"/>
      <c r="K128" s="5" t="n">
        <v>51</v>
      </c>
    </row>
    <row r="129">
      <c r="A129" s="2" t="n">
        <v>46102.70833333334</v>
      </c>
      <c r="B129">
        <f>TEXT(A129,"yyyy-mm")</f>
        <v/>
      </c>
      <c r="C129" s="3">
        <f>HOUR(A129)</f>
        <v/>
      </c>
      <c r="D129" s="4" t="n">
        <v>22.671433770725</v>
      </c>
      <c r="E129" s="4" t="n"/>
      <c r="F129" s="4" t="n"/>
      <c r="G129" s="4" t="n">
        <v>8.4</v>
      </c>
      <c r="H129" s="5" t="n">
        <v>39.14025886647778</v>
      </c>
      <c r="I129" s="5" t="n"/>
      <c r="J129" s="5" t="n"/>
      <c r="K129" s="5" t="n">
        <v>57</v>
      </c>
    </row>
    <row r="130">
      <c r="A130" s="2" t="n">
        <v>46102.75</v>
      </c>
      <c r="B130">
        <f>TEXT(A130,"yyyy-mm")</f>
        <v/>
      </c>
      <c r="C130" s="3">
        <f>HOUR(A130)</f>
        <v/>
      </c>
      <c r="D130" s="4" t="n">
        <v>22.49726942556111</v>
      </c>
      <c r="E130" s="4" t="n"/>
      <c r="F130" s="4" t="n"/>
      <c r="G130" s="4" t="n">
        <v>6.5</v>
      </c>
      <c r="H130" s="5" t="n">
        <v>40.19949186256389</v>
      </c>
      <c r="I130" s="5" t="n"/>
      <c r="J130" s="5" t="n"/>
      <c r="K130" s="5" t="n">
        <v>63</v>
      </c>
    </row>
    <row r="131">
      <c r="A131" s="2" t="n">
        <v>46102.79166666666</v>
      </c>
      <c r="B131">
        <f>TEXT(A131,"yyyy-mm")</f>
        <v/>
      </c>
      <c r="C131" s="3">
        <f>HOUR(A131)</f>
        <v/>
      </c>
      <c r="D131" s="4" t="n">
        <v>22.35058846429166</v>
      </c>
      <c r="E131" s="4" t="n"/>
      <c r="F131" s="4" t="n"/>
      <c r="G131" s="4" t="n">
        <v>5</v>
      </c>
      <c r="H131" s="5" t="n">
        <v>40.11946218188888</v>
      </c>
      <c r="I131" s="5" t="n"/>
      <c r="J131" s="5" t="n"/>
      <c r="K131" s="5" t="n">
        <v>67</v>
      </c>
    </row>
    <row r="132">
      <c r="A132" s="2" t="n">
        <v>46102.83333333334</v>
      </c>
      <c r="B132">
        <f>TEXT(A132,"yyyy-mm")</f>
        <v/>
      </c>
      <c r="C132" s="3">
        <f>HOUR(A132)</f>
        <v/>
      </c>
      <c r="D132" s="4" t="n">
        <v>22.329693627325</v>
      </c>
      <c r="E132" s="4" t="n"/>
      <c r="F132" s="4" t="n"/>
      <c r="G132" s="4" t="n">
        <v>4.5</v>
      </c>
      <c r="H132" s="5" t="n">
        <v>39.68975140513056</v>
      </c>
      <c r="I132" s="5" t="n"/>
      <c r="J132" s="5" t="n"/>
      <c r="K132" s="5" t="n">
        <v>71</v>
      </c>
    </row>
    <row r="133">
      <c r="A133" s="2" t="n">
        <v>46102.875</v>
      </c>
      <c r="B133">
        <f>TEXT(A133,"yyyy-mm")</f>
        <v/>
      </c>
      <c r="C133" s="3">
        <f>HOUR(A133)</f>
        <v/>
      </c>
      <c r="D133" s="4" t="n">
        <v>22.33117246884722</v>
      </c>
      <c r="E133" s="4" t="n"/>
      <c r="F133" s="4" t="n"/>
      <c r="G133" s="4" t="n">
        <v>3.7</v>
      </c>
      <c r="H133" s="5" t="n">
        <v>39.66496632856944</v>
      </c>
      <c r="I133" s="5" t="n"/>
      <c r="J133" s="5" t="n"/>
      <c r="K133" s="5" t="n">
        <v>75</v>
      </c>
    </row>
    <row r="134">
      <c r="A134" s="2" t="n">
        <v>46102.91666666666</v>
      </c>
      <c r="B134">
        <f>TEXT(A134,"yyyy-mm")</f>
        <v/>
      </c>
      <c r="C134" s="3">
        <f>HOUR(A134)</f>
        <v/>
      </c>
      <c r="D134" s="4" t="n">
        <v>22.43208898163612</v>
      </c>
      <c r="E134" s="4" t="n"/>
      <c r="F134" s="4" t="n"/>
      <c r="G134" s="4" t="n">
        <v>3</v>
      </c>
      <c r="H134" s="5" t="n">
        <v>40.67821215706667</v>
      </c>
      <c r="I134" s="5" t="n"/>
      <c r="J134" s="5" t="n"/>
      <c r="K134" s="5" t="n">
        <v>80</v>
      </c>
    </row>
    <row r="135">
      <c r="A135" s="2" t="n">
        <v>46102.95833333334</v>
      </c>
      <c r="B135">
        <f>TEXT(A135,"yyyy-mm")</f>
        <v/>
      </c>
      <c r="C135" s="3">
        <f>HOUR(A135)</f>
        <v/>
      </c>
      <c r="D135" s="4" t="n">
        <v>22.35931469293333</v>
      </c>
      <c r="E135" s="4" t="n"/>
      <c r="F135" s="4" t="n"/>
      <c r="G135" s="4" t="n">
        <v>2.2</v>
      </c>
      <c r="H135" s="5" t="n">
        <v>41.56068665208611</v>
      </c>
      <c r="I135" s="5" t="n"/>
      <c r="J135" s="5" t="n"/>
      <c r="K135" s="5" t="n">
        <v>84</v>
      </c>
    </row>
    <row r="136">
      <c r="A136" s="2" t="n">
        <v>46103</v>
      </c>
      <c r="B136">
        <f>TEXT(A136,"yyyy-mm")</f>
        <v/>
      </c>
      <c r="C136" s="3">
        <f>HOUR(A136)</f>
        <v/>
      </c>
      <c r="D136" s="4" t="n">
        <v>22.16044010723056</v>
      </c>
      <c r="E136" s="4" t="n"/>
      <c r="F136" s="4" t="n"/>
      <c r="G136" s="4" t="n">
        <v>1.4</v>
      </c>
      <c r="H136" s="5" t="n">
        <v>43.403881212025</v>
      </c>
      <c r="I136" s="5" t="n"/>
      <c r="J136" s="5" t="n"/>
      <c r="K136" s="5" t="n">
        <v>87</v>
      </c>
    </row>
    <row r="137">
      <c r="A137" s="2" t="n">
        <v>46103.04166666666</v>
      </c>
      <c r="B137">
        <f>TEXT(A137,"yyyy-mm")</f>
        <v/>
      </c>
      <c r="C137" s="3">
        <f>HOUR(A137)</f>
        <v/>
      </c>
      <c r="D137" s="4" t="n">
        <v>22.00303190372222</v>
      </c>
      <c r="E137" s="4" t="n"/>
      <c r="F137" s="4" t="n"/>
      <c r="G137" s="4" t="n">
        <v>0.6</v>
      </c>
      <c r="H137" s="5" t="n">
        <v>41.56925028378889</v>
      </c>
      <c r="I137" s="5" t="n"/>
      <c r="J137" s="5" t="n"/>
      <c r="K137" s="5" t="n">
        <v>89</v>
      </c>
    </row>
    <row r="138">
      <c r="A138" s="2" t="n">
        <v>46103.08333333334</v>
      </c>
      <c r="B138">
        <f>TEXT(A138,"yyyy-mm")</f>
        <v/>
      </c>
      <c r="C138" s="3">
        <f>HOUR(A138)</f>
        <v/>
      </c>
      <c r="D138" s="4" t="n">
        <v>21.84102649814722</v>
      </c>
      <c r="E138" s="4" t="n"/>
      <c r="F138" s="4" t="n"/>
      <c r="G138" s="4" t="n">
        <v>0.3</v>
      </c>
      <c r="H138" s="5" t="n">
        <v>39.56586386711667</v>
      </c>
      <c r="I138" s="5" t="n"/>
      <c r="J138" s="5" t="n"/>
      <c r="K138" s="5" t="n">
        <v>89</v>
      </c>
    </row>
    <row r="139">
      <c r="A139" s="2" t="n">
        <v>46103.125</v>
      </c>
      <c r="B139">
        <f>TEXT(A139,"yyyy-mm")</f>
        <v/>
      </c>
      <c r="C139" s="3">
        <f>HOUR(A139)</f>
        <v/>
      </c>
      <c r="D139" s="4" t="n">
        <v>21.74324941694723</v>
      </c>
      <c r="E139" s="4" t="n"/>
      <c r="F139" s="4" t="n"/>
      <c r="G139" s="4" t="n">
        <v>-0.2</v>
      </c>
      <c r="H139" s="5" t="n">
        <v>38.33300861241111</v>
      </c>
      <c r="I139" s="5" t="n"/>
      <c r="J139" s="5" t="n"/>
      <c r="K139" s="5" t="n">
        <v>90</v>
      </c>
    </row>
    <row r="140">
      <c r="A140" s="2" t="n">
        <v>46103.16666666666</v>
      </c>
      <c r="B140">
        <f>TEXT(A140,"yyyy-mm")</f>
        <v/>
      </c>
      <c r="C140" s="3">
        <f>HOUR(A140)</f>
        <v/>
      </c>
      <c r="D140" s="4" t="n">
        <v>21.63926126305556</v>
      </c>
      <c r="E140" s="4" t="n"/>
      <c r="F140" s="4" t="n"/>
      <c r="G140" s="4" t="n">
        <v>-0.7</v>
      </c>
      <c r="H140" s="5" t="n">
        <v>37.36921362878611</v>
      </c>
      <c r="I140" s="5" t="n"/>
      <c r="J140" s="5" t="n"/>
      <c r="K140" s="5" t="n">
        <v>91</v>
      </c>
    </row>
    <row r="141">
      <c r="A141" s="2" t="n">
        <v>46103.20833333334</v>
      </c>
      <c r="B141">
        <f>TEXT(A141,"yyyy-mm")</f>
        <v/>
      </c>
      <c r="C141" s="3">
        <f>HOUR(A141)</f>
        <v/>
      </c>
      <c r="D141" s="4" t="n">
        <v>21.54348832713056</v>
      </c>
      <c r="E141" s="4" t="n"/>
      <c r="F141" s="4" t="n"/>
      <c r="G141" s="4" t="n">
        <v>-1.1</v>
      </c>
      <c r="H141" s="5" t="n">
        <v>36.66961598054444</v>
      </c>
      <c r="I141" s="5" t="n"/>
      <c r="J141" s="5" t="n"/>
      <c r="K141" s="5" t="n">
        <v>92</v>
      </c>
    </row>
    <row r="142">
      <c r="A142" s="2" t="n">
        <v>46103.25</v>
      </c>
      <c r="B142">
        <f>TEXT(A142,"yyyy-mm")</f>
        <v/>
      </c>
      <c r="C142" s="3">
        <f>HOUR(A142)</f>
        <v/>
      </c>
      <c r="D142" s="4" t="n">
        <v>21.50859568841111</v>
      </c>
      <c r="E142" s="4" t="n"/>
      <c r="F142" s="4" t="n"/>
      <c r="G142" s="4" t="n">
        <v>-1.3</v>
      </c>
      <c r="H142" s="5" t="n">
        <v>36.46736643305555</v>
      </c>
      <c r="I142" s="5" t="n"/>
      <c r="J142" s="5" t="n"/>
      <c r="K142" s="5" t="n">
        <v>93</v>
      </c>
    </row>
    <row r="143">
      <c r="A143" s="2" t="n">
        <v>46103.29166666666</v>
      </c>
      <c r="B143">
        <f>TEXT(A143,"yyyy-mm")</f>
        <v/>
      </c>
      <c r="C143" s="3">
        <f>HOUR(A143)</f>
        <v/>
      </c>
      <c r="D143" s="4" t="n">
        <v>21.51916796419166</v>
      </c>
      <c r="E143" s="4" t="n"/>
      <c r="F143" s="4" t="n"/>
      <c r="G143" s="4" t="n">
        <v>-0.2</v>
      </c>
      <c r="H143" s="5" t="n">
        <v>36.31392432159722</v>
      </c>
      <c r="I143" s="5" t="n"/>
      <c r="J143" s="5" t="n"/>
      <c r="K143" s="5" t="n">
        <v>90</v>
      </c>
    </row>
    <row r="144">
      <c r="A144" s="2" t="n">
        <v>46103.33333333334</v>
      </c>
      <c r="B144">
        <f>TEXT(A144,"yyyy-mm")</f>
        <v/>
      </c>
      <c r="C144" s="3">
        <f>HOUR(A144)</f>
        <v/>
      </c>
      <c r="D144" s="4" t="n">
        <v>21.56250409183333</v>
      </c>
      <c r="E144" s="4" t="n"/>
      <c r="F144" s="4" t="n"/>
      <c r="G144" s="4" t="n">
        <v>0.4</v>
      </c>
      <c r="H144" s="5" t="n">
        <v>36.33435654196389</v>
      </c>
      <c r="I144" s="5" t="n"/>
      <c r="J144" s="5" t="n"/>
      <c r="K144" s="5" t="n">
        <v>83</v>
      </c>
    </row>
    <row r="145">
      <c r="A145" s="2" t="n">
        <v>46103.375</v>
      </c>
      <c r="B145">
        <f>TEXT(A145,"yyyy-mm")</f>
        <v/>
      </c>
      <c r="C145" s="3">
        <f>HOUR(A145)</f>
        <v/>
      </c>
      <c r="D145" s="4" t="n">
        <v>21.84028220234723</v>
      </c>
      <c r="E145" s="4" t="n"/>
      <c r="F145" s="4" t="n"/>
      <c r="G145" s="4" t="n">
        <v>2.1</v>
      </c>
      <c r="H145" s="5" t="n">
        <v>38.81421597325834</v>
      </c>
      <c r="I145" s="5" t="n"/>
      <c r="J145" s="5" t="n"/>
      <c r="K145" s="5" t="n">
        <v>71</v>
      </c>
    </row>
    <row r="146">
      <c r="A146" s="2" t="n">
        <v>46103.41666666666</v>
      </c>
      <c r="B146">
        <f>TEXT(A146,"yyyy-mm")</f>
        <v/>
      </c>
      <c r="C146" s="3">
        <f>HOUR(A146)</f>
        <v/>
      </c>
      <c r="D146" s="4" t="n">
        <v>21.97859527783611</v>
      </c>
      <c r="E146" s="4" t="n"/>
      <c r="F146" s="4" t="n"/>
      <c r="G146" s="4" t="n">
        <v>3.9</v>
      </c>
      <c r="H146" s="5" t="n">
        <v>38.31005295204167</v>
      </c>
      <c r="I146" s="5" t="n"/>
      <c r="J146" s="5" t="n"/>
      <c r="K146" s="5" t="n">
        <v>65</v>
      </c>
    </row>
    <row r="147">
      <c r="A147" s="2" t="n">
        <v>46103.45833333334</v>
      </c>
      <c r="B147">
        <f>TEXT(A147,"yyyy-mm")</f>
        <v/>
      </c>
      <c r="C147" s="3">
        <f>HOUR(A147)</f>
        <v/>
      </c>
      <c r="D147" s="4" t="n">
        <v>22.49716313579722</v>
      </c>
      <c r="E147" s="4" t="n"/>
      <c r="F147" s="4" t="n"/>
      <c r="G147" s="4" t="n">
        <v>5.6</v>
      </c>
      <c r="H147" s="5" t="n">
        <v>37.36513405279722</v>
      </c>
      <c r="I147" s="5" t="n"/>
      <c r="J147" s="5" t="n"/>
      <c r="K147" s="5" t="n">
        <v>63</v>
      </c>
    </row>
    <row r="148">
      <c r="A148" s="2" t="n">
        <v>46103.5</v>
      </c>
      <c r="B148">
        <f>TEXT(A148,"yyyy-mm")</f>
        <v/>
      </c>
      <c r="C148" s="3">
        <f>HOUR(A148)</f>
        <v/>
      </c>
      <c r="D148" s="4" t="n">
        <v>22.75212647638056</v>
      </c>
      <c r="E148" s="4" t="n"/>
      <c r="F148" s="4" t="n"/>
      <c r="G148" s="4" t="n">
        <v>7.1</v>
      </c>
      <c r="H148" s="5" t="n">
        <v>38.29060390722778</v>
      </c>
      <c r="I148" s="5" t="n"/>
      <c r="J148" s="5" t="n"/>
      <c r="K148" s="5" t="n">
        <v>58</v>
      </c>
    </row>
    <row r="149">
      <c r="A149" s="2" t="n">
        <v>46103.54166666666</v>
      </c>
      <c r="B149">
        <f>TEXT(A149,"yyyy-mm")</f>
        <v/>
      </c>
      <c r="C149" s="3">
        <f>HOUR(A149)</f>
        <v/>
      </c>
      <c r="D149" s="4" t="n">
        <v>22.40451746758889</v>
      </c>
      <c r="E149" s="4" t="n"/>
      <c r="F149" s="4" t="n"/>
      <c r="G149" s="4" t="n">
        <v>8.300000000000001</v>
      </c>
      <c r="H149" s="5" t="n">
        <v>37.31353309352777</v>
      </c>
      <c r="I149" s="5" t="n"/>
      <c r="J149" s="5" t="n"/>
      <c r="K149" s="5" t="n">
        <v>52</v>
      </c>
    </row>
    <row r="150">
      <c r="A150" s="2" t="n">
        <v>46103.58333333334</v>
      </c>
      <c r="B150">
        <f>TEXT(A150,"yyyy-mm")</f>
        <v/>
      </c>
      <c r="C150" s="3">
        <f>HOUR(A150)</f>
        <v/>
      </c>
      <c r="D150" s="4" t="n">
        <v>22.39418338871111</v>
      </c>
      <c r="E150" s="4" t="n"/>
      <c r="F150" s="4" t="n"/>
      <c r="G150" s="4" t="n">
        <v>8.5</v>
      </c>
      <c r="H150" s="5" t="n">
        <v>40.29939522566666</v>
      </c>
      <c r="I150" s="5" t="n"/>
      <c r="J150" s="5" t="n"/>
      <c r="K150" s="5" t="n">
        <v>56</v>
      </c>
    </row>
    <row r="151">
      <c r="A151" s="2" t="n">
        <v>46103.625</v>
      </c>
      <c r="B151">
        <f>TEXT(A151,"yyyy-mm")</f>
        <v/>
      </c>
      <c r="C151" s="3">
        <f>HOUR(A151)</f>
        <v/>
      </c>
      <c r="D151" s="4" t="n">
        <v>22.92990603569167</v>
      </c>
      <c r="E151" s="4" t="n"/>
      <c r="F151" s="4" t="n"/>
      <c r="G151" s="4" t="n">
        <v>8.9</v>
      </c>
      <c r="H151" s="5" t="n">
        <v>43.04622651432222</v>
      </c>
      <c r="I151" s="5" t="n"/>
      <c r="J151" s="5" t="n"/>
      <c r="K151" s="5" t="n">
        <v>53</v>
      </c>
    </row>
    <row r="152">
      <c r="A152" s="2" t="n">
        <v>46103.66666666666</v>
      </c>
      <c r="B152">
        <f>TEXT(A152,"yyyy-mm")</f>
        <v/>
      </c>
      <c r="C152" s="3">
        <f>HOUR(A152)</f>
        <v/>
      </c>
      <c r="D152" s="4" t="n">
        <v>23</v>
      </c>
      <c r="E152" s="4" t="n"/>
      <c r="F152" s="4" t="n"/>
      <c r="G152" s="4" t="n">
        <v>8.4</v>
      </c>
      <c r="H152" s="5" t="n">
        <v>43.29999999999999</v>
      </c>
      <c r="I152" s="5" t="n"/>
      <c r="J152" s="5" t="n"/>
      <c r="K152" s="5" t="n">
        <v>54</v>
      </c>
    </row>
    <row r="153">
      <c r="A153" s="2" t="n">
        <v>46103.70833333334</v>
      </c>
      <c r="B153">
        <f>TEXT(A153,"yyyy-mm")</f>
        <v/>
      </c>
      <c r="C153" s="3">
        <f>HOUR(A153)</f>
        <v/>
      </c>
      <c r="D153" s="4" t="n">
        <v>23</v>
      </c>
      <c r="E153" s="4" t="n"/>
      <c r="F153" s="4" t="n"/>
      <c r="G153" s="4" t="n">
        <v>7</v>
      </c>
      <c r="H153" s="5" t="n">
        <v>43.29999999999999</v>
      </c>
      <c r="I153" s="5" t="n"/>
      <c r="J153" s="5" t="n"/>
      <c r="K153" s="5" t="n">
        <v>61</v>
      </c>
    </row>
    <row r="154">
      <c r="A154" s="2" t="n">
        <v>46103.75</v>
      </c>
      <c r="B154">
        <f>TEXT(A154,"yyyy-mm")</f>
        <v/>
      </c>
      <c r="C154" s="3">
        <f>HOUR(A154)</f>
        <v/>
      </c>
      <c r="D154" s="4" t="n">
        <v>23</v>
      </c>
      <c r="E154" s="4" t="n"/>
      <c r="F154" s="4" t="n"/>
      <c r="G154" s="4" t="n">
        <v>5</v>
      </c>
      <c r="H154" s="5" t="n">
        <v>43.29999999999999</v>
      </c>
      <c r="I154" s="5" t="n"/>
      <c r="J154" s="5" t="n"/>
      <c r="K154" s="5" t="n">
        <v>68</v>
      </c>
    </row>
    <row r="155">
      <c r="A155" s="2" t="n">
        <v>46103.79166666666</v>
      </c>
      <c r="B155">
        <f>TEXT(A155,"yyyy-mm")</f>
        <v/>
      </c>
      <c r="C155" s="3">
        <f>HOUR(A155)</f>
        <v/>
      </c>
      <c r="D155" s="4" t="n">
        <v>23</v>
      </c>
      <c r="E155" s="4" t="n"/>
      <c r="F155" s="4" t="n"/>
      <c r="G155" s="4" t="n">
        <v>3.7</v>
      </c>
      <c r="H155" s="5" t="n">
        <v>43.29999999999999</v>
      </c>
      <c r="I155" s="5" t="n"/>
      <c r="J155" s="5" t="n"/>
      <c r="K155" s="5" t="n">
        <v>71</v>
      </c>
    </row>
    <row r="156">
      <c r="A156" s="2" t="n">
        <v>46103.83333333334</v>
      </c>
      <c r="B156">
        <f>TEXT(A156,"yyyy-mm")</f>
        <v/>
      </c>
      <c r="C156" s="3">
        <f>HOUR(A156)</f>
        <v/>
      </c>
      <c r="D156" s="4" t="n">
        <v>23</v>
      </c>
      <c r="E156" s="4" t="n"/>
      <c r="F156" s="4" t="n"/>
      <c r="G156" s="4" t="n">
        <v>3.5</v>
      </c>
      <c r="H156" s="5" t="n">
        <v>43.29999999999999</v>
      </c>
      <c r="I156" s="5" t="n"/>
      <c r="J156" s="5" t="n"/>
      <c r="K156" s="5" t="n">
        <v>79</v>
      </c>
    </row>
    <row r="157">
      <c r="A157" s="2" t="n">
        <v>46103.875</v>
      </c>
      <c r="B157">
        <f>TEXT(A157,"yyyy-mm")</f>
        <v/>
      </c>
      <c r="C157" s="3">
        <f>HOUR(A157)</f>
        <v/>
      </c>
      <c r="D157" s="4" t="n">
        <v>23</v>
      </c>
      <c r="E157" s="4" t="n"/>
      <c r="F157" s="4" t="n"/>
      <c r="G157" s="4" t="n">
        <v>2.9</v>
      </c>
      <c r="H157" s="5" t="n">
        <v>43.29999999999999</v>
      </c>
      <c r="I157" s="5" t="n"/>
      <c r="J157" s="5" t="n"/>
      <c r="K157" s="5" t="n">
        <v>81</v>
      </c>
    </row>
    <row r="158">
      <c r="A158" s="2" t="n">
        <v>46103.91666666666</v>
      </c>
      <c r="B158">
        <f>TEXT(A158,"yyyy-mm")</f>
        <v/>
      </c>
      <c r="C158" s="3">
        <f>HOUR(A158)</f>
        <v/>
      </c>
      <c r="D158" s="4" t="n">
        <v>23</v>
      </c>
      <c r="E158" s="4" t="n"/>
      <c r="F158" s="4" t="n"/>
      <c r="G158" s="4" t="n">
        <v>2.2</v>
      </c>
      <c r="H158" s="5" t="n">
        <v>43.29999999999999</v>
      </c>
      <c r="I158" s="5" t="n"/>
      <c r="J158" s="5" t="n"/>
      <c r="K158" s="5" t="n">
        <v>83</v>
      </c>
    </row>
    <row r="159">
      <c r="A159" s="2" t="n">
        <v>46103.95833333334</v>
      </c>
      <c r="B159">
        <f>TEXT(A159,"yyyy-mm")</f>
        <v/>
      </c>
      <c r="C159" s="3">
        <f>HOUR(A159)</f>
        <v/>
      </c>
      <c r="D159" s="4" t="n">
        <v>23</v>
      </c>
      <c r="E159" s="4" t="n"/>
      <c r="F159" s="4" t="n"/>
      <c r="G159" s="4" t="n">
        <v>1.6</v>
      </c>
      <c r="H159" s="5" t="n">
        <v>43.29999999999999</v>
      </c>
      <c r="I159" s="5" t="n"/>
      <c r="J159" s="5" t="n"/>
      <c r="K159" s="5" t="n">
        <v>85</v>
      </c>
    </row>
    <row r="160">
      <c r="A160" s="2" t="n">
        <v>46104</v>
      </c>
      <c r="B160">
        <f>TEXT(A160,"yyyy-mm")</f>
        <v/>
      </c>
      <c r="C160" s="3">
        <f>HOUR(A160)</f>
        <v/>
      </c>
      <c r="D160" s="4" t="n">
        <v>23</v>
      </c>
      <c r="E160" s="4" t="n"/>
      <c r="F160" s="4" t="n"/>
      <c r="G160" s="4" t="n">
        <v>1.2</v>
      </c>
      <c r="H160" s="5" t="n">
        <v>43.29999999999999</v>
      </c>
      <c r="I160" s="5" t="n"/>
      <c r="J160" s="5" t="n"/>
      <c r="K160" s="5" t="n">
        <v>85</v>
      </c>
    </row>
    <row r="161">
      <c r="A161" s="2" t="n">
        <v>46104.04166666666</v>
      </c>
      <c r="B161">
        <f>TEXT(A161,"yyyy-mm")</f>
        <v/>
      </c>
      <c r="C161" s="3">
        <f>HOUR(A161)</f>
        <v/>
      </c>
      <c r="D161" s="4" t="n">
        <v>23</v>
      </c>
      <c r="E161" s="4" t="n"/>
      <c r="F161" s="4" t="n"/>
      <c r="G161" s="4" t="n">
        <v>0.9</v>
      </c>
      <c r="H161" s="5" t="n">
        <v>43.29999999999999</v>
      </c>
      <c r="I161" s="5" t="n"/>
      <c r="J161" s="5" t="n"/>
      <c r="K161" s="5" t="n">
        <v>85</v>
      </c>
    </row>
    <row r="162">
      <c r="A162" s="2" t="n">
        <v>46104.08333333334</v>
      </c>
      <c r="B162">
        <f>TEXT(A162,"yyyy-mm")</f>
        <v/>
      </c>
      <c r="C162" s="3">
        <f>HOUR(A162)</f>
        <v/>
      </c>
      <c r="D162" s="4" t="n">
        <v>23</v>
      </c>
      <c r="E162" s="4" t="n"/>
      <c r="F162" s="4" t="n"/>
      <c r="G162" s="4" t="n">
        <v>0.3</v>
      </c>
      <c r="H162" s="5" t="n">
        <v>43.29999999999999</v>
      </c>
      <c r="I162" s="5" t="n"/>
      <c r="J162" s="5" t="n"/>
      <c r="K162" s="5" t="n">
        <v>87</v>
      </c>
    </row>
    <row r="163">
      <c r="A163" s="2" t="n">
        <v>46104.125</v>
      </c>
      <c r="B163">
        <f>TEXT(A163,"yyyy-mm")</f>
        <v/>
      </c>
      <c r="C163" s="3">
        <f>HOUR(A163)</f>
        <v/>
      </c>
      <c r="D163" s="4" t="n">
        <v>23</v>
      </c>
      <c r="E163" s="4" t="n"/>
      <c r="F163" s="4" t="n"/>
      <c r="G163" s="4" t="n">
        <v>-0.1</v>
      </c>
      <c r="H163" s="5" t="n">
        <v>43.29999999999999</v>
      </c>
      <c r="I163" s="5" t="n"/>
      <c r="J163" s="5" t="n"/>
      <c r="K163" s="5" t="n">
        <v>88</v>
      </c>
    </row>
    <row r="164">
      <c r="A164" s="2" t="n">
        <v>46104.16666666666</v>
      </c>
      <c r="B164">
        <f>TEXT(A164,"yyyy-mm")</f>
        <v/>
      </c>
      <c r="C164" s="3">
        <f>HOUR(A164)</f>
        <v/>
      </c>
      <c r="D164" s="4" t="n">
        <v>23</v>
      </c>
      <c r="E164" s="4" t="n"/>
      <c r="F164" s="4" t="n"/>
      <c r="G164" s="4" t="n">
        <v>-0.4</v>
      </c>
      <c r="H164" s="5" t="n">
        <v>43.29999999999999</v>
      </c>
      <c r="I164" s="5" t="n"/>
      <c r="J164" s="5" t="n"/>
      <c r="K164" s="5" t="n">
        <v>89</v>
      </c>
    </row>
    <row r="165">
      <c r="A165" s="2" t="n">
        <v>46104.20833333334</v>
      </c>
      <c r="B165">
        <f>TEXT(A165,"yyyy-mm")</f>
        <v/>
      </c>
      <c r="C165" s="3">
        <f>HOUR(A165)</f>
        <v/>
      </c>
      <c r="D165" s="4" t="n">
        <v>23</v>
      </c>
      <c r="E165" s="4" t="n"/>
      <c r="F165" s="4" t="n"/>
      <c r="G165" s="4" t="n">
        <v>-0.9</v>
      </c>
      <c r="H165" s="5" t="n">
        <v>43.29999999999999</v>
      </c>
      <c r="I165" s="5" t="n"/>
      <c r="J165" s="5" t="n"/>
      <c r="K165" s="5" t="n">
        <v>90</v>
      </c>
    </row>
    <row r="166">
      <c r="A166" s="2" t="n">
        <v>46104.25</v>
      </c>
      <c r="B166">
        <f>TEXT(A166,"yyyy-mm")</f>
        <v/>
      </c>
      <c r="C166" s="3">
        <f>HOUR(A166)</f>
        <v/>
      </c>
      <c r="D166" s="4" t="n">
        <v>23</v>
      </c>
      <c r="E166" s="4" t="n"/>
      <c r="F166" s="4" t="n"/>
      <c r="G166" s="4" t="n">
        <v>-1.2</v>
      </c>
      <c r="H166" s="5" t="n">
        <v>43.29999999999999</v>
      </c>
      <c r="I166" s="5" t="n"/>
      <c r="J166" s="5" t="n"/>
      <c r="K166" s="5" t="n">
        <v>92</v>
      </c>
    </row>
    <row r="167">
      <c r="A167" s="2" t="n">
        <v>46104.29166666666</v>
      </c>
      <c r="B167">
        <f>TEXT(A167,"yyyy-mm")</f>
        <v/>
      </c>
      <c r="C167" s="3">
        <f>HOUR(A167)</f>
        <v/>
      </c>
      <c r="D167" s="4" t="n">
        <v>23</v>
      </c>
      <c r="E167" s="4" t="n"/>
      <c r="F167" s="4" t="n"/>
      <c r="G167" s="4" t="n">
        <v>-0.2</v>
      </c>
      <c r="H167" s="5" t="n">
        <v>43.29999999999999</v>
      </c>
      <c r="I167" s="5" t="n"/>
      <c r="J167" s="5" t="n"/>
      <c r="K167" s="5" t="n">
        <v>90</v>
      </c>
    </row>
    <row r="168">
      <c r="A168" s="2" t="n">
        <v>46104.33333333334</v>
      </c>
      <c r="B168">
        <f>TEXT(A168,"yyyy-mm")</f>
        <v/>
      </c>
      <c r="C168" s="3">
        <f>HOUR(A168)</f>
        <v/>
      </c>
      <c r="D168" s="4" t="n">
        <v>23</v>
      </c>
      <c r="E168" s="4" t="n"/>
      <c r="F168" s="4" t="n"/>
      <c r="G168" s="4" t="n">
        <v>1.2</v>
      </c>
      <c r="H168" s="5" t="n">
        <v>43.29999999999999</v>
      </c>
      <c r="I168" s="5" t="n"/>
      <c r="J168" s="5" t="n"/>
      <c r="K168" s="5" t="n">
        <v>83</v>
      </c>
    </row>
    <row r="169">
      <c r="A169" s="2" t="n">
        <v>46104.375</v>
      </c>
      <c r="B169">
        <f>TEXT(A169,"yyyy-mm")</f>
        <v/>
      </c>
      <c r="C169" s="3">
        <f>HOUR(A169)</f>
        <v/>
      </c>
      <c r="D169" s="4" t="n">
        <v>23</v>
      </c>
      <c r="E169" s="4" t="n"/>
      <c r="F169" s="4" t="n"/>
      <c r="G169" s="4" t="n">
        <v>3.7</v>
      </c>
      <c r="H169" s="5" t="n">
        <v>43.29999999999999</v>
      </c>
      <c r="I169" s="5" t="n"/>
      <c r="J169" s="5" t="n"/>
      <c r="K169" s="5" t="n">
        <v>66</v>
      </c>
    </row>
    <row r="170">
      <c r="A170" s="2" t="n">
        <v>46104.41666666666</v>
      </c>
      <c r="B170">
        <f>TEXT(A170,"yyyy-mm")</f>
        <v/>
      </c>
      <c r="C170" s="3">
        <f>HOUR(A170)</f>
        <v/>
      </c>
      <c r="D170" s="4" t="n">
        <v>23</v>
      </c>
      <c r="E170" s="4" t="n"/>
      <c r="F170" s="4" t="n"/>
      <c r="G170" s="4" t="n">
        <v>5.8</v>
      </c>
      <c r="H170" s="5" t="n">
        <v>43.29999999999999</v>
      </c>
      <c r="I170" s="5" t="n"/>
      <c r="J170" s="5" t="n"/>
      <c r="K170" s="5" t="n">
        <v>60</v>
      </c>
    </row>
    <row r="171">
      <c r="A171" s="2" t="n">
        <v>46104.45833333334</v>
      </c>
      <c r="B171">
        <f>TEXT(A171,"yyyy-mm")</f>
        <v/>
      </c>
      <c r="C171" s="3">
        <f>HOUR(A171)</f>
        <v/>
      </c>
      <c r="D171" s="4" t="n">
        <v>23</v>
      </c>
      <c r="E171" s="4" t="n"/>
      <c r="F171" s="4" t="n"/>
      <c r="G171" s="4" t="n">
        <v>7.4</v>
      </c>
      <c r="H171" s="5" t="n">
        <v>43.29999999999999</v>
      </c>
      <c r="I171" s="5" t="n"/>
      <c r="J171" s="5" t="n"/>
      <c r="K171" s="5" t="n">
        <v>58</v>
      </c>
    </row>
    <row r="172">
      <c r="A172" s="2" t="n">
        <v>46104.5</v>
      </c>
      <c r="B172">
        <f>TEXT(A172,"yyyy-mm")</f>
        <v/>
      </c>
      <c r="C172" s="3">
        <f>HOUR(A172)</f>
        <v/>
      </c>
      <c r="D172" s="4" t="n">
        <v>23</v>
      </c>
      <c r="E172" s="4" t="n"/>
      <c r="F172" s="4" t="n"/>
      <c r="G172" s="4" t="n">
        <v>8.5</v>
      </c>
      <c r="H172" s="5" t="n">
        <v>43.29999999999999</v>
      </c>
      <c r="I172" s="5" t="n"/>
      <c r="J172" s="5" t="n"/>
      <c r="K172" s="5" t="n">
        <v>53</v>
      </c>
    </row>
    <row r="173">
      <c r="A173" s="2" t="n">
        <v>46104.54166666666</v>
      </c>
      <c r="B173">
        <f>TEXT(A173,"yyyy-mm")</f>
        <v/>
      </c>
      <c r="C173" s="3">
        <f>HOUR(A173)</f>
        <v/>
      </c>
      <c r="D173" s="4" t="n">
        <v>23</v>
      </c>
      <c r="E173" s="4" t="n"/>
      <c r="F173" s="4" t="n"/>
      <c r="G173" s="4" t="n">
        <v>9.4</v>
      </c>
      <c r="H173" s="5" t="n">
        <v>43.29999999999999</v>
      </c>
      <c r="I173" s="5" t="n"/>
      <c r="J173" s="5" t="n"/>
      <c r="K173" s="5" t="n">
        <v>49</v>
      </c>
    </row>
    <row r="174">
      <c r="A174" s="2" t="n">
        <v>46104.58333333334</v>
      </c>
      <c r="B174">
        <f>TEXT(A174,"yyyy-mm")</f>
        <v/>
      </c>
      <c r="C174" s="3">
        <f>HOUR(A174)</f>
        <v/>
      </c>
      <c r="D174" s="4" t="n">
        <v>23</v>
      </c>
      <c r="E174" s="4" t="n"/>
      <c r="F174" s="4" t="n"/>
      <c r="G174" s="4" t="n">
        <v>10.4</v>
      </c>
      <c r="H174" s="5" t="n">
        <v>43.29999999999999</v>
      </c>
      <c r="I174" s="5" t="n"/>
      <c r="J174" s="5" t="n"/>
      <c r="K174" s="5" t="n">
        <v>44</v>
      </c>
    </row>
    <row r="175">
      <c r="A175" s="2" t="n">
        <v>46104.625</v>
      </c>
      <c r="B175">
        <f>TEXT(A175,"yyyy-mm")</f>
        <v/>
      </c>
      <c r="C175" s="3">
        <f>HOUR(A175)</f>
        <v/>
      </c>
      <c r="D175" s="4" t="n">
        <v>23</v>
      </c>
      <c r="E175" s="4" t="n"/>
      <c r="F175" s="4" t="n"/>
      <c r="G175" s="4" t="n">
        <v>10.4</v>
      </c>
      <c r="H175" s="5" t="n">
        <v>43.29999999999999</v>
      </c>
      <c r="I175" s="5" t="n"/>
      <c r="J175" s="5" t="n"/>
      <c r="K175" s="5" t="n">
        <v>43</v>
      </c>
    </row>
    <row r="176">
      <c r="A176" s="2" t="n">
        <v>46104.66666666666</v>
      </c>
      <c r="B176">
        <f>TEXT(A176,"yyyy-mm")</f>
        <v/>
      </c>
      <c r="C176" s="3">
        <f>HOUR(A176)</f>
        <v/>
      </c>
      <c r="D176" s="4" t="n">
        <v>23</v>
      </c>
      <c r="E176" s="4" t="n"/>
      <c r="F176" s="4" t="n"/>
      <c r="G176" s="4" t="n">
        <v>9.800000000000001</v>
      </c>
      <c r="H176" s="5" t="n">
        <v>43.29999999999999</v>
      </c>
      <c r="I176" s="5" t="n"/>
      <c r="J176" s="5" t="n"/>
      <c r="K176" s="5" t="n">
        <v>46</v>
      </c>
    </row>
    <row r="177">
      <c r="A177" s="2" t="n">
        <v>46104.70833333334</v>
      </c>
      <c r="B177">
        <f>TEXT(A177,"yyyy-mm")</f>
        <v/>
      </c>
      <c r="C177" s="3">
        <f>HOUR(A177)</f>
        <v/>
      </c>
      <c r="D177" s="4" t="n">
        <v>21.93018173364722</v>
      </c>
      <c r="E177" s="4" t="n"/>
      <c r="F177" s="4" t="n"/>
      <c r="G177" s="4" t="n">
        <v>8.300000000000001</v>
      </c>
      <c r="H177" s="5" t="n">
        <v>39.84655975777222</v>
      </c>
      <c r="I177" s="5" t="n"/>
      <c r="J177" s="5" t="n"/>
      <c r="K177" s="5" t="n">
        <v>56</v>
      </c>
    </row>
    <row r="178">
      <c r="A178" s="2" t="n">
        <v>46104.75</v>
      </c>
      <c r="B178">
        <f>TEXT(A178,"yyyy-mm")</f>
        <v/>
      </c>
      <c r="C178" s="3">
        <f>HOUR(A178)</f>
        <v/>
      </c>
      <c r="D178" s="4" t="n">
        <v>21.79563135954167</v>
      </c>
      <c r="E178" s="4" t="n"/>
      <c r="F178" s="4" t="n"/>
      <c r="G178" s="4" t="n">
        <v>6.3</v>
      </c>
      <c r="H178" s="5" t="n">
        <v>39.10902416650833</v>
      </c>
      <c r="I178" s="5" t="n"/>
      <c r="J178" s="5" t="n"/>
      <c r="K178" s="5" t="n">
        <v>61</v>
      </c>
    </row>
    <row r="179">
      <c r="A179" s="2" t="n">
        <v>46104.79166666666</v>
      </c>
      <c r="B179">
        <f>TEXT(A179,"yyyy-mm")</f>
        <v/>
      </c>
      <c r="C179" s="3">
        <f>HOUR(A179)</f>
        <v/>
      </c>
      <c r="D179" s="4" t="n">
        <v>22.2750549486</v>
      </c>
      <c r="E179" s="4" t="n"/>
      <c r="F179" s="4" t="n"/>
      <c r="G179" s="4" t="n">
        <v>4.8</v>
      </c>
      <c r="H179" s="5" t="n">
        <v>39.06721985415278</v>
      </c>
      <c r="I179" s="5" t="n"/>
      <c r="J179" s="5" t="n"/>
      <c r="K179" s="5" t="n">
        <v>64</v>
      </c>
    </row>
    <row r="180">
      <c r="A180" s="2" t="n">
        <v>46104.83333333334</v>
      </c>
      <c r="B180">
        <f>TEXT(A180,"yyyy-mm")</f>
        <v/>
      </c>
      <c r="C180" s="3">
        <f>HOUR(A180)</f>
        <v/>
      </c>
      <c r="D180" s="4" t="n">
        <v>22.53714756376111</v>
      </c>
      <c r="E180" s="4" t="n"/>
      <c r="F180" s="4" t="n"/>
      <c r="G180" s="4" t="n">
        <v>4.5</v>
      </c>
      <c r="H180" s="5" t="n">
        <v>39.15048712810277</v>
      </c>
      <c r="I180" s="5" t="n"/>
      <c r="J180" s="5" t="n"/>
      <c r="K180" s="5" t="n">
        <v>67</v>
      </c>
    </row>
    <row r="181">
      <c r="A181" s="2" t="n">
        <v>46104.875</v>
      </c>
      <c r="B181">
        <f>TEXT(A181,"yyyy-mm")</f>
        <v/>
      </c>
      <c r="C181" s="3">
        <f>HOUR(A181)</f>
        <v/>
      </c>
      <c r="D181" s="4" t="n">
        <v>22.70730778423055</v>
      </c>
      <c r="E181" s="4" t="n"/>
      <c r="F181" s="4" t="n"/>
      <c r="G181" s="4" t="n">
        <v>4.3</v>
      </c>
      <c r="H181" s="5" t="n">
        <v>38.16729979513611</v>
      </c>
      <c r="I181" s="5" t="n"/>
      <c r="J181" s="5" t="n"/>
      <c r="K181" s="5" t="n">
        <v>67</v>
      </c>
    </row>
    <row r="182">
      <c r="A182" s="2" t="n">
        <v>46104.91666666666</v>
      </c>
      <c r="B182">
        <f>TEXT(A182,"yyyy-mm")</f>
        <v/>
      </c>
      <c r="C182" s="3">
        <f>HOUR(A182)</f>
        <v/>
      </c>
      <c r="D182" s="4" t="n">
        <v>22.46335561545278</v>
      </c>
      <c r="E182" s="4" t="n"/>
      <c r="F182" s="4" t="n"/>
      <c r="G182" s="4" t="n">
        <v>3.7</v>
      </c>
      <c r="H182" s="5" t="n">
        <v>46.01110395006111</v>
      </c>
      <c r="I182" s="5" t="n"/>
      <c r="J182" s="5" t="n"/>
      <c r="K182" s="5" t="n">
        <v>69</v>
      </c>
    </row>
    <row r="183">
      <c r="A183" s="2" t="n">
        <v>46104.95833333334</v>
      </c>
      <c r="B183">
        <f>TEXT(A183,"yyyy-mm")</f>
        <v/>
      </c>
      <c r="C183" s="3">
        <f>HOUR(A183)</f>
        <v/>
      </c>
      <c r="D183" s="4" t="n">
        <v>22.49272121516111</v>
      </c>
      <c r="E183" s="4" t="n"/>
      <c r="F183" s="4" t="n"/>
      <c r="G183" s="4" t="n">
        <v>3.2</v>
      </c>
      <c r="H183" s="5" t="n">
        <v>43.88633392897222</v>
      </c>
      <c r="I183" s="5" t="n"/>
      <c r="J183" s="5" t="n"/>
      <c r="K183" s="5" t="n">
        <v>70</v>
      </c>
    </row>
    <row r="184">
      <c r="A184" s="2" t="n">
        <v>46105</v>
      </c>
      <c r="B184">
        <f>TEXT(A184,"yyyy-mm")</f>
        <v/>
      </c>
      <c r="C184" s="3">
        <f>HOUR(A184)</f>
        <v/>
      </c>
      <c r="D184" s="4" t="n">
        <v>22.64129976155555</v>
      </c>
      <c r="E184" s="4" t="n"/>
      <c r="F184" s="4" t="n"/>
      <c r="G184" s="4" t="n">
        <v>2.7</v>
      </c>
      <c r="H184" s="5" t="n">
        <v>41.550961385975</v>
      </c>
      <c r="I184" s="5" t="n"/>
      <c r="J184" s="5" t="n"/>
      <c r="K184" s="5" t="n">
        <v>72</v>
      </c>
    </row>
    <row r="185">
      <c r="A185" s="2" t="n">
        <v>46105.04166666666</v>
      </c>
      <c r="B185">
        <f>TEXT(A185,"yyyy-mm")</f>
        <v/>
      </c>
      <c r="C185" s="3">
        <f>HOUR(A185)</f>
        <v/>
      </c>
      <c r="D185" s="4" t="n">
        <v>21.93244512855833</v>
      </c>
      <c r="E185" s="4" t="n"/>
      <c r="F185" s="4" t="n"/>
      <c r="G185" s="4" t="n">
        <v>2.1</v>
      </c>
      <c r="H185" s="5" t="n">
        <v>41.37194359836111</v>
      </c>
      <c r="I185" s="5" t="n"/>
      <c r="J185" s="5" t="n"/>
      <c r="K185" s="5" t="n">
        <v>73</v>
      </c>
    </row>
    <row r="186">
      <c r="A186" s="2" t="n">
        <v>46105.08333333334</v>
      </c>
      <c r="B186">
        <f>TEXT(A186,"yyyy-mm")</f>
        <v/>
      </c>
      <c r="C186" s="3">
        <f>HOUR(A186)</f>
        <v/>
      </c>
      <c r="D186" s="4" t="n">
        <v>21.56668476856944</v>
      </c>
      <c r="E186" s="4" t="n"/>
      <c r="F186" s="4" t="n"/>
      <c r="G186" s="4" t="n">
        <v>1.8</v>
      </c>
      <c r="H186" s="5" t="n">
        <v>40.56286098568334</v>
      </c>
      <c r="I186" s="5" t="n"/>
      <c r="J186" s="5" t="n"/>
      <c r="K186" s="5" t="n">
        <v>71</v>
      </c>
    </row>
    <row r="187">
      <c r="A187" s="2" t="n">
        <v>46105.125</v>
      </c>
      <c r="B187">
        <f>TEXT(A187,"yyyy-mm")</f>
        <v/>
      </c>
      <c r="C187" s="3">
        <f>HOUR(A187)</f>
        <v/>
      </c>
      <c r="D187" s="4" t="n">
        <v>21.3708622876</v>
      </c>
      <c r="E187" s="4" t="n"/>
      <c r="F187" s="4" t="n"/>
      <c r="G187" s="4" t="n">
        <v>1.6</v>
      </c>
      <c r="H187" s="5" t="n">
        <v>40.21148127130278</v>
      </c>
      <c r="I187" s="5" t="n"/>
      <c r="J187" s="5" t="n"/>
      <c r="K187" s="5" t="n">
        <v>71</v>
      </c>
    </row>
    <row r="188">
      <c r="A188" s="2" t="n">
        <v>46105.16666666666</v>
      </c>
      <c r="B188">
        <f>TEXT(A188,"yyyy-mm")</f>
        <v/>
      </c>
      <c r="C188" s="3">
        <f>HOUR(A188)</f>
        <v/>
      </c>
      <c r="D188" s="4" t="n">
        <v>21.23309377057777</v>
      </c>
      <c r="E188" s="4" t="n"/>
      <c r="F188" s="4" t="n"/>
      <c r="G188" s="4" t="n">
        <v>1.5</v>
      </c>
      <c r="H188" s="5" t="n">
        <v>39.87916230938889</v>
      </c>
      <c r="I188" s="5" t="n"/>
      <c r="J188" s="5" t="n"/>
      <c r="K188" s="5" t="n">
        <v>71</v>
      </c>
    </row>
    <row r="189">
      <c r="A189" s="2" t="n">
        <v>46105.20833333334</v>
      </c>
      <c r="B189">
        <f>TEXT(A189,"yyyy-mm")</f>
        <v/>
      </c>
      <c r="C189" s="3">
        <f>HOUR(A189)</f>
        <v/>
      </c>
      <c r="D189" s="4" t="n">
        <v>21.14439991241111</v>
      </c>
      <c r="E189" s="4" t="n"/>
      <c r="F189" s="4" t="n"/>
      <c r="G189" s="4" t="n">
        <v>1.4</v>
      </c>
      <c r="H189" s="5" t="n">
        <v>39.8063136883</v>
      </c>
      <c r="I189" s="5" t="n"/>
      <c r="J189" s="5" t="n"/>
      <c r="K189" s="5" t="n">
        <v>73</v>
      </c>
    </row>
    <row r="190">
      <c r="A190" s="2" t="n">
        <v>46105.25</v>
      </c>
      <c r="B190">
        <f>TEXT(A190,"yyyy-mm")</f>
        <v/>
      </c>
      <c r="C190" s="3">
        <f>HOUR(A190)</f>
        <v/>
      </c>
      <c r="D190" s="4" t="n">
        <v>21.10964468976389</v>
      </c>
      <c r="E190" s="4" t="n"/>
      <c r="F190" s="4" t="n"/>
      <c r="G190" s="4" t="n">
        <v>1.7</v>
      </c>
      <c r="H190" s="5" t="n">
        <v>39.47025203464167</v>
      </c>
      <c r="I190" s="5" t="n"/>
      <c r="J190" s="5" t="n"/>
      <c r="K190" s="5" t="n">
        <v>73</v>
      </c>
    </row>
    <row r="191">
      <c r="A191" s="2" t="n">
        <v>46105.29166666666</v>
      </c>
      <c r="B191">
        <f>TEXT(A191,"yyyy-mm")</f>
        <v/>
      </c>
      <c r="C191" s="3">
        <f>HOUR(A191)</f>
        <v/>
      </c>
      <c r="D191" s="4" t="n">
        <v>21.13775167115556</v>
      </c>
      <c r="E191" s="4" t="n"/>
      <c r="F191" s="4" t="n"/>
      <c r="G191" s="4" t="n">
        <v>2.5</v>
      </c>
      <c r="H191" s="5" t="n">
        <v>39.23089261162222</v>
      </c>
      <c r="I191" s="5" t="n"/>
      <c r="J191" s="5" t="n"/>
      <c r="K191" s="5" t="n">
        <v>71</v>
      </c>
    </row>
    <row r="192">
      <c r="A192" s="2" t="n">
        <v>46105.33333333334</v>
      </c>
      <c r="B192">
        <f>TEXT(A192,"yyyy-mm")</f>
        <v/>
      </c>
      <c r="C192" s="3">
        <f>HOUR(A192)</f>
        <v/>
      </c>
      <c r="D192" s="4" t="n">
        <v>21.18538724846111</v>
      </c>
      <c r="E192" s="4" t="n"/>
      <c r="F192" s="4" t="n"/>
      <c r="G192" s="4" t="n">
        <v>2.8</v>
      </c>
      <c r="H192" s="5" t="n">
        <v>38.99434020728333</v>
      </c>
      <c r="I192" s="5" t="n"/>
      <c r="J192" s="5" t="n"/>
      <c r="K192" s="5" t="n">
        <v>76</v>
      </c>
    </row>
    <row r="193">
      <c r="A193" s="2" t="n">
        <v>46105.375</v>
      </c>
      <c r="B193">
        <f>TEXT(A193,"yyyy-mm")</f>
        <v/>
      </c>
      <c r="C193" s="3">
        <f>HOUR(A193)</f>
        <v/>
      </c>
      <c r="D193" s="4" t="n">
        <v>21.38082960288612</v>
      </c>
      <c r="E193" s="4" t="n"/>
      <c r="F193" s="4" t="n"/>
      <c r="G193" s="4" t="n">
        <v>3.8</v>
      </c>
      <c r="H193" s="5" t="n">
        <v>39.06391816940278</v>
      </c>
      <c r="I193" s="5" t="n"/>
      <c r="J193" s="5" t="n"/>
      <c r="K193" s="5" t="n">
        <v>74</v>
      </c>
    </row>
    <row r="194">
      <c r="A194" s="2" t="n">
        <v>46105.41666666666</v>
      </c>
      <c r="B194">
        <f>TEXT(A194,"yyyy-mm")</f>
        <v/>
      </c>
      <c r="C194" s="3">
        <f>HOUR(A194)</f>
        <v/>
      </c>
      <c r="D194" s="4" t="n">
        <v>21.66167916214444</v>
      </c>
      <c r="E194" s="4" t="n"/>
      <c r="F194" s="4" t="n"/>
      <c r="G194" s="4" t="n">
        <v>4.7</v>
      </c>
      <c r="H194" s="5" t="n">
        <v>39.13200234660555</v>
      </c>
      <c r="I194" s="5" t="n"/>
      <c r="J194" s="5" t="n"/>
      <c r="K194" s="5" t="n">
        <v>73</v>
      </c>
    </row>
    <row r="195">
      <c r="A195" s="2" t="n">
        <v>46105.45833333334</v>
      </c>
      <c r="B195">
        <f>TEXT(A195,"yyyy-mm")</f>
        <v/>
      </c>
      <c r="C195" s="3">
        <f>HOUR(A195)</f>
        <v/>
      </c>
      <c r="D195" s="4" t="n">
        <v>21.94776008453889</v>
      </c>
      <c r="E195" s="4" t="n"/>
      <c r="F195" s="4" t="n"/>
      <c r="G195" s="4" t="n">
        <v>6.4</v>
      </c>
      <c r="H195" s="5" t="n">
        <v>39.38949455338056</v>
      </c>
      <c r="I195" s="5" t="n"/>
      <c r="J195" s="5" t="n"/>
      <c r="K195" s="5" t="n">
        <v>67</v>
      </c>
    </row>
    <row r="196">
      <c r="A196" s="2" t="n">
        <v>46105.5</v>
      </c>
      <c r="B196">
        <f>TEXT(A196,"yyyy-mm")</f>
        <v/>
      </c>
      <c r="C196" s="3">
        <f>HOUR(A196)</f>
        <v/>
      </c>
      <c r="D196" s="4" t="n">
        <v>22.026708060125</v>
      </c>
      <c r="E196" s="4" t="n"/>
      <c r="F196" s="4" t="n"/>
      <c r="G196" s="4" t="n">
        <v>7.9</v>
      </c>
      <c r="H196" s="5" t="n">
        <v>37.70968849081389</v>
      </c>
      <c r="I196" s="5" t="n"/>
      <c r="J196" s="5" t="n"/>
      <c r="K196" s="5" t="n">
        <v>61</v>
      </c>
    </row>
    <row r="197">
      <c r="A197" s="2" t="n">
        <v>46105.54166666666</v>
      </c>
      <c r="B197">
        <f>TEXT(A197,"yyyy-mm")</f>
        <v/>
      </c>
      <c r="C197" s="3">
        <f>HOUR(A197)</f>
        <v/>
      </c>
      <c r="D197" s="4" t="n">
        <v>22.06696342663055</v>
      </c>
      <c r="E197" s="4" t="n"/>
      <c r="F197" s="4" t="n"/>
      <c r="G197" s="4" t="n">
        <v>8.300000000000001</v>
      </c>
      <c r="H197" s="5" t="n">
        <v>38.782057316425</v>
      </c>
      <c r="I197" s="5" t="n"/>
      <c r="J197" s="5" t="n"/>
      <c r="K197" s="5" t="n">
        <v>59</v>
      </c>
    </row>
    <row r="198">
      <c r="A198" s="2" t="n">
        <v>46105.58333333334</v>
      </c>
      <c r="B198">
        <f>TEXT(A198,"yyyy-mm")</f>
        <v/>
      </c>
      <c r="C198" s="3">
        <f>HOUR(A198)</f>
        <v/>
      </c>
      <c r="D198" s="4" t="n">
        <v>21.933972682275</v>
      </c>
      <c r="E198" s="4" t="n"/>
      <c r="F198" s="4" t="n"/>
      <c r="G198" s="4" t="n">
        <v>9.4</v>
      </c>
      <c r="H198" s="5" t="n">
        <v>38.45597279741944</v>
      </c>
      <c r="I198" s="5" t="n"/>
      <c r="J198" s="5" t="n"/>
      <c r="K198" s="5" t="n">
        <v>53</v>
      </c>
    </row>
    <row r="199">
      <c r="A199" s="2" t="n">
        <v>46105.625</v>
      </c>
      <c r="B199">
        <f>TEXT(A199,"yyyy-mm")</f>
        <v/>
      </c>
      <c r="C199" s="3">
        <f>HOUR(A199)</f>
        <v/>
      </c>
      <c r="D199" s="4" t="n">
        <v>21.76233808788611</v>
      </c>
      <c r="E199" s="4" t="n"/>
      <c r="F199" s="4" t="n"/>
      <c r="G199" s="4" t="n">
        <v>8.199999999999999</v>
      </c>
      <c r="H199" s="5" t="n">
        <v>37.77104452553611</v>
      </c>
      <c r="I199" s="5" t="n"/>
      <c r="J199" s="5" t="n"/>
      <c r="K199" s="5" t="n">
        <v>65</v>
      </c>
    </row>
    <row r="200">
      <c r="A200" s="2" t="n">
        <v>46105.66666666666</v>
      </c>
      <c r="B200">
        <f>TEXT(A200,"yyyy-mm")</f>
        <v/>
      </c>
      <c r="C200" s="3">
        <f>HOUR(A200)</f>
        <v/>
      </c>
      <c r="D200" s="4" t="n">
        <v>21.91390602161111</v>
      </c>
      <c r="E200" s="4" t="n"/>
      <c r="F200" s="4" t="n"/>
      <c r="G200" s="4" t="n">
        <v>7.1</v>
      </c>
      <c r="H200" s="5" t="n">
        <v>39.83745715930556</v>
      </c>
      <c r="I200" s="5" t="n"/>
      <c r="J200" s="5" t="n"/>
      <c r="K200" s="5" t="n">
        <v>74</v>
      </c>
    </row>
    <row r="201">
      <c r="A201" s="2" t="n">
        <v>46105.70833333334</v>
      </c>
      <c r="B201">
        <f>TEXT(A201,"yyyy-mm")</f>
        <v/>
      </c>
      <c r="C201" s="3">
        <f>HOUR(A201)</f>
        <v/>
      </c>
      <c r="D201" s="4" t="n">
        <v>21.98496762440277</v>
      </c>
      <c r="E201" s="4" t="n"/>
      <c r="F201" s="4" t="n"/>
      <c r="G201" s="4" t="n">
        <v>6.4</v>
      </c>
      <c r="H201" s="5" t="n">
        <v>40.72517455199444</v>
      </c>
      <c r="I201" s="5" t="n"/>
      <c r="J201" s="5" t="n"/>
      <c r="K201" s="5" t="n">
        <v>76</v>
      </c>
    </row>
    <row r="202">
      <c r="A202" s="2" t="n">
        <v>46105.75</v>
      </c>
      <c r="B202">
        <f>TEXT(A202,"yyyy-mm")</f>
        <v/>
      </c>
      <c r="C202" s="3">
        <f>HOUR(A202)</f>
        <v/>
      </c>
      <c r="D202" s="4" t="n">
        <v>22.00427770186389</v>
      </c>
      <c r="E202" s="4" t="n"/>
      <c r="F202" s="4" t="n"/>
      <c r="G202" s="4" t="n">
        <v>6.1</v>
      </c>
      <c r="H202" s="5" t="n">
        <v>41.13536507145833</v>
      </c>
      <c r="I202" s="5" t="n"/>
      <c r="J202" s="5" t="n"/>
      <c r="K202" s="5" t="n">
        <v>75</v>
      </c>
    </row>
    <row r="203">
      <c r="A203" s="2" t="n">
        <v>46105.79166666666</v>
      </c>
      <c r="B203">
        <f>TEXT(A203,"yyyy-mm")</f>
        <v/>
      </c>
      <c r="C203" s="3">
        <f>HOUR(A203)</f>
        <v/>
      </c>
      <c r="D203" s="4" t="n">
        <v>22.13208429367222</v>
      </c>
      <c r="E203" s="4" t="n"/>
      <c r="F203" s="4" t="n"/>
      <c r="G203" s="4" t="n">
        <v>6</v>
      </c>
      <c r="H203" s="5" t="n">
        <v>42.42189892899444</v>
      </c>
      <c r="I203" s="5" t="n"/>
      <c r="J203" s="5" t="n"/>
      <c r="K203" s="5" t="n">
        <v>74</v>
      </c>
    </row>
    <row r="204">
      <c r="A204" s="2" t="n">
        <v>46105.83333333334</v>
      </c>
      <c r="B204">
        <f>TEXT(A204,"yyyy-mm")</f>
        <v/>
      </c>
      <c r="C204" s="3">
        <f>HOUR(A204)</f>
        <v/>
      </c>
      <c r="D204" s="4" t="n">
        <v>22.32487722866945</v>
      </c>
      <c r="E204" s="4" t="n"/>
      <c r="F204" s="4" t="n"/>
      <c r="G204" s="4" t="n">
        <v>6.8</v>
      </c>
      <c r="H204" s="5" t="n">
        <v>43.22122444112778</v>
      </c>
      <c r="I204" s="5" t="n"/>
      <c r="J204" s="5" t="n"/>
      <c r="K204" s="5" t="n">
        <v>72</v>
      </c>
    </row>
    <row r="205">
      <c r="A205" s="2" t="n">
        <v>46105.875</v>
      </c>
      <c r="B205">
        <f>TEXT(A205,"yyyy-mm")</f>
        <v/>
      </c>
      <c r="C205" s="3">
        <f>HOUR(A205)</f>
        <v/>
      </c>
      <c r="D205" s="4" t="n">
        <v>22.346836999275</v>
      </c>
      <c r="E205" s="4" t="n"/>
      <c r="F205" s="4" t="n"/>
      <c r="G205" s="4" t="n">
        <v>6.7</v>
      </c>
      <c r="H205" s="5" t="n">
        <v>43.00739967598056</v>
      </c>
      <c r="I205" s="5" t="n"/>
      <c r="J205" s="5" t="n"/>
      <c r="K205" s="5" t="n">
        <v>73</v>
      </c>
    </row>
    <row r="206">
      <c r="A206" s="2" t="n">
        <v>46105.91666666666</v>
      </c>
      <c r="B206">
        <f>TEXT(A206,"yyyy-mm")</f>
        <v/>
      </c>
      <c r="C206" s="3">
        <f>HOUR(A206)</f>
        <v/>
      </c>
      <c r="D206" s="4" t="n">
        <v>22.54105881881944</v>
      </c>
      <c r="E206" s="4" t="n"/>
      <c r="F206" s="4" t="n"/>
      <c r="G206" s="4" t="n">
        <v>6.4</v>
      </c>
      <c r="H206" s="5" t="n">
        <v>44.10362360705556</v>
      </c>
      <c r="I206" s="5" t="n"/>
      <c r="J206" s="5" t="n"/>
      <c r="K206" s="5" t="n">
        <v>74</v>
      </c>
    </row>
    <row r="207">
      <c r="A207" s="2" t="n">
        <v>46105.95833333334</v>
      </c>
      <c r="B207">
        <f>TEXT(A207,"yyyy-mm")</f>
        <v/>
      </c>
      <c r="C207" s="3">
        <f>HOUR(A207)</f>
        <v/>
      </c>
      <c r="D207" s="4" t="n">
        <v>22.55531124512778</v>
      </c>
      <c r="E207" s="4" t="n"/>
      <c r="F207" s="4" t="n"/>
      <c r="G207" s="4" t="n">
        <v>6</v>
      </c>
      <c r="H207" s="5" t="n">
        <v>45.75517602294722</v>
      </c>
      <c r="I207" s="5" t="n"/>
      <c r="J207" s="5" t="n"/>
      <c r="K207" s="5" t="n">
        <v>77</v>
      </c>
    </row>
    <row r="208">
      <c r="A208" s="2" t="n">
        <v>46106</v>
      </c>
      <c r="B208">
        <f>TEXT(A208,"yyyy-mm")</f>
        <v/>
      </c>
      <c r="C208" s="3">
        <f>HOUR(A208)</f>
        <v/>
      </c>
      <c r="D208" s="4" t="n">
        <v>22.77470589751111</v>
      </c>
      <c r="E208" s="4" t="n"/>
      <c r="F208" s="4" t="n"/>
      <c r="G208" s="4" t="n">
        <v>5.5</v>
      </c>
      <c r="H208" s="5" t="n">
        <v>43.87633048343611</v>
      </c>
      <c r="I208" s="5" t="n"/>
      <c r="J208" s="5" t="n"/>
      <c r="K208" s="5" t="n">
        <v>80</v>
      </c>
    </row>
    <row r="209">
      <c r="A209" s="2" t="n">
        <v>46106.04166666666</v>
      </c>
      <c r="B209">
        <f>TEXT(A209,"yyyy-mm")</f>
        <v/>
      </c>
      <c r="C209" s="3">
        <f>HOUR(A209)</f>
        <v/>
      </c>
      <c r="D209" s="4" t="n">
        <v>22.57363998533611</v>
      </c>
      <c r="E209" s="4" t="n"/>
      <c r="F209" s="4" t="n"/>
      <c r="G209" s="4" t="n">
        <v>4.9</v>
      </c>
      <c r="H209" s="5" t="n">
        <v>43.20943141300278</v>
      </c>
      <c r="I209" s="5" t="n"/>
      <c r="J209" s="5" t="n"/>
      <c r="K209" s="5" t="n">
        <v>83</v>
      </c>
    </row>
    <row r="210">
      <c r="A210" s="2" t="n">
        <v>46106.08333333334</v>
      </c>
      <c r="B210">
        <f>TEXT(A210,"yyyy-mm")</f>
        <v/>
      </c>
      <c r="C210" s="3">
        <f>HOUR(A210)</f>
        <v/>
      </c>
      <c r="D210" s="4" t="n">
        <v>21.97012288237778</v>
      </c>
      <c r="E210" s="4" t="n"/>
      <c r="F210" s="4" t="n"/>
      <c r="G210" s="4" t="n">
        <v>3.7</v>
      </c>
      <c r="H210" s="5" t="n">
        <v>43.20486956282778</v>
      </c>
      <c r="I210" s="5" t="n"/>
      <c r="J210" s="5" t="n"/>
      <c r="K210" s="5" t="n">
        <v>78</v>
      </c>
    </row>
    <row r="211">
      <c r="A211" s="2" t="n">
        <v>46106.125</v>
      </c>
      <c r="B211">
        <f>TEXT(A211,"yyyy-mm")</f>
        <v/>
      </c>
      <c r="C211" s="3">
        <f>HOUR(A211)</f>
        <v/>
      </c>
      <c r="D211" s="4" t="n">
        <v>21.68738784872222</v>
      </c>
      <c r="E211" s="4" t="n"/>
      <c r="F211" s="4" t="n"/>
      <c r="G211" s="4" t="n">
        <v>4</v>
      </c>
      <c r="H211" s="5" t="n">
        <v>42.74050288138889</v>
      </c>
      <c r="I211" s="5" t="n"/>
      <c r="J211" s="5" t="n"/>
      <c r="K211" s="5" t="n">
        <v>78</v>
      </c>
    </row>
    <row r="212">
      <c r="A212" s="2" t="n">
        <v>46106.16666666666</v>
      </c>
      <c r="B212">
        <f>TEXT(A212,"yyyy-mm")</f>
        <v/>
      </c>
      <c r="C212" s="3">
        <f>HOUR(A212)</f>
        <v/>
      </c>
      <c r="D212" s="4" t="n">
        <v>21.52064482318611</v>
      </c>
      <c r="E212" s="4" t="n"/>
      <c r="F212" s="4" t="n"/>
      <c r="G212" s="4" t="n">
        <v>3.8</v>
      </c>
      <c r="H212" s="5" t="n">
        <v>42.35506615837777</v>
      </c>
      <c r="I212" s="5" t="n"/>
      <c r="J212" s="5" t="n"/>
      <c r="K212" s="5" t="n">
        <v>79</v>
      </c>
    </row>
    <row r="213">
      <c r="A213" s="2" t="n">
        <v>46106.20833333334</v>
      </c>
      <c r="B213">
        <f>TEXT(A213,"yyyy-mm")</f>
        <v/>
      </c>
      <c r="C213" s="3">
        <f>HOUR(A213)</f>
        <v/>
      </c>
      <c r="D213" s="4" t="n">
        <v>21.3964489968</v>
      </c>
      <c r="E213" s="4" t="n"/>
      <c r="F213" s="4" t="n"/>
      <c r="G213" s="4" t="n">
        <v>3.4</v>
      </c>
      <c r="H213" s="5" t="n">
        <v>42.14712944981945</v>
      </c>
      <c r="I213" s="5" t="n"/>
      <c r="J213" s="5" t="n"/>
      <c r="K213" s="5" t="n">
        <v>81</v>
      </c>
    </row>
    <row r="214">
      <c r="A214" s="2" t="n">
        <v>46106.25</v>
      </c>
      <c r="B214">
        <f>TEXT(A214,"yyyy-mm")</f>
        <v/>
      </c>
      <c r="C214" s="3">
        <f>HOUR(A214)</f>
        <v/>
      </c>
      <c r="D214" s="4" t="n">
        <v>21.32237590623611</v>
      </c>
      <c r="E214" s="4" t="n"/>
      <c r="F214" s="4" t="n"/>
      <c r="G214" s="4" t="n">
        <v>3.1</v>
      </c>
      <c r="H214" s="5" t="n">
        <v>41.93754363289445</v>
      </c>
      <c r="I214" s="5" t="n"/>
      <c r="J214" s="5" t="n"/>
      <c r="K214" s="5" t="n">
        <v>81</v>
      </c>
    </row>
    <row r="215">
      <c r="A215" s="2" t="n">
        <v>46106.29166666666</v>
      </c>
      <c r="B215">
        <f>TEXT(A215,"yyyy-mm")</f>
        <v/>
      </c>
      <c r="C215" s="3">
        <f>HOUR(A215)</f>
        <v/>
      </c>
      <c r="D215" s="4" t="n">
        <v>21.30811056609167</v>
      </c>
      <c r="E215" s="4" t="n"/>
      <c r="F215" s="4" t="n"/>
      <c r="G215" s="4" t="n">
        <v>3.3</v>
      </c>
      <c r="H215" s="5" t="n">
        <v>41.5681448475</v>
      </c>
      <c r="I215" s="5" t="n"/>
      <c r="J215" s="5" t="n"/>
      <c r="K215" s="5" t="n">
        <v>81</v>
      </c>
    </row>
    <row r="216">
      <c r="A216" s="2" t="n">
        <v>46106.33333333334</v>
      </c>
      <c r="B216">
        <f>TEXT(A216,"yyyy-mm")</f>
        <v/>
      </c>
      <c r="C216" s="3">
        <f>HOUR(A216)</f>
        <v/>
      </c>
      <c r="D216" s="4" t="n">
        <v>21.31648182954167</v>
      </c>
      <c r="E216" s="4" t="n"/>
      <c r="F216" s="4" t="n"/>
      <c r="G216" s="4" t="n">
        <v>4.1</v>
      </c>
      <c r="H216" s="5" t="n">
        <v>41.3406293641</v>
      </c>
      <c r="I216" s="5" t="n"/>
      <c r="J216" s="5" t="n"/>
      <c r="K216" s="5" t="n">
        <v>79</v>
      </c>
    </row>
    <row r="217">
      <c r="A217" s="2" t="n">
        <v>46106.375</v>
      </c>
      <c r="B217">
        <f>TEXT(A217,"yyyy-mm")</f>
        <v/>
      </c>
      <c r="C217" s="3">
        <f>HOUR(A217)</f>
        <v/>
      </c>
      <c r="D217" s="4" t="n">
        <v>21.45242525720555</v>
      </c>
      <c r="E217" s="4" t="n"/>
      <c r="F217" s="4" t="n"/>
      <c r="G217" s="4" t="n">
        <v>4.5</v>
      </c>
      <c r="H217" s="5" t="n">
        <v>40.89509049419723</v>
      </c>
      <c r="I217" s="5" t="n"/>
      <c r="J217" s="5" t="n"/>
      <c r="K217" s="5" t="n">
        <v>80</v>
      </c>
    </row>
    <row r="218">
      <c r="A218" s="2" t="n">
        <v>46106.41666666666</v>
      </c>
      <c r="B218">
        <f>TEXT(A218,"yyyy-mm")</f>
        <v/>
      </c>
      <c r="C218" s="3">
        <f>HOUR(A218)</f>
        <v/>
      </c>
      <c r="D218" s="4" t="n">
        <v>21.50487621890833</v>
      </c>
      <c r="E218" s="4" t="n"/>
      <c r="F218" s="4" t="n"/>
      <c r="G218" s="4" t="n">
        <v>6.2</v>
      </c>
      <c r="H218" s="5" t="n">
        <v>39.73101897161945</v>
      </c>
      <c r="I218" s="5" t="n"/>
      <c r="J218" s="5" t="n"/>
      <c r="K218" s="5" t="n">
        <v>76</v>
      </c>
    </row>
    <row r="219">
      <c r="A219" s="2" t="n">
        <v>46106.45833333334</v>
      </c>
      <c r="B219">
        <f>TEXT(A219,"yyyy-mm")</f>
        <v/>
      </c>
      <c r="C219" s="3">
        <f>HOUR(A219)</f>
        <v/>
      </c>
      <c r="D219" s="4" t="n">
        <v>21.70915264243889</v>
      </c>
      <c r="E219" s="4" t="n"/>
      <c r="F219" s="4" t="n"/>
      <c r="G219" s="4" t="n">
        <v>9.699999999999999</v>
      </c>
      <c r="H219" s="5" t="n">
        <v>39.69812836173333</v>
      </c>
      <c r="I219" s="5" t="n"/>
      <c r="J219" s="5" t="n"/>
      <c r="K219" s="5" t="n">
        <v>65</v>
      </c>
    </row>
    <row r="220">
      <c r="A220" s="2" t="n">
        <v>46106.5</v>
      </c>
      <c r="B220">
        <f>TEXT(A220,"yyyy-mm")</f>
        <v/>
      </c>
      <c r="C220" s="3">
        <f>HOUR(A220)</f>
        <v/>
      </c>
      <c r="D220" s="4" t="n">
        <v>21.99531223646945</v>
      </c>
      <c r="E220" s="4" t="n"/>
      <c r="F220" s="4" t="n"/>
      <c r="G220" s="4" t="n">
        <v>11.7</v>
      </c>
      <c r="H220" s="5" t="n">
        <v>39.29133401991667</v>
      </c>
      <c r="I220" s="5" t="n"/>
      <c r="J220" s="5" t="n"/>
      <c r="K220" s="5" t="n">
        <v>53</v>
      </c>
    </row>
    <row r="221">
      <c r="A221" s="2" t="n">
        <v>46106.54166666666</v>
      </c>
      <c r="B221">
        <f>TEXT(A221,"yyyy-mm")</f>
        <v/>
      </c>
      <c r="C221" s="3">
        <f>HOUR(A221)</f>
        <v/>
      </c>
      <c r="D221" s="4" t="n">
        <v>22.06609066396111</v>
      </c>
      <c r="E221" s="4" t="n"/>
      <c r="F221" s="4" t="n"/>
      <c r="G221" s="4" t="n">
        <v>12.5</v>
      </c>
      <c r="H221" s="5" t="n">
        <v>39.76185959709166</v>
      </c>
      <c r="I221" s="5" t="n"/>
      <c r="J221" s="5" t="n"/>
      <c r="K221" s="5" t="n">
        <v>48</v>
      </c>
    </row>
    <row r="222">
      <c r="A222" s="2" t="n">
        <v>46106.58333333334</v>
      </c>
      <c r="B222">
        <f>TEXT(A222,"yyyy-mm")</f>
        <v/>
      </c>
      <c r="C222" s="3">
        <f>HOUR(A222)</f>
        <v/>
      </c>
      <c r="D222" s="4" t="n">
        <v>21.91933246152222</v>
      </c>
      <c r="E222" s="4" t="n"/>
      <c r="F222" s="4" t="n"/>
      <c r="G222" s="4" t="n">
        <v>12.8</v>
      </c>
      <c r="H222" s="5" t="n">
        <v>39.51039636481111</v>
      </c>
      <c r="I222" s="5" t="n"/>
      <c r="J222" s="5" t="n"/>
      <c r="K222" s="5" t="n">
        <v>48</v>
      </c>
    </row>
    <row r="223">
      <c r="A223" s="2" t="n">
        <v>46106.625</v>
      </c>
      <c r="B223">
        <f>TEXT(A223,"yyyy-mm")</f>
        <v/>
      </c>
      <c r="C223" s="3">
        <f>HOUR(A223)</f>
        <v/>
      </c>
      <c r="D223" s="4" t="n">
        <v>21.97445648793611</v>
      </c>
      <c r="E223" s="4" t="n"/>
      <c r="F223" s="4" t="n"/>
      <c r="G223" s="4" t="n">
        <v>13</v>
      </c>
      <c r="H223" s="5" t="n">
        <v>39.37845321456667</v>
      </c>
      <c r="I223" s="5" t="n"/>
      <c r="J223" s="5" t="n"/>
      <c r="K223" s="5" t="n">
        <v>46</v>
      </c>
    </row>
    <row r="224">
      <c r="A224" s="2" t="n">
        <v>46106.66666666666</v>
      </c>
      <c r="B224">
        <f>TEXT(A224,"yyyy-mm")</f>
        <v/>
      </c>
      <c r="C224" s="3">
        <f>HOUR(A224)</f>
        <v/>
      </c>
      <c r="D224" s="4" t="n">
        <v>21.85610432591666</v>
      </c>
      <c r="E224" s="4" t="n"/>
      <c r="F224" s="4" t="n"/>
      <c r="G224" s="4" t="n">
        <v>12.6</v>
      </c>
      <c r="H224" s="5" t="n">
        <v>38.92406773119445</v>
      </c>
      <c r="I224" s="5" t="n"/>
      <c r="J224" s="5" t="n"/>
      <c r="K224" s="5" t="n">
        <v>51</v>
      </c>
    </row>
    <row r="225">
      <c r="A225" s="2" t="n">
        <v>46106.70833333334</v>
      </c>
      <c r="B225">
        <f>TEXT(A225,"yyyy-mm")</f>
        <v/>
      </c>
      <c r="C225" s="3">
        <f>HOUR(A225)</f>
        <v/>
      </c>
      <c r="D225" s="4" t="n">
        <v>20.61272463333611</v>
      </c>
      <c r="E225" s="4" t="n"/>
      <c r="F225" s="4" t="n"/>
      <c r="G225" s="4" t="n">
        <v>11.7</v>
      </c>
      <c r="H225" s="5" t="n">
        <v>32.76937711385555</v>
      </c>
      <c r="I225" s="5" t="n"/>
      <c r="J225" s="5" t="n"/>
      <c r="K225" s="5" t="n">
        <v>57</v>
      </c>
    </row>
    <row r="226">
      <c r="A226" s="2" t="n">
        <v>46106.75</v>
      </c>
      <c r="B226">
        <f>TEXT(A226,"yyyy-mm")</f>
        <v/>
      </c>
      <c r="C226" s="3">
        <f>HOUR(A226)</f>
        <v/>
      </c>
      <c r="D226" s="4" t="n">
        <v>20.871819826825</v>
      </c>
      <c r="E226" s="4" t="n"/>
      <c r="F226" s="4" t="n"/>
      <c r="G226" s="4" t="n">
        <v>10</v>
      </c>
      <c r="H226" s="5" t="n">
        <v>35.17475183210833</v>
      </c>
      <c r="I226" s="5" t="n"/>
      <c r="J226" s="5" t="n"/>
      <c r="K226" s="5" t="n">
        <v>61</v>
      </c>
    </row>
    <row r="227">
      <c r="A227" s="2" t="n">
        <v>46106.79166666666</v>
      </c>
      <c r="B227">
        <f>TEXT(A227,"yyyy-mm")</f>
        <v/>
      </c>
      <c r="C227" s="3">
        <f>HOUR(A227)</f>
        <v/>
      </c>
      <c r="D227" s="4" t="n">
        <v>21.25679560255833</v>
      </c>
      <c r="E227" s="4" t="n"/>
      <c r="F227" s="4" t="n"/>
      <c r="G227" s="4" t="n">
        <v>9.300000000000001</v>
      </c>
      <c r="H227" s="5" t="n">
        <v>42.43329687854722</v>
      </c>
      <c r="I227" s="5" t="n"/>
      <c r="J227" s="5" t="n"/>
      <c r="K227" s="5" t="n">
        <v>62</v>
      </c>
    </row>
    <row r="228">
      <c r="A228" s="2" t="n">
        <v>46106.83333333334</v>
      </c>
      <c r="B228">
        <f>TEXT(A228,"yyyy-mm")</f>
        <v/>
      </c>
      <c r="C228" s="3">
        <f>HOUR(A228)</f>
        <v/>
      </c>
      <c r="D228" s="4" t="n">
        <v>21.3039607426</v>
      </c>
      <c r="E228" s="4" t="n"/>
      <c r="F228" s="4" t="n"/>
      <c r="G228" s="4" t="n">
        <v>9.300000000000001</v>
      </c>
      <c r="H228" s="5" t="n">
        <v>45.06187817096666</v>
      </c>
      <c r="I228" s="5" t="n"/>
      <c r="J228" s="5" t="n"/>
      <c r="K228" s="5" t="n">
        <v>62</v>
      </c>
    </row>
    <row r="229">
      <c r="A229" s="2" t="n">
        <v>46106.875</v>
      </c>
      <c r="B229">
        <f>TEXT(A229,"yyyy-mm")</f>
        <v/>
      </c>
      <c r="C229" s="3">
        <f>HOUR(A229)</f>
        <v/>
      </c>
      <c r="D229" s="4" t="n">
        <v>21.35168117344444</v>
      </c>
      <c r="E229" s="4" t="n"/>
      <c r="F229" s="4" t="n"/>
      <c r="G229" s="4" t="n">
        <v>8.4</v>
      </c>
      <c r="H229" s="5" t="n">
        <v>44.44788091656389</v>
      </c>
      <c r="I229" s="5" t="n"/>
      <c r="J229" s="5" t="n"/>
      <c r="K229" s="5" t="n">
        <v>64</v>
      </c>
    </row>
    <row r="230">
      <c r="A230" s="2" t="n">
        <v>46106.91666666666</v>
      </c>
      <c r="B230">
        <f>TEXT(A230,"yyyy-mm")</f>
        <v/>
      </c>
      <c r="C230" s="3">
        <f>HOUR(A230)</f>
        <v/>
      </c>
      <c r="D230" s="4" t="n">
        <v>21.85071952117778</v>
      </c>
      <c r="E230" s="4" t="n"/>
      <c r="F230" s="4" t="n"/>
      <c r="G230" s="4" t="n">
        <v>7.8</v>
      </c>
      <c r="H230" s="5" t="n">
        <v>42.06361874345</v>
      </c>
      <c r="I230" s="5" t="n"/>
      <c r="J230" s="5" t="n"/>
      <c r="K230" s="5" t="n">
        <v>65</v>
      </c>
    </row>
    <row r="231">
      <c r="A231" s="2" t="n">
        <v>46106.95833333334</v>
      </c>
      <c r="B231">
        <f>TEXT(A231,"yyyy-mm")</f>
        <v/>
      </c>
      <c r="C231" s="3">
        <f>HOUR(A231)</f>
        <v/>
      </c>
      <c r="D231" s="4" t="n">
        <v>22.04929832538056</v>
      </c>
      <c r="E231" s="4" t="n"/>
      <c r="F231" s="4" t="n"/>
      <c r="G231" s="4" t="n">
        <v>7.8</v>
      </c>
      <c r="H231" s="5" t="n">
        <v>40.49643887798612</v>
      </c>
      <c r="I231" s="5" t="n"/>
      <c r="J231" s="5" t="n"/>
      <c r="K231" s="5" t="n">
        <v>63</v>
      </c>
    </row>
    <row r="232">
      <c r="A232" s="2" t="n">
        <v>46107</v>
      </c>
      <c r="B232">
        <f>TEXT(A232,"yyyy-mm")</f>
        <v/>
      </c>
      <c r="C232" s="3">
        <f>HOUR(A232)</f>
        <v/>
      </c>
      <c r="D232" s="4" t="n">
        <v>21.90798186621944</v>
      </c>
      <c r="E232" s="4" t="n"/>
      <c r="F232" s="4" t="n"/>
      <c r="G232" s="4" t="n">
        <v>7.2</v>
      </c>
      <c r="H232" s="5" t="n">
        <v>39.86922864245556</v>
      </c>
      <c r="I232" s="5" t="n"/>
      <c r="J232" s="5" t="n"/>
      <c r="K232" s="5" t="n">
        <v>63</v>
      </c>
    </row>
    <row r="233">
      <c r="A233" s="2" t="n">
        <v>46107.04166666666</v>
      </c>
      <c r="B233">
        <f>TEXT(A233,"yyyy-mm")</f>
        <v/>
      </c>
      <c r="C233" s="3">
        <f>HOUR(A233)</f>
        <v/>
      </c>
      <c r="D233" s="4" t="n">
        <v>21.85969855468055</v>
      </c>
      <c r="E233" s="4" t="n"/>
      <c r="F233" s="4" t="n"/>
      <c r="G233" s="4" t="n">
        <v>5.8</v>
      </c>
      <c r="H233" s="5" t="n">
        <v>39.30564755136667</v>
      </c>
      <c r="I233" s="5" t="n"/>
      <c r="J233" s="5" t="n"/>
      <c r="K233" s="5" t="n">
        <v>66</v>
      </c>
    </row>
    <row r="234">
      <c r="A234" s="2" t="n">
        <v>46107.08333333334</v>
      </c>
      <c r="B234">
        <f>TEXT(A234,"yyyy-mm")</f>
        <v/>
      </c>
      <c r="C234" s="3">
        <f>HOUR(A234)</f>
        <v/>
      </c>
      <c r="D234" s="4" t="n">
        <v>21.438387353525</v>
      </c>
      <c r="E234" s="4" t="n"/>
      <c r="F234" s="4" t="n"/>
      <c r="G234" s="4" t="n">
        <v>5.7</v>
      </c>
      <c r="H234" s="5" t="n">
        <v>39.44200955627777</v>
      </c>
      <c r="I234" s="5" t="n"/>
      <c r="J234" s="5" t="n"/>
      <c r="K234" s="5" t="n">
        <v>69</v>
      </c>
    </row>
    <row r="235">
      <c r="A235" s="2" t="n">
        <v>46107.125</v>
      </c>
      <c r="B235">
        <f>TEXT(A235,"yyyy-mm")</f>
        <v/>
      </c>
      <c r="C235" s="3">
        <f>HOUR(A235)</f>
        <v/>
      </c>
      <c r="D235" s="4" t="n">
        <v>21.20646080076111</v>
      </c>
      <c r="E235" s="4" t="n"/>
      <c r="F235" s="4" t="n"/>
      <c r="G235" s="4" t="n">
        <v>5.4</v>
      </c>
      <c r="H235" s="5" t="n">
        <v>39.46035271604167</v>
      </c>
      <c r="I235" s="5" t="n"/>
      <c r="J235" s="5" t="n"/>
      <c r="K235" s="5" t="n">
        <v>70</v>
      </c>
    </row>
    <row r="236">
      <c r="A236" s="2" t="n">
        <v>46107.16666666666</v>
      </c>
      <c r="B236">
        <f>TEXT(A236,"yyyy-mm")</f>
        <v/>
      </c>
      <c r="C236" s="3">
        <f>HOUR(A236)</f>
        <v/>
      </c>
      <c r="D236" s="4" t="n">
        <v>21.03354695432778</v>
      </c>
      <c r="E236" s="4" t="n"/>
      <c r="F236" s="4" t="n"/>
      <c r="G236" s="4" t="n">
        <v>4.9</v>
      </c>
      <c r="H236" s="5" t="n">
        <v>39.15385743597778</v>
      </c>
      <c r="I236" s="5" t="n"/>
      <c r="J236" s="5" t="n"/>
      <c r="K236" s="5" t="n">
        <v>71</v>
      </c>
    </row>
    <row r="237">
      <c r="A237" s="2" t="n">
        <v>46107.20833333334</v>
      </c>
      <c r="B237">
        <f>TEXT(A237,"yyyy-mm")</f>
        <v/>
      </c>
      <c r="C237" s="3">
        <f>HOUR(A237)</f>
        <v/>
      </c>
      <c r="D237" s="4" t="n">
        <v>20.95687719528333</v>
      </c>
      <c r="E237" s="4" t="n"/>
      <c r="F237" s="4" t="n"/>
      <c r="G237" s="4" t="n">
        <v>4.3</v>
      </c>
      <c r="H237" s="5" t="n">
        <v>39.00864074263889</v>
      </c>
      <c r="I237" s="5" t="n"/>
      <c r="J237" s="5" t="n"/>
      <c r="K237" s="5" t="n">
        <v>73</v>
      </c>
    </row>
    <row r="238">
      <c r="A238" s="2" t="n">
        <v>46107.25</v>
      </c>
      <c r="B238">
        <f>TEXT(A238,"yyyy-mm")</f>
        <v/>
      </c>
      <c r="C238" s="3">
        <f>HOUR(A238)</f>
        <v/>
      </c>
      <c r="D238" s="4" t="n">
        <v>21.66011935256667</v>
      </c>
      <c r="E238" s="4" t="n"/>
      <c r="F238" s="4" t="n"/>
      <c r="G238" s="4" t="n">
        <v>4</v>
      </c>
      <c r="H238" s="5" t="n">
        <v>37.41584893195</v>
      </c>
      <c r="I238" s="5" t="n"/>
      <c r="J238" s="5" t="n"/>
      <c r="K238" s="5" t="n">
        <v>74</v>
      </c>
    </row>
    <row r="239">
      <c r="A239" s="2" t="n">
        <v>46107.29166666666</v>
      </c>
      <c r="B239">
        <f>TEXT(A239,"yyyy-mm")</f>
        <v/>
      </c>
      <c r="C239" s="3">
        <f>HOUR(A239)</f>
        <v/>
      </c>
      <c r="D239" s="4" t="n">
        <v>22.43574393035833</v>
      </c>
      <c r="E239" s="4" t="n"/>
      <c r="F239" s="4" t="n"/>
      <c r="G239" s="4" t="n">
        <v>5.3</v>
      </c>
      <c r="H239" s="5" t="n">
        <v>35.42776565889445</v>
      </c>
      <c r="I239" s="5" t="n"/>
      <c r="J239" s="5" t="n"/>
      <c r="K239" s="5" t="n">
        <v>72</v>
      </c>
    </row>
    <row r="240">
      <c r="A240" s="2" t="n">
        <v>46107.33333333334</v>
      </c>
      <c r="B240">
        <f>TEXT(A240,"yyyy-mm")</f>
        <v/>
      </c>
      <c r="C240" s="3">
        <f>HOUR(A240)</f>
        <v/>
      </c>
      <c r="D240" s="4" t="n">
        <v>23.04133286837778</v>
      </c>
      <c r="E240" s="4" t="n"/>
      <c r="F240" s="4" t="n"/>
      <c r="G240" s="4" t="n">
        <v>7.6</v>
      </c>
      <c r="H240" s="5" t="n">
        <v>35.49292289725278</v>
      </c>
      <c r="I240" s="5" t="n"/>
      <c r="J240" s="5" t="n"/>
      <c r="K240" s="5" t="n">
        <v>67</v>
      </c>
    </row>
    <row r="241">
      <c r="A241" s="2" t="n">
        <v>46107.375</v>
      </c>
      <c r="B241">
        <f>TEXT(A241,"yyyy-mm")</f>
        <v/>
      </c>
      <c r="C241" s="3">
        <f>HOUR(A241)</f>
        <v/>
      </c>
      <c r="D241" s="4" t="n">
        <v>23.33923002104722</v>
      </c>
      <c r="E241" s="4" t="n"/>
      <c r="F241" s="4" t="n"/>
      <c r="G241" s="4" t="n">
        <v>10.1</v>
      </c>
      <c r="H241" s="5" t="n">
        <v>36.15343105922778</v>
      </c>
      <c r="I241" s="5" t="n"/>
      <c r="J241" s="5" t="n"/>
      <c r="K241" s="5" t="n">
        <v>61</v>
      </c>
    </row>
    <row r="242">
      <c r="A242" s="2" t="n">
        <v>46107.41666666666</v>
      </c>
      <c r="B242">
        <f>TEXT(A242,"yyyy-mm")</f>
        <v/>
      </c>
      <c r="C242" s="3">
        <f>HOUR(A242)</f>
        <v/>
      </c>
      <c r="D242" s="4" t="n">
        <v>23.283068615075</v>
      </c>
      <c r="E242" s="4" t="n"/>
      <c r="F242" s="4" t="n"/>
      <c r="G242" s="4" t="n">
        <v>12.7</v>
      </c>
      <c r="H242" s="5" t="n">
        <v>37.19465557781111</v>
      </c>
      <c r="I242" s="5" t="n"/>
      <c r="J242" s="5" t="n"/>
      <c r="K242" s="5" t="n">
        <v>55</v>
      </c>
    </row>
    <row r="243">
      <c r="A243" s="2" t="n">
        <v>46107.45833333334</v>
      </c>
      <c r="B243">
        <f>TEXT(A243,"yyyy-mm")</f>
        <v/>
      </c>
      <c r="C243" s="3">
        <f>HOUR(A243)</f>
        <v/>
      </c>
      <c r="D243" s="4" t="n">
        <v>22.73349723258056</v>
      </c>
      <c r="E243" s="4" t="n"/>
      <c r="F243" s="4" t="n"/>
      <c r="G243" s="4" t="n">
        <v>14.4</v>
      </c>
      <c r="H243" s="5" t="n">
        <v>32.43138437264444</v>
      </c>
      <c r="I243" s="5" t="n"/>
      <c r="J243" s="5" t="n"/>
      <c r="K243" s="5" t="n">
        <v>50</v>
      </c>
    </row>
    <row r="244">
      <c r="A244" s="2" t="n">
        <v>46107.5</v>
      </c>
      <c r="B244">
        <f>TEXT(A244,"yyyy-mm")</f>
        <v/>
      </c>
      <c r="C244" s="3">
        <f>HOUR(A244)</f>
        <v/>
      </c>
      <c r="D244" s="4" t="n">
        <v>22.10273767549444</v>
      </c>
      <c r="E244" s="4" t="n"/>
      <c r="F244" s="4" t="n"/>
      <c r="G244" s="4" t="n">
        <v>15</v>
      </c>
      <c r="H244" s="5" t="n">
        <v>27.05664509449445</v>
      </c>
      <c r="I244" s="5" t="n"/>
      <c r="J244" s="5" t="n"/>
      <c r="K244" s="5" t="n">
        <v>49</v>
      </c>
    </row>
    <row r="245">
      <c r="A245" s="2" t="n">
        <v>46107.54166666666</v>
      </c>
      <c r="B245">
        <f>TEXT(A245,"yyyy-mm")</f>
        <v/>
      </c>
      <c r="C245" s="3">
        <f>HOUR(A245)</f>
        <v/>
      </c>
      <c r="D245" s="4" t="n">
        <v>21.95422992595</v>
      </c>
      <c r="E245" s="4" t="n"/>
      <c r="F245" s="4" t="n"/>
      <c r="G245" s="4" t="n">
        <v>15.4</v>
      </c>
      <c r="H245" s="5" t="n">
        <v>27.83228154221111</v>
      </c>
      <c r="I245" s="5" t="n"/>
      <c r="J245" s="5" t="n"/>
      <c r="K245" s="5" t="n">
        <v>50</v>
      </c>
    </row>
    <row r="246">
      <c r="A246" s="2" t="n">
        <v>46107.58333333334</v>
      </c>
      <c r="B246">
        <f>TEXT(A246,"yyyy-mm")</f>
        <v/>
      </c>
      <c r="C246" s="3">
        <f>HOUR(A246)</f>
        <v/>
      </c>
      <c r="D246" s="4" t="n">
        <v>21.50655444434723</v>
      </c>
      <c r="E246" s="4" t="n"/>
      <c r="F246" s="4" t="n"/>
      <c r="G246" s="4" t="n">
        <v>15.7</v>
      </c>
      <c r="H246" s="5" t="n">
        <v>27.70417200367222</v>
      </c>
      <c r="I246" s="5" t="n"/>
      <c r="J246" s="5" t="n"/>
      <c r="K246" s="5" t="n">
        <v>49</v>
      </c>
    </row>
    <row r="247">
      <c r="A247" s="2" t="n">
        <v>46107.625</v>
      </c>
      <c r="B247">
        <f>TEXT(A247,"yyyy-mm")</f>
        <v/>
      </c>
      <c r="C247" s="3">
        <f>HOUR(A247)</f>
        <v/>
      </c>
      <c r="D247" s="4" t="n">
        <v>21.156473583875</v>
      </c>
      <c r="E247" s="4" t="n"/>
      <c r="F247" s="4" t="n"/>
      <c r="G247" s="4" t="n">
        <v>15.8</v>
      </c>
      <c r="H247" s="5" t="n">
        <v>25.48373543768055</v>
      </c>
      <c r="I247" s="5" t="n"/>
      <c r="J247" s="5" t="n"/>
      <c r="K247" s="5" t="n">
        <v>49</v>
      </c>
    </row>
    <row r="248">
      <c r="A248" s="2" t="n">
        <v>46107.66666666666</v>
      </c>
      <c r="B248">
        <f>TEXT(A248,"yyyy-mm")</f>
        <v/>
      </c>
      <c r="C248" s="3">
        <f>HOUR(A248)</f>
        <v/>
      </c>
      <c r="D248" s="4" t="n">
        <v>21.26005620476944</v>
      </c>
      <c r="E248" s="4" t="n"/>
      <c r="F248" s="4" t="n"/>
      <c r="G248" s="4" t="n">
        <v>15.3</v>
      </c>
      <c r="H248" s="5" t="n">
        <v>26.03394472327777</v>
      </c>
      <c r="I248" s="5" t="n"/>
      <c r="J248" s="5" t="n"/>
      <c r="K248" s="5" t="n">
        <v>53</v>
      </c>
    </row>
    <row r="249">
      <c r="A249" s="2" t="n">
        <v>46107.70833333334</v>
      </c>
      <c r="B249">
        <f>TEXT(A249,"yyyy-mm")</f>
        <v/>
      </c>
      <c r="C249" s="3">
        <f>HOUR(A249)</f>
        <v/>
      </c>
      <c r="D249" s="4" t="n">
        <v>21.65420792865278</v>
      </c>
      <c r="E249" s="4" t="n"/>
      <c r="F249" s="4" t="n"/>
      <c r="G249" s="4" t="n">
        <v>14</v>
      </c>
      <c r="H249" s="5" t="n">
        <v>28.464103546975</v>
      </c>
      <c r="I249" s="5" t="n"/>
      <c r="J249" s="5" t="n"/>
      <c r="K249" s="5" t="n">
        <v>61</v>
      </c>
    </row>
    <row r="250">
      <c r="A250" s="2" t="n">
        <v>46107.75</v>
      </c>
      <c r="B250">
        <f>TEXT(A250,"yyyy-mm")</f>
        <v/>
      </c>
      <c r="C250" s="3">
        <f>HOUR(A250)</f>
        <v/>
      </c>
      <c r="D250" s="4" t="n">
        <v>21.88678968446944</v>
      </c>
      <c r="E250" s="4" t="n"/>
      <c r="F250" s="4" t="n"/>
      <c r="G250" s="4" t="n">
        <v>12.3</v>
      </c>
      <c r="H250" s="5" t="n">
        <v>31.79940866522223</v>
      </c>
      <c r="I250" s="5" t="n"/>
      <c r="J250" s="5" t="n"/>
      <c r="K250" s="5" t="n">
        <v>66</v>
      </c>
    </row>
    <row r="251">
      <c r="A251" s="2" t="n">
        <v>46107.79166666666</v>
      </c>
      <c r="B251">
        <f>TEXT(A251,"yyyy-mm")</f>
        <v/>
      </c>
      <c r="C251" s="3">
        <f>HOUR(A251)</f>
        <v/>
      </c>
      <c r="D251" s="4" t="n">
        <v>21.99231020219445</v>
      </c>
      <c r="E251" s="4" t="n"/>
      <c r="F251" s="4" t="n"/>
      <c r="G251" s="4" t="n">
        <v>11.3</v>
      </c>
      <c r="H251" s="5" t="n">
        <v>35.69947848978055</v>
      </c>
      <c r="I251" s="5" t="n"/>
      <c r="J251" s="5" t="n"/>
      <c r="K251" s="5" t="n">
        <v>68</v>
      </c>
    </row>
    <row r="252">
      <c r="A252" s="2" t="n">
        <v>46107.83333333334</v>
      </c>
      <c r="B252">
        <f>TEXT(A252,"yyyy-mm")</f>
        <v/>
      </c>
      <c r="C252" s="3">
        <f>HOUR(A252)</f>
        <v/>
      </c>
      <c r="D252" s="4" t="n">
        <v>22.10270183607778</v>
      </c>
      <c r="E252" s="4" t="n"/>
      <c r="F252" s="4" t="n"/>
      <c r="G252" s="4" t="n">
        <v>11.2</v>
      </c>
      <c r="H252" s="5" t="n">
        <v>37.08715596963334</v>
      </c>
      <c r="I252" s="5" t="n"/>
      <c r="J252" s="5" t="n"/>
      <c r="K252" s="5" t="n">
        <v>76</v>
      </c>
    </row>
    <row r="253">
      <c r="A253" s="2" t="n">
        <v>46107.875</v>
      </c>
      <c r="B253">
        <f>TEXT(A253,"yyyy-mm")</f>
        <v/>
      </c>
      <c r="C253" s="3">
        <f>HOUR(A253)</f>
        <v/>
      </c>
      <c r="D253" s="4" t="n">
        <v>22.26506477803611</v>
      </c>
      <c r="E253" s="4" t="n"/>
      <c r="F253" s="4" t="n"/>
      <c r="G253" s="4" t="n">
        <v>10.3</v>
      </c>
      <c r="H253" s="5" t="n">
        <v>37.50437962072222</v>
      </c>
      <c r="I253" s="5" t="n"/>
      <c r="J253" s="5" t="n"/>
      <c r="K253" s="5" t="n">
        <v>84</v>
      </c>
    </row>
    <row r="254">
      <c r="A254" s="2" t="n">
        <v>46107.91666666666</v>
      </c>
      <c r="B254">
        <f>TEXT(A254,"yyyy-mm")</f>
        <v/>
      </c>
      <c r="C254" s="3">
        <f>HOUR(A254)</f>
        <v/>
      </c>
      <c r="D254" s="4" t="n">
        <v>22.73887697793889</v>
      </c>
      <c r="E254" s="4" t="n"/>
      <c r="F254" s="4" t="n"/>
      <c r="G254" s="4" t="n">
        <v>9.800000000000001</v>
      </c>
      <c r="H254" s="5" t="n">
        <v>38.64690970865556</v>
      </c>
      <c r="I254" s="5" t="n"/>
      <c r="J254" s="5" t="n"/>
      <c r="K254" s="5" t="n">
        <v>88</v>
      </c>
    </row>
    <row r="255">
      <c r="A255" s="2" t="n">
        <v>46107.95833333334</v>
      </c>
      <c r="B255">
        <f>TEXT(A255,"yyyy-mm")</f>
        <v/>
      </c>
      <c r="C255" s="3">
        <f>HOUR(A255)</f>
        <v/>
      </c>
      <c r="D255" s="4" t="n">
        <v>23.04911870935</v>
      </c>
      <c r="E255" s="4" t="n"/>
      <c r="F255" s="4" t="n"/>
      <c r="G255" s="4" t="n">
        <v>9.6</v>
      </c>
      <c r="H255" s="5" t="n">
        <v>37.92878029553055</v>
      </c>
      <c r="I255" s="5" t="n"/>
      <c r="J255" s="5" t="n"/>
      <c r="K255" s="5" t="n">
        <v>89</v>
      </c>
    </row>
    <row r="256">
      <c r="A256" s="2" t="n">
        <v>46108</v>
      </c>
      <c r="B256">
        <f>TEXT(A256,"yyyy-mm")</f>
        <v/>
      </c>
      <c r="C256" s="3">
        <f>HOUR(A256)</f>
        <v/>
      </c>
      <c r="D256" s="4" t="n">
        <v>23.05368604284167</v>
      </c>
      <c r="E256" s="4" t="n"/>
      <c r="F256" s="4" t="n"/>
      <c r="G256" s="4" t="n">
        <v>9.4</v>
      </c>
      <c r="H256" s="5" t="n">
        <v>38.6994327452</v>
      </c>
      <c r="I256" s="5" t="n"/>
      <c r="J256" s="5" t="n"/>
      <c r="K256" s="5" t="n">
        <v>90</v>
      </c>
    </row>
    <row r="257">
      <c r="A257" s="2" t="n">
        <v>46108.04166666666</v>
      </c>
      <c r="B257">
        <f>TEXT(A257,"yyyy-mm")</f>
        <v/>
      </c>
      <c r="C257" s="3">
        <f>HOUR(A257)</f>
        <v/>
      </c>
      <c r="D257" s="4" t="n">
        <v>22.68026642596389</v>
      </c>
      <c r="E257" s="4" t="n"/>
      <c r="F257" s="4" t="n"/>
      <c r="G257" s="4" t="n">
        <v>9</v>
      </c>
      <c r="H257" s="5" t="n">
        <v>40.63982738548333</v>
      </c>
      <c r="I257" s="5" t="n"/>
      <c r="J257" s="5" t="n"/>
      <c r="K257" s="5" t="n">
        <v>91</v>
      </c>
    </row>
    <row r="258">
      <c r="A258" s="2" t="n">
        <v>46108.08333333334</v>
      </c>
      <c r="B258">
        <f>TEXT(A258,"yyyy-mm")</f>
        <v/>
      </c>
      <c r="C258" s="3">
        <f>HOUR(A258)</f>
        <v/>
      </c>
      <c r="D258" s="4" t="n">
        <v>22.31395594822777</v>
      </c>
      <c r="E258" s="4" t="n"/>
      <c r="F258" s="4" t="n"/>
      <c r="G258" s="4" t="n">
        <v>9.1</v>
      </c>
      <c r="H258" s="5" t="n">
        <v>40.48467408930556</v>
      </c>
      <c r="I258" s="5" t="n"/>
      <c r="J258" s="5" t="n"/>
      <c r="K258" s="5" t="n">
        <v>90</v>
      </c>
    </row>
    <row r="259">
      <c r="A259" s="2" t="n">
        <v>46108.125</v>
      </c>
      <c r="B259">
        <f>TEXT(A259,"yyyy-mm")</f>
        <v/>
      </c>
      <c r="C259" s="3">
        <f>HOUR(A259)</f>
        <v/>
      </c>
      <c r="D259" s="4" t="n">
        <v>22.13862744462778</v>
      </c>
      <c r="E259" s="4" t="n"/>
      <c r="F259" s="4" t="n"/>
      <c r="G259" s="4" t="n">
        <v>8.800000000000001</v>
      </c>
      <c r="H259" s="5" t="n">
        <v>40.75239689595278</v>
      </c>
      <c r="I259" s="5" t="n"/>
      <c r="J259" s="5" t="n"/>
      <c r="K259" s="5" t="n">
        <v>92</v>
      </c>
    </row>
    <row r="260">
      <c r="A260" s="2" t="n">
        <v>46108.16666666666</v>
      </c>
      <c r="B260">
        <f>TEXT(A260,"yyyy-mm")</f>
        <v/>
      </c>
      <c r="C260" s="3">
        <f>HOUR(A260)</f>
        <v/>
      </c>
      <c r="D260" s="4" t="n">
        <v>22.03798239825278</v>
      </c>
      <c r="E260" s="4" t="n"/>
      <c r="F260" s="4" t="n"/>
      <c r="G260" s="4" t="n">
        <v>8.300000000000001</v>
      </c>
      <c r="H260" s="5" t="n">
        <v>41.20795404519445</v>
      </c>
      <c r="I260" s="5" t="n"/>
      <c r="J260" s="5" t="n"/>
      <c r="K260" s="5" t="n">
        <v>95</v>
      </c>
    </row>
    <row r="261">
      <c r="A261" s="2" t="n">
        <v>46108.20833333334</v>
      </c>
      <c r="B261">
        <f>TEXT(A261,"yyyy-mm")</f>
        <v/>
      </c>
      <c r="C261" s="3">
        <f>HOUR(A261)</f>
        <v/>
      </c>
      <c r="D261" s="4" t="n">
        <v>22.07270247319722</v>
      </c>
      <c r="E261" s="4" t="n"/>
      <c r="F261" s="4" t="n"/>
      <c r="G261" s="4" t="n">
        <v>8</v>
      </c>
      <c r="H261" s="5" t="n">
        <v>41.08568925877223</v>
      </c>
      <c r="I261" s="5" t="n"/>
      <c r="J261" s="5" t="n"/>
      <c r="K261" s="5" t="n">
        <v>97</v>
      </c>
    </row>
    <row r="262">
      <c r="A262" s="2" t="n">
        <v>46108.25</v>
      </c>
      <c r="B262">
        <f>TEXT(A262,"yyyy-mm")</f>
        <v/>
      </c>
      <c r="C262" s="3">
        <f>HOUR(A262)</f>
        <v/>
      </c>
      <c r="D262" s="4" t="n">
        <v>22.11766571550278</v>
      </c>
      <c r="E262" s="4" t="n"/>
      <c r="F262" s="4" t="n"/>
      <c r="G262" s="4" t="n">
        <v>7.9</v>
      </c>
      <c r="H262" s="5" t="n">
        <v>40.95031541674722</v>
      </c>
      <c r="I262" s="5" t="n"/>
      <c r="J262" s="5" t="n"/>
      <c r="K262" s="5" t="n">
        <v>97</v>
      </c>
    </row>
    <row r="263">
      <c r="A263" s="2" t="n">
        <v>46108.29166666666</v>
      </c>
      <c r="B263">
        <f>TEXT(A263,"yyyy-mm")</f>
        <v/>
      </c>
      <c r="C263" s="3">
        <f>HOUR(A263)</f>
        <v/>
      </c>
      <c r="D263" s="4" t="n">
        <v>22.16202690150278</v>
      </c>
      <c r="E263" s="4" t="n"/>
      <c r="F263" s="4" t="n"/>
      <c r="G263" s="4" t="n">
        <v>7.8</v>
      </c>
      <c r="H263" s="5" t="n">
        <v>41.01968499101111</v>
      </c>
      <c r="I263" s="5" t="n"/>
      <c r="J263" s="5" t="n"/>
      <c r="K263" s="5" t="n">
        <v>98</v>
      </c>
    </row>
    <row r="264">
      <c r="A264" s="2" t="n">
        <v>46108.33333333334</v>
      </c>
      <c r="B264">
        <f>TEXT(A264,"yyyy-mm")</f>
        <v/>
      </c>
      <c r="C264" s="3">
        <f>HOUR(A264)</f>
        <v/>
      </c>
      <c r="D264" s="4" t="n">
        <v>22.17356496738889</v>
      </c>
      <c r="E264" s="4" t="n"/>
      <c r="F264" s="4" t="n"/>
      <c r="G264" s="4" t="n">
        <v>8</v>
      </c>
      <c r="H264" s="5" t="n">
        <v>41.02868355889167</v>
      </c>
      <c r="I264" s="5" t="n"/>
      <c r="J264" s="5" t="n"/>
      <c r="K264" s="5" t="n">
        <v>96</v>
      </c>
    </row>
    <row r="265">
      <c r="A265" s="2" t="n">
        <v>46108.375</v>
      </c>
      <c r="B265">
        <f>TEXT(A265,"yyyy-mm")</f>
        <v/>
      </c>
      <c r="C265" s="3">
        <f>HOUR(A265)</f>
        <v/>
      </c>
      <c r="D265" s="4" t="n">
        <v>22.28022574148333</v>
      </c>
      <c r="E265" s="4" t="n"/>
      <c r="F265" s="4" t="n"/>
      <c r="G265" s="4" t="n">
        <v>8.5</v>
      </c>
      <c r="H265" s="5" t="n">
        <v>40.92454795859445</v>
      </c>
      <c r="I265" s="5" t="n"/>
      <c r="J265" s="5" t="n"/>
      <c r="K265" s="5" t="n">
        <v>92</v>
      </c>
    </row>
    <row r="266">
      <c r="A266" s="2" t="n">
        <v>46108.41666666666</v>
      </c>
      <c r="B266">
        <f>TEXT(A266,"yyyy-mm")</f>
        <v/>
      </c>
      <c r="C266" s="3">
        <f>HOUR(A266)</f>
        <v/>
      </c>
      <c r="D266" s="4" t="n">
        <v>22.46214267925278</v>
      </c>
      <c r="E266" s="4" t="n"/>
      <c r="F266" s="4" t="n"/>
      <c r="G266" s="4" t="n">
        <v>9.4</v>
      </c>
      <c r="H266" s="5" t="n">
        <v>41.28391681729167</v>
      </c>
      <c r="I266" s="5" t="n"/>
      <c r="J266" s="5" t="n"/>
      <c r="K266" s="5" t="n">
        <v>87</v>
      </c>
    </row>
    <row r="267">
      <c r="A267" s="2" t="n">
        <v>46108.45833333334</v>
      </c>
      <c r="B267">
        <f>TEXT(A267,"yyyy-mm")</f>
        <v/>
      </c>
      <c r="C267" s="3">
        <f>HOUR(A267)</f>
        <v/>
      </c>
      <c r="D267" s="4" t="n">
        <v>22.66578797311389</v>
      </c>
      <c r="E267" s="4" t="n"/>
      <c r="F267" s="4" t="n"/>
      <c r="G267" s="4" t="n">
        <v>10.3</v>
      </c>
      <c r="H267" s="5" t="n">
        <v>43.12003204147499</v>
      </c>
      <c r="I267" s="5" t="n"/>
      <c r="J267" s="5" t="n"/>
      <c r="K267" s="5" t="n">
        <v>84</v>
      </c>
    </row>
    <row r="268">
      <c r="A268" s="2" t="n">
        <v>46108.5</v>
      </c>
      <c r="B268">
        <f>TEXT(A268,"yyyy-mm")</f>
        <v/>
      </c>
      <c r="C268" s="3">
        <f>HOUR(A268)</f>
        <v/>
      </c>
      <c r="D268" s="4" t="n">
        <v>22.78723931540833</v>
      </c>
      <c r="E268" s="4" t="n"/>
      <c r="F268" s="4" t="n"/>
      <c r="G268" s="4" t="n">
        <v>9.699999999999999</v>
      </c>
      <c r="H268" s="5" t="n">
        <v>42.85187744976667</v>
      </c>
      <c r="I268" s="5" t="n"/>
      <c r="J268" s="5" t="n"/>
      <c r="K268" s="5" t="n">
        <v>85</v>
      </c>
    </row>
    <row r="269">
      <c r="A269" s="2" t="n">
        <v>46108.54166666666</v>
      </c>
      <c r="B269">
        <f>TEXT(A269,"yyyy-mm")</f>
        <v/>
      </c>
      <c r="C269" s="3">
        <f>HOUR(A269)</f>
        <v/>
      </c>
      <c r="D269" s="4" t="n">
        <v>22.79689903543056</v>
      </c>
      <c r="E269" s="4" t="n"/>
      <c r="F269" s="4" t="n"/>
      <c r="G269" s="4" t="n">
        <v>9.699999999999999</v>
      </c>
      <c r="H269" s="5" t="n">
        <v>41.84672088426111</v>
      </c>
      <c r="I269" s="5" t="n"/>
      <c r="J269" s="5" t="n"/>
      <c r="K269" s="5" t="n">
        <v>86</v>
      </c>
    </row>
    <row r="270">
      <c r="A270" s="2" t="n">
        <v>46108.58333333334</v>
      </c>
      <c r="B270">
        <f>TEXT(A270,"yyyy-mm")</f>
        <v/>
      </c>
      <c r="C270" s="3">
        <f>HOUR(A270)</f>
        <v/>
      </c>
      <c r="D270" s="4" t="n">
        <v>22.81878959726944</v>
      </c>
      <c r="E270" s="4" t="n"/>
      <c r="F270" s="4" t="n"/>
      <c r="G270" s="4" t="n">
        <v>9</v>
      </c>
      <c r="H270" s="5" t="n">
        <v>41.91942735763611</v>
      </c>
      <c r="I270" s="5" t="n"/>
      <c r="J270" s="5" t="n"/>
      <c r="K270" s="5" t="n">
        <v>87</v>
      </c>
    </row>
    <row r="271">
      <c r="A271" s="2" t="n">
        <v>46108.625</v>
      </c>
      <c r="B271">
        <f>TEXT(A271,"yyyy-mm")</f>
        <v/>
      </c>
      <c r="C271" s="3">
        <f>HOUR(A271)</f>
        <v/>
      </c>
      <c r="D271" s="4" t="n">
        <v>22.87575909392778</v>
      </c>
      <c r="E271" s="4" t="n"/>
      <c r="F271" s="4" t="n"/>
      <c r="G271" s="4" t="n">
        <v>9.300000000000001</v>
      </c>
      <c r="H271" s="5" t="n">
        <v>43.25293419906388</v>
      </c>
      <c r="I271" s="5" t="n"/>
      <c r="J271" s="5" t="n"/>
      <c r="K271" s="5" t="n">
        <v>86</v>
      </c>
    </row>
    <row r="272">
      <c r="A272" s="2" t="n">
        <v>46108.66666666666</v>
      </c>
      <c r="B272">
        <f>TEXT(A272,"yyyy-mm")</f>
        <v/>
      </c>
      <c r="C272" s="3">
        <f>HOUR(A272)</f>
        <v/>
      </c>
      <c r="D272" s="4" t="n">
        <v>22.91688628213889</v>
      </c>
      <c r="E272" s="4" t="n"/>
      <c r="F272" s="4" t="n"/>
      <c r="G272" s="4" t="n">
        <v>9.1</v>
      </c>
      <c r="H272" s="5" t="n">
        <v>43.47432329265001</v>
      </c>
      <c r="I272" s="5" t="n"/>
      <c r="J272" s="5" t="n"/>
      <c r="K272" s="5" t="n">
        <v>86</v>
      </c>
    </row>
    <row r="273">
      <c r="A273" s="2" t="n">
        <v>46108.70833333334</v>
      </c>
      <c r="B273">
        <f>TEXT(A273,"yyyy-mm")</f>
        <v/>
      </c>
      <c r="C273" s="3">
        <f>HOUR(A273)</f>
        <v/>
      </c>
      <c r="D273" s="4" t="n">
        <v>22.96752818078611</v>
      </c>
      <c r="E273" s="4" t="n"/>
      <c r="F273" s="4" t="n"/>
      <c r="G273" s="4" t="n">
        <v>8.9</v>
      </c>
      <c r="H273" s="5" t="n">
        <v>44.85126673505556</v>
      </c>
      <c r="I273" s="5" t="n"/>
      <c r="J273" s="5" t="n"/>
      <c r="K273" s="5" t="n">
        <v>87</v>
      </c>
    </row>
    <row r="274">
      <c r="A274" s="2" t="n">
        <v>46108.75</v>
      </c>
      <c r="B274">
        <f>TEXT(A274,"yyyy-mm")</f>
        <v/>
      </c>
      <c r="C274" s="3">
        <f>HOUR(A274)</f>
        <v/>
      </c>
      <c r="D274" s="4" t="n">
        <v>23.06899930076111</v>
      </c>
      <c r="E274" s="4" t="n"/>
      <c r="F274" s="4" t="n"/>
      <c r="G274" s="4" t="n">
        <v>8.300000000000001</v>
      </c>
      <c r="H274" s="5" t="n">
        <v>42.94600478348056</v>
      </c>
      <c r="I274" s="5" t="n"/>
      <c r="J274" s="5" t="n"/>
      <c r="K274" s="5" t="n">
        <v>90</v>
      </c>
    </row>
    <row r="275">
      <c r="A275" s="2" t="n">
        <v>46108.79166666666</v>
      </c>
      <c r="B275">
        <f>TEXT(A275,"yyyy-mm")</f>
        <v/>
      </c>
      <c r="C275" s="3">
        <f>HOUR(A275)</f>
        <v/>
      </c>
      <c r="D275" s="4" t="n">
        <v>22.98306356653333</v>
      </c>
      <c r="E275" s="4" t="n"/>
      <c r="F275" s="4" t="n"/>
      <c r="G275" s="4" t="n">
        <v>8</v>
      </c>
      <c r="H275" s="5" t="n">
        <v>43.902600483525</v>
      </c>
      <c r="I275" s="5" t="n"/>
      <c r="J275" s="5" t="n"/>
      <c r="K275" s="5" t="n">
        <v>91</v>
      </c>
    </row>
    <row r="276">
      <c r="A276" s="2" t="n">
        <v>46108.83333333334</v>
      </c>
      <c r="B276">
        <f>TEXT(A276,"yyyy-mm")</f>
        <v/>
      </c>
      <c r="C276" s="3">
        <f>HOUR(A276)</f>
        <v/>
      </c>
      <c r="D276" s="4" t="n">
        <v>22.843293781725</v>
      </c>
      <c r="E276" s="4" t="n"/>
      <c r="F276" s="4" t="n"/>
      <c r="G276" s="4" t="n">
        <v>8.4</v>
      </c>
      <c r="H276" s="5" t="n">
        <v>46.94757104534722</v>
      </c>
      <c r="I276" s="5" t="n"/>
      <c r="J276" s="5" t="n"/>
      <c r="K276" s="5" t="n">
        <v>91</v>
      </c>
    </row>
    <row r="277">
      <c r="A277" s="2" t="n">
        <v>46108.875</v>
      </c>
      <c r="B277">
        <f>TEXT(A277,"yyyy-mm")</f>
        <v/>
      </c>
      <c r="C277" s="3">
        <f>HOUR(A277)</f>
        <v/>
      </c>
      <c r="D277" s="4" t="n">
        <v>22.72004390381389</v>
      </c>
      <c r="E277" s="4" t="n"/>
      <c r="F277" s="4" t="n"/>
      <c r="G277" s="4" t="n">
        <v>8.300000000000001</v>
      </c>
      <c r="H277" s="5" t="n">
        <v>52.07776691501945</v>
      </c>
      <c r="I277" s="5" t="n"/>
      <c r="J277" s="5" t="n"/>
      <c r="K277" s="5" t="n">
        <v>91</v>
      </c>
    </row>
    <row r="278">
      <c r="A278" s="2" t="n">
        <v>46108.91666666666</v>
      </c>
      <c r="B278">
        <f>TEXT(A278,"yyyy-mm")</f>
        <v/>
      </c>
      <c r="C278" s="3">
        <f>HOUR(A278)</f>
        <v/>
      </c>
      <c r="D278" s="4" t="n">
        <v>22.70243110341944</v>
      </c>
      <c r="E278" s="4" t="n"/>
      <c r="F278" s="4" t="n"/>
      <c r="G278" s="4" t="n">
        <v>7.9</v>
      </c>
      <c r="H278" s="5" t="n">
        <v>52.14887564470834</v>
      </c>
      <c r="I278" s="5" t="n"/>
      <c r="J278" s="5" t="n"/>
      <c r="K278" s="5" t="n">
        <v>92</v>
      </c>
    </row>
    <row r="279">
      <c r="A279" s="2" t="n">
        <v>46108.95833333334</v>
      </c>
      <c r="B279">
        <f>TEXT(A279,"yyyy-mm")</f>
        <v/>
      </c>
      <c r="C279" s="3">
        <f>HOUR(A279)</f>
        <v/>
      </c>
      <c r="D279" s="4" t="n">
        <v>22.60130961879722</v>
      </c>
      <c r="E279" s="4" t="n"/>
      <c r="F279" s="4" t="n"/>
      <c r="G279" s="4" t="n">
        <v>7.6</v>
      </c>
      <c r="H279" s="5" t="n">
        <v>57.27940575173056</v>
      </c>
      <c r="I279" s="5" t="n"/>
      <c r="J279" s="5" t="n"/>
      <c r="K279" s="5" t="n">
        <v>93</v>
      </c>
    </row>
    <row r="280">
      <c r="A280" s="2" t="n">
        <v>46109</v>
      </c>
      <c r="B280">
        <f>TEXT(A280,"yyyy-mm")</f>
        <v/>
      </c>
      <c r="C280" s="3">
        <f>HOUR(A280)</f>
        <v/>
      </c>
      <c r="D280" s="4" t="n">
        <v>22.67715459664167</v>
      </c>
      <c r="E280" s="4" t="n"/>
      <c r="F280" s="4" t="n"/>
      <c r="G280" s="4" t="n">
        <v>7.4</v>
      </c>
      <c r="H280" s="5" t="n">
        <v>57.335731576175</v>
      </c>
      <c r="I280" s="5" t="n"/>
      <c r="J280" s="5" t="n"/>
      <c r="K280" s="5" t="n">
        <v>94</v>
      </c>
    </row>
    <row r="281">
      <c r="A281" s="2" t="n">
        <v>46109.04166666666</v>
      </c>
      <c r="B281">
        <f>TEXT(A281,"yyyy-mm")</f>
        <v/>
      </c>
      <c r="C281" s="3">
        <f>HOUR(A281)</f>
        <v/>
      </c>
      <c r="D281" s="4" t="n">
        <v>23.09534774766389</v>
      </c>
      <c r="E281" s="4" t="n"/>
      <c r="F281" s="4" t="n"/>
      <c r="G281" s="4" t="n">
        <v>7.2</v>
      </c>
      <c r="H281" s="5" t="n">
        <v>56.11307145336389</v>
      </c>
      <c r="I281" s="5" t="n"/>
      <c r="J281" s="5" t="n"/>
      <c r="K281" s="5" t="n">
        <v>95</v>
      </c>
    </row>
    <row r="282">
      <c r="A282" s="2" t="n">
        <v>46109.08333333334</v>
      </c>
      <c r="B282">
        <f>TEXT(A282,"yyyy-mm")</f>
        <v/>
      </c>
      <c r="C282" s="3">
        <f>HOUR(A282)</f>
        <v/>
      </c>
      <c r="D282" s="4" t="n">
        <v>22.998628285875</v>
      </c>
      <c r="E282" s="4" t="n"/>
      <c r="F282" s="4" t="n"/>
      <c r="G282" s="4" t="n">
        <v>7.1</v>
      </c>
      <c r="H282" s="5" t="n">
        <v>56.08376549224445</v>
      </c>
      <c r="I282" s="5" t="n"/>
      <c r="J282" s="5" t="n"/>
      <c r="K282" s="5" t="n">
        <v>95</v>
      </c>
    </row>
    <row r="283">
      <c r="A283" s="2" t="n">
        <v>46109.125</v>
      </c>
      <c r="B283">
        <f>TEXT(A283,"yyyy-mm")</f>
        <v/>
      </c>
      <c r="C283" s="3">
        <f>HOUR(A283)</f>
        <v/>
      </c>
      <c r="D283" s="4" t="n">
        <v>22.52443183896111</v>
      </c>
      <c r="E283" s="4" t="n"/>
      <c r="F283" s="4" t="n"/>
      <c r="G283" s="4" t="n">
        <v>7</v>
      </c>
      <c r="H283" s="5" t="n">
        <v>54.99204543919444</v>
      </c>
      <c r="I283" s="5" t="n"/>
      <c r="J283" s="5" t="n"/>
      <c r="K283" s="5" t="n">
        <v>96</v>
      </c>
    </row>
    <row r="284">
      <c r="A284" s="2" t="n">
        <v>46109.16666666666</v>
      </c>
      <c r="B284">
        <f>TEXT(A284,"yyyy-mm")</f>
        <v/>
      </c>
      <c r="C284" s="3">
        <f>HOUR(A284)</f>
        <v/>
      </c>
      <c r="D284" s="4" t="n">
        <v>22.24317458654167</v>
      </c>
      <c r="E284" s="4" t="n"/>
      <c r="F284" s="4" t="n"/>
      <c r="G284" s="4" t="n">
        <v>6.9</v>
      </c>
      <c r="H284" s="5" t="n">
        <v>54.40364597878056</v>
      </c>
      <c r="I284" s="5" t="n"/>
      <c r="J284" s="5" t="n"/>
      <c r="K284" s="5" t="n">
        <v>97</v>
      </c>
    </row>
    <row r="285">
      <c r="A285" s="2" t="n">
        <v>46109.20833333334</v>
      </c>
      <c r="B285">
        <f>TEXT(A285,"yyyy-mm")</f>
        <v/>
      </c>
      <c r="C285" s="3">
        <f>HOUR(A285)</f>
        <v/>
      </c>
      <c r="D285" s="4" t="n">
        <v>22.06795903646945</v>
      </c>
      <c r="E285" s="4" t="n"/>
      <c r="F285" s="4" t="n"/>
      <c r="G285" s="4" t="n">
        <v>6.7</v>
      </c>
      <c r="H285" s="5" t="n">
        <v>54.05510419013611</v>
      </c>
      <c r="I285" s="5" t="n"/>
      <c r="J285" s="5" t="n"/>
      <c r="K285" s="5" t="n">
        <v>97</v>
      </c>
    </row>
    <row r="286">
      <c r="A286" s="2" t="n">
        <v>46109.25</v>
      </c>
      <c r="B286">
        <f>TEXT(A286,"yyyy-mm")</f>
        <v/>
      </c>
      <c r="C286" s="3">
        <f>HOUR(A286)</f>
        <v/>
      </c>
      <c r="D286" s="4" t="n">
        <v>21.98805447796111</v>
      </c>
      <c r="E286" s="4" t="n"/>
      <c r="F286" s="4" t="n"/>
      <c r="G286" s="4" t="n">
        <v>6.7</v>
      </c>
      <c r="H286" s="5" t="n">
        <v>54.04456017563889</v>
      </c>
      <c r="I286" s="5" t="n"/>
      <c r="J286" s="5" t="n"/>
      <c r="K286" s="5" t="n">
        <v>97</v>
      </c>
    </row>
    <row r="287">
      <c r="A287" s="2" t="n">
        <v>46109.29166666666</v>
      </c>
      <c r="B287">
        <f>TEXT(A287,"yyyy-mm")</f>
        <v/>
      </c>
      <c r="C287" s="3">
        <f>HOUR(A287)</f>
        <v/>
      </c>
      <c r="D287" s="4" t="n">
        <v>21.94313766095277</v>
      </c>
      <c r="E287" s="4" t="n"/>
      <c r="F287" s="4" t="n"/>
      <c r="G287" s="4" t="n">
        <v>7.3</v>
      </c>
      <c r="H287" s="5" t="n">
        <v>53.82380925688056</v>
      </c>
      <c r="I287" s="5" t="n"/>
      <c r="J287" s="5" t="n"/>
      <c r="K287" s="5" t="n">
        <v>95</v>
      </c>
    </row>
    <row r="288">
      <c r="A288" s="2" t="n">
        <v>46109.33333333334</v>
      </c>
      <c r="B288">
        <f>TEXT(A288,"yyyy-mm")</f>
        <v/>
      </c>
      <c r="C288" s="3">
        <f>HOUR(A288)</f>
        <v/>
      </c>
      <c r="D288" s="4" t="n">
        <v>21.90869490806111</v>
      </c>
      <c r="E288" s="4" t="n"/>
      <c r="F288" s="4" t="n"/>
      <c r="G288" s="4" t="n">
        <v>7.5</v>
      </c>
      <c r="H288" s="5" t="n">
        <v>53.04369639313889</v>
      </c>
      <c r="I288" s="5" t="n"/>
      <c r="J288" s="5" t="n"/>
      <c r="K288" s="5" t="n">
        <v>93</v>
      </c>
    </row>
    <row r="289">
      <c r="A289" s="2" t="n">
        <v>46109.375</v>
      </c>
      <c r="B289">
        <f>TEXT(A289,"yyyy-mm")</f>
        <v/>
      </c>
      <c r="C289" s="3">
        <f>HOUR(A289)</f>
        <v/>
      </c>
      <c r="D289" s="4" t="n">
        <v>21.96828727018333</v>
      </c>
      <c r="E289" s="4" t="n"/>
      <c r="F289" s="4" t="n"/>
      <c r="G289" s="4" t="n">
        <v>8.4</v>
      </c>
      <c r="H289" s="5" t="n">
        <v>52.65126714639445</v>
      </c>
      <c r="I289" s="5" t="n"/>
      <c r="J289" s="5" t="n"/>
      <c r="K289" s="5" t="n">
        <v>90</v>
      </c>
    </row>
    <row r="290">
      <c r="A290" s="2" t="n">
        <v>46109.41666666666</v>
      </c>
      <c r="B290">
        <f>TEXT(A290,"yyyy-mm")</f>
        <v/>
      </c>
      <c r="C290" s="3">
        <f>HOUR(A290)</f>
        <v/>
      </c>
      <c r="D290" s="4" t="n">
        <v>22.10331316553611</v>
      </c>
      <c r="E290" s="4" t="n"/>
      <c r="F290" s="4" t="n"/>
      <c r="G290" s="4" t="n">
        <v>9.4</v>
      </c>
      <c r="H290" s="5" t="n">
        <v>51.99971350464167</v>
      </c>
      <c r="I290" s="5" t="n"/>
      <c r="J290" s="5" t="n"/>
      <c r="K290" s="5" t="n">
        <v>87</v>
      </c>
    </row>
    <row r="291">
      <c r="A291" s="2" t="n">
        <v>46109.45833333334</v>
      </c>
      <c r="B291">
        <f>TEXT(A291,"yyyy-mm")</f>
        <v/>
      </c>
      <c r="C291" s="3">
        <f>HOUR(A291)</f>
        <v/>
      </c>
      <c r="D291" s="4" t="n">
        <v>22.23337245120556</v>
      </c>
      <c r="E291" s="4" t="n"/>
      <c r="F291" s="4" t="n"/>
      <c r="G291" s="4" t="n">
        <v>10.9</v>
      </c>
      <c r="H291" s="5" t="n">
        <v>51.37312353284167</v>
      </c>
      <c r="I291" s="5" t="n"/>
      <c r="J291" s="5" t="n"/>
      <c r="K291" s="5" t="n">
        <v>81</v>
      </c>
    </row>
    <row r="292">
      <c r="A292" s="2" t="n">
        <v>46109.5</v>
      </c>
      <c r="B292">
        <f>TEXT(A292,"yyyy-mm")</f>
        <v/>
      </c>
      <c r="C292" s="3">
        <f>HOUR(A292)</f>
        <v/>
      </c>
      <c r="D292" s="4" t="n">
        <v>22.43850426346667</v>
      </c>
      <c r="E292" s="4" t="n"/>
      <c r="F292" s="4" t="n"/>
      <c r="G292" s="4" t="n">
        <v>12.2</v>
      </c>
      <c r="H292" s="5" t="n">
        <v>51.74749049476944</v>
      </c>
      <c r="I292" s="5" t="n"/>
      <c r="J292" s="5" t="n"/>
      <c r="K292" s="5" t="n">
        <v>75</v>
      </c>
    </row>
    <row r="293">
      <c r="A293" s="2" t="n">
        <v>46109.54166666666</v>
      </c>
      <c r="B293">
        <f>TEXT(A293,"yyyy-mm")</f>
        <v/>
      </c>
      <c r="C293" s="3">
        <f>HOUR(A293)</f>
        <v/>
      </c>
      <c r="D293" s="4" t="n">
        <v>22.79843472124166</v>
      </c>
      <c r="E293" s="4" t="n"/>
      <c r="F293" s="4" t="n"/>
      <c r="G293" s="4" t="n">
        <v>13</v>
      </c>
      <c r="H293" s="5" t="n">
        <v>48.76178067390555</v>
      </c>
      <c r="I293" s="5" t="n"/>
      <c r="J293" s="5" t="n"/>
      <c r="K293" s="5" t="n">
        <v>69</v>
      </c>
    </row>
    <row r="294">
      <c r="A294" s="2" t="n">
        <v>46109.58333333334</v>
      </c>
      <c r="B294">
        <f>TEXT(A294,"yyyy-mm")</f>
        <v/>
      </c>
      <c r="C294" s="3">
        <f>HOUR(A294)</f>
        <v/>
      </c>
      <c r="D294" s="4" t="n">
        <v>22.48322116570555</v>
      </c>
      <c r="E294" s="4" t="n"/>
      <c r="F294" s="4" t="n"/>
      <c r="G294" s="4" t="n">
        <v>12.1</v>
      </c>
      <c r="H294" s="5" t="n">
        <v>47.87772093809722</v>
      </c>
      <c r="I294" s="5" t="n"/>
      <c r="J294" s="5" t="n"/>
      <c r="K294" s="5" t="n">
        <v>73</v>
      </c>
    </row>
    <row r="295">
      <c r="A295" s="2" t="n">
        <v>46109.625</v>
      </c>
      <c r="B295">
        <f>TEXT(A295,"yyyy-mm")</f>
        <v/>
      </c>
      <c r="C295" s="3">
        <f>HOUR(A295)</f>
        <v/>
      </c>
      <c r="D295" s="4" t="n">
        <v>22.34462917734444</v>
      </c>
      <c r="E295" s="4" t="n"/>
      <c r="F295" s="4" t="n"/>
      <c r="G295" s="4" t="n">
        <v>12.5</v>
      </c>
      <c r="H295" s="5" t="n">
        <v>47.25431220686945</v>
      </c>
      <c r="I295" s="5" t="n"/>
      <c r="J295" s="5" t="n"/>
      <c r="K295" s="5" t="n">
        <v>71</v>
      </c>
    </row>
    <row r="296">
      <c r="A296" s="2" t="n">
        <v>46109.66666666666</v>
      </c>
      <c r="B296">
        <f>TEXT(A296,"yyyy-mm")</f>
        <v/>
      </c>
      <c r="C296" s="3">
        <f>HOUR(A296)</f>
        <v/>
      </c>
      <c r="D296" s="4" t="n">
        <v>22.25473439184444</v>
      </c>
      <c r="E296" s="4" t="n"/>
      <c r="F296" s="4" t="n"/>
      <c r="G296" s="4" t="n">
        <v>12.4</v>
      </c>
      <c r="H296" s="5" t="n">
        <v>46.57640229095</v>
      </c>
      <c r="I296" s="5" t="n"/>
      <c r="J296" s="5" t="n"/>
      <c r="K296" s="5" t="n">
        <v>72</v>
      </c>
    </row>
    <row r="297">
      <c r="A297" s="2" t="n">
        <v>46109.70833333334</v>
      </c>
      <c r="B297">
        <f>TEXT(A297,"yyyy-mm")</f>
        <v/>
      </c>
      <c r="C297" s="3">
        <f>HOUR(A297)</f>
        <v/>
      </c>
      <c r="D297" s="4" t="n">
        <v>22.15330551992778</v>
      </c>
      <c r="E297" s="4" t="n"/>
      <c r="F297" s="4" t="n"/>
      <c r="G297" s="4" t="n">
        <v>11.9</v>
      </c>
      <c r="H297" s="5" t="n">
        <v>45.99805055124722</v>
      </c>
      <c r="I297" s="5" t="n"/>
      <c r="J297" s="5" t="n"/>
      <c r="K297" s="5" t="n">
        <v>77</v>
      </c>
    </row>
    <row r="298">
      <c r="A298" s="2" t="n">
        <v>46109.75</v>
      </c>
      <c r="B298">
        <f>TEXT(A298,"yyyy-mm")</f>
        <v/>
      </c>
      <c r="C298" s="3">
        <f>HOUR(A298)</f>
        <v/>
      </c>
      <c r="D298" s="4" t="n">
        <v>22.05952556603055</v>
      </c>
      <c r="E298" s="4" t="n"/>
      <c r="F298" s="4" t="n"/>
      <c r="G298" s="4" t="n">
        <v>11.1</v>
      </c>
      <c r="H298" s="5" t="n">
        <v>45.32541842053333</v>
      </c>
      <c r="I298" s="5" t="n"/>
      <c r="J298" s="5" t="n"/>
      <c r="K298" s="5" t="n">
        <v>80</v>
      </c>
    </row>
    <row r="299">
      <c r="A299" s="2" t="n">
        <v>46109.79166666666</v>
      </c>
      <c r="B299">
        <f>TEXT(A299,"yyyy-mm")</f>
        <v/>
      </c>
      <c r="C299" s="3">
        <f>HOUR(A299)</f>
        <v/>
      </c>
      <c r="D299" s="4" t="n">
        <v>22.015781375375</v>
      </c>
      <c r="E299" s="4" t="n"/>
      <c r="F299" s="4" t="n"/>
      <c r="G299" s="4" t="n">
        <v>10.6</v>
      </c>
      <c r="H299" s="5" t="n">
        <v>44.362092936875</v>
      </c>
      <c r="I299" s="5" t="n"/>
      <c r="J299" s="5" t="n"/>
      <c r="K299" s="5" t="n">
        <v>79</v>
      </c>
    </row>
    <row r="300">
      <c r="A300" s="2" t="n">
        <v>46109.83333333334</v>
      </c>
      <c r="B300">
        <f>TEXT(A300,"yyyy-mm")</f>
        <v/>
      </c>
      <c r="C300" s="3">
        <f>HOUR(A300)</f>
        <v/>
      </c>
      <c r="D300" s="4" t="n">
        <v>22.08211365431945</v>
      </c>
      <c r="E300" s="4" t="n"/>
      <c r="F300" s="4" t="n"/>
      <c r="G300" s="4" t="n">
        <v>10.7</v>
      </c>
      <c r="H300" s="5" t="n">
        <v>45.02518340665555</v>
      </c>
      <c r="I300" s="5" t="n"/>
      <c r="J300" s="5" t="n"/>
      <c r="K300" s="5" t="n">
        <v>80</v>
      </c>
    </row>
    <row r="301">
      <c r="A301" s="2" t="n">
        <v>46109.875</v>
      </c>
      <c r="B301">
        <f>TEXT(A301,"yyyy-mm")</f>
        <v/>
      </c>
      <c r="C301" s="3">
        <f>HOUR(A301)</f>
        <v/>
      </c>
      <c r="D301" s="4" t="n">
        <v>22.09070536403611</v>
      </c>
      <c r="E301" s="4" t="n"/>
      <c r="F301" s="4" t="n"/>
      <c r="G301" s="4" t="n">
        <v>10.1</v>
      </c>
      <c r="H301" s="5" t="n">
        <v>45.63962211610556</v>
      </c>
      <c r="I301" s="5" t="n"/>
      <c r="J301" s="5" t="n"/>
      <c r="K301" s="5" t="n">
        <v>82</v>
      </c>
    </row>
    <row r="302">
      <c r="A302" s="2" t="n">
        <v>46109.91666666666</v>
      </c>
      <c r="B302">
        <f>TEXT(A302,"yyyy-mm")</f>
        <v/>
      </c>
      <c r="C302" s="3">
        <f>HOUR(A302)</f>
        <v/>
      </c>
      <c r="D302" s="4" t="n">
        <v>22.08270843005833</v>
      </c>
      <c r="E302" s="4" t="n"/>
      <c r="F302" s="4" t="n"/>
      <c r="G302" s="4" t="n">
        <v>9.699999999999999</v>
      </c>
      <c r="H302" s="5" t="n">
        <v>47.40965593749721</v>
      </c>
      <c r="I302" s="5" t="n"/>
      <c r="J302" s="5" t="n"/>
      <c r="K302" s="5" t="n">
        <v>84</v>
      </c>
    </row>
    <row r="303">
      <c r="A303" s="2" t="n">
        <v>46109.95833333334</v>
      </c>
      <c r="B303">
        <f>TEXT(A303,"yyyy-mm")</f>
        <v/>
      </c>
      <c r="C303" s="3">
        <f>HOUR(A303)</f>
        <v/>
      </c>
      <c r="D303" s="4" t="n">
        <v>22.16379850295833</v>
      </c>
      <c r="E303" s="4" t="n"/>
      <c r="F303" s="4" t="n"/>
      <c r="G303" s="4" t="n">
        <v>9.300000000000001</v>
      </c>
      <c r="H303" s="5" t="n">
        <v>51.76510216565</v>
      </c>
      <c r="I303" s="5" t="n"/>
      <c r="J303" s="5" t="n"/>
      <c r="K303" s="5" t="n">
        <v>86</v>
      </c>
    </row>
    <row r="304">
      <c r="A304" s="2" t="n">
        <v>46110</v>
      </c>
      <c r="B304">
        <f>TEXT(A304,"yyyy-mm")</f>
        <v/>
      </c>
      <c r="C304" s="3">
        <f>HOUR(A304)</f>
        <v/>
      </c>
      <c r="D304" s="4" t="n">
        <v>22.60003112293889</v>
      </c>
      <c r="E304" s="4" t="n"/>
      <c r="F304" s="4" t="n"/>
      <c r="G304" s="4" t="n">
        <v>8.300000000000001</v>
      </c>
      <c r="H304" s="5" t="n">
        <v>49.83932442278888</v>
      </c>
      <c r="I304" s="5" t="n"/>
      <c r="J304" s="5" t="n"/>
      <c r="K304" s="5" t="n">
        <v>88</v>
      </c>
    </row>
    <row r="305">
      <c r="A305" s="2" t="n">
        <v>46110.04166666666</v>
      </c>
      <c r="B305">
        <f>TEXT(A305,"yyyy-mm")</f>
        <v/>
      </c>
      <c r="C305" s="3">
        <f>HOUR(A305)</f>
        <v/>
      </c>
      <c r="D305" s="4" t="n">
        <v>22.89935298152778</v>
      </c>
      <c r="E305" s="4" t="n"/>
      <c r="F305" s="4" t="n"/>
      <c r="G305" s="4" t="n">
        <v>7.9</v>
      </c>
      <c r="H305" s="5" t="n">
        <v>47.57186644793611</v>
      </c>
      <c r="I305" s="5" t="n"/>
      <c r="J305" s="5" t="n"/>
      <c r="K305" s="5" t="n">
        <v>87</v>
      </c>
    </row>
    <row r="306">
      <c r="A306" s="2" t="n">
        <v>46110.08333333334</v>
      </c>
      <c r="B306">
        <f>TEXT(A306,"yyyy-mm")</f>
        <v/>
      </c>
      <c r="C306" s="3">
        <f>HOUR(A306)</f>
        <v/>
      </c>
      <c r="D306" s="4" t="n">
        <v>22.900654723475</v>
      </c>
      <c r="E306" s="4" t="n"/>
      <c r="F306" s="4" t="n"/>
      <c r="G306" s="4" t="n">
        <v>7.2</v>
      </c>
      <c r="H306" s="5" t="n">
        <v>46.41901628027222</v>
      </c>
      <c r="I306" s="5" t="n"/>
      <c r="J306" s="5" t="n"/>
      <c r="K306" s="5" t="n">
        <v>87</v>
      </c>
    </row>
    <row r="307">
      <c r="A307" s="2" t="n">
        <v>46110.16666666666</v>
      </c>
      <c r="B307">
        <f>TEXT(A307,"yyyy-mm")</f>
        <v/>
      </c>
      <c r="C307" s="3">
        <f>HOUR(A307)</f>
        <v/>
      </c>
      <c r="D307" s="4" t="n">
        <v>22.60478579748056</v>
      </c>
      <c r="E307" s="4" t="n"/>
      <c r="F307" s="4" t="n"/>
      <c r="G307" s="4" t="n">
        <v>6.8</v>
      </c>
      <c r="H307" s="5" t="n">
        <v>46.24159255270556</v>
      </c>
      <c r="I307" s="5" t="n"/>
      <c r="J307" s="5" t="n"/>
      <c r="K307" s="5" t="n">
        <v>89</v>
      </c>
    </row>
    <row r="308">
      <c r="A308" s="2" t="n">
        <v>46110.20833333334</v>
      </c>
      <c r="B308">
        <f>TEXT(A308,"yyyy-mm")</f>
        <v/>
      </c>
      <c r="C308" s="3">
        <f>HOUR(A308)</f>
        <v/>
      </c>
      <c r="D308" s="4" t="n">
        <v>22.11220314605556</v>
      </c>
      <c r="E308" s="4" t="n"/>
      <c r="F308" s="4" t="n"/>
      <c r="G308" s="4" t="n">
        <v>6.5</v>
      </c>
      <c r="H308" s="5" t="n">
        <v>47.14419316334722</v>
      </c>
      <c r="I308" s="5" t="n"/>
      <c r="J308" s="5" t="n"/>
      <c r="K308" s="5" t="n">
        <v>90</v>
      </c>
    </row>
    <row r="309">
      <c r="A309" s="2" t="n">
        <v>46110.25</v>
      </c>
      <c r="B309">
        <f>TEXT(A309,"yyyy-mm")</f>
        <v/>
      </c>
      <c r="C309" s="3">
        <f>HOUR(A309)</f>
        <v/>
      </c>
      <c r="D309" s="4" t="n">
        <v>21.91925009808333</v>
      </c>
      <c r="E309" s="4" t="n"/>
      <c r="F309" s="4" t="n"/>
      <c r="G309" s="4" t="n">
        <v>6</v>
      </c>
      <c r="H309" s="5" t="n">
        <v>47.11955594626111</v>
      </c>
      <c r="I309" s="5" t="n"/>
      <c r="J309" s="5" t="n"/>
      <c r="K309" s="5" t="n">
        <v>91</v>
      </c>
    </row>
    <row r="310">
      <c r="A310" s="2" t="n">
        <v>46110.29166666666</v>
      </c>
      <c r="B310">
        <f>TEXT(A310,"yyyy-mm")</f>
        <v/>
      </c>
      <c r="C310" s="3">
        <f>HOUR(A310)</f>
        <v/>
      </c>
      <c r="D310" s="4" t="n">
        <v>22.35992542136389</v>
      </c>
      <c r="E310" s="4" t="n"/>
      <c r="F310" s="4" t="n"/>
      <c r="G310" s="4" t="n">
        <v>5.7</v>
      </c>
      <c r="H310" s="5" t="n">
        <v>45.53514008693889</v>
      </c>
      <c r="I310" s="5" t="n"/>
      <c r="J310" s="5" t="n"/>
      <c r="K310" s="5" t="n">
        <v>92</v>
      </c>
    </row>
    <row r="311">
      <c r="A311" s="2" t="n">
        <v>46110.33333333334</v>
      </c>
      <c r="B311">
        <f>TEXT(A311,"yyyy-mm")</f>
        <v/>
      </c>
      <c r="C311" s="3">
        <f>HOUR(A311)</f>
        <v/>
      </c>
      <c r="D311" s="4" t="n">
        <v>22.74993343619722</v>
      </c>
      <c r="E311" s="4" t="n"/>
      <c r="F311" s="4" t="n"/>
      <c r="G311" s="4" t="n">
        <v>6.8</v>
      </c>
      <c r="H311" s="5" t="n">
        <v>44.10014344291944</v>
      </c>
      <c r="I311" s="5" t="n"/>
      <c r="J311" s="5" t="n"/>
      <c r="K311" s="5" t="n">
        <v>90</v>
      </c>
    </row>
    <row r="312">
      <c r="A312" s="2" t="n">
        <v>46110.375</v>
      </c>
      <c r="B312">
        <f>TEXT(A312,"yyyy-mm")</f>
        <v/>
      </c>
      <c r="C312" s="3">
        <f>HOUR(A312)</f>
        <v/>
      </c>
      <c r="D312" s="4" t="n">
        <v>23.45691018835278</v>
      </c>
      <c r="E312" s="4" t="n"/>
      <c r="F312" s="4" t="n"/>
      <c r="G312" s="4" t="n">
        <v>8.4</v>
      </c>
      <c r="H312" s="5" t="n">
        <v>42.00105938237223</v>
      </c>
      <c r="I312" s="5" t="n"/>
      <c r="J312" s="5" t="n"/>
      <c r="K312" s="5" t="n">
        <v>86</v>
      </c>
    </row>
    <row r="313">
      <c r="A313" s="2" t="n">
        <v>46110.41666666666</v>
      </c>
      <c r="B313">
        <f>TEXT(A313,"yyyy-mm")</f>
        <v/>
      </c>
      <c r="C313" s="3">
        <f>HOUR(A313)</f>
        <v/>
      </c>
      <c r="D313" s="4" t="n">
        <v>23.81379524966667</v>
      </c>
      <c r="E313" s="4" t="n"/>
      <c r="F313" s="4" t="n"/>
      <c r="G313" s="4" t="n">
        <v>11</v>
      </c>
      <c r="H313" s="5" t="n">
        <v>41.85436375470834</v>
      </c>
      <c r="I313" s="5" t="n"/>
      <c r="J313" s="5" t="n"/>
      <c r="K313" s="5" t="n">
        <v>76</v>
      </c>
    </row>
    <row r="314">
      <c r="A314" s="2" t="n">
        <v>46110.45833333334</v>
      </c>
      <c r="B314">
        <f>TEXT(A314,"yyyy-mm")</f>
        <v/>
      </c>
      <c r="C314" s="3">
        <f>HOUR(A314)</f>
        <v/>
      </c>
      <c r="D314" s="4" t="n">
        <v>23.88047085290833</v>
      </c>
      <c r="E314" s="4" t="n"/>
      <c r="F314" s="4" t="n"/>
      <c r="G314" s="4" t="n">
        <v>13.7</v>
      </c>
      <c r="H314" s="5" t="n">
        <v>42.59299703641667</v>
      </c>
      <c r="I314" s="5" t="n"/>
      <c r="J314" s="5" t="n"/>
      <c r="K314" s="5" t="n">
        <v>65</v>
      </c>
    </row>
    <row r="315">
      <c r="A315" s="2" t="n">
        <v>46110.5</v>
      </c>
      <c r="B315">
        <f>TEXT(A315,"yyyy-mm")</f>
        <v/>
      </c>
      <c r="C315" s="3">
        <f>HOUR(A315)</f>
        <v/>
      </c>
      <c r="D315" s="4" t="n">
        <v>23.77767047483889</v>
      </c>
      <c r="E315" s="4" t="n"/>
      <c r="F315" s="4" t="n"/>
      <c r="G315" s="4" t="n">
        <v>15.9</v>
      </c>
      <c r="H315" s="5" t="n">
        <v>43.10900228437777</v>
      </c>
      <c r="I315" s="5" t="n"/>
      <c r="J315" s="5" t="n"/>
      <c r="K315" s="5" t="n">
        <v>52</v>
      </c>
    </row>
    <row r="316">
      <c r="A316" s="2" t="n">
        <v>46110.54166666666</v>
      </c>
      <c r="B316">
        <f>TEXT(A316,"yyyy-mm")</f>
        <v/>
      </c>
      <c r="C316" s="3">
        <f>HOUR(A316)</f>
        <v/>
      </c>
      <c r="D316" s="4" t="n">
        <v>23.47597454521112</v>
      </c>
      <c r="E316" s="4" t="n"/>
      <c r="F316" s="4" t="n"/>
      <c r="G316" s="4" t="n">
        <v>17.4</v>
      </c>
      <c r="H316" s="5" t="n">
        <v>37.07224157471389</v>
      </c>
      <c r="I316" s="5" t="n"/>
      <c r="J316" s="5" t="n"/>
      <c r="K316" s="5" t="n">
        <v>45</v>
      </c>
    </row>
    <row r="317">
      <c r="A317" s="2" t="n">
        <v>46110.58333333334</v>
      </c>
      <c r="B317">
        <f>TEXT(A317,"yyyy-mm")</f>
        <v/>
      </c>
      <c r="C317" s="3">
        <f>HOUR(A317)</f>
        <v/>
      </c>
      <c r="D317" s="4" t="n">
        <v>23.61660670016667</v>
      </c>
      <c r="E317" s="4" t="n"/>
      <c r="F317" s="4" t="n"/>
      <c r="G317" s="4" t="n">
        <v>18.3</v>
      </c>
      <c r="H317" s="5" t="n">
        <v>31.34399989536389</v>
      </c>
      <c r="I317" s="5" t="n"/>
      <c r="J317" s="5" t="n"/>
      <c r="K317" s="5" t="n">
        <v>42</v>
      </c>
    </row>
    <row r="318">
      <c r="A318" s="2" t="n">
        <v>46110.625</v>
      </c>
      <c r="B318">
        <f>TEXT(A318,"yyyy-mm")</f>
        <v/>
      </c>
      <c r="C318" s="3">
        <f>HOUR(A318)</f>
        <v/>
      </c>
      <c r="D318" s="4" t="n">
        <v>23.723542034625</v>
      </c>
      <c r="E318" s="4" t="n"/>
      <c r="F318" s="4" t="n"/>
      <c r="G318" s="4" t="n">
        <v>18.9</v>
      </c>
      <c r="H318" s="5" t="n">
        <v>29.95996356495</v>
      </c>
      <c r="I318" s="5" t="n"/>
      <c r="J318" s="5" t="n"/>
      <c r="K318" s="5" t="n">
        <v>37</v>
      </c>
    </row>
    <row r="319">
      <c r="A319" s="2" t="n">
        <v>46110.66666666666</v>
      </c>
      <c r="B319">
        <f>TEXT(A319,"yyyy-mm")</f>
        <v/>
      </c>
      <c r="C319" s="3">
        <f>HOUR(A319)</f>
        <v/>
      </c>
      <c r="D319" s="4" t="n">
        <v>23.43098692955</v>
      </c>
      <c r="E319" s="4" t="n"/>
      <c r="F319" s="4" t="n"/>
      <c r="G319" s="4" t="n">
        <v>18.7</v>
      </c>
      <c r="H319" s="5" t="n">
        <v>29.81432009791389</v>
      </c>
      <c r="I319" s="5" t="n"/>
      <c r="J319" s="5" t="n"/>
      <c r="K319" s="5" t="n">
        <v>37</v>
      </c>
    </row>
    <row r="320">
      <c r="A320" s="2" t="n">
        <v>46110.70833333334</v>
      </c>
      <c r="B320">
        <f>TEXT(A320,"yyyy-mm")</f>
        <v/>
      </c>
      <c r="C320" s="3">
        <f>HOUR(A320)</f>
        <v/>
      </c>
      <c r="D320" s="4" t="n">
        <v>23.29438804123334</v>
      </c>
      <c r="E320" s="4" t="n"/>
      <c r="F320" s="4" t="n"/>
      <c r="G320" s="4" t="n">
        <v>18</v>
      </c>
      <c r="H320" s="5" t="n">
        <v>31.55248052096111</v>
      </c>
      <c r="I320" s="5" t="n"/>
      <c r="J320" s="5" t="n"/>
      <c r="K320" s="5" t="n">
        <v>41</v>
      </c>
    </row>
    <row r="321">
      <c r="A321" s="2" t="n">
        <v>46110.75</v>
      </c>
      <c r="B321">
        <f>TEXT(A321,"yyyy-mm")</f>
        <v/>
      </c>
      <c r="C321" s="3">
        <f>HOUR(A321)</f>
        <v/>
      </c>
      <c r="D321" s="4" t="n">
        <v>23.17615047874445</v>
      </c>
      <c r="E321" s="4" t="n"/>
      <c r="F321" s="4" t="n"/>
      <c r="G321" s="4" t="n">
        <v>16.5</v>
      </c>
      <c r="H321" s="5" t="n">
        <v>31.67740005228612</v>
      </c>
      <c r="I321" s="5" t="n"/>
      <c r="J321" s="5" t="n"/>
      <c r="K321" s="5" t="n">
        <v>44</v>
      </c>
    </row>
    <row r="322">
      <c r="A322" s="2" t="n">
        <v>46110.79166666666</v>
      </c>
      <c r="B322">
        <f>TEXT(A322,"yyyy-mm")</f>
        <v/>
      </c>
      <c r="C322" s="3">
        <f>HOUR(A322)</f>
        <v/>
      </c>
      <c r="D322" s="4" t="n">
        <v>22.97934984785</v>
      </c>
      <c r="E322" s="4" t="n"/>
      <c r="F322" s="4" t="n"/>
      <c r="G322" s="4" t="n">
        <v>14.4</v>
      </c>
      <c r="H322" s="5" t="n">
        <v>36.62659675736945</v>
      </c>
      <c r="I322" s="5" t="n"/>
      <c r="J322" s="5" t="n"/>
      <c r="K322" s="5" t="n">
        <v>48</v>
      </c>
    </row>
    <row r="323">
      <c r="A323" s="2" t="n">
        <v>46110.83333333334</v>
      </c>
      <c r="B323">
        <f>TEXT(A323,"yyyy-mm")</f>
        <v/>
      </c>
      <c r="C323" s="3">
        <f>HOUR(A323)</f>
        <v/>
      </c>
      <c r="D323" s="4" t="n">
        <v>22.99007364695278</v>
      </c>
      <c r="E323" s="4" t="n"/>
      <c r="F323" s="4" t="n"/>
      <c r="G323" s="4" t="n">
        <v>13.2</v>
      </c>
      <c r="H323" s="5" t="n">
        <v>42.62516847721389</v>
      </c>
      <c r="I323" s="5" t="n"/>
      <c r="J323" s="5" t="n"/>
      <c r="K323" s="5" t="n">
        <v>50</v>
      </c>
    </row>
    <row r="324">
      <c r="A324" s="2" t="n">
        <v>46110.875</v>
      </c>
      <c r="B324">
        <f>TEXT(A324,"yyyy-mm")</f>
        <v/>
      </c>
      <c r="C324" s="3">
        <f>HOUR(A324)</f>
        <v/>
      </c>
      <c r="D324" s="4" t="n">
        <v>23.09557821343612</v>
      </c>
      <c r="E324" s="4" t="n"/>
      <c r="F324" s="4" t="n"/>
      <c r="G324" s="4" t="n">
        <v>13</v>
      </c>
      <c r="H324" s="5" t="n">
        <v>47.69232192809167</v>
      </c>
      <c r="I324" s="5" t="n"/>
      <c r="J324" s="5" t="n"/>
      <c r="K324" s="5" t="n">
        <v>53</v>
      </c>
    </row>
    <row r="325">
      <c r="A325" s="2" t="n">
        <v>46110.91666666666</v>
      </c>
      <c r="B325">
        <f>TEXT(A325,"yyyy-mm")</f>
        <v/>
      </c>
      <c r="C325" s="3">
        <f>HOUR(A325)</f>
        <v/>
      </c>
      <c r="D325" s="4" t="n">
        <v>23.20212332018889</v>
      </c>
      <c r="E325" s="4" t="n"/>
      <c r="F325" s="4" t="n"/>
      <c r="G325" s="4" t="n">
        <v>12.4</v>
      </c>
      <c r="H325" s="5" t="n">
        <v>47.73842375480277</v>
      </c>
      <c r="I325" s="5" t="n"/>
      <c r="J325" s="5" t="n"/>
      <c r="K325" s="5" t="n">
        <v>56</v>
      </c>
    </row>
    <row r="326">
      <c r="A326" s="2" t="n">
        <v>46110.95833333334</v>
      </c>
      <c r="B326">
        <f>TEXT(A326,"yyyy-mm")</f>
        <v/>
      </c>
      <c r="C326" s="3">
        <f>HOUR(A326)</f>
        <v/>
      </c>
      <c r="D326" s="4" t="n">
        <v>23.60169842288612</v>
      </c>
      <c r="E326" s="4" t="n"/>
      <c r="F326" s="4" t="n"/>
      <c r="G326" s="4" t="n">
        <v>11.7</v>
      </c>
      <c r="H326" s="5" t="n">
        <v>49.24338580395278</v>
      </c>
      <c r="I326" s="5" t="n"/>
      <c r="J326" s="5" t="n"/>
      <c r="K326" s="5" t="n">
        <v>58</v>
      </c>
    </row>
    <row r="327">
      <c r="A327" s="2" t="n">
        <v>46111</v>
      </c>
      <c r="B327">
        <f>TEXT(A327,"yyyy-mm")</f>
        <v/>
      </c>
      <c r="C327" s="3">
        <f>HOUR(A327)</f>
        <v/>
      </c>
      <c r="D327" s="4" t="n">
        <v>23.68148419495556</v>
      </c>
      <c r="E327" s="4" t="n"/>
      <c r="F327" s="4" t="n"/>
      <c r="G327" s="4" t="n">
        <v>11.1</v>
      </c>
      <c r="H327" s="5" t="n">
        <v>47.88456258028333</v>
      </c>
      <c r="I327" s="5" t="n"/>
      <c r="J327" s="5" t="n"/>
      <c r="K327" s="5" t="n">
        <v>60</v>
      </c>
    </row>
    <row r="328">
      <c r="A328" s="2" t="n">
        <v>46111.04166666666</v>
      </c>
      <c r="B328">
        <f>TEXT(A328,"yyyy-mm")</f>
        <v/>
      </c>
      <c r="C328" s="3">
        <f>HOUR(A328)</f>
        <v/>
      </c>
      <c r="D328" s="4" t="n">
        <v>23.75628038070833</v>
      </c>
      <c r="E328" s="4" t="n"/>
      <c r="F328" s="4" t="n"/>
      <c r="G328" s="4" t="n">
        <v>10.7</v>
      </c>
      <c r="H328" s="5" t="n">
        <v>46.63712563581112</v>
      </c>
      <c r="I328" s="5" t="n"/>
      <c r="J328" s="5" t="n"/>
      <c r="K328" s="5" t="n">
        <v>61</v>
      </c>
    </row>
    <row r="329">
      <c r="A329" s="2" t="n">
        <v>46111.08333333334</v>
      </c>
      <c r="B329">
        <f>TEXT(A329,"yyyy-mm")</f>
        <v/>
      </c>
      <c r="C329" s="3">
        <f>HOUR(A329)</f>
        <v/>
      </c>
      <c r="D329" s="4" t="n">
        <v>23.55830368411666</v>
      </c>
      <c r="E329" s="4" t="n"/>
      <c r="F329" s="4" t="n"/>
      <c r="G329" s="4" t="n">
        <v>10.2</v>
      </c>
      <c r="H329" s="5" t="n">
        <v>46.96348098981944</v>
      </c>
      <c r="I329" s="5" t="n"/>
      <c r="J329" s="5" t="n"/>
      <c r="K329" s="5" t="n">
        <v>63</v>
      </c>
    </row>
    <row r="330">
      <c r="A330" s="2" t="n">
        <v>46111.125</v>
      </c>
      <c r="B330">
        <f>TEXT(A330,"yyyy-mm")</f>
        <v/>
      </c>
      <c r="C330" s="3">
        <f>HOUR(A330)</f>
        <v/>
      </c>
      <c r="D330" s="4" t="n">
        <v>23.07673895696945</v>
      </c>
      <c r="E330" s="4" t="n"/>
      <c r="F330" s="4" t="n"/>
      <c r="G330" s="4" t="n">
        <v>9.699999999999999</v>
      </c>
      <c r="H330" s="5" t="n">
        <v>47.21163514113056</v>
      </c>
      <c r="I330" s="5" t="n"/>
      <c r="J330" s="5" t="n"/>
      <c r="K330" s="5" t="n">
        <v>66</v>
      </c>
    </row>
    <row r="331">
      <c r="A331" s="2" t="n">
        <v>46111.16666666666</v>
      </c>
      <c r="B331">
        <f>TEXT(A331,"yyyy-mm")</f>
        <v/>
      </c>
      <c r="C331" s="3">
        <f>HOUR(A331)</f>
        <v/>
      </c>
      <c r="D331" s="4" t="n">
        <v>22.79972392626667</v>
      </c>
      <c r="E331" s="4" t="n"/>
      <c r="F331" s="4" t="n"/>
      <c r="G331" s="4" t="n">
        <v>8.9</v>
      </c>
      <c r="H331" s="5" t="n">
        <v>47.17008304205277</v>
      </c>
      <c r="I331" s="5" t="n"/>
      <c r="J331" s="5" t="n"/>
      <c r="K331" s="5" t="n">
        <v>69</v>
      </c>
    </row>
    <row r="332">
      <c r="A332" s="2" t="n">
        <v>46111.20833333334</v>
      </c>
      <c r="B332">
        <f>TEXT(A332,"yyyy-mm")</f>
        <v/>
      </c>
      <c r="C332" s="3">
        <f>HOUR(A332)</f>
        <v/>
      </c>
      <c r="D332" s="4" t="n">
        <v>22.64192553931112</v>
      </c>
      <c r="E332" s="4" t="n"/>
      <c r="F332" s="4" t="n"/>
      <c r="G332" s="4" t="n">
        <v>8.4</v>
      </c>
      <c r="H332" s="5" t="n">
        <v>46.93984053784167</v>
      </c>
      <c r="I332" s="5" t="n"/>
      <c r="J332" s="5" t="n"/>
      <c r="K332" s="5" t="n">
        <v>71</v>
      </c>
    </row>
    <row r="333">
      <c r="A333" s="2" t="n">
        <v>46111.25</v>
      </c>
      <c r="B333">
        <f>TEXT(A333,"yyyy-mm")</f>
        <v/>
      </c>
      <c r="C333" s="3">
        <f>HOUR(A333)</f>
        <v/>
      </c>
      <c r="D333" s="4" t="n">
        <v>22.56817428836389</v>
      </c>
      <c r="E333" s="4" t="n"/>
      <c r="F333" s="4" t="n"/>
      <c r="G333" s="4" t="n">
        <v>8.199999999999999</v>
      </c>
      <c r="H333" s="5" t="n">
        <v>46.34443663374167</v>
      </c>
      <c r="I333" s="5" t="n"/>
      <c r="J333" s="5" t="n"/>
      <c r="K333" s="5" t="n">
        <v>72</v>
      </c>
    </row>
    <row r="334">
      <c r="A334" s="2" t="n">
        <v>46111.29166666666</v>
      </c>
      <c r="B334">
        <f>TEXT(A334,"yyyy-mm")</f>
        <v/>
      </c>
      <c r="C334" s="3">
        <f>HOUR(A334)</f>
        <v/>
      </c>
      <c r="D334" s="4" t="n">
        <v>22.56399985186667</v>
      </c>
      <c r="E334" s="4" t="n"/>
      <c r="F334" s="4" t="n"/>
      <c r="G334" s="4" t="n">
        <v>8</v>
      </c>
      <c r="H334" s="5" t="n">
        <v>45.64537734291667</v>
      </c>
      <c r="I334" s="5" t="n"/>
      <c r="J334" s="5" t="n"/>
      <c r="K334" s="5" t="n">
        <v>72</v>
      </c>
    </row>
    <row r="335">
      <c r="A335" s="2" t="n">
        <v>46111.33333333334</v>
      </c>
      <c r="B335">
        <f>TEXT(A335,"yyyy-mm")</f>
        <v/>
      </c>
      <c r="C335" s="3">
        <f>HOUR(A335)</f>
        <v/>
      </c>
      <c r="D335" s="4" t="n">
        <v>22.65338168145278</v>
      </c>
      <c r="E335" s="4" t="n"/>
      <c r="F335" s="4" t="n"/>
      <c r="G335" s="4" t="n">
        <v>8.199999999999999</v>
      </c>
      <c r="H335" s="5" t="n">
        <v>44.14729850018056</v>
      </c>
      <c r="I335" s="5" t="n"/>
      <c r="J335" s="5" t="n"/>
      <c r="K335" s="5" t="n">
        <v>71</v>
      </c>
    </row>
    <row r="336">
      <c r="A336" s="2" t="n">
        <v>46111.375</v>
      </c>
      <c r="B336">
        <f>TEXT(A336,"yyyy-mm")</f>
        <v/>
      </c>
      <c r="C336" s="3">
        <f>HOUR(A336)</f>
        <v/>
      </c>
      <c r="D336" s="4" t="n">
        <v>22.80458052545277</v>
      </c>
      <c r="E336" s="4" t="n"/>
      <c r="F336" s="4" t="n"/>
      <c r="G336" s="4" t="n">
        <v>9.199999999999999</v>
      </c>
      <c r="H336" s="5" t="n">
        <v>43.52328794955833</v>
      </c>
      <c r="I336" s="5" t="n"/>
      <c r="J336" s="5" t="n"/>
      <c r="K336" s="5" t="n">
        <v>69</v>
      </c>
    </row>
    <row r="337">
      <c r="A337" s="2" t="n">
        <v>46111.41666666666</v>
      </c>
      <c r="B337">
        <f>TEXT(A337,"yyyy-mm")</f>
        <v/>
      </c>
      <c r="C337" s="3">
        <f>HOUR(A337)</f>
        <v/>
      </c>
      <c r="D337" s="4" t="n">
        <v>23.086945394975</v>
      </c>
      <c r="E337" s="4" t="n"/>
      <c r="F337" s="4" t="n"/>
      <c r="G337" s="4" t="n">
        <v>10.5</v>
      </c>
      <c r="H337" s="5" t="n">
        <v>42.547347461475</v>
      </c>
      <c r="I337" s="5" t="n"/>
      <c r="J337" s="5" t="n"/>
      <c r="K337" s="5" t="n">
        <v>66</v>
      </c>
    </row>
    <row r="338">
      <c r="A338" s="2" t="n">
        <v>46111.45833333334</v>
      </c>
      <c r="B338">
        <f>TEXT(A338,"yyyy-mm")</f>
        <v/>
      </c>
      <c r="C338" s="3">
        <f>HOUR(A338)</f>
        <v/>
      </c>
      <c r="D338" s="4" t="n">
        <v>23.47286542935555</v>
      </c>
      <c r="E338" s="4" t="n"/>
      <c r="F338" s="4" t="n"/>
      <c r="G338" s="4" t="n">
        <v>11.8</v>
      </c>
      <c r="H338" s="5" t="n">
        <v>42.32244876103334</v>
      </c>
      <c r="I338" s="5" t="n"/>
      <c r="J338" s="5" t="n"/>
      <c r="K338" s="5" t="n">
        <v>63</v>
      </c>
    </row>
    <row r="339">
      <c r="A339" s="2" t="n">
        <v>46111.5</v>
      </c>
      <c r="B339">
        <f>TEXT(A339,"yyyy-mm")</f>
        <v/>
      </c>
      <c r="C339" s="3">
        <f>HOUR(A339)</f>
        <v/>
      </c>
      <c r="D339" s="4" t="n">
        <v>23.96921489031389</v>
      </c>
      <c r="E339" s="4" t="n"/>
      <c r="F339" s="4" t="n"/>
      <c r="G339" s="4" t="n">
        <v>14.2</v>
      </c>
      <c r="H339" s="5" t="n">
        <v>44.1316255250139</v>
      </c>
      <c r="I339" s="5" t="n"/>
      <c r="J339" s="5" t="n"/>
      <c r="K339" s="5" t="n">
        <v>58</v>
      </c>
    </row>
    <row r="340">
      <c r="A340" s="2" t="n">
        <v>46111.54166666666</v>
      </c>
      <c r="B340">
        <f>TEXT(A340,"yyyy-mm")</f>
        <v/>
      </c>
      <c r="C340" s="3">
        <f>HOUR(A340)</f>
        <v/>
      </c>
      <c r="D340" s="4" t="n">
        <v>23.95784986219167</v>
      </c>
      <c r="E340" s="4" t="n"/>
      <c r="F340" s="4" t="n"/>
      <c r="G340" s="4" t="n">
        <v>15.2</v>
      </c>
      <c r="H340" s="5" t="n">
        <v>44.71826764216389</v>
      </c>
      <c r="I340" s="5" t="n"/>
      <c r="J340" s="5" t="n"/>
      <c r="K340" s="5" t="n">
        <v>56</v>
      </c>
    </row>
    <row r="341">
      <c r="A341" s="2" t="n">
        <v>46111.58333333334</v>
      </c>
      <c r="B341">
        <f>TEXT(A341,"yyyy-mm")</f>
        <v/>
      </c>
      <c r="C341" s="3">
        <f>HOUR(A341)</f>
        <v/>
      </c>
      <c r="D341" s="4" t="n">
        <v>23.94408285965278</v>
      </c>
      <c r="E341" s="4" t="n"/>
      <c r="F341" s="4" t="n"/>
      <c r="G341" s="4" t="n">
        <v>15.9</v>
      </c>
      <c r="H341" s="5" t="n">
        <v>44.14398987159166</v>
      </c>
      <c r="I341" s="5" t="n"/>
      <c r="J341" s="5" t="n"/>
      <c r="K341" s="5" t="n">
        <v>56</v>
      </c>
    </row>
    <row r="342">
      <c r="A342" s="2" t="n">
        <v>46111.625</v>
      </c>
      <c r="B342">
        <f>TEXT(A342,"yyyy-mm")</f>
        <v/>
      </c>
      <c r="C342" s="3">
        <f>HOUR(A342)</f>
        <v/>
      </c>
      <c r="D342" s="4" t="n">
        <v>23.89977266948334</v>
      </c>
      <c r="E342" s="4" t="n"/>
      <c r="F342" s="4" t="n"/>
      <c r="G342" s="4" t="n">
        <v>17.4</v>
      </c>
      <c r="H342" s="5" t="n">
        <v>44.988166264775</v>
      </c>
      <c r="I342" s="5" t="n"/>
      <c r="J342" s="5" t="n"/>
      <c r="K342" s="5" t="n">
        <v>54</v>
      </c>
    </row>
    <row r="343">
      <c r="A343" s="2" t="n">
        <v>46111.66666666666</v>
      </c>
      <c r="B343">
        <f>TEXT(A343,"yyyy-mm")</f>
        <v/>
      </c>
      <c r="C343" s="3">
        <f>HOUR(A343)</f>
        <v/>
      </c>
      <c r="D343" s="4" t="n">
        <v>23.88980256473611</v>
      </c>
      <c r="E343" s="4" t="n"/>
      <c r="F343" s="4" t="n"/>
      <c r="G343" s="4" t="n">
        <v>18</v>
      </c>
      <c r="H343" s="5" t="n">
        <v>46.76167375095556</v>
      </c>
      <c r="I343" s="5" t="n"/>
      <c r="J343" s="5" t="n"/>
      <c r="K343" s="5" t="n">
        <v>53</v>
      </c>
    </row>
    <row r="344">
      <c r="A344" s="2" t="n">
        <v>46111.70833333334</v>
      </c>
      <c r="B344">
        <f>TEXT(A344,"yyyy-mm")</f>
        <v/>
      </c>
      <c r="C344" s="3">
        <f>HOUR(A344)</f>
        <v/>
      </c>
      <c r="D344" s="4" t="n">
        <v>23.71821416695556</v>
      </c>
      <c r="E344" s="4" t="n"/>
      <c r="F344" s="4" t="n"/>
      <c r="G344" s="4" t="n">
        <v>18</v>
      </c>
      <c r="H344" s="5" t="n">
        <v>46.41697822573611</v>
      </c>
      <c r="I344" s="5" t="n"/>
      <c r="J344" s="5" t="n"/>
      <c r="K344" s="5" t="n">
        <v>55</v>
      </c>
    </row>
    <row r="345">
      <c r="A345" s="2" t="n">
        <v>46111.75</v>
      </c>
      <c r="B345">
        <f>TEXT(A345,"yyyy-mm")</f>
        <v/>
      </c>
      <c r="C345" s="3">
        <f>HOUR(A345)</f>
        <v/>
      </c>
      <c r="D345" s="4" t="n">
        <v>23.67350963313333</v>
      </c>
      <c r="E345" s="4" t="n"/>
      <c r="F345" s="4" t="n"/>
      <c r="G345" s="4" t="n">
        <v>16.6</v>
      </c>
      <c r="H345" s="5" t="n">
        <v>46.89554167067778</v>
      </c>
      <c r="I345" s="5" t="n"/>
      <c r="J345" s="5" t="n"/>
      <c r="K345" s="5" t="n">
        <v>67</v>
      </c>
    </row>
    <row r="346">
      <c r="A346" s="2" t="n">
        <v>46111.79166666666</v>
      </c>
      <c r="B346">
        <f>TEXT(A346,"yyyy-mm")</f>
        <v/>
      </c>
      <c r="C346" s="3">
        <f>HOUR(A346)</f>
        <v/>
      </c>
      <c r="D346" s="4" t="n">
        <v>23.54036044515</v>
      </c>
      <c r="E346" s="4" t="n"/>
      <c r="F346" s="4" t="n"/>
      <c r="G346" s="4" t="n">
        <v>14.5</v>
      </c>
      <c r="H346" s="5" t="n">
        <v>47.10284443761944</v>
      </c>
      <c r="I346" s="5" t="n"/>
      <c r="J346" s="5" t="n"/>
      <c r="K346" s="5" t="n">
        <v>72</v>
      </c>
    </row>
    <row r="347">
      <c r="A347" s="2" t="n">
        <v>46111.83333333334</v>
      </c>
      <c r="B347">
        <f>TEXT(A347,"yyyy-mm")</f>
        <v/>
      </c>
      <c r="C347" s="3">
        <f>HOUR(A347)</f>
        <v/>
      </c>
      <c r="D347" s="4" t="n">
        <v>23.89296766738333</v>
      </c>
      <c r="E347" s="4" t="n"/>
      <c r="F347" s="4" t="n"/>
      <c r="G347" s="4" t="n">
        <v>13.6</v>
      </c>
      <c r="H347" s="5" t="n">
        <v>46.38281878666945</v>
      </c>
      <c r="I347" s="5" t="n"/>
      <c r="J347" s="5" t="n"/>
      <c r="K347" s="5" t="n">
        <v>74</v>
      </c>
    </row>
    <row r="348">
      <c r="A348" s="2" t="n">
        <v>46111.875</v>
      </c>
      <c r="B348">
        <f>TEXT(A348,"yyyy-mm")</f>
        <v/>
      </c>
      <c r="C348" s="3">
        <f>HOUR(A348)</f>
        <v/>
      </c>
      <c r="D348" s="4" t="n">
        <v>23.76522372938611</v>
      </c>
      <c r="E348" s="4" t="n"/>
      <c r="F348" s="4" t="n"/>
      <c r="G348" s="4" t="n">
        <v>13.1</v>
      </c>
      <c r="H348" s="5" t="n">
        <v>48.95366558396111</v>
      </c>
      <c r="I348" s="5" t="n"/>
      <c r="J348" s="5" t="n"/>
      <c r="K348" s="5" t="n">
        <v>72</v>
      </c>
    </row>
    <row r="349">
      <c r="A349" s="2" t="n">
        <v>46111.91666666666</v>
      </c>
      <c r="B349">
        <f>TEXT(A349,"yyyy-mm")</f>
        <v/>
      </c>
      <c r="C349" s="3">
        <f>HOUR(A349)</f>
        <v/>
      </c>
      <c r="D349" s="4" t="n">
        <v>23.61179373514167</v>
      </c>
      <c r="E349" s="4" t="n"/>
      <c r="F349" s="4" t="n"/>
      <c r="G349" s="4" t="n">
        <v>11.6</v>
      </c>
      <c r="H349" s="5" t="n">
        <v>49.01205525095556</v>
      </c>
      <c r="I349" s="5" t="n"/>
      <c r="J349" s="5" t="n"/>
      <c r="K349" s="5" t="n">
        <v>84</v>
      </c>
    </row>
    <row r="350">
      <c r="A350" s="2" t="n">
        <v>46111.95833333334</v>
      </c>
      <c r="B350">
        <f>TEXT(A350,"yyyy-mm")</f>
        <v/>
      </c>
      <c r="C350" s="3">
        <f>HOUR(A350)</f>
        <v/>
      </c>
      <c r="D350" s="4" t="n">
        <v>23.574991998625</v>
      </c>
      <c r="E350" s="4" t="n"/>
      <c r="F350" s="4" t="n"/>
      <c r="G350" s="4" t="n">
        <v>11.4</v>
      </c>
      <c r="H350" s="5" t="n">
        <v>48.57291603990556</v>
      </c>
      <c r="I350" s="5" t="n"/>
      <c r="J350" s="5" t="n"/>
      <c r="K350" s="5" t="n">
        <v>84</v>
      </c>
    </row>
    <row r="351">
      <c r="A351" s="2" t="n">
        <v>46112</v>
      </c>
      <c r="B351">
        <f>TEXT(A351,"yyyy-mm")</f>
        <v/>
      </c>
      <c r="C351" s="3">
        <f>HOUR(A351)</f>
        <v/>
      </c>
      <c r="D351" s="4" t="n">
        <v>23.78398276993056</v>
      </c>
      <c r="E351" s="4" t="n"/>
      <c r="F351" s="4" t="n"/>
      <c r="G351" s="4" t="n">
        <v>11.1</v>
      </c>
      <c r="H351" s="5" t="n">
        <v>48.02936664706389</v>
      </c>
      <c r="I351" s="5" t="n"/>
      <c r="J351" s="5" t="n"/>
      <c r="K351" s="5" t="n">
        <v>85</v>
      </c>
    </row>
    <row r="352">
      <c r="A352" s="2" t="n">
        <v>46112.04166666666</v>
      </c>
      <c r="B352">
        <f>TEXT(A352,"yyyy-mm")</f>
        <v/>
      </c>
      <c r="C352" s="3">
        <f>HOUR(A352)</f>
        <v/>
      </c>
      <c r="D352" s="4" t="n">
        <v>23.85513108059166</v>
      </c>
      <c r="E352" s="4" t="n"/>
      <c r="F352" s="4" t="n"/>
      <c r="G352" s="4" t="n">
        <v>10</v>
      </c>
      <c r="H352" s="5" t="n">
        <v>47.4226713145</v>
      </c>
      <c r="I352" s="5" t="n"/>
      <c r="J352" s="5" t="n"/>
      <c r="K352" s="5" t="n">
        <v>91</v>
      </c>
    </row>
    <row r="353">
      <c r="A353" s="2" t="n">
        <v>46112.08333333334</v>
      </c>
      <c r="B353">
        <f>TEXT(A353,"yyyy-mm")</f>
        <v/>
      </c>
      <c r="C353" s="3">
        <f>HOUR(A353)</f>
        <v/>
      </c>
      <c r="D353" s="4" t="n">
        <v>23.47827573799444</v>
      </c>
      <c r="E353" s="4" t="n"/>
      <c r="F353" s="4" t="n"/>
      <c r="G353" s="4" t="n">
        <v>10</v>
      </c>
      <c r="H353" s="5" t="n">
        <v>48.24015938726944</v>
      </c>
      <c r="I353" s="5" t="n"/>
      <c r="J353" s="5" t="n"/>
      <c r="K353" s="5" t="n">
        <v>90</v>
      </c>
    </row>
    <row r="354">
      <c r="A354" s="2" t="n">
        <v>46112.125</v>
      </c>
      <c r="B354">
        <f>TEXT(A354,"yyyy-mm")</f>
        <v/>
      </c>
      <c r="C354" s="3">
        <f>HOUR(A354)</f>
        <v/>
      </c>
      <c r="D354" s="4" t="n">
        <v>23.19259431576112</v>
      </c>
      <c r="E354" s="4" t="n"/>
      <c r="F354" s="4" t="n"/>
      <c r="G354" s="4" t="n">
        <v>10.2</v>
      </c>
      <c r="H354" s="5" t="n">
        <v>48.12756287875278</v>
      </c>
      <c r="I354" s="5" t="n"/>
      <c r="J354" s="5" t="n"/>
      <c r="K354" s="5" t="n">
        <v>87</v>
      </c>
    </row>
    <row r="355">
      <c r="A355" s="2" t="n">
        <v>46112.16666666666</v>
      </c>
      <c r="B355">
        <f>TEXT(A355,"yyyy-mm")</f>
        <v/>
      </c>
      <c r="C355" s="3">
        <f>HOUR(A355)</f>
        <v/>
      </c>
      <c r="D355" s="4" t="n">
        <v>23.048634256925</v>
      </c>
      <c r="E355" s="4" t="n"/>
      <c r="F355" s="4" t="n"/>
      <c r="G355" s="4" t="n">
        <v>9.9</v>
      </c>
      <c r="H355" s="5" t="n">
        <v>48.20976715915833</v>
      </c>
      <c r="I355" s="5" t="n"/>
      <c r="J355" s="5" t="n"/>
      <c r="K355" s="5" t="n">
        <v>87</v>
      </c>
    </row>
    <row r="356">
      <c r="A356" s="2" t="n">
        <v>46112.20833333334</v>
      </c>
      <c r="B356">
        <f>TEXT(A356,"yyyy-mm")</f>
        <v/>
      </c>
      <c r="C356" s="3">
        <f>HOUR(A356)</f>
        <v/>
      </c>
      <c r="D356" s="4" t="n">
        <v>22.95241007173334</v>
      </c>
      <c r="E356" s="4" t="n"/>
      <c r="F356" s="4" t="n"/>
      <c r="G356" s="4" t="n">
        <v>9.4</v>
      </c>
      <c r="H356" s="5" t="n">
        <v>48.25538958625278</v>
      </c>
      <c r="I356" s="5" t="n"/>
      <c r="J356" s="5" t="n"/>
      <c r="K356" s="5" t="n">
        <v>90</v>
      </c>
    </row>
    <row r="357">
      <c r="A357" s="2" t="n">
        <v>46112.25</v>
      </c>
      <c r="B357">
        <f>TEXT(A357,"yyyy-mm")</f>
        <v/>
      </c>
      <c r="C357" s="3">
        <f>HOUR(A357)</f>
        <v/>
      </c>
      <c r="D357" s="4" t="n">
        <v>22.93447753414167</v>
      </c>
      <c r="E357" s="4" t="n"/>
      <c r="F357" s="4" t="n"/>
      <c r="G357" s="4" t="n">
        <v>9.199999999999999</v>
      </c>
      <c r="H357" s="5" t="n">
        <v>48.05284391770278</v>
      </c>
      <c r="I357" s="5" t="n"/>
      <c r="J357" s="5" t="n"/>
      <c r="K357" s="5" t="n">
        <v>91</v>
      </c>
    </row>
    <row r="358">
      <c r="A358" s="2" t="n">
        <v>46112.29166666666</v>
      </c>
      <c r="B358">
        <f>TEXT(A358,"yyyy-mm")</f>
        <v/>
      </c>
      <c r="C358" s="3">
        <f>HOUR(A358)</f>
        <v/>
      </c>
      <c r="D358" s="4" t="n">
        <v>23.42773515569445</v>
      </c>
      <c r="E358" s="4" t="n"/>
      <c r="F358" s="4" t="n"/>
      <c r="G358" s="4" t="n">
        <v>8.4</v>
      </c>
      <c r="H358" s="5" t="n">
        <v>46.28248630754445</v>
      </c>
      <c r="I358" s="5" t="n"/>
      <c r="J358" s="5" t="n"/>
      <c r="K358" s="5" t="n">
        <v>93</v>
      </c>
    </row>
    <row r="359">
      <c r="A359" s="2" t="n">
        <v>46112.33333333334</v>
      </c>
      <c r="B359">
        <f>TEXT(A359,"yyyy-mm")</f>
        <v/>
      </c>
      <c r="C359" s="3">
        <f>HOUR(A359)</f>
        <v/>
      </c>
      <c r="D359" s="4" t="n">
        <v>23.42571330594722</v>
      </c>
      <c r="E359" s="4" t="n"/>
      <c r="F359" s="4" t="n"/>
      <c r="G359" s="4" t="n">
        <v>10</v>
      </c>
      <c r="H359" s="5" t="n">
        <v>46.72804144116945</v>
      </c>
      <c r="I359" s="5" t="n"/>
      <c r="J359" s="5" t="n"/>
      <c r="K359" s="5" t="n">
        <v>91</v>
      </c>
    </row>
    <row r="360">
      <c r="A360" s="2" t="n">
        <v>46112.375</v>
      </c>
      <c r="B360">
        <f>TEXT(A360,"yyyy-mm")</f>
        <v/>
      </c>
      <c r="C360" s="3">
        <f>HOUR(A360)</f>
        <v/>
      </c>
      <c r="D360" s="4" t="n">
        <v>23.63795680805278</v>
      </c>
      <c r="E360" s="4" t="n"/>
      <c r="F360" s="4" t="n"/>
      <c r="G360" s="4" t="n">
        <v>12.1</v>
      </c>
      <c r="H360" s="5" t="n">
        <v>45.897241342725</v>
      </c>
      <c r="I360" s="5" t="n"/>
      <c r="J360" s="5" t="n"/>
      <c r="K360" s="5" t="n">
        <v>86</v>
      </c>
    </row>
    <row r="361">
      <c r="A361" s="2" t="n">
        <v>46112.41666666666</v>
      </c>
      <c r="B361">
        <f>TEXT(A361,"yyyy-mm")</f>
        <v/>
      </c>
      <c r="C361" s="3">
        <f>HOUR(A361)</f>
        <v/>
      </c>
      <c r="D361" s="4" t="n">
        <v>24.09137972714722</v>
      </c>
      <c r="E361" s="4" t="n"/>
      <c r="F361" s="4" t="n"/>
      <c r="G361" s="4" t="n">
        <v>14.1</v>
      </c>
      <c r="H361" s="5" t="n">
        <v>44.78739344595834</v>
      </c>
      <c r="I361" s="5" t="n"/>
      <c r="J361" s="5" t="n"/>
      <c r="K361" s="5" t="n">
        <v>79</v>
      </c>
    </row>
    <row r="362">
      <c r="A362" s="2" t="n">
        <v>46112.45833333334</v>
      </c>
      <c r="B362">
        <f>TEXT(A362,"yyyy-mm")</f>
        <v/>
      </c>
      <c r="C362" s="3">
        <f>HOUR(A362)</f>
        <v/>
      </c>
      <c r="D362" s="4" t="n">
        <v>24.43788230796666</v>
      </c>
      <c r="E362" s="4" t="n"/>
      <c r="F362" s="4" t="n"/>
      <c r="G362" s="4" t="n">
        <v>15.9</v>
      </c>
      <c r="H362" s="5" t="n">
        <v>45.98809008363056</v>
      </c>
      <c r="I362" s="5" t="n"/>
      <c r="J362" s="5" t="n"/>
      <c r="K362" s="5" t="n">
        <v>72</v>
      </c>
    </row>
    <row r="363">
      <c r="A363" s="2" t="n">
        <v>46112.5</v>
      </c>
      <c r="B363">
        <f>TEXT(A363,"yyyy-mm")</f>
        <v/>
      </c>
      <c r="C363" s="3">
        <f>HOUR(A363)</f>
        <v/>
      </c>
      <c r="D363" s="4" t="n">
        <v>24.399238115775</v>
      </c>
      <c r="E363" s="4" t="n"/>
      <c r="F363" s="4" t="n"/>
      <c r="G363" s="4" t="n">
        <v>17.3</v>
      </c>
      <c r="H363" s="5" t="n">
        <v>47.49704921178056</v>
      </c>
      <c r="I363" s="5" t="n"/>
      <c r="J363" s="5" t="n"/>
      <c r="K363" s="5" t="n">
        <v>66</v>
      </c>
    </row>
    <row r="364">
      <c r="A364" s="2" t="n">
        <v>46112.54166666666</v>
      </c>
      <c r="B364">
        <f>TEXT(A364,"yyyy-mm")</f>
        <v/>
      </c>
      <c r="C364" s="3">
        <f>HOUR(A364)</f>
        <v/>
      </c>
      <c r="D364" s="4" t="n">
        <v>24.35117575306944</v>
      </c>
      <c r="E364" s="4" t="n"/>
      <c r="F364" s="4" t="n"/>
      <c r="G364" s="4" t="n">
        <v>18.4</v>
      </c>
      <c r="H364" s="5" t="n">
        <v>47.02262265649167</v>
      </c>
      <c r="I364" s="5" t="n"/>
      <c r="J364" s="5" t="n"/>
      <c r="K364" s="5" t="n">
        <v>59</v>
      </c>
    </row>
    <row r="365">
      <c r="A365" s="2" t="n">
        <v>46112.58333333334</v>
      </c>
      <c r="B365">
        <f>TEXT(A365,"yyyy-mm")</f>
        <v/>
      </c>
      <c r="C365" s="3">
        <f>HOUR(A365)</f>
        <v/>
      </c>
      <c r="D365" s="4" t="n">
        <v>24.33425473401111</v>
      </c>
      <c r="E365" s="4" t="n"/>
      <c r="F365" s="4" t="n"/>
      <c r="G365" s="4" t="n">
        <v>18.7</v>
      </c>
      <c r="H365" s="5" t="n">
        <v>46.811679290275</v>
      </c>
      <c r="I365" s="5" t="n"/>
      <c r="J365" s="5" t="n"/>
      <c r="K365" s="5" t="n">
        <v>54</v>
      </c>
    </row>
    <row r="366">
      <c r="A366" s="2" t="n">
        <v>46112.625</v>
      </c>
      <c r="B366">
        <f>TEXT(A366,"yyyy-mm")</f>
        <v/>
      </c>
      <c r="C366" s="3">
        <f>HOUR(A366)</f>
        <v/>
      </c>
      <c r="D366" s="4" t="n">
        <v>24.09176867902778</v>
      </c>
      <c r="E366" s="4" t="n"/>
      <c r="F366" s="4" t="n"/>
      <c r="G366" s="4" t="n">
        <v>16.8</v>
      </c>
      <c r="H366" s="5" t="n">
        <v>44.53374128016111</v>
      </c>
      <c r="I366" s="5" t="n"/>
      <c r="J366" s="5" t="n"/>
      <c r="K366" s="5" t="n">
        <v>62</v>
      </c>
    </row>
    <row r="367">
      <c r="A367" s="2" t="n">
        <v>46112.66666666666</v>
      </c>
      <c r="B367">
        <f>TEXT(A367,"yyyy-mm")</f>
        <v/>
      </c>
      <c r="C367" s="3">
        <f>HOUR(A367)</f>
        <v/>
      </c>
      <c r="D367" s="4" t="n">
        <v>23.54721652268611</v>
      </c>
      <c r="E367" s="4" t="n"/>
      <c r="F367" s="4" t="n"/>
      <c r="G367" s="4" t="n">
        <v>14.1</v>
      </c>
      <c r="H367" s="5" t="n">
        <v>40.47619364707222</v>
      </c>
      <c r="I367" s="5" t="n"/>
      <c r="J367" s="5" t="n"/>
      <c r="K367" s="5" t="n">
        <v>85</v>
      </c>
    </row>
    <row r="368">
      <c r="A368" s="2" t="n">
        <v>46112.70833333334</v>
      </c>
      <c r="B368">
        <f>TEXT(A368,"yyyy-mm")</f>
        <v/>
      </c>
      <c r="C368" s="3">
        <f>HOUR(A368)</f>
        <v/>
      </c>
      <c r="D368" s="4" t="n">
        <v>23.14565571315833</v>
      </c>
      <c r="E368" s="4" t="n"/>
      <c r="F368" s="4" t="n"/>
      <c r="G368" s="4" t="n">
        <v>13.8</v>
      </c>
      <c r="H368" s="5" t="n">
        <v>42.05776122006944</v>
      </c>
      <c r="I368" s="5" t="n"/>
      <c r="J368" s="5" t="n"/>
      <c r="K368" s="5" t="n">
        <v>84</v>
      </c>
    </row>
    <row r="369">
      <c r="A369" s="2" t="n">
        <v>46112.75</v>
      </c>
      <c r="B369">
        <f>TEXT(A369,"yyyy-mm")</f>
        <v/>
      </c>
      <c r="C369" s="3">
        <f>HOUR(A369)</f>
        <v/>
      </c>
      <c r="D369" s="4" t="n">
        <v>23.16262720533889</v>
      </c>
      <c r="E369" s="4" t="n"/>
      <c r="F369" s="4" t="n"/>
      <c r="G369" s="4" t="n">
        <v>14.1</v>
      </c>
      <c r="H369" s="5" t="n">
        <v>41.68777694172778</v>
      </c>
      <c r="I369" s="5" t="n"/>
      <c r="J369" s="5" t="n"/>
      <c r="K369" s="5" t="n">
        <v>83</v>
      </c>
    </row>
    <row r="370">
      <c r="A370" s="2" t="n">
        <v>46112.79166666666</v>
      </c>
      <c r="B370">
        <f>TEXT(A370,"yyyy-mm")</f>
        <v/>
      </c>
      <c r="C370" s="3">
        <f>HOUR(A370)</f>
        <v/>
      </c>
      <c r="D370" s="4" t="n">
        <v>22.52520582888611</v>
      </c>
      <c r="E370" s="4" t="n"/>
      <c r="F370" s="4" t="n"/>
      <c r="G370" s="4" t="n">
        <v>12.2</v>
      </c>
      <c r="H370" s="5" t="n">
        <v>41.8880100653</v>
      </c>
      <c r="I370" s="5" t="n"/>
      <c r="J370" s="5" t="n"/>
      <c r="K370" s="5" t="n">
        <v>92</v>
      </c>
    </row>
    <row r="371">
      <c r="A371" s="2" t="n">
        <v>46112.83333333334</v>
      </c>
      <c r="B371">
        <f>TEXT(A371,"yyyy-mm")</f>
        <v/>
      </c>
      <c r="C371" s="3">
        <f>HOUR(A371)</f>
        <v/>
      </c>
      <c r="D371" s="4" t="n">
        <v>22.60688351621667</v>
      </c>
      <c r="E371" s="4" t="n"/>
      <c r="F371" s="4" t="n"/>
      <c r="G371" s="4" t="n">
        <v>11.5</v>
      </c>
      <c r="H371" s="5" t="n">
        <v>42.71888254188889</v>
      </c>
      <c r="I371" s="5" t="n"/>
      <c r="J371" s="5" t="n"/>
      <c r="K371" s="5" t="n">
        <v>94</v>
      </c>
    </row>
    <row r="372">
      <c r="A372" s="2" t="n">
        <v>46112.875</v>
      </c>
      <c r="B372">
        <f>TEXT(A372,"yyyy-mm")</f>
        <v/>
      </c>
      <c r="C372" s="3">
        <f>HOUR(A372)</f>
        <v/>
      </c>
      <c r="D372" s="4" t="n">
        <v>22.65887698896667</v>
      </c>
      <c r="E372" s="4" t="n"/>
      <c r="F372" s="4" t="n"/>
      <c r="G372" s="4" t="n">
        <v>11.9</v>
      </c>
      <c r="H372" s="5" t="n">
        <v>45.30852329343056</v>
      </c>
      <c r="I372" s="5" t="n"/>
      <c r="J372" s="5" t="n"/>
      <c r="K372" s="5" t="n">
        <v>91</v>
      </c>
    </row>
    <row r="373">
      <c r="A373" s="2" t="n">
        <v>46112.91666666666</v>
      </c>
      <c r="B373">
        <f>TEXT(A373,"yyyy-mm")</f>
        <v/>
      </c>
      <c r="C373" s="3">
        <f>HOUR(A373)</f>
        <v/>
      </c>
      <c r="D373" s="4" t="n">
        <v>23.55884910250556</v>
      </c>
      <c r="E373" s="4" t="n"/>
      <c r="F373" s="4" t="n"/>
      <c r="G373" s="4" t="n">
        <v>10.9</v>
      </c>
      <c r="H373" s="5" t="n">
        <v>44.75247601606667</v>
      </c>
      <c r="I373" s="5" t="n"/>
      <c r="J373" s="5" t="n"/>
      <c r="K373" s="5" t="n">
        <v>95</v>
      </c>
    </row>
    <row r="374">
      <c r="A374" s="2" t="n">
        <v>46112.95833333334</v>
      </c>
      <c r="B374">
        <f>TEXT(A374,"yyyy-mm")</f>
        <v/>
      </c>
      <c r="C374" s="3">
        <f>HOUR(A374)</f>
        <v/>
      </c>
      <c r="D374" s="4" t="n">
        <v>24.40216166980555</v>
      </c>
      <c r="E374" s="4" t="n"/>
      <c r="F374" s="4" t="n"/>
      <c r="G374" s="4" t="n">
        <v>10.1</v>
      </c>
      <c r="H374" s="5" t="n">
        <v>44.11628837246388</v>
      </c>
      <c r="I374" s="5" t="n"/>
      <c r="J374" s="5" t="n"/>
      <c r="K374" s="5" t="n">
        <v>97</v>
      </c>
    </row>
    <row r="375">
      <c r="A375" s="2" t="n">
        <v>46113</v>
      </c>
      <c r="B375">
        <f>TEXT(A375,"yyyy-mm")</f>
        <v/>
      </c>
      <c r="C375" s="3">
        <f>HOUR(A375)</f>
        <v/>
      </c>
      <c r="D375" s="4" t="n">
        <v>24.51668151973889</v>
      </c>
      <c r="E375" s="4" t="n"/>
      <c r="F375" s="4" t="n"/>
      <c r="G375" s="4" t="n">
        <v>9.300000000000001</v>
      </c>
      <c r="H375" s="5" t="n">
        <v>44.31699986153056</v>
      </c>
      <c r="I375" s="5" t="n"/>
      <c r="J375" s="5" t="n"/>
      <c r="K375" s="5" t="n">
        <v>97</v>
      </c>
    </row>
    <row r="376">
      <c r="A376" s="2" t="n">
        <v>46113.04166666666</v>
      </c>
      <c r="B376">
        <f>TEXT(A376,"yyyy-mm")</f>
        <v/>
      </c>
      <c r="C376" s="3">
        <f>HOUR(A376)</f>
        <v/>
      </c>
      <c r="D376" s="4" t="n">
        <v>24.42783981398334</v>
      </c>
      <c r="E376" s="4" t="n"/>
      <c r="F376" s="4" t="n"/>
      <c r="G376" s="4" t="n">
        <v>8.199999999999999</v>
      </c>
      <c r="H376" s="5" t="n">
        <v>44.97424510628611</v>
      </c>
      <c r="I376" s="5" t="n"/>
      <c r="J376" s="5" t="n"/>
      <c r="K376" s="5" t="n">
        <v>98</v>
      </c>
    </row>
    <row r="377">
      <c r="A377" s="2" t="n">
        <v>46113.08333333334</v>
      </c>
      <c r="B377">
        <f>TEXT(A377,"yyyy-mm")</f>
        <v/>
      </c>
      <c r="C377" s="3">
        <f>HOUR(A377)</f>
        <v/>
      </c>
      <c r="D377" s="4" t="n">
        <v>23.98320039765555</v>
      </c>
      <c r="E377" s="4" t="n"/>
      <c r="F377" s="4" t="n"/>
      <c r="G377" s="4" t="n">
        <v>7.5</v>
      </c>
      <c r="H377" s="5" t="n">
        <v>47.11564656376111</v>
      </c>
      <c r="I377" s="5" t="n"/>
      <c r="J377" s="5" t="n"/>
      <c r="K377" s="5" t="n">
        <v>100</v>
      </c>
    </row>
    <row r="378">
      <c r="A378" s="2" t="n">
        <v>46113.125</v>
      </c>
      <c r="B378">
        <f>TEXT(A378,"yyyy-mm")</f>
        <v/>
      </c>
      <c r="C378" s="3">
        <f>HOUR(A378)</f>
        <v/>
      </c>
      <c r="D378" s="4" t="n">
        <v>23.6750762507</v>
      </c>
      <c r="E378" s="4" t="n"/>
      <c r="F378" s="4" t="n"/>
      <c r="G378" s="4" t="n">
        <v>9.300000000000001</v>
      </c>
      <c r="H378" s="5" t="n">
        <v>47.30695140127778</v>
      </c>
      <c r="I378" s="5" t="n"/>
      <c r="J378" s="5" t="n"/>
      <c r="K378" s="5" t="n">
        <v>98</v>
      </c>
    </row>
    <row r="379">
      <c r="A379" s="2" t="n">
        <v>46113.16666666666</v>
      </c>
      <c r="B379">
        <f>TEXT(A379,"yyyy-mm")</f>
        <v/>
      </c>
      <c r="C379" s="3">
        <f>HOUR(A379)</f>
        <v/>
      </c>
      <c r="D379" s="4" t="n">
        <v>23.48610364546111</v>
      </c>
      <c r="E379" s="4" t="n"/>
      <c r="F379" s="4" t="n"/>
      <c r="G379" s="4" t="n">
        <v>8.800000000000001</v>
      </c>
      <c r="H379" s="5" t="n">
        <v>47.43454682844445</v>
      </c>
      <c r="I379" s="5" t="n"/>
      <c r="J379" s="5" t="n"/>
      <c r="K379" s="5" t="n">
        <v>100</v>
      </c>
    </row>
    <row r="380">
      <c r="A380" s="2" t="n">
        <v>46113.20833333334</v>
      </c>
      <c r="B380">
        <f>TEXT(A380,"yyyy-mm")</f>
        <v/>
      </c>
      <c r="C380" s="3">
        <f>HOUR(A380)</f>
        <v/>
      </c>
      <c r="D380" s="4" t="n">
        <v>23.35472598710833</v>
      </c>
      <c r="E380" s="4" t="n"/>
      <c r="F380" s="4" t="n"/>
      <c r="G380" s="4" t="n">
        <v>8.1</v>
      </c>
      <c r="H380" s="5" t="n">
        <v>47.77809652132501</v>
      </c>
      <c r="I380" s="5" t="n"/>
      <c r="J380" s="5" t="n"/>
      <c r="K380" s="5" t="n">
        <v>100</v>
      </c>
    </row>
    <row r="381">
      <c r="A381" s="2" t="n">
        <v>46113.25</v>
      </c>
      <c r="B381">
        <f>TEXT(A381,"yyyy-mm")</f>
        <v/>
      </c>
      <c r="C381" s="3">
        <f>HOUR(A381)</f>
        <v/>
      </c>
      <c r="D381" s="4" t="n">
        <v>23.27866030201389</v>
      </c>
      <c r="E381" s="4" t="n"/>
      <c r="F381" s="4" t="n"/>
      <c r="G381" s="4" t="n">
        <v>7.9</v>
      </c>
      <c r="H381" s="5" t="n">
        <v>47.70283048703334</v>
      </c>
      <c r="I381" s="5" t="n"/>
      <c r="J381" s="5" t="n"/>
      <c r="K381" s="5" t="n">
        <v>100</v>
      </c>
    </row>
    <row r="382">
      <c r="A382" s="2" t="n">
        <v>46113.29166666666</v>
      </c>
      <c r="B382">
        <f>TEXT(A382,"yyyy-mm")</f>
        <v/>
      </c>
      <c r="C382" s="3">
        <f>HOUR(A382)</f>
        <v/>
      </c>
      <c r="D382" s="4" t="n">
        <v>23.26472191232778</v>
      </c>
      <c r="E382" s="4" t="n"/>
      <c r="F382" s="4" t="n"/>
      <c r="G382" s="4" t="n">
        <v>8.199999999999999</v>
      </c>
      <c r="H382" s="5" t="n">
        <v>47.41493129020833</v>
      </c>
      <c r="I382" s="5" t="n"/>
      <c r="J382" s="5" t="n"/>
      <c r="K382" s="5" t="n">
        <v>100</v>
      </c>
    </row>
    <row r="383">
      <c r="A383" s="2" t="n">
        <v>46113.33333333334</v>
      </c>
      <c r="B383">
        <f>TEXT(A383,"yyyy-mm")</f>
        <v/>
      </c>
      <c r="C383" s="3">
        <f>HOUR(A383)</f>
        <v/>
      </c>
      <c r="D383" s="4" t="n">
        <v>23.27453413148333</v>
      </c>
      <c r="E383" s="4" t="n"/>
      <c r="F383" s="4" t="n"/>
      <c r="G383" s="4" t="n">
        <v>9.1</v>
      </c>
      <c r="H383" s="5" t="n">
        <v>47.15390113865001</v>
      </c>
      <c r="I383" s="5" t="n"/>
      <c r="J383" s="5" t="n"/>
      <c r="K383" s="5" t="n">
        <v>97</v>
      </c>
    </row>
    <row r="384">
      <c r="A384" s="2" t="n">
        <v>46113.375</v>
      </c>
      <c r="B384">
        <f>TEXT(A384,"yyyy-mm")</f>
        <v/>
      </c>
      <c r="C384" s="3">
        <f>HOUR(A384)</f>
        <v/>
      </c>
      <c r="D384" s="4" t="n">
        <v>23.27589594365834</v>
      </c>
      <c r="E384" s="4" t="n"/>
      <c r="F384" s="4" t="n"/>
      <c r="G384" s="4" t="n">
        <v>10</v>
      </c>
      <c r="H384" s="5" t="n">
        <v>47.33073570550834</v>
      </c>
      <c r="I384" s="5" t="n"/>
      <c r="J384" s="5" t="n"/>
      <c r="K384" s="5" t="n">
        <v>98</v>
      </c>
    </row>
    <row r="385">
      <c r="A385" s="2" t="n">
        <v>46113.41666666666</v>
      </c>
      <c r="B385">
        <f>TEXT(A385,"yyyy-mm")</f>
        <v/>
      </c>
      <c r="C385" s="3">
        <f>HOUR(A385)</f>
        <v/>
      </c>
      <c r="D385" s="4" t="n">
        <v>23.38496895098056</v>
      </c>
      <c r="E385" s="4" t="n"/>
      <c r="F385" s="4" t="n"/>
      <c r="G385" s="4" t="n">
        <v>12.3</v>
      </c>
      <c r="H385" s="5" t="n">
        <v>47.11318136449166</v>
      </c>
      <c r="I385" s="5" t="n"/>
      <c r="J385" s="5" t="n"/>
      <c r="K385" s="5" t="n">
        <v>89</v>
      </c>
    </row>
    <row r="386">
      <c r="A386" s="2" t="n">
        <v>46113.45833333334</v>
      </c>
      <c r="B386">
        <f>TEXT(A386,"yyyy-mm")</f>
        <v/>
      </c>
      <c r="C386" s="3">
        <f>HOUR(A386)</f>
        <v/>
      </c>
      <c r="D386" s="4" t="n">
        <v>23.71033723922778</v>
      </c>
      <c r="E386" s="4" t="n"/>
      <c r="F386" s="4" t="n"/>
      <c r="G386" s="4" t="n">
        <v>13.9</v>
      </c>
      <c r="H386" s="5" t="n">
        <v>48.42565628700833</v>
      </c>
      <c r="I386" s="5" t="n"/>
      <c r="J386" s="5" t="n"/>
      <c r="K386" s="5" t="n">
        <v>80</v>
      </c>
    </row>
    <row r="387">
      <c r="A387" s="2" t="n">
        <v>46113.5</v>
      </c>
      <c r="B387">
        <f>TEXT(A387,"yyyy-mm")</f>
        <v/>
      </c>
      <c r="C387" s="3">
        <f>HOUR(A387)</f>
        <v/>
      </c>
      <c r="D387" s="4" t="n">
        <v>24.05437770613611</v>
      </c>
      <c r="E387" s="4" t="n"/>
      <c r="F387" s="4" t="n"/>
      <c r="G387" s="4" t="n">
        <v>15.2</v>
      </c>
      <c r="H387" s="5" t="n">
        <v>48.24958080597778</v>
      </c>
      <c r="I387" s="5" t="n"/>
      <c r="J387" s="5" t="n"/>
      <c r="K387" s="5" t="n">
        <v>72</v>
      </c>
    </row>
    <row r="388">
      <c r="A388" s="2" t="n">
        <v>46113.54166666666</v>
      </c>
      <c r="B388">
        <f>TEXT(A388,"yyyy-mm")</f>
        <v/>
      </c>
      <c r="C388" s="3">
        <f>HOUR(A388)</f>
        <v/>
      </c>
      <c r="D388" s="4" t="n">
        <v>24.09409674860833</v>
      </c>
      <c r="E388" s="4" t="n"/>
      <c r="F388" s="4" t="n"/>
      <c r="G388" s="4" t="n">
        <v>15.8</v>
      </c>
      <c r="H388" s="5" t="n">
        <v>48.70121927676944</v>
      </c>
      <c r="I388" s="5" t="n"/>
      <c r="J388" s="5" t="n"/>
      <c r="K388" s="5" t="n">
        <v>70</v>
      </c>
    </row>
    <row r="389">
      <c r="A389" s="2" t="n">
        <v>46113.58333333334</v>
      </c>
      <c r="B389">
        <f>TEXT(A389,"yyyy-mm")</f>
        <v/>
      </c>
      <c r="C389" s="3">
        <f>HOUR(A389)</f>
        <v/>
      </c>
      <c r="D389" s="4" t="n">
        <v>24.23102318191389</v>
      </c>
      <c r="E389" s="4" t="n"/>
      <c r="F389" s="4" t="n"/>
      <c r="G389" s="4" t="n">
        <v>16.4</v>
      </c>
      <c r="H389" s="5" t="n">
        <v>48.80597705696111</v>
      </c>
      <c r="I389" s="5" t="n"/>
      <c r="J389" s="5" t="n"/>
      <c r="K389" s="5" t="n">
        <v>67</v>
      </c>
    </row>
    <row r="390">
      <c r="A390" s="2" t="n">
        <v>46113.625</v>
      </c>
      <c r="B390">
        <f>TEXT(A390,"yyyy-mm")</f>
        <v/>
      </c>
      <c r="C390" s="3">
        <f>HOUR(A390)</f>
        <v/>
      </c>
      <c r="D390" s="4" t="n">
        <v>24.24301665318612</v>
      </c>
      <c r="E390" s="4" t="n"/>
      <c r="F390" s="4" t="n"/>
      <c r="G390" s="4" t="n">
        <v>16.3</v>
      </c>
      <c r="H390" s="5" t="n">
        <v>49.2212329972</v>
      </c>
      <c r="I390" s="5" t="n"/>
      <c r="J390" s="5" t="n"/>
      <c r="K390" s="5" t="n">
        <v>65</v>
      </c>
    </row>
    <row r="391">
      <c r="A391" s="2" t="n">
        <v>46113.66666666666</v>
      </c>
      <c r="B391">
        <f>TEXT(A391,"yyyy-mm")</f>
        <v/>
      </c>
      <c r="C391" s="3">
        <f>HOUR(A391)</f>
        <v/>
      </c>
      <c r="D391" s="4" t="n">
        <v>24.22405656751667</v>
      </c>
      <c r="E391" s="4" t="n"/>
      <c r="F391" s="4" t="n"/>
      <c r="G391" s="4" t="n">
        <v>16.5</v>
      </c>
      <c r="H391" s="5" t="n">
        <v>48.16379562858055</v>
      </c>
      <c r="I391" s="5" t="n"/>
      <c r="J391" s="5" t="n"/>
      <c r="K391" s="5" t="n">
        <v>63</v>
      </c>
    </row>
    <row r="392">
      <c r="A392" s="2" t="n">
        <v>46113.70833333334</v>
      </c>
      <c r="B392">
        <f>TEXT(A392,"yyyy-mm")</f>
        <v/>
      </c>
      <c r="C392" s="3">
        <f>HOUR(A392)</f>
        <v/>
      </c>
      <c r="D392" s="4" t="n">
        <v>24.122441690125</v>
      </c>
      <c r="E392" s="4" t="n"/>
      <c r="F392" s="4" t="n"/>
      <c r="G392" s="4" t="n">
        <v>16.2</v>
      </c>
      <c r="H392" s="5" t="n">
        <v>48.17846965389722</v>
      </c>
      <c r="I392" s="5" t="n"/>
      <c r="J392" s="5" t="n"/>
      <c r="K392" s="5" t="n">
        <v>63</v>
      </c>
    </row>
    <row r="393">
      <c r="A393" s="2" t="n">
        <v>46113.75</v>
      </c>
      <c r="B393">
        <f>TEXT(A393,"yyyy-mm")</f>
        <v/>
      </c>
      <c r="C393" s="3">
        <f>HOUR(A393)</f>
        <v/>
      </c>
      <c r="D393" s="4" t="n">
        <v>24.196981513125</v>
      </c>
      <c r="E393" s="4" t="n"/>
      <c r="F393" s="4" t="n"/>
      <c r="G393" s="4" t="n">
        <v>16</v>
      </c>
      <c r="H393" s="5" t="n">
        <v>47.28348336069723</v>
      </c>
      <c r="I393" s="5" t="n"/>
      <c r="J393" s="5" t="n"/>
      <c r="K393" s="5" t="n">
        <v>69</v>
      </c>
    </row>
    <row r="394">
      <c r="A394" s="2" t="n">
        <v>46113.79166666666</v>
      </c>
      <c r="B394">
        <f>TEXT(A394,"yyyy-mm")</f>
        <v/>
      </c>
      <c r="C394" s="3">
        <f>HOUR(A394)</f>
        <v/>
      </c>
      <c r="D394" s="4" t="n">
        <v>24.14607734323889</v>
      </c>
      <c r="E394" s="4" t="n"/>
      <c r="F394" s="4" t="n"/>
      <c r="G394" s="4" t="n">
        <v>12.5</v>
      </c>
      <c r="H394" s="5" t="n">
        <v>47.71297727210001</v>
      </c>
      <c r="I394" s="5" t="n"/>
      <c r="J394" s="5" t="n"/>
      <c r="K394" s="5" t="n">
        <v>88</v>
      </c>
    </row>
    <row r="395">
      <c r="A395" s="2" t="n">
        <v>46113.83333333334</v>
      </c>
      <c r="B395">
        <f>TEXT(A395,"yyyy-mm")</f>
        <v/>
      </c>
      <c r="C395" s="3">
        <f>HOUR(A395)</f>
        <v/>
      </c>
      <c r="D395" s="4" t="n">
        <v>24.05778980955555</v>
      </c>
      <c r="E395" s="4" t="n"/>
      <c r="F395" s="4" t="n"/>
      <c r="G395" s="4" t="n">
        <v>11.7</v>
      </c>
      <c r="H395" s="5" t="n">
        <v>48.43640264131388</v>
      </c>
      <c r="I395" s="5" t="n"/>
      <c r="J395" s="5" t="n"/>
      <c r="K395" s="5" t="n">
        <v>91</v>
      </c>
    </row>
    <row r="396">
      <c r="A396" s="2" t="n">
        <v>46113.875</v>
      </c>
      <c r="B396">
        <f>TEXT(A396,"yyyy-mm")</f>
        <v/>
      </c>
      <c r="C396" s="3">
        <f>HOUR(A396)</f>
        <v/>
      </c>
      <c r="D396" s="4" t="n">
        <v>24.12016434764723</v>
      </c>
      <c r="E396" s="4" t="n"/>
      <c r="F396" s="4" t="n"/>
      <c r="G396" s="4" t="n">
        <v>11.2</v>
      </c>
      <c r="H396" s="5" t="n">
        <v>50.94638803063612</v>
      </c>
      <c r="I396" s="5" t="n"/>
      <c r="J396" s="5" t="n"/>
      <c r="K396" s="5" t="n">
        <v>94</v>
      </c>
    </row>
    <row r="397">
      <c r="A397" s="2" t="n">
        <v>46113.91666666666</v>
      </c>
      <c r="B397">
        <f>TEXT(A397,"yyyy-mm")</f>
        <v/>
      </c>
      <c r="C397" s="3">
        <f>HOUR(A397)</f>
        <v/>
      </c>
      <c r="D397" s="4" t="n">
        <v>24.11498996192778</v>
      </c>
      <c r="E397" s="4" t="n"/>
      <c r="F397" s="4" t="n"/>
      <c r="G397" s="4" t="n">
        <v>10.9</v>
      </c>
      <c r="H397" s="5" t="n">
        <v>50.99497131095279</v>
      </c>
      <c r="I397" s="5" t="n"/>
      <c r="J397" s="5" t="n"/>
      <c r="K397" s="5" t="n">
        <v>94</v>
      </c>
    </row>
    <row r="398">
      <c r="A398" s="2" t="n">
        <v>46113.95833333334</v>
      </c>
      <c r="B398">
        <f>TEXT(A398,"yyyy-mm")</f>
        <v/>
      </c>
      <c r="C398" s="3">
        <f>HOUR(A398)</f>
        <v/>
      </c>
      <c r="D398" s="4" t="n">
        <v>23.99427104632223</v>
      </c>
      <c r="E398" s="4" t="n"/>
      <c r="F398" s="4" t="n"/>
      <c r="G398" s="4" t="n">
        <v>10.2</v>
      </c>
      <c r="H398" s="5" t="n">
        <v>50.00406831939722</v>
      </c>
      <c r="I398" s="5" t="n"/>
      <c r="J398" s="5" t="n"/>
      <c r="K398" s="5" t="n">
        <v>96</v>
      </c>
    </row>
    <row r="399">
      <c r="A399" s="2" t="n">
        <v>46114</v>
      </c>
      <c r="B399">
        <f>TEXT(A399,"yyyy-mm")</f>
        <v/>
      </c>
      <c r="C399" s="3">
        <f>HOUR(A399)</f>
        <v/>
      </c>
      <c r="D399" s="4" t="n">
        <v>24.19669999308333</v>
      </c>
      <c r="E399" s="4" t="n"/>
      <c r="F399" s="4" t="n"/>
      <c r="G399" s="4" t="n">
        <v>9.6</v>
      </c>
      <c r="H399" s="5" t="n">
        <v>49.933488514925</v>
      </c>
      <c r="I399" s="5" t="n"/>
      <c r="J399" s="5" t="n"/>
      <c r="K399" s="5" t="n">
        <v>96</v>
      </c>
    </row>
    <row r="400">
      <c r="A400" s="2" t="n">
        <v>46114.04166666666</v>
      </c>
      <c r="B400">
        <f>TEXT(A400,"yyyy-mm")</f>
        <v/>
      </c>
      <c r="C400" s="3">
        <f>HOUR(A400)</f>
        <v/>
      </c>
      <c r="D400" s="4" t="n">
        <v>24.17661842531389</v>
      </c>
      <c r="E400" s="4" t="n"/>
      <c r="F400" s="4" t="n"/>
      <c r="G400" s="4" t="n">
        <v>9.1</v>
      </c>
      <c r="H400" s="5" t="n">
        <v>50.13791416416388</v>
      </c>
      <c r="I400" s="5" t="n"/>
      <c r="J400" s="5" t="n"/>
      <c r="K400" s="5" t="n">
        <v>96</v>
      </c>
    </row>
    <row r="401">
      <c r="A401" s="2" t="n">
        <v>46114.08333333334</v>
      </c>
      <c r="B401">
        <f>TEXT(A401,"yyyy-mm")</f>
        <v/>
      </c>
      <c r="C401" s="3">
        <f>HOUR(A401)</f>
        <v/>
      </c>
      <c r="D401" s="4" t="n">
        <v>23.79497882379166</v>
      </c>
      <c r="E401" s="4" t="n"/>
      <c r="F401" s="4" t="n"/>
      <c r="G401" s="4" t="n">
        <v>8.4</v>
      </c>
      <c r="H401" s="5" t="n">
        <v>50.95906755958056</v>
      </c>
      <c r="I401" s="5" t="n"/>
      <c r="J401" s="5" t="n"/>
      <c r="K401" s="5" t="n">
        <v>96</v>
      </c>
    </row>
    <row r="402">
      <c r="A402" s="2" t="n">
        <v>46114.125</v>
      </c>
      <c r="B402">
        <f>TEXT(A402,"yyyy-mm")</f>
        <v/>
      </c>
      <c r="C402" s="3">
        <f>HOUR(A402)</f>
        <v/>
      </c>
      <c r="D402" s="4" t="n">
        <v>23.52123758886389</v>
      </c>
      <c r="E402" s="4" t="n"/>
      <c r="F402" s="4" t="n"/>
      <c r="G402" s="4" t="n">
        <v>8.699999999999999</v>
      </c>
      <c r="H402" s="5" t="n">
        <v>51.13641430513056</v>
      </c>
      <c r="I402" s="5" t="n"/>
      <c r="J402" s="5" t="n"/>
      <c r="K402" s="5" t="n">
        <v>100</v>
      </c>
    </row>
    <row r="403">
      <c r="A403" s="2" t="n">
        <v>46114.16666666666</v>
      </c>
      <c r="B403">
        <f>TEXT(A403,"yyyy-mm")</f>
        <v/>
      </c>
      <c r="C403" s="3">
        <f>HOUR(A403)</f>
        <v/>
      </c>
      <c r="D403" s="4" t="n">
        <v>23.35350404688889</v>
      </c>
      <c r="E403" s="4" t="n"/>
      <c r="F403" s="4" t="n"/>
      <c r="G403" s="4" t="n">
        <v>8.5</v>
      </c>
      <c r="H403" s="5" t="n">
        <v>50.95451528815556</v>
      </c>
      <c r="I403" s="5" t="n"/>
      <c r="J403" s="5" t="n"/>
      <c r="K403" s="5" t="n">
        <v>100</v>
      </c>
    </row>
    <row r="404">
      <c r="A404" s="2" t="n">
        <v>46114.20833333334</v>
      </c>
      <c r="B404">
        <f>TEXT(A404,"yyyy-mm")</f>
        <v/>
      </c>
      <c r="C404" s="3">
        <f>HOUR(A404)</f>
        <v/>
      </c>
      <c r="D404" s="4" t="n">
        <v>23.22066134934444</v>
      </c>
      <c r="E404" s="4" t="n"/>
      <c r="F404" s="4" t="n"/>
      <c r="G404" s="4" t="n">
        <v>8.4</v>
      </c>
      <c r="H404" s="5" t="n">
        <v>50.68234662502223</v>
      </c>
      <c r="I404" s="5" t="n"/>
      <c r="J404" s="5" t="n"/>
      <c r="K404" s="5" t="n">
        <v>100</v>
      </c>
    </row>
    <row r="405">
      <c r="A405" s="2" t="n">
        <v>46114.25</v>
      </c>
      <c r="B405">
        <f>TEXT(A405,"yyyy-mm")</f>
        <v/>
      </c>
      <c r="C405" s="3">
        <f>HOUR(A405)</f>
        <v/>
      </c>
      <c r="D405" s="4" t="n">
        <v>23.25494321499444</v>
      </c>
      <c r="E405" s="4" t="n"/>
      <c r="F405" s="4" t="n"/>
      <c r="G405" s="4" t="n">
        <v>7.7</v>
      </c>
      <c r="H405" s="5" t="n">
        <v>50.17727202750277</v>
      </c>
      <c r="I405" s="5" t="n"/>
      <c r="J405" s="5" t="n"/>
      <c r="K405" s="5" t="n">
        <v>100</v>
      </c>
    </row>
    <row r="406">
      <c r="A406" s="2" t="n">
        <v>46114.29166666666</v>
      </c>
      <c r="B406">
        <f>TEXT(A406,"yyyy-mm")</f>
        <v/>
      </c>
      <c r="C406" s="3">
        <f>HOUR(A406)</f>
        <v/>
      </c>
      <c r="D406" s="4" t="n">
        <v>23.90052336923889</v>
      </c>
      <c r="E406" s="4" t="n"/>
      <c r="F406" s="4" t="n"/>
      <c r="G406" s="4" t="n">
        <v>7.3</v>
      </c>
      <c r="H406" s="5" t="n">
        <v>47.43908843464166</v>
      </c>
      <c r="I406" s="5" t="n"/>
      <c r="J406" s="5" t="n"/>
      <c r="K406" s="5" t="n">
        <v>99</v>
      </c>
    </row>
    <row r="407">
      <c r="A407" s="2" t="n">
        <v>46114.33333333334</v>
      </c>
      <c r="B407">
        <f>TEXT(A407,"yyyy-mm")</f>
        <v/>
      </c>
      <c r="C407" s="3">
        <f>HOUR(A407)</f>
        <v/>
      </c>
      <c r="D407" s="4" t="n">
        <v>24.48087448727778</v>
      </c>
      <c r="E407" s="4" t="n"/>
      <c r="F407" s="4" t="n"/>
      <c r="G407" s="4" t="n">
        <v>7.7</v>
      </c>
      <c r="H407" s="5" t="n">
        <v>45.56749071487778</v>
      </c>
      <c r="I407" s="5" t="n"/>
      <c r="J407" s="5" t="n"/>
      <c r="K407" s="5" t="n">
        <v>97</v>
      </c>
    </row>
    <row r="408">
      <c r="A408" s="2" t="n">
        <v>46114.375</v>
      </c>
      <c r="B408">
        <f>TEXT(A408,"yyyy-mm")</f>
        <v/>
      </c>
      <c r="C408" s="3">
        <f>HOUR(A408)</f>
        <v/>
      </c>
      <c r="D408" s="4" t="n">
        <v>25.02253554145</v>
      </c>
      <c r="E408" s="4" t="n"/>
      <c r="F408" s="4" t="n"/>
      <c r="G408" s="4" t="n">
        <v>9</v>
      </c>
      <c r="H408" s="5" t="n">
        <v>44.74921292494167</v>
      </c>
      <c r="I408" s="5" t="n"/>
      <c r="J408" s="5" t="n"/>
      <c r="K408" s="5" t="n">
        <v>92</v>
      </c>
    </row>
    <row r="409">
      <c r="A409" s="2" t="n">
        <v>46114.41666666666</v>
      </c>
      <c r="B409">
        <f>TEXT(A409,"yyyy-mm")</f>
        <v/>
      </c>
      <c r="C409" s="3">
        <f>HOUR(A409)</f>
        <v/>
      </c>
      <c r="D409" s="4" t="n">
        <v>25.335316739</v>
      </c>
      <c r="E409" s="4" t="n"/>
      <c r="F409" s="4" t="n"/>
      <c r="G409" s="4" t="n">
        <v>11.4</v>
      </c>
      <c r="H409" s="5" t="n">
        <v>45.49724225919445</v>
      </c>
      <c r="I409" s="5" t="n"/>
      <c r="J409" s="5" t="n"/>
      <c r="K409" s="5" t="n">
        <v>88</v>
      </c>
    </row>
    <row r="410">
      <c r="A410" s="2" t="n">
        <v>46114.45833333334</v>
      </c>
      <c r="B410">
        <f>TEXT(A410,"yyyy-mm")</f>
        <v/>
      </c>
      <c r="C410" s="3">
        <f>HOUR(A410)</f>
        <v/>
      </c>
      <c r="D410" s="4" t="n">
        <v>25.51677199841389</v>
      </c>
      <c r="E410" s="4" t="n"/>
      <c r="F410" s="4" t="n"/>
      <c r="G410" s="4" t="n">
        <v>14.3</v>
      </c>
      <c r="H410" s="5" t="n">
        <v>46.3984997771361</v>
      </c>
      <c r="I410" s="5" t="n"/>
      <c r="J410" s="5" t="n"/>
      <c r="K410" s="5" t="n">
        <v>72</v>
      </c>
    </row>
    <row r="411">
      <c r="A411" s="2" t="n">
        <v>46114.5</v>
      </c>
      <c r="B411">
        <f>TEXT(A411,"yyyy-mm")</f>
        <v/>
      </c>
      <c r="C411" s="3">
        <f>HOUR(A411)</f>
        <v/>
      </c>
      <c r="D411" s="4" t="n">
        <v>25.35065376552222</v>
      </c>
      <c r="E411" s="4" t="n"/>
      <c r="F411" s="4" t="n"/>
      <c r="G411" s="4" t="n">
        <v>15.7</v>
      </c>
      <c r="H411" s="5" t="n">
        <v>47.88719534363333</v>
      </c>
      <c r="I411" s="5" t="n"/>
      <c r="J411" s="5" t="n"/>
      <c r="K411" s="5" t="n">
        <v>64</v>
      </c>
    </row>
    <row r="412">
      <c r="A412" s="2" t="n">
        <v>46114.54166666666</v>
      </c>
      <c r="B412">
        <f>TEXT(A412,"yyyy-mm")</f>
        <v/>
      </c>
      <c r="C412" s="3">
        <f>HOUR(A412)</f>
        <v/>
      </c>
      <c r="D412" s="4" t="n">
        <v>24.99578229966111</v>
      </c>
      <c r="E412" s="4" t="n"/>
      <c r="F412" s="4" t="n"/>
      <c r="G412" s="4" t="n">
        <v>16.2</v>
      </c>
      <c r="H412" s="5" t="n">
        <v>46.58144273208611</v>
      </c>
      <c r="I412" s="5" t="n"/>
      <c r="J412" s="5" t="n"/>
      <c r="K412" s="5" t="n">
        <v>61</v>
      </c>
    </row>
    <row r="413">
      <c r="A413" s="2" t="n">
        <v>46114.58333333334</v>
      </c>
      <c r="B413">
        <f>TEXT(A413,"yyyy-mm")</f>
        <v/>
      </c>
      <c r="C413" s="3">
        <f>HOUR(A413)</f>
        <v/>
      </c>
      <c r="D413" s="4" t="n">
        <v>24.25273581831111</v>
      </c>
      <c r="E413" s="4" t="n"/>
      <c r="F413" s="4" t="n"/>
      <c r="G413" s="4" t="n">
        <v>16.4</v>
      </c>
      <c r="H413" s="5" t="n">
        <v>44.05113403188054</v>
      </c>
      <c r="I413" s="5" t="n"/>
      <c r="J413" s="5" t="n"/>
      <c r="K413" s="5" t="n">
        <v>60</v>
      </c>
    </row>
    <row r="414">
      <c r="A414" s="2" t="n">
        <v>46114.625</v>
      </c>
      <c r="B414">
        <f>TEXT(A414,"yyyy-mm")</f>
        <v/>
      </c>
      <c r="C414" s="3">
        <f>HOUR(A414)</f>
        <v/>
      </c>
      <c r="D414" s="4" t="n">
        <v>23.84850264201667</v>
      </c>
      <c r="E414" s="4" t="n"/>
      <c r="F414" s="4" t="n"/>
      <c r="G414" s="4" t="n">
        <v>16.8</v>
      </c>
      <c r="H414" s="5" t="n">
        <v>42.38199360320834</v>
      </c>
      <c r="I414" s="5" t="n"/>
      <c r="J414" s="5" t="n"/>
      <c r="K414" s="5" t="n">
        <v>57</v>
      </c>
    </row>
    <row r="415">
      <c r="A415" s="2" t="n">
        <v>46114.66666666666</v>
      </c>
      <c r="B415">
        <f>TEXT(A415,"yyyy-mm")</f>
        <v/>
      </c>
      <c r="C415" s="3">
        <f>HOUR(A415)</f>
        <v/>
      </c>
      <c r="D415" s="4" t="n">
        <v>24.04974477388889</v>
      </c>
      <c r="E415" s="4" t="n"/>
      <c r="F415" s="4" t="n"/>
      <c r="G415" s="4" t="n">
        <v>17</v>
      </c>
      <c r="H415" s="5" t="n">
        <v>43.62505996651112</v>
      </c>
      <c r="I415" s="5" t="n"/>
      <c r="J415" s="5" t="n"/>
      <c r="K415" s="5" t="n">
        <v>55</v>
      </c>
    </row>
    <row r="416">
      <c r="A416" s="2" t="n">
        <v>46114.70833333334</v>
      </c>
      <c r="B416">
        <f>TEXT(A416,"yyyy-mm")</f>
        <v/>
      </c>
      <c r="C416" s="3">
        <f>HOUR(A416)</f>
        <v/>
      </c>
      <c r="D416" s="4" t="n">
        <v>24.1128795486</v>
      </c>
      <c r="E416" s="4" t="n"/>
      <c r="F416" s="4" t="n"/>
      <c r="G416" s="4" t="n">
        <v>17</v>
      </c>
      <c r="H416" s="5" t="n">
        <v>43.6411293383139</v>
      </c>
      <c r="I416" s="5" t="n"/>
      <c r="J416" s="5" t="n"/>
      <c r="K416" s="5" t="n">
        <v>54</v>
      </c>
    </row>
    <row r="417">
      <c r="A417" s="2" t="n">
        <v>46114.75</v>
      </c>
      <c r="B417">
        <f>TEXT(A417,"yyyy-mm")</f>
        <v/>
      </c>
      <c r="C417" s="3">
        <f>HOUR(A417)</f>
        <v/>
      </c>
      <c r="D417" s="4" t="n">
        <v>23.77183898110556</v>
      </c>
      <c r="E417" s="4" t="n"/>
      <c r="F417" s="4" t="n"/>
      <c r="G417" s="4" t="n">
        <v>16.2</v>
      </c>
      <c r="H417" s="5" t="n">
        <v>47.44306690361666</v>
      </c>
      <c r="I417" s="5" t="n"/>
      <c r="J417" s="5" t="n"/>
      <c r="K417" s="5" t="n">
        <v>66</v>
      </c>
    </row>
    <row r="418">
      <c r="A418" s="2" t="n">
        <v>46114.79166666666</v>
      </c>
      <c r="B418">
        <f>TEXT(A418,"yyyy-mm")</f>
        <v/>
      </c>
      <c r="C418" s="3">
        <f>HOUR(A418)</f>
        <v/>
      </c>
      <c r="D418" s="4" t="n">
        <v>23.36407451103889</v>
      </c>
      <c r="E418" s="4" t="n"/>
      <c r="F418" s="4" t="n"/>
      <c r="G418" s="4" t="n">
        <v>14.1</v>
      </c>
      <c r="H418" s="5" t="n">
        <v>49.00462323018611</v>
      </c>
      <c r="I418" s="5" t="n"/>
      <c r="J418" s="5" t="n"/>
      <c r="K418" s="5" t="n">
        <v>72</v>
      </c>
    </row>
    <row r="419">
      <c r="A419" s="2" t="n">
        <v>46114.83333333334</v>
      </c>
      <c r="B419">
        <f>TEXT(A419,"yyyy-mm")</f>
        <v/>
      </c>
      <c r="C419" s="3">
        <f>HOUR(A419)</f>
        <v/>
      </c>
      <c r="D419" s="4" t="n">
        <v>22.92449623475833</v>
      </c>
      <c r="E419" s="4" t="n"/>
      <c r="F419" s="4" t="n"/>
      <c r="G419" s="4" t="n">
        <v>12.7</v>
      </c>
      <c r="H419" s="5" t="n">
        <v>49.90910988069722</v>
      </c>
      <c r="I419" s="5" t="n"/>
      <c r="J419" s="5" t="n"/>
      <c r="K419" s="5" t="n">
        <v>75</v>
      </c>
    </row>
    <row r="420">
      <c r="A420" s="2" t="n">
        <v>46114.875</v>
      </c>
      <c r="B420">
        <f>TEXT(A420,"yyyy-mm")</f>
        <v/>
      </c>
      <c r="C420" s="3">
        <f>HOUR(A420)</f>
        <v/>
      </c>
      <c r="D420" s="4" t="n">
        <v>22.51037733790277</v>
      </c>
      <c r="E420" s="4" t="n"/>
      <c r="F420" s="4" t="n"/>
      <c r="G420" s="4" t="n">
        <v>12.2</v>
      </c>
      <c r="H420" s="5" t="n">
        <v>49.60552844893611</v>
      </c>
      <c r="I420" s="5" t="n"/>
      <c r="J420" s="5" t="n"/>
      <c r="K420" s="5" t="n">
        <v>77</v>
      </c>
    </row>
    <row r="421">
      <c r="A421" s="2" t="n">
        <v>46114.91666666666</v>
      </c>
      <c r="B421">
        <f>TEXT(A421,"yyyy-mm")</f>
        <v/>
      </c>
      <c r="C421" s="3">
        <f>HOUR(A421)</f>
        <v/>
      </c>
      <c r="D421" s="4" t="n">
        <v>22.541857725175</v>
      </c>
      <c r="E421" s="4" t="n"/>
      <c r="F421" s="4" t="n"/>
      <c r="G421" s="4" t="n">
        <v>11.7</v>
      </c>
      <c r="H421" s="5" t="n">
        <v>46.79164095787223</v>
      </c>
      <c r="I421" s="5" t="n"/>
      <c r="J421" s="5" t="n"/>
      <c r="K421" s="5" t="n">
        <v>84</v>
      </c>
    </row>
    <row r="422">
      <c r="A422" s="2" t="n">
        <v>46114.95833333334</v>
      </c>
      <c r="B422">
        <f>TEXT(A422,"yyyy-mm")</f>
        <v/>
      </c>
      <c r="C422" s="3">
        <f>HOUR(A422)</f>
        <v/>
      </c>
      <c r="D422" s="4" t="n">
        <v>21.85039209139722</v>
      </c>
      <c r="E422" s="4" t="n"/>
      <c r="F422" s="4" t="n"/>
      <c r="G422" s="4" t="n">
        <v>10.7</v>
      </c>
      <c r="H422" s="5" t="n">
        <v>46.25195449593056</v>
      </c>
      <c r="I422" s="5" t="n"/>
      <c r="J422" s="5" t="n"/>
      <c r="K422" s="5" t="n">
        <v>87</v>
      </c>
    </row>
    <row r="423">
      <c r="A423" s="2" t="n">
        <v>46115</v>
      </c>
      <c r="B423">
        <f>TEXT(A423,"yyyy-mm")</f>
        <v/>
      </c>
      <c r="C423" s="3">
        <f>HOUR(A423)</f>
        <v/>
      </c>
      <c r="D423" s="4" t="n">
        <v>21.62448576470556</v>
      </c>
      <c r="E423" s="4" t="n"/>
      <c r="F423" s="4" t="n"/>
      <c r="G423" s="4" t="n">
        <v>9.699999999999999</v>
      </c>
      <c r="H423" s="5" t="n">
        <v>45.69994246755834</v>
      </c>
      <c r="I423" s="5" t="n"/>
      <c r="J423" s="5" t="n"/>
      <c r="K423" s="5" t="n">
        <v>91</v>
      </c>
    </row>
    <row r="424">
      <c r="A424" s="2" t="n">
        <v>46115.04166666666</v>
      </c>
      <c r="B424">
        <f>TEXT(A424,"yyyy-mm")</f>
        <v/>
      </c>
      <c r="C424" s="3">
        <f>HOUR(A424)</f>
        <v/>
      </c>
      <c r="D424" s="4" t="n">
        <v>21.67416126034722</v>
      </c>
      <c r="E424" s="4" t="n"/>
      <c r="F424" s="4" t="n"/>
      <c r="G424" s="4" t="n">
        <v>9</v>
      </c>
      <c r="H424" s="5" t="n">
        <v>47.74838106538333</v>
      </c>
      <c r="I424" s="5" t="n"/>
      <c r="J424" s="5" t="n"/>
      <c r="K424" s="5" t="n">
        <v>94</v>
      </c>
    </row>
    <row r="425">
      <c r="A425" s="2" t="n">
        <v>46115.08333333334</v>
      </c>
      <c r="B425">
        <f>TEXT(A425,"yyyy-mm")</f>
        <v/>
      </c>
      <c r="C425" s="3">
        <f>HOUR(A425)</f>
        <v/>
      </c>
      <c r="D425" s="4" t="n">
        <v>23.18402950219444</v>
      </c>
      <c r="E425" s="4" t="n"/>
      <c r="F425" s="4" t="n"/>
      <c r="G425" s="4" t="n">
        <v>8.5</v>
      </c>
      <c r="H425" s="5" t="n">
        <v>49.40389045826112</v>
      </c>
      <c r="I425" s="5" t="n"/>
      <c r="J425" s="5" t="n"/>
      <c r="K425" s="5" t="n">
        <v>96</v>
      </c>
    </row>
    <row r="426">
      <c r="A426" s="2" t="n">
        <v>46115.125</v>
      </c>
      <c r="B426">
        <f>TEXT(A426,"yyyy-mm")</f>
        <v/>
      </c>
      <c r="C426" s="3">
        <f>HOUR(A426)</f>
        <v/>
      </c>
      <c r="D426" s="4" t="n">
        <v>23.39996063990555</v>
      </c>
      <c r="E426" s="4" t="n"/>
      <c r="F426" s="4" t="n"/>
      <c r="G426" s="4" t="n">
        <v>8.6</v>
      </c>
      <c r="H426" s="5" t="n">
        <v>50.0248562724361</v>
      </c>
      <c r="I426" s="5" t="n"/>
      <c r="J426" s="5" t="n"/>
      <c r="K426" s="5" t="n">
        <v>95</v>
      </c>
    </row>
    <row r="427">
      <c r="A427" s="2" t="n">
        <v>46115.16666666666</v>
      </c>
      <c r="B427">
        <f>TEXT(A427,"yyyy-mm")</f>
        <v/>
      </c>
      <c r="C427" s="3">
        <f>HOUR(A427)</f>
        <v/>
      </c>
      <c r="D427" s="4" t="n">
        <v>23.39767509925278</v>
      </c>
      <c r="E427" s="4" t="n"/>
      <c r="F427" s="4" t="n"/>
      <c r="G427" s="4" t="n">
        <v>8.300000000000001</v>
      </c>
      <c r="H427" s="5" t="n">
        <v>50.59865182166945</v>
      </c>
      <c r="I427" s="5" t="n"/>
      <c r="J427" s="5" t="n"/>
      <c r="K427" s="5" t="n">
        <v>96</v>
      </c>
    </row>
    <row r="428">
      <c r="A428" s="2" t="n">
        <v>46115.20833333334</v>
      </c>
      <c r="B428">
        <f>TEXT(A428,"yyyy-mm")</f>
        <v/>
      </c>
      <c r="C428" s="3">
        <f>HOUR(A428)</f>
        <v/>
      </c>
      <c r="D428" s="4" t="n">
        <v>23.34934942131112</v>
      </c>
      <c r="E428" s="4" t="n"/>
      <c r="F428" s="4" t="n"/>
      <c r="G428" s="4" t="n">
        <v>8</v>
      </c>
      <c r="H428" s="5" t="n">
        <v>51.1010780431</v>
      </c>
      <c r="I428" s="5" t="n"/>
      <c r="J428" s="5" t="n"/>
      <c r="K428" s="5" t="n">
        <v>98</v>
      </c>
    </row>
    <row r="429">
      <c r="A429" s="2" t="n">
        <v>46115.25</v>
      </c>
      <c r="B429">
        <f>TEXT(A429,"yyyy-mm")</f>
        <v/>
      </c>
      <c r="C429" s="3">
        <f>HOUR(A429)</f>
        <v/>
      </c>
      <c r="D429" s="4" t="n">
        <v>23.30853616511389</v>
      </c>
      <c r="E429" s="4" t="n"/>
      <c r="F429" s="4" t="n"/>
      <c r="G429" s="4" t="n">
        <v>7.6</v>
      </c>
      <c r="H429" s="5" t="n">
        <v>51.19582877871667</v>
      </c>
      <c r="I429" s="5" t="n"/>
      <c r="J429" s="5" t="n"/>
      <c r="K429" s="5" t="n">
        <v>95</v>
      </c>
    </row>
    <row r="430">
      <c r="A430" s="2" t="n">
        <v>46115.29166666666</v>
      </c>
      <c r="B430">
        <f>TEXT(A430,"yyyy-mm")</f>
        <v/>
      </c>
      <c r="C430" s="3">
        <f>HOUR(A430)</f>
        <v/>
      </c>
      <c r="D430" s="4" t="n">
        <v>23.28153303196667</v>
      </c>
      <c r="E430" s="4" t="n"/>
      <c r="F430" s="4" t="n"/>
      <c r="G430" s="4" t="n">
        <v>8.300000000000001</v>
      </c>
      <c r="H430" s="5" t="n">
        <v>51.29273215848611</v>
      </c>
      <c r="I430" s="5" t="n"/>
      <c r="J430" s="5" t="n"/>
      <c r="K430" s="5" t="n">
        <v>92</v>
      </c>
    </row>
    <row r="431">
      <c r="A431" s="2" t="n">
        <v>46115.33333333334</v>
      </c>
      <c r="B431">
        <f>TEXT(A431,"yyyy-mm")</f>
        <v/>
      </c>
      <c r="C431" s="3">
        <f>HOUR(A431)</f>
        <v/>
      </c>
      <c r="D431" s="4" t="n">
        <v>23.29612663209445</v>
      </c>
      <c r="E431" s="4" t="n"/>
      <c r="F431" s="4" t="n"/>
      <c r="G431" s="4" t="n">
        <v>9.6</v>
      </c>
      <c r="H431" s="5" t="n">
        <v>51.14879864916389</v>
      </c>
      <c r="I431" s="5" t="n"/>
      <c r="J431" s="5" t="n"/>
      <c r="K431" s="5" t="n">
        <v>95</v>
      </c>
    </row>
    <row r="432">
      <c r="A432" s="2" t="n">
        <v>46115.375</v>
      </c>
      <c r="B432">
        <f>TEXT(A432,"yyyy-mm")</f>
        <v/>
      </c>
      <c r="C432" s="3">
        <f>HOUR(A432)</f>
        <v/>
      </c>
      <c r="D432" s="4" t="n">
        <v>23.32521889567223</v>
      </c>
      <c r="E432" s="4" t="n"/>
      <c r="F432" s="4" t="n"/>
      <c r="G432" s="4" t="n">
        <v>10.6</v>
      </c>
      <c r="H432" s="5" t="n">
        <v>50.82147975081667</v>
      </c>
      <c r="I432" s="5" t="n"/>
      <c r="J432" s="5" t="n"/>
      <c r="K432" s="5" t="n">
        <v>95</v>
      </c>
    </row>
    <row r="433">
      <c r="A433" s="2" t="n">
        <v>46115.41666666666</v>
      </c>
      <c r="B433">
        <f>TEXT(A433,"yyyy-mm")</f>
        <v/>
      </c>
      <c r="C433" s="3">
        <f>HOUR(A433)</f>
        <v/>
      </c>
      <c r="D433" s="4" t="n">
        <v>23.33405515498056</v>
      </c>
      <c r="E433" s="4" t="n"/>
      <c r="F433" s="4" t="n"/>
      <c r="G433" s="4" t="n">
        <v>12.6</v>
      </c>
      <c r="H433" s="5" t="n">
        <v>48.86738642738889</v>
      </c>
      <c r="I433" s="5" t="n"/>
      <c r="J433" s="5" t="n"/>
      <c r="K433" s="5" t="n">
        <v>88</v>
      </c>
    </row>
    <row r="434">
      <c r="A434" s="2" t="n">
        <v>46115.45833333334</v>
      </c>
      <c r="B434">
        <f>TEXT(A434,"yyyy-mm")</f>
        <v/>
      </c>
      <c r="C434" s="3">
        <f>HOUR(A434)</f>
        <v/>
      </c>
      <c r="D434" s="4" t="n">
        <v>23.43501281178611</v>
      </c>
      <c r="E434" s="4" t="n"/>
      <c r="F434" s="4" t="n"/>
      <c r="G434" s="4" t="n">
        <v>13.9</v>
      </c>
      <c r="H434" s="5" t="n">
        <v>48.66463040863611</v>
      </c>
      <c r="I434" s="5" t="n"/>
      <c r="J434" s="5" t="n"/>
      <c r="K434" s="5" t="n">
        <v>80</v>
      </c>
    </row>
    <row r="435">
      <c r="A435" s="2" t="n">
        <v>46115.5</v>
      </c>
      <c r="B435">
        <f>TEXT(A435,"yyyy-mm")</f>
        <v/>
      </c>
      <c r="C435" s="3">
        <f>HOUR(A435)</f>
        <v/>
      </c>
      <c r="D435" s="4" t="n">
        <v>23.66944944140278</v>
      </c>
      <c r="E435" s="4" t="n"/>
      <c r="F435" s="4" t="n"/>
      <c r="G435" s="4" t="n">
        <v>14.7</v>
      </c>
      <c r="H435" s="5" t="n">
        <v>48.32045296383056</v>
      </c>
      <c r="I435" s="5" t="n"/>
      <c r="J435" s="5" t="n"/>
      <c r="K435" s="5" t="n">
        <v>75</v>
      </c>
    </row>
    <row r="436">
      <c r="A436" s="2" t="n">
        <v>46115.54166666666</v>
      </c>
      <c r="B436">
        <f>TEXT(A436,"yyyy-mm")</f>
        <v/>
      </c>
      <c r="C436" s="3">
        <f>HOUR(A436)</f>
        <v/>
      </c>
      <c r="D436" s="4" t="n">
        <v>22.50282365833889</v>
      </c>
      <c r="E436" s="4" t="n"/>
      <c r="F436" s="4" t="n"/>
      <c r="G436" s="4" t="n">
        <v>15.7</v>
      </c>
      <c r="H436" s="5" t="n">
        <v>46.94653942813333</v>
      </c>
      <c r="I436" s="5" t="n"/>
      <c r="J436" s="5" t="n"/>
      <c r="K436" s="5" t="n">
        <v>70</v>
      </c>
    </row>
    <row r="437">
      <c r="A437" s="2" t="n">
        <v>46115.58333333334</v>
      </c>
      <c r="B437">
        <f>TEXT(A437,"yyyy-mm")</f>
        <v/>
      </c>
      <c r="C437" s="3">
        <f>HOUR(A437)</f>
        <v/>
      </c>
      <c r="D437" s="4" t="n">
        <v>21.12878860474722</v>
      </c>
      <c r="E437" s="4" t="n"/>
      <c r="F437" s="4" t="n"/>
      <c r="G437" s="4" t="n">
        <v>16.1</v>
      </c>
      <c r="H437" s="5" t="n">
        <v>46.10094599331666</v>
      </c>
      <c r="I437" s="5" t="n"/>
      <c r="J437" s="5" t="n"/>
      <c r="K437" s="5" t="n">
        <v>65</v>
      </c>
    </row>
    <row r="438">
      <c r="A438" s="2" t="n">
        <v>46115.625</v>
      </c>
      <c r="B438">
        <f>TEXT(A438,"yyyy-mm")</f>
        <v/>
      </c>
      <c r="C438" s="3">
        <f>HOUR(A438)</f>
        <v/>
      </c>
      <c r="D438" s="4" t="n">
        <v>21.32694821493611</v>
      </c>
      <c r="E438" s="4" t="n"/>
      <c r="F438" s="4" t="n"/>
      <c r="G438" s="4" t="n">
        <v>16.8</v>
      </c>
      <c r="H438" s="5" t="n">
        <v>46.08639312552222</v>
      </c>
      <c r="I438" s="5" t="n"/>
      <c r="J438" s="5" t="n"/>
      <c r="K438" s="5" t="n">
        <v>61</v>
      </c>
    </row>
    <row r="439">
      <c r="A439" s="2" t="n">
        <v>46115.66666666666</v>
      </c>
      <c r="B439">
        <f>TEXT(A439,"yyyy-mm")</f>
        <v/>
      </c>
      <c r="C439" s="3">
        <f>HOUR(A439)</f>
        <v/>
      </c>
      <c r="D439" s="4" t="n">
        <v>21.60133533631112</v>
      </c>
      <c r="E439" s="4" t="n"/>
      <c r="F439" s="4" t="n"/>
      <c r="G439" s="4" t="n">
        <v>13.7</v>
      </c>
      <c r="H439" s="5" t="n">
        <v>44.25075172304722</v>
      </c>
      <c r="I439" s="5" t="n"/>
      <c r="J439" s="5" t="n"/>
      <c r="K439" s="5" t="n">
        <v>82</v>
      </c>
    </row>
    <row r="440">
      <c r="A440" s="2" t="n">
        <v>46115.70833333334</v>
      </c>
      <c r="B440">
        <f>TEXT(A440,"yyyy-mm")</f>
        <v/>
      </c>
      <c r="C440" s="3">
        <f>HOUR(A440)</f>
        <v/>
      </c>
      <c r="D440" s="4" t="n">
        <v>21.7242570452</v>
      </c>
      <c r="E440" s="4" t="n"/>
      <c r="F440" s="4" t="n"/>
      <c r="G440" s="4" t="n">
        <v>14.7</v>
      </c>
      <c r="H440" s="5" t="n">
        <v>42.36906158195</v>
      </c>
      <c r="I440" s="5" t="n"/>
      <c r="J440" s="5" t="n"/>
      <c r="K440" s="5" t="n">
        <v>75</v>
      </c>
    </row>
    <row r="441">
      <c r="A441" s="2" t="n">
        <v>46115.75</v>
      </c>
      <c r="B441">
        <f>TEXT(A441,"yyyy-mm")</f>
        <v/>
      </c>
      <c r="C441" s="3">
        <f>HOUR(A441)</f>
        <v/>
      </c>
      <c r="D441" s="4" t="n">
        <v>21.77457920068611</v>
      </c>
      <c r="E441" s="4" t="n"/>
      <c r="F441" s="4" t="n"/>
      <c r="G441" s="4" t="n">
        <v>14.2</v>
      </c>
      <c r="H441" s="5" t="n">
        <v>42.34901555167777</v>
      </c>
      <c r="I441" s="5" t="n"/>
      <c r="J441" s="5" t="n"/>
      <c r="K441" s="5" t="n">
        <v>80</v>
      </c>
    </row>
    <row r="442">
      <c r="A442" s="2" t="n">
        <v>46115.79166666666</v>
      </c>
      <c r="B442">
        <f>TEXT(A442,"yyyy-mm")</f>
        <v/>
      </c>
      <c r="C442" s="3">
        <f>HOUR(A442)</f>
        <v/>
      </c>
      <c r="D442" s="4" t="n">
        <v>21.5843849735</v>
      </c>
      <c r="E442" s="4" t="n"/>
      <c r="F442" s="4" t="n"/>
      <c r="G442" s="4" t="n">
        <v>12.9</v>
      </c>
      <c r="H442" s="5" t="n">
        <v>43.112881990375</v>
      </c>
      <c r="I442" s="5" t="n"/>
      <c r="J442" s="5" t="n"/>
      <c r="K442" s="5" t="n">
        <v>85</v>
      </c>
    </row>
    <row r="443">
      <c r="A443" s="2" t="n">
        <v>46115.83333333334</v>
      </c>
      <c r="B443">
        <f>TEXT(A443,"yyyy-mm")</f>
        <v/>
      </c>
      <c r="C443" s="3">
        <f>HOUR(A443)</f>
        <v/>
      </c>
      <c r="D443" s="4" t="n">
        <v>21.27906017604444</v>
      </c>
      <c r="E443" s="4" t="n"/>
      <c r="F443" s="4" t="n"/>
      <c r="G443" s="4" t="n">
        <v>11.6</v>
      </c>
      <c r="H443" s="5" t="n">
        <v>41.01323032079167</v>
      </c>
      <c r="I443" s="5" t="n"/>
      <c r="J443" s="5" t="n"/>
      <c r="K443" s="5" t="n">
        <v>88</v>
      </c>
    </row>
    <row r="444">
      <c r="A444" s="2" t="n">
        <v>46115.875</v>
      </c>
      <c r="B444">
        <f>TEXT(A444,"yyyy-mm")</f>
        <v/>
      </c>
      <c r="C444" s="3">
        <f>HOUR(A444)</f>
        <v/>
      </c>
      <c r="D444" s="4" t="n">
        <v>22.80747090672778</v>
      </c>
      <c r="E444" s="4" t="n"/>
      <c r="F444" s="4" t="n"/>
      <c r="G444" s="4" t="n">
        <v>11.4</v>
      </c>
      <c r="H444" s="5" t="n">
        <v>40.66551027054444</v>
      </c>
      <c r="I444" s="5" t="n"/>
      <c r="J444" s="5" t="n"/>
      <c r="K444" s="5" t="n">
        <v>89</v>
      </c>
    </row>
    <row r="445">
      <c r="A445" s="2" t="n">
        <v>46115.91666666666</v>
      </c>
      <c r="B445">
        <f>TEXT(A445,"yyyy-mm")</f>
        <v/>
      </c>
      <c r="C445" s="3">
        <f>HOUR(A445)</f>
        <v/>
      </c>
      <c r="D445" s="4" t="n">
        <v>23.34089360588056</v>
      </c>
      <c r="E445" s="4" t="n"/>
      <c r="F445" s="4" t="n"/>
      <c r="G445" s="4" t="n">
        <v>10.5</v>
      </c>
      <c r="H445" s="5" t="n">
        <v>42.39717275461945</v>
      </c>
      <c r="I445" s="5" t="n"/>
      <c r="J445" s="5" t="n"/>
      <c r="K445" s="5" t="n">
        <v>91</v>
      </c>
    </row>
    <row r="446">
      <c r="A446" s="2" t="n">
        <v>46115.95833333334</v>
      </c>
      <c r="B446">
        <f>TEXT(A446,"yyyy-mm")</f>
        <v/>
      </c>
      <c r="C446" s="3">
        <f>HOUR(A446)</f>
        <v/>
      </c>
      <c r="D446" s="4" t="n">
        <v>23.34696988730278</v>
      </c>
      <c r="E446" s="4" t="n"/>
      <c r="F446" s="4" t="n"/>
      <c r="G446" s="4" t="n">
        <v>9.6</v>
      </c>
      <c r="H446" s="5" t="n">
        <v>45.52031075326945</v>
      </c>
      <c r="I446" s="5" t="n"/>
      <c r="J446" s="5" t="n"/>
      <c r="K446" s="5" t="n">
        <v>92</v>
      </c>
    </row>
    <row r="447">
      <c r="A447" s="2" t="n">
        <v>46116</v>
      </c>
      <c r="B447">
        <f>TEXT(A447,"yyyy-mm")</f>
        <v/>
      </c>
      <c r="C447" s="3">
        <f>HOUR(A447)</f>
        <v/>
      </c>
      <c r="D447" s="4" t="n">
        <v>23.35344615331944</v>
      </c>
      <c r="E447" s="4" t="n"/>
      <c r="F447" s="4" t="n"/>
      <c r="G447" s="4" t="n">
        <v>8.9</v>
      </c>
      <c r="H447" s="5" t="n">
        <v>47.43298375284444</v>
      </c>
      <c r="I447" s="5" t="n"/>
      <c r="J447" s="5" t="n"/>
      <c r="K447" s="5" t="n">
        <v>95</v>
      </c>
    </row>
    <row r="448">
      <c r="A448" s="2" t="n">
        <v>46116.04166666666</v>
      </c>
      <c r="B448">
        <f>TEXT(A448,"yyyy-mm")</f>
        <v/>
      </c>
      <c r="C448" s="3">
        <f>HOUR(A448)</f>
        <v/>
      </c>
      <c r="D448" s="4" t="n">
        <v>23.30208752678333</v>
      </c>
      <c r="E448" s="4" t="n"/>
      <c r="F448" s="4" t="n"/>
      <c r="G448" s="4" t="n">
        <v>8.6</v>
      </c>
      <c r="H448" s="5" t="n">
        <v>48.15865033326112</v>
      </c>
      <c r="I448" s="5" t="n"/>
      <c r="J448" s="5" t="n"/>
      <c r="K448" s="5" t="n">
        <v>95</v>
      </c>
    </row>
    <row r="449">
      <c r="A449" s="2" t="n">
        <v>46116.08333333334</v>
      </c>
      <c r="B449">
        <f>TEXT(A449,"yyyy-mm")</f>
        <v/>
      </c>
      <c r="C449" s="3">
        <f>HOUR(A449)</f>
        <v/>
      </c>
      <c r="D449" s="4" t="n">
        <v>23.21433965595834</v>
      </c>
      <c r="E449" s="4" t="n"/>
      <c r="F449" s="4" t="n"/>
      <c r="G449" s="4" t="n">
        <v>7.9</v>
      </c>
      <c r="H449" s="5" t="n">
        <v>47.76007776684444</v>
      </c>
      <c r="I449" s="5" t="n"/>
      <c r="J449" s="5" t="n"/>
      <c r="K449" s="5" t="n">
        <v>96</v>
      </c>
    </row>
    <row r="450">
      <c r="A450" s="2" t="n">
        <v>46116.125</v>
      </c>
      <c r="B450">
        <f>TEXT(A450,"yyyy-mm")</f>
        <v/>
      </c>
      <c r="C450" s="3">
        <f>HOUR(A450)</f>
        <v/>
      </c>
      <c r="D450" s="4" t="n">
        <v>23.15780645425278</v>
      </c>
      <c r="E450" s="4" t="n"/>
      <c r="F450" s="4" t="n"/>
      <c r="G450" s="4" t="n">
        <v>9.1</v>
      </c>
      <c r="H450" s="5" t="n">
        <v>47.38607649884444</v>
      </c>
      <c r="I450" s="5" t="n"/>
      <c r="J450" s="5" t="n"/>
      <c r="K450" s="5" t="n">
        <v>93</v>
      </c>
    </row>
    <row r="451">
      <c r="A451" s="2" t="n">
        <v>46116.16666666666</v>
      </c>
      <c r="B451">
        <f>TEXT(A451,"yyyy-mm")</f>
        <v/>
      </c>
      <c r="C451" s="3">
        <f>HOUR(A451)</f>
        <v/>
      </c>
      <c r="D451" s="4" t="n">
        <v>23.11330965602778</v>
      </c>
      <c r="E451" s="4" t="n"/>
      <c r="F451" s="4" t="n"/>
      <c r="G451" s="4" t="n">
        <v>9</v>
      </c>
      <c r="H451" s="5" t="n">
        <v>47.12360013721945</v>
      </c>
      <c r="I451" s="5" t="n"/>
      <c r="J451" s="5" t="n"/>
      <c r="K451" s="5" t="n">
        <v>93</v>
      </c>
    </row>
    <row r="452">
      <c r="A452" s="2" t="n">
        <v>46116.20833333334</v>
      </c>
      <c r="B452">
        <f>TEXT(A452,"yyyy-mm")</f>
        <v/>
      </c>
      <c r="C452" s="3">
        <f>HOUR(A452)</f>
        <v/>
      </c>
      <c r="D452" s="4" t="n">
        <v>23.07961183702222</v>
      </c>
      <c r="E452" s="4" t="n"/>
      <c r="F452" s="4" t="n"/>
      <c r="G452" s="4" t="n">
        <v>8.699999999999999</v>
      </c>
      <c r="H452" s="5" t="n">
        <v>46.63092400040278</v>
      </c>
      <c r="I452" s="5" t="n"/>
      <c r="J452" s="5" t="n"/>
      <c r="K452" s="5" t="n">
        <v>94</v>
      </c>
    </row>
    <row r="453">
      <c r="A453" s="2" t="n">
        <v>46116.25</v>
      </c>
      <c r="B453">
        <f>TEXT(A453,"yyyy-mm")</f>
        <v/>
      </c>
      <c r="C453" s="3">
        <f>HOUR(A453)</f>
        <v/>
      </c>
      <c r="D453" s="4" t="n">
        <v>23.08907953388056</v>
      </c>
      <c r="E453" s="4" t="n"/>
      <c r="F453" s="4" t="n"/>
      <c r="G453" s="4" t="n">
        <v>8.4</v>
      </c>
      <c r="H453" s="5" t="n">
        <v>46.54544742679167</v>
      </c>
      <c r="I453" s="5" t="n"/>
      <c r="J453" s="5" t="n"/>
      <c r="K453" s="5" t="n">
        <v>94</v>
      </c>
    </row>
    <row r="454">
      <c r="A454" s="2" t="n">
        <v>46116.29166666666</v>
      </c>
      <c r="B454">
        <f>TEXT(A454,"yyyy-mm")</f>
        <v/>
      </c>
      <c r="C454" s="3">
        <f>HOUR(A454)</f>
        <v/>
      </c>
      <c r="D454" s="4" t="n">
        <v>23.41199556101944</v>
      </c>
      <c r="E454" s="4" t="n"/>
      <c r="F454" s="4" t="n"/>
      <c r="G454" s="4" t="n">
        <v>8.4</v>
      </c>
      <c r="H454" s="5" t="n">
        <v>45.82753195874167</v>
      </c>
      <c r="I454" s="5" t="n"/>
      <c r="J454" s="5" t="n"/>
      <c r="K454" s="5" t="n">
        <v>94</v>
      </c>
    </row>
    <row r="455">
      <c r="A455" s="2" t="n">
        <v>46116.33333333334</v>
      </c>
      <c r="B455">
        <f>TEXT(A455,"yyyy-mm")</f>
        <v/>
      </c>
      <c r="C455" s="3">
        <f>HOUR(A455)</f>
        <v/>
      </c>
      <c r="D455" s="4" t="n">
        <v>23.55613642931111</v>
      </c>
      <c r="E455" s="4" t="n"/>
      <c r="F455" s="4" t="n"/>
      <c r="G455" s="4" t="n">
        <v>9.6</v>
      </c>
      <c r="H455" s="5" t="n">
        <v>45.48669558741944</v>
      </c>
      <c r="I455" s="5" t="n"/>
      <c r="J455" s="5" t="n"/>
      <c r="K455" s="5" t="n">
        <v>93</v>
      </c>
    </row>
    <row r="456">
      <c r="A456" s="2" t="n">
        <v>46116.375</v>
      </c>
      <c r="B456">
        <f>TEXT(A456,"yyyy-mm")</f>
        <v/>
      </c>
      <c r="C456" s="3">
        <f>HOUR(A456)</f>
        <v/>
      </c>
      <c r="D456" s="4" t="n">
        <v>24.21841544718333</v>
      </c>
      <c r="E456" s="4" t="n"/>
      <c r="F456" s="4" t="n"/>
      <c r="G456" s="4" t="n">
        <v>11.5</v>
      </c>
      <c r="H456" s="5" t="n">
        <v>43.516448391925</v>
      </c>
      <c r="I456" s="5" t="n"/>
      <c r="J456" s="5" t="n"/>
      <c r="K456" s="5" t="n">
        <v>88</v>
      </c>
    </row>
    <row r="457">
      <c r="A457" s="2" t="n">
        <v>46116.41666666666</v>
      </c>
      <c r="B457">
        <f>TEXT(A457,"yyyy-mm")</f>
        <v/>
      </c>
      <c r="C457" s="3">
        <f>HOUR(A457)</f>
        <v/>
      </c>
      <c r="D457" s="4" t="n">
        <v>24.23344430743612</v>
      </c>
      <c r="E457" s="4" t="n"/>
      <c r="F457" s="4" t="n"/>
      <c r="G457" s="4" t="n">
        <v>12.6</v>
      </c>
      <c r="H457" s="5" t="n">
        <v>44.29915258564444</v>
      </c>
      <c r="I457" s="5" t="n"/>
      <c r="J457" s="5" t="n"/>
      <c r="K457" s="5" t="n">
        <v>84</v>
      </c>
    </row>
    <row r="458">
      <c r="A458" s="2" t="n">
        <v>46116.45833333334</v>
      </c>
      <c r="B458">
        <f>TEXT(A458,"yyyy-mm")</f>
        <v/>
      </c>
      <c r="C458" s="3">
        <f>HOUR(A458)</f>
        <v/>
      </c>
      <c r="D458" s="4" t="n">
        <v>24.27527896567778</v>
      </c>
      <c r="E458" s="4" t="n"/>
      <c r="F458" s="4" t="n"/>
      <c r="G458" s="4" t="n">
        <v>14.7</v>
      </c>
      <c r="H458" s="5" t="n">
        <v>44.68410418085833</v>
      </c>
      <c r="I458" s="5" t="n"/>
      <c r="J458" s="5" t="n"/>
      <c r="K458" s="5" t="n">
        <v>76</v>
      </c>
    </row>
    <row r="459">
      <c r="A459" s="2" t="n">
        <v>46116.5</v>
      </c>
      <c r="B459">
        <f>TEXT(A459,"yyyy-mm")</f>
        <v/>
      </c>
      <c r="C459" s="3">
        <f>HOUR(A459)</f>
        <v/>
      </c>
      <c r="D459" s="4" t="n">
        <v>24.36819653022222</v>
      </c>
      <c r="E459" s="4" t="n"/>
      <c r="F459" s="4" t="n"/>
      <c r="G459" s="4" t="n">
        <v>16.1</v>
      </c>
      <c r="H459" s="5" t="n">
        <v>45.76739107147501</v>
      </c>
      <c r="I459" s="5" t="n"/>
      <c r="J459" s="5" t="n"/>
      <c r="K459" s="5" t="n">
        <v>68</v>
      </c>
    </row>
    <row r="460">
      <c r="A460" s="2" t="n">
        <v>46116.54166666666</v>
      </c>
      <c r="B460">
        <f>TEXT(A460,"yyyy-mm")</f>
        <v/>
      </c>
      <c r="C460" s="3">
        <f>HOUR(A460)</f>
        <v/>
      </c>
      <c r="D460" s="4" t="n">
        <v>24.55656592314444</v>
      </c>
      <c r="E460" s="4" t="n"/>
      <c r="F460" s="4" t="n"/>
      <c r="G460" s="4" t="n">
        <v>16.3</v>
      </c>
      <c r="H460" s="5" t="n">
        <v>46.68841194476389</v>
      </c>
      <c r="I460" s="5" t="n"/>
      <c r="J460" s="5" t="n"/>
      <c r="K460" s="5" t="n">
        <v>66</v>
      </c>
    </row>
    <row r="461">
      <c r="A461" s="2" t="n">
        <v>46116.58333333334</v>
      </c>
      <c r="B461">
        <f>TEXT(A461,"yyyy-mm")</f>
        <v/>
      </c>
      <c r="C461" s="3">
        <f>HOUR(A461)</f>
        <v/>
      </c>
      <c r="D461" s="4" t="n">
        <v>24.44512059823611</v>
      </c>
      <c r="E461" s="4" t="n"/>
      <c r="F461" s="4" t="n"/>
      <c r="G461" s="4" t="n">
        <v>16.6</v>
      </c>
      <c r="H461" s="5" t="n">
        <v>41.04396563581667</v>
      </c>
      <c r="I461" s="5" t="n"/>
      <c r="J461" s="5" t="n"/>
      <c r="K461" s="5" t="n">
        <v>63</v>
      </c>
    </row>
    <row r="462">
      <c r="A462" s="2" t="n">
        <v>46116.625</v>
      </c>
      <c r="B462">
        <f>TEXT(A462,"yyyy-mm")</f>
        <v/>
      </c>
      <c r="C462" s="3">
        <f>HOUR(A462)</f>
        <v/>
      </c>
      <c r="D462" s="4" t="n">
        <v>24.43672132166111</v>
      </c>
      <c r="E462" s="4" t="n">
        <v>25.58798390810677</v>
      </c>
      <c r="F462" s="4" t="n"/>
      <c r="G462" s="4" t="n">
        <v>14.2</v>
      </c>
      <c r="H462" s="5" t="n">
        <v>42.65861228664444</v>
      </c>
      <c r="I462" s="5" t="n">
        <v>40.94383869322819</v>
      </c>
      <c r="J462" s="5" t="n"/>
      <c r="K462" s="5" t="n">
        <v>78</v>
      </c>
    </row>
    <row r="463">
      <c r="A463" s="2" t="n">
        <v>46116.66666666666</v>
      </c>
      <c r="B463">
        <f>TEXT(A463,"yyyy-mm")</f>
        <v/>
      </c>
      <c r="C463" s="3">
        <f>HOUR(A463)</f>
        <v/>
      </c>
      <c r="D463" s="4" t="n">
        <v>24.19355230103889</v>
      </c>
      <c r="E463" s="4" t="n">
        <v>25.41036086993334</v>
      </c>
      <c r="F463" s="4" t="n"/>
      <c r="G463" s="4" t="n">
        <v>14.2</v>
      </c>
      <c r="H463" s="5" t="n">
        <v>45.1095832492889</v>
      </c>
      <c r="I463" s="5" t="n">
        <v>42.04547232914445</v>
      </c>
      <c r="J463" s="5" t="n"/>
      <c r="K463" s="5" t="n">
        <v>73</v>
      </c>
    </row>
    <row r="464">
      <c r="A464" s="2" t="n">
        <v>46116.70833333334</v>
      </c>
      <c r="B464">
        <f>TEXT(A464,"yyyy-mm")</f>
        <v/>
      </c>
      <c r="C464" s="3">
        <f>HOUR(A464)</f>
        <v/>
      </c>
      <c r="D464" s="4" t="n">
        <v>23.77595576466667</v>
      </c>
      <c r="E464" s="4" t="n"/>
      <c r="F464" s="4" t="n"/>
      <c r="G464" s="4" t="n">
        <v>15.1</v>
      </c>
      <c r="H464" s="5" t="n">
        <v>45.17788933106667</v>
      </c>
      <c r="I464" s="5" t="n"/>
      <c r="J464" s="5" t="n"/>
      <c r="K464" s="5" t="n">
        <v>65</v>
      </c>
    </row>
    <row r="465">
      <c r="A465" s="2" t="n">
        <v>46116.75</v>
      </c>
      <c r="B465">
        <f>TEXT(A465,"yyyy-mm")</f>
        <v/>
      </c>
      <c r="C465" s="3">
        <f>HOUR(A465)</f>
        <v/>
      </c>
      <c r="D465" s="4" t="n">
        <v>23.25711951598611</v>
      </c>
      <c r="E465" s="4" t="n">
        <v>25.25245398009283</v>
      </c>
      <c r="F465" s="4" t="n"/>
      <c r="G465" s="4" t="n">
        <v>14.5</v>
      </c>
      <c r="H465" s="5" t="n">
        <v>44.05805838362222</v>
      </c>
      <c r="I465" s="5" t="n">
        <v>40.3564500523207</v>
      </c>
      <c r="J465" s="5" t="n"/>
      <c r="K465" s="5" t="n">
        <v>72</v>
      </c>
    </row>
    <row r="466">
      <c r="A466" s="2" t="n">
        <v>46116.79166666666</v>
      </c>
      <c r="B466">
        <f>TEXT(A466,"yyyy-mm")</f>
        <v/>
      </c>
      <c r="C466" s="3">
        <f>HOUR(A466)</f>
        <v/>
      </c>
      <c r="D466" s="4" t="n">
        <v>22.95864944312778</v>
      </c>
      <c r="E466" s="4" t="n">
        <v>24.64317560040909</v>
      </c>
      <c r="F466" s="4" t="n">
        <v>24.54041544998753</v>
      </c>
      <c r="G466" s="4" t="n">
        <v>12.8</v>
      </c>
      <c r="H466" s="5" t="n">
        <v>44.0247886148</v>
      </c>
      <c r="I466" s="5" t="n">
        <v>44.91505450916667</v>
      </c>
      <c r="J466" s="5" t="n">
        <v>56.12192477338679</v>
      </c>
      <c r="K466" s="5" t="n">
        <v>75</v>
      </c>
    </row>
    <row r="467">
      <c r="A467" s="2" t="n">
        <v>46116.83333333334</v>
      </c>
      <c r="B467">
        <f>TEXT(A467,"yyyy-mm")</f>
        <v/>
      </c>
      <c r="C467" s="3">
        <f>HOUR(A467)</f>
        <v/>
      </c>
      <c r="D467" s="4" t="n">
        <v>22.2377975731</v>
      </c>
      <c r="E467" s="4" t="n">
        <v>24.33227549381667</v>
      </c>
      <c r="F467" s="4" t="n">
        <v>24.65035549549444</v>
      </c>
      <c r="G467" s="4" t="n">
        <v>11.4</v>
      </c>
      <c r="H467" s="5" t="n">
        <v>44.16560577902222</v>
      </c>
      <c r="I467" s="5" t="n">
        <v>43.83449552265833</v>
      </c>
      <c r="J467" s="5" t="n">
        <v>54.56476538288056</v>
      </c>
      <c r="K467" s="5" t="n">
        <v>80</v>
      </c>
    </row>
    <row r="468">
      <c r="A468" s="2" t="n">
        <v>46116.875</v>
      </c>
      <c r="B468">
        <f>TEXT(A468,"yyyy-mm")</f>
        <v/>
      </c>
      <c r="C468" s="3">
        <f>HOUR(A468)</f>
        <v/>
      </c>
      <c r="D468" s="4" t="n">
        <v>21.98270442036112</v>
      </c>
      <c r="E468" s="4" t="n">
        <v>24.13182617816667</v>
      </c>
      <c r="F468" s="4" t="n">
        <v>24.80127080155833</v>
      </c>
      <c r="G468" s="4" t="n">
        <v>10.9</v>
      </c>
      <c r="H468" s="5" t="n">
        <v>44.55144233243334</v>
      </c>
      <c r="I468" s="5" t="n">
        <v>44.38973949888889</v>
      </c>
      <c r="J468" s="5" t="n">
        <v>52.75832489676111</v>
      </c>
      <c r="K468" s="5" t="n">
        <v>86</v>
      </c>
    </row>
    <row r="469">
      <c r="A469" s="2" t="n">
        <v>46116.91666666666</v>
      </c>
      <c r="B469">
        <f>TEXT(A469,"yyyy-mm")</f>
        <v/>
      </c>
      <c r="C469" s="3">
        <f>HOUR(A469)</f>
        <v/>
      </c>
      <c r="D469" s="4" t="n">
        <v>21.88864925966945</v>
      </c>
      <c r="E469" s="4" t="n">
        <v>24.33634059514445</v>
      </c>
      <c r="F469" s="4" t="n">
        <v>24.85065109606111</v>
      </c>
      <c r="G469" s="4" t="n">
        <v>9.9</v>
      </c>
      <c r="H469" s="5" t="n">
        <v>45.90863912082222</v>
      </c>
      <c r="I469" s="5" t="n">
        <v>44.208771960225</v>
      </c>
      <c r="J469" s="5" t="n">
        <v>52.12165267233056</v>
      </c>
      <c r="K469" s="5" t="n">
        <v>90</v>
      </c>
    </row>
    <row r="470">
      <c r="A470" s="2" t="n">
        <v>46116.95833333334</v>
      </c>
      <c r="B470">
        <f>TEXT(A470,"yyyy-mm")</f>
        <v/>
      </c>
      <c r="C470" s="3">
        <f>HOUR(A470)</f>
        <v/>
      </c>
      <c r="D470" s="4" t="n">
        <v>22.12244671281944</v>
      </c>
      <c r="E470" s="4" t="n">
        <v>24.56402648455556</v>
      </c>
      <c r="F470" s="4" t="n">
        <v>24.88845624098333</v>
      </c>
      <c r="G470" s="4" t="n">
        <v>10.1</v>
      </c>
      <c r="H470" s="5" t="n">
        <v>45.49085079076389</v>
      </c>
      <c r="I470" s="5" t="n">
        <v>42.24158519162777</v>
      </c>
      <c r="J470" s="5" t="n">
        <v>51.79591747650556</v>
      </c>
      <c r="K470" s="5" t="n">
        <v>90</v>
      </c>
    </row>
    <row r="471">
      <c r="A471" s="2" t="n">
        <v>46117</v>
      </c>
      <c r="B471">
        <f>TEXT(A471,"yyyy-mm")</f>
        <v/>
      </c>
      <c r="C471" s="3">
        <f>HOUR(A471)</f>
        <v/>
      </c>
      <c r="D471" s="4" t="n">
        <v>22.02032072716389</v>
      </c>
      <c r="E471" s="4" t="n">
        <v>24.47601698290555</v>
      </c>
      <c r="F471" s="4" t="n">
        <v>24.90330551417778</v>
      </c>
      <c r="G471" s="4" t="n">
        <v>10.3</v>
      </c>
      <c r="H471" s="5" t="n">
        <v>44.74849777050833</v>
      </c>
      <c r="I471" s="5" t="n">
        <v>43.01682392854722</v>
      </c>
      <c r="J471" s="5" t="n">
        <v>51.58704558568888</v>
      </c>
      <c r="K471" s="5" t="n">
        <v>91</v>
      </c>
    </row>
    <row r="472">
      <c r="A472" s="2" t="n">
        <v>46117.04166666666</v>
      </c>
      <c r="B472">
        <f>TEXT(A472,"yyyy-mm")</f>
        <v/>
      </c>
      <c r="C472" s="3">
        <f>HOUR(A472)</f>
        <v/>
      </c>
      <c r="D472" s="4" t="n">
        <v>21.65680969555278</v>
      </c>
      <c r="E472" s="4" t="n">
        <v>24.16789945179167</v>
      </c>
      <c r="F472" s="4" t="n">
        <v>24.90730357243889</v>
      </c>
      <c r="G472" s="4" t="n">
        <v>9.6</v>
      </c>
      <c r="H472" s="5" t="n">
        <v>43.21486141618889</v>
      </c>
      <c r="I472" s="5" t="n">
        <v>43.31293876918056</v>
      </c>
      <c r="J472" s="5" t="n">
        <v>51.34609592450834</v>
      </c>
      <c r="K472" s="5" t="n">
        <v>89</v>
      </c>
    </row>
    <row r="473">
      <c r="A473" s="2" t="n">
        <v>46117.08333333334</v>
      </c>
      <c r="B473">
        <f>TEXT(A473,"yyyy-mm")</f>
        <v/>
      </c>
      <c r="C473" s="3">
        <f>HOUR(A473)</f>
        <v/>
      </c>
      <c r="D473" s="4" t="n">
        <v>21.72892506561111</v>
      </c>
      <c r="E473" s="4" t="n">
        <v>24.44983872505556</v>
      </c>
      <c r="F473" s="4" t="n">
        <v>24.90099524503889</v>
      </c>
      <c r="G473" s="4" t="n">
        <v>8.199999999999999</v>
      </c>
      <c r="H473" s="5" t="n">
        <v>42.77182391678889</v>
      </c>
      <c r="I473" s="5" t="n">
        <v>39.75480335536389</v>
      </c>
      <c r="J473" s="5" t="n">
        <v>51.04388218968334</v>
      </c>
      <c r="K473" s="5" t="n">
        <v>79</v>
      </c>
    </row>
    <row r="474">
      <c r="A474" s="2" t="n">
        <v>46117.125</v>
      </c>
      <c r="B474">
        <f>TEXT(A474,"yyyy-mm")</f>
        <v/>
      </c>
      <c r="C474" s="3">
        <f>HOUR(A474)</f>
        <v/>
      </c>
      <c r="D474" s="4" t="n">
        <v>22.8128012808</v>
      </c>
      <c r="E474" s="4" t="n">
        <v>24.677583153425</v>
      </c>
      <c r="F474" s="4" t="n">
        <v>24.90793829490556</v>
      </c>
      <c r="G474" s="4" t="n">
        <v>8.300000000000001</v>
      </c>
      <c r="H474" s="5" t="n">
        <v>46.34833417875556</v>
      </c>
      <c r="I474" s="5" t="n">
        <v>41.72634264063056</v>
      </c>
      <c r="J474" s="5" t="n">
        <v>50.42047222062777</v>
      </c>
      <c r="K474" s="5" t="n">
        <v>64</v>
      </c>
    </row>
    <row r="475">
      <c r="A475" s="2" t="n">
        <v>46117.16666666666</v>
      </c>
      <c r="B475">
        <f>TEXT(A475,"yyyy-mm")</f>
        <v/>
      </c>
      <c r="C475" s="3">
        <f>HOUR(A475)</f>
        <v/>
      </c>
      <c r="D475" s="4" t="n">
        <v>22.78781829576667</v>
      </c>
      <c r="E475" s="4" t="n">
        <v>24.47852563303889</v>
      </c>
      <c r="F475" s="4" t="n">
        <v>24.88052462501111</v>
      </c>
      <c r="G475" s="4" t="n">
        <v>7.4</v>
      </c>
      <c r="H475" s="5" t="n">
        <v>46.96296936004166</v>
      </c>
      <c r="I475" s="5" t="n">
        <v>42.08099603047778</v>
      </c>
      <c r="J475" s="5" t="n">
        <v>49.84796207965278</v>
      </c>
      <c r="K475" s="5" t="n">
        <v>64</v>
      </c>
    </row>
    <row r="476">
      <c r="A476" s="2" t="n">
        <v>46117.20833333334</v>
      </c>
      <c r="B476">
        <f>TEXT(A476,"yyyy-mm")</f>
        <v/>
      </c>
      <c r="C476" s="3">
        <f>HOUR(A476)</f>
        <v/>
      </c>
      <c r="D476" s="4" t="n">
        <v>22.71695864373333</v>
      </c>
      <c r="E476" s="4" t="n">
        <v>24.35739594005556</v>
      </c>
      <c r="F476" s="4" t="n">
        <v>24.85602131238056</v>
      </c>
      <c r="G476" s="4" t="n">
        <v>6.5</v>
      </c>
      <c r="H476" s="5" t="n">
        <v>46.71330412675555</v>
      </c>
      <c r="I476" s="5" t="n">
        <v>41.90220307214722</v>
      </c>
      <c r="J476" s="5" t="n">
        <v>49.38973423867778</v>
      </c>
      <c r="K476" s="5" t="n">
        <v>67</v>
      </c>
    </row>
    <row r="477">
      <c r="A477" s="2" t="n">
        <v>46117.25</v>
      </c>
      <c r="B477">
        <f>TEXT(A477,"yyyy-mm")</f>
        <v/>
      </c>
      <c r="C477" s="3">
        <f>HOUR(A477)</f>
        <v/>
      </c>
      <c r="D477" s="4" t="n">
        <v>22.92025344659167</v>
      </c>
      <c r="E477" s="4" t="n">
        <v>24.32024288487777</v>
      </c>
      <c r="F477" s="4" t="n">
        <v>24.86339845524722</v>
      </c>
      <c r="G477" s="4" t="n">
        <v>5.8</v>
      </c>
      <c r="H477" s="5" t="n">
        <v>46.12334970676944</v>
      </c>
      <c r="I477" s="5" t="n">
        <v>41.94467907777222</v>
      </c>
      <c r="J477" s="5" t="n">
        <v>49.00621145588889</v>
      </c>
      <c r="K477" s="5" t="n">
        <v>69</v>
      </c>
    </row>
    <row r="478">
      <c r="A478" s="2" t="n">
        <v>46117.29166666666</v>
      </c>
      <c r="B478">
        <f>TEXT(A478,"yyyy-mm")</f>
        <v/>
      </c>
      <c r="C478" s="3">
        <f>HOUR(A478)</f>
        <v/>
      </c>
      <c r="D478" s="4" t="n">
        <v>23.77169289133611</v>
      </c>
      <c r="E478" s="4" t="n">
        <v>24.88886001134722</v>
      </c>
      <c r="F478" s="4" t="n">
        <v>24.87558352875556</v>
      </c>
      <c r="G478" s="4" t="n">
        <v>6.3</v>
      </c>
      <c r="H478" s="5" t="n">
        <v>43.10234923025001</v>
      </c>
      <c r="I478" s="5" t="n">
        <v>41.40716851464722</v>
      </c>
      <c r="J478" s="5" t="n">
        <v>48.68490791747222</v>
      </c>
      <c r="K478" s="5" t="n">
        <v>66</v>
      </c>
    </row>
    <row r="479">
      <c r="A479" s="2" t="n">
        <v>46117.33333333334</v>
      </c>
      <c r="B479">
        <f>TEXT(A479,"yyyy-mm")</f>
        <v/>
      </c>
      <c r="C479" s="3">
        <f>HOUR(A479)</f>
        <v/>
      </c>
      <c r="D479" s="4" t="n">
        <v>24.43933067176389</v>
      </c>
      <c r="E479" s="4" t="n">
        <v>25.50745244901389</v>
      </c>
      <c r="F479" s="4" t="n">
        <v>24.89170437049167</v>
      </c>
      <c r="G479" s="4" t="n">
        <v>8</v>
      </c>
      <c r="H479" s="5" t="n">
        <v>42.54153633856389</v>
      </c>
      <c r="I479" s="5" t="n">
        <v>40.67939044997223</v>
      </c>
      <c r="J479" s="5" t="n">
        <v>48.42897775335278</v>
      </c>
      <c r="K479" s="5" t="n">
        <v>65</v>
      </c>
    </row>
    <row r="480">
      <c r="A480" s="2" t="n">
        <v>46117.375</v>
      </c>
      <c r="B480">
        <f>TEXT(A480,"yyyy-mm")</f>
        <v/>
      </c>
      <c r="C480" s="3">
        <f>HOUR(A480)</f>
        <v/>
      </c>
      <c r="D480" s="4" t="n">
        <v>24.68626096951667</v>
      </c>
      <c r="E480" s="4" t="n">
        <v>25.762349334025</v>
      </c>
      <c r="F480" s="4" t="n">
        <v>24.92810010647777</v>
      </c>
      <c r="G480" s="4" t="n">
        <v>10.2</v>
      </c>
      <c r="H480" s="5" t="n">
        <v>43.44686005173333</v>
      </c>
      <c r="I480" s="5" t="n">
        <v>40.96304761805833</v>
      </c>
      <c r="J480" s="5" t="n">
        <v>48.70602583826388</v>
      </c>
      <c r="K480" s="5" t="n">
        <v>61</v>
      </c>
    </row>
    <row r="481">
      <c r="A481" s="2" t="n">
        <v>46117.41666666666</v>
      </c>
      <c r="B481">
        <f>TEXT(A481,"yyyy-mm")</f>
        <v/>
      </c>
      <c r="C481" s="3">
        <f>HOUR(A481)</f>
        <v/>
      </c>
      <c r="D481" s="4" t="n">
        <v>24.77385959963055</v>
      </c>
      <c r="E481" s="4" t="n">
        <v>25.783565840025</v>
      </c>
      <c r="F481" s="4" t="n">
        <v>24.97365234500833</v>
      </c>
      <c r="G481" s="4" t="n">
        <v>11.1</v>
      </c>
      <c r="H481" s="5" t="n">
        <v>43.71454825939722</v>
      </c>
      <c r="I481" s="5" t="n">
        <v>41.48902413518611</v>
      </c>
      <c r="J481" s="5" t="n">
        <v>48.93807215286389</v>
      </c>
      <c r="K481" s="5" t="n">
        <v>57</v>
      </c>
    </row>
    <row r="482">
      <c r="A482" s="2" t="n">
        <v>46117.45833333334</v>
      </c>
      <c r="B482">
        <f>TEXT(A482,"yyyy-mm")</f>
        <v/>
      </c>
      <c r="C482" s="3">
        <f>HOUR(A482)</f>
        <v/>
      </c>
      <c r="D482" s="4" t="n">
        <v>25.14225019350556</v>
      </c>
      <c r="E482" s="4" t="n">
        <v>26.40888140410556</v>
      </c>
      <c r="F482" s="4" t="n">
        <v>25.02474987301667</v>
      </c>
      <c r="G482" s="4" t="n">
        <v>12.7</v>
      </c>
      <c r="H482" s="5" t="n">
        <v>45.67326336980556</v>
      </c>
      <c r="I482" s="5" t="n">
        <v>44.76233003013333</v>
      </c>
      <c r="J482" s="5" t="n">
        <v>49.39723623510556</v>
      </c>
      <c r="K482" s="5" t="n">
        <v>51</v>
      </c>
    </row>
    <row r="483">
      <c r="A483" s="2" t="n">
        <v>46117.5</v>
      </c>
      <c r="B483">
        <f>TEXT(A483,"yyyy-mm")</f>
        <v/>
      </c>
      <c r="C483" s="3">
        <f>HOUR(A483)</f>
        <v/>
      </c>
      <c r="D483" s="4" t="n">
        <v>25.13537135841389</v>
      </c>
      <c r="E483" s="4" t="n">
        <v>26.64475729687778</v>
      </c>
      <c r="F483" s="4" t="n">
        <v>25.08134707560278</v>
      </c>
      <c r="G483" s="4" t="n">
        <v>13.1</v>
      </c>
      <c r="H483" s="5" t="n">
        <v>48.98176122393611</v>
      </c>
      <c r="I483" s="5" t="n">
        <v>44.37110328619167</v>
      </c>
      <c r="J483" s="5" t="n">
        <v>50.16195840193333</v>
      </c>
      <c r="K483" s="5" t="n">
        <v>33</v>
      </c>
    </row>
    <row r="484">
      <c r="A484" s="2" t="n">
        <v>46117.54166666666</v>
      </c>
      <c r="B484">
        <f>TEXT(A484,"yyyy-mm")</f>
        <v/>
      </c>
      <c r="C484" s="3">
        <f>HOUR(A484)</f>
        <v/>
      </c>
      <c r="D484" s="4" t="n">
        <v>24.82789739188611</v>
      </c>
      <c r="E484" s="4" t="n">
        <v>26.05184895111111</v>
      </c>
      <c r="F484" s="4" t="n">
        <v>25.11520482433611</v>
      </c>
      <c r="G484" s="4" t="n">
        <v>13.2</v>
      </c>
      <c r="H484" s="5" t="n">
        <v>48.24340750538334</v>
      </c>
      <c r="I484" s="5" t="n">
        <v>42.71098234346945</v>
      </c>
      <c r="J484" s="5" t="n">
        <v>50.96107196030834</v>
      </c>
      <c r="K484" s="5" t="n">
        <v>31</v>
      </c>
    </row>
    <row r="485">
      <c r="A485" s="2" t="n">
        <v>46117.58333333334</v>
      </c>
      <c r="B485">
        <f>TEXT(A485,"yyyy-mm")</f>
        <v/>
      </c>
      <c r="C485" s="3">
        <f>HOUR(A485)</f>
        <v/>
      </c>
      <c r="D485" s="4" t="n">
        <v>24.39295503688611</v>
      </c>
      <c r="E485" s="4" t="n">
        <v>25.11673539423056</v>
      </c>
      <c r="F485" s="4" t="n">
        <v>25.07384707996667</v>
      </c>
      <c r="G485" s="4" t="n">
        <v>13.5</v>
      </c>
      <c r="H485" s="5" t="n">
        <v>36.4380676728</v>
      </c>
      <c r="I485" s="5" t="n">
        <v>34.573928918725</v>
      </c>
      <c r="J485" s="5" t="n">
        <v>50.06772788025555</v>
      </c>
      <c r="K485" s="5" t="n">
        <v>31</v>
      </c>
    </row>
    <row r="486">
      <c r="A486" s="2" t="n">
        <v>46117.625</v>
      </c>
      <c r="B486">
        <f>TEXT(A486,"yyyy-mm")</f>
        <v/>
      </c>
      <c r="C486" s="3">
        <f>HOUR(A486)</f>
        <v/>
      </c>
      <c r="D486" s="4" t="n">
        <v>24.10256660354722</v>
      </c>
      <c r="E486" s="4" t="n">
        <v>24.76102556396944</v>
      </c>
      <c r="F486" s="4" t="n">
        <v>25.01836775656111</v>
      </c>
      <c r="G486" s="4" t="n">
        <v>13.6</v>
      </c>
      <c r="H486" s="5" t="n">
        <v>33.041525516925</v>
      </c>
      <c r="I486" s="5" t="n">
        <v>31.53483577767778</v>
      </c>
      <c r="J486" s="5" t="n">
        <v>49.26385526964444</v>
      </c>
      <c r="K486" s="5" t="n">
        <v>31</v>
      </c>
    </row>
    <row r="487">
      <c r="A487" s="2" t="n">
        <v>46117.66666666666</v>
      </c>
      <c r="B487">
        <f>TEXT(A487,"yyyy-mm")</f>
        <v/>
      </c>
      <c r="C487" s="3">
        <f>HOUR(A487)</f>
        <v/>
      </c>
      <c r="D487" s="4" t="n">
        <v>23.83379348580556</v>
      </c>
      <c r="E487" s="4" t="n">
        <v>24.54336973116667</v>
      </c>
      <c r="F487" s="4" t="n">
        <v>24.97034672463056</v>
      </c>
      <c r="G487" s="4" t="n">
        <v>13.3</v>
      </c>
      <c r="H487" s="5" t="n">
        <v>30.78034484283889</v>
      </c>
      <c r="I487" s="5" t="n">
        <v>29.89142818998056</v>
      </c>
      <c r="J487" s="5" t="n">
        <v>48.59287323821111</v>
      </c>
      <c r="K487" s="5" t="n">
        <v>32</v>
      </c>
    </row>
    <row r="488">
      <c r="A488" s="2" t="n">
        <v>46117.70833333334</v>
      </c>
      <c r="B488">
        <f>TEXT(A488,"yyyy-mm")</f>
        <v/>
      </c>
      <c r="C488" s="3">
        <f>HOUR(A488)</f>
        <v/>
      </c>
      <c r="D488" s="4" t="n">
        <v>23.621639040575</v>
      </c>
      <c r="E488" s="4" t="n">
        <v>24.34392923508056</v>
      </c>
      <c r="F488" s="4" t="n">
        <v>24.94116294828889</v>
      </c>
      <c r="G488" s="4" t="n">
        <v>12.7</v>
      </c>
      <c r="H488" s="5" t="n">
        <v>29.8801344042</v>
      </c>
      <c r="I488" s="5" t="n">
        <v>29.16969421874444</v>
      </c>
      <c r="J488" s="5" t="n">
        <v>47.94464557859167</v>
      </c>
      <c r="K488" s="5" t="n">
        <v>34</v>
      </c>
    </row>
    <row r="489">
      <c r="A489" s="2" t="n">
        <v>46117.75</v>
      </c>
      <c r="B489">
        <f>TEXT(A489,"yyyy-mm")</f>
        <v/>
      </c>
      <c r="C489" s="3">
        <f>HOUR(A489)</f>
        <v/>
      </c>
      <c r="D489" s="4" t="n">
        <v>23.46455716549167</v>
      </c>
      <c r="E489" s="4" t="n">
        <v>24.31948102915556</v>
      </c>
      <c r="F489" s="4" t="n">
        <v>24.92532959308889</v>
      </c>
      <c r="G489" s="4" t="n">
        <v>11.8</v>
      </c>
      <c r="H489" s="5" t="n">
        <v>33.42885720147778</v>
      </c>
      <c r="I489" s="5" t="n">
        <v>33.88399283891389</v>
      </c>
      <c r="J489" s="5" t="n">
        <v>47.81850978716111</v>
      </c>
      <c r="K489" s="5" t="n">
        <v>38</v>
      </c>
    </row>
    <row r="490">
      <c r="A490" s="2" t="n">
        <v>46117.79166666666</v>
      </c>
      <c r="B490">
        <f>TEXT(A490,"yyyy-mm")</f>
        <v/>
      </c>
      <c r="C490" s="3">
        <f>HOUR(A490)</f>
        <v/>
      </c>
      <c r="D490" s="4" t="n">
        <v>23.56521534799167</v>
      </c>
      <c r="E490" s="4" t="n">
        <v>24.75035875707778</v>
      </c>
      <c r="F490" s="4" t="n">
        <v>24.92917033105833</v>
      </c>
      <c r="G490" s="4" t="n">
        <v>10.3</v>
      </c>
      <c r="H490" s="5" t="n">
        <v>37.28471027109445</v>
      </c>
      <c r="I490" s="5" t="n">
        <v>36.83817925163888</v>
      </c>
      <c r="J490" s="5" t="n">
        <v>48.28161765748055</v>
      </c>
      <c r="K490" s="5" t="n">
        <v>42</v>
      </c>
    </row>
    <row r="491">
      <c r="A491" s="2" t="n">
        <v>46117.83333333334</v>
      </c>
      <c r="B491">
        <f>TEXT(A491,"yyyy-mm")</f>
        <v/>
      </c>
      <c r="C491" s="3">
        <f>HOUR(A491)</f>
        <v/>
      </c>
      <c r="D491" s="4" t="n">
        <v>23.6606064677</v>
      </c>
      <c r="E491" s="4" t="n">
        <v>25.123534105625</v>
      </c>
      <c r="F491" s="4" t="n">
        <v>24.9336386614</v>
      </c>
      <c r="G491" s="4" t="n">
        <v>9.199999999999999</v>
      </c>
      <c r="H491" s="5" t="n">
        <v>36.34636010423056</v>
      </c>
      <c r="I491" s="5" t="n">
        <v>37.01136183343055</v>
      </c>
      <c r="J491" s="5" t="n">
        <v>48.41154658491112</v>
      </c>
      <c r="K491" s="5" t="n">
        <v>45</v>
      </c>
    </row>
    <row r="492">
      <c r="A492" s="2" t="n">
        <v>46117.875</v>
      </c>
      <c r="B492">
        <f>TEXT(A492,"yyyy-mm")</f>
        <v/>
      </c>
      <c r="C492" s="3">
        <f>HOUR(A492)</f>
        <v/>
      </c>
      <c r="D492" s="4" t="n">
        <v>23.65296573704444</v>
      </c>
      <c r="E492" s="4" t="n">
        <v>25.39725340116111</v>
      </c>
      <c r="F492" s="4" t="n">
        <v>24.95009059156389</v>
      </c>
      <c r="G492" s="4" t="n">
        <v>8.800000000000001</v>
      </c>
      <c r="H492" s="5" t="n">
        <v>34.4459584793</v>
      </c>
      <c r="I492" s="5" t="n">
        <v>34.69014890986666</v>
      </c>
      <c r="J492" s="5" t="n">
        <v>48.34494703841111</v>
      </c>
      <c r="K492" s="5" t="n">
        <v>49</v>
      </c>
    </row>
    <row r="493">
      <c r="A493" s="2" t="n">
        <v>46117.91666666666</v>
      </c>
      <c r="B493">
        <f>TEXT(A493,"yyyy-mm")</f>
        <v/>
      </c>
      <c r="C493" s="3">
        <f>HOUR(A493)</f>
        <v/>
      </c>
      <c r="D493" s="4" t="n">
        <v>23.51504650174445</v>
      </c>
      <c r="E493" s="4" t="n">
        <v>25.44351068716944</v>
      </c>
      <c r="F493" s="4" t="n">
        <v>24.95131700903333</v>
      </c>
      <c r="G493" s="4" t="n">
        <v>7.8</v>
      </c>
      <c r="H493" s="5" t="n">
        <v>39.03672785267222</v>
      </c>
      <c r="I493" s="5" t="n">
        <v>37.32634970469722</v>
      </c>
      <c r="J493" s="5" t="n">
        <v>47.26320179057777</v>
      </c>
      <c r="K493" s="5" t="n">
        <v>55</v>
      </c>
    </row>
    <row r="494">
      <c r="A494" s="2" t="n">
        <v>46117.95833333334</v>
      </c>
      <c r="B494">
        <f>TEXT(A494,"yyyy-mm")</f>
        <v/>
      </c>
      <c r="C494" s="3">
        <f>HOUR(A494)</f>
        <v/>
      </c>
      <c r="D494" s="4" t="n">
        <v>23.56858007129444</v>
      </c>
      <c r="E494" s="4" t="n">
        <v>25.44694445747222</v>
      </c>
      <c r="F494" s="4" t="n">
        <v>24.97496912073055</v>
      </c>
      <c r="G494" s="4" t="n">
        <v>6.8</v>
      </c>
      <c r="H494" s="5" t="n">
        <v>43.39239554572777</v>
      </c>
      <c r="I494" s="5" t="n">
        <v>40.88697817230556</v>
      </c>
      <c r="J494" s="5" t="n">
        <v>46.89067678613333</v>
      </c>
      <c r="K494" s="5" t="n">
        <v>59</v>
      </c>
    </row>
    <row r="495">
      <c r="A495" s="2" t="n">
        <v>46118</v>
      </c>
      <c r="B495">
        <f>TEXT(A495,"yyyy-mm")</f>
        <v/>
      </c>
      <c r="C495" s="3">
        <f>HOUR(A495)</f>
        <v/>
      </c>
      <c r="D495" s="4" t="n">
        <v>23.43163116416111</v>
      </c>
      <c r="E495" s="4" t="n">
        <v>25.17926667907778</v>
      </c>
      <c r="F495" s="4" t="n">
        <v>24.971273730025</v>
      </c>
      <c r="G495" s="4" t="n">
        <v>5.8</v>
      </c>
      <c r="H495" s="5" t="n">
        <v>45.476844662075</v>
      </c>
      <c r="I495" s="5" t="n">
        <v>40.66722809251389</v>
      </c>
      <c r="J495" s="5" t="n">
        <v>46.44927951673055</v>
      </c>
      <c r="K495" s="5" t="n">
        <v>64</v>
      </c>
    </row>
    <row r="496">
      <c r="A496" s="2" t="n">
        <v>46118.04166666666</v>
      </c>
      <c r="B496">
        <f>TEXT(A496,"yyyy-mm")</f>
        <v/>
      </c>
      <c r="C496" s="3">
        <f>HOUR(A496)</f>
        <v/>
      </c>
      <c r="D496" s="4" t="n">
        <v>23.32622250556389</v>
      </c>
      <c r="E496" s="4" t="n">
        <v>24.9938513967</v>
      </c>
      <c r="F496" s="4" t="n">
        <v>24.937841436525</v>
      </c>
      <c r="G496" s="4" t="n">
        <v>5</v>
      </c>
      <c r="H496" s="5" t="n">
        <v>43.20124063892778</v>
      </c>
      <c r="I496" s="5" t="n">
        <v>39.105847001675</v>
      </c>
      <c r="J496" s="5" t="n">
        <v>46.13871942665833</v>
      </c>
      <c r="K496" s="5" t="n">
        <v>68</v>
      </c>
    </row>
    <row r="497">
      <c r="A497" s="2" t="n">
        <v>46118.08333333334</v>
      </c>
      <c r="B497">
        <f>TEXT(A497,"yyyy-mm")</f>
        <v/>
      </c>
      <c r="C497" s="3">
        <f>HOUR(A497)</f>
        <v/>
      </c>
      <c r="D497" s="4" t="n">
        <v>23.27645336795556</v>
      </c>
      <c r="E497" s="4" t="n">
        <v>24.71530241325277</v>
      </c>
      <c r="F497" s="4" t="n">
        <v>24.89846108211389</v>
      </c>
      <c r="G497" s="4" t="n">
        <v>4.5</v>
      </c>
      <c r="H497" s="5" t="n">
        <v>42.232177908875</v>
      </c>
      <c r="I497" s="5" t="n">
        <v>39.74725158657222</v>
      </c>
      <c r="J497" s="5" t="n">
        <v>46.02410733291666</v>
      </c>
      <c r="K497" s="5" t="n">
        <v>70</v>
      </c>
    </row>
    <row r="498">
      <c r="A498" s="2" t="n">
        <v>46118.125</v>
      </c>
      <c r="B498">
        <f>TEXT(A498,"yyyy-mm")</f>
        <v/>
      </c>
      <c r="C498" s="3">
        <f>HOUR(A498)</f>
        <v/>
      </c>
      <c r="D498" s="4" t="n">
        <v>23.13101487743611</v>
      </c>
      <c r="E498" s="4" t="n">
        <v>24.52899146568611</v>
      </c>
      <c r="F498" s="4" t="n">
        <v>24.87805652841945</v>
      </c>
      <c r="G498" s="4" t="n">
        <v>4.1</v>
      </c>
      <c r="H498" s="5" t="n">
        <v>43.18388107141389</v>
      </c>
      <c r="I498" s="5" t="n">
        <v>40.45398917585833</v>
      </c>
      <c r="J498" s="5" t="n">
        <v>45.93381623868333</v>
      </c>
      <c r="K498" s="5" t="n">
        <v>69</v>
      </c>
    </row>
    <row r="499">
      <c r="A499" s="2" t="n">
        <v>46118.16666666666</v>
      </c>
      <c r="B499">
        <f>TEXT(A499,"yyyy-mm")</f>
        <v/>
      </c>
      <c r="C499" s="3">
        <f>HOUR(A499)</f>
        <v/>
      </c>
      <c r="D499" s="4" t="n">
        <v>23.05646297696944</v>
      </c>
      <c r="E499" s="4" t="n">
        <v>24.56084987301111</v>
      </c>
      <c r="F499" s="4" t="n">
        <v>24.87588113334167</v>
      </c>
      <c r="G499" s="4" t="n">
        <v>3.5</v>
      </c>
      <c r="H499" s="5" t="n">
        <v>43.01052707451944</v>
      </c>
      <c r="I499" s="5" t="n">
        <v>40.05327978894445</v>
      </c>
      <c r="J499" s="5" t="n">
        <v>45.79330252028888</v>
      </c>
      <c r="K499" s="5" t="n">
        <v>72</v>
      </c>
    </row>
    <row r="500">
      <c r="A500" s="2" t="n">
        <v>46118.20833333334</v>
      </c>
      <c r="B500">
        <f>TEXT(A500,"yyyy-mm")</f>
        <v/>
      </c>
      <c r="C500" s="3">
        <f>HOUR(A500)</f>
        <v/>
      </c>
      <c r="D500" s="4" t="n">
        <v>22.97281251416666</v>
      </c>
      <c r="E500" s="4" t="n">
        <v>24.34123163596945</v>
      </c>
      <c r="F500" s="4" t="n">
        <v>24.86073023436112</v>
      </c>
      <c r="G500" s="4" t="n">
        <v>3</v>
      </c>
      <c r="H500" s="5" t="n">
        <v>42.83589349091944</v>
      </c>
      <c r="I500" s="5" t="n">
        <v>40.10414762063056</v>
      </c>
      <c r="J500" s="5" t="n">
        <v>45.65382956202222</v>
      </c>
      <c r="K500" s="5" t="n">
        <v>73</v>
      </c>
    </row>
    <row r="501">
      <c r="A501" s="2" t="n">
        <v>46118.25</v>
      </c>
      <c r="B501">
        <f>TEXT(A501,"yyyy-mm")</f>
        <v/>
      </c>
      <c r="C501" s="3">
        <f>HOUR(A501)</f>
        <v/>
      </c>
      <c r="D501" s="4" t="n">
        <v>23.23725800750278</v>
      </c>
      <c r="E501" s="4" t="n">
        <v>24.39461647233889</v>
      </c>
      <c r="F501" s="4" t="n">
        <v>24.85174207120833</v>
      </c>
      <c r="G501" s="4" t="n">
        <v>2.6</v>
      </c>
      <c r="H501" s="5" t="n">
        <v>41.755622858375</v>
      </c>
      <c r="I501" s="5" t="n">
        <v>39.291851912975</v>
      </c>
      <c r="J501" s="5" t="n">
        <v>45.50310305806667</v>
      </c>
      <c r="K501" s="5" t="n">
        <v>75</v>
      </c>
    </row>
    <row r="502">
      <c r="A502" s="2" t="n">
        <v>46118.29166666666</v>
      </c>
      <c r="B502">
        <f>TEXT(A502,"yyyy-mm")</f>
        <v/>
      </c>
      <c r="C502" s="3">
        <f>HOUR(A502)</f>
        <v/>
      </c>
      <c r="D502" s="4" t="n">
        <v>24.14183010095</v>
      </c>
      <c r="E502" s="4" t="n">
        <v>24.98755007010833</v>
      </c>
      <c r="F502" s="4" t="n">
        <v>24.86511894732778</v>
      </c>
      <c r="G502" s="4" t="n">
        <v>3</v>
      </c>
      <c r="H502" s="5" t="n">
        <v>39.04170976682778</v>
      </c>
      <c r="I502" s="5" t="n">
        <v>38.47729515779722</v>
      </c>
      <c r="J502" s="5" t="n">
        <v>45.35575729989722</v>
      </c>
      <c r="K502" s="5" t="n">
        <v>74</v>
      </c>
    </row>
    <row r="503">
      <c r="A503" s="2" t="n">
        <v>46118.33333333334</v>
      </c>
      <c r="B503">
        <f>TEXT(A503,"yyyy-mm")</f>
        <v/>
      </c>
      <c r="C503" s="3">
        <f>HOUR(A503)</f>
        <v/>
      </c>
      <c r="D503" s="4" t="n">
        <v>24.81457491355833</v>
      </c>
      <c r="E503" s="4" t="n">
        <v>25.75081514183333</v>
      </c>
      <c r="F503" s="4" t="n">
        <v>24.87319040288889</v>
      </c>
      <c r="G503" s="4" t="n">
        <v>5.2</v>
      </c>
      <c r="H503" s="5" t="n">
        <v>38.48618038326112</v>
      </c>
      <c r="I503" s="5" t="n">
        <v>38.04602790847222</v>
      </c>
      <c r="J503" s="5" t="n">
        <v>45.25222169625</v>
      </c>
      <c r="K503" s="5" t="n">
        <v>71</v>
      </c>
    </row>
    <row r="504">
      <c r="A504" s="2" t="n">
        <v>46118.375</v>
      </c>
      <c r="B504">
        <f>TEXT(A504,"yyyy-mm")</f>
        <v/>
      </c>
      <c r="C504" s="3">
        <f>HOUR(A504)</f>
        <v/>
      </c>
      <c r="D504" s="4" t="n">
        <v>25.27756822406389</v>
      </c>
      <c r="E504" s="4" t="n">
        <v>26.44314815934722</v>
      </c>
      <c r="F504" s="4" t="n">
        <v>24.87633760133056</v>
      </c>
      <c r="G504" s="4" t="n">
        <v>8.6</v>
      </c>
      <c r="H504" s="5" t="n">
        <v>38.74869428020556</v>
      </c>
      <c r="I504" s="5" t="n">
        <v>37.98475042050833</v>
      </c>
      <c r="J504" s="5" t="n">
        <v>45.18979807971389</v>
      </c>
      <c r="K504" s="5" t="n">
        <v>61</v>
      </c>
    </row>
    <row r="505">
      <c r="A505" s="2" t="n">
        <v>46118.41666666666</v>
      </c>
      <c r="B505">
        <f>TEXT(A505,"yyyy-mm")</f>
        <v/>
      </c>
      <c r="C505" s="3">
        <f>HOUR(A505)</f>
        <v/>
      </c>
      <c r="D505" s="4" t="n">
        <v>25.54693155005556</v>
      </c>
      <c r="E505" s="4" t="n">
        <v>26.71698422055277</v>
      </c>
      <c r="F505" s="4" t="n">
        <v>24.89446105799166</v>
      </c>
      <c r="G505" s="4" t="n">
        <v>11.6</v>
      </c>
      <c r="H505" s="5" t="n">
        <v>39.71222033596667</v>
      </c>
      <c r="I505" s="5" t="n">
        <v>39.30734592454444</v>
      </c>
      <c r="J505" s="5" t="n">
        <v>45.18498867824167</v>
      </c>
      <c r="K505" s="5" t="n">
        <v>52</v>
      </c>
    </row>
    <row r="506">
      <c r="A506" s="2" t="n">
        <v>46118.45833333334</v>
      </c>
      <c r="B506">
        <f>TEXT(A506,"yyyy-mm")</f>
        <v/>
      </c>
      <c r="C506" s="3">
        <f>HOUR(A506)</f>
        <v/>
      </c>
      <c r="D506" s="4" t="n">
        <v>25.57400554419722</v>
      </c>
      <c r="E506" s="4" t="n">
        <v>27.13979966281945</v>
      </c>
      <c r="F506" s="4" t="n">
        <v>24.92667077253889</v>
      </c>
      <c r="G506" s="4" t="n">
        <v>13.9</v>
      </c>
      <c r="H506" s="5" t="n">
        <v>41.10693677968889</v>
      </c>
      <c r="I506" s="5" t="n">
        <v>39.63373366490278</v>
      </c>
      <c r="J506" s="5" t="n">
        <v>45.17819931500833</v>
      </c>
      <c r="K506" s="5" t="n">
        <v>40</v>
      </c>
    </row>
    <row r="507">
      <c r="A507" s="2" t="n">
        <v>46118.5</v>
      </c>
      <c r="B507">
        <f>TEXT(A507,"yyyy-mm")</f>
        <v/>
      </c>
      <c r="C507" s="3">
        <f>HOUR(A507)</f>
        <v/>
      </c>
      <c r="D507" s="4" t="n">
        <v>25.08057671659166</v>
      </c>
      <c r="E507" s="4" t="n">
        <v>26.75934457538333</v>
      </c>
      <c r="F507" s="4" t="n">
        <v>24.95848599076111</v>
      </c>
      <c r="G507" s="4" t="n">
        <v>15.5</v>
      </c>
      <c r="H507" s="5" t="n">
        <v>33.24300080625</v>
      </c>
      <c r="I507" s="5" t="n">
        <v>36.80857712099166</v>
      </c>
      <c r="J507" s="5" t="n">
        <v>45.28079252704723</v>
      </c>
      <c r="K507" s="5" t="n">
        <v>38</v>
      </c>
    </row>
    <row r="508">
      <c r="A508" s="2" t="n">
        <v>46118.54166666666</v>
      </c>
      <c r="B508">
        <f>TEXT(A508,"yyyy-mm")</f>
        <v/>
      </c>
      <c r="C508" s="3">
        <f>HOUR(A508)</f>
        <v/>
      </c>
      <c r="D508" s="4" t="n">
        <v>24.48891148375</v>
      </c>
      <c r="E508" s="4" t="n">
        <v>26.27470738959167</v>
      </c>
      <c r="F508" s="4" t="n">
        <v>24.98600396932222</v>
      </c>
      <c r="G508" s="4" t="n">
        <v>16.7</v>
      </c>
      <c r="H508" s="5" t="n">
        <v>30.08219562251945</v>
      </c>
      <c r="I508" s="5" t="n">
        <v>34.340591164725</v>
      </c>
      <c r="J508" s="5" t="n">
        <v>46.90974350728055</v>
      </c>
      <c r="K508" s="5" t="n">
        <v>37</v>
      </c>
    </row>
    <row r="509">
      <c r="A509" s="2" t="n">
        <v>46118.58333333334</v>
      </c>
      <c r="B509">
        <f>TEXT(A509,"yyyy-mm")</f>
        <v/>
      </c>
      <c r="C509" s="3">
        <f>HOUR(A509)</f>
        <v/>
      </c>
      <c r="D509" s="4" t="n">
        <v>24.33082056083889</v>
      </c>
      <c r="E509" s="4" t="n">
        <v>26.20639798564445</v>
      </c>
      <c r="F509" s="4" t="n">
        <v>24.97610677415833</v>
      </c>
      <c r="G509" s="4" t="n">
        <v>17.7</v>
      </c>
      <c r="H509" s="5" t="n">
        <v>30.25318579863056</v>
      </c>
      <c r="I509" s="5" t="n">
        <v>32.81532401184722</v>
      </c>
      <c r="J509" s="5" t="n">
        <v>46.024363288975</v>
      </c>
      <c r="K509" s="5" t="n">
        <v>38</v>
      </c>
    </row>
    <row r="510">
      <c r="A510" s="2" t="n">
        <v>46118.625</v>
      </c>
      <c r="B510">
        <f>TEXT(A510,"yyyy-mm")</f>
        <v/>
      </c>
      <c r="C510" s="3">
        <f>HOUR(A510)</f>
        <v/>
      </c>
      <c r="D510" s="4" t="n">
        <v>23.81868157214722</v>
      </c>
      <c r="E510" s="4" t="n">
        <v>25.65337183886389</v>
      </c>
      <c r="F510" s="4" t="n">
        <v>24.94072871963333</v>
      </c>
      <c r="G510" s="4" t="n">
        <v>18.7</v>
      </c>
      <c r="H510" s="5" t="n">
        <v>27.47636415685277</v>
      </c>
      <c r="I510" s="5" t="n">
        <v>29.06032938940833</v>
      </c>
      <c r="J510" s="5" t="n">
        <v>45.43064468983056</v>
      </c>
      <c r="K510" s="5" t="n">
        <v>34</v>
      </c>
    </row>
    <row r="511">
      <c r="A511" s="2" t="n">
        <v>46118.66666666666</v>
      </c>
      <c r="B511">
        <f>TEXT(A511,"yyyy-mm")</f>
        <v/>
      </c>
      <c r="C511" s="3">
        <f>HOUR(A511)</f>
        <v/>
      </c>
      <c r="D511" s="4" t="n">
        <v>23.50686677400833</v>
      </c>
      <c r="E511" s="4" t="n">
        <v>25.33971401324722</v>
      </c>
      <c r="F511" s="4" t="n">
        <v>24.90489496751666</v>
      </c>
      <c r="G511" s="4" t="n">
        <v>18.3</v>
      </c>
      <c r="H511" s="5" t="n">
        <v>27.11020960121111</v>
      </c>
      <c r="I511" s="5" t="n">
        <v>27.65522840285556</v>
      </c>
      <c r="J511" s="5" t="n">
        <v>44.93804478417223</v>
      </c>
      <c r="K511" s="5" t="n">
        <v>38</v>
      </c>
    </row>
    <row r="512">
      <c r="A512" s="2" t="n">
        <v>46118.70833333334</v>
      </c>
      <c r="B512">
        <f>TEXT(A512,"yyyy-mm")</f>
        <v/>
      </c>
      <c r="C512" s="3">
        <f>HOUR(A512)</f>
        <v/>
      </c>
      <c r="D512" s="4" t="n">
        <v>23.19221944327778</v>
      </c>
      <c r="E512" s="4" t="n">
        <v>25.15750771603055</v>
      </c>
      <c r="F512" s="4" t="n">
        <v>24.88188903298612</v>
      </c>
      <c r="G512" s="4" t="n">
        <v>17.2</v>
      </c>
      <c r="H512" s="5" t="n">
        <v>26.85203768581667</v>
      </c>
      <c r="I512" s="5" t="n">
        <v>27.3905705795</v>
      </c>
      <c r="J512" s="5" t="n">
        <v>44.69219363339167</v>
      </c>
      <c r="K512" s="5" t="n">
        <v>42</v>
      </c>
    </row>
    <row r="513">
      <c r="A513" s="2" t="n">
        <v>46118.75</v>
      </c>
      <c r="B513">
        <f>TEXT(A513,"yyyy-mm")</f>
        <v/>
      </c>
      <c r="C513" s="3">
        <f>HOUR(A513)</f>
        <v/>
      </c>
      <c r="D513" s="4" t="n">
        <v>23.38764228851667</v>
      </c>
      <c r="E513" s="4" t="n">
        <v>24.84453945683612</v>
      </c>
      <c r="F513" s="4" t="n">
        <v>24.86433341094722</v>
      </c>
      <c r="G513" s="4" t="n">
        <v>13.7</v>
      </c>
      <c r="H513" s="5" t="n">
        <v>31.40589687286111</v>
      </c>
      <c r="I513" s="5" t="n">
        <v>31.28424990757223</v>
      </c>
      <c r="J513" s="5" t="n">
        <v>44.80011695108056</v>
      </c>
      <c r="K513" s="5" t="n">
        <v>66</v>
      </c>
    </row>
    <row r="514">
      <c r="A514" s="2" t="n">
        <v>46118.79166666666</v>
      </c>
      <c r="B514">
        <f>TEXT(A514,"yyyy-mm")</f>
        <v/>
      </c>
      <c r="C514" s="3">
        <f>HOUR(A514)</f>
        <v/>
      </c>
      <c r="D514" s="4" t="n">
        <v>23.61364474636945</v>
      </c>
      <c r="E514" s="4" t="n">
        <v>25.08208166264722</v>
      </c>
      <c r="F514" s="4" t="n">
        <v>24.87185665075556</v>
      </c>
      <c r="G514" s="4" t="n">
        <v>12</v>
      </c>
      <c r="H514" s="5" t="n">
        <v>35.96753029920833</v>
      </c>
      <c r="I514" s="5" t="n">
        <v>35.35331409884444</v>
      </c>
      <c r="J514" s="5" t="n">
        <v>45.38385166693333</v>
      </c>
      <c r="K514" s="5" t="n">
        <v>80</v>
      </c>
    </row>
    <row r="515">
      <c r="A515" s="2" t="n">
        <v>46118.83333333334</v>
      </c>
      <c r="B515">
        <f>TEXT(A515,"yyyy-mm")</f>
        <v/>
      </c>
      <c r="C515" s="3">
        <f>HOUR(A515)</f>
        <v/>
      </c>
      <c r="D515" s="4" t="n">
        <v>23.610588756875</v>
      </c>
      <c r="E515" s="4" t="n">
        <v>25.11397842474722</v>
      </c>
      <c r="F515" s="4" t="n">
        <v>24.88109236833056</v>
      </c>
      <c r="G515" s="4" t="n">
        <v>11</v>
      </c>
      <c r="H515" s="5" t="n">
        <v>37.63842846347778</v>
      </c>
      <c r="I515" s="5" t="n">
        <v>38.1869085494</v>
      </c>
      <c r="J515" s="5" t="n">
        <v>45.68391109036944</v>
      </c>
      <c r="K515" s="5" t="n">
        <v>85</v>
      </c>
    </row>
    <row r="516">
      <c r="A516" s="2" t="n">
        <v>46118.875</v>
      </c>
      <c r="B516">
        <f>TEXT(A516,"yyyy-mm")</f>
        <v/>
      </c>
      <c r="C516" s="3">
        <f>HOUR(A516)</f>
        <v/>
      </c>
      <c r="D516" s="4" t="n">
        <v>23.55373720138611</v>
      </c>
      <c r="E516" s="4" t="n">
        <v>24.94854934117778</v>
      </c>
      <c r="F516" s="4" t="n">
        <v>24.87630171557777</v>
      </c>
      <c r="G516" s="4" t="n">
        <v>10.3</v>
      </c>
      <c r="H516" s="5" t="n">
        <v>37.38216579981111</v>
      </c>
      <c r="I516" s="5" t="n">
        <v>37.88755524654167</v>
      </c>
      <c r="J516" s="5" t="n">
        <v>45.23690513942501</v>
      </c>
      <c r="K516" s="5" t="n">
        <v>94</v>
      </c>
    </row>
    <row r="517">
      <c r="A517" s="2" t="n">
        <v>46118.91666666666</v>
      </c>
      <c r="B517">
        <f>TEXT(A517,"yyyy-mm")</f>
        <v/>
      </c>
      <c r="C517" s="3">
        <f>HOUR(A517)</f>
        <v/>
      </c>
      <c r="D517" s="4" t="n">
        <v>23.46721990774722</v>
      </c>
      <c r="E517" s="4" t="n">
        <v>24.71815280525</v>
      </c>
      <c r="F517" s="4" t="n">
        <v>24.87135661521112</v>
      </c>
      <c r="G517" s="4" t="n">
        <v>9.699999999999999</v>
      </c>
      <c r="H517" s="5" t="n">
        <v>37.61248067173889</v>
      </c>
      <c r="I517" s="5" t="n">
        <v>37.86860965949167</v>
      </c>
      <c r="J517" s="5" t="n">
        <v>45.46559899078889</v>
      </c>
      <c r="K517" s="5" t="n">
        <v>93</v>
      </c>
    </row>
    <row r="518">
      <c r="A518" s="2" t="n">
        <v>46118.95833333334</v>
      </c>
      <c r="B518">
        <f>TEXT(A518,"yyyy-mm")</f>
        <v/>
      </c>
      <c r="C518" s="3">
        <f>HOUR(A518)</f>
        <v/>
      </c>
      <c r="D518" s="4" t="n">
        <v>23.36060795794444</v>
      </c>
      <c r="E518" s="4" t="n">
        <v>24.53775476499166</v>
      </c>
      <c r="F518" s="4" t="n">
        <v>24.86075437344167</v>
      </c>
      <c r="G518" s="4" t="n">
        <v>8.300000000000001</v>
      </c>
      <c r="H518" s="5" t="n">
        <v>37.80822117828334</v>
      </c>
      <c r="I518" s="5" t="n">
        <v>37.86394930996111</v>
      </c>
      <c r="J518" s="5" t="n">
        <v>45.38630722487222</v>
      </c>
      <c r="K518" s="5" t="n">
        <v>93</v>
      </c>
    </row>
    <row r="519">
      <c r="A519" s="2" t="n">
        <v>46119</v>
      </c>
      <c r="B519">
        <f>TEXT(A519,"yyyy-mm")</f>
        <v/>
      </c>
      <c r="C519" s="3">
        <f>HOUR(A519)</f>
        <v/>
      </c>
      <c r="D519" s="4" t="n">
        <v>23.08239902625555</v>
      </c>
      <c r="E519" s="4" t="n">
        <v>24.46667438611389</v>
      </c>
      <c r="F519" s="4" t="n">
        <v>24.85928238535</v>
      </c>
      <c r="G519" s="4" t="n">
        <v>6.9</v>
      </c>
      <c r="H519" s="5" t="n">
        <v>37.61017258783611</v>
      </c>
      <c r="I519" s="5" t="n">
        <v>35.42399906384444</v>
      </c>
      <c r="J519" s="5" t="n">
        <v>45.5894389772</v>
      </c>
      <c r="K519" s="5" t="n">
        <v>91</v>
      </c>
    </row>
    <row r="520">
      <c r="A520" s="2" t="n">
        <v>46119.04166666666</v>
      </c>
      <c r="B520">
        <f>TEXT(A520,"yyyy-mm")</f>
        <v/>
      </c>
      <c r="C520" s="3">
        <f>HOUR(A520)</f>
        <v/>
      </c>
      <c r="D520" s="4" t="n">
        <v>23.10363004710834</v>
      </c>
      <c r="E520" s="4" t="n">
        <v>24.51712607929167</v>
      </c>
      <c r="F520" s="4" t="n">
        <v>24.86076881493333</v>
      </c>
      <c r="G520" s="4" t="n">
        <v>5.5</v>
      </c>
      <c r="H520" s="5" t="n">
        <v>39.71435725475833</v>
      </c>
      <c r="I520" s="5" t="n">
        <v>37.061587902625</v>
      </c>
      <c r="J520" s="5" t="n">
        <v>45.66103844731389</v>
      </c>
      <c r="K520" s="5" t="n">
        <v>90</v>
      </c>
    </row>
    <row r="521">
      <c r="A521" s="2" t="n">
        <v>46119.08333333334</v>
      </c>
      <c r="B521">
        <f>TEXT(A521,"yyyy-mm")</f>
        <v/>
      </c>
      <c r="C521" s="3">
        <f>HOUR(A521)</f>
        <v/>
      </c>
      <c r="D521" s="4" t="n">
        <v>23.08956497003333</v>
      </c>
      <c r="E521" s="4" t="n">
        <v>24.50538745906111</v>
      </c>
      <c r="F521" s="4" t="n">
        <v>24.84666168788056</v>
      </c>
      <c r="G521" s="4" t="n">
        <v>4.2</v>
      </c>
      <c r="H521" s="5" t="n">
        <v>40.62096559619167</v>
      </c>
      <c r="I521" s="5" t="n">
        <v>37.73177705289722</v>
      </c>
      <c r="J521" s="5" t="n">
        <v>45.52495892786944</v>
      </c>
      <c r="K521" s="5" t="n">
        <v>87</v>
      </c>
    </row>
    <row r="522">
      <c r="A522" s="2" t="n">
        <v>46119.125</v>
      </c>
      <c r="B522">
        <f>TEXT(A522,"yyyy-mm")</f>
        <v/>
      </c>
      <c r="C522" s="3">
        <f>HOUR(A522)</f>
        <v/>
      </c>
      <c r="D522" s="4" t="n">
        <v>23.00991702606111</v>
      </c>
      <c r="E522" s="4" t="n">
        <v>24.45298872378333</v>
      </c>
      <c r="F522" s="4" t="n">
        <v>24.81959481251112</v>
      </c>
      <c r="G522" s="4" t="n">
        <v>4</v>
      </c>
      <c r="H522" s="5" t="n">
        <v>41.26303146336667</v>
      </c>
      <c r="I522" s="5" t="n">
        <v>38.38536750140278</v>
      </c>
      <c r="J522" s="5" t="n">
        <v>45.33077536879444</v>
      </c>
      <c r="K522" s="5" t="n">
        <v>79</v>
      </c>
    </row>
    <row r="523">
      <c r="A523" s="2" t="n">
        <v>46119.16666666666</v>
      </c>
      <c r="B523">
        <f>TEXT(A523,"yyyy-mm")</f>
        <v/>
      </c>
      <c r="C523" s="3">
        <f>HOUR(A523)</f>
        <v/>
      </c>
      <c r="D523" s="4" t="n">
        <v>22.89034402019722</v>
      </c>
      <c r="E523" s="4" t="n">
        <v>24.47476536872778</v>
      </c>
      <c r="F523" s="4" t="n">
        <v>24.79696226664167</v>
      </c>
      <c r="G523" s="4" t="n">
        <v>3.5</v>
      </c>
      <c r="H523" s="5" t="n">
        <v>41.64946772516389</v>
      </c>
      <c r="I523" s="5" t="n">
        <v>38.48542577231667</v>
      </c>
      <c r="J523" s="5" t="n">
        <v>45.11520014883612</v>
      </c>
      <c r="K523" s="5" t="n">
        <v>80</v>
      </c>
    </row>
    <row r="524">
      <c r="A524" s="2" t="n">
        <v>46119.20833333334</v>
      </c>
      <c r="B524">
        <f>TEXT(A524,"yyyy-mm")</f>
        <v/>
      </c>
      <c r="C524" s="3">
        <f>HOUR(A524)</f>
        <v/>
      </c>
      <c r="D524" s="4" t="n">
        <v>22.81222542169722</v>
      </c>
      <c r="E524" s="4" t="n">
        <v>24.20291266495278</v>
      </c>
      <c r="F524" s="4" t="n">
        <v>24.78490715025556</v>
      </c>
      <c r="G524" s="4" t="n">
        <v>2.9</v>
      </c>
      <c r="H524" s="5" t="n">
        <v>41.69624295393889</v>
      </c>
      <c r="I524" s="5" t="n">
        <v>38.79167469475556</v>
      </c>
      <c r="J524" s="5" t="n">
        <v>44.93578649331667</v>
      </c>
      <c r="K524" s="5" t="n">
        <v>83</v>
      </c>
    </row>
    <row r="525">
      <c r="A525" s="2" t="n">
        <v>46119.25</v>
      </c>
      <c r="B525">
        <f>TEXT(A525,"yyyy-mm")</f>
        <v/>
      </c>
      <c r="C525" s="3">
        <f>HOUR(A525)</f>
        <v/>
      </c>
      <c r="D525" s="4" t="n">
        <v>23.09188463525</v>
      </c>
      <c r="E525" s="4" t="n">
        <v>24.271842605775</v>
      </c>
      <c r="F525" s="4" t="n">
        <v>24.784504189</v>
      </c>
      <c r="G525" s="4" t="n">
        <v>2.4</v>
      </c>
      <c r="H525" s="5" t="n">
        <v>40.78936927608611</v>
      </c>
      <c r="I525" s="5" t="n">
        <v>38.39078421135556</v>
      </c>
      <c r="J525" s="5" t="n">
        <v>44.807898222675</v>
      </c>
      <c r="K525" s="5" t="n">
        <v>85</v>
      </c>
    </row>
    <row r="526">
      <c r="A526" s="2" t="n">
        <v>46119.29166666666</v>
      </c>
      <c r="B526">
        <f>TEXT(A526,"yyyy-mm")</f>
        <v/>
      </c>
      <c r="C526" s="3">
        <f>HOUR(A526)</f>
        <v/>
      </c>
      <c r="D526" s="4" t="n">
        <v>24.09061998938056</v>
      </c>
      <c r="E526" s="4" t="n">
        <v>24.85674296517223</v>
      </c>
      <c r="F526" s="4" t="n">
        <v>24.77125682510833</v>
      </c>
      <c r="G526" s="4" t="n">
        <v>2.5</v>
      </c>
      <c r="H526" s="5" t="n">
        <v>37.94565198117223</v>
      </c>
      <c r="I526" s="5" t="n">
        <v>37.46157010791666</v>
      </c>
      <c r="J526" s="5" t="n">
        <v>44.75127649922778</v>
      </c>
      <c r="K526" s="5" t="n">
        <v>83</v>
      </c>
    </row>
    <row r="527">
      <c r="A527" s="2" t="n">
        <v>46119.33333333334</v>
      </c>
      <c r="B527">
        <f>TEXT(A527,"yyyy-mm")</f>
        <v/>
      </c>
      <c r="C527" s="3">
        <f>HOUR(A527)</f>
        <v/>
      </c>
      <c r="D527" s="4" t="n">
        <v>24.67415126591389</v>
      </c>
      <c r="E527" s="4" t="n">
        <v>25.40627700579445</v>
      </c>
      <c r="F527" s="4" t="n">
        <v>24.78899976234445</v>
      </c>
      <c r="G527" s="4" t="n">
        <v>3.6</v>
      </c>
      <c r="H527" s="5" t="n">
        <v>37.52951785295556</v>
      </c>
      <c r="I527" s="5" t="n">
        <v>37.24174575160556</v>
      </c>
      <c r="J527" s="5" t="n">
        <v>44.62249493261945</v>
      </c>
      <c r="K527" s="5" t="n">
        <v>77</v>
      </c>
    </row>
    <row r="528">
      <c r="A528" s="2" t="n">
        <v>46119.375</v>
      </c>
      <c r="B528">
        <f>TEXT(A528,"yyyy-mm")</f>
        <v/>
      </c>
      <c r="C528" s="3">
        <f>HOUR(A528)</f>
        <v/>
      </c>
      <c r="D528" s="4" t="n">
        <v>25.09076836180278</v>
      </c>
      <c r="E528" s="4" t="n">
        <v>25.79375298830833</v>
      </c>
      <c r="F528" s="4" t="n">
        <v>24.79661620973055</v>
      </c>
      <c r="G528" s="4" t="n">
        <v>5.3</v>
      </c>
      <c r="H528" s="5" t="n">
        <v>37.69814994325833</v>
      </c>
      <c r="I528" s="5" t="n">
        <v>37.58948785145834</v>
      </c>
      <c r="J528" s="5" t="n">
        <v>44.61206804305278</v>
      </c>
      <c r="K528" s="5" t="n">
        <v>71</v>
      </c>
    </row>
    <row r="529">
      <c r="A529" s="2" t="n">
        <v>46119.41666666666</v>
      </c>
      <c r="B529">
        <f>TEXT(A529,"yyyy-mm")</f>
        <v/>
      </c>
      <c r="C529" s="3">
        <f>HOUR(A529)</f>
        <v/>
      </c>
      <c r="D529" s="4" t="n">
        <v>25.2251049792</v>
      </c>
      <c r="E529" s="4" t="n">
        <v>26.06257031304722</v>
      </c>
      <c r="F529" s="4" t="n">
        <v>24.83019112810834</v>
      </c>
      <c r="G529" s="4" t="n">
        <v>6.7</v>
      </c>
      <c r="H529" s="5" t="n">
        <v>38.68099414535</v>
      </c>
      <c r="I529" s="5" t="n">
        <v>39.93822394325833</v>
      </c>
      <c r="J529" s="5" t="n">
        <v>44.55132371166111</v>
      </c>
      <c r="K529" s="5" t="n">
        <v>62</v>
      </c>
    </row>
    <row r="530">
      <c r="A530" s="2" t="n">
        <v>46119.45833333334</v>
      </c>
      <c r="B530">
        <f>TEXT(A530,"yyyy-mm")</f>
        <v/>
      </c>
      <c r="C530" s="3">
        <f>HOUR(A530)</f>
        <v/>
      </c>
      <c r="D530" s="4" t="n">
        <v>25.26944478448611</v>
      </c>
      <c r="E530" s="4" t="n">
        <v>26.35810769261111</v>
      </c>
      <c r="F530" s="4" t="n">
        <v>24.84028256933334</v>
      </c>
      <c r="G530" s="4" t="n">
        <v>7.7</v>
      </c>
      <c r="H530" s="5" t="n">
        <v>40.02413272834722</v>
      </c>
      <c r="I530" s="5" t="n">
        <v>39.89884744514723</v>
      </c>
      <c r="J530" s="5" t="n">
        <v>44.56169602625834</v>
      </c>
      <c r="K530" s="5" t="n">
        <v>54</v>
      </c>
    </row>
    <row r="531">
      <c r="A531" s="2" t="n">
        <v>46119.5</v>
      </c>
      <c r="B531">
        <f>TEXT(A531,"yyyy-mm")</f>
        <v/>
      </c>
      <c r="C531" s="3">
        <f>HOUR(A531)</f>
        <v/>
      </c>
      <c r="D531" s="4" t="n">
        <v>25.00830707100278</v>
      </c>
      <c r="E531" s="4" t="n">
        <v>26.04397959891389</v>
      </c>
      <c r="F531" s="4" t="n">
        <v>24.84851316403611</v>
      </c>
      <c r="G531" s="4" t="n">
        <v>8.5</v>
      </c>
      <c r="H531" s="5" t="n">
        <v>41.27713752358056</v>
      </c>
      <c r="I531" s="5" t="n">
        <v>39.77275521932222</v>
      </c>
      <c r="J531" s="5" t="n">
        <v>44.67612260868888</v>
      </c>
      <c r="K531" s="5" t="n">
        <v>49</v>
      </c>
    </row>
    <row r="532">
      <c r="A532" s="2" t="n">
        <v>46119.54166666666</v>
      </c>
      <c r="B532">
        <f>TEXT(A532,"yyyy-mm")</f>
        <v/>
      </c>
      <c r="C532" s="3">
        <f>HOUR(A532)</f>
        <v/>
      </c>
      <c r="D532" s="4" t="n">
        <v>24.86202552981666</v>
      </c>
      <c r="E532" s="4" t="n">
        <v>25.94695667959166</v>
      </c>
      <c r="F532" s="4" t="n">
        <v>24.83883083781112</v>
      </c>
      <c r="G532" s="4" t="n">
        <v>9.4</v>
      </c>
      <c r="H532" s="5" t="n">
        <v>42.55546095097223</v>
      </c>
      <c r="I532" s="5" t="n">
        <v>40.25654332493333</v>
      </c>
      <c r="J532" s="5" t="n">
        <v>44.55589857861388</v>
      </c>
      <c r="K532" s="5" t="n">
        <v>45</v>
      </c>
    </row>
    <row r="533">
      <c r="A533" s="2" t="n">
        <v>46119.58333333334</v>
      </c>
      <c r="B533">
        <f>TEXT(A533,"yyyy-mm")</f>
        <v/>
      </c>
      <c r="C533" s="3">
        <f>HOUR(A533)</f>
        <v/>
      </c>
      <c r="D533" s="4" t="n">
        <v>24.61711419755555</v>
      </c>
      <c r="E533" s="4" t="n">
        <v>25.78798749525278</v>
      </c>
      <c r="F533" s="4" t="n">
        <v>24.82230544931667</v>
      </c>
      <c r="G533" s="4" t="n">
        <v>10.2</v>
      </c>
      <c r="H533" s="5" t="n">
        <v>44.12648205641667</v>
      </c>
      <c r="I533" s="5" t="n">
        <v>42.73284686263056</v>
      </c>
      <c r="J533" s="5" t="n">
        <v>44.49109911255277</v>
      </c>
      <c r="K533" s="5" t="n">
        <v>45</v>
      </c>
    </row>
    <row r="534">
      <c r="A534" s="2" t="n">
        <v>46119.625</v>
      </c>
      <c r="B534">
        <f>TEXT(A534,"yyyy-mm")</f>
        <v/>
      </c>
      <c r="C534" s="3">
        <f>HOUR(A534)</f>
        <v/>
      </c>
      <c r="D534" s="4" t="n">
        <v>23.521542453675</v>
      </c>
      <c r="E534" s="4" t="n">
        <v>25.41432421893611</v>
      </c>
      <c r="F534" s="4" t="n">
        <v>24.86303997154167</v>
      </c>
      <c r="G534" s="4" t="n">
        <v>10</v>
      </c>
      <c r="H534" s="5" t="n">
        <v>40.38172496610556</v>
      </c>
      <c r="I534" s="5" t="n">
        <v>39.82661168636667</v>
      </c>
      <c r="J534" s="5" t="n">
        <v>44.45748386604722</v>
      </c>
      <c r="K534" s="5" t="n">
        <v>48</v>
      </c>
    </row>
    <row r="535">
      <c r="A535" s="2" t="n">
        <v>46119.66666666666</v>
      </c>
      <c r="B535">
        <f>TEXT(A535,"yyyy-mm")</f>
        <v/>
      </c>
      <c r="C535" s="3">
        <f>HOUR(A535)</f>
        <v/>
      </c>
      <c r="D535" s="4" t="n">
        <v>22.48845667401111</v>
      </c>
      <c r="E535" s="4" t="n">
        <v>25.10252443456666</v>
      </c>
      <c r="F535" s="4" t="n">
        <v>24.891429210575</v>
      </c>
      <c r="G535" s="4" t="n">
        <v>9.9</v>
      </c>
      <c r="H535" s="5" t="n">
        <v>34.38587058735833</v>
      </c>
      <c r="I535" s="5" t="n">
        <v>32.61780109203333</v>
      </c>
      <c r="J535" s="5" t="n">
        <v>44.71059822262777</v>
      </c>
      <c r="K535" s="5" t="n">
        <v>47</v>
      </c>
    </row>
    <row r="536">
      <c r="A536" s="2" t="n">
        <v>46119.70833333334</v>
      </c>
      <c r="B536">
        <f>TEXT(A536,"yyyy-mm")</f>
        <v/>
      </c>
      <c r="C536" s="3">
        <f>HOUR(A536)</f>
        <v/>
      </c>
      <c r="D536" s="4" t="n">
        <v>23.47572510221111</v>
      </c>
      <c r="E536" s="4" t="n">
        <v>25.08657065354445</v>
      </c>
      <c r="F536" s="4" t="n">
        <v>24.86979049879444</v>
      </c>
      <c r="G536" s="4" t="n">
        <v>7</v>
      </c>
      <c r="H536" s="5" t="n">
        <v>38.96756953543612</v>
      </c>
      <c r="I536" s="5" t="n">
        <v>35.40764018801389</v>
      </c>
      <c r="J536" s="5" t="n">
        <v>44.59651715268888</v>
      </c>
      <c r="K536" s="5" t="n">
        <v>66</v>
      </c>
    </row>
    <row r="537">
      <c r="A537" s="2" t="n">
        <v>46119.75</v>
      </c>
      <c r="B537">
        <f>TEXT(A537,"yyyy-mm")</f>
        <v/>
      </c>
      <c r="C537" s="3">
        <f>HOUR(A537)</f>
        <v/>
      </c>
      <c r="D537" s="4" t="n">
        <v>23.62574406135278</v>
      </c>
      <c r="E537" s="4" t="n">
        <v>25.25848138938889</v>
      </c>
      <c r="F537" s="4" t="n">
        <v>24.83740863089722</v>
      </c>
      <c r="G537" s="4" t="n">
        <v>6.6</v>
      </c>
      <c r="H537" s="5" t="n">
        <v>45.88199763647222</v>
      </c>
      <c r="I537" s="5" t="n">
        <v>42.62892138952223</v>
      </c>
      <c r="J537" s="5" t="n">
        <v>44.31309821815278</v>
      </c>
      <c r="K537" s="5" t="n">
        <v>70</v>
      </c>
    </row>
    <row r="538">
      <c r="A538" s="2" t="n">
        <v>46119.79166666666</v>
      </c>
      <c r="B538">
        <f>TEXT(A538,"yyyy-mm")</f>
        <v/>
      </c>
      <c r="C538" s="3">
        <f>HOUR(A538)</f>
        <v/>
      </c>
      <c r="D538" s="4" t="n">
        <v>23.718377779625</v>
      </c>
      <c r="E538" s="4" t="n">
        <v>25.32449026676944</v>
      </c>
      <c r="F538" s="4" t="n">
        <v>24.83718206961389</v>
      </c>
      <c r="G538" s="4" t="n">
        <v>5.5</v>
      </c>
      <c r="H538" s="5" t="n">
        <v>46.28076656859167</v>
      </c>
      <c r="I538" s="5" t="n">
        <v>43.86434813836667</v>
      </c>
      <c r="J538" s="5" t="n">
        <v>44.39703397851111</v>
      </c>
      <c r="K538" s="5" t="n">
        <v>78</v>
      </c>
    </row>
    <row r="539">
      <c r="A539" s="2" t="n">
        <v>46119.83333333334</v>
      </c>
      <c r="B539">
        <f>TEXT(A539,"yyyy-mm")</f>
        <v/>
      </c>
      <c r="C539" s="3">
        <f>HOUR(A539)</f>
        <v/>
      </c>
      <c r="D539" s="4" t="n">
        <v>23.78111497286111</v>
      </c>
      <c r="E539" s="4" t="n">
        <v>25.32691487870555</v>
      </c>
      <c r="F539" s="4" t="n">
        <v>24.84137851256389</v>
      </c>
      <c r="G539" s="4" t="n">
        <v>4.8</v>
      </c>
      <c r="H539" s="5" t="n">
        <v>44.88469571990834</v>
      </c>
      <c r="I539" s="5" t="n">
        <v>40.84535349612222</v>
      </c>
      <c r="J539" s="5" t="n">
        <v>46.85206413777777</v>
      </c>
      <c r="K539" s="5" t="n">
        <v>81</v>
      </c>
    </row>
    <row r="540">
      <c r="A540" s="2" t="n">
        <v>46119.875</v>
      </c>
      <c r="B540">
        <f>TEXT(A540,"yyyy-mm")</f>
        <v/>
      </c>
      <c r="C540" s="3">
        <f>HOUR(A540)</f>
        <v/>
      </c>
      <c r="D540" s="4" t="n">
        <v>23.66920891215278</v>
      </c>
      <c r="E540" s="4" t="n">
        <v>25.20165358278055</v>
      </c>
      <c r="F540" s="4" t="n">
        <v>24.85406419926666</v>
      </c>
      <c r="G540" s="4" t="n">
        <v>4.4</v>
      </c>
      <c r="H540" s="5" t="n">
        <v>44.06422340103889</v>
      </c>
      <c r="I540" s="5" t="n">
        <v>40.993494516575</v>
      </c>
      <c r="J540" s="5" t="n">
        <v>47.46307735604445</v>
      </c>
      <c r="K540" s="5" t="n">
        <v>87</v>
      </c>
    </row>
    <row r="541">
      <c r="A541" s="2" t="n">
        <v>46119.91666666666</v>
      </c>
      <c r="B541">
        <f>TEXT(A541,"yyyy-mm")</f>
        <v/>
      </c>
      <c r="C541" s="3">
        <f>HOUR(A541)</f>
        <v/>
      </c>
      <c r="D541" s="4" t="n">
        <v>23.61124784763055</v>
      </c>
      <c r="E541" s="4" t="n">
        <v>25.43638718428612</v>
      </c>
      <c r="F541" s="4" t="n">
        <v>24.93931939790833</v>
      </c>
      <c r="G541" s="4" t="n">
        <v>3.8</v>
      </c>
      <c r="H541" s="5" t="n">
        <v>44.16175899164444</v>
      </c>
      <c r="I541" s="5" t="n">
        <v>41.01787875888889</v>
      </c>
      <c r="J541" s="5" t="n">
        <v>46.04271410234722</v>
      </c>
      <c r="K541" s="5" t="n">
        <v>89</v>
      </c>
    </row>
    <row r="542">
      <c r="A542" s="2" t="n">
        <v>46119.95833333334</v>
      </c>
      <c r="B542">
        <f>TEXT(A542,"yyyy-mm")</f>
        <v/>
      </c>
      <c r="C542" s="3">
        <f>HOUR(A542)</f>
        <v/>
      </c>
      <c r="D542" s="4" t="n">
        <v>23.91305684298889</v>
      </c>
      <c r="E542" s="4" t="n">
        <v>25.47934729151667</v>
      </c>
      <c r="F542" s="4" t="n">
        <v>24.95315912937778</v>
      </c>
      <c r="G542" s="4" t="n">
        <v>2.3</v>
      </c>
      <c r="H542" s="5" t="n">
        <v>42.12109982732501</v>
      </c>
      <c r="I542" s="5" t="n">
        <v>39.97766307531111</v>
      </c>
      <c r="J542" s="5" t="n">
        <v>48.69292820030833</v>
      </c>
      <c r="K542" s="5" t="n">
        <v>92</v>
      </c>
    </row>
    <row r="543">
      <c r="A543" s="2" t="n">
        <v>46120</v>
      </c>
      <c r="B543">
        <f>TEXT(A543,"yyyy-mm")</f>
        <v/>
      </c>
      <c r="C543" s="3">
        <f>HOUR(A543)</f>
        <v/>
      </c>
      <c r="D543" s="4" t="n">
        <v>24.09241369733333</v>
      </c>
      <c r="E543" s="4" t="n">
        <v>25.74139418558333</v>
      </c>
      <c r="F543" s="4" t="n">
        <v>24.95427763873056</v>
      </c>
      <c r="G543" s="4" t="n">
        <v>2.5</v>
      </c>
      <c r="H543" s="5" t="n">
        <v>41.29405198165833</v>
      </c>
      <c r="I543" s="5" t="n">
        <v>39.06991038685278</v>
      </c>
      <c r="J543" s="5" t="n">
        <v>45.81615997521389</v>
      </c>
      <c r="K543" s="5" t="n">
        <v>93</v>
      </c>
    </row>
    <row r="544">
      <c r="A544" s="2" t="n">
        <v>46120.04166666666</v>
      </c>
      <c r="B544">
        <f>TEXT(A544,"yyyy-mm")</f>
        <v/>
      </c>
      <c r="C544" s="3">
        <f>HOUR(A544)</f>
        <v/>
      </c>
      <c r="D544" s="4" t="n">
        <v>23.98683808028889</v>
      </c>
      <c r="E544" s="4" t="n">
        <v>25.63406188820555</v>
      </c>
      <c r="F544" s="4" t="n">
        <v>24.93044447547777</v>
      </c>
      <c r="G544" s="4" t="n">
        <v>2.1</v>
      </c>
      <c r="H544" s="5" t="n">
        <v>41.38627945650556</v>
      </c>
      <c r="I544" s="5" t="n">
        <v>38.38655430004167</v>
      </c>
      <c r="J544" s="5" t="n">
        <v>45.79694897051944</v>
      </c>
      <c r="K544" s="5" t="n">
        <v>94</v>
      </c>
    </row>
    <row r="545">
      <c r="A545" s="2" t="n">
        <v>46120.08333333334</v>
      </c>
      <c r="B545">
        <f>TEXT(A545,"yyyy-mm")</f>
        <v/>
      </c>
      <c r="C545" s="3">
        <f>HOUR(A545)</f>
        <v/>
      </c>
      <c r="D545" s="4" t="n">
        <v>23.54563940788056</v>
      </c>
      <c r="E545" s="4" t="n">
        <v>25.41938609436111</v>
      </c>
      <c r="F545" s="4" t="n">
        <v>24.92560142365833</v>
      </c>
      <c r="G545" s="4" t="n">
        <v>1.6</v>
      </c>
      <c r="H545" s="5" t="n">
        <v>42.09372141610278</v>
      </c>
      <c r="I545" s="5" t="n">
        <v>38.39205424336667</v>
      </c>
      <c r="J545" s="5" t="n">
        <v>46.07161613575556</v>
      </c>
      <c r="K545" s="5" t="n">
        <v>94</v>
      </c>
    </row>
    <row r="546">
      <c r="A546" s="2" t="n">
        <v>46120.125</v>
      </c>
      <c r="B546">
        <f>TEXT(A546,"yyyy-mm")</f>
        <v/>
      </c>
      <c r="C546" s="3">
        <f>HOUR(A546)</f>
        <v/>
      </c>
      <c r="D546" s="4" t="n">
        <v>23.06051283050833</v>
      </c>
      <c r="E546" s="4" t="n">
        <v>24.92251337555556</v>
      </c>
      <c r="F546" s="4" t="n">
        <v>24.84515691651111</v>
      </c>
      <c r="G546" s="4" t="n">
        <v>2.2</v>
      </c>
      <c r="H546" s="5" t="n">
        <v>42.58099115428056</v>
      </c>
      <c r="I546" s="5" t="n">
        <v>38.20565329966111</v>
      </c>
      <c r="J546" s="5" t="n">
        <v>45.05551941569166</v>
      </c>
      <c r="K546" s="5" t="n">
        <v>92</v>
      </c>
    </row>
    <row r="547">
      <c r="A547" s="2" t="n">
        <v>46120.16666666666</v>
      </c>
      <c r="B547">
        <f>TEXT(A547,"yyyy-mm")</f>
        <v/>
      </c>
      <c r="C547" s="3">
        <f>HOUR(A547)</f>
        <v/>
      </c>
      <c r="D547" s="4" t="n">
        <v>22.81145710851944</v>
      </c>
      <c r="E547" s="4" t="n">
        <v>24.60323483054166</v>
      </c>
      <c r="F547" s="4" t="n">
        <v>24.79708415255278</v>
      </c>
      <c r="G547" s="4" t="n">
        <v>2.5</v>
      </c>
      <c r="H547" s="5" t="n">
        <v>42.65964436710556</v>
      </c>
      <c r="I547" s="5" t="n">
        <v>37.98267584039444</v>
      </c>
      <c r="J547" s="5" t="n">
        <v>44.70674269749444</v>
      </c>
      <c r="K547" s="5" t="n">
        <v>93</v>
      </c>
    </row>
    <row r="548">
      <c r="A548" s="2" t="n">
        <v>46120.20833333334</v>
      </c>
      <c r="B548">
        <f>TEXT(A548,"yyyy-mm")</f>
        <v/>
      </c>
      <c r="C548" s="3">
        <f>HOUR(A548)</f>
        <v/>
      </c>
      <c r="D548" s="4" t="n">
        <v>22.64429426652222</v>
      </c>
      <c r="E548" s="4" t="n">
        <v>24.45992506034445</v>
      </c>
      <c r="F548" s="4" t="n">
        <v>24.756844623425</v>
      </c>
      <c r="G548" s="4" t="n">
        <v>2</v>
      </c>
      <c r="H548" s="5" t="n">
        <v>42.65737682193056</v>
      </c>
      <c r="I548" s="5" t="n">
        <v>37.80466613366944</v>
      </c>
      <c r="J548" s="5" t="n">
        <v>44.51300179502778</v>
      </c>
      <c r="K548" s="5" t="n">
        <v>95</v>
      </c>
    </row>
    <row r="549">
      <c r="A549" s="2" t="n">
        <v>46120.25</v>
      </c>
      <c r="B549">
        <f>TEXT(A549,"yyyy-mm")</f>
        <v/>
      </c>
      <c r="C549" s="3">
        <f>HOUR(A549)</f>
        <v/>
      </c>
      <c r="D549" s="4" t="n">
        <v>22.56288921197778</v>
      </c>
      <c r="E549" s="4" t="n">
        <v>24.41529973662222</v>
      </c>
      <c r="F549" s="4" t="n">
        <v>24.73652250574445</v>
      </c>
      <c r="G549" s="4" t="n">
        <v>1.7</v>
      </c>
      <c r="H549" s="5" t="n">
        <v>42.38995139556389</v>
      </c>
      <c r="I549" s="5" t="n">
        <v>37.58873999030556</v>
      </c>
      <c r="J549" s="5" t="n">
        <v>44.38429569787777</v>
      </c>
      <c r="K549" s="5" t="n">
        <v>96</v>
      </c>
    </row>
    <row r="550">
      <c r="A550" s="2" t="n">
        <v>46120.29166666666</v>
      </c>
      <c r="B550">
        <f>TEXT(A550,"yyyy-mm")</f>
        <v/>
      </c>
      <c r="C550" s="3">
        <f>HOUR(A550)</f>
        <v/>
      </c>
      <c r="D550" s="4" t="n">
        <v>22.70427721613333</v>
      </c>
      <c r="E550" s="4" t="n">
        <v>24.26425363473611</v>
      </c>
      <c r="F550" s="4" t="n">
        <v>24.69893914118333</v>
      </c>
      <c r="G550" s="4" t="n">
        <v>2</v>
      </c>
      <c r="H550" s="5" t="n">
        <v>41.82000560755555</v>
      </c>
      <c r="I550" s="5" t="n">
        <v>37.78348524611945</v>
      </c>
      <c r="J550" s="5" t="n">
        <v>44.30713921427222</v>
      </c>
      <c r="K550" s="5" t="n">
        <v>96</v>
      </c>
    </row>
    <row r="551">
      <c r="A551" s="2" t="n">
        <v>46120.33333333334</v>
      </c>
      <c r="B551">
        <f>TEXT(A551,"yyyy-mm")</f>
        <v/>
      </c>
      <c r="C551" s="3">
        <f>HOUR(A551)</f>
        <v/>
      </c>
      <c r="D551" s="4" t="n">
        <v>23.15855429332778</v>
      </c>
      <c r="E551" s="4" t="n">
        <v>24.39313909376667</v>
      </c>
      <c r="F551" s="4" t="n">
        <v>24.67775543858333</v>
      </c>
      <c r="G551" s="4" t="n">
        <v>3.1</v>
      </c>
      <c r="H551" s="5" t="n">
        <v>40.60896034459167</v>
      </c>
      <c r="I551" s="5" t="n">
        <v>37.91436177865833</v>
      </c>
      <c r="J551" s="5" t="n">
        <v>44.22650606876389</v>
      </c>
      <c r="K551" s="5" t="n">
        <v>91</v>
      </c>
    </row>
    <row r="552">
      <c r="A552" s="2" t="n">
        <v>46120.375</v>
      </c>
      <c r="B552">
        <f>TEXT(A552,"yyyy-mm")</f>
        <v/>
      </c>
      <c r="C552" s="3">
        <f>HOUR(A552)</f>
        <v/>
      </c>
      <c r="D552" s="4" t="n">
        <v>23.30999026429167</v>
      </c>
      <c r="E552" s="4" t="n">
        <v>24.73631045084444</v>
      </c>
      <c r="F552" s="4" t="n">
        <v>24.68584472351389</v>
      </c>
      <c r="G552" s="4" t="n">
        <v>4.4</v>
      </c>
      <c r="H552" s="5" t="n">
        <v>40.35959493119723</v>
      </c>
      <c r="I552" s="5" t="n">
        <v>37.65737000550556</v>
      </c>
      <c r="J552" s="5" t="n">
        <v>44.15810003837777</v>
      </c>
      <c r="K552" s="5" t="n">
        <v>89</v>
      </c>
    </row>
    <row r="553">
      <c r="A553" s="2" t="n">
        <v>46120.41666666666</v>
      </c>
      <c r="B553">
        <f>TEXT(A553,"yyyy-mm")</f>
        <v/>
      </c>
      <c r="C553" s="3">
        <f>HOUR(A553)</f>
        <v/>
      </c>
      <c r="D553" s="4" t="n">
        <v>23.595666632875</v>
      </c>
      <c r="E553" s="4" t="n">
        <v>24.74887991806667</v>
      </c>
      <c r="F553" s="4" t="n">
        <v>24.67234388967222</v>
      </c>
      <c r="G553" s="4" t="n">
        <v>6</v>
      </c>
      <c r="H553" s="5" t="n">
        <v>39.7438589427</v>
      </c>
      <c r="I553" s="5" t="n">
        <v>37.89562889960833</v>
      </c>
      <c r="J553" s="5" t="n">
        <v>44.12667212218889</v>
      </c>
      <c r="K553" s="5" t="n">
        <v>83</v>
      </c>
    </row>
    <row r="554">
      <c r="A554" s="2" t="n">
        <v>46120.45833333334</v>
      </c>
      <c r="B554">
        <f>TEXT(A554,"yyyy-mm")</f>
        <v/>
      </c>
      <c r="C554" s="3">
        <f>HOUR(A554)</f>
        <v/>
      </c>
      <c r="D554" s="4" t="n">
        <v>23.86222024935278</v>
      </c>
      <c r="E554" s="4" t="n">
        <v>24.984019457375</v>
      </c>
      <c r="F554" s="4" t="n">
        <v>24.65870544370556</v>
      </c>
      <c r="G554" s="4" t="n">
        <v>7.2</v>
      </c>
      <c r="H554" s="5" t="n">
        <v>40.69752037935834</v>
      </c>
      <c r="I554" s="5" t="n">
        <v>40.59323382560277</v>
      </c>
      <c r="J554" s="5" t="n">
        <v>44.09469438065278</v>
      </c>
      <c r="K554" s="5" t="n">
        <v>73</v>
      </c>
    </row>
    <row r="555">
      <c r="A555" s="2" t="n">
        <v>46120.5</v>
      </c>
      <c r="B555">
        <f>TEXT(A555,"yyyy-mm")</f>
        <v/>
      </c>
      <c r="C555" s="3">
        <f>HOUR(A555)</f>
        <v/>
      </c>
      <c r="D555" s="4" t="n">
        <v>23.63695091014722</v>
      </c>
      <c r="E555" s="4" t="n">
        <v>24.98862071921944</v>
      </c>
      <c r="F555" s="4" t="n">
        <v>24.65172803436666</v>
      </c>
      <c r="G555" s="4" t="n">
        <v>8.1</v>
      </c>
      <c r="H555" s="5" t="n">
        <v>41.94191391724723</v>
      </c>
      <c r="I555" s="5" t="n">
        <v>40.30096217358056</v>
      </c>
      <c r="J555" s="5" t="n">
        <v>44.00262088149722</v>
      </c>
      <c r="K555" s="5" t="n">
        <v>64</v>
      </c>
    </row>
    <row r="556">
      <c r="A556" s="2" t="n">
        <v>46120.54166666666</v>
      </c>
      <c r="B556">
        <f>TEXT(A556,"yyyy-mm")</f>
        <v/>
      </c>
      <c r="C556" s="3">
        <f>HOUR(A556)</f>
        <v/>
      </c>
      <c r="D556" s="4" t="n">
        <v>22.09060015463056</v>
      </c>
      <c r="E556" s="4" t="n">
        <v>24.698559131225</v>
      </c>
      <c r="F556" s="4" t="n">
        <v>24.64187753079166</v>
      </c>
      <c r="G556" s="4" t="n">
        <v>7.9</v>
      </c>
      <c r="H556" s="5" t="n">
        <v>40.59211031601111</v>
      </c>
      <c r="I556" s="5" t="n">
        <v>38.32855003063056</v>
      </c>
      <c r="J556" s="5" t="n">
        <v>44.35610688205278</v>
      </c>
      <c r="K556" s="5" t="n">
        <v>59</v>
      </c>
    </row>
    <row r="557">
      <c r="A557" s="2" t="n">
        <v>46120.58333333334</v>
      </c>
      <c r="B557">
        <f>TEXT(A557,"yyyy-mm")</f>
        <v/>
      </c>
      <c r="C557" s="3">
        <f>HOUR(A557)</f>
        <v/>
      </c>
      <c r="D557" s="4" t="n">
        <v>22.94621383867777</v>
      </c>
      <c r="E557" s="4" t="n">
        <v>24.75434691668333</v>
      </c>
      <c r="F557" s="4" t="n">
        <v>24.61277874797777</v>
      </c>
      <c r="G557" s="4" t="n">
        <v>7.8</v>
      </c>
      <c r="H557" s="5" t="n">
        <v>40.59390457455556</v>
      </c>
      <c r="I557" s="5" t="n">
        <v>38.77350435298612</v>
      </c>
      <c r="J557" s="5" t="n">
        <v>44.09398730195278</v>
      </c>
      <c r="K557" s="5" t="n">
        <v>58</v>
      </c>
    </row>
    <row r="558">
      <c r="A558" s="2" t="n">
        <v>46120.625</v>
      </c>
      <c r="B558">
        <f>TEXT(A558,"yyyy-mm")</f>
        <v/>
      </c>
      <c r="C558" s="3">
        <f>HOUR(A558)</f>
        <v/>
      </c>
      <c r="D558" s="4" t="n">
        <v>23.21905950618333</v>
      </c>
      <c r="E558" s="4" t="n">
        <v>24.94385113553889</v>
      </c>
      <c r="F558" s="4" t="n">
        <v>24.57167763188333</v>
      </c>
      <c r="G558" s="4" t="n">
        <v>7.6</v>
      </c>
      <c r="H558" s="5" t="n">
        <v>41.01379532010278</v>
      </c>
      <c r="I558" s="5" t="n">
        <v>38.51103015793056</v>
      </c>
      <c r="J558" s="5" t="n">
        <v>46.89297435024722</v>
      </c>
      <c r="K558" s="5" t="n">
        <v>61</v>
      </c>
    </row>
    <row r="559">
      <c r="A559" s="2" t="n">
        <v>46120.66666666666</v>
      </c>
      <c r="B559">
        <f>TEXT(A559,"yyyy-mm")</f>
        <v/>
      </c>
      <c r="C559" s="3">
        <f>HOUR(A559)</f>
        <v/>
      </c>
      <c r="D559" s="4" t="n">
        <v>23.33670906155833</v>
      </c>
      <c r="E559" s="4" t="n">
        <v>25.23374832896112</v>
      </c>
      <c r="F559" s="4" t="n">
        <v>24.49108014063889</v>
      </c>
      <c r="G559" s="4" t="n">
        <v>7.3</v>
      </c>
      <c r="H559" s="5" t="n">
        <v>42.32919658648889</v>
      </c>
      <c r="I559" s="5" t="n">
        <v>39.74293990335833</v>
      </c>
      <c r="J559" s="5" t="n">
        <v>50.90556482371111</v>
      </c>
      <c r="K559" s="5" t="n">
        <v>66</v>
      </c>
    </row>
    <row r="560">
      <c r="A560" s="2" t="n">
        <v>46120.70833333334</v>
      </c>
      <c r="B560">
        <f>TEXT(A560,"yyyy-mm")</f>
        <v/>
      </c>
      <c r="C560" s="3">
        <f>HOUR(A560)</f>
        <v/>
      </c>
      <c r="D560" s="4" t="n">
        <v>23.37111254469166</v>
      </c>
      <c r="E560" s="4" t="n">
        <v>25.28775018625</v>
      </c>
      <c r="F560" s="4" t="n">
        <v>24.37664584036389</v>
      </c>
      <c r="G560" s="4" t="n">
        <v>6.7</v>
      </c>
      <c r="H560" s="5" t="n">
        <v>42.89295893741944</v>
      </c>
      <c r="I560" s="5" t="n">
        <v>40.50205837565833</v>
      </c>
      <c r="J560" s="5" t="n">
        <v>54.07216836335834</v>
      </c>
      <c r="K560" s="5" t="n">
        <v>72</v>
      </c>
    </row>
    <row r="561">
      <c r="A561" s="2" t="n">
        <v>46120.75</v>
      </c>
      <c r="B561">
        <f>TEXT(A561,"yyyy-mm")</f>
        <v/>
      </c>
      <c r="C561" s="3">
        <f>HOUR(A561)</f>
        <v/>
      </c>
      <c r="D561" s="4" t="n">
        <v>23.37961468630556</v>
      </c>
      <c r="E561" s="4" t="n">
        <v>25.10611239230833</v>
      </c>
      <c r="F561" s="4" t="n">
        <v>24.53973234437223</v>
      </c>
      <c r="G561" s="4" t="n">
        <v>6.7</v>
      </c>
      <c r="H561" s="5" t="n">
        <v>42.38111953399722</v>
      </c>
      <c r="I561" s="5" t="n">
        <v>39.64604782776112</v>
      </c>
      <c r="J561" s="5" t="n">
        <v>49.79072425085555</v>
      </c>
      <c r="K561" s="5" t="n">
        <v>70</v>
      </c>
    </row>
    <row r="562">
      <c r="A562" s="2" t="n">
        <v>46120.79166666666</v>
      </c>
      <c r="B562">
        <f>TEXT(A562,"yyyy-mm")</f>
        <v/>
      </c>
      <c r="C562" s="3">
        <f>HOUR(A562)</f>
        <v/>
      </c>
      <c r="D562" s="4" t="n">
        <v>23.75766877311389</v>
      </c>
      <c r="E562" s="4" t="n">
        <v>25.35815684413333</v>
      </c>
      <c r="F562" s="4" t="n">
        <v>24.59693594309723</v>
      </c>
      <c r="G562" s="4" t="n">
        <v>5.6</v>
      </c>
      <c r="H562" s="5" t="n">
        <v>41.274284733775</v>
      </c>
      <c r="I562" s="5" t="n">
        <v>38.36362209173333</v>
      </c>
      <c r="J562" s="5" t="n">
        <v>47.01565707398333</v>
      </c>
      <c r="K562" s="5" t="n">
        <v>78</v>
      </c>
    </row>
    <row r="563">
      <c r="A563" s="2" t="n">
        <v>46120.83333333334</v>
      </c>
      <c r="B563">
        <f>TEXT(A563,"yyyy-mm")</f>
        <v/>
      </c>
      <c r="C563" s="3">
        <f>HOUR(A563)</f>
        <v/>
      </c>
      <c r="D563" s="4" t="n">
        <v>23.43426728853056</v>
      </c>
      <c r="E563" s="4" t="n">
        <v>25.11897911868333</v>
      </c>
      <c r="F563" s="4" t="n">
        <v>24.61921048174166</v>
      </c>
      <c r="G563" s="4" t="n">
        <v>4.6</v>
      </c>
      <c r="H563" s="5" t="n">
        <v>42.49841693941389</v>
      </c>
      <c r="I563" s="5" t="n">
        <v>39.4931886404</v>
      </c>
      <c r="J563" s="5" t="n">
        <v>45.86435635124167</v>
      </c>
      <c r="K563" s="5" t="n">
        <v>83</v>
      </c>
    </row>
    <row r="564">
      <c r="A564" s="2" t="n">
        <v>46120.875</v>
      </c>
      <c r="B564">
        <f>TEXT(A564,"yyyy-mm")</f>
        <v/>
      </c>
      <c r="C564" s="3">
        <f>HOUR(A564)</f>
        <v/>
      </c>
      <c r="D564" s="4" t="n">
        <v>23.31615775491944</v>
      </c>
      <c r="E564" s="4" t="n">
        <v>24.96581386919167</v>
      </c>
      <c r="F564" s="4" t="n">
        <v>24.62385499900833</v>
      </c>
      <c r="G564" s="4" t="n">
        <v>3.5</v>
      </c>
      <c r="H564" s="5" t="n">
        <v>42.97368502253889</v>
      </c>
      <c r="I564" s="5" t="n">
        <v>39.96394035182778</v>
      </c>
      <c r="J564" s="5" t="n">
        <v>46.720494975725</v>
      </c>
      <c r="K564" s="5" t="n">
        <v>93</v>
      </c>
    </row>
    <row r="565">
      <c r="A565" s="2" t="n">
        <v>46120.91666666666</v>
      </c>
      <c r="B565">
        <f>TEXT(A565,"yyyy-mm")</f>
        <v/>
      </c>
      <c r="C565" s="3">
        <f>HOUR(A565)</f>
        <v/>
      </c>
      <c r="D565" s="4" t="n">
        <v>23.37444326415278</v>
      </c>
      <c r="E565" s="4" t="n">
        <v>24.89320189212778</v>
      </c>
      <c r="F565" s="4" t="n">
        <v>24.61786098416111</v>
      </c>
      <c r="G565" s="4" t="n">
        <v>3.1</v>
      </c>
      <c r="H565" s="5" t="n">
        <v>42.05112397591389</v>
      </c>
      <c r="I565" s="5" t="n">
        <v>42.42803263540278</v>
      </c>
      <c r="J565" s="5" t="n">
        <v>45.60521654262777</v>
      </c>
      <c r="K565" s="5" t="n">
        <v>94</v>
      </c>
    </row>
    <row r="566">
      <c r="A566" s="2" t="n">
        <v>46120.95833333334</v>
      </c>
      <c r="B566">
        <f>TEXT(A566,"yyyy-mm")</f>
        <v/>
      </c>
      <c r="C566" s="3">
        <f>HOUR(A566)</f>
        <v/>
      </c>
      <c r="D566" s="4" t="n">
        <v>23.72013946855555</v>
      </c>
      <c r="E566" s="4" t="n">
        <v>25.15529908101666</v>
      </c>
      <c r="F566" s="4" t="n">
        <v>24.63057829775</v>
      </c>
      <c r="G566" s="4" t="n">
        <v>2.4</v>
      </c>
      <c r="H566" s="5" t="n">
        <v>39.52649340277222</v>
      </c>
      <c r="I566" s="5" t="n">
        <v>38.08728874871389</v>
      </c>
      <c r="J566" s="5" t="n">
        <v>44.84804203831945</v>
      </c>
      <c r="K566" s="5" t="n">
        <v>96</v>
      </c>
    </row>
    <row r="567">
      <c r="A567" s="2" t="n">
        <v>46121</v>
      </c>
      <c r="B567">
        <f>TEXT(A567,"yyyy-mm")</f>
        <v/>
      </c>
      <c r="C567" s="3">
        <f>HOUR(A567)</f>
        <v/>
      </c>
      <c r="D567" s="4" t="n">
        <v>23.59533839085833</v>
      </c>
      <c r="E567" s="4" t="n">
        <v>25.23156960654444</v>
      </c>
      <c r="F567" s="4" t="n">
        <v>24.62690944223334</v>
      </c>
      <c r="G567" s="4" t="n">
        <v>2</v>
      </c>
      <c r="H567" s="5" t="n">
        <v>39.4966873154</v>
      </c>
      <c r="I567" s="5" t="n">
        <v>37.46708321449167</v>
      </c>
      <c r="J567" s="5" t="n">
        <v>44.51093778454444</v>
      </c>
      <c r="K567" s="5" t="n">
        <v>97</v>
      </c>
    </row>
    <row r="568">
      <c r="A568" s="2" t="n">
        <v>46121.04166666666</v>
      </c>
      <c r="B568">
        <f>TEXT(A568,"yyyy-mm")</f>
        <v/>
      </c>
      <c r="C568" s="3">
        <f>HOUR(A568)</f>
        <v/>
      </c>
      <c r="D568" s="4" t="n">
        <v>23.19951690581667</v>
      </c>
      <c r="E568" s="4" t="n">
        <v>24.70771109468333</v>
      </c>
      <c r="F568" s="4" t="n">
        <v>24.61948802391112</v>
      </c>
      <c r="G568" s="4" t="n">
        <v>1.5</v>
      </c>
      <c r="H568" s="5" t="n">
        <v>41.7230362355611</v>
      </c>
      <c r="I568" s="5" t="n">
        <v>39.72807291029722</v>
      </c>
      <c r="J568" s="5" t="n">
        <v>44.33582599944722</v>
      </c>
      <c r="K568" s="5" t="n">
        <v>97</v>
      </c>
    </row>
    <row r="569">
      <c r="A569" s="2" t="n">
        <v>46121.08333333334</v>
      </c>
      <c r="B569">
        <f>TEXT(A569,"yyyy-mm")</f>
        <v/>
      </c>
      <c r="C569" s="3">
        <f>HOUR(A569)</f>
        <v/>
      </c>
      <c r="D569" s="4" t="n">
        <v>22.70988535745278</v>
      </c>
      <c r="E569" s="4" t="n">
        <v>24.34928900556111</v>
      </c>
      <c r="F569" s="4" t="n">
        <v>24.61024404283333</v>
      </c>
      <c r="G569" s="4" t="n">
        <v>1.1</v>
      </c>
      <c r="H569" s="5" t="n">
        <v>43.01316293276667</v>
      </c>
      <c r="I569" s="5" t="n">
        <v>39.61400505238889</v>
      </c>
      <c r="J569" s="5" t="n">
        <v>44.17500330416112</v>
      </c>
      <c r="K569" s="5" t="n">
        <v>98</v>
      </c>
    </row>
    <row r="570">
      <c r="A570" s="2" t="n">
        <v>46121.125</v>
      </c>
      <c r="B570">
        <f>TEXT(A570,"yyyy-mm")</f>
        <v/>
      </c>
      <c r="C570" s="3">
        <f>HOUR(A570)</f>
        <v/>
      </c>
      <c r="D570" s="4" t="n">
        <v>22.46300548250278</v>
      </c>
      <c r="E570" s="4" t="n">
        <v>24.15811225083889</v>
      </c>
      <c r="F570" s="4" t="n">
        <v>24.59564639821944</v>
      </c>
      <c r="G570" s="4" t="n">
        <v>1.3</v>
      </c>
      <c r="H570" s="5" t="n">
        <v>43.22343137604722</v>
      </c>
      <c r="I570" s="5" t="n">
        <v>39.19286257858611</v>
      </c>
      <c r="J570" s="5" t="n">
        <v>44.04238625181667</v>
      </c>
      <c r="K570" s="5" t="n">
        <v>95</v>
      </c>
    </row>
    <row r="571">
      <c r="A571" s="2" t="n">
        <v>46121.16666666666</v>
      </c>
      <c r="B571">
        <f>TEXT(A571,"yyyy-mm")</f>
        <v/>
      </c>
      <c r="C571" s="3">
        <f>HOUR(A571)</f>
        <v/>
      </c>
      <c r="D571" s="4" t="n">
        <v>22.29336380853611</v>
      </c>
      <c r="E571" s="4" t="n">
        <v>24.01170419871667</v>
      </c>
      <c r="F571" s="4" t="n">
        <v>24.54978072172777</v>
      </c>
      <c r="G571" s="4" t="n">
        <v>1.5</v>
      </c>
      <c r="H571" s="5" t="n">
        <v>43.36660684401667</v>
      </c>
      <c r="I571" s="5" t="n">
        <v>38.90862564753889</v>
      </c>
      <c r="J571" s="5" t="n">
        <v>43.93076573605278</v>
      </c>
      <c r="K571" s="5" t="n">
        <v>93</v>
      </c>
    </row>
    <row r="572">
      <c r="A572" s="2" t="n">
        <v>46121.20833333334</v>
      </c>
      <c r="B572">
        <f>TEXT(A572,"yyyy-mm")</f>
        <v/>
      </c>
      <c r="C572" s="3">
        <f>HOUR(A572)</f>
        <v/>
      </c>
      <c r="D572" s="4" t="n">
        <v>22.14769000924445</v>
      </c>
      <c r="E572" s="4" t="n">
        <v>23.83598312093889</v>
      </c>
      <c r="F572" s="4" t="n">
        <v>24.51461393688889</v>
      </c>
      <c r="G572" s="4" t="n">
        <v>1.5</v>
      </c>
      <c r="H572" s="5" t="n">
        <v>43.47389601025833</v>
      </c>
      <c r="I572" s="5" t="n">
        <v>38.74520391012778</v>
      </c>
      <c r="J572" s="5" t="n">
        <v>43.8167221533</v>
      </c>
      <c r="K572" s="5" t="n">
        <v>93</v>
      </c>
    </row>
    <row r="573">
      <c r="A573" s="2" t="n">
        <v>46121.25</v>
      </c>
      <c r="B573">
        <f>TEXT(A573,"yyyy-mm")</f>
        <v/>
      </c>
      <c r="C573" s="3">
        <f>HOUR(A573)</f>
        <v/>
      </c>
      <c r="D573" s="4" t="n">
        <v>22.07861113189722</v>
      </c>
      <c r="E573" s="4" t="n">
        <v>23.78955554126945</v>
      </c>
      <c r="F573" s="4" t="n">
        <v>24.47144744626944</v>
      </c>
      <c r="G573" s="4" t="n">
        <v>1.1</v>
      </c>
      <c r="H573" s="5" t="n">
        <v>43.245344464375</v>
      </c>
      <c r="I573" s="5" t="n">
        <v>38.6820911265</v>
      </c>
      <c r="J573" s="5" t="n">
        <v>43.72917237764722</v>
      </c>
      <c r="K573" s="5" t="n">
        <v>94</v>
      </c>
    </row>
    <row r="574">
      <c r="A574" s="2" t="n">
        <v>46121.29166666666</v>
      </c>
      <c r="B574">
        <f>TEXT(A574,"yyyy-mm")</f>
        <v/>
      </c>
      <c r="C574" s="3">
        <f>HOUR(A574)</f>
        <v/>
      </c>
      <c r="D574" s="4" t="n">
        <v>22.08006552326111</v>
      </c>
      <c r="E574" s="4" t="n">
        <v>23.78852973443611</v>
      </c>
      <c r="F574" s="4" t="n">
        <v>24.44838264973333</v>
      </c>
      <c r="G574" s="4" t="n">
        <v>1.5</v>
      </c>
      <c r="H574" s="5" t="n">
        <v>43.09757799976944</v>
      </c>
      <c r="I574" s="5" t="n">
        <v>38.47074584649445</v>
      </c>
      <c r="J574" s="5" t="n">
        <v>43.64457650591667</v>
      </c>
      <c r="K574" s="5" t="n">
        <v>95</v>
      </c>
    </row>
    <row r="575">
      <c r="A575" s="2" t="n">
        <v>46121.33333333334</v>
      </c>
      <c r="B575">
        <f>TEXT(A575,"yyyy-mm")</f>
        <v/>
      </c>
      <c r="C575" s="3">
        <f>HOUR(A575)</f>
        <v/>
      </c>
      <c r="D575" s="4" t="n">
        <v>22.16644500703612</v>
      </c>
      <c r="E575" s="4" t="n">
        <v>23.68805625043889</v>
      </c>
      <c r="F575" s="4" t="n">
        <v>24.42025257090833</v>
      </c>
      <c r="G575" s="4" t="n">
        <v>3.2</v>
      </c>
      <c r="H575" s="5" t="n">
        <v>42.8495353355</v>
      </c>
      <c r="I575" s="5" t="n">
        <v>38.92827453637778</v>
      </c>
      <c r="J575" s="5" t="n">
        <v>43.5780739287</v>
      </c>
      <c r="K575" s="5" t="n">
        <v>90</v>
      </c>
    </row>
    <row r="576">
      <c r="A576" s="2" t="n">
        <v>46121.375</v>
      </c>
      <c r="B576">
        <f>TEXT(A576,"yyyy-mm")</f>
        <v/>
      </c>
      <c r="C576" s="3">
        <f>HOUR(A576)</f>
        <v/>
      </c>
      <c r="D576" s="4" t="n">
        <v>22.05063405276944</v>
      </c>
      <c r="E576" s="4" t="n">
        <v>23.68018965981667</v>
      </c>
      <c r="F576" s="4" t="n">
        <v>24.38450866991666</v>
      </c>
      <c r="G576" s="4" t="n">
        <v>5.4</v>
      </c>
      <c r="H576" s="5" t="n">
        <v>43.13005234432222</v>
      </c>
      <c r="I576" s="5" t="n">
        <v>38.65681766421111</v>
      </c>
      <c r="J576" s="5" t="n">
        <v>43.502517526425</v>
      </c>
      <c r="K576" s="5" t="n">
        <v>85</v>
      </c>
    </row>
    <row r="577">
      <c r="A577" s="2" t="n">
        <v>46121.41666666666</v>
      </c>
      <c r="B577">
        <f>TEXT(A577,"yyyy-mm")</f>
        <v/>
      </c>
      <c r="C577" s="3">
        <f>HOUR(A577)</f>
        <v/>
      </c>
      <c r="D577" s="4" t="n">
        <v>22.04063176245</v>
      </c>
      <c r="E577" s="4" t="n">
        <v>23.79086164197222</v>
      </c>
      <c r="F577" s="4" t="n">
        <v>24.37161740272778</v>
      </c>
      <c r="G577" s="4" t="n">
        <v>7.6</v>
      </c>
      <c r="H577" s="5" t="n">
        <v>43.06432490025555</v>
      </c>
      <c r="I577" s="5" t="n">
        <v>38.72606260420556</v>
      </c>
      <c r="J577" s="5" t="n">
        <v>43.47838217166666</v>
      </c>
      <c r="K577" s="5" t="n">
        <v>74</v>
      </c>
    </row>
    <row r="578">
      <c r="A578" s="2" t="n">
        <v>46121.45833333334</v>
      </c>
      <c r="B578">
        <f>TEXT(A578,"yyyy-mm")</f>
        <v/>
      </c>
      <c r="C578" s="3">
        <f>HOUR(A578)</f>
        <v/>
      </c>
      <c r="D578" s="4" t="n">
        <v>22.78728789636111</v>
      </c>
      <c r="E578" s="4" t="n">
        <v>24.52810739704723</v>
      </c>
      <c r="F578" s="4" t="n">
        <v>24.38851278486666</v>
      </c>
      <c r="G578" s="4" t="n">
        <v>9</v>
      </c>
      <c r="H578" s="5" t="n">
        <v>44.39142840975277</v>
      </c>
      <c r="I578" s="5" t="n">
        <v>42.95649603672499</v>
      </c>
      <c r="J578" s="5" t="n">
        <v>43.38055377272499</v>
      </c>
      <c r="K578" s="5" t="n">
        <v>64</v>
      </c>
    </row>
    <row r="579">
      <c r="A579" s="2" t="n">
        <v>46121.5</v>
      </c>
      <c r="B579">
        <f>TEXT(A579,"yyyy-mm")</f>
        <v/>
      </c>
      <c r="C579" s="3">
        <f>HOUR(A579)</f>
        <v/>
      </c>
      <c r="D579" s="4" t="n">
        <v>22.96255483011944</v>
      </c>
      <c r="E579" s="4" t="n">
        <v>24.61886255626111</v>
      </c>
      <c r="F579" s="4" t="n">
        <v>24.407623851075</v>
      </c>
      <c r="G579" s="4" t="n">
        <v>9.6</v>
      </c>
      <c r="H579" s="5" t="n">
        <v>44.97554042837501</v>
      </c>
      <c r="I579" s="5" t="n">
        <v>42.73607312936389</v>
      </c>
      <c r="J579" s="5" t="n">
        <v>43.34787811315556</v>
      </c>
      <c r="K579" s="5" t="n">
        <v>58</v>
      </c>
    </row>
    <row r="580">
      <c r="A580" s="2" t="n">
        <v>46121.54166666666</v>
      </c>
      <c r="B580">
        <f>TEXT(A580,"yyyy-mm")</f>
        <v/>
      </c>
      <c r="C580" s="3">
        <f>HOUR(A580)</f>
        <v/>
      </c>
      <c r="D580" s="4" t="n">
        <v>23.17722845136112</v>
      </c>
      <c r="E580" s="4" t="n">
        <v>24.73969623521111</v>
      </c>
      <c r="F580" s="4" t="n">
        <v>24.41605566003055</v>
      </c>
      <c r="G580" s="4" t="n">
        <v>9.4</v>
      </c>
      <c r="H580" s="5" t="n">
        <v>46.37434834516667</v>
      </c>
      <c r="I580" s="5" t="n">
        <v>43.66274207598334</v>
      </c>
      <c r="J580" s="5" t="n">
        <v>43.38474397783611</v>
      </c>
      <c r="K580" s="5" t="n">
        <v>53</v>
      </c>
    </row>
    <row r="581">
      <c r="A581" s="2" t="n">
        <v>46121.58333333334</v>
      </c>
      <c r="B581">
        <f>TEXT(A581,"yyyy-mm")</f>
        <v/>
      </c>
      <c r="C581" s="3">
        <f>HOUR(A581)</f>
        <v/>
      </c>
      <c r="D581" s="4" t="n">
        <v>23.236551486475</v>
      </c>
      <c r="E581" s="4" t="n">
        <v>24.71417058361111</v>
      </c>
      <c r="F581" s="4" t="n">
        <v>24.39940383210556</v>
      </c>
      <c r="G581" s="4" t="n">
        <v>7.8</v>
      </c>
      <c r="H581" s="5" t="n">
        <v>45.58301656530555</v>
      </c>
      <c r="I581" s="5" t="n">
        <v>43.83156538085</v>
      </c>
      <c r="J581" s="5" t="n">
        <v>43.31424599521111</v>
      </c>
      <c r="K581" s="5" t="n">
        <v>64</v>
      </c>
    </row>
    <row r="582">
      <c r="A582" s="2" t="n">
        <v>46121.625</v>
      </c>
      <c r="B582">
        <f>TEXT(A582,"yyyy-mm")</f>
        <v/>
      </c>
      <c r="C582" s="3">
        <f>HOUR(A582)</f>
        <v/>
      </c>
      <c r="D582" s="4" t="n">
        <v>23.03678050106667</v>
      </c>
      <c r="E582" s="4" t="n">
        <v>24.63109112889167</v>
      </c>
      <c r="F582" s="4" t="n">
        <v>24.37235629922777</v>
      </c>
      <c r="G582" s="4" t="n">
        <v>7.1</v>
      </c>
      <c r="H582" s="5" t="n">
        <v>45.03376297233888</v>
      </c>
      <c r="I582" s="5" t="n">
        <v>42.60353017238889</v>
      </c>
      <c r="J582" s="5" t="n">
        <v>43.20942368243889</v>
      </c>
      <c r="K582" s="5" t="n">
        <v>70</v>
      </c>
    </row>
    <row r="583">
      <c r="A583" s="2" t="n">
        <v>46121.66666666666</v>
      </c>
      <c r="B583">
        <f>TEXT(A583,"yyyy-mm")</f>
        <v/>
      </c>
      <c r="C583" s="3">
        <f>HOUR(A583)</f>
        <v/>
      </c>
      <c r="D583" s="4" t="n">
        <v>22.70691400426111</v>
      </c>
      <c r="E583" s="4" t="n">
        <v>24.37586936460277</v>
      </c>
      <c r="F583" s="4" t="n">
        <v>24.36137421041945</v>
      </c>
      <c r="G583" s="4" t="n">
        <v>7.4</v>
      </c>
      <c r="H583" s="5" t="n">
        <v>44.36970687260556</v>
      </c>
      <c r="I583" s="5" t="n">
        <v>41.324154494375</v>
      </c>
      <c r="J583" s="5" t="n">
        <v>43.21573691546112</v>
      </c>
      <c r="K583" s="5" t="n">
        <v>69</v>
      </c>
    </row>
    <row r="584">
      <c r="A584" s="2" t="n">
        <v>46121.70833333334</v>
      </c>
      <c r="B584">
        <f>TEXT(A584,"yyyy-mm")</f>
        <v/>
      </c>
      <c r="C584" s="3">
        <f>HOUR(A584)</f>
        <v/>
      </c>
      <c r="D584" s="4" t="n">
        <v>22.75524235018333</v>
      </c>
      <c r="E584" s="4" t="n">
        <v>24.67556389660833</v>
      </c>
      <c r="F584" s="4" t="n">
        <v>24.37397868781666</v>
      </c>
      <c r="G584" s="4" t="n">
        <v>6.8</v>
      </c>
      <c r="H584" s="5" t="n">
        <v>49.05876213763056</v>
      </c>
      <c r="I584" s="5" t="n">
        <v>46.35655547117222</v>
      </c>
      <c r="J584" s="5" t="n">
        <v>43.10239188962501</v>
      </c>
      <c r="K584" s="5" t="n">
        <v>75</v>
      </c>
    </row>
    <row r="585">
      <c r="A585" s="2" t="n">
        <v>46121.75</v>
      </c>
      <c r="B585">
        <f>TEXT(A585,"yyyy-mm")</f>
        <v/>
      </c>
      <c r="C585" s="3">
        <f>HOUR(A585)</f>
        <v/>
      </c>
      <c r="D585" s="4" t="n">
        <v>22.53640174957778</v>
      </c>
      <c r="E585" s="4" t="n">
        <v>24.61395133668889</v>
      </c>
      <c r="F585" s="4" t="n">
        <v>24.37792338547777</v>
      </c>
      <c r="G585" s="4" t="n">
        <v>7.3</v>
      </c>
      <c r="H585" s="5" t="n">
        <v>49.75758522465</v>
      </c>
      <c r="I585" s="5" t="n">
        <v>45.28422863266389</v>
      </c>
      <c r="J585" s="5" t="n">
        <v>42.99154651470555</v>
      </c>
      <c r="K585" s="5" t="n">
        <v>73</v>
      </c>
    </row>
    <row r="586">
      <c r="A586" s="2" t="n">
        <v>46121.79166666666</v>
      </c>
      <c r="B586">
        <f>TEXT(A586,"yyyy-mm")</f>
        <v/>
      </c>
      <c r="C586" s="3">
        <f>HOUR(A586)</f>
        <v/>
      </c>
      <c r="D586" s="4" t="n">
        <v>22.31025783586666</v>
      </c>
      <c r="E586" s="4" t="n">
        <v>24.36998930214722</v>
      </c>
      <c r="F586" s="4" t="n">
        <v>24.37510344189722</v>
      </c>
      <c r="G586" s="4" t="n">
        <v>7</v>
      </c>
      <c r="H586" s="5" t="n">
        <v>49.00902724432778</v>
      </c>
      <c r="I586" s="5" t="n">
        <v>42.26509766364167</v>
      </c>
      <c r="J586" s="5" t="n">
        <v>43.01518667041666</v>
      </c>
      <c r="K586" s="5" t="n">
        <v>67</v>
      </c>
    </row>
    <row r="587">
      <c r="A587" s="2" t="n">
        <v>46121.83333333334</v>
      </c>
      <c r="B587">
        <f>TEXT(A587,"yyyy-mm")</f>
        <v/>
      </c>
      <c r="C587" s="3">
        <f>HOUR(A587)</f>
        <v/>
      </c>
      <c r="D587" s="4" t="n">
        <v>22.21944467473333</v>
      </c>
      <c r="E587" s="4" t="n">
        <v>24.21554573950278</v>
      </c>
      <c r="F587" s="4" t="n">
        <v>24.35898663109722</v>
      </c>
      <c r="G587" s="4" t="n">
        <v>6.2</v>
      </c>
      <c r="H587" s="5" t="n">
        <v>48.46063530936389</v>
      </c>
      <c r="I587" s="5" t="n">
        <v>41.96726784271944</v>
      </c>
      <c r="J587" s="5" t="n">
        <v>43.03606896130833</v>
      </c>
      <c r="K587" s="5" t="n">
        <v>67</v>
      </c>
    </row>
    <row r="588">
      <c r="A588" s="2" t="n">
        <v>46121.875</v>
      </c>
      <c r="B588">
        <f>TEXT(A588,"yyyy-mm")</f>
        <v/>
      </c>
      <c r="C588" s="3">
        <f>HOUR(A588)</f>
        <v/>
      </c>
      <c r="D588" s="4" t="n">
        <v>22.27173248637777</v>
      </c>
      <c r="E588" s="4" t="n">
        <v>24.23808277091389</v>
      </c>
      <c r="F588" s="4" t="n">
        <v>24.35412542778056</v>
      </c>
      <c r="G588" s="4" t="n">
        <v>4.8</v>
      </c>
      <c r="H588" s="5" t="n">
        <v>49.36178694015</v>
      </c>
      <c r="I588" s="5" t="n">
        <v>43.23260625063889</v>
      </c>
      <c r="J588" s="5" t="n">
        <v>43.02677783019445</v>
      </c>
      <c r="K588" s="5" t="n">
        <v>79</v>
      </c>
    </row>
    <row r="589">
      <c r="A589" s="2" t="n">
        <v>46121.91666666666</v>
      </c>
      <c r="B589">
        <f>TEXT(A589,"yyyy-mm")</f>
        <v/>
      </c>
      <c r="C589" s="3">
        <f>HOUR(A589)</f>
        <v/>
      </c>
      <c r="D589" s="4" t="n">
        <v>22.69530803477222</v>
      </c>
      <c r="E589" s="4" t="n">
        <v>24.53521476245556</v>
      </c>
      <c r="F589" s="4" t="n">
        <v>24.34449986993056</v>
      </c>
      <c r="G589" s="4" t="n">
        <v>4.4</v>
      </c>
      <c r="H589" s="5" t="n">
        <v>46.25610553926666</v>
      </c>
      <c r="I589" s="5" t="n">
        <v>42.40569911389166</v>
      </c>
      <c r="J589" s="5" t="n">
        <v>43.06331136620833</v>
      </c>
      <c r="K589" s="5" t="n">
        <v>84</v>
      </c>
    </row>
    <row r="590">
      <c r="A590" s="2" t="n">
        <v>46121.95833333334</v>
      </c>
      <c r="B590">
        <f>TEXT(A590,"yyyy-mm")</f>
        <v/>
      </c>
      <c r="C590" s="3">
        <f>HOUR(A590)</f>
        <v/>
      </c>
      <c r="D590" s="4" t="n">
        <v>22.51942093987778</v>
      </c>
      <c r="E590" s="4" t="n">
        <v>24.43592088684167</v>
      </c>
      <c r="F590" s="4" t="n">
        <v>24.33529882683333</v>
      </c>
      <c r="G590" s="4" t="n">
        <v>3.8</v>
      </c>
      <c r="H590" s="5" t="n">
        <v>45.00269056496944</v>
      </c>
      <c r="I590" s="5" t="n">
        <v>41.49317440009722</v>
      </c>
      <c r="J590" s="5" t="n">
        <v>42.97602249019445</v>
      </c>
      <c r="K590" s="5" t="n">
        <v>89</v>
      </c>
    </row>
    <row r="591">
      <c r="A591" s="2" t="n">
        <v>46122</v>
      </c>
      <c r="B591">
        <f>TEXT(A591,"yyyy-mm")</f>
        <v/>
      </c>
      <c r="C591" s="3">
        <f>HOUR(A591)</f>
        <v/>
      </c>
      <c r="D591" s="4" t="n">
        <v>22.47752707195277</v>
      </c>
      <c r="E591" s="4" t="n">
        <v>24.41868764301944</v>
      </c>
      <c r="F591" s="4" t="n">
        <v>24.31477832333333</v>
      </c>
      <c r="G591" s="4" t="n">
        <v>3.5</v>
      </c>
      <c r="H591" s="5" t="n">
        <v>44.72412682717222</v>
      </c>
      <c r="I591" s="5" t="n">
        <v>41.38681097629167</v>
      </c>
      <c r="J591" s="5" t="n">
        <v>43.03011737809722</v>
      </c>
      <c r="K591" s="5" t="n">
        <v>92</v>
      </c>
    </row>
    <row r="592">
      <c r="A592" s="2" t="n">
        <v>46122.04166666666</v>
      </c>
      <c r="B592">
        <f>TEXT(A592,"yyyy-mm")</f>
        <v/>
      </c>
      <c r="C592" s="3">
        <f>HOUR(A592)</f>
        <v/>
      </c>
      <c r="D592" s="4" t="n">
        <v>22.48791690147221</v>
      </c>
      <c r="E592" s="4" t="n">
        <v>24.41070932339722</v>
      </c>
      <c r="F592" s="4" t="n">
        <v>24.29647834383611</v>
      </c>
      <c r="G592" s="4" t="n">
        <v>3.2</v>
      </c>
      <c r="H592" s="5" t="n">
        <v>44.36961141746945</v>
      </c>
      <c r="I592" s="5" t="n">
        <v>40.83937731893889</v>
      </c>
      <c r="J592" s="5" t="n">
        <v>43.55048151333333</v>
      </c>
      <c r="K592" s="5" t="n">
        <v>92</v>
      </c>
    </row>
    <row r="593">
      <c r="A593" s="2" t="n">
        <v>46122.08333333334</v>
      </c>
      <c r="B593">
        <f>TEXT(A593,"yyyy-mm")</f>
        <v/>
      </c>
      <c r="C593" s="3">
        <f>HOUR(A593)</f>
        <v/>
      </c>
      <c r="D593" s="4" t="n">
        <v>22.24090489726389</v>
      </c>
      <c r="E593" s="4" t="n">
        <v>24.32243291941944</v>
      </c>
      <c r="F593" s="4" t="n">
        <v>24.33227107294723</v>
      </c>
      <c r="G593" s="4" t="n">
        <v>2.8</v>
      </c>
      <c r="H593" s="5" t="n">
        <v>43.49701948766667</v>
      </c>
      <c r="I593" s="5" t="n">
        <v>38.83114924348334</v>
      </c>
      <c r="J593" s="5" t="n">
        <v>45.43158561263889</v>
      </c>
      <c r="K593" s="5" t="n">
        <v>93</v>
      </c>
    </row>
    <row r="594">
      <c r="A594" s="2" t="n">
        <v>46122.125</v>
      </c>
      <c r="B594">
        <f>TEXT(A594,"yyyy-mm")</f>
        <v/>
      </c>
      <c r="C594" s="3">
        <f>HOUR(A594)</f>
        <v/>
      </c>
      <c r="D594" s="4" t="n">
        <v>21.83285249991111</v>
      </c>
      <c r="E594" s="4" t="n">
        <v>23.8336131529</v>
      </c>
      <c r="F594" s="4" t="n">
        <v>24.38095125346389</v>
      </c>
      <c r="G594" s="4" t="n">
        <v>2.3</v>
      </c>
      <c r="H594" s="5" t="n">
        <v>44.44273231895</v>
      </c>
      <c r="I594" s="5" t="n">
        <v>39.28311930509722</v>
      </c>
      <c r="J594" s="5" t="n">
        <v>44.23827209760278</v>
      </c>
      <c r="K594" s="5" t="n">
        <v>93</v>
      </c>
    </row>
    <row r="595">
      <c r="A595" s="2" t="n">
        <v>46122.16666666666</v>
      </c>
      <c r="B595">
        <f>TEXT(A595,"yyyy-mm")</f>
        <v/>
      </c>
      <c r="C595" s="3">
        <f>HOUR(A595)</f>
        <v/>
      </c>
      <c r="D595" s="4" t="n">
        <v>21.61959378871945</v>
      </c>
      <c r="E595" s="4" t="n">
        <v>23.53229798212778</v>
      </c>
      <c r="F595" s="4" t="n">
        <v>24.37170987821667</v>
      </c>
      <c r="G595" s="4" t="n">
        <v>1.9</v>
      </c>
      <c r="H595" s="5" t="n">
        <v>44.690893251475</v>
      </c>
      <c r="I595" s="5" t="n">
        <v>39.41703286679999</v>
      </c>
      <c r="J595" s="5" t="n">
        <v>43.81378193260556</v>
      </c>
      <c r="K595" s="5" t="n">
        <v>93</v>
      </c>
    </row>
    <row r="596">
      <c r="A596" s="2" t="n">
        <v>46122.20833333334</v>
      </c>
      <c r="B596">
        <f>TEXT(A596,"yyyy-mm")</f>
        <v/>
      </c>
      <c r="C596" s="3">
        <f>HOUR(A596)</f>
        <v/>
      </c>
      <c r="D596" s="4" t="n">
        <v>21.46400652033889</v>
      </c>
      <c r="E596" s="4" t="n">
        <v>23.34807042726111</v>
      </c>
      <c r="F596" s="4" t="n">
        <v>24.32628445992222</v>
      </c>
      <c r="G596" s="4" t="n">
        <v>1.4</v>
      </c>
      <c r="H596" s="5" t="n">
        <v>44.75824507441945</v>
      </c>
      <c r="I596" s="5" t="n">
        <v>39.37475501175555</v>
      </c>
      <c r="J596" s="5" t="n">
        <v>43.61692239284722</v>
      </c>
      <c r="K596" s="5" t="n">
        <v>96</v>
      </c>
    </row>
    <row r="597">
      <c r="A597" s="2" t="n">
        <v>46122.25</v>
      </c>
      <c r="B597">
        <f>TEXT(A597,"yyyy-mm")</f>
        <v/>
      </c>
      <c r="C597" s="3">
        <f>HOUR(A597)</f>
        <v/>
      </c>
      <c r="D597" s="4" t="n">
        <v>21.34596156870278</v>
      </c>
      <c r="E597" s="4" t="n">
        <v>23.219720925425</v>
      </c>
      <c r="F597" s="4" t="n">
        <v>24.25320098980556</v>
      </c>
      <c r="G597" s="4" t="n">
        <v>1.2</v>
      </c>
      <c r="H597" s="5" t="n">
        <v>44.71797705995</v>
      </c>
      <c r="I597" s="5" t="n">
        <v>39.16196127622778</v>
      </c>
      <c r="J597" s="5" t="n">
        <v>43.41716563324167</v>
      </c>
      <c r="K597" s="5" t="n">
        <v>95</v>
      </c>
    </row>
    <row r="598">
      <c r="A598" s="2" t="n">
        <v>46122.29166666666</v>
      </c>
      <c r="B598">
        <f>TEXT(A598,"yyyy-mm")</f>
        <v/>
      </c>
      <c r="C598" s="3">
        <f>HOUR(A598)</f>
        <v/>
      </c>
      <c r="D598" s="4" t="n">
        <v>21.27877899780556</v>
      </c>
      <c r="E598" s="4" t="n">
        <v>23.05700062295</v>
      </c>
      <c r="F598" s="4" t="n">
        <v>24.20395113578056</v>
      </c>
      <c r="G598" s="4" t="n">
        <v>1.1</v>
      </c>
      <c r="H598" s="5" t="n">
        <v>44.4887221949</v>
      </c>
      <c r="I598" s="5" t="n">
        <v>38.9762759187</v>
      </c>
      <c r="J598" s="5" t="n">
        <v>43.27478355353889</v>
      </c>
      <c r="K598" s="5" t="n">
        <v>94</v>
      </c>
    </row>
    <row r="599">
      <c r="A599" s="2" t="n">
        <v>46122.33333333334</v>
      </c>
      <c r="B599">
        <f>TEXT(A599,"yyyy-mm")</f>
        <v/>
      </c>
      <c r="C599" s="3">
        <f>HOUR(A599)</f>
        <v/>
      </c>
      <c r="D599" s="4" t="n">
        <v>21.23044540673611</v>
      </c>
      <c r="E599" s="4" t="n">
        <v>23.10146882544445</v>
      </c>
      <c r="F599" s="4" t="n">
        <v>24.17009699595556</v>
      </c>
      <c r="G599" s="4" t="n">
        <v>1.2</v>
      </c>
      <c r="H599" s="5" t="n">
        <v>44.21453451020556</v>
      </c>
      <c r="I599" s="5" t="n">
        <v>38.525211111125</v>
      </c>
      <c r="J599" s="5" t="n">
        <v>43.18609085059722</v>
      </c>
      <c r="K599" s="5" t="n">
        <v>92</v>
      </c>
    </row>
    <row r="600">
      <c r="A600" s="2" t="n">
        <v>46122.375</v>
      </c>
      <c r="B600">
        <f>TEXT(A600,"yyyy-mm")</f>
        <v/>
      </c>
      <c r="C600" s="3">
        <f>HOUR(A600)</f>
        <v/>
      </c>
      <c r="D600" s="4" t="n">
        <v>21.22813805958611</v>
      </c>
      <c r="E600" s="4" t="n">
        <v>22.982666907475</v>
      </c>
      <c r="F600" s="4" t="n">
        <v>24.13885350761112</v>
      </c>
      <c r="G600" s="4" t="n">
        <v>1.5</v>
      </c>
      <c r="H600" s="5" t="n">
        <v>43.85182609379999</v>
      </c>
      <c r="I600" s="5" t="n">
        <v>38.58242400766389</v>
      </c>
      <c r="J600" s="5" t="n">
        <v>43.51060951002778</v>
      </c>
      <c r="K600" s="5" t="n">
        <v>94</v>
      </c>
    </row>
    <row r="601">
      <c r="A601" s="2" t="n">
        <v>46122.41666666666</v>
      </c>
      <c r="B601">
        <f>TEXT(A601,"yyyy-mm")</f>
        <v/>
      </c>
      <c r="C601" s="3">
        <f>HOUR(A601)</f>
        <v/>
      </c>
      <c r="D601" s="4" t="n">
        <v>21.39814000382778</v>
      </c>
      <c r="E601" s="4" t="n">
        <v>23.52275250003056</v>
      </c>
      <c r="F601" s="4" t="n">
        <v>24.12533321026111</v>
      </c>
      <c r="G601" s="4" t="n">
        <v>1.8</v>
      </c>
      <c r="H601" s="5" t="n">
        <v>43.83161070356945</v>
      </c>
      <c r="I601" s="5" t="n">
        <v>40.41859830564167</v>
      </c>
      <c r="J601" s="5" t="n">
        <v>44.11997162483056</v>
      </c>
      <c r="K601" s="5" t="n">
        <v>93</v>
      </c>
    </row>
    <row r="602">
      <c r="A602" s="2" t="n">
        <v>46122.45833333334</v>
      </c>
      <c r="B602">
        <f>TEXT(A602,"yyyy-mm")</f>
        <v/>
      </c>
      <c r="C602" s="3">
        <f>HOUR(A602)</f>
        <v/>
      </c>
      <c r="D602" s="4" t="n">
        <v>21.81145109440556</v>
      </c>
      <c r="E602" s="4" t="n">
        <v>23.65801956567778</v>
      </c>
      <c r="F602" s="4" t="n">
        <v>24.10329835863056</v>
      </c>
      <c r="G602" s="4" t="n">
        <v>2</v>
      </c>
      <c r="H602" s="5" t="n">
        <v>45.07524839771389</v>
      </c>
      <c r="I602" s="5" t="n">
        <v>40.19741361058612</v>
      </c>
      <c r="J602" s="5" t="n">
        <v>43.36954293981945</v>
      </c>
      <c r="K602" s="5" t="n">
        <v>90</v>
      </c>
    </row>
    <row r="603">
      <c r="A603" s="2" t="n">
        <v>46122.5</v>
      </c>
      <c r="B603">
        <f>TEXT(A603,"yyyy-mm")</f>
        <v/>
      </c>
      <c r="C603" s="3">
        <f>HOUR(A603)</f>
        <v/>
      </c>
      <c r="D603" s="4" t="n">
        <v>22.11877751210278</v>
      </c>
      <c r="E603" s="4" t="n">
        <v>23.640858038025</v>
      </c>
      <c r="F603" s="4" t="n">
        <v>24.08514981245278</v>
      </c>
      <c r="G603" s="4" t="n">
        <v>2</v>
      </c>
      <c r="H603" s="5" t="n">
        <v>43.75048496426667</v>
      </c>
      <c r="I603" s="5" t="n">
        <v>39.14952694125278</v>
      </c>
      <c r="J603" s="5" t="n">
        <v>43.26513230249166</v>
      </c>
      <c r="K603" s="5" t="n">
        <v>91</v>
      </c>
    </row>
    <row r="604">
      <c r="A604" s="2" t="n">
        <v>46122.54166666666</v>
      </c>
      <c r="B604">
        <f>TEXT(A604,"yyyy-mm")</f>
        <v/>
      </c>
      <c r="C604" s="3">
        <f>HOUR(A604)</f>
        <v/>
      </c>
      <c r="D604" s="4" t="n">
        <v>22.20675672619445</v>
      </c>
      <c r="E604" s="4" t="n">
        <v>23.7510301086842</v>
      </c>
      <c r="F604" s="4" t="n">
        <v>24.04636277290278</v>
      </c>
      <c r="G604" s="4" t="n">
        <v>1.7</v>
      </c>
      <c r="H604" s="5" t="n">
        <v>41.34725215861945</v>
      </c>
      <c r="I604" s="5" t="n">
        <v>38.80390018859629</v>
      </c>
      <c r="J604" s="5" t="n">
        <v>47.01508448291111</v>
      </c>
      <c r="K604" s="5" t="n">
        <v>96</v>
      </c>
    </row>
    <row r="605">
      <c r="A605" s="2" t="n">
        <v>46122.58333333334</v>
      </c>
      <c r="B605">
        <f>TEXT(A605,"yyyy-mm")</f>
        <v/>
      </c>
      <c r="C605" s="3">
        <f>HOUR(A605)</f>
        <v/>
      </c>
      <c r="D605" s="4" t="n">
        <v>22.48878861511389</v>
      </c>
      <c r="E605" s="4" t="n">
        <v>24.18397941967222</v>
      </c>
      <c r="F605" s="4" t="n">
        <v>23.95744009865556</v>
      </c>
      <c r="G605" s="4" t="n">
        <v>2</v>
      </c>
      <c r="H605" s="5" t="n">
        <v>40.99601064015555</v>
      </c>
      <c r="I605" s="5" t="n">
        <v>37.98545849536666</v>
      </c>
      <c r="J605" s="5" t="n">
        <v>49.38608963952777</v>
      </c>
      <c r="K605" s="5" t="n">
        <v>94</v>
      </c>
    </row>
    <row r="606">
      <c r="A606" s="2" t="n">
        <v>46122.625</v>
      </c>
      <c r="B606">
        <f>TEXT(A606,"yyyy-mm")</f>
        <v/>
      </c>
      <c r="C606" s="3">
        <f>HOUR(A606)</f>
        <v/>
      </c>
      <c r="D606" s="4" t="n">
        <v>22.62427852488889</v>
      </c>
      <c r="E606" s="4" t="n">
        <v>24.10658270543611</v>
      </c>
      <c r="F606" s="4" t="n">
        <v>23.77282157569445</v>
      </c>
      <c r="G606" s="4" t="n">
        <v>2.4</v>
      </c>
      <c r="H606" s="5" t="n">
        <v>39.64148599455277</v>
      </c>
      <c r="I606" s="5" t="n">
        <v>37.13214107282778</v>
      </c>
      <c r="J606" s="5" t="n">
        <v>49.68580380622777</v>
      </c>
      <c r="K606" s="5" t="n">
        <v>99</v>
      </c>
    </row>
    <row r="607">
      <c r="A607" s="2" t="n">
        <v>46122.66666666666</v>
      </c>
      <c r="B607">
        <f>TEXT(A607,"yyyy-mm")</f>
        <v/>
      </c>
      <c r="C607" s="3">
        <f>HOUR(A607)</f>
        <v/>
      </c>
      <c r="D607" s="4" t="n">
        <v>22.48724728731111</v>
      </c>
      <c r="E607" s="4" t="n">
        <v>23.85815287635</v>
      </c>
      <c r="F607" s="4" t="n">
        <v>23.68277525276389</v>
      </c>
      <c r="G607" s="4" t="n">
        <v>2.5</v>
      </c>
      <c r="H607" s="5" t="n">
        <v>39.56716000148889</v>
      </c>
      <c r="I607" s="5" t="n">
        <v>37.17242874120834</v>
      </c>
      <c r="J607" s="5" t="n">
        <v>49.13892056664722</v>
      </c>
      <c r="K607" s="5" t="n">
        <v>95</v>
      </c>
    </row>
    <row r="608">
      <c r="A608" s="2" t="n">
        <v>46122.70833333334</v>
      </c>
      <c r="B608">
        <f>TEXT(A608,"yyyy-mm")</f>
        <v/>
      </c>
      <c r="C608" s="3">
        <f>HOUR(A608)</f>
        <v/>
      </c>
      <c r="D608" s="4" t="n">
        <v>22.15985111092222</v>
      </c>
      <c r="E608" s="4" t="n">
        <v>23.518090496825</v>
      </c>
      <c r="F608" s="4" t="n">
        <v>23.874203131</v>
      </c>
      <c r="G608" s="4" t="n">
        <v>2.6</v>
      </c>
      <c r="H608" s="5" t="n">
        <v>39.62144878947501</v>
      </c>
      <c r="I608" s="5" t="n">
        <v>37.50657341947222</v>
      </c>
      <c r="J608" s="5" t="n">
        <v>46.25329029937223</v>
      </c>
      <c r="K608" s="5" t="n">
        <v>93</v>
      </c>
    </row>
    <row r="609">
      <c r="A609" s="2" t="n">
        <v>46122.75</v>
      </c>
      <c r="B609">
        <f>TEXT(A609,"yyyy-mm")</f>
        <v/>
      </c>
      <c r="C609" s="3">
        <f>HOUR(A609)</f>
        <v/>
      </c>
      <c r="D609" s="4" t="n">
        <v>21.95303416253056</v>
      </c>
      <c r="E609" s="4" t="n">
        <v>23.60879157049444</v>
      </c>
      <c r="F609" s="4" t="n">
        <v>23.93478816064167</v>
      </c>
      <c r="G609" s="4" t="n">
        <v>2.3</v>
      </c>
      <c r="H609" s="5" t="n">
        <v>40.53875581083334</v>
      </c>
      <c r="I609" s="5" t="n">
        <v>39.094317917475</v>
      </c>
      <c r="J609" s="5" t="n">
        <v>44.99985015706389</v>
      </c>
      <c r="K609" s="5" t="n">
        <v>93</v>
      </c>
    </row>
    <row r="610">
      <c r="A610" s="2" t="n">
        <v>46122.79166666666</v>
      </c>
      <c r="B610">
        <f>TEXT(A610,"yyyy-mm")</f>
        <v/>
      </c>
      <c r="C610" s="3">
        <f>HOUR(A610)</f>
        <v/>
      </c>
      <c r="D610" s="4" t="n">
        <v>22.073353252775</v>
      </c>
      <c r="E610" s="4" t="n">
        <v>23.99944122599167</v>
      </c>
      <c r="F610" s="4" t="n">
        <v>23.96349366092777</v>
      </c>
      <c r="G610" s="4" t="n">
        <v>1.8</v>
      </c>
      <c r="H610" s="5" t="n">
        <v>41.65163971998611</v>
      </c>
      <c r="I610" s="5" t="n">
        <v>39.18325444978333</v>
      </c>
      <c r="J610" s="5" t="n">
        <v>44.43281053611389</v>
      </c>
      <c r="K610" s="5" t="n">
        <v>97</v>
      </c>
    </row>
    <row r="611">
      <c r="A611" s="2" t="n">
        <v>46122.83333333334</v>
      </c>
      <c r="B611">
        <f>TEXT(A611,"yyyy-mm")</f>
        <v/>
      </c>
      <c r="C611" s="3">
        <f>HOUR(A611)</f>
        <v/>
      </c>
      <c r="D611" s="4" t="n">
        <v>22.46180638846944</v>
      </c>
      <c r="E611" s="4" t="n">
        <v>24.73584256273056</v>
      </c>
      <c r="F611" s="4" t="n">
        <v>23.8357559867</v>
      </c>
      <c r="G611" s="4" t="n">
        <v>1.6</v>
      </c>
      <c r="H611" s="5" t="n">
        <v>40.86093698680833</v>
      </c>
      <c r="I611" s="5" t="n">
        <v>37.53147278804166</v>
      </c>
      <c r="J611" s="5" t="n">
        <v>50.40362786488056</v>
      </c>
      <c r="K611" s="5" t="n">
        <v>99</v>
      </c>
    </row>
    <row r="612">
      <c r="A612" s="2" t="n">
        <v>46122.875</v>
      </c>
      <c r="B612">
        <f>TEXT(A612,"yyyy-mm")</f>
        <v/>
      </c>
      <c r="C612" s="3">
        <f>HOUR(A612)</f>
        <v/>
      </c>
      <c r="D612" s="4" t="n">
        <v>22.60967832846945</v>
      </c>
      <c r="E612" s="4" t="n">
        <v>24.93774639097222</v>
      </c>
      <c r="F612" s="4" t="n">
        <v>23.76910096527778</v>
      </c>
      <c r="G612" s="4" t="n">
        <v>1.8</v>
      </c>
      <c r="H612" s="5" t="n">
        <v>40.5896641977611</v>
      </c>
      <c r="I612" s="5" t="n">
        <v>37.25270449387222</v>
      </c>
      <c r="J612" s="5" t="n">
        <v>50.907080913975</v>
      </c>
      <c r="K612" s="5" t="n">
        <v>98</v>
      </c>
    </row>
    <row r="613">
      <c r="A613" s="2" t="n">
        <v>46122.91666666666</v>
      </c>
      <c r="B613">
        <f>TEXT(A613,"yyyy-mm")</f>
        <v/>
      </c>
      <c r="C613" s="3">
        <f>HOUR(A613)</f>
        <v/>
      </c>
      <c r="D613" s="4" t="n">
        <v>22.70479240228889</v>
      </c>
      <c r="E613" s="4" t="n">
        <v>24.78725017099723</v>
      </c>
      <c r="F613" s="4" t="n">
        <v>23.75650420696389</v>
      </c>
      <c r="G613" s="4" t="n">
        <v>1</v>
      </c>
      <c r="H613" s="5" t="n">
        <v>41.62342296348611</v>
      </c>
      <c r="I613" s="5" t="n">
        <v>38.19574994671111</v>
      </c>
      <c r="J613" s="5" t="n">
        <v>51.19277911464722</v>
      </c>
      <c r="K613" s="5" t="n">
        <v>99</v>
      </c>
    </row>
    <row r="614">
      <c r="A614" s="2" t="n">
        <v>46122.95833333334</v>
      </c>
      <c r="B614">
        <f>TEXT(A614,"yyyy-mm")</f>
        <v/>
      </c>
      <c r="C614" s="3">
        <f>HOUR(A614)</f>
        <v/>
      </c>
      <c r="D614" s="4" t="n">
        <v>22.60985066603611</v>
      </c>
      <c r="E614" s="4" t="n">
        <v>24.33923376781389</v>
      </c>
      <c r="F614" s="4" t="n">
        <v>23.63960362588611</v>
      </c>
      <c r="G614" s="4" t="n">
        <v>1.2</v>
      </c>
      <c r="H614" s="5" t="n">
        <v>43.63779690594445</v>
      </c>
      <c r="I614" s="5" t="n">
        <v>41.42833101451944</v>
      </c>
      <c r="J614" s="5" t="n">
        <v>53.79167365156945</v>
      </c>
      <c r="K614" s="5" t="n">
        <v>99</v>
      </c>
    </row>
    <row r="615">
      <c r="A615" s="2" t="n">
        <v>46123</v>
      </c>
      <c r="B615">
        <f>TEXT(A615,"yyyy-mm")</f>
        <v/>
      </c>
      <c r="C615" s="3">
        <f>HOUR(A615)</f>
        <v/>
      </c>
      <c r="D615" s="4" t="n">
        <v>22.28695451898055</v>
      </c>
      <c r="E615" s="4" t="n">
        <v>24.20404887384722</v>
      </c>
      <c r="F615" s="4" t="n">
        <v>23.45923459242222</v>
      </c>
      <c r="G615" s="4" t="n">
        <v>1.3</v>
      </c>
      <c r="H615" s="5" t="n">
        <v>47.00056371761389</v>
      </c>
      <c r="I615" s="5" t="n">
        <v>45.59351212164722</v>
      </c>
      <c r="J615" s="5" t="n">
        <v>58.90639982404166</v>
      </c>
      <c r="K615" s="5" t="n">
        <v>99</v>
      </c>
    </row>
    <row r="616">
      <c r="A616" s="2" t="n">
        <v>46123.04166666666</v>
      </c>
      <c r="B616">
        <f>TEXT(A616,"yyyy-mm")</f>
        <v/>
      </c>
      <c r="C616" s="3">
        <f>HOUR(A616)</f>
        <v/>
      </c>
      <c r="D616" s="4" t="n">
        <v>22.02377020255278</v>
      </c>
      <c r="E616" s="4" t="n">
        <v>24.10960457178889</v>
      </c>
      <c r="F616" s="4" t="n">
        <v>23.29903545837222</v>
      </c>
      <c r="G616" s="4" t="n">
        <v>1.5</v>
      </c>
      <c r="H616" s="5" t="n">
        <v>51.34353081196667</v>
      </c>
      <c r="I616" s="5" t="n">
        <v>46.987886181325</v>
      </c>
      <c r="J616" s="5" t="n">
        <v>60.89270500889445</v>
      </c>
      <c r="K616" s="5" t="n">
        <v>99</v>
      </c>
    </row>
    <row r="617">
      <c r="A617" s="2" t="n">
        <v>46123.08333333334</v>
      </c>
      <c r="B617">
        <f>TEXT(A617,"yyyy-mm")</f>
        <v/>
      </c>
      <c r="C617" s="3">
        <f>HOUR(A617)</f>
        <v/>
      </c>
      <c r="D617" s="4" t="n">
        <v>21.68524390196944</v>
      </c>
      <c r="E617" s="4" t="n">
        <v>23.73494875316944</v>
      </c>
      <c r="F617" s="4" t="n">
        <v>23.56778472133333</v>
      </c>
      <c r="G617" s="4" t="n">
        <v>1.6</v>
      </c>
      <c r="H617" s="5" t="n">
        <v>54.26073672225277</v>
      </c>
      <c r="I617" s="5" t="n">
        <v>49.62918205814722</v>
      </c>
      <c r="J617" s="5" t="n">
        <v>52.26759169739167</v>
      </c>
      <c r="K617" s="5" t="n">
        <v>99</v>
      </c>
    </row>
    <row r="618">
      <c r="A618" s="2" t="n">
        <v>46123.125</v>
      </c>
      <c r="B618">
        <f>TEXT(A618,"yyyy-mm")</f>
        <v/>
      </c>
      <c r="C618" s="3">
        <f>HOUR(A618)</f>
        <v/>
      </c>
      <c r="D618" s="4" t="n">
        <v>21.28289349340277</v>
      </c>
      <c r="E618" s="4" t="n">
        <v>23.21119777196667</v>
      </c>
      <c r="F618" s="4" t="n">
        <v>23.63185041273333</v>
      </c>
      <c r="G618" s="4" t="n">
        <v>1.4</v>
      </c>
      <c r="H618" s="5" t="n">
        <v>54.38114383131112</v>
      </c>
      <c r="I618" s="5" t="n">
        <v>49.51248066316666</v>
      </c>
      <c r="J618" s="5" t="n">
        <v>48.78123374656667</v>
      </c>
      <c r="K618" s="5" t="n">
        <v>99</v>
      </c>
    </row>
    <row r="619">
      <c r="A619" s="2" t="n">
        <v>46123.16666666666</v>
      </c>
      <c r="B619">
        <f>TEXT(A619,"yyyy-mm")</f>
        <v/>
      </c>
      <c r="C619" s="3">
        <f>HOUR(A619)</f>
        <v/>
      </c>
      <c r="D619" s="4" t="n">
        <v>21.05740584954444</v>
      </c>
      <c r="E619" s="4" t="n">
        <v>22.84517455569167</v>
      </c>
      <c r="F619" s="4" t="n">
        <v>23.6426446369</v>
      </c>
      <c r="G619" s="4" t="n">
        <v>1</v>
      </c>
      <c r="H619" s="5" t="n">
        <v>54.67160194481111</v>
      </c>
      <c r="I619" s="5" t="n">
        <v>49.40622796023612</v>
      </c>
      <c r="J619" s="5" t="n">
        <v>47.38130777010556</v>
      </c>
      <c r="K619" s="5" t="n">
        <v>100</v>
      </c>
    </row>
    <row r="620">
      <c r="A620" s="2" t="n">
        <v>46123.20833333334</v>
      </c>
      <c r="B620">
        <f>TEXT(A620,"yyyy-mm")</f>
        <v/>
      </c>
      <c r="C620" s="3">
        <f>HOUR(A620)</f>
        <v/>
      </c>
      <c r="D620" s="4" t="n">
        <v>20.88362797599722</v>
      </c>
      <c r="E620" s="4" t="n">
        <v>22.58861431414167</v>
      </c>
      <c r="F620" s="4" t="n">
        <v>23.63856569457223</v>
      </c>
      <c r="G620" s="4" t="n">
        <v>0.8</v>
      </c>
      <c r="H620" s="5" t="n">
        <v>54.73667224497778</v>
      </c>
      <c r="I620" s="5" t="n">
        <v>49.265465844</v>
      </c>
      <c r="J620" s="5" t="n">
        <v>46.55217569304722</v>
      </c>
      <c r="K620" s="5" t="n">
        <v>100</v>
      </c>
    </row>
    <row r="621">
      <c r="A621" s="2" t="n">
        <v>46123.25</v>
      </c>
      <c r="B621">
        <f>TEXT(A621,"yyyy-mm")</f>
        <v/>
      </c>
      <c r="C621" s="3">
        <f>HOUR(A621)</f>
        <v/>
      </c>
      <c r="D621" s="4" t="n">
        <v>20.75903573384722</v>
      </c>
      <c r="E621" s="4" t="n">
        <v>22.50765392940556</v>
      </c>
      <c r="F621" s="4" t="n">
        <v>23.60907613391389</v>
      </c>
      <c r="G621" s="4" t="n">
        <v>0.8</v>
      </c>
      <c r="H621" s="5" t="n">
        <v>54.46788597089722</v>
      </c>
      <c r="I621" s="5" t="n">
        <v>48.76118042663889</v>
      </c>
      <c r="J621" s="5" t="n">
        <v>46.02047081939723</v>
      </c>
      <c r="K621" s="5" t="n">
        <v>100</v>
      </c>
    </row>
    <row r="622">
      <c r="A622" s="2" t="n">
        <v>46123.29166666666</v>
      </c>
      <c r="B622">
        <f>TEXT(A622,"yyyy-mm")</f>
        <v/>
      </c>
      <c r="C622" s="3">
        <f>HOUR(A622)</f>
        <v/>
      </c>
      <c r="D622" s="4" t="n">
        <v>20.72230555488056</v>
      </c>
      <c r="E622" s="4" t="n">
        <v>22.37950845526389</v>
      </c>
      <c r="F622" s="4" t="n">
        <v>23.56803261965556</v>
      </c>
      <c r="G622" s="4" t="n">
        <v>1.1</v>
      </c>
      <c r="H622" s="5" t="n">
        <v>54.00303971826111</v>
      </c>
      <c r="I622" s="5" t="n">
        <v>48.28780748128611</v>
      </c>
      <c r="J622" s="5" t="n">
        <v>45.59288571938333</v>
      </c>
      <c r="K622" s="5" t="n">
        <v>99</v>
      </c>
    </row>
    <row r="623">
      <c r="A623" s="2" t="n">
        <v>46123.33333333334</v>
      </c>
      <c r="B623">
        <f>TEXT(A623,"yyyy-mm")</f>
        <v/>
      </c>
      <c r="C623" s="3">
        <f>HOUR(A623)</f>
        <v/>
      </c>
      <c r="D623" s="4" t="n">
        <v>20.75153857391111</v>
      </c>
      <c r="E623" s="4" t="n">
        <v>22.30204272016667</v>
      </c>
      <c r="F623" s="4" t="n">
        <v>23.57386091945278</v>
      </c>
      <c r="G623" s="4" t="n">
        <v>1.9</v>
      </c>
      <c r="H623" s="5" t="n">
        <v>53.393975047175</v>
      </c>
      <c r="I623" s="5" t="n">
        <v>47.79801019435556</v>
      </c>
      <c r="J623" s="5" t="n">
        <v>45.23561740305556</v>
      </c>
      <c r="K623" s="5" t="n">
        <v>95</v>
      </c>
    </row>
    <row r="624">
      <c r="A624" s="2" t="n">
        <v>46123.375</v>
      </c>
      <c r="B624">
        <f>TEXT(A624,"yyyy-mm")</f>
        <v/>
      </c>
      <c r="C624" s="3">
        <f>HOUR(A624)</f>
        <v/>
      </c>
      <c r="D624" s="4" t="n">
        <v>20.824988998225</v>
      </c>
      <c r="E624" s="4" t="n">
        <v>22.33859684551667</v>
      </c>
      <c r="F624" s="4" t="n">
        <v>23.57404991634167</v>
      </c>
      <c r="G624" s="4" t="n">
        <v>2.7</v>
      </c>
      <c r="H624" s="5" t="n">
        <v>52.77637828912222</v>
      </c>
      <c r="I624" s="5" t="n">
        <v>47.24881820930278</v>
      </c>
      <c r="J624" s="5" t="n">
        <v>44.99312470859167</v>
      </c>
      <c r="K624" s="5" t="n">
        <v>91</v>
      </c>
    </row>
    <row r="625">
      <c r="A625" s="2" t="n">
        <v>46123.41666666666</v>
      </c>
      <c r="B625">
        <f>TEXT(A625,"yyyy-mm")</f>
        <v/>
      </c>
      <c r="C625" s="3">
        <f>HOUR(A625)</f>
        <v/>
      </c>
      <c r="D625" s="4" t="n">
        <v>20.88532340348611</v>
      </c>
      <c r="E625" s="4" t="n">
        <v>22.59668417001112</v>
      </c>
      <c r="F625" s="4" t="n">
        <v>23.56753906840278</v>
      </c>
      <c r="G625" s="4" t="n">
        <v>3.3</v>
      </c>
      <c r="H625" s="5" t="n">
        <v>52.25356718382222</v>
      </c>
      <c r="I625" s="5" t="n">
        <v>48.13496639464722</v>
      </c>
      <c r="J625" s="5" t="n">
        <v>44.74528395769445</v>
      </c>
      <c r="K625" s="5" t="n">
        <v>87</v>
      </c>
    </row>
    <row r="626">
      <c r="A626" s="2" t="n">
        <v>46123.45833333334</v>
      </c>
      <c r="B626">
        <f>TEXT(A626,"yyyy-mm")</f>
        <v/>
      </c>
      <c r="C626" s="3">
        <f>HOUR(A626)</f>
        <v/>
      </c>
      <c r="D626" s="4" t="n">
        <v>20.984217190075</v>
      </c>
      <c r="E626" s="4" t="n">
        <v>22.83876796062778</v>
      </c>
      <c r="F626" s="4" t="n">
        <v>23.55128290272778</v>
      </c>
      <c r="G626" s="4" t="n">
        <v>4</v>
      </c>
      <c r="H626" s="5" t="n">
        <v>52.95063962300278</v>
      </c>
      <c r="I626" s="5" t="n">
        <v>48.02056101972778</v>
      </c>
      <c r="J626" s="5" t="n">
        <v>47.48411744093611</v>
      </c>
      <c r="K626" s="5" t="n">
        <v>87</v>
      </c>
    </row>
    <row r="627">
      <c r="A627" s="2" t="n">
        <v>46123.5</v>
      </c>
      <c r="B627">
        <f>TEXT(A627,"yyyy-mm")</f>
        <v/>
      </c>
      <c r="C627" s="3">
        <f>HOUR(A627)</f>
        <v/>
      </c>
      <c r="D627" s="4" t="n">
        <v>21.01245835893333</v>
      </c>
      <c r="E627" s="4" t="n">
        <v>22.99067898989722</v>
      </c>
      <c r="F627" s="4" t="n">
        <v>23.56159683168333</v>
      </c>
      <c r="G627" s="4" t="n">
        <v>5.1</v>
      </c>
      <c r="H627" s="5" t="n">
        <v>55.77255789568056</v>
      </c>
      <c r="I627" s="5" t="n">
        <v>49.51971999225833</v>
      </c>
      <c r="J627" s="5" t="n">
        <v>45.38947142739167</v>
      </c>
      <c r="K627" s="5" t="n">
        <v>76</v>
      </c>
    </row>
    <row r="628">
      <c r="A628" s="2" t="n">
        <v>46123.54166666666</v>
      </c>
      <c r="B628">
        <f>TEXT(A628,"yyyy-mm")</f>
        <v/>
      </c>
      <c r="C628" s="3">
        <f>HOUR(A628)</f>
        <v/>
      </c>
      <c r="D628" s="4" t="n">
        <v>21.27372725033333</v>
      </c>
      <c r="E628" s="4" t="n">
        <v>23.44850043950278</v>
      </c>
      <c r="F628" s="4" t="n">
        <v>23.56202498915</v>
      </c>
      <c r="G628" s="4" t="n">
        <v>5.9</v>
      </c>
      <c r="H628" s="5" t="n">
        <v>54.33599755658611</v>
      </c>
      <c r="I628" s="5" t="n">
        <v>48.41947862063889</v>
      </c>
      <c r="J628" s="5" t="n">
        <v>48.78161755681389</v>
      </c>
      <c r="K628" s="5" t="n">
        <v>69</v>
      </c>
    </row>
    <row r="629">
      <c r="A629" s="2" t="n">
        <v>46123.58333333334</v>
      </c>
      <c r="B629">
        <f>TEXT(A629,"yyyy-mm")</f>
        <v/>
      </c>
      <c r="C629" s="3">
        <f>HOUR(A629)</f>
        <v/>
      </c>
      <c r="D629" s="4" t="n">
        <v>21.12073710405556</v>
      </c>
      <c r="E629" s="4" t="n">
        <v>23.11294554213333</v>
      </c>
      <c r="F629" s="4" t="n">
        <v>23.63995193084445</v>
      </c>
      <c r="G629" s="4" t="n">
        <v>6.6</v>
      </c>
      <c r="H629" s="5" t="n">
        <v>51.21185431553334</v>
      </c>
      <c r="I629" s="5" t="n">
        <v>46.65305127694166</v>
      </c>
      <c r="J629" s="5" t="n">
        <v>49.10643252181944</v>
      </c>
      <c r="K629" s="5" t="n">
        <v>64</v>
      </c>
    </row>
    <row r="630">
      <c r="A630" s="2" t="n">
        <v>46123.625</v>
      </c>
      <c r="B630">
        <f>TEXT(A630,"yyyy-mm")</f>
        <v/>
      </c>
      <c r="C630" s="3">
        <f>HOUR(A630)</f>
        <v/>
      </c>
      <c r="D630" s="4" t="n">
        <v>21.04427899416389</v>
      </c>
      <c r="E630" s="4" t="n">
        <v>23.21182818145556</v>
      </c>
      <c r="F630" s="4" t="n">
        <v>23.73451068213611</v>
      </c>
      <c r="G630" s="4" t="n">
        <v>6.3</v>
      </c>
      <c r="H630" s="5" t="n">
        <v>50.51141641385556</v>
      </c>
      <c r="I630" s="5" t="n">
        <v>46.78625578963334</v>
      </c>
      <c r="J630" s="5" t="n">
        <v>46.67001113791111</v>
      </c>
      <c r="K630" s="5" t="n">
        <v>65</v>
      </c>
    </row>
    <row r="631">
      <c r="A631" s="2" t="n">
        <v>46123.66666666666</v>
      </c>
      <c r="B631">
        <f>TEXT(A631,"yyyy-mm")</f>
        <v/>
      </c>
      <c r="C631" s="3">
        <f>HOUR(A631)</f>
        <v/>
      </c>
      <c r="D631" s="4" t="n">
        <v>21.21391962225</v>
      </c>
      <c r="E631" s="4" t="n">
        <v>23.59923230639444</v>
      </c>
      <c r="F631" s="4" t="n">
        <v>23.77030908461667</v>
      </c>
      <c r="G631" s="4" t="n">
        <v>6.1</v>
      </c>
      <c r="H631" s="5" t="n">
        <v>52.31196244431945</v>
      </c>
      <c r="I631" s="5" t="n">
        <v>46.95991967517222</v>
      </c>
      <c r="J631" s="5" t="n">
        <v>45.8750742927</v>
      </c>
      <c r="K631" s="5" t="n">
        <v>67</v>
      </c>
    </row>
    <row r="632">
      <c r="A632" s="2" t="n">
        <v>46123.70833333334</v>
      </c>
      <c r="B632">
        <f>TEXT(A632,"yyyy-mm")</f>
        <v/>
      </c>
      <c r="C632" s="3">
        <f>HOUR(A632)</f>
        <v/>
      </c>
      <c r="D632" s="4" t="n">
        <v>21.68594891358889</v>
      </c>
      <c r="E632" s="4" t="n">
        <v>23.88485952163056</v>
      </c>
      <c r="F632" s="4" t="n">
        <v>23.74012596436112</v>
      </c>
      <c r="G632" s="4" t="n">
        <v>5.8</v>
      </c>
      <c r="H632" s="5" t="n">
        <v>51.82729193648056</v>
      </c>
      <c r="I632" s="5" t="n">
        <v>46.24369400896944</v>
      </c>
      <c r="J632" s="5" t="n">
        <v>50.66448516813055</v>
      </c>
      <c r="K632" s="5" t="n">
        <v>71</v>
      </c>
    </row>
    <row r="633">
      <c r="A633" s="2" t="n">
        <v>46123.75</v>
      </c>
      <c r="B633">
        <f>TEXT(A633,"yyyy-mm")</f>
        <v/>
      </c>
      <c r="C633" s="3">
        <f>HOUR(A633)</f>
        <v/>
      </c>
      <c r="D633" s="4" t="n">
        <v>21.53771755777223</v>
      </c>
      <c r="E633" s="4" t="n">
        <v>23.97755318103055</v>
      </c>
      <c r="F633" s="4" t="n">
        <v>23.55473002585278</v>
      </c>
      <c r="G633" s="4" t="n">
        <v>5.5</v>
      </c>
      <c r="H633" s="5" t="n">
        <v>50.73520497190833</v>
      </c>
      <c r="I633" s="5" t="n">
        <v>46.12302019625</v>
      </c>
      <c r="J633" s="5" t="n">
        <v>55.02653506007221</v>
      </c>
      <c r="K633" s="5" t="n">
        <v>74</v>
      </c>
    </row>
    <row r="634">
      <c r="A634" s="2" t="n">
        <v>46123.79166666666</v>
      </c>
      <c r="B634">
        <f>TEXT(A634,"yyyy-mm")</f>
        <v/>
      </c>
      <c r="C634" s="3">
        <f>HOUR(A634)</f>
        <v/>
      </c>
      <c r="D634" s="4" t="n">
        <v>21.40672742497778</v>
      </c>
      <c r="E634" s="4" t="n">
        <v>23.90734805262778</v>
      </c>
      <c r="F634" s="4" t="n">
        <v>23.70576285145556</v>
      </c>
      <c r="G634" s="4" t="n">
        <v>4.7</v>
      </c>
      <c r="H634" s="5" t="n">
        <v>52.12315675210001</v>
      </c>
      <c r="I634" s="5" t="n">
        <v>47.03623333583056</v>
      </c>
      <c r="J634" s="5" t="n">
        <v>48.95320765665833</v>
      </c>
      <c r="K634" s="5" t="n">
        <v>82</v>
      </c>
    </row>
    <row r="635">
      <c r="A635" s="2" t="n">
        <v>46123.83333333334</v>
      </c>
      <c r="B635">
        <f>TEXT(A635,"yyyy-mm")</f>
        <v/>
      </c>
      <c r="C635" s="3">
        <f>HOUR(A635)</f>
        <v/>
      </c>
      <c r="D635" s="4" t="n">
        <v>21.37025828123055</v>
      </c>
      <c r="E635" s="4" t="n">
        <v>23.90373902634167</v>
      </c>
      <c r="F635" s="4" t="n">
        <v>23.29156793844167</v>
      </c>
      <c r="G635" s="4" t="n">
        <v>4</v>
      </c>
      <c r="H635" s="5" t="n">
        <v>50.58411753390277</v>
      </c>
      <c r="I635" s="5" t="n">
        <v>45.32111299679445</v>
      </c>
      <c r="J635" s="5" t="n">
        <v>56.86663717102223</v>
      </c>
      <c r="K635" s="5" t="n">
        <v>84</v>
      </c>
    </row>
    <row r="636">
      <c r="A636" s="2" t="n">
        <v>46123.875</v>
      </c>
      <c r="B636">
        <f>TEXT(A636,"yyyy-mm")</f>
        <v/>
      </c>
      <c r="C636" s="3">
        <f>HOUR(A636)</f>
        <v/>
      </c>
      <c r="D636" s="4" t="n">
        <v>21.65112936062778</v>
      </c>
      <c r="E636" s="4" t="n">
        <v>23.99924582121389</v>
      </c>
      <c r="F636" s="4" t="n">
        <v>23.13400461620833</v>
      </c>
      <c r="G636" s="4" t="n">
        <v>3.7</v>
      </c>
      <c r="H636" s="5" t="n">
        <v>50.83362422460277</v>
      </c>
      <c r="I636" s="5" t="n">
        <v>44.42004485032501</v>
      </c>
      <c r="J636" s="5" t="n">
        <v>57.08757020600555</v>
      </c>
      <c r="K636" s="5" t="n">
        <v>89</v>
      </c>
    </row>
    <row r="637">
      <c r="A637" s="2" t="n">
        <v>46123.91666666666</v>
      </c>
      <c r="B637">
        <f>TEXT(A637,"yyyy-mm")</f>
        <v/>
      </c>
      <c r="C637" s="3">
        <f>HOUR(A637)</f>
        <v/>
      </c>
      <c r="D637" s="4" t="n">
        <v>21.36678714396111</v>
      </c>
      <c r="E637" s="4" t="n">
        <v>23.69757686958333</v>
      </c>
      <c r="F637" s="4" t="n">
        <v>23.33709564731389</v>
      </c>
      <c r="G637" s="4" t="n">
        <v>2.6</v>
      </c>
      <c r="H637" s="5" t="n">
        <v>52.28015855383611</v>
      </c>
      <c r="I637" s="5" t="n">
        <v>45.662715802325</v>
      </c>
      <c r="J637" s="5" t="n">
        <v>52.79701532217499</v>
      </c>
      <c r="K637" s="5" t="n">
        <v>91</v>
      </c>
    </row>
    <row r="638">
      <c r="A638" s="2" t="n">
        <v>46123.95833333334</v>
      </c>
      <c r="B638">
        <f>TEXT(A638,"yyyy-mm")</f>
        <v/>
      </c>
      <c r="C638" s="3">
        <f>HOUR(A638)</f>
        <v/>
      </c>
      <c r="D638" s="4" t="n">
        <v>21.15690209460833</v>
      </c>
      <c r="E638" s="4" t="n">
        <v>23.80052329295277</v>
      </c>
      <c r="F638" s="4" t="n">
        <v>23.56489739042778</v>
      </c>
      <c r="G638" s="4" t="n">
        <v>2</v>
      </c>
      <c r="H638" s="5" t="n">
        <v>52.4015144817</v>
      </c>
      <c r="I638" s="5" t="n">
        <v>45.38419945666389</v>
      </c>
      <c r="J638" s="5" t="n">
        <v>49.54085012003611</v>
      </c>
      <c r="K638" s="5" t="n">
        <v>92</v>
      </c>
    </row>
    <row r="639">
      <c r="A639" s="2" t="n">
        <v>46124</v>
      </c>
      <c r="B639">
        <f>TEXT(A639,"yyyy-mm")</f>
        <v/>
      </c>
      <c r="C639" s="3">
        <f>HOUR(A639)</f>
        <v/>
      </c>
      <c r="D639" s="4" t="n">
        <v>21.18206825312222</v>
      </c>
      <c r="E639" s="4" t="n">
        <v>23.66423766491112</v>
      </c>
      <c r="F639" s="4" t="n">
        <v>23.27812670794722</v>
      </c>
      <c r="G639" s="4" t="n">
        <v>2.2</v>
      </c>
      <c r="H639" s="5" t="n">
        <v>49.50912656462777</v>
      </c>
      <c r="I639" s="5" t="n">
        <v>44.41817371929444</v>
      </c>
      <c r="J639" s="5" t="n">
        <v>56.01744144735556</v>
      </c>
      <c r="K639" s="5" t="n">
        <v>93</v>
      </c>
    </row>
    <row r="640">
      <c r="A640" s="2" t="n">
        <v>46124.04166666666</v>
      </c>
      <c r="B640">
        <f>TEXT(A640,"yyyy-mm")</f>
        <v/>
      </c>
      <c r="C640" s="3">
        <f>HOUR(A640)</f>
        <v/>
      </c>
      <c r="D640" s="4" t="n">
        <v>21.52676646619722</v>
      </c>
      <c r="E640" s="4" t="n">
        <v>23.67512934038889</v>
      </c>
      <c r="F640" s="4" t="n">
        <v>23.05814378531944</v>
      </c>
      <c r="G640" s="4" t="n">
        <v>2.3</v>
      </c>
      <c r="H640" s="5" t="n">
        <v>48.50121441329444</v>
      </c>
      <c r="I640" s="5" t="n">
        <v>42.73790065756111</v>
      </c>
      <c r="J640" s="5" t="n">
        <v>55.99394326466944</v>
      </c>
      <c r="K640" s="5" t="n">
        <v>93</v>
      </c>
    </row>
    <row r="641">
      <c r="A641" s="2" t="n">
        <v>46124.08333333334</v>
      </c>
      <c r="B641">
        <f>TEXT(A641,"yyyy-mm")</f>
        <v/>
      </c>
      <c r="C641" s="3">
        <f>HOUR(A641)</f>
        <v/>
      </c>
      <c r="D641" s="4" t="n">
        <v>21.27736328831389</v>
      </c>
      <c r="E641" s="4" t="n">
        <v>23.75817692763889</v>
      </c>
      <c r="F641" s="4" t="n">
        <v>23.309687692675</v>
      </c>
      <c r="G641" s="4" t="n">
        <v>2.3</v>
      </c>
      <c r="H641" s="5" t="n">
        <v>48.24480257234166</v>
      </c>
      <c r="I641" s="5" t="n">
        <v>42.45704005034444</v>
      </c>
      <c r="J641" s="5" t="n">
        <v>50.98092199424445</v>
      </c>
      <c r="K641" s="5" t="n">
        <v>93</v>
      </c>
    </row>
    <row r="642">
      <c r="A642" s="2" t="n">
        <v>46124.125</v>
      </c>
      <c r="B642">
        <f>TEXT(A642,"yyyy-mm")</f>
        <v/>
      </c>
      <c r="C642" s="3">
        <f>HOUR(A642)</f>
        <v/>
      </c>
      <c r="D642" s="4" t="n">
        <v>20.78877998505278</v>
      </c>
      <c r="E642" s="4" t="n">
        <v>23.24564396854722</v>
      </c>
      <c r="F642" s="4" t="n">
        <v>23.43379026989722</v>
      </c>
      <c r="G642" s="4" t="n">
        <v>3.5</v>
      </c>
      <c r="H642" s="5" t="n">
        <v>48.98662420796389</v>
      </c>
      <c r="I642" s="5" t="n">
        <v>42.23786800234166</v>
      </c>
      <c r="J642" s="5" t="n">
        <v>48.39494054363056</v>
      </c>
      <c r="K642" s="5" t="n">
        <v>91</v>
      </c>
    </row>
    <row r="643">
      <c r="A643" s="2" t="n">
        <v>46124.16666666666</v>
      </c>
      <c r="B643">
        <f>TEXT(A643,"yyyy-mm")</f>
        <v/>
      </c>
      <c r="C643" s="3">
        <f>HOUR(A643)</f>
        <v/>
      </c>
      <c r="D643" s="4" t="n">
        <v>20.461057725625</v>
      </c>
      <c r="E643" s="4" t="n">
        <v>22.89459204443889</v>
      </c>
      <c r="F643" s="4" t="n">
        <v>23.45835939391666</v>
      </c>
      <c r="G643" s="4" t="n">
        <v>2.8</v>
      </c>
      <c r="H643" s="5" t="n">
        <v>48.75143245915833</v>
      </c>
      <c r="I643" s="5" t="n">
        <v>41.70672643131389</v>
      </c>
      <c r="J643" s="5" t="n">
        <v>47.28556539734444</v>
      </c>
      <c r="K643" s="5" t="n">
        <v>92</v>
      </c>
    </row>
    <row r="644">
      <c r="A644" s="2" t="n">
        <v>46124.20833333334</v>
      </c>
      <c r="B644">
        <f>TEXT(A644,"yyyy-mm")</f>
        <v/>
      </c>
      <c r="C644" s="3">
        <f>HOUR(A644)</f>
        <v/>
      </c>
      <c r="D644" s="4" t="n">
        <v>20.25808652585</v>
      </c>
      <c r="E644" s="4" t="n">
        <v>22.60810392096944</v>
      </c>
      <c r="F644" s="4" t="n">
        <v>23.43750870803611</v>
      </c>
      <c r="G644" s="4" t="n">
        <v>2.2</v>
      </c>
      <c r="H644" s="5" t="n">
        <v>48.26905939764445</v>
      </c>
      <c r="I644" s="5" t="n">
        <v>41.33515171945</v>
      </c>
      <c r="J644" s="5" t="n">
        <v>46.62583487328333</v>
      </c>
      <c r="K644" s="5" t="n">
        <v>92</v>
      </c>
    </row>
    <row r="645">
      <c r="A645" s="2" t="n">
        <v>46124.25</v>
      </c>
      <c r="B645">
        <f>TEXT(A645,"yyyy-mm")</f>
        <v/>
      </c>
      <c r="C645" s="3">
        <f>HOUR(A645)</f>
        <v/>
      </c>
      <c r="D645" s="4" t="n">
        <v>20.2514528146</v>
      </c>
      <c r="E645" s="4" t="n">
        <v>22.45651117443889</v>
      </c>
      <c r="F645" s="4" t="n">
        <v>23.41653191238333</v>
      </c>
      <c r="G645" s="4" t="n">
        <v>1.9</v>
      </c>
      <c r="H645" s="5" t="n">
        <v>47.83086049610555</v>
      </c>
      <c r="I645" s="5" t="n">
        <v>41.01699980084167</v>
      </c>
      <c r="J645" s="5" t="n">
        <v>46.15083349768333</v>
      </c>
      <c r="K645" s="5" t="n">
        <v>93</v>
      </c>
    </row>
    <row r="646">
      <c r="A646" s="2" t="n">
        <v>46124.29166666666</v>
      </c>
      <c r="B646">
        <f>TEXT(A646,"yyyy-mm")</f>
        <v/>
      </c>
      <c r="C646" s="3">
        <f>HOUR(A646)</f>
        <v/>
      </c>
      <c r="D646" s="4" t="n">
        <v>20.53496118553889</v>
      </c>
      <c r="E646" s="4" t="n">
        <v>22.390453165675</v>
      </c>
      <c r="F646" s="4" t="n">
        <v>23.39787024751945</v>
      </c>
      <c r="G646" s="4" t="n">
        <v>2.6</v>
      </c>
      <c r="H646" s="5" t="n">
        <v>46.800967157375</v>
      </c>
      <c r="I646" s="5" t="n">
        <v>40.99177766894722</v>
      </c>
      <c r="J646" s="5" t="n">
        <v>45.78277975280556</v>
      </c>
      <c r="K646" s="5" t="n">
        <v>92</v>
      </c>
    </row>
    <row r="647">
      <c r="A647" s="2" t="n">
        <v>46124.33333333334</v>
      </c>
      <c r="B647">
        <f>TEXT(A647,"yyyy-mm")</f>
        <v/>
      </c>
      <c r="C647" s="3">
        <f>HOUR(A647)</f>
        <v/>
      </c>
      <c r="D647" s="4" t="n">
        <v>21.35358380225</v>
      </c>
      <c r="E647" s="4" t="n">
        <v>22.74140110563333</v>
      </c>
      <c r="F647" s="4" t="n">
        <v>23.38398461798889</v>
      </c>
      <c r="G647" s="4" t="n">
        <v>3.9</v>
      </c>
      <c r="H647" s="5" t="n">
        <v>44.23618386493333</v>
      </c>
      <c r="I647" s="5" t="n">
        <v>40.947195</v>
      </c>
      <c r="J647" s="5" t="n">
        <v>45.41294472211111</v>
      </c>
      <c r="K647" s="5" t="n">
        <v>92</v>
      </c>
    </row>
    <row r="648">
      <c r="A648" s="2" t="n">
        <v>46124.375</v>
      </c>
      <c r="B648">
        <f>TEXT(A648,"yyyy-mm")</f>
        <v/>
      </c>
      <c r="C648" s="3">
        <f>HOUR(A648)</f>
        <v/>
      </c>
      <c r="D648" s="4" t="n">
        <v>21.49472429898612</v>
      </c>
      <c r="E648" s="4" t="n">
        <v>22.82865587653333</v>
      </c>
      <c r="F648" s="4" t="n">
        <v>23.37987582063333</v>
      </c>
      <c r="G648" s="4" t="n">
        <v>5.8</v>
      </c>
      <c r="H648" s="5" t="n">
        <v>44.32565039653611</v>
      </c>
      <c r="I648" s="5" t="n">
        <v>41.02353980229445</v>
      </c>
      <c r="J648" s="5" t="n">
        <v>45.11798838738334</v>
      </c>
      <c r="K648" s="5" t="n">
        <v>83</v>
      </c>
    </row>
    <row r="649">
      <c r="A649" s="2" t="n">
        <v>46124.41666666666</v>
      </c>
      <c r="B649">
        <f>TEXT(A649,"yyyy-mm")</f>
        <v/>
      </c>
      <c r="C649" s="3">
        <f>HOUR(A649)</f>
        <v/>
      </c>
      <c r="D649" s="4" t="n">
        <v>21.78155052699445</v>
      </c>
      <c r="E649" s="4" t="n">
        <v>23.05712831139166</v>
      </c>
      <c r="F649" s="4" t="n">
        <v>23.41267708689722</v>
      </c>
      <c r="G649" s="4" t="n">
        <v>7.7</v>
      </c>
      <c r="H649" s="5" t="n">
        <v>43.92551880225278</v>
      </c>
      <c r="I649" s="5" t="n">
        <v>40.95224028303611</v>
      </c>
      <c r="J649" s="5" t="n">
        <v>44.830597824675</v>
      </c>
      <c r="K649" s="5" t="n">
        <v>67</v>
      </c>
    </row>
    <row r="650">
      <c r="A650" s="2" t="n">
        <v>46124.45833333334</v>
      </c>
      <c r="B650">
        <f>TEXT(A650,"yyyy-mm")</f>
        <v/>
      </c>
      <c r="C650" s="3">
        <f>HOUR(A650)</f>
        <v/>
      </c>
      <c r="D650" s="4" t="n">
        <v>21.8699372358</v>
      </c>
      <c r="E650" s="4" t="n">
        <v>23.14630065366111</v>
      </c>
      <c r="F650" s="4" t="n">
        <v>23.42406829293612</v>
      </c>
      <c r="G650" s="4" t="n">
        <v>8.5</v>
      </c>
      <c r="H650" s="5" t="n">
        <v>44.41760100705</v>
      </c>
      <c r="I650" s="5" t="n">
        <v>41.36356412627777</v>
      </c>
      <c r="J650" s="5" t="n">
        <v>44.67526305781945</v>
      </c>
      <c r="K650" s="5" t="n">
        <v>59</v>
      </c>
    </row>
    <row r="651">
      <c r="A651" s="2" t="n">
        <v>46124.5</v>
      </c>
      <c r="B651">
        <f>TEXT(A651,"yyyy-mm")</f>
        <v/>
      </c>
      <c r="C651" s="3">
        <f>HOUR(A651)</f>
        <v/>
      </c>
      <c r="D651" s="4" t="n">
        <v>21.89257263916944</v>
      </c>
      <c r="E651" s="4" t="n">
        <v>23.54921020535278</v>
      </c>
      <c r="F651" s="4" t="n">
        <v>23.41829892651389</v>
      </c>
      <c r="G651" s="4" t="n">
        <v>8.9</v>
      </c>
      <c r="H651" s="5" t="n">
        <v>47.17228746851944</v>
      </c>
      <c r="I651" s="5" t="n">
        <v>43.49421150593056</v>
      </c>
      <c r="J651" s="5" t="n">
        <v>44.54574554721111</v>
      </c>
      <c r="K651" s="5" t="n">
        <v>55</v>
      </c>
    </row>
    <row r="652">
      <c r="A652" s="2" t="n">
        <v>46124.54166666666</v>
      </c>
      <c r="B652">
        <f>TEXT(A652,"yyyy-mm")</f>
        <v/>
      </c>
      <c r="C652" s="3">
        <f>HOUR(A652)</f>
        <v/>
      </c>
      <c r="D652" s="4" t="n">
        <v>21.80115544637222</v>
      </c>
      <c r="E652" s="4" t="n">
        <v>23.57340411207223</v>
      </c>
      <c r="F652" s="4" t="n">
        <v>24.03903316052222</v>
      </c>
      <c r="G652" s="4" t="n">
        <v>9.1</v>
      </c>
      <c r="H652" s="5" t="n">
        <v>46.60248975264167</v>
      </c>
      <c r="I652" s="5" t="n">
        <v>42.68365046408334</v>
      </c>
      <c r="J652" s="5" t="n">
        <v>45.79281320919722</v>
      </c>
      <c r="K652" s="5" t="n">
        <v>54</v>
      </c>
    </row>
    <row r="653">
      <c r="A653" s="2" t="n">
        <v>46124.58333333334</v>
      </c>
      <c r="B653">
        <f>TEXT(A653,"yyyy-mm")</f>
        <v/>
      </c>
      <c r="C653" s="3">
        <f>HOUR(A653)</f>
        <v/>
      </c>
      <c r="D653" s="4" t="n">
        <v>21.52010365649167</v>
      </c>
      <c r="E653" s="4" t="n">
        <v>23.37949519520278</v>
      </c>
      <c r="F653" s="4" t="n">
        <v>24.2180813912</v>
      </c>
      <c r="G653" s="4" t="n">
        <v>9.300000000000001</v>
      </c>
      <c r="H653" s="5" t="n">
        <v>44.926913699025</v>
      </c>
      <c r="I653" s="5" t="n">
        <v>39.58803535230555</v>
      </c>
      <c r="J653" s="5" t="n">
        <v>45.25885965714167</v>
      </c>
      <c r="K653" s="5" t="n">
        <v>54</v>
      </c>
    </row>
    <row r="654">
      <c r="A654" s="2" t="n">
        <v>46124.625</v>
      </c>
      <c r="B654">
        <f>TEXT(A654,"yyyy-mm")</f>
        <v/>
      </c>
      <c r="C654" s="3">
        <f>HOUR(A654)</f>
        <v/>
      </c>
      <c r="D654" s="4" t="n">
        <v>21.45200296037778</v>
      </c>
      <c r="E654" s="4" t="n">
        <v>23.12614213505833</v>
      </c>
      <c r="F654" s="4" t="n">
        <v>24.17617909759444</v>
      </c>
      <c r="G654" s="4" t="n">
        <v>9.699999999999999</v>
      </c>
      <c r="H654" s="5" t="n">
        <v>45.24119518729722</v>
      </c>
      <c r="I654" s="5" t="n">
        <v>41.72896115911389</v>
      </c>
      <c r="J654" s="5" t="n">
        <v>46.82301154600278</v>
      </c>
      <c r="K654" s="5" t="n">
        <v>50</v>
      </c>
    </row>
    <row r="655">
      <c r="A655" s="2" t="n">
        <v>46124.66666666666</v>
      </c>
      <c r="B655">
        <f>TEXT(A655,"yyyy-mm")</f>
        <v/>
      </c>
      <c r="C655" s="3">
        <f>HOUR(A655)</f>
        <v/>
      </c>
      <c r="D655" s="4" t="n">
        <v>21.19475137605556</v>
      </c>
      <c r="E655" s="4" t="n">
        <v>22.73545310582778</v>
      </c>
      <c r="F655" s="4" t="n">
        <v>24.11224494256667</v>
      </c>
      <c r="G655" s="4" t="n">
        <v>9.9</v>
      </c>
      <c r="H655" s="5" t="n">
        <v>44.21488076073056</v>
      </c>
      <c r="I655" s="5" t="n">
        <v>41.02646569739445</v>
      </c>
      <c r="J655" s="5" t="n">
        <v>45.15554431600278</v>
      </c>
      <c r="K655" s="5" t="n">
        <v>51</v>
      </c>
    </row>
    <row r="656">
      <c r="A656" s="2" t="n">
        <v>46124.70833333334</v>
      </c>
      <c r="B656">
        <f>TEXT(A656,"yyyy-mm")</f>
        <v/>
      </c>
      <c r="C656" s="3">
        <f>HOUR(A656)</f>
        <v/>
      </c>
      <c r="D656" s="4" t="n">
        <v>20.70015217950555</v>
      </c>
      <c r="E656" s="4" t="n">
        <v>22.36177101488056</v>
      </c>
      <c r="F656" s="4" t="n">
        <v>24.06052938618889</v>
      </c>
      <c r="G656" s="4" t="n">
        <v>9.800000000000001</v>
      </c>
      <c r="H656" s="5" t="n">
        <v>41.95610123043611</v>
      </c>
      <c r="I656" s="5" t="n">
        <v>39.61640686975</v>
      </c>
      <c r="J656" s="5" t="n">
        <v>44.80959732864722</v>
      </c>
      <c r="K656" s="5" t="n">
        <v>51</v>
      </c>
    </row>
    <row r="657">
      <c r="A657" s="2" t="n">
        <v>46124.75</v>
      </c>
      <c r="B657">
        <f>TEXT(A657,"yyyy-mm")</f>
        <v/>
      </c>
      <c r="C657" s="3">
        <f>HOUR(A657)</f>
        <v/>
      </c>
      <c r="D657" s="4" t="n">
        <v>20.74931006886667</v>
      </c>
      <c r="E657" s="4" t="n">
        <v>22.69697941238333</v>
      </c>
      <c r="F657" s="4" t="n">
        <v>24.03631699850278</v>
      </c>
      <c r="G657" s="4" t="n">
        <v>9.199999999999999</v>
      </c>
      <c r="H657" s="5" t="n">
        <v>37.68278030630555</v>
      </c>
      <c r="I657" s="5" t="n">
        <v>34.75153825036944</v>
      </c>
      <c r="J657" s="5" t="n">
        <v>44.81321168330278</v>
      </c>
      <c r="K657" s="5" t="n">
        <v>54</v>
      </c>
    </row>
    <row r="658">
      <c r="A658" s="2" t="n">
        <v>46124.79166666666</v>
      </c>
      <c r="B658">
        <f>TEXT(A658,"yyyy-mm")</f>
        <v/>
      </c>
      <c r="C658" s="3">
        <f>HOUR(A658)</f>
        <v/>
      </c>
      <c r="D658" s="4" t="n">
        <v>21.27901672749167</v>
      </c>
      <c r="E658" s="4" t="n">
        <v>22.91590147182222</v>
      </c>
      <c r="F658" s="4" t="n">
        <v>24.00488207711111</v>
      </c>
      <c r="G658" s="4" t="n">
        <v>7.7</v>
      </c>
      <c r="H658" s="5" t="n">
        <v>38.45415775369167</v>
      </c>
      <c r="I658" s="5" t="n">
        <v>36.45115253089723</v>
      </c>
      <c r="J658" s="5" t="n">
        <v>44.32341337045278</v>
      </c>
      <c r="K658" s="5" t="n">
        <v>65</v>
      </c>
    </row>
    <row r="659">
      <c r="A659" s="2" t="n">
        <v>46124.83333333334</v>
      </c>
      <c r="B659">
        <f>TEXT(A659,"yyyy-mm")</f>
        <v/>
      </c>
      <c r="C659" s="3">
        <f>HOUR(A659)</f>
        <v/>
      </c>
      <c r="D659" s="4" t="n">
        <v>21.482292480825</v>
      </c>
      <c r="E659" s="4" t="n">
        <v>22.95790869693611</v>
      </c>
      <c r="F659" s="4" t="n">
        <v>23.99713878013611</v>
      </c>
      <c r="G659" s="4" t="n">
        <v>6.6</v>
      </c>
      <c r="H659" s="5" t="n">
        <v>41.02639348173333</v>
      </c>
      <c r="I659" s="5" t="n">
        <v>38.29506668313334</v>
      </c>
      <c r="J659" s="5" t="n">
        <v>43.79569548363889</v>
      </c>
      <c r="K659" s="5" t="n">
        <v>68</v>
      </c>
    </row>
    <row r="660">
      <c r="A660" s="2" t="n">
        <v>46124.875</v>
      </c>
      <c r="B660">
        <f>TEXT(A660,"yyyy-mm")</f>
        <v/>
      </c>
      <c r="C660" s="3">
        <f>HOUR(A660)</f>
        <v/>
      </c>
      <c r="D660" s="4" t="n">
        <v>21.43652329101389</v>
      </c>
      <c r="E660" s="4" t="n">
        <v>23.024414983875</v>
      </c>
      <c r="F660" s="4" t="n">
        <v>23.99000923447223</v>
      </c>
      <c r="G660" s="4" t="n">
        <v>5.9</v>
      </c>
      <c r="H660" s="5" t="n">
        <v>42.05518200266389</v>
      </c>
      <c r="I660" s="5" t="n">
        <v>39.76574111698611</v>
      </c>
      <c r="J660" s="5" t="n">
        <v>43.40984441936112</v>
      </c>
      <c r="K660" s="5" t="n">
        <v>74</v>
      </c>
    </row>
    <row r="661">
      <c r="A661" s="2" t="n">
        <v>46124.91666666666</v>
      </c>
      <c r="B661">
        <f>TEXT(A661,"yyyy-mm")</f>
        <v/>
      </c>
      <c r="C661" s="3">
        <f>HOUR(A661)</f>
        <v/>
      </c>
      <c r="D661" s="4" t="n">
        <v>21.17882420891111</v>
      </c>
      <c r="E661" s="4" t="n">
        <v>23.09468640716666</v>
      </c>
      <c r="F661" s="4" t="n">
        <v>23.97987130968611</v>
      </c>
      <c r="G661" s="4" t="n">
        <v>5.8</v>
      </c>
      <c r="H661" s="5" t="n">
        <v>44.43201517506666</v>
      </c>
      <c r="I661" s="5" t="n">
        <v>40.43005310969722</v>
      </c>
      <c r="J661" s="5" t="n">
        <v>43.10320437140833</v>
      </c>
      <c r="K661" s="5" t="n">
        <v>77</v>
      </c>
    </row>
    <row r="662">
      <c r="A662" s="2" t="n">
        <v>46124.95833333334</v>
      </c>
      <c r="B662">
        <f>TEXT(A662,"yyyy-mm")</f>
        <v/>
      </c>
      <c r="C662" s="3">
        <f>HOUR(A662)</f>
        <v/>
      </c>
      <c r="D662" s="4" t="n">
        <v>21.02481478834445</v>
      </c>
      <c r="E662" s="4" t="n">
        <v>22.93019714640278</v>
      </c>
      <c r="F662" s="4" t="n">
        <v>23.94674132809167</v>
      </c>
      <c r="G662" s="4" t="n">
        <v>5.2</v>
      </c>
      <c r="H662" s="5" t="n">
        <v>45.90750375204445</v>
      </c>
      <c r="I662" s="5" t="n">
        <v>40.95223981651944</v>
      </c>
      <c r="J662" s="5" t="n">
        <v>42.86131324176666</v>
      </c>
      <c r="K662" s="5" t="n">
        <v>79</v>
      </c>
    </row>
    <row r="663">
      <c r="A663" s="2" t="n">
        <v>46125</v>
      </c>
      <c r="B663">
        <f>TEXT(A663,"yyyy-mm")</f>
        <v/>
      </c>
      <c r="C663" s="3">
        <f>HOUR(A663)</f>
        <v/>
      </c>
      <c r="D663" s="4" t="n">
        <v>20.89891506851111</v>
      </c>
      <c r="E663" s="4" t="n">
        <v>22.94014896433889</v>
      </c>
      <c r="F663" s="4" t="n">
        <v>23.92569569354167</v>
      </c>
      <c r="G663" s="4" t="n">
        <v>4.9</v>
      </c>
      <c r="H663" s="5" t="n">
        <v>45.97632243115555</v>
      </c>
      <c r="I663" s="5" t="n">
        <v>42.05843836251389</v>
      </c>
      <c r="J663" s="5" t="n">
        <v>42.63527455959722</v>
      </c>
      <c r="K663" s="5" t="n">
        <v>80</v>
      </c>
    </row>
    <row r="664">
      <c r="A664" s="2" t="n">
        <v>46125.04166666666</v>
      </c>
      <c r="B664">
        <f>TEXT(A664,"yyyy-mm")</f>
        <v/>
      </c>
      <c r="C664" s="3">
        <f>HOUR(A664)</f>
        <v/>
      </c>
      <c r="D664" s="4" t="n">
        <v>20.75981172271389</v>
      </c>
      <c r="E664" s="4" t="n">
        <v>22.77628913741944</v>
      </c>
      <c r="F664" s="4" t="n">
        <v>23.902111554525</v>
      </c>
      <c r="G664" s="4" t="n">
        <v>4.4</v>
      </c>
      <c r="H664" s="5" t="n">
        <v>46.73703358550278</v>
      </c>
      <c r="I664" s="5" t="n">
        <v>41.99511224376111</v>
      </c>
      <c r="J664" s="5" t="n">
        <v>42.52435635756389</v>
      </c>
      <c r="K664" s="5" t="n">
        <v>80</v>
      </c>
    </row>
    <row r="665">
      <c r="A665" s="2" t="n">
        <v>46125.08333333334</v>
      </c>
      <c r="B665">
        <f>TEXT(A665,"yyyy-mm")</f>
        <v/>
      </c>
      <c r="C665" s="3">
        <f>HOUR(A665)</f>
        <v/>
      </c>
      <c r="D665" s="4" t="n">
        <v>20.56372653804722</v>
      </c>
      <c r="E665" s="4" t="n">
        <v>22.37327737715833</v>
      </c>
      <c r="F665" s="4" t="n">
        <v>23.87751894999166</v>
      </c>
      <c r="G665" s="4" t="n">
        <v>3.7</v>
      </c>
      <c r="H665" s="5" t="n">
        <v>47.99324123984722</v>
      </c>
      <c r="I665" s="5" t="n">
        <v>42.15940902590278</v>
      </c>
      <c r="J665" s="5" t="n">
        <v>42.50065000963611</v>
      </c>
      <c r="K665" s="5" t="n">
        <v>80</v>
      </c>
    </row>
    <row r="666">
      <c r="A666" s="2" t="n">
        <v>46125.125</v>
      </c>
      <c r="B666">
        <f>TEXT(A666,"yyyy-mm")</f>
        <v/>
      </c>
      <c r="C666" s="3">
        <f>HOUR(A666)</f>
        <v/>
      </c>
      <c r="D666" s="4" t="n">
        <v>20.32393095903056</v>
      </c>
      <c r="E666" s="4" t="n">
        <v>22.12700543873889</v>
      </c>
      <c r="F666" s="4" t="n">
        <v>23.85250808099723</v>
      </c>
      <c r="G666" s="4" t="n">
        <v>3.3</v>
      </c>
      <c r="H666" s="5" t="n">
        <v>47.12631024773055</v>
      </c>
      <c r="I666" s="5" t="n">
        <v>41.80252886843333</v>
      </c>
      <c r="J666" s="5" t="n">
        <v>42.37845871426111</v>
      </c>
      <c r="K666" s="5" t="n">
        <v>80</v>
      </c>
    </row>
    <row r="667">
      <c r="A667" s="2" t="n">
        <v>46125.16666666666</v>
      </c>
      <c r="B667">
        <f>TEXT(A667,"yyyy-mm")</f>
        <v/>
      </c>
      <c r="C667" s="3">
        <f>HOUR(A667)</f>
        <v/>
      </c>
      <c r="D667" s="4" t="n">
        <v>20.12455299700833</v>
      </c>
      <c r="E667" s="4" t="n">
        <v>21.95221413719722</v>
      </c>
      <c r="F667" s="4" t="n">
        <v>23.82729014601389</v>
      </c>
      <c r="G667" s="4" t="n">
        <v>3.1</v>
      </c>
      <c r="H667" s="5" t="n">
        <v>47.00127707459723</v>
      </c>
      <c r="I667" s="5" t="n">
        <v>41.20190066797777</v>
      </c>
      <c r="J667" s="5" t="n">
        <v>42.14286328117223</v>
      </c>
      <c r="K667" s="5" t="n">
        <v>80</v>
      </c>
    </row>
    <row r="668">
      <c r="A668" s="2" t="n">
        <v>46125.20833333334</v>
      </c>
      <c r="B668">
        <f>TEXT(A668,"yyyy-mm")</f>
        <v/>
      </c>
      <c r="C668" s="3">
        <f>HOUR(A668)</f>
        <v/>
      </c>
      <c r="D668" s="4" t="n">
        <v>19.98553586943889</v>
      </c>
      <c r="E668" s="4" t="n">
        <v>21.85228953597778</v>
      </c>
      <c r="F668" s="4" t="n">
        <v>23.79742605971944</v>
      </c>
      <c r="G668" s="4" t="n">
        <v>3</v>
      </c>
      <c r="H668" s="5" t="n">
        <v>47.15395741307777</v>
      </c>
      <c r="I668" s="5" t="n">
        <v>40.81313229315833</v>
      </c>
      <c r="J668" s="5" t="n">
        <v>41.9836035895</v>
      </c>
      <c r="K668" s="5" t="n">
        <v>79</v>
      </c>
    </row>
    <row r="669">
      <c r="A669" s="2" t="n">
        <v>46125.25</v>
      </c>
      <c r="B669">
        <f>TEXT(A669,"yyyy-mm")</f>
        <v/>
      </c>
      <c r="C669" s="3">
        <f>HOUR(A669)</f>
        <v/>
      </c>
      <c r="D669" s="4" t="n">
        <v>20.434982707875</v>
      </c>
      <c r="E669" s="4" t="n">
        <v>22.06218625850556</v>
      </c>
      <c r="F669" s="4" t="n">
        <v>23.77753771154722</v>
      </c>
      <c r="G669" s="4" t="n">
        <v>2.9</v>
      </c>
      <c r="H669" s="5" t="n">
        <v>45.58519931503611</v>
      </c>
      <c r="I669" s="5" t="n">
        <v>40.23892749800834</v>
      </c>
      <c r="J669" s="5" t="n">
        <v>41.87000996553889</v>
      </c>
      <c r="K669" s="5" t="n">
        <v>80</v>
      </c>
    </row>
    <row r="670">
      <c r="A670" s="2" t="n">
        <v>46125.29166666666</v>
      </c>
      <c r="B670">
        <f>TEXT(A670,"yyyy-mm")</f>
        <v/>
      </c>
      <c r="C670" s="3">
        <f>HOUR(A670)</f>
        <v/>
      </c>
      <c r="D670" s="4" t="n">
        <v>21.31483758013611</v>
      </c>
      <c r="E670" s="4" t="n">
        <v>22.51403635181667</v>
      </c>
      <c r="F670" s="4" t="n">
        <v>23.73899123134167</v>
      </c>
      <c r="G670" s="4" t="n">
        <v>3.4</v>
      </c>
      <c r="H670" s="5" t="n">
        <v>42.70594301287777</v>
      </c>
      <c r="I670" s="5" t="n">
        <v>39.80964279642222</v>
      </c>
      <c r="J670" s="5" t="n">
        <v>41.76986273926111</v>
      </c>
      <c r="K670" s="5" t="n">
        <v>81</v>
      </c>
    </row>
    <row r="671">
      <c r="A671" s="2" t="n">
        <v>46125.33333333334</v>
      </c>
      <c r="B671">
        <f>TEXT(A671,"yyyy-mm")</f>
        <v/>
      </c>
      <c r="C671" s="3">
        <f>HOUR(A671)</f>
        <v/>
      </c>
      <c r="D671" s="4" t="n">
        <v>21.93182644593889</v>
      </c>
      <c r="E671" s="4" t="n">
        <v>23.06693454749444</v>
      </c>
      <c r="F671" s="4" t="n">
        <v>23.71867576358889</v>
      </c>
      <c r="G671" s="4" t="n">
        <v>5.3</v>
      </c>
      <c r="H671" s="5" t="n">
        <v>42.29584938808055</v>
      </c>
      <c r="I671" s="5" t="n">
        <v>39.266427763075</v>
      </c>
      <c r="J671" s="5" t="n">
        <v>41.74553671342222</v>
      </c>
      <c r="K671" s="5" t="n">
        <v>79</v>
      </c>
    </row>
    <row r="672">
      <c r="A672" s="2" t="n">
        <v>46125.375</v>
      </c>
      <c r="B672">
        <f>TEXT(A672,"yyyy-mm")</f>
        <v/>
      </c>
      <c r="C672" s="3">
        <f>HOUR(A672)</f>
        <v/>
      </c>
      <c r="D672" s="4" t="n">
        <v>22.36547870987778</v>
      </c>
      <c r="E672" s="4" t="n">
        <v>23.60465994671111</v>
      </c>
      <c r="F672" s="4" t="n">
        <v>23.71901867758889</v>
      </c>
      <c r="G672" s="4" t="n">
        <v>8.300000000000001</v>
      </c>
      <c r="H672" s="5" t="n">
        <v>42.49551966928056</v>
      </c>
      <c r="I672" s="5" t="n">
        <v>39.40641730396111</v>
      </c>
      <c r="J672" s="5" t="n">
        <v>41.74672675511945</v>
      </c>
      <c r="K672" s="5" t="n">
        <v>72</v>
      </c>
    </row>
    <row r="673">
      <c r="A673" s="2" t="n">
        <v>46125.41666666666</v>
      </c>
      <c r="B673">
        <f>TEXT(A673,"yyyy-mm")</f>
        <v/>
      </c>
      <c r="C673" s="3">
        <f>HOUR(A673)</f>
        <v/>
      </c>
      <c r="D673" s="4" t="n">
        <v>22.46477343040833</v>
      </c>
      <c r="E673" s="4" t="n">
        <v>23.85690392289445</v>
      </c>
      <c r="F673" s="4" t="n">
        <v>23.74003657637222</v>
      </c>
      <c r="G673" s="4" t="n">
        <v>10.3</v>
      </c>
      <c r="H673" s="5" t="n">
        <v>43.67945469446389</v>
      </c>
      <c r="I673" s="5" t="n">
        <v>41.523663811</v>
      </c>
      <c r="J673" s="5" t="n">
        <v>41.72549099612223</v>
      </c>
      <c r="K673" s="5" t="n">
        <v>50</v>
      </c>
    </row>
    <row r="674">
      <c r="A674" s="2" t="n">
        <v>46125.45833333334</v>
      </c>
      <c r="B674">
        <f>TEXT(A674,"yyyy-mm")</f>
        <v/>
      </c>
      <c r="C674" s="3">
        <f>HOUR(A674)</f>
        <v/>
      </c>
      <c r="D674" s="4" t="n">
        <v>22.36619398919167</v>
      </c>
      <c r="E674" s="4" t="n">
        <v>24.27418149432778</v>
      </c>
      <c r="F674" s="4" t="n">
        <v>23.77075954161389</v>
      </c>
      <c r="G674" s="4" t="n">
        <v>11.3</v>
      </c>
      <c r="H674" s="5" t="n">
        <v>46.81821237834723</v>
      </c>
      <c r="I674" s="5" t="n">
        <v>46.02135856535833</v>
      </c>
      <c r="J674" s="5" t="n">
        <v>41.75050927586389</v>
      </c>
      <c r="K674" s="5" t="n">
        <v>45</v>
      </c>
    </row>
    <row r="675">
      <c r="A675" s="2" t="n">
        <v>46125.5</v>
      </c>
      <c r="B675">
        <f>TEXT(A675,"yyyy-mm")</f>
        <v/>
      </c>
      <c r="C675" s="3">
        <f>HOUR(A675)</f>
        <v/>
      </c>
      <c r="D675" s="4" t="n">
        <v>22.28115310113612</v>
      </c>
      <c r="E675" s="4" t="n">
        <v>24.27590025613611</v>
      </c>
      <c r="F675" s="4" t="n">
        <v>23.77512953778333</v>
      </c>
      <c r="G675" s="4" t="n">
        <v>12.1</v>
      </c>
      <c r="H675" s="5" t="n">
        <v>48.11405964485</v>
      </c>
      <c r="I675" s="5" t="n">
        <v>45.45985720594722</v>
      </c>
      <c r="J675" s="5" t="n">
        <v>41.75039823566667</v>
      </c>
      <c r="K675" s="5" t="n">
        <v>42</v>
      </c>
    </row>
    <row r="676">
      <c r="A676" s="2" t="n">
        <v>46125.54166666666</v>
      </c>
      <c r="B676">
        <f>TEXT(A676,"yyyy-mm")</f>
        <v/>
      </c>
      <c r="C676" s="3">
        <f>HOUR(A676)</f>
        <v/>
      </c>
      <c r="D676" s="4" t="n">
        <v>22.11746679320278</v>
      </c>
      <c r="E676" s="4" t="n">
        <v>23.95957895193612</v>
      </c>
      <c r="F676" s="4" t="n">
        <v>23.77879604072222</v>
      </c>
      <c r="G676" s="4" t="n">
        <v>12.6</v>
      </c>
      <c r="H676" s="5" t="n">
        <v>46.37590962472501</v>
      </c>
      <c r="I676" s="5" t="n">
        <v>42.24763182379722</v>
      </c>
      <c r="J676" s="5" t="n">
        <v>41.53849202843889</v>
      </c>
      <c r="K676" s="5" t="n">
        <v>40</v>
      </c>
    </row>
    <row r="677">
      <c r="A677" s="2" t="n">
        <v>46125.58333333334</v>
      </c>
      <c r="B677">
        <f>TEXT(A677,"yyyy-mm")</f>
        <v/>
      </c>
      <c r="C677" s="3">
        <f>HOUR(A677)</f>
        <v/>
      </c>
      <c r="D677" s="4" t="n">
        <v>21.89524412809722</v>
      </c>
      <c r="E677" s="4" t="n">
        <v>23.53150160383611</v>
      </c>
      <c r="F677" s="4" t="n">
        <v>23.76263581547778</v>
      </c>
      <c r="G677" s="4" t="n">
        <v>12.8</v>
      </c>
      <c r="H677" s="5" t="n">
        <v>42.70246121544445</v>
      </c>
      <c r="I677" s="5" t="n">
        <v>39.21440716387777</v>
      </c>
      <c r="J677" s="5" t="n">
        <v>41.28690534659167</v>
      </c>
      <c r="K677" s="5" t="n">
        <v>40</v>
      </c>
    </row>
    <row r="678">
      <c r="A678" s="2" t="n">
        <v>46125.625</v>
      </c>
      <c r="B678">
        <f>TEXT(A678,"yyyy-mm")</f>
        <v/>
      </c>
      <c r="C678" s="3">
        <f>HOUR(A678)</f>
        <v/>
      </c>
      <c r="D678" s="4" t="n">
        <v>21.81827080928056</v>
      </c>
      <c r="E678" s="4" t="n">
        <v>23.64574976541945</v>
      </c>
      <c r="F678" s="4" t="n">
        <v>23.74713917511389</v>
      </c>
      <c r="G678" s="4" t="n">
        <v>12.9</v>
      </c>
      <c r="H678" s="5" t="n">
        <v>42.08776642863889</v>
      </c>
      <c r="I678" s="5" t="n">
        <v>39.96002214738333</v>
      </c>
      <c r="J678" s="5" t="n">
        <v>41.26396640249167</v>
      </c>
      <c r="K678" s="5" t="n">
        <v>42</v>
      </c>
    </row>
    <row r="679">
      <c r="A679" s="2" t="n">
        <v>46125.66666666666</v>
      </c>
      <c r="B679">
        <f>TEXT(A679,"yyyy-mm")</f>
        <v/>
      </c>
      <c r="C679" s="3">
        <f>HOUR(A679)</f>
        <v/>
      </c>
      <c r="D679" s="4" t="n">
        <v>20.79536431843056</v>
      </c>
      <c r="E679" s="4" t="n">
        <v>23.52931362708611</v>
      </c>
      <c r="F679" s="4" t="n">
        <v>23.73868516583333</v>
      </c>
      <c r="G679" s="4" t="n">
        <v>12.7</v>
      </c>
      <c r="H679" s="5" t="n">
        <v>39.30853621339723</v>
      </c>
      <c r="I679" s="5" t="n">
        <v>36.77278298183055</v>
      </c>
      <c r="J679" s="5" t="n">
        <v>41.45994952756944</v>
      </c>
      <c r="K679" s="5" t="n">
        <v>47</v>
      </c>
    </row>
    <row r="680">
      <c r="A680" s="2" t="n">
        <v>46125.70833333334</v>
      </c>
      <c r="B680">
        <f>TEXT(A680,"yyyy-mm")</f>
        <v/>
      </c>
      <c r="C680" s="3">
        <f>HOUR(A680)</f>
        <v/>
      </c>
      <c r="D680" s="4" t="n">
        <v>21.49890711491945</v>
      </c>
      <c r="E680" s="4" t="n">
        <v>23.56736456168611</v>
      </c>
      <c r="F680" s="4" t="n">
        <v>23.72964769533333</v>
      </c>
      <c r="G680" s="4" t="n">
        <v>12.3</v>
      </c>
      <c r="H680" s="5" t="n">
        <v>45.38115704915833</v>
      </c>
      <c r="I680" s="5" t="n">
        <v>40.73864282425556</v>
      </c>
      <c r="J680" s="5" t="n">
        <v>41.46002408355</v>
      </c>
      <c r="K680" s="5" t="n">
        <v>49</v>
      </c>
    </row>
    <row r="681">
      <c r="A681" s="2" t="n">
        <v>46125.75</v>
      </c>
      <c r="B681">
        <f>TEXT(A681,"yyyy-mm")</f>
        <v/>
      </c>
      <c r="C681" s="3">
        <f>HOUR(A681)</f>
        <v/>
      </c>
      <c r="D681" s="4" t="n">
        <v>21.91490630998611</v>
      </c>
      <c r="E681" s="4" t="n">
        <v>23.71467010511667</v>
      </c>
      <c r="F681" s="4" t="n">
        <v>23.71994417196389</v>
      </c>
      <c r="G681" s="4" t="n">
        <v>11.2</v>
      </c>
      <c r="H681" s="5" t="n">
        <v>49.073312280125</v>
      </c>
      <c r="I681" s="5" t="n">
        <v>45.80618236744444</v>
      </c>
      <c r="J681" s="5" t="n">
        <v>41.24804676984444</v>
      </c>
      <c r="K681" s="5" t="n">
        <v>55</v>
      </c>
    </row>
    <row r="682">
      <c r="A682" s="2" t="n">
        <v>46125.79166666666</v>
      </c>
      <c r="B682">
        <f>TEXT(A682,"yyyy-mm")</f>
        <v/>
      </c>
      <c r="C682" s="3">
        <f>HOUR(A682)</f>
        <v/>
      </c>
      <c r="D682" s="4" t="n">
        <v>22.27472030420833</v>
      </c>
      <c r="E682" s="4" t="n">
        <v>24.18637074106389</v>
      </c>
      <c r="F682" s="4" t="n">
        <v>23.72784475441111</v>
      </c>
      <c r="G682" s="4" t="n">
        <v>10</v>
      </c>
      <c r="H682" s="5" t="n">
        <v>48.64807174981944</v>
      </c>
      <c r="I682" s="5" t="n">
        <v>46.51903266927778</v>
      </c>
      <c r="J682" s="5" t="n">
        <v>40.93244198010833</v>
      </c>
      <c r="K682" s="5" t="n">
        <v>60</v>
      </c>
    </row>
    <row r="683">
      <c r="A683" s="2" t="n">
        <v>46125.83333333334</v>
      </c>
      <c r="B683">
        <f>TEXT(A683,"yyyy-mm")</f>
        <v/>
      </c>
      <c r="C683" s="3">
        <f>HOUR(A683)</f>
        <v/>
      </c>
      <c r="D683" s="4" t="n">
        <v>22.36636634296389</v>
      </c>
      <c r="E683" s="4" t="n">
        <v>24.20490931301111</v>
      </c>
      <c r="F683" s="4" t="n">
        <v>23.72714808111667</v>
      </c>
      <c r="G683" s="4" t="n">
        <v>8.6</v>
      </c>
      <c r="H683" s="5" t="n">
        <v>47.6092073009</v>
      </c>
      <c r="I683" s="5" t="n">
        <v>44.78793150403333</v>
      </c>
      <c r="J683" s="5" t="n">
        <v>40.94729753394722</v>
      </c>
      <c r="K683" s="5" t="n">
        <v>67</v>
      </c>
    </row>
    <row r="684">
      <c r="A684" s="2" t="n">
        <v>46125.875</v>
      </c>
      <c r="B684">
        <f>TEXT(A684,"yyyy-mm")</f>
        <v/>
      </c>
      <c r="C684" s="3">
        <f>HOUR(A684)</f>
        <v/>
      </c>
      <c r="D684" s="4" t="n">
        <v>22.46682747308889</v>
      </c>
      <c r="E684" s="4" t="n">
        <v>24.27753479900555</v>
      </c>
      <c r="F684" s="4" t="n">
        <v>23.72731422124167</v>
      </c>
      <c r="G684" s="4" t="n">
        <v>7.4</v>
      </c>
      <c r="H684" s="5" t="n">
        <v>46.55433987722222</v>
      </c>
      <c r="I684" s="5" t="n">
        <v>43.74346221356112</v>
      </c>
      <c r="J684" s="5" t="n">
        <v>40.98520408594722</v>
      </c>
      <c r="K684" s="5" t="n">
        <v>77</v>
      </c>
    </row>
    <row r="685">
      <c r="A685" s="2" t="n">
        <v>46125.91666666666</v>
      </c>
      <c r="B685">
        <f>TEXT(A685,"yyyy-mm")</f>
        <v/>
      </c>
      <c r="C685" s="3">
        <f>HOUR(A685)</f>
        <v/>
      </c>
      <c r="D685" s="4" t="n">
        <v>22.17653083125</v>
      </c>
      <c r="E685" s="4" t="n">
        <v>24.04804647385278</v>
      </c>
      <c r="F685" s="4" t="n">
        <v>23.72499033261111</v>
      </c>
      <c r="G685" s="4" t="n">
        <v>6.9</v>
      </c>
      <c r="H685" s="5" t="n">
        <v>47.73845594903056</v>
      </c>
      <c r="I685" s="5" t="n">
        <v>43.98274455651667</v>
      </c>
      <c r="J685" s="5" t="n">
        <v>40.97241681756945</v>
      </c>
      <c r="K685" s="5" t="n">
        <v>83</v>
      </c>
    </row>
    <row r="686">
      <c r="A686" s="2" t="n">
        <v>46125.95833333334</v>
      </c>
      <c r="B686">
        <f>TEXT(A686,"yyyy-mm")</f>
        <v/>
      </c>
      <c r="C686" s="3">
        <f>HOUR(A686)</f>
        <v/>
      </c>
      <c r="D686" s="4" t="n">
        <v>22.16841778611389</v>
      </c>
      <c r="E686" s="4" t="n">
        <v>23.90631961165</v>
      </c>
      <c r="F686" s="4" t="n">
        <v>23.71052923086112</v>
      </c>
      <c r="G686" s="4" t="n">
        <v>6.6</v>
      </c>
      <c r="H686" s="5" t="n">
        <v>47.76560938093888</v>
      </c>
      <c r="I686" s="5" t="n">
        <v>43.87957353327778</v>
      </c>
      <c r="J686" s="5" t="n">
        <v>41.01915130189167</v>
      </c>
      <c r="K686" s="5" t="n">
        <v>82</v>
      </c>
    </row>
    <row r="687">
      <c r="A687" s="2" t="n">
        <v>46126</v>
      </c>
      <c r="B687">
        <f>TEXT(A687,"yyyy-mm")</f>
        <v/>
      </c>
      <c r="C687" s="3">
        <f>HOUR(A687)</f>
        <v/>
      </c>
      <c r="D687" s="4" t="n">
        <v>22.14301039901945</v>
      </c>
      <c r="E687" s="4" t="n">
        <v>23.84471647070277</v>
      </c>
      <c r="F687" s="4" t="n">
        <v>23.70510162607222</v>
      </c>
      <c r="G687" s="4" t="n">
        <v>6.1</v>
      </c>
      <c r="H687" s="5" t="n">
        <v>47.44707056531945</v>
      </c>
      <c r="I687" s="5" t="n">
        <v>44.34555388667778</v>
      </c>
      <c r="J687" s="5" t="n">
        <v>41.07834641802778</v>
      </c>
      <c r="K687" s="5" t="n">
        <v>82</v>
      </c>
    </row>
    <row r="688">
      <c r="A688" s="2" t="n">
        <v>46126.04166666666</v>
      </c>
      <c r="B688">
        <f>TEXT(A688,"yyyy-mm")</f>
        <v/>
      </c>
      <c r="C688" s="3">
        <f>HOUR(A688)</f>
        <v/>
      </c>
      <c r="D688" s="4" t="n">
        <v>21.990103939975</v>
      </c>
      <c r="E688" s="4" t="n">
        <v>23.70459176369444</v>
      </c>
      <c r="F688" s="4" t="n">
        <v>23.69248038231389</v>
      </c>
      <c r="G688" s="4" t="n">
        <v>5.6</v>
      </c>
      <c r="H688" s="5" t="n">
        <v>48.23731962120278</v>
      </c>
      <c r="I688" s="5" t="n">
        <v>45.07981124867223</v>
      </c>
      <c r="J688" s="5" t="n">
        <v>41.11835490708056</v>
      </c>
      <c r="K688" s="5" t="n">
        <v>84</v>
      </c>
    </row>
    <row r="689">
      <c r="A689" s="2" t="n">
        <v>46126.08333333334</v>
      </c>
      <c r="B689">
        <f>TEXT(A689,"yyyy-mm")</f>
        <v/>
      </c>
      <c r="C689" s="3">
        <f>HOUR(A689)</f>
        <v/>
      </c>
      <c r="D689" s="4" t="n">
        <v>21.65403572045</v>
      </c>
      <c r="E689" s="4" t="n">
        <v>23.30045090273333</v>
      </c>
      <c r="F689" s="4" t="n">
        <v>23.67725989945556</v>
      </c>
      <c r="G689" s="4" t="n">
        <v>5.1</v>
      </c>
      <c r="H689" s="5" t="n">
        <v>49.28397940747222</v>
      </c>
      <c r="I689" s="5" t="n">
        <v>43.94955861130833</v>
      </c>
      <c r="J689" s="5" t="n">
        <v>41.18823812970833</v>
      </c>
      <c r="K689" s="5" t="n">
        <v>85</v>
      </c>
    </row>
    <row r="690">
      <c r="A690" s="2" t="n">
        <v>46126.125</v>
      </c>
      <c r="B690">
        <f>TEXT(A690,"yyyy-mm")</f>
        <v/>
      </c>
      <c r="C690" s="3">
        <f>HOUR(A690)</f>
        <v/>
      </c>
      <c r="D690" s="4" t="n">
        <v>21.25648078226389</v>
      </c>
      <c r="E690" s="4" t="n">
        <v>22.92289027019723</v>
      </c>
      <c r="F690" s="4" t="n">
        <v>23.650813945225</v>
      </c>
      <c r="G690" s="4" t="n">
        <v>5.5</v>
      </c>
      <c r="H690" s="5" t="n">
        <v>49.46193638498056</v>
      </c>
      <c r="I690" s="5" t="n">
        <v>43.60932972439445</v>
      </c>
      <c r="J690" s="5" t="n">
        <v>41.33524509531944</v>
      </c>
      <c r="K690" s="5" t="n">
        <v>82</v>
      </c>
    </row>
    <row r="691">
      <c r="A691" s="2" t="n">
        <v>46126.16666666666</v>
      </c>
      <c r="B691">
        <f>TEXT(A691,"yyyy-mm")</f>
        <v/>
      </c>
      <c r="C691" s="3">
        <f>HOUR(A691)</f>
        <v/>
      </c>
      <c r="D691" s="4" t="n">
        <v>21.00945826527777</v>
      </c>
      <c r="E691" s="4" t="n">
        <v>22.63244284404722</v>
      </c>
      <c r="F691" s="4" t="n">
        <v>23.62788708259166</v>
      </c>
      <c r="G691" s="4" t="n">
        <v>5.7</v>
      </c>
      <c r="H691" s="5" t="n">
        <v>49.3380368516361</v>
      </c>
      <c r="I691" s="5" t="n">
        <v>43.372543784525</v>
      </c>
      <c r="J691" s="5" t="n">
        <v>41.48285498544723</v>
      </c>
      <c r="K691" s="5" t="n">
        <v>78</v>
      </c>
    </row>
    <row r="692">
      <c r="A692" s="2" t="n">
        <v>46126.20833333334</v>
      </c>
      <c r="B692">
        <f>TEXT(A692,"yyyy-mm")</f>
        <v/>
      </c>
      <c r="C692" s="3">
        <f>HOUR(A692)</f>
        <v/>
      </c>
      <c r="D692" s="4" t="n">
        <v>20.86735235536666</v>
      </c>
      <c r="E692" s="4" t="n">
        <v>22.47169665246389</v>
      </c>
      <c r="F692" s="4" t="n">
        <v>23.60156317713889</v>
      </c>
      <c r="G692" s="4" t="n">
        <v>5.8</v>
      </c>
      <c r="H692" s="5" t="n">
        <v>49.22209555130556</v>
      </c>
      <c r="I692" s="5" t="n">
        <v>43.13360136913055</v>
      </c>
      <c r="J692" s="5" t="n">
        <v>41.68242211887222</v>
      </c>
      <c r="K692" s="5" t="n">
        <v>74</v>
      </c>
    </row>
    <row r="693">
      <c r="A693" s="2" t="n">
        <v>46126.25</v>
      </c>
      <c r="B693">
        <f>TEXT(A693,"yyyy-mm")</f>
        <v/>
      </c>
      <c r="C693" s="3">
        <f>HOUR(A693)</f>
        <v/>
      </c>
      <c r="D693" s="4" t="n">
        <v>20.83002319756666</v>
      </c>
      <c r="E693" s="4" t="n">
        <v>22.32996994869722</v>
      </c>
      <c r="F693" s="4" t="n">
        <v>23.57123615867778</v>
      </c>
      <c r="G693" s="4" t="n">
        <v>5.9</v>
      </c>
      <c r="H693" s="5" t="n">
        <v>48.94658999481666</v>
      </c>
      <c r="I693" s="5" t="n">
        <v>43.121106227375</v>
      </c>
      <c r="J693" s="5" t="n">
        <v>41.93880532554444</v>
      </c>
      <c r="K693" s="5" t="n">
        <v>72</v>
      </c>
    </row>
    <row r="694">
      <c r="A694" s="2" t="n">
        <v>46126.29166666666</v>
      </c>
      <c r="B694">
        <f>TEXT(A694,"yyyy-mm")</f>
        <v/>
      </c>
      <c r="C694" s="3">
        <f>HOUR(A694)</f>
        <v/>
      </c>
      <c r="D694" s="4" t="n">
        <v>20.81354628823056</v>
      </c>
      <c r="E694" s="4" t="n">
        <v>22.22530390631389</v>
      </c>
      <c r="F694" s="4" t="n">
        <v>23.53861871045</v>
      </c>
      <c r="G694" s="4" t="n">
        <v>6.5</v>
      </c>
      <c r="H694" s="5" t="n">
        <v>48.45764924659722</v>
      </c>
      <c r="I694" s="5" t="n">
        <v>42.92990741861112</v>
      </c>
      <c r="J694" s="5" t="n">
        <v>42.40792319076112</v>
      </c>
      <c r="K694" s="5" t="n">
        <v>68</v>
      </c>
    </row>
    <row r="695">
      <c r="A695" s="2" t="n">
        <v>46126.33333333334</v>
      </c>
      <c r="B695">
        <f>TEXT(A695,"yyyy-mm")</f>
        <v/>
      </c>
      <c r="C695" s="3">
        <f>HOUR(A695)</f>
        <v/>
      </c>
      <c r="D695" s="4" t="n">
        <v>20.87163031165278</v>
      </c>
      <c r="E695" s="4" t="n">
        <v>22.17349554746111</v>
      </c>
      <c r="F695" s="4" t="n">
        <v>23.53391663590556</v>
      </c>
      <c r="G695" s="4" t="n">
        <v>7.1</v>
      </c>
      <c r="H695" s="5" t="n">
        <v>47.64862453052501</v>
      </c>
      <c r="I695" s="5" t="n">
        <v>42.41149940637222</v>
      </c>
      <c r="J695" s="5" t="n">
        <v>42.85983826665555</v>
      </c>
      <c r="K695" s="5" t="n">
        <v>66</v>
      </c>
    </row>
    <row r="696">
      <c r="A696" s="2" t="n">
        <v>46126.375</v>
      </c>
      <c r="B696">
        <f>TEXT(A696,"yyyy-mm")</f>
        <v/>
      </c>
      <c r="C696" s="3">
        <f>HOUR(A696)</f>
        <v/>
      </c>
      <c r="D696" s="4" t="n">
        <v>21.03683069717778</v>
      </c>
      <c r="E696" s="4" t="n">
        <v>22.13638125109722</v>
      </c>
      <c r="F696" s="4" t="n">
        <v>23.52530327186111</v>
      </c>
      <c r="G696" s="4" t="n">
        <v>8.199999999999999</v>
      </c>
      <c r="H696" s="5" t="n">
        <v>46.860926445125</v>
      </c>
      <c r="I696" s="5" t="n">
        <v>41.90142173019722</v>
      </c>
      <c r="J696" s="5" t="n">
        <v>43.20859864308056</v>
      </c>
      <c r="K696" s="5" t="n">
        <v>64</v>
      </c>
    </row>
    <row r="697">
      <c r="A697" s="2" t="n">
        <v>46126.41666666666</v>
      </c>
      <c r="B697">
        <f>TEXT(A697,"yyyy-mm")</f>
        <v/>
      </c>
      <c r="C697" s="3">
        <f>HOUR(A697)</f>
        <v/>
      </c>
      <c r="D697" s="4" t="n">
        <v>21.28842662279722</v>
      </c>
      <c r="E697" s="4" t="n">
        <v>22.21960860791667</v>
      </c>
      <c r="F697" s="4" t="n">
        <v>23.50413903815556</v>
      </c>
      <c r="G697" s="4" t="n">
        <v>9.300000000000001</v>
      </c>
      <c r="H697" s="5" t="n">
        <v>45.7525063828389</v>
      </c>
      <c r="I697" s="5" t="n">
        <v>42.002557910525</v>
      </c>
      <c r="J697" s="5" t="n">
        <v>43.73297577726944</v>
      </c>
      <c r="K697" s="5" t="n">
        <v>57</v>
      </c>
    </row>
    <row r="698">
      <c r="A698" s="2" t="n">
        <v>46126.45833333334</v>
      </c>
      <c r="B698">
        <f>TEXT(A698,"yyyy-mm")</f>
        <v/>
      </c>
      <c r="C698" s="3">
        <f>HOUR(A698)</f>
        <v/>
      </c>
      <c r="D698" s="4" t="n">
        <v>21.52166930509167</v>
      </c>
      <c r="E698" s="4" t="n">
        <v>22.58191086688889</v>
      </c>
      <c r="F698" s="4" t="n">
        <v>23.51562122507222</v>
      </c>
      <c r="G698" s="4" t="n">
        <v>10.5</v>
      </c>
      <c r="H698" s="5" t="n">
        <v>45.17640935351111</v>
      </c>
      <c r="I698" s="5" t="n">
        <v>42.6579551201</v>
      </c>
      <c r="J698" s="5" t="n">
        <v>44.22506686710278</v>
      </c>
      <c r="K698" s="5" t="n">
        <v>49</v>
      </c>
    </row>
    <row r="699">
      <c r="A699" s="2" t="n">
        <v>46126.5</v>
      </c>
      <c r="B699">
        <f>TEXT(A699,"yyyy-mm")</f>
        <v/>
      </c>
      <c r="C699" s="3">
        <f>HOUR(A699)</f>
        <v/>
      </c>
      <c r="D699" s="4" t="n">
        <v>21.55477463742778</v>
      </c>
      <c r="E699" s="4" t="n">
        <v>23.08749176130556</v>
      </c>
      <c r="F699" s="4" t="n">
        <v>23.50532308609722</v>
      </c>
      <c r="G699" s="4" t="n">
        <v>11.3</v>
      </c>
      <c r="H699" s="5" t="n">
        <v>46.8041546984</v>
      </c>
      <c r="I699" s="5" t="n">
        <v>42.31191213928056</v>
      </c>
      <c r="J699" s="5" t="n">
        <v>44.03970068721111</v>
      </c>
      <c r="K699" s="5" t="n">
        <v>43</v>
      </c>
    </row>
    <row r="700">
      <c r="A700" s="2" t="n">
        <v>46126.54166666666</v>
      </c>
      <c r="B700">
        <f>TEXT(A700,"yyyy-mm")</f>
        <v/>
      </c>
      <c r="C700" s="3">
        <f>HOUR(A700)</f>
        <v/>
      </c>
      <c r="D700" s="4" t="n">
        <v>21.33200570616667</v>
      </c>
      <c r="E700" s="4" t="n">
        <v>22.74484606765555</v>
      </c>
      <c r="F700" s="4" t="n">
        <v>23.48289607888056</v>
      </c>
      <c r="G700" s="4" t="n">
        <v>11.6</v>
      </c>
      <c r="H700" s="5" t="n">
        <v>46.03799300288611</v>
      </c>
      <c r="I700" s="5" t="n">
        <v>40.22514846505555</v>
      </c>
      <c r="J700" s="5" t="n">
        <v>44.39476288628611</v>
      </c>
      <c r="K700" s="5" t="n">
        <v>43</v>
      </c>
    </row>
    <row r="701">
      <c r="A701" s="2" t="n">
        <v>46126.58333333334</v>
      </c>
      <c r="B701">
        <f>TEXT(A701,"yyyy-mm")</f>
        <v/>
      </c>
      <c r="C701" s="3">
        <f>HOUR(A701)</f>
        <v/>
      </c>
      <c r="D701" s="4" t="n">
        <v>21.04201927445</v>
      </c>
      <c r="E701" s="4" t="n">
        <v>22.346713157525</v>
      </c>
      <c r="F701" s="4" t="n">
        <v>23.47957334384445</v>
      </c>
      <c r="G701" s="4" t="n">
        <v>10.4</v>
      </c>
      <c r="H701" s="5" t="n">
        <v>41.76082282534167</v>
      </c>
      <c r="I701" s="5" t="n">
        <v>38.18897543377501</v>
      </c>
      <c r="J701" s="5" t="n">
        <v>44.50047753514166</v>
      </c>
      <c r="K701" s="5" t="n">
        <v>49</v>
      </c>
    </row>
    <row r="702">
      <c r="A702" s="2" t="n">
        <v>46126.625</v>
      </c>
      <c r="B702">
        <f>TEXT(A702,"yyyy-mm")</f>
        <v/>
      </c>
      <c r="C702" s="3">
        <f>HOUR(A702)</f>
        <v/>
      </c>
      <c r="D702" s="4" t="n">
        <v>21.42384305464167</v>
      </c>
      <c r="E702" s="4" t="n">
        <v>22.69343565326111</v>
      </c>
      <c r="F702" s="4" t="n">
        <v>23.46768468801111</v>
      </c>
      <c r="G702" s="4" t="n">
        <v>9.800000000000001</v>
      </c>
      <c r="H702" s="5" t="n">
        <v>44.24018664876112</v>
      </c>
      <c r="I702" s="5" t="n">
        <v>40.16447378822222</v>
      </c>
      <c r="J702" s="5" t="n">
        <v>43.22315629951667</v>
      </c>
      <c r="K702" s="5" t="n">
        <v>56</v>
      </c>
    </row>
    <row r="703">
      <c r="A703" s="2" t="n">
        <v>46126.66666666666</v>
      </c>
      <c r="B703">
        <f>TEXT(A703,"yyyy-mm")</f>
        <v/>
      </c>
      <c r="C703" s="3">
        <f>HOUR(A703)</f>
        <v/>
      </c>
      <c r="D703" s="4" t="n">
        <v>21.54049998273611</v>
      </c>
      <c r="E703" s="4" t="n">
        <v>22.91782604505278</v>
      </c>
      <c r="F703" s="4" t="n">
        <v>23.46305551471111</v>
      </c>
      <c r="G703" s="4" t="n">
        <v>8.699999999999999</v>
      </c>
      <c r="H703" s="5" t="n">
        <v>44.06434903537222</v>
      </c>
      <c r="I703" s="5" t="n">
        <v>40.79391204486944</v>
      </c>
      <c r="J703" s="5" t="n">
        <v>42.91415401785278</v>
      </c>
      <c r="K703" s="5" t="n">
        <v>64</v>
      </c>
    </row>
    <row r="704">
      <c r="A704" s="2" t="n">
        <v>46126.70833333334</v>
      </c>
      <c r="B704">
        <f>TEXT(A704,"yyyy-mm")</f>
        <v/>
      </c>
      <c r="C704" s="3">
        <f>HOUR(A704)</f>
        <v/>
      </c>
      <c r="D704" s="4" t="n">
        <v>21.50765389329166</v>
      </c>
      <c r="E704" s="4" t="n">
        <v>22.99981362517222</v>
      </c>
      <c r="F704" s="4" t="n">
        <v>23.46802860976111</v>
      </c>
      <c r="G704" s="4" t="n">
        <v>7.9</v>
      </c>
      <c r="H704" s="5" t="n">
        <v>43.37515234666667</v>
      </c>
      <c r="I704" s="5" t="n">
        <v>39.91308807214167</v>
      </c>
      <c r="J704" s="5" t="n">
        <v>42.73851663740555</v>
      </c>
      <c r="K704" s="5" t="n">
        <v>71</v>
      </c>
    </row>
    <row r="705">
      <c r="A705" s="2" t="n">
        <v>46126.75</v>
      </c>
      <c r="B705">
        <f>TEXT(A705,"yyyy-mm")</f>
        <v/>
      </c>
      <c r="C705" s="3">
        <f>HOUR(A705)</f>
        <v/>
      </c>
      <c r="D705" s="4" t="n">
        <v>21.50923429259722</v>
      </c>
      <c r="E705" s="4" t="n">
        <v>23.05907979461111</v>
      </c>
      <c r="F705" s="4" t="n">
        <v>23.47589966908611</v>
      </c>
      <c r="G705" s="4" t="n">
        <v>7.5</v>
      </c>
      <c r="H705" s="5" t="n">
        <v>44.56321040398056</v>
      </c>
      <c r="I705" s="5" t="n">
        <v>41.68814028340556</v>
      </c>
      <c r="J705" s="5" t="n">
        <v>43.40035473810556</v>
      </c>
      <c r="K705" s="5" t="n">
        <v>73</v>
      </c>
    </row>
    <row r="706">
      <c r="A706" s="2" t="n">
        <v>46126.79166666666</v>
      </c>
      <c r="B706">
        <f>TEXT(A706,"yyyy-mm")</f>
        <v/>
      </c>
      <c r="C706" s="3">
        <f>HOUR(A706)</f>
        <v/>
      </c>
      <c r="D706" s="4" t="n">
        <v>21.59034773899167</v>
      </c>
      <c r="E706" s="4" t="n">
        <v>23.36260818133889</v>
      </c>
      <c r="F706" s="4" t="n">
        <v>23.47744928809722</v>
      </c>
      <c r="G706" s="4" t="n">
        <v>6.6</v>
      </c>
      <c r="H706" s="5" t="n">
        <v>48.72552772131389</v>
      </c>
      <c r="I706" s="5" t="n">
        <v>46.77885735156666</v>
      </c>
      <c r="J706" s="5" t="n">
        <v>43.00657199721945</v>
      </c>
      <c r="K706" s="5" t="n">
        <v>79</v>
      </c>
    </row>
    <row r="707">
      <c r="A707" s="2" t="n">
        <v>46126.83333333334</v>
      </c>
      <c r="B707">
        <f>TEXT(A707,"yyyy-mm")</f>
        <v/>
      </c>
      <c r="C707" s="3">
        <f>HOUR(A707)</f>
        <v/>
      </c>
      <c r="D707" s="4" t="n">
        <v>21.39838691854166</v>
      </c>
      <c r="E707" s="4" t="n">
        <v>23.05885202431666</v>
      </c>
      <c r="F707" s="4" t="n">
        <v>23.5153923758</v>
      </c>
      <c r="G707" s="4" t="n">
        <v>6.3</v>
      </c>
      <c r="H707" s="5" t="n">
        <v>50.20713063951667</v>
      </c>
      <c r="I707" s="5" t="n">
        <v>45.17463564118888</v>
      </c>
      <c r="J707" s="5" t="n">
        <v>43.06353164647499</v>
      </c>
      <c r="K707" s="5" t="n">
        <v>82</v>
      </c>
    </row>
    <row r="708">
      <c r="A708" s="2" t="n">
        <v>46126.875</v>
      </c>
      <c r="B708">
        <f>TEXT(A708,"yyyy-mm")</f>
        <v/>
      </c>
      <c r="C708" s="3">
        <f>HOUR(A708)</f>
        <v/>
      </c>
      <c r="D708" s="4" t="n">
        <v>21.25480184071389</v>
      </c>
      <c r="E708" s="4" t="n">
        <v>22.91291465396666</v>
      </c>
      <c r="F708" s="4" t="n">
        <v>23.51234049401389</v>
      </c>
      <c r="G708" s="4" t="n">
        <v>6.4</v>
      </c>
      <c r="H708" s="5" t="n">
        <v>48.06272852308056</v>
      </c>
      <c r="I708" s="5" t="n">
        <v>42.81516327843889</v>
      </c>
      <c r="J708" s="5" t="n">
        <v>42.66941680609167</v>
      </c>
      <c r="K708" s="5" t="n">
        <v>85</v>
      </c>
    </row>
    <row r="709">
      <c r="A709" s="2" t="n">
        <v>46126.91666666666</v>
      </c>
      <c r="B709">
        <f>TEXT(A709,"yyyy-mm")</f>
        <v/>
      </c>
      <c r="C709" s="3">
        <f>HOUR(A709)</f>
        <v/>
      </c>
      <c r="D709" s="4" t="n">
        <v>21.31398059490278</v>
      </c>
      <c r="E709" s="4" t="n">
        <v>23.05133359725278</v>
      </c>
      <c r="F709" s="4" t="n">
        <v>23.48761398689444</v>
      </c>
      <c r="G709" s="4" t="n">
        <v>6.1</v>
      </c>
      <c r="H709" s="5" t="n">
        <v>47.32495251731666</v>
      </c>
      <c r="I709" s="5" t="n">
        <v>44.02074904728611</v>
      </c>
      <c r="J709" s="5" t="n">
        <v>42.84379400152778</v>
      </c>
      <c r="K709" s="5" t="n">
        <v>86</v>
      </c>
    </row>
    <row r="710">
      <c r="A710" s="2" t="n">
        <v>46126.95833333334</v>
      </c>
      <c r="B710">
        <f>TEXT(A710,"yyyy-mm")</f>
        <v/>
      </c>
      <c r="C710" s="3">
        <f>HOUR(A710)</f>
        <v/>
      </c>
      <c r="D710" s="4" t="n">
        <v>21.43901265358611</v>
      </c>
      <c r="E710" s="4" t="n">
        <v>22.99722253496667</v>
      </c>
      <c r="F710" s="4" t="n">
        <v>23.464100962975</v>
      </c>
      <c r="G710" s="4" t="n">
        <v>5.9</v>
      </c>
      <c r="H710" s="5" t="n">
        <v>47.43773078706111</v>
      </c>
      <c r="I710" s="5" t="n">
        <v>43.39555385550833</v>
      </c>
      <c r="J710" s="5" t="n">
        <v>43.05311736088056</v>
      </c>
      <c r="K710" s="5" t="n">
        <v>89</v>
      </c>
    </row>
    <row r="711">
      <c r="A711" s="2" t="n">
        <v>46127</v>
      </c>
      <c r="B711">
        <f>TEXT(A711,"yyyy-mm")</f>
        <v/>
      </c>
      <c r="C711" s="3">
        <f>HOUR(A711)</f>
        <v/>
      </c>
      <c r="D711" s="4" t="n">
        <v>21.62653905565</v>
      </c>
      <c r="E711" s="4" t="n">
        <v>23.07397301594444</v>
      </c>
      <c r="F711" s="4" t="n">
        <v>23.43961747460834</v>
      </c>
      <c r="G711" s="4" t="n">
        <v>5.6</v>
      </c>
      <c r="H711" s="5" t="n">
        <v>46.87846283345834</v>
      </c>
      <c r="I711" s="5" t="n">
        <v>43.38819003412777</v>
      </c>
      <c r="J711" s="5" t="n">
        <v>42.91142442818056</v>
      </c>
      <c r="K711" s="5" t="n">
        <v>91</v>
      </c>
    </row>
    <row r="712">
      <c r="A712" s="2" t="n">
        <v>46127.04166666666</v>
      </c>
      <c r="B712">
        <f>TEXT(A712,"yyyy-mm")</f>
        <v/>
      </c>
      <c r="C712" s="3">
        <f>HOUR(A712)</f>
        <v/>
      </c>
      <c r="D712" s="4" t="n">
        <v>21.80946507406945</v>
      </c>
      <c r="E712" s="4" t="n">
        <v>23.30189132676666</v>
      </c>
      <c r="F712" s="4" t="n">
        <v>23.41978436802222</v>
      </c>
      <c r="G712" s="4" t="n">
        <v>5.5</v>
      </c>
      <c r="H712" s="5" t="n">
        <v>46.41055880508055</v>
      </c>
      <c r="I712" s="5" t="n">
        <v>42.61562439095555</v>
      </c>
      <c r="J712" s="5" t="n">
        <v>42.78666587797222</v>
      </c>
      <c r="K712" s="5" t="n">
        <v>91</v>
      </c>
    </row>
    <row r="713">
      <c r="A713" s="2" t="n">
        <v>46127.08333333334</v>
      </c>
      <c r="B713">
        <f>TEXT(A713,"yyyy-mm")</f>
        <v/>
      </c>
      <c r="C713" s="3">
        <f>HOUR(A713)</f>
        <v/>
      </c>
      <c r="D713" s="4" t="n">
        <v>21.77895325649166</v>
      </c>
      <c r="E713" s="4" t="n">
        <v>23.31804818573056</v>
      </c>
      <c r="F713" s="4" t="n">
        <v>23.40265609755278</v>
      </c>
      <c r="G713" s="4" t="n">
        <v>5.4</v>
      </c>
      <c r="H713" s="5" t="n">
        <v>46.34411222713333</v>
      </c>
      <c r="I713" s="5" t="n">
        <v>42.69356045946944</v>
      </c>
      <c r="J713" s="5" t="n">
        <v>42.66309161519167</v>
      </c>
      <c r="K713" s="5" t="n">
        <v>92</v>
      </c>
    </row>
    <row r="714">
      <c r="A714" s="2" t="n">
        <v>46127.125</v>
      </c>
      <c r="B714">
        <f>TEXT(A714,"yyyy-mm")</f>
        <v/>
      </c>
      <c r="C714" s="3">
        <f>HOUR(A714)</f>
        <v/>
      </c>
      <c r="D714" s="4" t="n">
        <v>21.27950624968333</v>
      </c>
      <c r="E714" s="4" t="n">
        <v>22.71824552054444</v>
      </c>
      <c r="F714" s="4" t="n">
        <v>23.37261301324722</v>
      </c>
      <c r="G714" s="4" t="n">
        <v>5.4</v>
      </c>
      <c r="H714" s="5" t="n">
        <v>47.98483997790277</v>
      </c>
      <c r="I714" s="5" t="n">
        <v>43.21721974227222</v>
      </c>
      <c r="J714" s="5" t="n">
        <v>42.60358325502222</v>
      </c>
      <c r="K714" s="5" t="n">
        <v>93</v>
      </c>
    </row>
    <row r="715">
      <c r="A715" s="2" t="n">
        <v>46127.16666666666</v>
      </c>
      <c r="B715">
        <f>TEXT(A715,"yyyy-mm")</f>
        <v/>
      </c>
      <c r="C715" s="3">
        <f>HOUR(A715)</f>
        <v/>
      </c>
      <c r="D715" s="4" t="n">
        <v>20.86664942571944</v>
      </c>
      <c r="E715" s="4" t="n">
        <v>22.46693483276389</v>
      </c>
      <c r="F715" s="4" t="n">
        <v>23.342018939525</v>
      </c>
      <c r="G715" s="4" t="n">
        <v>5.5</v>
      </c>
      <c r="H715" s="5" t="n">
        <v>49.05830217073333</v>
      </c>
      <c r="I715" s="5" t="n">
        <v>43.45018256926667</v>
      </c>
      <c r="J715" s="5" t="n">
        <v>42.59095789629722</v>
      </c>
      <c r="K715" s="5" t="n">
        <v>93</v>
      </c>
    </row>
    <row r="716">
      <c r="A716" s="2" t="n">
        <v>46127.20833333334</v>
      </c>
      <c r="B716">
        <f>TEXT(A716,"yyyy-mm")</f>
        <v/>
      </c>
      <c r="C716" s="3">
        <f>HOUR(A716)</f>
        <v/>
      </c>
      <c r="D716" s="4" t="n">
        <v>20.62835484023333</v>
      </c>
      <c r="E716" s="4" t="n">
        <v>22.22556597985277</v>
      </c>
      <c r="F716" s="4" t="n">
        <v>23.30456423049166</v>
      </c>
      <c r="G716" s="4" t="n">
        <v>5.6</v>
      </c>
      <c r="H716" s="5" t="n">
        <v>48.98805488566666</v>
      </c>
      <c r="I716" s="5" t="n">
        <v>43.41715590581389</v>
      </c>
      <c r="J716" s="5" t="n">
        <v>42.59155836359722</v>
      </c>
      <c r="K716" s="5" t="n">
        <v>94</v>
      </c>
    </row>
    <row r="717">
      <c r="A717" s="2" t="n">
        <v>46127.25</v>
      </c>
      <c r="B717">
        <f>TEXT(A717,"yyyy-mm")</f>
        <v/>
      </c>
      <c r="C717" s="3">
        <f>HOUR(A717)</f>
        <v/>
      </c>
      <c r="D717" s="4" t="n">
        <v>20.48413026112778</v>
      </c>
      <c r="E717" s="4" t="n">
        <v>22.07476739940278</v>
      </c>
      <c r="F717" s="4" t="n">
        <v>23.25217810749167</v>
      </c>
      <c r="G717" s="4" t="n">
        <v>5.7</v>
      </c>
      <c r="H717" s="5" t="n">
        <v>48.96885537806944</v>
      </c>
      <c r="I717" s="5" t="n">
        <v>43.17534223513888</v>
      </c>
      <c r="J717" s="5" t="n">
        <v>42.61012182637778</v>
      </c>
      <c r="K717" s="5" t="n">
        <v>94</v>
      </c>
    </row>
    <row r="718">
      <c r="A718" s="2" t="n">
        <v>46127.29166666666</v>
      </c>
      <c r="B718">
        <f>TEXT(A718,"yyyy-mm")</f>
        <v/>
      </c>
      <c r="C718" s="3">
        <f>HOUR(A718)</f>
        <v/>
      </c>
      <c r="D718" s="4" t="n">
        <v>20.42576294006667</v>
      </c>
      <c r="E718" s="4" t="n">
        <v>21.99733117577778</v>
      </c>
      <c r="F718" s="4" t="n">
        <v>23.21811759409166</v>
      </c>
      <c r="G718" s="4" t="n">
        <v>5.9</v>
      </c>
      <c r="H718" s="5" t="n">
        <v>48.9610708403639</v>
      </c>
      <c r="I718" s="5" t="n">
        <v>43.0363358725</v>
      </c>
      <c r="J718" s="5" t="n">
        <v>42.58506243370555</v>
      </c>
      <c r="K718" s="5" t="n">
        <v>94</v>
      </c>
    </row>
    <row r="719">
      <c r="A719" s="2" t="n">
        <v>46127.33333333334</v>
      </c>
      <c r="B719">
        <f>TEXT(A719,"yyyy-mm")</f>
        <v/>
      </c>
      <c r="C719" s="3">
        <f>HOUR(A719)</f>
        <v/>
      </c>
      <c r="D719" s="4" t="n">
        <v>20.42417286654445</v>
      </c>
      <c r="E719" s="4" t="n">
        <v>21.86859420663333</v>
      </c>
      <c r="F719" s="4" t="n">
        <v>23.21622246291389</v>
      </c>
      <c r="G719" s="4" t="n">
        <v>6.6</v>
      </c>
      <c r="H719" s="5" t="n">
        <v>48.72652648721112</v>
      </c>
      <c r="I719" s="5" t="n">
        <v>43.02939119528056</v>
      </c>
      <c r="J719" s="5" t="n">
        <v>42.65227333126945</v>
      </c>
      <c r="K719" s="5" t="n">
        <v>90</v>
      </c>
    </row>
    <row r="720">
      <c r="A720" s="2" t="n">
        <v>46127.375</v>
      </c>
      <c r="B720">
        <f>TEXT(A720,"yyyy-mm")</f>
        <v/>
      </c>
      <c r="C720" s="3">
        <f>HOUR(A720)</f>
        <v/>
      </c>
      <c r="D720" s="4" t="n">
        <v>20.53240927830833</v>
      </c>
      <c r="E720" s="4" t="n">
        <v>21.86267935425833</v>
      </c>
      <c r="F720" s="4" t="n">
        <v>23.20532244813333</v>
      </c>
      <c r="G720" s="4" t="n">
        <v>7</v>
      </c>
      <c r="H720" s="5" t="n">
        <v>48.31115276528055</v>
      </c>
      <c r="I720" s="5" t="n">
        <v>42.92806570264444</v>
      </c>
      <c r="J720" s="5" t="n">
        <v>42.77036785613333</v>
      </c>
      <c r="K720" s="5" t="n">
        <v>91</v>
      </c>
    </row>
    <row r="721">
      <c r="A721" s="2" t="n">
        <v>46127.41666666666</v>
      </c>
      <c r="B721">
        <f>TEXT(A721,"yyyy-mm")</f>
        <v/>
      </c>
      <c r="C721" s="3">
        <f>HOUR(A721)</f>
        <v/>
      </c>
      <c r="D721" s="4" t="n">
        <v>20.71587562775</v>
      </c>
      <c r="E721" s="4" t="n">
        <v>21.82513553069445</v>
      </c>
      <c r="F721" s="4" t="n">
        <v>23.19839470216111</v>
      </c>
      <c r="G721" s="4" t="n">
        <v>8</v>
      </c>
      <c r="H721" s="5" t="n">
        <v>47.927254712325</v>
      </c>
      <c r="I721" s="5" t="n">
        <v>43.03506487470278</v>
      </c>
      <c r="J721" s="5" t="n">
        <v>42.85875384676945</v>
      </c>
      <c r="K721" s="5" t="n">
        <v>84</v>
      </c>
    </row>
    <row r="722">
      <c r="A722" s="2" t="n">
        <v>46127.45833333334</v>
      </c>
      <c r="B722">
        <f>TEXT(A722,"yyyy-mm")</f>
        <v/>
      </c>
      <c r="C722" s="3">
        <f>HOUR(A722)</f>
        <v/>
      </c>
      <c r="D722" s="4" t="n">
        <v>21.111037767075</v>
      </c>
      <c r="E722" s="4" t="n">
        <v>22.12622213590834</v>
      </c>
      <c r="F722" s="4" t="n">
        <v>23.18614838516111</v>
      </c>
      <c r="G722" s="4" t="n">
        <v>9.300000000000001</v>
      </c>
      <c r="H722" s="5" t="n">
        <v>47.06861715243334</v>
      </c>
      <c r="I722" s="5" t="n">
        <v>43.67499161406666</v>
      </c>
      <c r="J722" s="5" t="n">
        <v>42.89302935689167</v>
      </c>
      <c r="K722" s="5" t="n">
        <v>76</v>
      </c>
    </row>
    <row r="723">
      <c r="A723" s="2" t="n">
        <v>46127.5</v>
      </c>
      <c r="B723">
        <f>TEXT(A723,"yyyy-mm")</f>
        <v/>
      </c>
      <c r="C723" s="3">
        <f>HOUR(A723)</f>
        <v/>
      </c>
      <c r="D723" s="4" t="n">
        <v>21.15326107598611</v>
      </c>
      <c r="E723" s="4" t="n">
        <v>22.43153302334444</v>
      </c>
      <c r="F723" s="4" t="n">
        <v>23.18892726346667</v>
      </c>
      <c r="G723" s="4" t="n">
        <v>10.8</v>
      </c>
      <c r="H723" s="5" t="n">
        <v>49.02618094420277</v>
      </c>
      <c r="I723" s="5" t="n">
        <v>45.14591251886667</v>
      </c>
      <c r="J723" s="5" t="n">
        <v>42.87078945695555</v>
      </c>
      <c r="K723" s="5" t="n">
        <v>68</v>
      </c>
    </row>
    <row r="724">
      <c r="A724" s="2" t="n">
        <v>46127.54166666666</v>
      </c>
      <c r="B724">
        <f>TEXT(A724,"yyyy-mm")</f>
        <v/>
      </c>
      <c r="C724" s="3">
        <f>HOUR(A724)</f>
        <v/>
      </c>
      <c r="D724" s="4" t="n">
        <v>21.19921214608056</v>
      </c>
      <c r="E724" s="4" t="n">
        <v>22.40314596939444</v>
      </c>
      <c r="F724" s="4" t="n">
        <v>23.17796726867778</v>
      </c>
      <c r="G724" s="4" t="n">
        <v>11.3</v>
      </c>
      <c r="H724" s="5" t="n">
        <v>49.84085694951944</v>
      </c>
      <c r="I724" s="5" t="n">
        <v>45.22592122442222</v>
      </c>
      <c r="J724" s="5" t="n">
        <v>42.84263419721111</v>
      </c>
      <c r="K724" s="5" t="n">
        <v>65</v>
      </c>
    </row>
    <row r="725">
      <c r="A725" s="2" t="n">
        <v>46127.58333333334</v>
      </c>
      <c r="B725">
        <f>TEXT(A725,"yyyy-mm")</f>
        <v/>
      </c>
      <c r="C725" s="3">
        <f>HOUR(A725)</f>
        <v/>
      </c>
      <c r="D725" s="4" t="n">
        <v>21.23632267113056</v>
      </c>
      <c r="E725" s="4" t="n">
        <v>22.44738558458333</v>
      </c>
      <c r="F725" s="4" t="n">
        <v>23.17293289660278</v>
      </c>
      <c r="G725" s="4" t="n">
        <v>11.6</v>
      </c>
      <c r="H725" s="5" t="n">
        <v>49.99132334262222</v>
      </c>
      <c r="I725" s="5" t="n">
        <v>45.93945862742778</v>
      </c>
      <c r="J725" s="5" t="n">
        <v>42.81365593983056</v>
      </c>
      <c r="K725" s="5" t="n">
        <v>63</v>
      </c>
    </row>
    <row r="726">
      <c r="A726" s="2" t="n">
        <v>46127.625</v>
      </c>
      <c r="B726">
        <f>TEXT(A726,"yyyy-mm")</f>
        <v/>
      </c>
      <c r="C726" s="3">
        <f>HOUR(A726)</f>
        <v/>
      </c>
      <c r="D726" s="4" t="n">
        <v>21.29805331313333</v>
      </c>
      <c r="E726" s="4" t="n">
        <v>22.77722370100833</v>
      </c>
      <c r="F726" s="4" t="n">
        <v>23.14350596001944</v>
      </c>
      <c r="G726" s="4" t="n">
        <v>11.4</v>
      </c>
      <c r="H726" s="5" t="n">
        <v>51.59000325435278</v>
      </c>
      <c r="I726" s="5" t="n">
        <v>45.677360305325</v>
      </c>
      <c r="J726" s="5" t="n">
        <v>42.73935598545278</v>
      </c>
      <c r="K726" s="5" t="n">
        <v>65</v>
      </c>
    </row>
    <row r="727">
      <c r="A727" s="2" t="n">
        <v>46127.66666666666</v>
      </c>
      <c r="B727">
        <f>TEXT(A727,"yyyy-mm")</f>
        <v/>
      </c>
      <c r="C727" s="3">
        <f>HOUR(A727)</f>
        <v/>
      </c>
      <c r="D727" s="4" t="n">
        <v>21.26354110495278</v>
      </c>
      <c r="E727" s="4" t="n">
        <v>23.17778012251945</v>
      </c>
      <c r="F727" s="4" t="n">
        <v>23.15082763735833</v>
      </c>
      <c r="G727" s="4" t="n">
        <v>11.6</v>
      </c>
      <c r="H727" s="5" t="n">
        <v>51.88119742402778</v>
      </c>
      <c r="I727" s="5" t="n">
        <v>45.07290571576944</v>
      </c>
      <c r="J727" s="5" t="n">
        <v>42.64214059870833</v>
      </c>
      <c r="K727" s="5" t="n">
        <v>64</v>
      </c>
    </row>
    <row r="728">
      <c r="A728" s="2" t="n">
        <v>46127.70833333334</v>
      </c>
      <c r="B728">
        <f>TEXT(A728,"yyyy-mm")</f>
        <v/>
      </c>
      <c r="C728" s="3">
        <f>HOUR(A728)</f>
        <v/>
      </c>
      <c r="D728" s="4" t="n">
        <v>21.2074091354</v>
      </c>
      <c r="E728" s="4" t="n">
        <v>23.11900842416111</v>
      </c>
      <c r="F728" s="4" t="n">
        <v>23.15825050730833</v>
      </c>
      <c r="G728" s="4" t="n">
        <v>11.4</v>
      </c>
      <c r="H728" s="5" t="n">
        <v>51.36491940681389</v>
      </c>
      <c r="I728" s="5" t="n">
        <v>45.50699618885556</v>
      </c>
      <c r="J728" s="5" t="n">
        <v>42.47973976763889</v>
      </c>
      <c r="K728" s="5" t="n">
        <v>64</v>
      </c>
    </row>
    <row r="729">
      <c r="A729" s="2" t="n">
        <v>46127.75</v>
      </c>
      <c r="B729">
        <f>TEXT(A729,"yyyy-mm")</f>
        <v/>
      </c>
      <c r="C729" s="3">
        <f>HOUR(A729)</f>
        <v/>
      </c>
      <c r="D729" s="4" t="n">
        <v>20.95409787182778</v>
      </c>
      <c r="E729" s="4" t="n">
        <v>22.62553301299722</v>
      </c>
      <c r="F729" s="4" t="n">
        <v>23.16214540938889</v>
      </c>
      <c r="G729" s="4" t="n">
        <v>11.4</v>
      </c>
      <c r="H729" s="5" t="n">
        <v>48.89953500333056</v>
      </c>
      <c r="I729" s="5" t="n">
        <v>45.60501140831111</v>
      </c>
      <c r="J729" s="5" t="n">
        <v>42.75681258622777</v>
      </c>
      <c r="K729" s="5" t="n">
        <v>66</v>
      </c>
    </row>
    <row r="730">
      <c r="A730" s="2" t="n">
        <v>46127.79166666666</v>
      </c>
      <c r="B730">
        <f>TEXT(A730,"yyyy-mm")</f>
        <v/>
      </c>
      <c r="C730" s="3">
        <f>HOUR(A730)</f>
        <v/>
      </c>
      <c r="D730" s="4" t="n">
        <v>19.8803628471</v>
      </c>
      <c r="E730" s="4" t="n">
        <v>22.09314270957778</v>
      </c>
      <c r="F730" s="4" t="n">
        <v>23.16377828919167</v>
      </c>
      <c r="G730" s="4" t="n">
        <v>10.7</v>
      </c>
      <c r="H730" s="5" t="n">
        <v>44.17393138406945</v>
      </c>
      <c r="I730" s="5" t="n">
        <v>40.85088057191111</v>
      </c>
      <c r="J730" s="5" t="n">
        <v>44.27914279573056</v>
      </c>
      <c r="K730" s="5" t="n">
        <v>74</v>
      </c>
    </row>
    <row r="731">
      <c r="A731" s="2" t="n">
        <v>46127.83333333334</v>
      </c>
      <c r="B731">
        <f>TEXT(A731,"yyyy-mm")</f>
        <v/>
      </c>
      <c r="C731" s="3">
        <f>HOUR(A731)</f>
        <v/>
      </c>
      <c r="D731" s="4" t="n">
        <v>20.53833781946111</v>
      </c>
      <c r="E731" s="4" t="n">
        <v>22.12396444269444</v>
      </c>
      <c r="F731" s="4" t="n">
        <v>23.13072973476111</v>
      </c>
      <c r="G731" s="4" t="n">
        <v>8.199999999999999</v>
      </c>
      <c r="H731" s="5" t="n">
        <v>43.33768074208889</v>
      </c>
      <c r="I731" s="5" t="n">
        <v>40.56908966218611</v>
      </c>
      <c r="J731" s="5" t="n">
        <v>45.50564788003889</v>
      </c>
      <c r="K731" s="5" t="n">
        <v>81</v>
      </c>
    </row>
    <row r="732">
      <c r="A732" s="2" t="n">
        <v>46127.875</v>
      </c>
      <c r="B732">
        <f>TEXT(A732,"yyyy-mm")</f>
        <v/>
      </c>
      <c r="C732" s="3">
        <f>HOUR(A732)</f>
        <v/>
      </c>
      <c r="D732" s="4" t="n">
        <v>20.97332044036945</v>
      </c>
      <c r="E732" s="4" t="n">
        <v>22.66092741486944</v>
      </c>
      <c r="F732" s="4" t="n">
        <v>23.06028687801389</v>
      </c>
      <c r="G732" s="4" t="n">
        <v>7.9</v>
      </c>
      <c r="H732" s="5" t="n">
        <v>45.96266098797222</v>
      </c>
      <c r="I732" s="5" t="n">
        <v>42.76734047959167</v>
      </c>
      <c r="J732" s="5" t="n">
        <v>48.31217331631944</v>
      </c>
      <c r="K732" s="5" t="n">
        <v>83</v>
      </c>
    </row>
    <row r="733">
      <c r="A733" s="2" t="n">
        <v>46127.91666666666</v>
      </c>
      <c r="B733">
        <f>TEXT(A733,"yyyy-mm")</f>
        <v/>
      </c>
      <c r="C733" s="3">
        <f>HOUR(A733)</f>
        <v/>
      </c>
      <c r="D733" s="4" t="n">
        <v>21.103070333425</v>
      </c>
      <c r="E733" s="4" t="n">
        <v>23.11656860346945</v>
      </c>
      <c r="F733" s="4" t="n">
        <v>23.057376093675</v>
      </c>
      <c r="G733" s="4" t="n">
        <v>7.4</v>
      </c>
      <c r="H733" s="5" t="n">
        <v>50.560168396675</v>
      </c>
      <c r="I733" s="5" t="n">
        <v>46.32752029978334</v>
      </c>
      <c r="J733" s="5" t="n">
        <v>44.93257946772778</v>
      </c>
      <c r="K733" s="5" t="n">
        <v>84</v>
      </c>
    </row>
    <row r="734">
      <c r="A734" s="2" t="n">
        <v>46127.95833333334</v>
      </c>
      <c r="B734">
        <f>TEXT(A734,"yyyy-mm")</f>
        <v/>
      </c>
      <c r="C734" s="3">
        <f>HOUR(A734)</f>
        <v/>
      </c>
      <c r="D734" s="4" t="n">
        <v>21.39884876491389</v>
      </c>
      <c r="E734" s="4" t="n">
        <v>23.60097395471389</v>
      </c>
      <c r="F734" s="4" t="n">
        <v>23.07175651925555</v>
      </c>
      <c r="G734" s="4" t="n">
        <v>6.7</v>
      </c>
      <c r="H734" s="5" t="n">
        <v>54.78331093966667</v>
      </c>
      <c r="I734" s="5" t="n">
        <v>51.26085465190555</v>
      </c>
      <c r="J734" s="5" t="n">
        <v>43.88651031364722</v>
      </c>
      <c r="K734" s="5" t="n">
        <v>85</v>
      </c>
    </row>
    <row r="735">
      <c r="A735" s="2" t="n">
        <v>46128</v>
      </c>
      <c r="B735">
        <f>TEXT(A735,"yyyy-mm")</f>
        <v/>
      </c>
      <c r="C735" s="3">
        <f>HOUR(A735)</f>
        <v/>
      </c>
      <c r="D735" s="4" t="n">
        <v>21.51249727963055</v>
      </c>
      <c r="E735" s="4" t="n">
        <v>23.58799617849445</v>
      </c>
      <c r="F735" s="4" t="n">
        <v>23.08586121085278</v>
      </c>
      <c r="G735" s="4" t="n">
        <v>6.2</v>
      </c>
      <c r="H735" s="5" t="n">
        <v>53.07145579281944</v>
      </c>
      <c r="I735" s="5" t="n">
        <v>48.89667346507778</v>
      </c>
      <c r="J735" s="5" t="n">
        <v>43.61002276663334</v>
      </c>
      <c r="K735" s="5" t="n">
        <v>86</v>
      </c>
    </row>
    <row r="736">
      <c r="A736" s="2" t="n">
        <v>46128.04166666666</v>
      </c>
      <c r="B736">
        <f>TEXT(A736,"yyyy-mm")</f>
        <v/>
      </c>
      <c r="C736" s="3">
        <f>HOUR(A736)</f>
        <v/>
      </c>
      <c r="D736" s="4" t="n">
        <v>21.49945141529722</v>
      </c>
      <c r="E736" s="4" t="n">
        <v>23.30614431124167</v>
      </c>
      <c r="F736" s="4" t="n">
        <v>23.08549995168612</v>
      </c>
      <c r="G736" s="4" t="n">
        <v>5.6</v>
      </c>
      <c r="H736" s="5" t="n">
        <v>51.00176811401388</v>
      </c>
      <c r="I736" s="5" t="n">
        <v>47.31424450636666</v>
      </c>
      <c r="J736" s="5" t="n">
        <v>43.38471767778333</v>
      </c>
      <c r="K736" s="5" t="n">
        <v>88</v>
      </c>
    </row>
    <row r="737">
      <c r="A737" s="2" t="n">
        <v>46128.08333333334</v>
      </c>
      <c r="B737">
        <f>TEXT(A737,"yyyy-mm")</f>
        <v/>
      </c>
      <c r="C737" s="3">
        <f>HOUR(A737)</f>
        <v/>
      </c>
      <c r="D737" s="4" t="n">
        <v>20.85889977325833</v>
      </c>
      <c r="E737" s="4" t="n">
        <v>22.83321941968333</v>
      </c>
      <c r="F737" s="4" t="n">
        <v>23.06199337719444</v>
      </c>
      <c r="G737" s="4" t="n">
        <v>5</v>
      </c>
      <c r="H737" s="5" t="n">
        <v>51.71539826629444</v>
      </c>
      <c r="I737" s="5" t="n">
        <v>45.52005104208612</v>
      </c>
      <c r="J737" s="5" t="n">
        <v>43.23327367470555</v>
      </c>
      <c r="K737" s="5" t="n">
        <v>89</v>
      </c>
    </row>
    <row r="738">
      <c r="A738" s="2" t="n">
        <v>46128.125</v>
      </c>
      <c r="B738">
        <f>TEXT(A738,"yyyy-mm")</f>
        <v/>
      </c>
      <c r="C738" s="3">
        <f>HOUR(A738)</f>
        <v/>
      </c>
      <c r="D738" s="4" t="n">
        <v>20.45022647668611</v>
      </c>
      <c r="E738" s="4" t="n">
        <v>22.36868018224166</v>
      </c>
      <c r="F738" s="4" t="n">
        <v>23.01944284261389</v>
      </c>
      <c r="G738" s="4" t="n">
        <v>4.7</v>
      </c>
      <c r="H738" s="5" t="n">
        <v>51.65963127856111</v>
      </c>
      <c r="I738" s="5" t="n">
        <v>44.81655862917222</v>
      </c>
      <c r="J738" s="5" t="n">
        <v>43.10979635059167</v>
      </c>
      <c r="K738" s="5" t="n">
        <v>89</v>
      </c>
    </row>
    <row r="739">
      <c r="A739" s="2" t="n">
        <v>46128.16666666666</v>
      </c>
      <c r="B739">
        <f>TEXT(A739,"yyyy-mm")</f>
        <v/>
      </c>
      <c r="C739" s="3">
        <f>HOUR(A739)</f>
        <v/>
      </c>
      <c r="D739" s="4" t="n">
        <v>20.219471304075</v>
      </c>
      <c r="E739" s="4" t="n">
        <v>22.111445309275</v>
      </c>
      <c r="F739" s="4" t="n">
        <v>22.98093618164444</v>
      </c>
      <c r="G739" s="4" t="n">
        <v>4.3</v>
      </c>
      <c r="H739" s="5" t="n">
        <v>51.42978392414722</v>
      </c>
      <c r="I739" s="5" t="n">
        <v>44.51630925651389</v>
      </c>
      <c r="J739" s="5" t="n">
        <v>43.02438195314167</v>
      </c>
      <c r="K739" s="5" t="n">
        <v>89</v>
      </c>
    </row>
    <row r="740">
      <c r="A740" s="2" t="n">
        <v>46128.20833333334</v>
      </c>
      <c r="B740">
        <f>TEXT(A740,"yyyy-mm")</f>
        <v/>
      </c>
      <c r="C740" s="3">
        <f>HOUR(A740)</f>
        <v/>
      </c>
      <c r="D740" s="4" t="n">
        <v>20.09144202871667</v>
      </c>
      <c r="E740" s="4" t="n">
        <v>21.96296892688333</v>
      </c>
      <c r="F740" s="4" t="n">
        <v>22.958794193775</v>
      </c>
      <c r="G740" s="4" t="n">
        <v>3.6</v>
      </c>
      <c r="H740" s="5" t="n">
        <v>51.04222117828611</v>
      </c>
      <c r="I740" s="5" t="n">
        <v>44.32209795394167</v>
      </c>
      <c r="J740" s="5" t="n">
        <v>42.96227570006389</v>
      </c>
      <c r="K740" s="5" t="n">
        <v>90</v>
      </c>
    </row>
    <row r="741">
      <c r="A741" s="2" t="n">
        <v>46128.25</v>
      </c>
      <c r="B741">
        <f>TEXT(A741,"yyyy-mm")</f>
        <v/>
      </c>
      <c r="C741" s="3">
        <f>HOUR(A741)</f>
        <v/>
      </c>
      <c r="D741" s="4" t="n">
        <v>20.57299604315278</v>
      </c>
      <c r="E741" s="4" t="n">
        <v>22.04417903496666</v>
      </c>
      <c r="F741" s="4" t="n">
        <v>22.94975674092223</v>
      </c>
      <c r="G741" s="4" t="n">
        <v>3.2</v>
      </c>
      <c r="H741" s="5" t="n">
        <v>49.03248573399444</v>
      </c>
      <c r="I741" s="5" t="n">
        <v>44.44965143965278</v>
      </c>
      <c r="J741" s="5" t="n">
        <v>42.92313855310834</v>
      </c>
      <c r="K741" s="5" t="n">
        <v>90</v>
      </c>
    </row>
    <row r="742">
      <c r="A742" s="2" t="n">
        <v>46128.29166666666</v>
      </c>
      <c r="B742">
        <f>TEXT(A742,"yyyy-mm")</f>
        <v/>
      </c>
      <c r="C742" s="3">
        <f>HOUR(A742)</f>
        <v/>
      </c>
      <c r="D742" s="4" t="n">
        <v>21.330382432</v>
      </c>
      <c r="E742" s="4" t="n">
        <v>22.55909405563889</v>
      </c>
      <c r="F742" s="4" t="n">
        <v>22.92679342037222</v>
      </c>
      <c r="G742" s="4" t="n">
        <v>4.8</v>
      </c>
      <c r="H742" s="5" t="n">
        <v>46.36326988520833</v>
      </c>
      <c r="I742" s="5" t="n">
        <v>43.84886256929722</v>
      </c>
      <c r="J742" s="5" t="n">
        <v>42.88386494116389</v>
      </c>
      <c r="K742" s="5" t="n">
        <v>87</v>
      </c>
    </row>
    <row r="743">
      <c r="A743" s="2" t="n">
        <v>46128.33333333334</v>
      </c>
      <c r="B743">
        <f>TEXT(A743,"yyyy-mm")</f>
        <v/>
      </c>
      <c r="C743" s="3">
        <f>HOUR(A743)</f>
        <v/>
      </c>
      <c r="D743" s="4" t="n">
        <v>21.931693605</v>
      </c>
      <c r="E743" s="4" t="n">
        <v>23.00905243921666</v>
      </c>
      <c r="F743" s="4" t="n">
        <v>22.94052265336112</v>
      </c>
      <c r="G743" s="4" t="n">
        <v>7.2</v>
      </c>
      <c r="H743" s="5" t="n">
        <v>46.09264874099722</v>
      </c>
      <c r="I743" s="5" t="n">
        <v>43.79159645635</v>
      </c>
      <c r="J743" s="5" t="n">
        <v>42.8603804863</v>
      </c>
      <c r="K743" s="5" t="n">
        <v>84</v>
      </c>
    </row>
    <row r="744">
      <c r="A744" s="2" t="n">
        <v>46128.375</v>
      </c>
      <c r="B744">
        <f>TEXT(A744,"yyyy-mm")</f>
        <v/>
      </c>
      <c r="C744" s="3">
        <f>HOUR(A744)</f>
        <v/>
      </c>
      <c r="D744" s="4" t="n">
        <v>22.40335217276112</v>
      </c>
      <c r="E744" s="4" t="n">
        <v>23.44151230523333</v>
      </c>
      <c r="F744" s="4" t="n">
        <v>22.95846732524167</v>
      </c>
      <c r="G744" s="4" t="n">
        <v>9.800000000000001</v>
      </c>
      <c r="H744" s="5" t="n">
        <v>46.50845293002499</v>
      </c>
      <c r="I744" s="5" t="n">
        <v>44.09387562261944</v>
      </c>
      <c r="J744" s="5" t="n">
        <v>43.07864241904445</v>
      </c>
      <c r="K744" s="5" t="n">
        <v>76</v>
      </c>
    </row>
    <row r="745">
      <c r="A745" s="2" t="n">
        <v>46128.41666666666</v>
      </c>
      <c r="B745">
        <f>TEXT(A745,"yyyy-mm")</f>
        <v/>
      </c>
      <c r="C745" s="3">
        <f>HOUR(A745)</f>
        <v/>
      </c>
      <c r="D745" s="4" t="n">
        <v>22.59222512301112</v>
      </c>
      <c r="E745" s="4" t="n">
        <v>23.78456887186944</v>
      </c>
      <c r="F745" s="4" t="n">
        <v>22.983367490175</v>
      </c>
      <c r="G745" s="4" t="n">
        <v>12.8</v>
      </c>
      <c r="H745" s="5" t="n">
        <v>47.48946303490556</v>
      </c>
      <c r="I745" s="5" t="n">
        <v>44.37779724746111</v>
      </c>
      <c r="J745" s="5" t="n">
        <v>43.61788040152222</v>
      </c>
      <c r="K745" s="5" t="n">
        <v>63</v>
      </c>
    </row>
    <row r="746">
      <c r="A746" s="2" t="n">
        <v>46128.45833333334</v>
      </c>
      <c r="B746">
        <f>TEXT(A746,"yyyy-mm")</f>
        <v/>
      </c>
      <c r="C746" s="3">
        <f>HOUR(A746)</f>
        <v/>
      </c>
      <c r="D746" s="4" t="n">
        <v>22.632205086225</v>
      </c>
      <c r="E746" s="4" t="n">
        <v>23.95305227355</v>
      </c>
      <c r="F746" s="4" t="n">
        <v>23.00785623433333</v>
      </c>
      <c r="G746" s="4" t="n">
        <v>14.9</v>
      </c>
      <c r="H746" s="5" t="n">
        <v>48.82766832065</v>
      </c>
      <c r="I746" s="5" t="n">
        <v>46.57652867004166</v>
      </c>
      <c r="J746" s="5" t="n">
        <v>44.3438635125</v>
      </c>
      <c r="K746" s="5" t="n">
        <v>51</v>
      </c>
    </row>
    <row r="747">
      <c r="A747" s="2" t="n">
        <v>46128.5</v>
      </c>
      <c r="B747">
        <f>TEXT(A747,"yyyy-mm")</f>
        <v/>
      </c>
      <c r="C747" s="3">
        <f>HOUR(A747)</f>
        <v/>
      </c>
      <c r="D747" s="4" t="n">
        <v>22.61581629987778</v>
      </c>
      <c r="E747" s="4" t="n">
        <v>24.08841625359445</v>
      </c>
      <c r="F747" s="4" t="n">
        <v>23.0368801989</v>
      </c>
      <c r="G747" s="4" t="n">
        <v>16.4</v>
      </c>
      <c r="H747" s="5" t="n">
        <v>50.73737409592778</v>
      </c>
      <c r="I747" s="5" t="n">
        <v>46.19826196487778</v>
      </c>
      <c r="J747" s="5" t="n">
        <v>44.939895560025</v>
      </c>
      <c r="K747" s="5" t="n">
        <v>45</v>
      </c>
    </row>
    <row r="748">
      <c r="A748" s="2" t="n">
        <v>46128.54166666666</v>
      </c>
      <c r="B748">
        <f>TEXT(A748,"yyyy-mm")</f>
        <v/>
      </c>
      <c r="C748" s="3">
        <f>HOUR(A748)</f>
        <v/>
      </c>
      <c r="D748" s="4" t="n">
        <v>22.39728288733333</v>
      </c>
      <c r="E748" s="4" t="n">
        <v>24.16818354840278</v>
      </c>
      <c r="F748" s="4" t="n">
        <v>23.07002390771666</v>
      </c>
      <c r="G748" s="4" t="n">
        <v>17.4</v>
      </c>
      <c r="H748" s="5" t="n">
        <v>52.06646746217223</v>
      </c>
      <c r="I748" s="5" t="n">
        <v>46.23112016682779</v>
      </c>
      <c r="J748" s="5" t="n">
        <v>45.02800170628333</v>
      </c>
      <c r="K748" s="5" t="n">
        <v>37</v>
      </c>
    </row>
    <row r="749">
      <c r="A749" s="2" t="n">
        <v>46128.58333333334</v>
      </c>
      <c r="B749">
        <f>TEXT(A749,"yyyy-mm")</f>
        <v/>
      </c>
      <c r="C749" s="3">
        <f>HOUR(A749)</f>
        <v/>
      </c>
      <c r="D749" s="4" t="n">
        <v>22.31852635005</v>
      </c>
      <c r="E749" s="4" t="n">
        <v>23.696385202825</v>
      </c>
      <c r="F749" s="4" t="n">
        <v>23.07676621863333</v>
      </c>
      <c r="G749" s="4" t="n">
        <v>18</v>
      </c>
      <c r="H749" s="5" t="n">
        <v>48.89637953839722</v>
      </c>
      <c r="I749" s="5" t="n">
        <v>44.645548529775</v>
      </c>
      <c r="J749" s="5" t="n">
        <v>44.19453929364723</v>
      </c>
      <c r="K749" s="5" t="n">
        <v>33</v>
      </c>
    </row>
    <row r="750">
      <c r="A750" s="2" t="n">
        <v>46128.625</v>
      </c>
      <c r="B750">
        <f>TEXT(A750,"yyyy-mm")</f>
        <v/>
      </c>
      <c r="C750" s="3">
        <f>HOUR(A750)</f>
        <v/>
      </c>
      <c r="D750" s="4" t="n">
        <v>22.27229877843612</v>
      </c>
      <c r="E750" s="4" t="n">
        <v>23.50365576610277</v>
      </c>
      <c r="F750" s="4" t="n">
        <v>23.083218195375</v>
      </c>
      <c r="G750" s="4" t="n">
        <v>18.2</v>
      </c>
      <c r="H750" s="5" t="n">
        <v>48.73738791165277</v>
      </c>
      <c r="I750" s="5" t="n">
        <v>45.07165130183889</v>
      </c>
      <c r="J750" s="5" t="n">
        <v>44.46753871278889</v>
      </c>
      <c r="K750" s="5" t="n">
        <v>29</v>
      </c>
    </row>
    <row r="751">
      <c r="A751" s="2" t="n">
        <v>46128.66666666666</v>
      </c>
      <c r="B751">
        <f>TEXT(A751,"yyyy-mm")</f>
        <v/>
      </c>
      <c r="C751" s="3">
        <f>HOUR(A751)</f>
        <v/>
      </c>
      <c r="D751" s="4" t="n">
        <v>22.1227586418</v>
      </c>
      <c r="E751" s="4" t="n">
        <v>23.45487456558333</v>
      </c>
      <c r="F751" s="4" t="n">
        <v>23.0878370611</v>
      </c>
      <c r="G751" s="4" t="n">
        <v>17.2</v>
      </c>
      <c r="H751" s="5" t="n">
        <v>49.29111183086388</v>
      </c>
      <c r="I751" s="5" t="n">
        <v>45.97465722038888</v>
      </c>
      <c r="J751" s="5" t="n">
        <v>44.51978931570277</v>
      </c>
      <c r="K751" s="5" t="n">
        <v>38</v>
      </c>
    </row>
    <row r="752">
      <c r="A752" s="2" t="n">
        <v>46128.70833333334</v>
      </c>
      <c r="B752">
        <f>TEXT(A752,"yyyy-mm")</f>
        <v/>
      </c>
      <c r="C752" s="3">
        <f>HOUR(A752)</f>
        <v/>
      </c>
      <c r="D752" s="4" t="n">
        <v>22.02551159773333</v>
      </c>
      <c r="E752" s="4" t="n">
        <v>23.43419999412778</v>
      </c>
      <c r="F752" s="4" t="n">
        <v>23.08002773358333</v>
      </c>
      <c r="G752" s="4" t="n">
        <v>16.8</v>
      </c>
      <c r="H752" s="5" t="n">
        <v>50.90273515975278</v>
      </c>
      <c r="I752" s="5" t="n">
        <v>48.08288611467222</v>
      </c>
      <c r="J752" s="5" t="n">
        <v>44.68592968058056</v>
      </c>
      <c r="K752" s="5" t="n">
        <v>42</v>
      </c>
    </row>
    <row r="753">
      <c r="A753" s="2" t="n">
        <v>46128.75</v>
      </c>
      <c r="B753">
        <f>TEXT(A753,"yyyy-mm")</f>
        <v/>
      </c>
      <c r="C753" s="3">
        <f>HOUR(A753)</f>
        <v/>
      </c>
      <c r="D753" s="4" t="n">
        <v>21.89478253058333</v>
      </c>
      <c r="E753" s="4" t="n">
        <v>23.27194154202222</v>
      </c>
      <c r="F753" s="4" t="n">
        <v>23.07113854088333</v>
      </c>
      <c r="G753" s="4" t="n">
        <v>15.8</v>
      </c>
      <c r="H753" s="5" t="n">
        <v>52.21653822685278</v>
      </c>
      <c r="I753" s="5" t="n">
        <v>48.69388551769445</v>
      </c>
      <c r="J753" s="5" t="n">
        <v>44.70541606369445</v>
      </c>
      <c r="K753" s="5" t="n">
        <v>53</v>
      </c>
    </row>
    <row r="754">
      <c r="A754" s="2" t="n">
        <v>46128.79166666666</v>
      </c>
      <c r="B754">
        <f>TEXT(A754,"yyyy-mm")</f>
        <v/>
      </c>
      <c r="C754" s="3">
        <f>HOUR(A754)</f>
        <v/>
      </c>
      <c r="D754" s="4" t="n">
        <v>21.53471824113333</v>
      </c>
      <c r="E754" s="4" t="n">
        <v>23.03979425515833</v>
      </c>
      <c r="F754" s="4" t="n">
        <v>23.06679419330833</v>
      </c>
      <c r="G754" s="4" t="n">
        <v>14.2</v>
      </c>
      <c r="H754" s="5" t="n">
        <v>44.22978152842222</v>
      </c>
      <c r="I754" s="5" t="n">
        <v>42.20044449166667</v>
      </c>
      <c r="J754" s="5" t="n">
        <v>44.69270572601945</v>
      </c>
      <c r="K754" s="5" t="n">
        <v>56</v>
      </c>
    </row>
    <row r="755">
      <c r="A755" s="2" t="n">
        <v>46128.83333333334</v>
      </c>
      <c r="B755">
        <f>TEXT(A755,"yyyy-mm")</f>
        <v/>
      </c>
      <c r="C755" s="3">
        <f>HOUR(A755)</f>
        <v/>
      </c>
      <c r="D755" s="4" t="n">
        <v>21.42982003681389</v>
      </c>
      <c r="E755" s="4" t="n">
        <v>23.27889039065833</v>
      </c>
      <c r="F755" s="4" t="n">
        <v>23.05523829073056</v>
      </c>
      <c r="G755" s="4" t="n">
        <v>13</v>
      </c>
      <c r="H755" s="5" t="n">
        <v>35.34036592352778</v>
      </c>
      <c r="I755" s="5" t="n">
        <v>36.146869148625</v>
      </c>
      <c r="J755" s="5" t="n">
        <v>44.56908007023333</v>
      </c>
      <c r="K755" s="5" t="n">
        <v>57</v>
      </c>
    </row>
    <row r="756">
      <c r="A756" s="2" t="n">
        <v>46128.875</v>
      </c>
      <c r="B756">
        <f>TEXT(A756,"yyyy-mm")</f>
        <v/>
      </c>
      <c r="C756" s="3">
        <f>HOUR(A756)</f>
        <v/>
      </c>
      <c r="D756" s="4" t="n">
        <v>21.56132863302222</v>
      </c>
      <c r="E756" s="4" t="n">
        <v>23.28218206470556</v>
      </c>
      <c r="F756" s="4" t="n">
        <v>23.04448597513333</v>
      </c>
      <c r="G756" s="4" t="n">
        <v>12.8</v>
      </c>
      <c r="H756" s="5" t="n">
        <v>35.17835112546389</v>
      </c>
      <c r="I756" s="5" t="n">
        <v>37.86537423603611</v>
      </c>
      <c r="J756" s="5" t="n">
        <v>44.37933995744722</v>
      </c>
      <c r="K756" s="5" t="n">
        <v>56</v>
      </c>
    </row>
    <row r="757">
      <c r="A757" s="2" t="n">
        <v>46128.91666666666</v>
      </c>
      <c r="B757">
        <f>TEXT(A757,"yyyy-mm")</f>
        <v/>
      </c>
      <c r="C757" s="3">
        <f>HOUR(A757)</f>
        <v/>
      </c>
      <c r="D757" s="4" t="n">
        <v>21.8063088954</v>
      </c>
      <c r="E757" s="4" t="n">
        <v>23.44948014232222</v>
      </c>
      <c r="F757" s="4" t="n">
        <v>23.045734702725</v>
      </c>
      <c r="G757" s="4" t="n">
        <v>11.9</v>
      </c>
      <c r="H757" s="5" t="n">
        <v>39.71054176361389</v>
      </c>
      <c r="I757" s="5" t="n">
        <v>39.13915423670833</v>
      </c>
      <c r="J757" s="5" t="n">
        <v>44.22401283726112</v>
      </c>
      <c r="K757" s="5" t="n">
        <v>63</v>
      </c>
    </row>
    <row r="758">
      <c r="A758" s="2" t="n">
        <v>46128.95833333334</v>
      </c>
      <c r="B758">
        <f>TEXT(A758,"yyyy-mm")</f>
        <v/>
      </c>
      <c r="C758" s="3">
        <f>HOUR(A758)</f>
        <v/>
      </c>
      <c r="D758" s="4" t="n">
        <v>21.98623355853889</v>
      </c>
      <c r="E758" s="4" t="n">
        <v>23.29206848775833</v>
      </c>
      <c r="F758" s="4" t="n">
        <v>23.049404747575</v>
      </c>
      <c r="G758" s="4" t="n">
        <v>10.5</v>
      </c>
      <c r="H758" s="5" t="n">
        <v>43.48547238258056</v>
      </c>
      <c r="I758" s="5" t="n">
        <v>41.16706320572222</v>
      </c>
      <c r="J758" s="5" t="n">
        <v>43.90947792153056</v>
      </c>
      <c r="K758" s="5" t="n">
        <v>70</v>
      </c>
    </row>
    <row r="759">
      <c r="A759" s="2" t="n">
        <v>46129</v>
      </c>
      <c r="B759">
        <f>TEXT(A759,"yyyy-mm")</f>
        <v/>
      </c>
      <c r="C759" s="3">
        <f>HOUR(A759)</f>
        <v/>
      </c>
      <c r="D759" s="4" t="n">
        <v>21.998811919175</v>
      </c>
      <c r="E759" s="4" t="n">
        <v>23.32356803037222</v>
      </c>
      <c r="F759" s="4" t="n">
        <v>23.04311364380555</v>
      </c>
      <c r="G759" s="4" t="n">
        <v>9.9</v>
      </c>
      <c r="H759" s="5" t="n">
        <v>44.75017892631666</v>
      </c>
      <c r="I759" s="5" t="n">
        <v>42.24768275546666</v>
      </c>
      <c r="J759" s="5" t="n">
        <v>43.66216719376666</v>
      </c>
      <c r="K759" s="5" t="n">
        <v>70</v>
      </c>
    </row>
    <row r="760">
      <c r="A760" s="2" t="n">
        <v>46129.04166666666</v>
      </c>
      <c r="B760">
        <f>TEXT(A760,"yyyy-mm")</f>
        <v/>
      </c>
      <c r="C760" s="3">
        <f>HOUR(A760)</f>
        <v/>
      </c>
      <c r="D760" s="4" t="n">
        <v>21.77354332984167</v>
      </c>
      <c r="E760" s="4" t="n">
        <v>23.14578081298889</v>
      </c>
      <c r="F760" s="4" t="n">
        <v>23.02793183960556</v>
      </c>
      <c r="G760" s="4" t="n">
        <v>9.199999999999999</v>
      </c>
      <c r="H760" s="5" t="n">
        <v>46.24797230356944</v>
      </c>
      <c r="I760" s="5" t="n">
        <v>42.86990060164722</v>
      </c>
      <c r="J760" s="5" t="n">
        <v>43.48608222905556</v>
      </c>
      <c r="K760" s="5" t="n">
        <v>71</v>
      </c>
    </row>
    <row r="761">
      <c r="A761" s="2" t="n">
        <v>46129.08333333334</v>
      </c>
      <c r="B761">
        <f>TEXT(A761,"yyyy-mm")</f>
        <v/>
      </c>
      <c r="C761" s="3">
        <f>HOUR(A761)</f>
        <v/>
      </c>
      <c r="D761" s="4" t="n">
        <v>21.43725597078334</v>
      </c>
      <c r="E761" s="4" t="n">
        <v>22.95836950825</v>
      </c>
      <c r="F761" s="4" t="n">
        <v>23.01705915877222</v>
      </c>
      <c r="G761" s="4" t="n">
        <v>9</v>
      </c>
      <c r="H761" s="5" t="n">
        <v>47.13194872136389</v>
      </c>
      <c r="I761" s="5" t="n">
        <v>42.79759380200834</v>
      </c>
      <c r="J761" s="5" t="n">
        <v>43.33056299956944</v>
      </c>
      <c r="K761" s="5" t="n">
        <v>71</v>
      </c>
    </row>
    <row r="762">
      <c r="A762" s="2" t="n">
        <v>46129.125</v>
      </c>
      <c r="B762">
        <f>TEXT(A762,"yyyy-mm")</f>
        <v/>
      </c>
      <c r="C762" s="3">
        <f>HOUR(A762)</f>
        <v/>
      </c>
      <c r="D762" s="4" t="n">
        <v>21.24880079998333</v>
      </c>
      <c r="E762" s="4" t="n">
        <v>22.81363946223334</v>
      </c>
      <c r="F762" s="4" t="n">
        <v>22.99948600618333</v>
      </c>
      <c r="G762" s="4" t="n">
        <v>10.4</v>
      </c>
      <c r="H762" s="5" t="n">
        <v>47.46026830799445</v>
      </c>
      <c r="I762" s="5" t="n">
        <v>42.76593852058889</v>
      </c>
      <c r="J762" s="5" t="n">
        <v>43.19299581908889</v>
      </c>
      <c r="K762" s="5" t="n">
        <v>68</v>
      </c>
    </row>
    <row r="763">
      <c r="A763" s="2" t="n">
        <v>46129.16666666666</v>
      </c>
      <c r="B763">
        <f>TEXT(A763,"yyyy-mm")</f>
        <v/>
      </c>
      <c r="C763" s="3">
        <f>HOUR(A763)</f>
        <v/>
      </c>
      <c r="D763" s="4" t="n">
        <v>21.11708184735833</v>
      </c>
      <c r="E763" s="4" t="n">
        <v>22.59416975933889</v>
      </c>
      <c r="F763" s="4" t="n">
        <v>22.97684068518333</v>
      </c>
      <c r="G763" s="4" t="n">
        <v>10.3</v>
      </c>
      <c r="H763" s="5" t="n">
        <v>47.72670790008056</v>
      </c>
      <c r="I763" s="5" t="n">
        <v>42.94726509953056</v>
      </c>
      <c r="J763" s="5" t="n">
        <v>43.06400240124445</v>
      </c>
      <c r="K763" s="5" t="n">
        <v>68</v>
      </c>
    </row>
    <row r="764">
      <c r="A764" s="2" t="n">
        <v>46129.20833333334</v>
      </c>
      <c r="B764">
        <f>TEXT(A764,"yyyy-mm")</f>
        <v/>
      </c>
      <c r="C764" s="3">
        <f>HOUR(A764)</f>
        <v/>
      </c>
      <c r="D764" s="4" t="n">
        <v>21.03955073051666</v>
      </c>
      <c r="E764" s="4" t="n">
        <v>22.51856264758611</v>
      </c>
      <c r="F764" s="4" t="n">
        <v>22.93654958376389</v>
      </c>
      <c r="G764" s="4" t="n">
        <v>10.4</v>
      </c>
      <c r="H764" s="5" t="n">
        <v>47.82713843516945</v>
      </c>
      <c r="I764" s="5" t="n">
        <v>42.99954112309167</v>
      </c>
      <c r="J764" s="5" t="n">
        <v>42.97496869921667</v>
      </c>
      <c r="K764" s="5" t="n">
        <v>67</v>
      </c>
    </row>
    <row r="765">
      <c r="A765" s="2" t="n">
        <v>46129.25</v>
      </c>
      <c r="B765">
        <f>TEXT(A765,"yyyy-mm")</f>
        <v/>
      </c>
      <c r="C765" s="3">
        <f>HOUR(A765)</f>
        <v/>
      </c>
      <c r="D765" s="4" t="n">
        <v>21.07869079472222</v>
      </c>
      <c r="E765" s="4" t="n">
        <v>22.49832762311945</v>
      </c>
      <c r="F765" s="4" t="n">
        <v>22.91527790469445</v>
      </c>
      <c r="G765" s="4" t="n">
        <v>9.9</v>
      </c>
      <c r="H765" s="5" t="n">
        <v>47.4333288622</v>
      </c>
      <c r="I765" s="5" t="n">
        <v>43.14310746009445</v>
      </c>
      <c r="J765" s="5" t="n">
        <v>42.88953928298056</v>
      </c>
      <c r="K765" s="5" t="n">
        <v>67</v>
      </c>
    </row>
    <row r="766">
      <c r="A766" s="2" t="n">
        <v>46129.29166666666</v>
      </c>
      <c r="B766">
        <f>TEXT(A766,"yyyy-mm")</f>
        <v/>
      </c>
      <c r="C766" s="3">
        <f>HOUR(A766)</f>
        <v/>
      </c>
      <c r="D766" s="4" t="n">
        <v>21.16271479862223</v>
      </c>
      <c r="E766" s="4" t="n">
        <v>22.42977723673055</v>
      </c>
      <c r="F766" s="4" t="n">
        <v>22.92260944079167</v>
      </c>
      <c r="G766" s="4" t="n">
        <v>9.699999999999999</v>
      </c>
      <c r="H766" s="5" t="n">
        <v>46.95636128061388</v>
      </c>
      <c r="I766" s="5" t="n">
        <v>43.23667503676111</v>
      </c>
      <c r="J766" s="5" t="n">
        <v>42.80374687223334</v>
      </c>
      <c r="K766" s="5" t="n">
        <v>70</v>
      </c>
    </row>
    <row r="767">
      <c r="A767" s="2" t="n">
        <v>46129.33333333334</v>
      </c>
      <c r="B767">
        <f>TEXT(A767,"yyyy-mm")</f>
        <v/>
      </c>
      <c r="C767" s="3">
        <f>HOUR(A767)</f>
        <v/>
      </c>
      <c r="D767" s="4" t="n">
        <v>21.48351608685833</v>
      </c>
      <c r="E767" s="4" t="n">
        <v>22.58901679456111</v>
      </c>
      <c r="F767" s="4" t="n">
        <v>22.90371279866111</v>
      </c>
      <c r="G767" s="4" t="n">
        <v>11.1</v>
      </c>
      <c r="H767" s="5" t="n">
        <v>45.95709556843889</v>
      </c>
      <c r="I767" s="5" t="n">
        <v>43.40080750472222</v>
      </c>
      <c r="J767" s="5" t="n">
        <v>42.75386526184167</v>
      </c>
      <c r="K767" s="5" t="n">
        <v>68</v>
      </c>
    </row>
    <row r="768">
      <c r="A768" s="2" t="n">
        <v>46129.375</v>
      </c>
      <c r="B768">
        <f>TEXT(A768,"yyyy-mm")</f>
        <v/>
      </c>
      <c r="C768" s="3">
        <f>HOUR(A768)</f>
        <v/>
      </c>
      <c r="D768" s="4" t="n">
        <v>21.829760029</v>
      </c>
      <c r="E768" s="4" t="n">
        <v>22.68236167818056</v>
      </c>
      <c r="F768" s="4" t="n">
        <v>22.90456469567778</v>
      </c>
      <c r="G768" s="4" t="n">
        <v>12.2</v>
      </c>
      <c r="H768" s="5" t="n">
        <v>45.18158349356112</v>
      </c>
      <c r="I768" s="5" t="n">
        <v>43.77732848560556</v>
      </c>
      <c r="J768" s="5" t="n">
        <v>42.71728544401666</v>
      </c>
      <c r="K768" s="5" t="n">
        <v>65</v>
      </c>
    </row>
    <row r="769">
      <c r="A769" s="2" t="n">
        <v>46129.41666666666</v>
      </c>
      <c r="B769">
        <f>TEXT(A769,"yyyy-mm")</f>
        <v/>
      </c>
      <c r="C769" s="3">
        <f>HOUR(A769)</f>
        <v/>
      </c>
      <c r="D769" s="4" t="n">
        <v>22.34045396036667</v>
      </c>
      <c r="E769" s="4" t="n">
        <v>23.25345819809167</v>
      </c>
      <c r="F769" s="4" t="n">
        <v>22.9100010244</v>
      </c>
      <c r="G769" s="4" t="n">
        <v>14.1</v>
      </c>
      <c r="H769" s="5" t="n">
        <v>45.06451454873888</v>
      </c>
      <c r="I769" s="5" t="n">
        <v>44.34393140075</v>
      </c>
      <c r="J769" s="5" t="n">
        <v>42.77461549186389</v>
      </c>
      <c r="K769" s="5" t="n">
        <v>61</v>
      </c>
    </row>
    <row r="770">
      <c r="A770" s="2" t="n">
        <v>46129.45833333334</v>
      </c>
      <c r="B770">
        <f>TEXT(A770,"yyyy-mm")</f>
        <v/>
      </c>
      <c r="C770" s="3">
        <f>HOUR(A770)</f>
        <v/>
      </c>
      <c r="D770" s="4" t="n">
        <v>22.66200384813333</v>
      </c>
      <c r="E770" s="4" t="n">
        <v>23.71310488694167</v>
      </c>
      <c r="F770" s="4" t="n">
        <v>22.93270283357223</v>
      </c>
      <c r="G770" s="4" t="n">
        <v>16.5</v>
      </c>
      <c r="H770" s="5" t="n">
        <v>46.72111943633612</v>
      </c>
      <c r="I770" s="5" t="n">
        <v>46.19913358542222</v>
      </c>
      <c r="J770" s="5" t="n">
        <v>42.9443758676</v>
      </c>
      <c r="K770" s="5" t="n">
        <v>54</v>
      </c>
    </row>
    <row r="771">
      <c r="A771" s="2" t="n">
        <v>46129.5</v>
      </c>
      <c r="B771">
        <f>TEXT(A771,"yyyy-mm")</f>
        <v/>
      </c>
      <c r="C771" s="3">
        <f>HOUR(A771)</f>
        <v/>
      </c>
      <c r="D771" s="4" t="n">
        <v>22.76161089461944</v>
      </c>
      <c r="E771" s="4" t="n">
        <v>24.01210078221944</v>
      </c>
      <c r="F771" s="4" t="n">
        <v>23.00680511968333</v>
      </c>
      <c r="G771" s="4" t="n">
        <v>17.7</v>
      </c>
      <c r="H771" s="5" t="n">
        <v>46.50749436231666</v>
      </c>
      <c r="I771" s="5" t="n">
        <v>45.97621062800834</v>
      </c>
      <c r="J771" s="5" t="n">
        <v>46.139603070875</v>
      </c>
      <c r="K771" s="5" t="n">
        <v>39</v>
      </c>
    </row>
    <row r="772">
      <c r="A772" s="2" t="n">
        <v>46129.54166666666</v>
      </c>
      <c r="B772">
        <f>TEXT(A772,"yyyy-mm")</f>
        <v/>
      </c>
      <c r="C772" s="3">
        <f>HOUR(A772)</f>
        <v/>
      </c>
      <c r="D772" s="4" t="n">
        <v>22.63872461886666</v>
      </c>
      <c r="E772" s="4" t="n">
        <v>24.325589690925</v>
      </c>
      <c r="F772" s="4" t="n">
        <v>23.24021047012222</v>
      </c>
      <c r="G772" s="4" t="n">
        <v>18</v>
      </c>
      <c r="H772" s="5" t="n">
        <v>44.50816963778056</v>
      </c>
      <c r="I772" s="5" t="n">
        <v>43.21697662653889</v>
      </c>
      <c r="J772" s="5" t="n">
        <v>51.58039419190833</v>
      </c>
      <c r="K772" s="5" t="n">
        <v>37</v>
      </c>
    </row>
    <row r="773">
      <c r="A773" s="2" t="n">
        <v>46129.58333333334</v>
      </c>
      <c r="B773">
        <f>TEXT(A773,"yyyy-mm")</f>
        <v/>
      </c>
      <c r="C773" s="3">
        <f>HOUR(A773)</f>
        <v/>
      </c>
      <c r="D773" s="4" t="n">
        <v>22.49066754043056</v>
      </c>
      <c r="E773" s="4" t="n">
        <v>24.32356521230278</v>
      </c>
      <c r="F773" s="4" t="n">
        <v>23.28948213628334</v>
      </c>
      <c r="G773" s="4" t="n">
        <v>18.5</v>
      </c>
      <c r="H773" s="5" t="n">
        <v>44.33328945663055</v>
      </c>
      <c r="I773" s="5" t="n">
        <v>42.04396919266111</v>
      </c>
      <c r="J773" s="5" t="n">
        <v>51.12175015052222</v>
      </c>
      <c r="K773" s="5" t="n">
        <v>37</v>
      </c>
    </row>
    <row r="774">
      <c r="A774" s="2" t="n">
        <v>46129.625</v>
      </c>
      <c r="B774">
        <f>TEXT(A774,"yyyy-mm")</f>
        <v/>
      </c>
      <c r="C774" s="3">
        <f>HOUR(A774)</f>
        <v/>
      </c>
      <c r="D774" s="4" t="n">
        <v>22.33136301856666</v>
      </c>
      <c r="E774" s="4" t="n">
        <v>24.296359774</v>
      </c>
      <c r="F774" s="4" t="n">
        <v>23.28731835791945</v>
      </c>
      <c r="G774" s="4" t="n">
        <v>16.7</v>
      </c>
      <c r="H774" s="5" t="n">
        <v>43.02853090599167</v>
      </c>
      <c r="I774" s="5" t="n">
        <v>42.27677651314445</v>
      </c>
      <c r="J774" s="5" t="n">
        <v>51.19895177700555</v>
      </c>
      <c r="K774" s="5" t="n">
        <v>53</v>
      </c>
    </row>
    <row r="775">
      <c r="A775" s="2" t="n">
        <v>46129.66666666666</v>
      </c>
      <c r="B775">
        <f>TEXT(A775,"yyyy-mm")</f>
        <v/>
      </c>
      <c r="C775" s="3">
        <f>HOUR(A775)</f>
        <v/>
      </c>
      <c r="D775" s="4" t="n">
        <v>21.97273451596945</v>
      </c>
      <c r="E775" s="4" t="n">
        <v>24.15178427570555</v>
      </c>
      <c r="F775" s="4" t="n">
        <v>23.25073578610555</v>
      </c>
      <c r="G775" s="4" t="n">
        <v>15.5</v>
      </c>
      <c r="H775" s="5" t="n">
        <v>44.4405812674861</v>
      </c>
      <c r="I775" s="5" t="n">
        <v>44.04207948327501</v>
      </c>
      <c r="J775" s="5" t="n">
        <v>52.09829842664166</v>
      </c>
      <c r="K775" s="5" t="n">
        <v>62</v>
      </c>
    </row>
    <row r="776">
      <c r="A776" s="2" t="n">
        <v>46129.70833333334</v>
      </c>
      <c r="B776">
        <f>TEXT(A776,"yyyy-mm")</f>
        <v/>
      </c>
      <c r="C776" s="3">
        <f>HOUR(A776)</f>
        <v/>
      </c>
      <c r="D776" s="4" t="n">
        <v>21.62450426941111</v>
      </c>
      <c r="E776" s="4" t="n">
        <v>23.86070210590277</v>
      </c>
      <c r="F776" s="4" t="n">
        <v>23.14951528741389</v>
      </c>
      <c r="G776" s="4" t="n">
        <v>13.8</v>
      </c>
      <c r="H776" s="5" t="n">
        <v>47.41930667338611</v>
      </c>
      <c r="I776" s="5" t="n">
        <v>46.62693406203334</v>
      </c>
      <c r="J776" s="5" t="n">
        <v>51.19892168470278</v>
      </c>
      <c r="K776" s="5" t="n">
        <v>71</v>
      </c>
    </row>
    <row r="777">
      <c r="A777" s="2" t="n">
        <v>46129.75</v>
      </c>
      <c r="B777">
        <f>TEXT(A777,"yyyy-mm")</f>
        <v/>
      </c>
      <c r="C777" s="3">
        <f>HOUR(A777)</f>
        <v/>
      </c>
      <c r="D777" s="4" t="n">
        <v>21.08320936100555</v>
      </c>
      <c r="E777" s="4" t="n">
        <v>23.55748062868889</v>
      </c>
      <c r="F777" s="4" t="n">
        <v>23.14747391341389</v>
      </c>
      <c r="G777" s="4" t="n">
        <v>12.3</v>
      </c>
      <c r="H777" s="5" t="n">
        <v>50.19087645044444</v>
      </c>
      <c r="I777" s="5" t="n">
        <v>49.84342354626112</v>
      </c>
      <c r="J777" s="5" t="n">
        <v>50.58120116389722</v>
      </c>
      <c r="K777" s="5" t="n">
        <v>82</v>
      </c>
    </row>
    <row r="778">
      <c r="A778" s="2" t="n">
        <v>46129.79166666666</v>
      </c>
      <c r="B778">
        <f>TEXT(A778,"yyyy-mm")</f>
        <v/>
      </c>
      <c r="C778" s="3">
        <f>HOUR(A778)</f>
        <v/>
      </c>
      <c r="D778" s="4" t="n">
        <v>20.50924282359444</v>
      </c>
      <c r="E778" s="4" t="n">
        <v>23.26015193099722</v>
      </c>
      <c r="F778" s="4" t="n">
        <v>23.12636346589722</v>
      </c>
      <c r="G778" s="4" t="n">
        <v>11.6</v>
      </c>
      <c r="H778" s="5" t="n">
        <v>51.54412443010833</v>
      </c>
      <c r="I778" s="5" t="n">
        <v>50.9706933547</v>
      </c>
      <c r="J778" s="5" t="n">
        <v>50.13677893539722</v>
      </c>
      <c r="K778" s="5" t="n">
        <v>89</v>
      </c>
    </row>
    <row r="779">
      <c r="A779" s="2" t="n">
        <v>46129.83333333334</v>
      </c>
      <c r="B779">
        <f>TEXT(A779,"yyyy-mm")</f>
        <v/>
      </c>
      <c r="C779" s="3">
        <f>HOUR(A779)</f>
        <v/>
      </c>
      <c r="D779" s="4" t="n">
        <v>20.15132632837222</v>
      </c>
      <c r="E779" s="4" t="n">
        <v>23.07858212348611</v>
      </c>
      <c r="F779" s="4" t="n">
        <v>23.11513905831389</v>
      </c>
      <c r="G779" s="4" t="n">
        <v>10.9</v>
      </c>
      <c r="H779" s="5" t="n">
        <v>52.16298040228611</v>
      </c>
      <c r="I779" s="5" t="n">
        <v>51.50400725090555</v>
      </c>
      <c r="J779" s="5" t="n">
        <v>50.02411270241667</v>
      </c>
      <c r="K779" s="5" t="n">
        <v>94</v>
      </c>
    </row>
    <row r="780">
      <c r="A780" s="2" t="n">
        <v>46129.875</v>
      </c>
      <c r="B780">
        <f>TEXT(A780,"yyyy-mm")</f>
        <v/>
      </c>
      <c r="C780" s="3">
        <f>HOUR(A780)</f>
        <v/>
      </c>
      <c r="D780" s="4" t="n">
        <v>20.11879844524445</v>
      </c>
      <c r="E780" s="4" t="n">
        <v>23.22418468955556</v>
      </c>
      <c r="F780" s="4" t="n">
        <v>23.10022461264444</v>
      </c>
      <c r="G780" s="4" t="n">
        <v>10.8</v>
      </c>
      <c r="H780" s="5" t="n">
        <v>54.33135388888889</v>
      </c>
      <c r="I780" s="5" t="n">
        <v>50.74078347351944</v>
      </c>
      <c r="J780" s="5" t="n">
        <v>49.51035658211944</v>
      </c>
      <c r="K780" s="5" t="n">
        <v>95</v>
      </c>
    </row>
    <row r="781">
      <c r="A781" s="2" t="n">
        <v>46129.91666666666</v>
      </c>
      <c r="B781">
        <f>TEXT(A781,"yyyy-mm")</f>
        <v/>
      </c>
      <c r="C781" s="3">
        <f>HOUR(A781)</f>
        <v/>
      </c>
      <c r="D781" s="4" t="n">
        <v>21.31868555174444</v>
      </c>
      <c r="E781" s="4" t="n">
        <v>23.34313920978333</v>
      </c>
      <c r="F781" s="4" t="n">
        <v>23.08008538704166</v>
      </c>
      <c r="G781" s="4" t="n">
        <v>10.4</v>
      </c>
      <c r="H781" s="5" t="n">
        <v>57.23506977964166</v>
      </c>
      <c r="I781" s="5" t="n">
        <v>51.67048328226389</v>
      </c>
      <c r="J781" s="5" t="n">
        <v>48.20477590182778</v>
      </c>
      <c r="K781" s="5" t="n">
        <v>96</v>
      </c>
    </row>
    <row r="782">
      <c r="A782" s="2" t="n">
        <v>46129.95833333334</v>
      </c>
      <c r="B782">
        <f>TEXT(A782,"yyyy-mm")</f>
        <v/>
      </c>
      <c r="C782" s="3">
        <f>HOUR(A782)</f>
        <v/>
      </c>
      <c r="D782" s="4" t="n">
        <v>21.579292388225</v>
      </c>
      <c r="E782" s="4" t="n">
        <v>23.396447187425</v>
      </c>
      <c r="F782" s="4" t="n">
        <v>23.06115109863333</v>
      </c>
      <c r="G782" s="4" t="n">
        <v>10.3</v>
      </c>
      <c r="H782" s="5" t="n">
        <v>58.13736029742778</v>
      </c>
      <c r="I782" s="5" t="n">
        <v>52.992006067025</v>
      </c>
      <c r="J782" s="5" t="n">
        <v>47.30469454936111</v>
      </c>
      <c r="K782" s="5" t="n">
        <v>95</v>
      </c>
    </row>
    <row r="783">
      <c r="A783" s="2" t="n">
        <v>46130</v>
      </c>
      <c r="B783">
        <f>TEXT(A783,"yyyy-mm")</f>
        <v/>
      </c>
      <c r="C783" s="3">
        <f>HOUR(A783)</f>
        <v/>
      </c>
      <c r="D783" s="4" t="n">
        <v>21.60835917746667</v>
      </c>
      <c r="E783" s="4" t="n">
        <v>23.71417444626944</v>
      </c>
      <c r="F783" s="4" t="n">
        <v>23.06058327488056</v>
      </c>
      <c r="G783" s="4" t="n">
        <v>10</v>
      </c>
      <c r="H783" s="5" t="n">
        <v>59.06196414336944</v>
      </c>
      <c r="I783" s="5" t="n">
        <v>53.22839925993055</v>
      </c>
      <c r="J783" s="5" t="n">
        <v>46.69653819159166</v>
      </c>
      <c r="K783" s="5" t="n">
        <v>96</v>
      </c>
    </row>
    <row r="784">
      <c r="A784" s="2" t="n">
        <v>46130.04166666666</v>
      </c>
      <c r="B784">
        <f>TEXT(A784,"yyyy-mm")</f>
        <v/>
      </c>
      <c r="C784" s="3">
        <f>HOUR(A784)</f>
        <v/>
      </c>
      <c r="D784" s="4" t="n">
        <v>21.940770882225</v>
      </c>
      <c r="E784" s="4" t="n">
        <v>23.84204422338889</v>
      </c>
      <c r="F784" s="4" t="n">
        <v>23.05323864608055</v>
      </c>
      <c r="G784" s="4" t="n">
        <v>9.699999999999999</v>
      </c>
      <c r="H784" s="5" t="n">
        <v>57.6040790561139</v>
      </c>
      <c r="I784" s="5" t="n">
        <v>50.75158586876111</v>
      </c>
      <c r="J784" s="5" t="n">
        <v>46.19522530263333</v>
      </c>
      <c r="K784" s="5" t="n">
        <v>95</v>
      </c>
    </row>
    <row r="785">
      <c r="A785" s="2" t="n">
        <v>46130.08333333334</v>
      </c>
      <c r="B785">
        <f>TEXT(A785,"yyyy-mm")</f>
        <v/>
      </c>
      <c r="C785" s="3">
        <f>HOUR(A785)</f>
        <v/>
      </c>
      <c r="D785" s="4" t="n">
        <v>22.02327734962778</v>
      </c>
      <c r="E785" s="4" t="n">
        <v>23.71689398150833</v>
      </c>
      <c r="F785" s="4" t="n">
        <v>23.21717678355555</v>
      </c>
      <c r="G785" s="4" t="n">
        <v>9.4</v>
      </c>
      <c r="H785" s="5" t="n">
        <v>54.92453545258611</v>
      </c>
      <c r="I785" s="5" t="n">
        <v>49.41840289083611</v>
      </c>
      <c r="J785" s="5" t="n">
        <v>48.50788109554444</v>
      </c>
      <c r="K785" s="5" t="n">
        <v>94</v>
      </c>
    </row>
    <row r="786">
      <c r="A786" s="2" t="n">
        <v>46130.125</v>
      </c>
      <c r="B786">
        <f>TEXT(A786,"yyyy-mm")</f>
        <v/>
      </c>
      <c r="C786" s="3">
        <f>HOUR(A786)</f>
        <v/>
      </c>
      <c r="D786" s="4" t="n">
        <v>21.63734880260833</v>
      </c>
      <c r="E786" s="4" t="n">
        <v>23.36343176432777</v>
      </c>
      <c r="F786" s="4" t="n">
        <v>23.28728472153334</v>
      </c>
      <c r="G786" s="4" t="n">
        <v>8.4</v>
      </c>
      <c r="H786" s="5" t="n">
        <v>56.43583974066944</v>
      </c>
      <c r="I786" s="5" t="n">
        <v>50.98644741570278</v>
      </c>
      <c r="J786" s="5" t="n">
        <v>50.30318377513056</v>
      </c>
      <c r="K786" s="5" t="n">
        <v>87</v>
      </c>
    </row>
    <row r="787">
      <c r="A787" s="2" t="n">
        <v>46130.16666666666</v>
      </c>
      <c r="B787">
        <f>TEXT(A787,"yyyy-mm")</f>
        <v/>
      </c>
      <c r="C787" s="3">
        <f>HOUR(A787)</f>
        <v/>
      </c>
      <c r="D787" s="4" t="n">
        <v>21.34984887683611</v>
      </c>
      <c r="E787" s="4" t="n">
        <v>23.01681313694445</v>
      </c>
      <c r="F787" s="4" t="n">
        <v>23.14077243248612</v>
      </c>
      <c r="G787" s="4" t="n">
        <v>8.300000000000001</v>
      </c>
      <c r="H787" s="5" t="n">
        <v>58.0361216964</v>
      </c>
      <c r="I787" s="5" t="n">
        <v>52.19105115657778</v>
      </c>
      <c r="J787" s="5" t="n">
        <v>47.77829029152222</v>
      </c>
      <c r="K787" s="5" t="n">
        <v>86</v>
      </c>
    </row>
    <row r="788">
      <c r="A788" s="2" t="n">
        <v>46130.20833333334</v>
      </c>
      <c r="B788">
        <f>TEXT(A788,"yyyy-mm")</f>
        <v/>
      </c>
      <c r="C788" s="3">
        <f>HOUR(A788)</f>
        <v/>
      </c>
      <c r="D788" s="4" t="n">
        <v>21.16257813112222</v>
      </c>
      <c r="E788" s="4" t="n">
        <v>22.78909948613611</v>
      </c>
      <c r="F788" s="4" t="n">
        <v>23.079030997675</v>
      </c>
      <c r="G788" s="4" t="n">
        <v>8.1</v>
      </c>
      <c r="H788" s="5" t="n">
        <v>58.17282388070834</v>
      </c>
      <c r="I788" s="5" t="n">
        <v>52.02714341188334</v>
      </c>
      <c r="J788" s="5" t="n">
        <v>46.82118689723056</v>
      </c>
      <c r="K788" s="5" t="n">
        <v>88</v>
      </c>
    </row>
    <row r="789">
      <c r="A789" s="2" t="n">
        <v>46130.25</v>
      </c>
      <c r="B789">
        <f>TEXT(A789,"yyyy-mm")</f>
        <v/>
      </c>
      <c r="C789" s="3">
        <f>HOUR(A789)</f>
        <v/>
      </c>
      <c r="D789" s="4" t="n">
        <v>21.02225828370556</v>
      </c>
      <c r="E789" s="4" t="n">
        <v>22.62188242537778</v>
      </c>
      <c r="F789" s="4" t="n">
        <v>23.03944830091389</v>
      </c>
      <c r="G789" s="4" t="n">
        <v>7.7</v>
      </c>
      <c r="H789" s="5" t="n">
        <v>57.86030038979722</v>
      </c>
      <c r="I789" s="5" t="n">
        <v>51.44168084636944</v>
      </c>
      <c r="J789" s="5" t="n">
        <v>46.31557154822222</v>
      </c>
      <c r="K789" s="5" t="n">
        <v>93</v>
      </c>
    </row>
    <row r="790">
      <c r="A790" s="2" t="n">
        <v>46130.29166666666</v>
      </c>
      <c r="B790">
        <f>TEXT(A790,"yyyy-mm")</f>
        <v/>
      </c>
      <c r="C790" s="3">
        <f>HOUR(A790)</f>
        <v/>
      </c>
      <c r="D790" s="4" t="n">
        <v>20.96963351300834</v>
      </c>
      <c r="E790" s="4" t="n">
        <v>22.62855311799444</v>
      </c>
      <c r="F790" s="4" t="n">
        <v>23.01818206586111</v>
      </c>
      <c r="G790" s="4" t="n">
        <v>7.9</v>
      </c>
      <c r="H790" s="5" t="n">
        <v>57.54817360406389</v>
      </c>
      <c r="I790" s="5" t="n">
        <v>50.87171361168333</v>
      </c>
      <c r="J790" s="5" t="n">
        <v>45.93833749288611</v>
      </c>
      <c r="K790" s="5" t="n">
        <v>92</v>
      </c>
    </row>
    <row r="791">
      <c r="A791" s="2" t="n">
        <v>46130.33333333334</v>
      </c>
      <c r="B791">
        <f>TEXT(A791,"yyyy-mm")</f>
        <v/>
      </c>
      <c r="C791" s="3">
        <f>HOUR(A791)</f>
        <v/>
      </c>
      <c r="D791" s="4" t="n">
        <v>21.00625689850833</v>
      </c>
      <c r="E791" s="4" t="n">
        <v>22.43399447890277</v>
      </c>
      <c r="F791" s="4" t="n">
        <v>22.98841753383612</v>
      </c>
      <c r="G791" s="4" t="n">
        <v>8.1</v>
      </c>
      <c r="H791" s="5" t="n">
        <v>56.98591159987223</v>
      </c>
      <c r="I791" s="5" t="n">
        <v>50.90726620829722</v>
      </c>
      <c r="J791" s="5" t="n">
        <v>45.67646137279723</v>
      </c>
      <c r="K791" s="5" t="n">
        <v>91</v>
      </c>
    </row>
    <row r="792">
      <c r="A792" s="2" t="n">
        <v>46130.375</v>
      </c>
      <c r="B792">
        <f>TEXT(A792,"yyyy-mm")</f>
        <v/>
      </c>
      <c r="C792" s="3">
        <f>HOUR(A792)</f>
        <v/>
      </c>
      <c r="D792" s="4" t="n">
        <v>21.09686384664722</v>
      </c>
      <c r="E792" s="4" t="n">
        <v>22.41345564070833</v>
      </c>
      <c r="F792" s="4" t="n">
        <v>22.96255618538333</v>
      </c>
      <c r="G792" s="4" t="n">
        <v>8.300000000000001</v>
      </c>
      <c r="H792" s="5" t="n">
        <v>55.88739283657222</v>
      </c>
      <c r="I792" s="5" t="n">
        <v>50.24190068623056</v>
      </c>
      <c r="J792" s="5" t="n">
        <v>45.42500051733055</v>
      </c>
      <c r="K792" s="5" t="n">
        <v>91</v>
      </c>
    </row>
    <row r="793">
      <c r="A793" s="2" t="n">
        <v>46130.41666666666</v>
      </c>
      <c r="B793">
        <f>TEXT(A793,"yyyy-mm")</f>
        <v/>
      </c>
      <c r="C793" s="3">
        <f>HOUR(A793)</f>
        <v/>
      </c>
      <c r="D793" s="4" t="n">
        <v>21.39428576755278</v>
      </c>
      <c r="E793" s="4" t="n">
        <v>22.482544034475</v>
      </c>
      <c r="F793" s="4" t="n">
        <v>22.95009733107778</v>
      </c>
      <c r="G793" s="4" t="n">
        <v>9.199999999999999</v>
      </c>
      <c r="H793" s="5" t="n">
        <v>54.18574775782778</v>
      </c>
      <c r="I793" s="5" t="n">
        <v>50.04516850568611</v>
      </c>
      <c r="J793" s="5" t="n">
        <v>45.22668872039722</v>
      </c>
      <c r="K793" s="5" t="n">
        <v>86</v>
      </c>
    </row>
    <row r="794">
      <c r="A794" s="2" t="n">
        <v>46130.45833333334</v>
      </c>
      <c r="B794">
        <f>TEXT(A794,"yyyy-mm")</f>
        <v/>
      </c>
      <c r="C794" s="3">
        <f>HOUR(A794)</f>
        <v/>
      </c>
      <c r="D794" s="4" t="n">
        <v>21.57214769060556</v>
      </c>
      <c r="E794" s="4" t="n">
        <v>22.53606806608889</v>
      </c>
      <c r="F794" s="4" t="n">
        <v>22.94416639906389</v>
      </c>
      <c r="G794" s="4" t="n">
        <v>10.2</v>
      </c>
      <c r="H794" s="5" t="n">
        <v>53.58989094243889</v>
      </c>
      <c r="I794" s="5" t="n">
        <v>49.77716908716667</v>
      </c>
      <c r="J794" s="5" t="n">
        <v>45.09181328613889</v>
      </c>
      <c r="K794" s="5" t="n">
        <v>75</v>
      </c>
    </row>
    <row r="795">
      <c r="A795" s="2" t="n">
        <v>46130.5</v>
      </c>
      <c r="B795">
        <f>TEXT(A795,"yyyy-mm")</f>
        <v/>
      </c>
      <c r="C795" s="3">
        <f>HOUR(A795)</f>
        <v/>
      </c>
      <c r="D795" s="4" t="n">
        <v>21.68267804026944</v>
      </c>
      <c r="E795" s="4" t="n">
        <v>23.01769125523611</v>
      </c>
      <c r="F795" s="4" t="n">
        <v>22.94384676571944</v>
      </c>
      <c r="G795" s="4" t="n">
        <v>10.7</v>
      </c>
      <c r="H795" s="5" t="n">
        <v>54.55690871973612</v>
      </c>
      <c r="I795" s="5" t="n">
        <v>53.16697418721111</v>
      </c>
      <c r="J795" s="5" t="n">
        <v>44.91128115815278</v>
      </c>
      <c r="K795" s="5" t="n">
        <v>73</v>
      </c>
    </row>
    <row r="796">
      <c r="A796" s="2" t="n">
        <v>46130.54166666666</v>
      </c>
      <c r="B796">
        <f>TEXT(A796,"yyyy-mm")</f>
        <v/>
      </c>
      <c r="C796" s="3">
        <f>HOUR(A796)</f>
        <v/>
      </c>
      <c r="D796" s="4" t="n">
        <v>21.60167581519167</v>
      </c>
      <c r="E796" s="4" t="n">
        <v>23.29936487361667</v>
      </c>
      <c r="F796" s="4" t="n">
        <v>22.95093063049167</v>
      </c>
      <c r="G796" s="4" t="n">
        <v>10.7</v>
      </c>
      <c r="H796" s="5" t="n">
        <v>55.90683130403889</v>
      </c>
      <c r="I796" s="5" t="n">
        <v>51.64306233755556</v>
      </c>
      <c r="J796" s="5" t="n">
        <v>44.84165776821112</v>
      </c>
      <c r="K796" s="5" t="n">
        <v>73</v>
      </c>
    </row>
    <row r="797">
      <c r="A797" s="2" t="n">
        <v>46130.58333333334</v>
      </c>
      <c r="B797">
        <f>TEXT(A797,"yyyy-mm")</f>
        <v/>
      </c>
      <c r="C797" s="3">
        <f>HOUR(A797)</f>
        <v/>
      </c>
      <c r="D797" s="4" t="n">
        <v>21.505529659025</v>
      </c>
      <c r="E797" s="4" t="n">
        <v>23.21035127887778</v>
      </c>
      <c r="F797" s="4" t="n">
        <v>22.94734793133055</v>
      </c>
      <c r="G797" s="4" t="n">
        <v>10.6</v>
      </c>
      <c r="H797" s="5" t="n">
        <v>55.31194227402222</v>
      </c>
      <c r="I797" s="5" t="n">
        <v>49.85140467278612</v>
      </c>
      <c r="J797" s="5" t="n">
        <v>44.76305784709722</v>
      </c>
      <c r="K797" s="5" t="n">
        <v>76</v>
      </c>
    </row>
    <row r="798">
      <c r="A798" s="2" t="n">
        <v>46130.625</v>
      </c>
      <c r="B798">
        <f>TEXT(A798,"yyyy-mm")</f>
        <v/>
      </c>
      <c r="C798" s="3">
        <f>HOUR(A798)</f>
        <v/>
      </c>
      <c r="D798" s="4" t="n">
        <v>21.29220333671667</v>
      </c>
      <c r="E798" s="4" t="n">
        <v>22.93519858402222</v>
      </c>
      <c r="F798" s="4" t="n">
        <v>22.95155537199166</v>
      </c>
      <c r="G798" s="4" t="n">
        <v>10.4</v>
      </c>
      <c r="H798" s="5" t="n">
        <v>53.98167860007777</v>
      </c>
      <c r="I798" s="5" t="n">
        <v>48.21522542867222</v>
      </c>
      <c r="J798" s="5" t="n">
        <v>44.70776533758612</v>
      </c>
      <c r="K798" s="5" t="n">
        <v>80</v>
      </c>
    </row>
    <row r="799">
      <c r="A799" s="2" t="n">
        <v>46130.66666666666</v>
      </c>
      <c r="B799">
        <f>TEXT(A799,"yyyy-mm")</f>
        <v/>
      </c>
      <c r="C799" s="3">
        <f>HOUR(A799)</f>
        <v/>
      </c>
      <c r="D799" s="4" t="n">
        <v>21.08273404918056</v>
      </c>
      <c r="E799" s="4" t="n">
        <v>22.75297541150833</v>
      </c>
      <c r="F799" s="4" t="n">
        <v>22.948249730725</v>
      </c>
      <c r="G799" s="4" t="n">
        <v>10.3</v>
      </c>
      <c r="H799" s="5" t="n">
        <v>52.03021414080556</v>
      </c>
      <c r="I799" s="5" t="n">
        <v>47.18138170759445</v>
      </c>
      <c r="J799" s="5" t="n">
        <v>44.652334506025</v>
      </c>
      <c r="K799" s="5" t="n">
        <v>84</v>
      </c>
    </row>
    <row r="800">
      <c r="A800" s="2" t="n">
        <v>46130.70833333334</v>
      </c>
      <c r="B800">
        <f>TEXT(A800,"yyyy-mm")</f>
        <v/>
      </c>
      <c r="C800" s="3">
        <f>HOUR(A800)</f>
        <v/>
      </c>
      <c r="D800" s="4" t="n">
        <v>20.94426264866112</v>
      </c>
      <c r="E800" s="4" t="n">
        <v>22.82887872825556</v>
      </c>
      <c r="F800" s="4" t="n">
        <v>22.94440344986389</v>
      </c>
      <c r="G800" s="4" t="n">
        <v>10</v>
      </c>
      <c r="H800" s="5" t="n">
        <v>51.40419849954444</v>
      </c>
      <c r="I800" s="5" t="n">
        <v>46.74446370526667</v>
      </c>
      <c r="J800" s="5" t="n">
        <v>44.61668118568611</v>
      </c>
      <c r="K800" s="5" t="n">
        <v>85</v>
      </c>
    </row>
    <row r="801">
      <c r="A801" s="2" t="n">
        <v>46130.75</v>
      </c>
      <c r="B801">
        <f>TEXT(A801,"yyyy-mm")</f>
        <v/>
      </c>
      <c r="C801" s="3">
        <f>HOUR(A801)</f>
        <v/>
      </c>
      <c r="D801" s="4" t="n">
        <v>20.96584834083055</v>
      </c>
      <c r="E801" s="4" t="n">
        <v>23.05666907036389</v>
      </c>
      <c r="F801" s="4" t="n">
        <v>22.97185602485278</v>
      </c>
      <c r="G801" s="4" t="n">
        <v>9.4</v>
      </c>
      <c r="H801" s="5" t="n">
        <v>53.56222109240277</v>
      </c>
      <c r="I801" s="5" t="n">
        <v>47.63724670228056</v>
      </c>
      <c r="J801" s="5" t="n">
        <v>45.83935555693889</v>
      </c>
      <c r="K801" s="5" t="n">
        <v>95</v>
      </c>
    </row>
    <row r="802">
      <c r="A802" s="2" t="n">
        <v>46130.79166666666</v>
      </c>
      <c r="B802">
        <f>TEXT(A802,"yyyy-mm")</f>
        <v/>
      </c>
      <c r="C802" s="3">
        <f>HOUR(A802)</f>
        <v/>
      </c>
      <c r="D802" s="4" t="n">
        <v>21.05253940056389</v>
      </c>
      <c r="E802" s="4" t="n">
        <v>23.23538328820834</v>
      </c>
      <c r="F802" s="4" t="n">
        <v>23.07104386493056</v>
      </c>
      <c r="G802" s="4" t="n">
        <v>8.9</v>
      </c>
      <c r="H802" s="5" t="n">
        <v>53.24325135189444</v>
      </c>
      <c r="I802" s="5" t="n">
        <v>47.29858548640278</v>
      </c>
      <c r="J802" s="5" t="n">
        <v>53.45658608333611</v>
      </c>
      <c r="K802" s="5" t="n">
        <v>96</v>
      </c>
    </row>
    <row r="803">
      <c r="A803" s="2" t="n">
        <v>46130.83333333334</v>
      </c>
      <c r="B803">
        <f>TEXT(A803,"yyyy-mm")</f>
        <v/>
      </c>
      <c r="C803" s="3">
        <f>HOUR(A803)</f>
        <v/>
      </c>
      <c r="D803" s="4" t="n">
        <v>21.26512035400278</v>
      </c>
      <c r="E803" s="4" t="n">
        <v>23.39750962255277</v>
      </c>
      <c r="F803" s="4" t="n">
        <v>23.21455891415</v>
      </c>
      <c r="G803" s="4" t="n">
        <v>8.5</v>
      </c>
      <c r="H803" s="5" t="n">
        <v>54.35016518006668</v>
      </c>
      <c r="I803" s="5" t="n">
        <v>47.60894159608611</v>
      </c>
      <c r="J803" s="5" t="n">
        <v>54.27149370097222</v>
      </c>
      <c r="K803" s="5" t="n">
        <v>96</v>
      </c>
    </row>
    <row r="804">
      <c r="A804" s="2" t="n">
        <v>46130.875</v>
      </c>
      <c r="B804">
        <f>TEXT(A804,"yyyy-mm")</f>
        <v/>
      </c>
      <c r="C804" s="3">
        <f>HOUR(A804)</f>
        <v/>
      </c>
      <c r="D804" s="4" t="n">
        <v>21.33433365671111</v>
      </c>
      <c r="E804" s="4" t="n">
        <v>23.33728460797222</v>
      </c>
      <c r="F804" s="4" t="n">
        <v>23.48318503123056</v>
      </c>
      <c r="G804" s="4" t="n">
        <v>8.6</v>
      </c>
      <c r="H804" s="5" t="n">
        <v>53.62033788121945</v>
      </c>
      <c r="I804" s="5" t="n">
        <v>48.20467283130833</v>
      </c>
      <c r="J804" s="5" t="n">
        <v>54.300656182725</v>
      </c>
      <c r="K804" s="5" t="n">
        <v>97</v>
      </c>
    </row>
    <row r="805">
      <c r="A805" s="2" t="n">
        <v>46130.91666666666</v>
      </c>
      <c r="B805">
        <f>TEXT(A805,"yyyy-mm")</f>
        <v/>
      </c>
      <c r="C805" s="3">
        <f>HOUR(A805)</f>
        <v/>
      </c>
      <c r="D805" s="4" t="n">
        <v>21.45738030311666</v>
      </c>
      <c r="E805" s="4" t="n">
        <v>23.36338850469722</v>
      </c>
      <c r="F805" s="4" t="n">
        <v>23.28244553724167</v>
      </c>
      <c r="G805" s="4" t="n">
        <v>8.6</v>
      </c>
      <c r="H805" s="5" t="n">
        <v>54.08533418253888</v>
      </c>
      <c r="I805" s="5" t="n">
        <v>50.03853667214167</v>
      </c>
      <c r="J805" s="5" t="n">
        <v>49.53479893954445</v>
      </c>
      <c r="K805" s="5" t="n">
        <v>97</v>
      </c>
    </row>
    <row r="806">
      <c r="A806" s="2" t="n">
        <v>46130.95833333334</v>
      </c>
      <c r="B806">
        <f>TEXT(A806,"yyyy-mm")</f>
        <v/>
      </c>
      <c r="C806" s="3">
        <f>HOUR(A806)</f>
        <v/>
      </c>
      <c r="D806" s="4" t="n">
        <v>21.82233468973056</v>
      </c>
      <c r="E806" s="4" t="n">
        <v>23.26468463417778</v>
      </c>
      <c r="F806" s="4" t="n">
        <v>23.22597274332222</v>
      </c>
      <c r="G806" s="4" t="n">
        <v>8.300000000000001</v>
      </c>
      <c r="H806" s="5" t="n">
        <v>53.24694388766944</v>
      </c>
      <c r="I806" s="5" t="n">
        <v>49.64947387378611</v>
      </c>
      <c r="J806" s="5" t="n">
        <v>47.97413619102777</v>
      </c>
      <c r="K806" s="5" t="n">
        <v>97</v>
      </c>
    </row>
    <row r="807">
      <c r="A807" s="2" t="n">
        <v>46131</v>
      </c>
      <c r="B807">
        <f>TEXT(A807,"yyyy-mm")</f>
        <v/>
      </c>
      <c r="C807" s="3">
        <f>HOUR(A807)</f>
        <v/>
      </c>
      <c r="D807" s="4" t="n">
        <v>21.93874883498611</v>
      </c>
      <c r="E807" s="4" t="n">
        <v>23.29388293557222</v>
      </c>
      <c r="F807" s="4" t="n">
        <v>23.19391711461667</v>
      </c>
      <c r="G807" s="4" t="n">
        <v>8.1</v>
      </c>
      <c r="H807" s="5" t="n">
        <v>52.49098146294444</v>
      </c>
      <c r="I807" s="5" t="n">
        <v>48.16353559694445</v>
      </c>
      <c r="J807" s="5" t="n">
        <v>47.15917165215556</v>
      </c>
      <c r="K807" s="5" t="n">
        <v>97</v>
      </c>
    </row>
    <row r="808">
      <c r="A808" s="2" t="n">
        <v>46131.04166666666</v>
      </c>
      <c r="B808">
        <f>TEXT(A808,"yyyy-mm")</f>
        <v/>
      </c>
      <c r="C808" s="3">
        <f>HOUR(A808)</f>
        <v/>
      </c>
      <c r="D808" s="4" t="n">
        <v>22.03493801141667</v>
      </c>
      <c r="E808" s="4" t="n">
        <v>23.29470907573056</v>
      </c>
      <c r="F808" s="4" t="n">
        <v>23.20319472003611</v>
      </c>
      <c r="G808" s="4" t="n">
        <v>7.9</v>
      </c>
      <c r="H808" s="5" t="n">
        <v>51.64599300216944</v>
      </c>
      <c r="I808" s="5" t="n">
        <v>47.39588582771945</v>
      </c>
      <c r="J808" s="5" t="n">
        <v>46.59880628891944</v>
      </c>
      <c r="K808" s="5" t="n">
        <v>97</v>
      </c>
    </row>
    <row r="809">
      <c r="A809" s="2" t="n">
        <v>46131.08333333334</v>
      </c>
      <c r="B809">
        <f>TEXT(A809,"yyyy-mm")</f>
        <v/>
      </c>
      <c r="C809" s="3">
        <f>HOUR(A809)</f>
        <v/>
      </c>
      <c r="D809" s="4" t="n">
        <v>21.95146140644722</v>
      </c>
      <c r="E809" s="4" t="n">
        <v>23.25844660115555</v>
      </c>
      <c r="F809" s="4" t="n">
        <v>23.21102958042778</v>
      </c>
      <c r="G809" s="4" t="n">
        <v>8</v>
      </c>
      <c r="H809" s="5" t="n">
        <v>51.50367234763333</v>
      </c>
      <c r="I809" s="5" t="n">
        <v>47.70663232375</v>
      </c>
      <c r="J809" s="5" t="n">
        <v>46.18442494777222</v>
      </c>
      <c r="K809" s="5" t="n">
        <v>94</v>
      </c>
    </row>
    <row r="810">
      <c r="A810" s="2" t="n">
        <v>46131.125</v>
      </c>
      <c r="B810">
        <f>TEXT(A810,"yyyy-mm")</f>
        <v/>
      </c>
      <c r="C810" s="3">
        <f>HOUR(A810)</f>
        <v/>
      </c>
      <c r="D810" s="4" t="n">
        <v>21.541563597825</v>
      </c>
      <c r="E810" s="4" t="n">
        <v>22.92491300866945</v>
      </c>
      <c r="F810" s="4" t="n">
        <v>23.18823589901112</v>
      </c>
      <c r="G810" s="4" t="n">
        <v>7.8</v>
      </c>
      <c r="H810" s="5" t="n">
        <v>51.83622431474166</v>
      </c>
      <c r="I810" s="5" t="n">
        <v>48.04371554324167</v>
      </c>
      <c r="J810" s="5" t="n">
        <v>45.92094479197223</v>
      </c>
      <c r="K810" s="5" t="n">
        <v>91</v>
      </c>
    </row>
    <row r="811">
      <c r="A811" s="2" t="n">
        <v>46131.16666666666</v>
      </c>
      <c r="B811">
        <f>TEXT(A811,"yyyy-mm")</f>
        <v/>
      </c>
      <c r="C811" s="3">
        <f>HOUR(A811)</f>
        <v/>
      </c>
      <c r="D811" s="4" t="n">
        <v>21.31911400660833</v>
      </c>
      <c r="E811" s="4" t="n">
        <v>22.83928828608056</v>
      </c>
      <c r="F811" s="4" t="n">
        <v>23.15906907263611</v>
      </c>
      <c r="G811" s="4" t="n">
        <v>7.8</v>
      </c>
      <c r="H811" s="5" t="n">
        <v>51.73795612544166</v>
      </c>
      <c r="I811" s="5" t="n">
        <v>47.59157170127222</v>
      </c>
      <c r="J811" s="5" t="n">
        <v>45.72123581207222</v>
      </c>
      <c r="K811" s="5" t="n">
        <v>94</v>
      </c>
    </row>
    <row r="812">
      <c r="A812" s="2" t="n">
        <v>46131.20833333334</v>
      </c>
      <c r="B812">
        <f>TEXT(A812,"yyyy-mm")</f>
        <v/>
      </c>
      <c r="C812" s="3">
        <f>HOUR(A812)</f>
        <v/>
      </c>
      <c r="D812" s="4" t="n">
        <v>21.20129534701111</v>
      </c>
      <c r="E812" s="4" t="n">
        <v>22.80453220469722</v>
      </c>
      <c r="F812" s="4" t="n">
        <v>23.15208344999166</v>
      </c>
      <c r="G812" s="4" t="n">
        <v>7.7</v>
      </c>
      <c r="H812" s="5" t="n">
        <v>51.73309602508889</v>
      </c>
      <c r="I812" s="5" t="n">
        <v>47.15060447603612</v>
      </c>
      <c r="J812" s="5" t="n">
        <v>45.538553774725</v>
      </c>
      <c r="K812" s="5" t="n">
        <v>95</v>
      </c>
    </row>
    <row r="813">
      <c r="A813" s="2" t="n">
        <v>46131.25</v>
      </c>
      <c r="B813">
        <f>TEXT(A813,"yyyy-mm")</f>
        <v/>
      </c>
      <c r="C813" s="3">
        <f>HOUR(A813)</f>
        <v/>
      </c>
      <c r="D813" s="4" t="n">
        <v>21.11425379841389</v>
      </c>
      <c r="E813" s="4" t="n">
        <v>22.55506959885556</v>
      </c>
      <c r="F813" s="4" t="n">
        <v>23.13372234103611</v>
      </c>
      <c r="G813" s="4" t="n">
        <v>7.4</v>
      </c>
      <c r="H813" s="5" t="n">
        <v>51.6090568272</v>
      </c>
      <c r="I813" s="5" t="n">
        <v>47.43634493787778</v>
      </c>
      <c r="J813" s="5" t="n">
        <v>45.38781738474166</v>
      </c>
      <c r="K813" s="5" t="n">
        <v>97</v>
      </c>
    </row>
    <row r="814">
      <c r="A814" s="2" t="n">
        <v>46131.29166666666</v>
      </c>
      <c r="B814">
        <f>TEXT(A814,"yyyy-mm")</f>
        <v/>
      </c>
      <c r="C814" s="3">
        <f>HOUR(A814)</f>
        <v/>
      </c>
      <c r="D814" s="4" t="n">
        <v>21.10027824609723</v>
      </c>
      <c r="E814" s="4" t="n">
        <v>22.52944777238056</v>
      </c>
      <c r="F814" s="4" t="n">
        <v>23.11730446796111</v>
      </c>
      <c r="G814" s="4" t="n">
        <v>7.5</v>
      </c>
      <c r="H814" s="5" t="n">
        <v>51.21361841305556</v>
      </c>
      <c r="I814" s="5" t="n">
        <v>47.12048481422222</v>
      </c>
      <c r="J814" s="5" t="n">
        <v>45.24696981813611</v>
      </c>
      <c r="K814" s="5" t="n">
        <v>95</v>
      </c>
    </row>
    <row r="815">
      <c r="A815" s="2" t="n">
        <v>46131.33333333334</v>
      </c>
      <c r="B815">
        <f>TEXT(A815,"yyyy-mm")</f>
        <v/>
      </c>
      <c r="C815" s="3">
        <f>HOUR(A815)</f>
        <v/>
      </c>
      <c r="D815" s="4" t="n">
        <v>21.137680227425</v>
      </c>
      <c r="E815" s="4" t="n">
        <v>22.44818878941944</v>
      </c>
      <c r="F815" s="4" t="n">
        <v>23.09537484807778</v>
      </c>
      <c r="G815" s="4" t="n">
        <v>8</v>
      </c>
      <c r="H815" s="5" t="n">
        <v>50.80165799466945</v>
      </c>
      <c r="I815" s="5" t="n">
        <v>46.88612361846111</v>
      </c>
      <c r="J815" s="5" t="n">
        <v>45.12538631779167</v>
      </c>
      <c r="K815" s="5" t="n">
        <v>94</v>
      </c>
    </row>
    <row r="816">
      <c r="A816" s="2" t="n">
        <v>46131.375</v>
      </c>
      <c r="B816">
        <f>TEXT(A816,"yyyy-mm")</f>
        <v/>
      </c>
      <c r="C816" s="3">
        <f>HOUR(A816)</f>
        <v/>
      </c>
      <c r="D816" s="4" t="n">
        <v>21.34581115248056</v>
      </c>
      <c r="E816" s="4" t="n">
        <v>22.50020525848889</v>
      </c>
      <c r="F816" s="4" t="n">
        <v>23.07045736776945</v>
      </c>
      <c r="G816" s="4" t="n">
        <v>8.800000000000001</v>
      </c>
      <c r="H816" s="5" t="n">
        <v>49.812823001775</v>
      </c>
      <c r="I816" s="5" t="n">
        <v>46.43362304781389</v>
      </c>
      <c r="J816" s="5" t="n">
        <v>45.02806748327777</v>
      </c>
      <c r="K816" s="5" t="n">
        <v>87</v>
      </c>
    </row>
    <row r="817">
      <c r="A817" s="2" t="n">
        <v>46131.41666666666</v>
      </c>
      <c r="B817">
        <f>TEXT(A817,"yyyy-mm")</f>
        <v/>
      </c>
      <c r="C817" s="3">
        <f>HOUR(A817)</f>
        <v/>
      </c>
      <c r="D817" s="4" t="n">
        <v>21.35525142938611</v>
      </c>
      <c r="E817" s="4" t="n">
        <v>22.54687812616111</v>
      </c>
      <c r="F817" s="4" t="n">
        <v>23.06827807746944</v>
      </c>
      <c r="G817" s="4" t="n">
        <v>10.1</v>
      </c>
      <c r="H817" s="5" t="n">
        <v>49.58771849788055</v>
      </c>
      <c r="I817" s="5" t="n">
        <v>46.06905776245555</v>
      </c>
      <c r="J817" s="5" t="n">
        <v>44.9217892742</v>
      </c>
      <c r="K817" s="5" t="n">
        <v>76</v>
      </c>
    </row>
    <row r="818">
      <c r="A818" s="2" t="n">
        <v>46131.45833333334</v>
      </c>
      <c r="B818">
        <f>TEXT(A818,"yyyy-mm")</f>
        <v/>
      </c>
      <c r="C818" s="3">
        <f>HOUR(A818)</f>
        <v/>
      </c>
      <c r="D818" s="4" t="n">
        <v>21.27088877066112</v>
      </c>
      <c r="E818" s="4" t="n">
        <v>22.40788444730833</v>
      </c>
      <c r="F818" s="4" t="n">
        <v>23.04569332513889</v>
      </c>
      <c r="G818" s="4" t="n">
        <v>10.5</v>
      </c>
      <c r="H818" s="5" t="n">
        <v>49.85481811635833</v>
      </c>
      <c r="I818" s="5" t="n">
        <v>46.2267606238</v>
      </c>
      <c r="J818" s="5" t="n">
        <v>44.87068019190278</v>
      </c>
      <c r="K818" s="5" t="n">
        <v>74</v>
      </c>
    </row>
    <row r="819">
      <c r="A819" s="2" t="n">
        <v>46131.5</v>
      </c>
      <c r="B819">
        <f>TEXT(A819,"yyyy-mm")</f>
        <v/>
      </c>
      <c r="C819" s="3">
        <f>HOUR(A819)</f>
        <v/>
      </c>
      <c r="D819" s="4" t="n">
        <v>21.25250012019444</v>
      </c>
      <c r="E819" s="4" t="n">
        <v>22.4955181853</v>
      </c>
      <c r="F819" s="4" t="n">
        <v>23.01594307746112</v>
      </c>
      <c r="G819" s="4" t="n">
        <v>10.8</v>
      </c>
      <c r="H819" s="5" t="n">
        <v>49.89992339133611</v>
      </c>
      <c r="I819" s="5" t="n">
        <v>46.97787262783334</v>
      </c>
      <c r="J819" s="5" t="n">
        <v>44.82409317370834</v>
      </c>
      <c r="K819" s="5" t="n">
        <v>72</v>
      </c>
    </row>
    <row r="820">
      <c r="A820" s="2" t="n">
        <v>46131.54166666666</v>
      </c>
      <c r="B820">
        <f>TEXT(A820,"yyyy-mm")</f>
        <v/>
      </c>
      <c r="C820" s="3">
        <f>HOUR(A820)</f>
        <v/>
      </c>
      <c r="D820" s="4" t="n">
        <v>21.24306337791944</v>
      </c>
      <c r="E820" s="4" t="n">
        <v>22.81041683054723</v>
      </c>
      <c r="F820" s="4" t="n">
        <v>23.01919583494722</v>
      </c>
      <c r="G820" s="4" t="n">
        <v>9.699999999999999</v>
      </c>
      <c r="H820" s="5" t="n">
        <v>50.88980698408334</v>
      </c>
      <c r="I820" s="5" t="n">
        <v>48.64428797914167</v>
      </c>
      <c r="J820" s="5" t="n">
        <v>44.72099737372222</v>
      </c>
      <c r="K820" s="5" t="n">
        <v>74</v>
      </c>
    </row>
    <row r="821">
      <c r="A821" s="2" t="n">
        <v>46131.58333333334</v>
      </c>
      <c r="B821">
        <f>TEXT(A821,"yyyy-mm")</f>
        <v/>
      </c>
      <c r="C821" s="3">
        <f>HOUR(A821)</f>
        <v/>
      </c>
      <c r="D821" s="4" t="n">
        <v>21.25233060914723</v>
      </c>
      <c r="E821" s="4" t="n">
        <v>23.12422269704723</v>
      </c>
      <c r="F821" s="4" t="n">
        <v>23.03480671694444</v>
      </c>
      <c r="G821" s="4" t="n">
        <v>9.800000000000001</v>
      </c>
      <c r="H821" s="5" t="n">
        <v>53.44159869705</v>
      </c>
      <c r="I821" s="5" t="n">
        <v>48.05108018561111</v>
      </c>
      <c r="J821" s="5" t="n">
        <v>44.67823604863333</v>
      </c>
      <c r="K821" s="5" t="n">
        <v>73</v>
      </c>
    </row>
    <row r="822">
      <c r="A822" s="2" t="n">
        <v>46131.625</v>
      </c>
      <c r="B822">
        <f>TEXT(A822,"yyyy-mm")</f>
        <v/>
      </c>
      <c r="C822" s="3">
        <f>HOUR(A822)</f>
        <v/>
      </c>
      <c r="D822" s="4" t="n">
        <v>21.31462835443889</v>
      </c>
      <c r="E822" s="4" t="n">
        <v>22.94647548570833</v>
      </c>
      <c r="F822" s="4" t="n">
        <v>23.04975017303333</v>
      </c>
      <c r="G822" s="4" t="n">
        <v>9.1</v>
      </c>
      <c r="H822" s="5" t="n">
        <v>53.26596054731112</v>
      </c>
      <c r="I822" s="5" t="n">
        <v>48.52722388334445</v>
      </c>
      <c r="J822" s="5" t="n">
        <v>44.59366184393889</v>
      </c>
      <c r="K822" s="5" t="n">
        <v>71</v>
      </c>
    </row>
    <row r="823">
      <c r="A823" s="2" t="n">
        <v>46131.66666666666</v>
      </c>
      <c r="B823">
        <f>TEXT(A823,"yyyy-mm")</f>
        <v/>
      </c>
      <c r="C823" s="3">
        <f>HOUR(A823)</f>
        <v/>
      </c>
      <c r="D823" s="4" t="n">
        <v>21.06290878144445</v>
      </c>
      <c r="E823" s="4" t="n">
        <v>22.65083662254166</v>
      </c>
      <c r="F823" s="4" t="n">
        <v>23.05344456644444</v>
      </c>
      <c r="G823" s="4" t="n">
        <v>9.1</v>
      </c>
      <c r="H823" s="5" t="n">
        <v>51.20786820112222</v>
      </c>
      <c r="I823" s="5" t="n">
        <v>47.20664834454444</v>
      </c>
      <c r="J823" s="5" t="n">
        <v>44.52765053758333</v>
      </c>
      <c r="K823" s="5" t="n">
        <v>69</v>
      </c>
    </row>
    <row r="824">
      <c r="A824" s="2" t="n">
        <v>46131.70833333334</v>
      </c>
      <c r="B824">
        <f>TEXT(A824,"yyyy-mm")</f>
        <v/>
      </c>
      <c r="C824" s="3">
        <f>HOUR(A824)</f>
        <v/>
      </c>
      <c r="D824" s="4" t="n">
        <v>21.11013076877222</v>
      </c>
      <c r="E824" s="4" t="n">
        <v>21.93599999334167</v>
      </c>
      <c r="F824" s="4" t="n">
        <v>23.23926012385</v>
      </c>
      <c r="G824" s="4" t="n">
        <v>8.800000000000001</v>
      </c>
      <c r="H824" s="5" t="n">
        <v>50.57189499036667</v>
      </c>
      <c r="I824" s="5" t="n">
        <v>50.03881108591389</v>
      </c>
      <c r="J824" s="5" t="n">
        <v>51.02000551438889</v>
      </c>
      <c r="K824" s="5" t="n">
        <v>66</v>
      </c>
    </row>
    <row r="825">
      <c r="A825" s="2" t="n">
        <v>46131.75</v>
      </c>
      <c r="B825">
        <f>TEXT(A825,"yyyy-mm")</f>
        <v/>
      </c>
      <c r="C825" s="3">
        <f>HOUR(A825)</f>
        <v/>
      </c>
      <c r="D825" s="4" t="n">
        <v>21.29247299073056</v>
      </c>
      <c r="E825" s="4" t="n">
        <v>22.74404323450834</v>
      </c>
      <c r="F825" s="4" t="n">
        <v>23.24547054388611</v>
      </c>
      <c r="G825" s="4" t="n">
        <v>8.5</v>
      </c>
      <c r="H825" s="5" t="n">
        <v>52.34057880821945</v>
      </c>
      <c r="I825" s="5" t="n">
        <v>49.32210678845278</v>
      </c>
      <c r="J825" s="5" t="n">
        <v>51.02325772941112</v>
      </c>
      <c r="K825" s="5" t="n">
        <v>62</v>
      </c>
    </row>
    <row r="826">
      <c r="A826" s="2" t="n">
        <v>46131.79166666666</v>
      </c>
      <c r="B826">
        <f>TEXT(A826,"yyyy-mm")</f>
        <v/>
      </c>
      <c r="C826" s="3">
        <f>HOUR(A826)</f>
        <v/>
      </c>
      <c r="D826" s="4" t="n">
        <v>21.22901040533333</v>
      </c>
      <c r="E826" s="4" t="n">
        <v>22.98846301203611</v>
      </c>
      <c r="F826" s="4" t="n">
        <v>23.20245416468056</v>
      </c>
      <c r="G826" s="4" t="n">
        <v>8</v>
      </c>
      <c r="H826" s="5" t="n">
        <v>53.70894090614445</v>
      </c>
      <c r="I826" s="5" t="n">
        <v>50.24392935819722</v>
      </c>
      <c r="J826" s="5" t="n">
        <v>47.94492838261112</v>
      </c>
      <c r="K826" s="5" t="n">
        <v>63</v>
      </c>
    </row>
    <row r="827">
      <c r="A827" s="2" t="n">
        <v>46131.83333333334</v>
      </c>
      <c r="B827">
        <f>TEXT(A827,"yyyy-mm")</f>
        <v/>
      </c>
      <c r="C827" s="3">
        <f>HOUR(A827)</f>
        <v/>
      </c>
      <c r="D827" s="4" t="n">
        <v>21.24471185317222</v>
      </c>
      <c r="E827" s="4" t="n">
        <v>23.06289932164722</v>
      </c>
      <c r="F827" s="4" t="n">
        <v>23.24390973463055</v>
      </c>
      <c r="G827" s="4" t="n">
        <v>7.6</v>
      </c>
      <c r="H827" s="5" t="n">
        <v>54.073351543875</v>
      </c>
      <c r="I827" s="5" t="n">
        <v>49.84008587132222</v>
      </c>
      <c r="J827" s="5" t="n">
        <v>48.11306385093334</v>
      </c>
      <c r="K827" s="5" t="n">
        <v>63</v>
      </c>
    </row>
    <row r="828">
      <c r="A828" s="2" t="n">
        <v>46131.875</v>
      </c>
      <c r="B828">
        <f>TEXT(A828,"yyyy-mm")</f>
        <v/>
      </c>
      <c r="C828" s="3">
        <f>HOUR(A828)</f>
        <v/>
      </c>
      <c r="D828" s="4" t="n">
        <v>21.29887011411944</v>
      </c>
      <c r="E828" s="4" t="n">
        <v>22.98974314545</v>
      </c>
      <c r="F828" s="4" t="n">
        <v>23.30735281538334</v>
      </c>
      <c r="G828" s="4" t="n">
        <v>6.9</v>
      </c>
      <c r="H828" s="5" t="n">
        <v>53.15712559530834</v>
      </c>
      <c r="I828" s="5" t="n">
        <v>49.00189788496944</v>
      </c>
      <c r="J828" s="5" t="n">
        <v>46.80647358520556</v>
      </c>
      <c r="K828" s="5" t="n">
        <v>68</v>
      </c>
    </row>
    <row r="829">
      <c r="A829" s="2" t="n">
        <v>46131.91666666666</v>
      </c>
      <c r="B829">
        <f>TEXT(A829,"yyyy-mm")</f>
        <v/>
      </c>
      <c r="C829" s="3">
        <f>HOUR(A829)</f>
        <v/>
      </c>
      <c r="D829" s="4" t="n">
        <v>21.16414310054166</v>
      </c>
      <c r="E829" s="4" t="n">
        <v>22.7015298013</v>
      </c>
      <c r="F829" s="4" t="n">
        <v>23.38754509074722</v>
      </c>
      <c r="G829" s="4" t="n">
        <v>5.3</v>
      </c>
      <c r="H829" s="5" t="n">
        <v>53.38309886778611</v>
      </c>
      <c r="I829" s="5" t="n">
        <v>49.19788834025834</v>
      </c>
      <c r="J829" s="5" t="n">
        <v>46.62739873919723</v>
      </c>
      <c r="K829" s="5" t="n">
        <v>72</v>
      </c>
    </row>
    <row r="830">
      <c r="A830" s="2" t="n">
        <v>46131.95833333334</v>
      </c>
      <c r="B830">
        <f>TEXT(A830,"yyyy-mm")</f>
        <v/>
      </c>
      <c r="C830" s="3">
        <f>HOUR(A830)</f>
        <v/>
      </c>
      <c r="D830" s="4" t="n">
        <v>21.19258004918333</v>
      </c>
      <c r="E830" s="4" t="n">
        <v>23.117366006275</v>
      </c>
      <c r="F830" s="4" t="n">
        <v>23.428834247525</v>
      </c>
      <c r="G830" s="4" t="n">
        <v>4.3</v>
      </c>
      <c r="H830" s="5" t="n">
        <v>53.94160987837777</v>
      </c>
      <c r="I830" s="5" t="n">
        <v>49.07098252065833</v>
      </c>
      <c r="J830" s="5" t="n">
        <v>46.62879205708612</v>
      </c>
      <c r="K830" s="5" t="n">
        <v>76</v>
      </c>
    </row>
    <row r="831">
      <c r="A831" s="2" t="n">
        <v>46132</v>
      </c>
      <c r="B831">
        <f>TEXT(A831,"yyyy-mm")</f>
        <v/>
      </c>
      <c r="C831" s="3">
        <f>HOUR(A831)</f>
        <v/>
      </c>
      <c r="D831" s="4" t="n">
        <v>21.52788953678889</v>
      </c>
      <c r="E831" s="4" t="n">
        <v>23.09675276099722</v>
      </c>
      <c r="F831" s="4" t="n">
        <v>23.41191507268333</v>
      </c>
      <c r="G831" s="4" t="n">
        <v>3.6</v>
      </c>
      <c r="H831" s="5" t="n">
        <v>50.03546893727778</v>
      </c>
      <c r="I831" s="5" t="n">
        <v>45.95301314382223</v>
      </c>
      <c r="J831" s="5" t="n">
        <v>45.38335458765</v>
      </c>
      <c r="K831" s="5" t="n">
        <v>80</v>
      </c>
    </row>
    <row r="832">
      <c r="A832" s="2" t="n">
        <v>46132.04166666666</v>
      </c>
      <c r="B832">
        <f>TEXT(A832,"yyyy-mm")</f>
        <v/>
      </c>
      <c r="C832" s="3">
        <f>HOUR(A832)</f>
        <v/>
      </c>
      <c r="D832" s="4" t="n">
        <v>21.55925781178334</v>
      </c>
      <c r="E832" s="4" t="n">
        <v>23.04829522823333</v>
      </c>
      <c r="F832" s="4" t="n">
        <v>23.42344579588612</v>
      </c>
      <c r="G832" s="4" t="n">
        <v>2.9</v>
      </c>
      <c r="H832" s="5" t="n">
        <v>47.88030368236945</v>
      </c>
      <c r="I832" s="5" t="n">
        <v>44.90042505188055</v>
      </c>
      <c r="J832" s="5" t="n">
        <v>45.10663547622499</v>
      </c>
      <c r="K832" s="5" t="n">
        <v>83</v>
      </c>
    </row>
    <row r="833">
      <c r="A833" s="2" t="n">
        <v>46132.08333333334</v>
      </c>
      <c r="B833">
        <f>TEXT(A833,"yyyy-mm")</f>
        <v/>
      </c>
      <c r="C833" s="3">
        <f>HOUR(A833)</f>
        <v/>
      </c>
      <c r="D833" s="4" t="n">
        <v>21.5097595118</v>
      </c>
      <c r="E833" s="4" t="n">
        <v>23.03147863493055</v>
      </c>
      <c r="F833" s="4" t="n">
        <v>23.44231990704445</v>
      </c>
      <c r="G833" s="4" t="n">
        <v>2.2</v>
      </c>
      <c r="H833" s="5" t="n">
        <v>48.10434959335555</v>
      </c>
      <c r="I833" s="5" t="n">
        <v>44.791221805125</v>
      </c>
      <c r="J833" s="5" t="n">
        <v>44.59493825638612</v>
      </c>
      <c r="K833" s="5" t="n">
        <v>86</v>
      </c>
    </row>
    <row r="834">
      <c r="A834" s="2" t="n">
        <v>46132.125</v>
      </c>
      <c r="B834">
        <f>TEXT(A834,"yyyy-mm")</f>
        <v/>
      </c>
      <c r="C834" s="3">
        <f>HOUR(A834)</f>
        <v/>
      </c>
      <c r="D834" s="4" t="n">
        <v>21.30402962743056</v>
      </c>
      <c r="E834" s="4" t="n">
        <v>22.80057995558889</v>
      </c>
      <c r="F834" s="4" t="n">
        <v>23.40352021315</v>
      </c>
      <c r="G834" s="4" t="n">
        <v>2</v>
      </c>
      <c r="H834" s="5" t="n">
        <v>48.77328533334444</v>
      </c>
      <c r="I834" s="5" t="n">
        <v>45.21423930534999</v>
      </c>
      <c r="J834" s="5" t="n">
        <v>44.45386833284723</v>
      </c>
      <c r="K834" s="5" t="n">
        <v>84</v>
      </c>
    </row>
    <row r="835">
      <c r="A835" s="2" t="n">
        <v>46132.16666666666</v>
      </c>
      <c r="B835">
        <f>TEXT(A835,"yyyy-mm")</f>
        <v/>
      </c>
      <c r="C835" s="3">
        <f>HOUR(A835)</f>
        <v/>
      </c>
      <c r="D835" s="4" t="n">
        <v>20.79583147394167</v>
      </c>
      <c r="E835" s="4" t="n">
        <v>22.51328690503055</v>
      </c>
      <c r="F835" s="4" t="n">
        <v>23.31254650975</v>
      </c>
      <c r="G835" s="4" t="n">
        <v>1.4</v>
      </c>
      <c r="H835" s="5" t="n">
        <v>50.10370111002222</v>
      </c>
      <c r="I835" s="5" t="n">
        <v>44.97376556839444</v>
      </c>
      <c r="J835" s="5" t="n">
        <v>44.09738608211112</v>
      </c>
      <c r="K835" s="5" t="n">
        <v>86</v>
      </c>
    </row>
    <row r="836">
      <c r="A836" s="2" t="n">
        <v>46132.20833333334</v>
      </c>
      <c r="B836">
        <f>TEXT(A836,"yyyy-mm")</f>
        <v/>
      </c>
      <c r="C836" s="3">
        <f>HOUR(A836)</f>
        <v/>
      </c>
      <c r="D836" s="4" t="n">
        <v>20.53323570474445</v>
      </c>
      <c r="E836" s="4" t="n">
        <v>22.11217174156944</v>
      </c>
      <c r="F836" s="4" t="n">
        <v>23.23773996841667</v>
      </c>
      <c r="G836" s="4" t="n">
        <v>1</v>
      </c>
      <c r="H836" s="5" t="n">
        <v>50.146832719525</v>
      </c>
      <c r="I836" s="5" t="n">
        <v>44.95349879566667</v>
      </c>
      <c r="J836" s="5" t="n">
        <v>43.82830917505277</v>
      </c>
      <c r="K836" s="5" t="n">
        <v>86</v>
      </c>
    </row>
    <row r="837">
      <c r="A837" s="2" t="n">
        <v>46132.25</v>
      </c>
      <c r="B837">
        <f>TEXT(A837,"yyyy-mm")</f>
        <v/>
      </c>
      <c r="C837" s="3">
        <f>HOUR(A837)</f>
        <v/>
      </c>
      <c r="D837" s="4" t="n">
        <v>21.14197728716944</v>
      </c>
      <c r="E837" s="4" t="n">
        <v>22.21928183627222</v>
      </c>
      <c r="F837" s="4" t="n">
        <v>23.16518657645556</v>
      </c>
      <c r="G837" s="4" t="n">
        <v>0.7</v>
      </c>
      <c r="H837" s="5" t="n">
        <v>47.18339433306945</v>
      </c>
      <c r="I837" s="5" t="n">
        <v>44.253510398125</v>
      </c>
      <c r="J837" s="5" t="n">
        <v>43.59274629315556</v>
      </c>
      <c r="K837" s="5" t="n">
        <v>87</v>
      </c>
    </row>
    <row r="838">
      <c r="A838" s="2" t="n">
        <v>46132.29166666666</v>
      </c>
      <c r="B838">
        <f>TEXT(A838,"yyyy-mm")</f>
        <v/>
      </c>
      <c r="C838" s="3">
        <f>HOUR(A838)</f>
        <v/>
      </c>
      <c r="D838" s="4" t="n">
        <v>21.830984143</v>
      </c>
      <c r="E838" s="4" t="n">
        <v>22.69728595710833</v>
      </c>
      <c r="F838" s="4" t="n">
        <v>23.11519205662778</v>
      </c>
      <c r="G838" s="4" t="n">
        <v>1.5</v>
      </c>
      <c r="H838" s="5" t="n">
        <v>44.60186405974722</v>
      </c>
      <c r="I838" s="5" t="n">
        <v>43.63060970420833</v>
      </c>
      <c r="J838" s="5" t="n">
        <v>43.41382870039723</v>
      </c>
      <c r="K838" s="5" t="n">
        <v>86</v>
      </c>
    </row>
    <row r="839">
      <c r="A839" s="2" t="n">
        <v>46132.33333333334</v>
      </c>
      <c r="B839">
        <f>TEXT(A839,"yyyy-mm")</f>
        <v/>
      </c>
      <c r="C839" s="3">
        <f>HOUR(A839)</f>
        <v/>
      </c>
      <c r="D839" s="4" t="n">
        <v>21.87828230435</v>
      </c>
      <c r="E839" s="4" t="n">
        <v>22.84923066591945</v>
      </c>
      <c r="F839" s="4" t="n">
        <v>23.10657012451111</v>
      </c>
      <c r="G839" s="4" t="n">
        <v>3.2</v>
      </c>
      <c r="H839" s="5" t="n">
        <v>45.13589062039444</v>
      </c>
      <c r="I839" s="5" t="n">
        <v>43.52395358893889</v>
      </c>
      <c r="J839" s="5" t="n">
        <v>43.25546797943889</v>
      </c>
      <c r="K839" s="5" t="n">
        <v>79</v>
      </c>
    </row>
    <row r="840">
      <c r="A840" s="2" t="n">
        <v>46132.375</v>
      </c>
      <c r="B840">
        <f>TEXT(A840,"yyyy-mm")</f>
        <v/>
      </c>
      <c r="C840" s="3">
        <f>HOUR(A840)</f>
        <v/>
      </c>
      <c r="D840" s="4" t="n">
        <v>21.50758368303612</v>
      </c>
      <c r="E840" s="4" t="n">
        <v>22.50554740863055</v>
      </c>
      <c r="F840" s="4" t="n">
        <v>23.07720688875555</v>
      </c>
      <c r="G840" s="4" t="n">
        <v>5</v>
      </c>
      <c r="H840" s="5" t="n">
        <v>46.65614842178056</v>
      </c>
      <c r="I840" s="5" t="n">
        <v>44.75419778028888</v>
      </c>
      <c r="J840" s="5" t="n">
        <v>43.17001017848056</v>
      </c>
      <c r="K840" s="5" t="n">
        <v>69</v>
      </c>
    </row>
    <row r="841">
      <c r="A841" s="2" t="n">
        <v>46132.41666666666</v>
      </c>
      <c r="B841">
        <f>TEXT(A841,"yyyy-mm")</f>
        <v/>
      </c>
      <c r="C841" s="3">
        <f>HOUR(A841)</f>
        <v/>
      </c>
      <c r="D841" s="4" t="n">
        <v>21.18451494273889</v>
      </c>
      <c r="E841" s="4" t="n">
        <v>22.33621219416944</v>
      </c>
      <c r="F841" s="4" t="n">
        <v>23.06339954062777</v>
      </c>
      <c r="G841" s="4" t="n">
        <v>6.2</v>
      </c>
      <c r="H841" s="5" t="n">
        <v>47.60049989425278</v>
      </c>
      <c r="I841" s="5" t="n">
        <v>44.43662226738612</v>
      </c>
      <c r="J841" s="5" t="n">
        <v>43.077973917475</v>
      </c>
      <c r="K841" s="5" t="n">
        <v>56</v>
      </c>
    </row>
    <row r="842">
      <c r="A842" s="2" t="n">
        <v>46132.45833333334</v>
      </c>
      <c r="B842">
        <f>TEXT(A842,"yyyy-mm")</f>
        <v/>
      </c>
      <c r="C842" s="3">
        <f>HOUR(A842)</f>
        <v/>
      </c>
      <c r="D842" s="4" t="n">
        <v>21.46099166108056</v>
      </c>
      <c r="E842" s="4" t="n">
        <v>22.59363650323889</v>
      </c>
      <c r="F842" s="4" t="n">
        <v>23.05275022181389</v>
      </c>
      <c r="G842" s="4" t="n">
        <v>6.7</v>
      </c>
      <c r="H842" s="5" t="n">
        <v>46.68403222533056</v>
      </c>
      <c r="I842" s="5" t="n">
        <v>44.97303033686666</v>
      </c>
      <c r="J842" s="5" t="n">
        <v>43.03507560907223</v>
      </c>
      <c r="K842" s="5" t="n">
        <v>51</v>
      </c>
    </row>
    <row r="843">
      <c r="A843" s="2" t="n">
        <v>46132.5</v>
      </c>
      <c r="B843">
        <f>TEXT(A843,"yyyy-mm")</f>
        <v/>
      </c>
      <c r="C843" s="3">
        <f>HOUR(A843)</f>
        <v/>
      </c>
      <c r="D843" s="4" t="n">
        <v>21.71064750879166</v>
      </c>
      <c r="E843" s="4" t="n">
        <v>22.99390957455833</v>
      </c>
      <c r="F843" s="4" t="n">
        <v>23.04631818793333</v>
      </c>
      <c r="G843" s="4" t="n">
        <v>7.5</v>
      </c>
      <c r="H843" s="5" t="n">
        <v>47.38436216908889</v>
      </c>
      <c r="I843" s="5" t="n">
        <v>46.20461128831945</v>
      </c>
      <c r="J843" s="5" t="n">
        <v>43.03642380262778</v>
      </c>
      <c r="K843" s="5" t="n">
        <v>48</v>
      </c>
    </row>
    <row r="844">
      <c r="A844" s="2" t="n">
        <v>46132.54166666666</v>
      </c>
      <c r="B844">
        <f>TEXT(A844,"yyyy-mm")</f>
        <v/>
      </c>
      <c r="C844" s="3">
        <f>HOUR(A844)</f>
        <v/>
      </c>
      <c r="D844" s="4" t="n">
        <v>21.81048969086389</v>
      </c>
      <c r="E844" s="4" t="n">
        <v>23.09958008351389</v>
      </c>
      <c r="F844" s="4" t="n">
        <v>23.04890335008334</v>
      </c>
      <c r="G844" s="4" t="n">
        <v>7.6</v>
      </c>
      <c r="H844" s="5" t="n">
        <v>48.78235015458333</v>
      </c>
      <c r="I844" s="5" t="n">
        <v>46.709811866175</v>
      </c>
      <c r="J844" s="5" t="n">
        <v>42.99630679938611</v>
      </c>
      <c r="K844" s="5" t="n">
        <v>49</v>
      </c>
    </row>
    <row r="845">
      <c r="A845" s="2" t="n">
        <v>46132.58333333334</v>
      </c>
      <c r="B845">
        <f>TEXT(A845,"yyyy-mm")</f>
        <v/>
      </c>
      <c r="C845" s="3">
        <f>HOUR(A845)</f>
        <v/>
      </c>
      <c r="D845" s="4" t="n">
        <v>22.02220986174167</v>
      </c>
      <c r="E845" s="4" t="n">
        <v>23.34584497960556</v>
      </c>
      <c r="F845" s="4" t="n">
        <v>23.04911101605</v>
      </c>
      <c r="G845" s="4" t="n">
        <v>7.8</v>
      </c>
      <c r="H845" s="5" t="n">
        <v>49.44370687781389</v>
      </c>
      <c r="I845" s="5" t="n">
        <v>48.19469319202222</v>
      </c>
      <c r="J845" s="5" t="n">
        <v>43.021120510775</v>
      </c>
      <c r="K845" s="5" t="n">
        <v>50</v>
      </c>
    </row>
    <row r="846">
      <c r="A846" s="2" t="n">
        <v>46132.625</v>
      </c>
      <c r="B846">
        <f>TEXT(A846,"yyyy-mm")</f>
        <v/>
      </c>
      <c r="C846" s="3">
        <f>HOUR(A846)</f>
        <v/>
      </c>
      <c r="D846" s="4" t="n">
        <v>21.97022752041945</v>
      </c>
      <c r="E846" s="4" t="n">
        <v>23.32360992827778</v>
      </c>
      <c r="F846" s="4" t="n">
        <v>23.05087649127778</v>
      </c>
      <c r="G846" s="4" t="n">
        <v>7.2</v>
      </c>
      <c r="H846" s="5" t="n">
        <v>49.53802215591389</v>
      </c>
      <c r="I846" s="5" t="n">
        <v>47.08871804289444</v>
      </c>
      <c r="J846" s="5" t="n">
        <v>42.98870389410001</v>
      </c>
      <c r="K846" s="5" t="n">
        <v>53</v>
      </c>
    </row>
    <row r="847">
      <c r="A847" s="2" t="n">
        <v>46132.66666666666</v>
      </c>
      <c r="B847">
        <f>TEXT(A847,"yyyy-mm")</f>
        <v/>
      </c>
      <c r="C847" s="3">
        <f>HOUR(A847)</f>
        <v/>
      </c>
      <c r="D847" s="4" t="n">
        <v>21.89789985516111</v>
      </c>
      <c r="E847" s="4" t="n">
        <v>23.35541612719722</v>
      </c>
      <c r="F847" s="4" t="n">
        <v>23.11515631070833</v>
      </c>
      <c r="G847" s="4" t="n">
        <v>7.1</v>
      </c>
      <c r="H847" s="5" t="n">
        <v>49.27707608281944</v>
      </c>
      <c r="I847" s="5" t="n">
        <v>46.01899330356111</v>
      </c>
      <c r="J847" s="5" t="n">
        <v>45.82378585735555</v>
      </c>
      <c r="K847" s="5" t="n">
        <v>54</v>
      </c>
    </row>
    <row r="848">
      <c r="A848" s="2" t="n">
        <v>46132.70833333334</v>
      </c>
      <c r="B848">
        <f>TEXT(A848,"yyyy-mm")</f>
        <v/>
      </c>
      <c r="C848" s="3">
        <f>HOUR(A848)</f>
        <v/>
      </c>
      <c r="D848" s="4" t="n">
        <v>21.8523744112</v>
      </c>
      <c r="E848" s="4" t="n">
        <v>23.32838053764722</v>
      </c>
      <c r="F848" s="4" t="n">
        <v>23.15310299900834</v>
      </c>
      <c r="G848" s="4" t="n">
        <v>6.8</v>
      </c>
      <c r="H848" s="5" t="n">
        <v>50.11988155276944</v>
      </c>
      <c r="I848" s="5" t="n">
        <v>46.491444255675</v>
      </c>
      <c r="J848" s="5" t="n">
        <v>48.34300627680833</v>
      </c>
      <c r="K848" s="5" t="n">
        <v>54</v>
      </c>
    </row>
    <row r="849">
      <c r="A849" s="2" t="n">
        <v>46132.75</v>
      </c>
      <c r="B849">
        <f>TEXT(A849,"yyyy-mm")</f>
        <v/>
      </c>
      <c r="C849" s="3">
        <f>HOUR(A849)</f>
        <v/>
      </c>
      <c r="D849" s="4" t="n">
        <v>21.68007410993055</v>
      </c>
      <c r="E849" s="4" t="n">
        <v>23.09264142781944</v>
      </c>
      <c r="F849" s="4" t="n">
        <v>23.10368897718611</v>
      </c>
      <c r="G849" s="4" t="n">
        <v>6.6</v>
      </c>
      <c r="H849" s="5" t="n">
        <v>52.97036787695833</v>
      </c>
      <c r="I849" s="5" t="n">
        <v>50.81166670035555</v>
      </c>
      <c r="J849" s="5" t="n">
        <v>45.55006528820556</v>
      </c>
      <c r="K849" s="5" t="n">
        <v>57</v>
      </c>
    </row>
    <row r="850">
      <c r="A850" s="2" t="n">
        <v>46132.79166666666</v>
      </c>
      <c r="B850">
        <f>TEXT(A850,"yyyy-mm")</f>
        <v/>
      </c>
      <c r="C850" s="3">
        <f>HOUR(A850)</f>
        <v/>
      </c>
      <c r="D850" s="4" t="n">
        <v>21.3435294006</v>
      </c>
      <c r="E850" s="4" t="n">
        <v>23.49132027108056</v>
      </c>
      <c r="F850" s="4" t="n">
        <v>23.07368771069721</v>
      </c>
      <c r="G850" s="4" t="n">
        <v>6.1</v>
      </c>
      <c r="H850" s="5" t="n">
        <v>52.95714519428333</v>
      </c>
      <c r="I850" s="5" t="n">
        <v>48.04300996808056</v>
      </c>
      <c r="J850" s="5" t="n">
        <v>44.96642812176389</v>
      </c>
      <c r="K850" s="5" t="n">
        <v>60</v>
      </c>
    </row>
    <row r="851">
      <c r="A851" s="2" t="n">
        <v>46132.83333333334</v>
      </c>
      <c r="B851">
        <f>TEXT(A851,"yyyy-mm")</f>
        <v/>
      </c>
      <c r="C851" s="3">
        <f>HOUR(A851)</f>
        <v/>
      </c>
      <c r="D851" s="4" t="n">
        <v>21.18262843326667</v>
      </c>
      <c r="E851" s="4" t="n">
        <v>23.28846039225278</v>
      </c>
      <c r="F851" s="4" t="n">
        <v>23.056517614475</v>
      </c>
      <c r="G851" s="4" t="n">
        <v>5.6</v>
      </c>
      <c r="H851" s="5" t="n">
        <v>52.23906219983056</v>
      </c>
      <c r="I851" s="5" t="n">
        <v>47.18489580727778</v>
      </c>
      <c r="J851" s="5" t="n">
        <v>55.32762620518056</v>
      </c>
      <c r="K851" s="5" t="n">
        <v>65</v>
      </c>
    </row>
    <row r="852">
      <c r="A852" s="2" t="n">
        <v>46132.875</v>
      </c>
      <c r="B852">
        <f>TEXT(A852,"yyyy-mm")</f>
        <v/>
      </c>
      <c r="C852" s="3">
        <f>HOUR(A852)</f>
        <v/>
      </c>
      <c r="D852" s="4" t="n">
        <v>21.25081366806389</v>
      </c>
      <c r="E852" s="4" t="n">
        <v>23.83334133479167</v>
      </c>
      <c r="F852" s="4" t="n">
        <v>22.965745235075</v>
      </c>
      <c r="G852" s="4" t="n">
        <v>5.3</v>
      </c>
      <c r="H852" s="5" t="n">
        <v>52.53028002286111</v>
      </c>
      <c r="I852" s="5" t="n">
        <v>45.27171779803611</v>
      </c>
      <c r="J852" s="5" t="n">
        <v>55.04700158506389</v>
      </c>
      <c r="K852" s="5" t="n">
        <v>68</v>
      </c>
    </row>
    <row r="853">
      <c r="A853" s="2" t="n">
        <v>46132.91666666666</v>
      </c>
      <c r="B853">
        <f>TEXT(A853,"yyyy-mm")</f>
        <v/>
      </c>
      <c r="C853" s="3">
        <f>HOUR(A853)</f>
        <v/>
      </c>
      <c r="D853" s="4" t="n">
        <v>21.33893856162777</v>
      </c>
      <c r="E853" s="4" t="n">
        <v>23.71312559001666</v>
      </c>
      <c r="F853" s="4" t="n">
        <v>22.88779948466944</v>
      </c>
      <c r="G853" s="4" t="n">
        <v>4.4</v>
      </c>
      <c r="H853" s="5" t="n">
        <v>51.37527794481111</v>
      </c>
      <c r="I853" s="5" t="n">
        <v>44.26486350819722</v>
      </c>
      <c r="J853" s="5" t="n">
        <v>54.11383210174444</v>
      </c>
      <c r="K853" s="5" t="n">
        <v>74</v>
      </c>
    </row>
    <row r="854">
      <c r="A854" s="2" t="n">
        <v>46132.95833333334</v>
      </c>
      <c r="B854">
        <f>TEXT(A854,"yyyy-mm")</f>
        <v/>
      </c>
      <c r="C854" s="3">
        <f>HOUR(A854)</f>
        <v/>
      </c>
      <c r="D854" s="4" t="n">
        <v>21.32189348036389</v>
      </c>
      <c r="E854" s="4" t="n">
        <v>23.70654024656111</v>
      </c>
      <c r="F854" s="4" t="n">
        <v>22.96705557935278</v>
      </c>
      <c r="G854" s="4" t="n">
        <v>3.8</v>
      </c>
      <c r="H854" s="5" t="n">
        <v>50.122806209875</v>
      </c>
      <c r="I854" s="5" t="n">
        <v>44.76663362738611</v>
      </c>
      <c r="J854" s="5" t="n">
        <v>48.49854954156945</v>
      </c>
      <c r="K854" s="5" t="n">
        <v>77</v>
      </c>
    </row>
    <row r="855">
      <c r="A855" s="2" t="n">
        <v>46133</v>
      </c>
      <c r="B855">
        <f>TEXT(A855,"yyyy-mm")</f>
        <v/>
      </c>
      <c r="C855" s="3">
        <f>HOUR(A855)</f>
        <v/>
      </c>
      <c r="D855" s="4" t="n">
        <v>21.24994604848333</v>
      </c>
      <c r="E855" s="4" t="n">
        <v>23.86051187850278</v>
      </c>
      <c r="F855" s="4" t="n">
        <v>23.10983326657222</v>
      </c>
      <c r="G855" s="4" t="n">
        <v>3.2</v>
      </c>
      <c r="H855" s="5" t="n">
        <v>51.16821646396944</v>
      </c>
      <c r="I855" s="5" t="n">
        <v>45.79069454295277</v>
      </c>
      <c r="J855" s="5" t="n">
        <v>47.60890257404722</v>
      </c>
      <c r="K855" s="5" t="n">
        <v>77</v>
      </c>
    </row>
    <row r="856">
      <c r="A856" s="2" t="n">
        <v>46133.04166666666</v>
      </c>
      <c r="B856">
        <f>TEXT(A856,"yyyy-mm")</f>
        <v/>
      </c>
      <c r="C856" s="3">
        <f>HOUR(A856)</f>
        <v/>
      </c>
      <c r="D856" s="4" t="n">
        <v>21.29598732550277</v>
      </c>
      <c r="E856" s="4" t="n">
        <v>23.6727995702</v>
      </c>
      <c r="F856" s="4" t="n">
        <v>23.18828425845</v>
      </c>
      <c r="G856" s="4" t="n">
        <v>2.4</v>
      </c>
      <c r="H856" s="5" t="n">
        <v>51.338796317575</v>
      </c>
      <c r="I856" s="5" t="n">
        <v>45.55023333640833</v>
      </c>
      <c r="J856" s="5" t="n">
        <v>46.15619927818056</v>
      </c>
      <c r="K856" s="5" t="n">
        <v>82</v>
      </c>
    </row>
    <row r="857">
      <c r="A857" s="2" t="n">
        <v>46133.08333333334</v>
      </c>
      <c r="B857">
        <f>TEXT(A857,"yyyy-mm")</f>
        <v/>
      </c>
      <c r="C857" s="3">
        <f>HOUR(A857)</f>
        <v/>
      </c>
      <c r="D857" s="4" t="n">
        <v>21.312929036175</v>
      </c>
      <c r="E857" s="4" t="n">
        <v>23.25476184210556</v>
      </c>
      <c r="F857" s="4" t="n">
        <v>23.20148435666389</v>
      </c>
      <c r="G857" s="4" t="n">
        <v>1.7</v>
      </c>
      <c r="H857" s="5" t="n">
        <v>50.25251616615833</v>
      </c>
      <c r="I857" s="5" t="n">
        <v>45.91573378363611</v>
      </c>
      <c r="J857" s="5" t="n">
        <v>44.99341641311667</v>
      </c>
      <c r="K857" s="5" t="n">
        <v>85</v>
      </c>
    </row>
    <row r="858">
      <c r="A858" s="2" t="n">
        <v>46133.125</v>
      </c>
      <c r="B858">
        <f>TEXT(A858,"yyyy-mm")</f>
        <v/>
      </c>
      <c r="C858" s="3">
        <f>HOUR(A858)</f>
        <v/>
      </c>
      <c r="D858" s="4" t="n">
        <v>21.04161078336945</v>
      </c>
      <c r="E858" s="4" t="n">
        <v>22.791417662225</v>
      </c>
      <c r="F858" s="4" t="n">
        <v>23.23688557137222</v>
      </c>
      <c r="G858" s="4" t="n">
        <v>1.3</v>
      </c>
      <c r="H858" s="5" t="n">
        <v>49.57604923964444</v>
      </c>
      <c r="I858" s="5" t="n">
        <v>44.89880721806667</v>
      </c>
      <c r="J858" s="5" t="n">
        <v>46.78859348527501</v>
      </c>
      <c r="K858" s="5" t="n">
        <v>85</v>
      </c>
    </row>
    <row r="859">
      <c r="A859" s="2" t="n">
        <v>46133.16666666666</v>
      </c>
      <c r="B859">
        <f>TEXT(A859,"yyyy-mm")</f>
        <v/>
      </c>
      <c r="C859" s="3">
        <f>HOUR(A859)</f>
        <v/>
      </c>
      <c r="D859" s="4" t="n">
        <v>20.54010961395278</v>
      </c>
      <c r="E859" s="4" t="n">
        <v>22.47183778103611</v>
      </c>
      <c r="F859" s="4" t="n">
        <v>23.13883684244444</v>
      </c>
      <c r="G859" s="4" t="n">
        <v>0.5</v>
      </c>
      <c r="H859" s="5" t="n">
        <v>49.626674618975</v>
      </c>
      <c r="I859" s="5" t="n">
        <v>43.64729239265</v>
      </c>
      <c r="J859" s="5" t="n">
        <v>44.65377593235278</v>
      </c>
      <c r="K859" s="5" t="n">
        <v>86</v>
      </c>
    </row>
    <row r="860">
      <c r="A860" s="2" t="n">
        <v>46133.20833333334</v>
      </c>
      <c r="B860">
        <f>TEXT(A860,"yyyy-mm")</f>
        <v/>
      </c>
      <c r="C860" s="3">
        <f>HOUR(A860)</f>
        <v/>
      </c>
      <c r="D860" s="4" t="n">
        <v>20.30207293405833</v>
      </c>
      <c r="E860" s="4" t="n">
        <v>22.18437252678889</v>
      </c>
      <c r="F860" s="4" t="n">
        <v>23.07189386843056</v>
      </c>
      <c r="G860" s="4" t="n">
        <v>-0.3</v>
      </c>
      <c r="H860" s="5" t="n">
        <v>49.10008247112778</v>
      </c>
      <c r="I860" s="5" t="n">
        <v>43.05572983620556</v>
      </c>
      <c r="J860" s="5" t="n">
        <v>43.87577150890556</v>
      </c>
      <c r="K860" s="5" t="n">
        <v>86</v>
      </c>
    </row>
    <row r="861">
      <c r="A861" s="2" t="n">
        <v>46133.25</v>
      </c>
      <c r="B861">
        <f>TEXT(A861,"yyyy-mm")</f>
        <v/>
      </c>
      <c r="C861" s="3">
        <f>HOUR(A861)</f>
        <v/>
      </c>
      <c r="D861" s="4" t="n">
        <v>20.90100403920912</v>
      </c>
      <c r="E861" s="4" t="n">
        <v>22.39653191597174</v>
      </c>
      <c r="F861" s="4" t="n">
        <v>23.01856214659895</v>
      </c>
      <c r="G861" s="4" t="n">
        <v>-0.4</v>
      </c>
      <c r="H861" s="5" t="n">
        <v>46.37430898292208</v>
      </c>
      <c r="I861" s="5" t="n">
        <v>42.49200910132478</v>
      </c>
      <c r="J861" s="5" t="n">
        <v>43.42190064257685</v>
      </c>
      <c r="K861" s="5" t="n">
        <v>87</v>
      </c>
    </row>
    <row r="862">
      <c r="A862" s="2" t="n">
        <v>46133.29166666666</v>
      </c>
      <c r="B862">
        <f>TEXT(A862,"yyyy-mm")</f>
        <v/>
      </c>
      <c r="C862" s="3">
        <f>HOUR(A862)</f>
        <v/>
      </c>
      <c r="D862" s="4" t="n">
        <v>21.61678416333611</v>
      </c>
      <c r="E862" s="4" t="n">
        <v>22.75553629640556</v>
      </c>
      <c r="F862" s="4" t="n">
        <v>22.94298493732222</v>
      </c>
      <c r="G862" s="4" t="n">
        <v>1</v>
      </c>
      <c r="H862" s="5" t="n">
        <v>43.30963787890556</v>
      </c>
      <c r="I862" s="5" t="n">
        <v>41.87812596662777</v>
      </c>
      <c r="J862" s="5" t="n">
        <v>43.08938270499444</v>
      </c>
      <c r="K862" s="5" t="n">
        <v>86</v>
      </c>
    </row>
    <row r="863">
      <c r="A863" s="2" t="n">
        <v>46133.33333333334</v>
      </c>
      <c r="B863">
        <f>TEXT(A863,"yyyy-mm")</f>
        <v/>
      </c>
      <c r="C863" s="3">
        <f>HOUR(A863)</f>
        <v/>
      </c>
      <c r="D863" s="4" t="n">
        <v>22.08899847354445</v>
      </c>
      <c r="E863" s="4" t="n">
        <v>23.20456754211667</v>
      </c>
      <c r="F863" s="4" t="n">
        <v>22.82368038204722</v>
      </c>
      <c r="G863" s="4" t="n">
        <v>3.2</v>
      </c>
      <c r="H863" s="5" t="n">
        <v>43.04773362378889</v>
      </c>
      <c r="I863" s="5" t="n">
        <v>41.44563529338056</v>
      </c>
      <c r="J863" s="5" t="n">
        <v>42.85955923100834</v>
      </c>
      <c r="K863" s="5" t="n">
        <v>80</v>
      </c>
    </row>
    <row r="864">
      <c r="A864" s="2" t="n">
        <v>46133.375</v>
      </c>
      <c r="B864">
        <f>TEXT(A864,"yyyy-mm")</f>
        <v/>
      </c>
      <c r="C864" s="3">
        <f>HOUR(A864)</f>
        <v/>
      </c>
      <c r="D864" s="4" t="n">
        <v>22.25452449044167</v>
      </c>
      <c r="E864" s="4" t="n">
        <v>23.40457238358056</v>
      </c>
      <c r="F864" s="4" t="n">
        <v>22.74263918966111</v>
      </c>
      <c r="G864" s="4" t="n">
        <v>5.1</v>
      </c>
      <c r="H864" s="5" t="n">
        <v>43.53015685302778</v>
      </c>
      <c r="I864" s="5" t="n">
        <v>41.82963685846944</v>
      </c>
      <c r="J864" s="5" t="n">
        <v>42.70510841504444</v>
      </c>
      <c r="K864" s="5" t="n">
        <v>70</v>
      </c>
    </row>
    <row r="865">
      <c r="A865" s="2" t="n">
        <v>46133.41666666666</v>
      </c>
      <c r="B865">
        <f>TEXT(A865,"yyyy-mm")</f>
        <v/>
      </c>
      <c r="C865" s="3">
        <f>HOUR(A865)</f>
        <v/>
      </c>
      <c r="D865" s="4" t="n">
        <v>22.03549391474445</v>
      </c>
      <c r="E865" s="4" t="n">
        <v>23.32039757319444</v>
      </c>
      <c r="F865" s="4" t="n">
        <v>22.67574991660556</v>
      </c>
      <c r="G865" s="4" t="n">
        <v>6.6</v>
      </c>
      <c r="H865" s="5" t="n">
        <v>44.95546468600278</v>
      </c>
      <c r="I865" s="5" t="n">
        <v>42.97705366576944</v>
      </c>
      <c r="J865" s="5" t="n">
        <v>42.57543205484722</v>
      </c>
      <c r="K865" s="5" t="n">
        <v>58</v>
      </c>
    </row>
    <row r="866">
      <c r="A866" s="2" t="n">
        <v>46133.45833333334</v>
      </c>
      <c r="B866">
        <f>TEXT(A866,"yyyy-mm")</f>
        <v/>
      </c>
      <c r="C866" s="3">
        <f>HOUR(A866)</f>
        <v/>
      </c>
      <c r="D866" s="4" t="n">
        <v>22.060800766375</v>
      </c>
      <c r="E866" s="4" t="n">
        <v>23.51058307443889</v>
      </c>
      <c r="F866" s="4" t="n">
        <v>22.65473427342222</v>
      </c>
      <c r="G866" s="4" t="n">
        <v>7.5</v>
      </c>
      <c r="H866" s="5" t="n">
        <v>45.65996890367779</v>
      </c>
      <c r="I866" s="5" t="n">
        <v>43.57760716639444</v>
      </c>
      <c r="J866" s="5" t="n">
        <v>42.94720229333611</v>
      </c>
      <c r="K866" s="5" t="n">
        <v>49</v>
      </c>
    </row>
    <row r="867">
      <c r="A867" s="2" t="n">
        <v>46133.5</v>
      </c>
      <c r="B867">
        <f>TEXT(A867,"yyyy-mm")</f>
        <v/>
      </c>
      <c r="C867" s="3">
        <f>HOUR(A867)</f>
        <v/>
      </c>
      <c r="D867" s="4" t="n">
        <v>22.152272063225</v>
      </c>
      <c r="E867" s="4" t="n">
        <v>23.21573222023889</v>
      </c>
      <c r="F867" s="4" t="n">
        <v>22.71509267416112</v>
      </c>
      <c r="G867" s="4" t="n">
        <v>7.9</v>
      </c>
      <c r="H867" s="5" t="n">
        <v>45.5643617387889</v>
      </c>
      <c r="I867" s="5" t="n">
        <v>43.06413760198611</v>
      </c>
      <c r="J867" s="5" t="n">
        <v>42.61433886094167</v>
      </c>
      <c r="K867" s="5" t="n">
        <v>46</v>
      </c>
    </row>
    <row r="868">
      <c r="A868" s="2" t="n">
        <v>46133.54166666666</v>
      </c>
      <c r="B868">
        <f>TEXT(A868,"yyyy-mm")</f>
        <v/>
      </c>
      <c r="C868" s="3">
        <f>HOUR(A868)</f>
        <v/>
      </c>
      <c r="D868" s="4" t="n">
        <v>22.03395298395555</v>
      </c>
      <c r="E868" s="4" t="n">
        <v>23.10852572481112</v>
      </c>
      <c r="F868" s="4" t="n">
        <v>22.78766376171667</v>
      </c>
      <c r="G868" s="4" t="n">
        <v>8.199999999999999</v>
      </c>
      <c r="H868" s="5" t="n">
        <v>45.92289720195277</v>
      </c>
      <c r="I868" s="5" t="n">
        <v>43.14386836237222</v>
      </c>
      <c r="J868" s="5" t="n">
        <v>42.33389441603889</v>
      </c>
      <c r="K868" s="5" t="n">
        <v>44</v>
      </c>
    </row>
    <row r="869">
      <c r="A869" s="2" t="n">
        <v>46133.58333333334</v>
      </c>
      <c r="B869">
        <f>TEXT(A869,"yyyy-mm")</f>
        <v/>
      </c>
      <c r="C869" s="3">
        <f>HOUR(A869)</f>
        <v/>
      </c>
      <c r="D869" s="4" t="n">
        <v>21.982790550625</v>
      </c>
      <c r="E869" s="4" t="n">
        <v>23.09406302982778</v>
      </c>
      <c r="F869" s="4" t="n">
        <v>22.83606890606389</v>
      </c>
      <c r="G869" s="4" t="n">
        <v>8.4</v>
      </c>
      <c r="H869" s="5" t="n">
        <v>45.94651841528334</v>
      </c>
      <c r="I869" s="5" t="n">
        <v>43.41692596385555</v>
      </c>
      <c r="J869" s="5" t="n">
        <v>42.13436078856667</v>
      </c>
      <c r="K869" s="5" t="n">
        <v>43</v>
      </c>
    </row>
    <row r="870">
      <c r="A870" s="2" t="n">
        <v>46133.625</v>
      </c>
      <c r="B870">
        <f>TEXT(A870,"yyyy-mm")</f>
        <v/>
      </c>
      <c r="C870" s="3">
        <f>HOUR(A870)</f>
        <v/>
      </c>
      <c r="D870" s="4" t="n">
        <v>21.74595438795278</v>
      </c>
      <c r="E870" s="4" t="n">
        <v>23.11075372856667</v>
      </c>
      <c r="F870" s="4" t="n">
        <v>22.86945765104722</v>
      </c>
      <c r="G870" s="4" t="n">
        <v>8.300000000000001</v>
      </c>
      <c r="H870" s="5" t="n">
        <v>46.39172690969167</v>
      </c>
      <c r="I870" s="5" t="n">
        <v>44.31927352104445</v>
      </c>
      <c r="J870" s="5" t="n">
        <v>42.33806939391111</v>
      </c>
      <c r="K870" s="5" t="n">
        <v>43</v>
      </c>
    </row>
    <row r="871">
      <c r="A871" s="2" t="n">
        <v>46133.66666666666</v>
      </c>
      <c r="B871">
        <f>TEXT(A871,"yyyy-mm")</f>
        <v/>
      </c>
      <c r="C871" s="3">
        <f>HOUR(A871)</f>
        <v/>
      </c>
      <c r="D871" s="4" t="n">
        <v>21.78995890723333</v>
      </c>
      <c r="E871" s="4" t="n">
        <v>23.33170785585277</v>
      </c>
      <c r="F871" s="4" t="n">
        <v>22.8826110087</v>
      </c>
      <c r="G871" s="4" t="n">
        <v>8.199999999999999</v>
      </c>
      <c r="H871" s="5" t="n">
        <v>47.27343063930834</v>
      </c>
      <c r="I871" s="5" t="n">
        <v>44.55243890123889</v>
      </c>
      <c r="J871" s="5" t="n">
        <v>41.97471668341667</v>
      </c>
      <c r="K871" s="5" t="n">
        <v>43</v>
      </c>
    </row>
    <row r="872">
      <c r="A872" s="2" t="n">
        <v>46133.70833333334</v>
      </c>
      <c r="B872">
        <f>TEXT(A872,"yyyy-mm")</f>
        <v/>
      </c>
      <c r="C872" s="3">
        <f>HOUR(A872)</f>
        <v/>
      </c>
      <c r="D872" s="4" t="n">
        <v>21.80442344439444</v>
      </c>
      <c r="E872" s="4" t="n">
        <v>23.89688626358334</v>
      </c>
      <c r="F872" s="4" t="n">
        <v>22.89542598229722</v>
      </c>
      <c r="G872" s="4" t="n">
        <v>7.6</v>
      </c>
      <c r="H872" s="5" t="n">
        <v>48.457009303925</v>
      </c>
      <c r="I872" s="5" t="n">
        <v>44.37972366312223</v>
      </c>
      <c r="J872" s="5" t="n">
        <v>41.62429008778056</v>
      </c>
      <c r="K872" s="5" t="n">
        <v>43</v>
      </c>
    </row>
    <row r="873">
      <c r="A873" s="2" t="n">
        <v>46133.75</v>
      </c>
      <c r="B873">
        <f>TEXT(A873,"yyyy-mm")</f>
        <v/>
      </c>
      <c r="C873" s="3">
        <f>HOUR(A873)</f>
        <v/>
      </c>
      <c r="D873" s="4" t="n">
        <v>21.99886931605556</v>
      </c>
      <c r="E873" s="4" t="n">
        <v>24.52785021071666</v>
      </c>
      <c r="F873" s="4" t="n">
        <v>22.91921121387222</v>
      </c>
      <c r="G873" s="4" t="n">
        <v>7.2</v>
      </c>
      <c r="H873" s="5" t="n">
        <v>52.053023367125</v>
      </c>
      <c r="I873" s="5" t="n">
        <v>47.70124376651389</v>
      </c>
      <c r="J873" s="5" t="n">
        <v>41.38702817924445</v>
      </c>
      <c r="K873" s="5" t="n">
        <v>49</v>
      </c>
    </row>
    <row r="874">
      <c r="A874" s="2" t="n">
        <v>46133.79166666666</v>
      </c>
      <c r="B874">
        <f>TEXT(A874,"yyyy-mm")</f>
        <v/>
      </c>
      <c r="C874" s="3">
        <f>HOUR(A874)</f>
        <v/>
      </c>
      <c r="D874" s="4" t="n">
        <v>21.96640469843889</v>
      </c>
      <c r="E874" s="4" t="n">
        <v>24.29934641786389</v>
      </c>
      <c r="F874" s="4" t="n">
        <v>22.92877949073056</v>
      </c>
      <c r="G874" s="4" t="n">
        <v>6.6</v>
      </c>
      <c r="H874" s="5" t="n">
        <v>52.18619216514166</v>
      </c>
      <c r="I874" s="5" t="n">
        <v>47.456816184525</v>
      </c>
      <c r="J874" s="5" t="n">
        <v>41.21329185235555</v>
      </c>
      <c r="K874" s="5" t="n">
        <v>54</v>
      </c>
    </row>
    <row r="875">
      <c r="A875" s="2" t="n">
        <v>46133.83333333334</v>
      </c>
      <c r="B875">
        <f>TEXT(A875,"yyyy-mm")</f>
        <v/>
      </c>
      <c r="C875" s="3">
        <f>HOUR(A875)</f>
        <v/>
      </c>
      <c r="D875" s="4" t="n">
        <v>21.51887732860556</v>
      </c>
      <c r="E875" s="4" t="n">
        <v>23.69704548568611</v>
      </c>
      <c r="F875" s="4" t="n">
        <v>22.92569176098333</v>
      </c>
      <c r="G875" s="4" t="n">
        <v>5.6</v>
      </c>
      <c r="H875" s="5" t="n">
        <v>51.61681372225556</v>
      </c>
      <c r="I875" s="5" t="n">
        <v>43.23949847443055</v>
      </c>
      <c r="J875" s="5" t="n">
        <v>40.95799002899722</v>
      </c>
      <c r="K875" s="5" t="n">
        <v>60</v>
      </c>
    </row>
    <row r="876">
      <c r="A876" s="2" t="n">
        <v>46133.875</v>
      </c>
      <c r="B876">
        <f>TEXT(A876,"yyyy-mm")</f>
        <v/>
      </c>
      <c r="C876" s="3">
        <f>HOUR(A876)</f>
        <v/>
      </c>
      <c r="D876" s="4" t="n">
        <v>21.21334660300833</v>
      </c>
      <c r="E876" s="4" t="n">
        <v>23.32436717686112</v>
      </c>
      <c r="F876" s="4" t="n">
        <v>22.92741288267223</v>
      </c>
      <c r="G876" s="4" t="n">
        <v>5.6</v>
      </c>
      <c r="H876" s="5" t="n">
        <v>49.67976824430834</v>
      </c>
      <c r="I876" s="5" t="n">
        <v>41.56907828546389</v>
      </c>
      <c r="J876" s="5" t="n">
        <v>40.79521124180278</v>
      </c>
      <c r="K876" s="5" t="n">
        <v>61</v>
      </c>
    </row>
    <row r="877">
      <c r="A877" s="2" t="n">
        <v>46133.91666666666</v>
      </c>
      <c r="B877">
        <f>TEXT(A877,"yyyy-mm")</f>
        <v/>
      </c>
      <c r="C877" s="3">
        <f>HOUR(A877)</f>
        <v/>
      </c>
      <c r="D877" s="4" t="n">
        <v>21.22001164251111</v>
      </c>
      <c r="E877" s="4" t="n">
        <v>23.23884191141389</v>
      </c>
      <c r="F877" s="4" t="n">
        <v>22.98700933203612</v>
      </c>
      <c r="G877" s="4" t="n">
        <v>5</v>
      </c>
      <c r="H877" s="5" t="n">
        <v>52.419729665875</v>
      </c>
      <c r="I877" s="5" t="n">
        <v>45.63302777383888</v>
      </c>
      <c r="J877" s="5" t="n">
        <v>42.44105319723612</v>
      </c>
      <c r="K877" s="5" t="n">
        <v>66</v>
      </c>
    </row>
    <row r="878">
      <c r="A878" s="2" t="n">
        <v>46133.95833333334</v>
      </c>
      <c r="B878">
        <f>TEXT(A878,"yyyy-mm")</f>
        <v/>
      </c>
      <c r="C878" s="3">
        <f>HOUR(A878)</f>
        <v/>
      </c>
      <c r="D878" s="4" t="n">
        <v>21.55223823171111</v>
      </c>
      <c r="E878" s="4" t="n">
        <v>23.20491800293055</v>
      </c>
      <c r="F878" s="4" t="n">
        <v>22.92245544722778</v>
      </c>
      <c r="G878" s="4" t="n">
        <v>4</v>
      </c>
      <c r="H878" s="5" t="n">
        <v>48.46580862667778</v>
      </c>
      <c r="I878" s="5" t="n">
        <v>44.51728201257777</v>
      </c>
      <c r="J878" s="5" t="n">
        <v>43.40249982079722</v>
      </c>
      <c r="K878" s="5" t="n">
        <v>70</v>
      </c>
    </row>
    <row r="879">
      <c r="A879" s="2" t="n">
        <v>46134</v>
      </c>
      <c r="B879">
        <f>TEXT(A879,"yyyy-mm")</f>
        <v/>
      </c>
      <c r="C879" s="3">
        <f>HOUR(A879)</f>
        <v/>
      </c>
      <c r="D879" s="4" t="n">
        <v>21.70747158693056</v>
      </c>
      <c r="E879" s="4" t="n">
        <v>23.36615391040278</v>
      </c>
      <c r="F879" s="4" t="n">
        <v>22.95040106575834</v>
      </c>
      <c r="G879" s="4" t="n">
        <v>3.9</v>
      </c>
      <c r="H879" s="5" t="n">
        <v>44.42721718817777</v>
      </c>
      <c r="I879" s="5" t="n">
        <v>41.46678802680833</v>
      </c>
      <c r="J879" s="5" t="n">
        <v>42.09160848582778</v>
      </c>
      <c r="K879" s="5" t="n">
        <v>72</v>
      </c>
    </row>
    <row r="880">
      <c r="A880" s="2" t="n">
        <v>46134.04166666666</v>
      </c>
      <c r="B880">
        <f>TEXT(A880,"yyyy-mm")</f>
        <v/>
      </c>
      <c r="C880" s="3">
        <f>HOUR(A880)</f>
        <v/>
      </c>
      <c r="D880" s="4" t="n">
        <v>21.36778716276389</v>
      </c>
      <c r="E880" s="4" t="n">
        <v>23.06091902922778</v>
      </c>
      <c r="F880" s="4" t="n">
        <v>23.06040997263333</v>
      </c>
      <c r="G880" s="4" t="n">
        <v>3.8</v>
      </c>
      <c r="H880" s="5" t="n">
        <v>45.22580539869722</v>
      </c>
      <c r="I880" s="5" t="n">
        <v>42.17137703165555</v>
      </c>
      <c r="J880" s="5" t="n">
        <v>43.40919460499445</v>
      </c>
      <c r="K880" s="5" t="n">
        <v>73</v>
      </c>
    </row>
    <row r="881">
      <c r="A881" s="2" t="n">
        <v>46134.08333333334</v>
      </c>
      <c r="B881">
        <f>TEXT(A881,"yyyy-mm")</f>
        <v/>
      </c>
      <c r="C881" s="3">
        <f>HOUR(A881)</f>
        <v/>
      </c>
      <c r="D881" s="4" t="n">
        <v>20.9243846544</v>
      </c>
      <c r="E881" s="4" t="n">
        <v>22.54219061088889</v>
      </c>
      <c r="F881" s="4" t="n">
        <v>23.118624777775</v>
      </c>
      <c r="G881" s="4" t="n">
        <v>3.4</v>
      </c>
      <c r="H881" s="5" t="n">
        <v>46.95880510817222</v>
      </c>
      <c r="I881" s="5" t="n">
        <v>42.95074071392222</v>
      </c>
      <c r="J881" s="5" t="n">
        <v>42.72930243780834</v>
      </c>
      <c r="K881" s="5" t="n">
        <v>74</v>
      </c>
    </row>
    <row r="882">
      <c r="A882" s="2" t="n">
        <v>46134.125</v>
      </c>
      <c r="B882">
        <f>TEXT(A882,"yyyy-mm")</f>
        <v/>
      </c>
      <c r="C882" s="3">
        <f>HOUR(A882)</f>
        <v/>
      </c>
      <c r="D882" s="4" t="n">
        <v>20.680029631925</v>
      </c>
      <c r="E882" s="4" t="n">
        <v>22.25423506696944</v>
      </c>
      <c r="F882" s="4" t="n">
        <v>23.16160702770277</v>
      </c>
      <c r="G882" s="4" t="n">
        <v>3.6</v>
      </c>
      <c r="H882" s="5" t="n">
        <v>47.37273385054166</v>
      </c>
      <c r="I882" s="5" t="n">
        <v>42.43805406629722</v>
      </c>
      <c r="J882" s="5" t="n">
        <v>42.13242010861389</v>
      </c>
      <c r="K882" s="5" t="n">
        <v>70</v>
      </c>
    </row>
    <row r="883">
      <c r="A883" s="2" t="n">
        <v>46134.16666666666</v>
      </c>
      <c r="B883">
        <f>TEXT(A883,"yyyy-mm")</f>
        <v/>
      </c>
      <c r="C883" s="3">
        <f>HOUR(A883)</f>
        <v/>
      </c>
      <c r="D883" s="4" t="n">
        <v>20.50376101328612</v>
      </c>
      <c r="E883" s="4" t="n">
        <v>22.10290452790555</v>
      </c>
      <c r="F883" s="4" t="n">
        <v>23.206068769625</v>
      </c>
      <c r="G883" s="4" t="n">
        <v>3.2</v>
      </c>
      <c r="H883" s="5" t="n">
        <v>47.43625860614444</v>
      </c>
      <c r="I883" s="5" t="n">
        <v>42.44016401841667</v>
      </c>
      <c r="J883" s="5" t="n">
        <v>41.85807987352501</v>
      </c>
      <c r="K883" s="5" t="n">
        <v>74</v>
      </c>
    </row>
    <row r="884">
      <c r="A884" s="2" t="n">
        <v>46134.20833333334</v>
      </c>
      <c r="B884">
        <f>TEXT(A884,"yyyy-mm")</f>
        <v/>
      </c>
      <c r="C884" s="3">
        <f>HOUR(A884)</f>
        <v/>
      </c>
      <c r="D884" s="4" t="n">
        <v>20.38624376336667</v>
      </c>
      <c r="E884" s="4" t="n">
        <v>21.92882024889444</v>
      </c>
      <c r="F884" s="4" t="n">
        <v>23.24090977801944</v>
      </c>
      <c r="G884" s="4" t="n">
        <v>2.7</v>
      </c>
      <c r="H884" s="5" t="n">
        <v>47.28176917933888</v>
      </c>
      <c r="I884" s="5" t="n">
        <v>42.28946988397222</v>
      </c>
      <c r="J884" s="5" t="n">
        <v>41.70418418227778</v>
      </c>
      <c r="K884" s="5" t="n">
        <v>76</v>
      </c>
    </row>
    <row r="885">
      <c r="A885" s="2" t="n">
        <v>46134.25</v>
      </c>
      <c r="B885">
        <f>TEXT(A885,"yyyy-mm")</f>
        <v/>
      </c>
      <c r="C885" s="3">
        <f>HOUR(A885)</f>
        <v/>
      </c>
      <c r="D885" s="4" t="n">
        <v>20.30869365672778</v>
      </c>
      <c r="E885" s="4" t="n">
        <v>21.79086534963056</v>
      </c>
      <c r="F885" s="4" t="n">
        <v>23.26119452699722</v>
      </c>
      <c r="G885" s="4" t="n">
        <v>2.7</v>
      </c>
      <c r="H885" s="5" t="n">
        <v>47.44913622826389</v>
      </c>
      <c r="I885" s="5" t="n">
        <v>42.11528753668889</v>
      </c>
      <c r="J885" s="5" t="n">
        <v>41.58248602959444</v>
      </c>
      <c r="K885" s="5" t="n">
        <v>75</v>
      </c>
    </row>
    <row r="886">
      <c r="A886" s="2" t="n">
        <v>46134.29166666666</v>
      </c>
      <c r="B886">
        <f>TEXT(A886,"yyyy-mm")</f>
        <v/>
      </c>
      <c r="C886" s="3">
        <f>HOUR(A886)</f>
        <v/>
      </c>
      <c r="D886" s="4" t="n">
        <v>20.28656663425278</v>
      </c>
      <c r="E886" s="4" t="n">
        <v>21.70348648745278</v>
      </c>
      <c r="F886" s="4" t="n">
        <v>23.25318118471389</v>
      </c>
      <c r="G886" s="4" t="n">
        <v>3.2</v>
      </c>
      <c r="H886" s="5" t="n">
        <v>47.39192625533889</v>
      </c>
      <c r="I886" s="5" t="n">
        <v>42.08909745783333</v>
      </c>
      <c r="J886" s="5" t="n">
        <v>41.47058882353056</v>
      </c>
      <c r="K886" s="5" t="n">
        <v>73</v>
      </c>
    </row>
    <row r="887">
      <c r="A887" s="2" t="n">
        <v>46134.33333333334</v>
      </c>
      <c r="B887">
        <f>TEXT(A887,"yyyy-mm")</f>
        <v/>
      </c>
      <c r="C887" s="3">
        <f>HOUR(A887)</f>
        <v/>
      </c>
      <c r="D887" s="4" t="n">
        <v>20.35286829645555</v>
      </c>
      <c r="E887" s="4" t="n">
        <v>21.697223572625</v>
      </c>
      <c r="F887" s="4" t="n">
        <v>23.17725910770556</v>
      </c>
      <c r="G887" s="4" t="n">
        <v>4</v>
      </c>
      <c r="H887" s="5" t="n">
        <v>47.13500138271944</v>
      </c>
      <c r="I887" s="5" t="n">
        <v>42.34138093984166</v>
      </c>
      <c r="J887" s="5" t="n">
        <v>41.29470665461944</v>
      </c>
      <c r="K887" s="5" t="n">
        <v>70</v>
      </c>
    </row>
    <row r="888">
      <c r="A888" s="2" t="n">
        <v>46134.375</v>
      </c>
      <c r="B888">
        <f>TEXT(A888,"yyyy-mm")</f>
        <v/>
      </c>
      <c r="C888" s="3">
        <f>HOUR(A888)</f>
        <v/>
      </c>
      <c r="D888" s="4" t="n">
        <v>20.65926729623056</v>
      </c>
      <c r="E888" s="4" t="n">
        <v>21.78931972548333</v>
      </c>
      <c r="F888" s="4" t="n">
        <v>23.08415743470833</v>
      </c>
      <c r="G888" s="4" t="n">
        <v>5.5</v>
      </c>
      <c r="H888" s="5" t="n">
        <v>46.36720193270556</v>
      </c>
      <c r="I888" s="5" t="n">
        <v>42.58879816210278</v>
      </c>
      <c r="J888" s="5" t="n">
        <v>41.15526119546389</v>
      </c>
      <c r="K888" s="5" t="n">
        <v>65</v>
      </c>
    </row>
    <row r="889">
      <c r="A889" s="2" t="n">
        <v>46134.41666666666</v>
      </c>
      <c r="B889">
        <f>TEXT(A889,"yyyy-mm")</f>
        <v/>
      </c>
      <c r="C889" s="3">
        <f>HOUR(A889)</f>
        <v/>
      </c>
      <c r="D889" s="4" t="n">
        <v>21.19787039056111</v>
      </c>
      <c r="E889" s="4" t="n">
        <v>22.30531422230278</v>
      </c>
      <c r="F889" s="4" t="n">
        <v>23.03279741652223</v>
      </c>
      <c r="G889" s="4" t="n">
        <v>6.6</v>
      </c>
      <c r="H889" s="5" t="n">
        <v>46.55066765446944</v>
      </c>
      <c r="I889" s="5" t="n">
        <v>45.99898863927501</v>
      </c>
      <c r="J889" s="5" t="n">
        <v>41.639035445875</v>
      </c>
      <c r="K889" s="5" t="n">
        <v>52</v>
      </c>
    </row>
    <row r="890">
      <c r="A890" s="2" t="n">
        <v>46134.45833333334</v>
      </c>
      <c r="B890">
        <f>TEXT(A890,"yyyy-mm")</f>
        <v/>
      </c>
      <c r="C890" s="3">
        <f>HOUR(A890)</f>
        <v/>
      </c>
      <c r="D890" s="4" t="n">
        <v>21.28363794436945</v>
      </c>
      <c r="E890" s="4" t="n">
        <v>22.48154594438333</v>
      </c>
      <c r="F890" s="4" t="n">
        <v>23.10457901787778</v>
      </c>
      <c r="G890" s="4" t="n">
        <v>7.7</v>
      </c>
      <c r="H890" s="5" t="n">
        <v>48.41537936006111</v>
      </c>
      <c r="I890" s="5" t="n">
        <v>44.90829726660556</v>
      </c>
      <c r="J890" s="5" t="n">
        <v>44.13376191201389</v>
      </c>
      <c r="K890" s="5" t="n">
        <v>47</v>
      </c>
    </row>
    <row r="891">
      <c r="A891" s="2" t="n">
        <v>46134.5</v>
      </c>
      <c r="B891">
        <f>TEXT(A891,"yyyy-mm")</f>
        <v/>
      </c>
      <c r="C891" s="3">
        <f>HOUR(A891)</f>
        <v/>
      </c>
      <c r="D891" s="4" t="n">
        <v>21.22506591670833</v>
      </c>
      <c r="E891" s="4" t="n">
        <v>22.43625984688612</v>
      </c>
      <c r="F891" s="4" t="n">
        <v>23.19137703729722</v>
      </c>
      <c r="G891" s="4" t="n">
        <v>7.3</v>
      </c>
      <c r="H891" s="5" t="n">
        <v>48.63795776065555</v>
      </c>
      <c r="I891" s="5" t="n">
        <v>44.95764954521111</v>
      </c>
      <c r="J891" s="5" t="n">
        <v>43.07079084523056</v>
      </c>
      <c r="K891" s="5" t="n">
        <v>52</v>
      </c>
    </row>
    <row r="892">
      <c r="A892" s="2" t="n">
        <v>46134.54166666666</v>
      </c>
      <c r="B892">
        <f>TEXT(A892,"yyyy-mm")</f>
        <v/>
      </c>
      <c r="C892" s="3">
        <f>HOUR(A892)</f>
        <v/>
      </c>
      <c r="D892" s="4" t="n">
        <v>21.17809460386666</v>
      </c>
      <c r="E892" s="4" t="n">
        <v>22.60264440008611</v>
      </c>
      <c r="F892" s="4" t="n">
        <v>23.25318648044166</v>
      </c>
      <c r="G892" s="4" t="n">
        <v>6.8</v>
      </c>
      <c r="H892" s="5" t="n">
        <v>49.29550497740833</v>
      </c>
      <c r="I892" s="5" t="n">
        <v>44.90685294537778</v>
      </c>
      <c r="J892" s="5" t="n">
        <v>42.05708154400278</v>
      </c>
      <c r="K892" s="5" t="n">
        <v>56</v>
      </c>
    </row>
    <row r="893">
      <c r="A893" s="2" t="n">
        <v>46134.58333333334</v>
      </c>
      <c r="B893">
        <f>TEXT(A893,"yyyy-mm")</f>
        <v/>
      </c>
      <c r="C893" s="3">
        <f>HOUR(A893)</f>
        <v/>
      </c>
      <c r="D893" s="4" t="n">
        <v>21.22968213470833</v>
      </c>
      <c r="E893" s="4" t="n">
        <v>22.50424456906944</v>
      </c>
      <c r="F893" s="4" t="n">
        <v>23.25563145465</v>
      </c>
      <c r="G893" s="4" t="n">
        <v>6.1</v>
      </c>
      <c r="H893" s="5" t="n">
        <v>47.83368445332778</v>
      </c>
      <c r="I893" s="5" t="n">
        <v>44.41060367798611</v>
      </c>
      <c r="J893" s="5" t="n">
        <v>42.7372674476</v>
      </c>
      <c r="K893" s="5" t="n">
        <v>66</v>
      </c>
    </row>
    <row r="894">
      <c r="A894" s="2" t="n">
        <v>46134.625</v>
      </c>
      <c r="B894">
        <f>TEXT(A894,"yyyy-mm")</f>
        <v/>
      </c>
      <c r="C894" s="3">
        <f>HOUR(A894)</f>
        <v/>
      </c>
      <c r="D894" s="4" t="n">
        <v>21.21386731842222</v>
      </c>
      <c r="E894" s="4" t="n">
        <v>22.34539166431945</v>
      </c>
      <c r="F894" s="4" t="n">
        <v>23.14342662269722</v>
      </c>
      <c r="G894" s="4" t="n">
        <v>6.5</v>
      </c>
      <c r="H894" s="5" t="n">
        <v>46.82695748258333</v>
      </c>
      <c r="I894" s="5" t="n">
        <v>42.92277490706112</v>
      </c>
      <c r="J894" s="5" t="n">
        <v>42.01596009506944</v>
      </c>
      <c r="K894" s="5" t="n">
        <v>63</v>
      </c>
    </row>
    <row r="895">
      <c r="A895" s="2" t="n">
        <v>46134.66666666666</v>
      </c>
      <c r="B895">
        <f>TEXT(A895,"yyyy-mm")</f>
        <v/>
      </c>
      <c r="C895" s="3">
        <f>HOUR(A895)</f>
        <v/>
      </c>
      <c r="D895" s="4" t="n">
        <v>21.20393034151111</v>
      </c>
      <c r="E895" s="4" t="n">
        <v>22.47312583463889</v>
      </c>
      <c r="F895" s="4" t="n">
        <v>23.10198995525278</v>
      </c>
      <c r="G895" s="4" t="n">
        <v>6.9</v>
      </c>
      <c r="H895" s="5" t="n">
        <v>45.96304079934166</v>
      </c>
      <c r="I895" s="5" t="n">
        <v>42.08529026749722</v>
      </c>
      <c r="J895" s="5" t="n">
        <v>42.69206592671389</v>
      </c>
      <c r="K895" s="5" t="n">
        <v>58</v>
      </c>
    </row>
    <row r="896">
      <c r="A896" s="2" t="n">
        <v>46134.70833333334</v>
      </c>
      <c r="B896">
        <f>TEXT(A896,"yyyy-mm")</f>
        <v/>
      </c>
      <c r="C896" s="3">
        <f>HOUR(A896)</f>
        <v/>
      </c>
      <c r="D896" s="4" t="n">
        <v>21.25723502157222</v>
      </c>
      <c r="E896" s="4" t="n">
        <v>22.69431166869166</v>
      </c>
      <c r="F896" s="4" t="n">
        <v>23.05257346575</v>
      </c>
      <c r="G896" s="4" t="n">
        <v>7.1</v>
      </c>
      <c r="H896" s="5" t="n">
        <v>45.399863438725</v>
      </c>
      <c r="I896" s="5" t="n">
        <v>42.45602527771944</v>
      </c>
      <c r="J896" s="5" t="n">
        <v>41.92296246014444</v>
      </c>
      <c r="K896" s="5" t="n">
        <v>53</v>
      </c>
    </row>
    <row r="897">
      <c r="A897" s="2" t="n">
        <v>46134.75</v>
      </c>
      <c r="B897">
        <f>TEXT(A897,"yyyy-mm")</f>
        <v/>
      </c>
      <c r="C897" s="3">
        <f>HOUR(A897)</f>
        <v/>
      </c>
      <c r="D897" s="4" t="n">
        <v>21.18034534385556</v>
      </c>
      <c r="E897" s="4" t="n">
        <v>22.69295844839445</v>
      </c>
      <c r="F897" s="4" t="n">
        <v>22.99859640488611</v>
      </c>
      <c r="G897" s="4" t="n">
        <v>7.2</v>
      </c>
      <c r="H897" s="5" t="n">
        <v>43.74788513992223</v>
      </c>
      <c r="I897" s="5" t="n">
        <v>40.79726934181389</v>
      </c>
      <c r="J897" s="5" t="n">
        <v>41.15872696998889</v>
      </c>
      <c r="K897" s="5" t="n">
        <v>56</v>
      </c>
    </row>
    <row r="898">
      <c r="A898" s="2" t="n">
        <v>46134.79166666666</v>
      </c>
      <c r="B898">
        <f>TEXT(A898,"yyyy-mm")</f>
        <v/>
      </c>
      <c r="C898" s="3">
        <f>HOUR(A898)</f>
        <v/>
      </c>
      <c r="D898" s="4" t="n">
        <v>21.18149416678056</v>
      </c>
      <c r="E898" s="4" t="n">
        <v>22.49016148714722</v>
      </c>
      <c r="F898" s="4" t="n">
        <v>22.94298021551944</v>
      </c>
      <c r="G898" s="4" t="n">
        <v>6.8</v>
      </c>
      <c r="H898" s="5" t="n">
        <v>43.84320158288611</v>
      </c>
      <c r="I898" s="5" t="n">
        <v>40.93754865899167</v>
      </c>
      <c r="J898" s="5" t="n">
        <v>41.03894918577778</v>
      </c>
      <c r="K898" s="5" t="n">
        <v>66</v>
      </c>
    </row>
    <row r="899">
      <c r="A899" s="2" t="n">
        <v>46134.83333333334</v>
      </c>
      <c r="B899">
        <f>TEXT(A899,"yyyy-mm")</f>
        <v/>
      </c>
      <c r="C899" s="3">
        <f>HOUR(A899)</f>
        <v/>
      </c>
      <c r="D899" s="4" t="n">
        <v>21.56862923673333</v>
      </c>
      <c r="E899" s="4" t="n">
        <v>23.29056621069445</v>
      </c>
      <c r="F899" s="4" t="n">
        <v>22.93454643933612</v>
      </c>
      <c r="G899" s="4" t="n">
        <v>6.1</v>
      </c>
      <c r="H899" s="5" t="n">
        <v>44.26269515400556</v>
      </c>
      <c r="I899" s="5" t="n">
        <v>40.88477954394723</v>
      </c>
      <c r="J899" s="5" t="n">
        <v>40.918060666625</v>
      </c>
      <c r="K899" s="5" t="n">
        <v>70</v>
      </c>
    </row>
    <row r="900">
      <c r="A900" s="2" t="n">
        <v>46134.875</v>
      </c>
      <c r="B900">
        <f>TEXT(A900,"yyyy-mm")</f>
        <v/>
      </c>
      <c r="C900" s="3">
        <f>HOUR(A900)</f>
        <v/>
      </c>
      <c r="D900" s="4" t="n">
        <v>21.74827681256111</v>
      </c>
      <c r="E900" s="4" t="n">
        <v>23.38305519248889</v>
      </c>
      <c r="F900" s="4" t="n">
        <v>22.91483537623889</v>
      </c>
      <c r="G900" s="4" t="n">
        <v>5.9</v>
      </c>
      <c r="H900" s="5" t="n">
        <v>43.95783538840834</v>
      </c>
      <c r="I900" s="5" t="n">
        <v>40.85770656335833</v>
      </c>
      <c r="J900" s="5" t="n">
        <v>40.79269567716389</v>
      </c>
      <c r="K900" s="5" t="n">
        <v>68</v>
      </c>
    </row>
    <row r="901">
      <c r="A901" s="2" t="n">
        <v>46134.91666666666</v>
      </c>
      <c r="B901">
        <f>TEXT(A901,"yyyy-mm")</f>
        <v/>
      </c>
      <c r="C901" s="3">
        <f>HOUR(A901)</f>
        <v/>
      </c>
      <c r="D901" s="4" t="n">
        <v>21.59170575516944</v>
      </c>
      <c r="E901" s="4" t="n">
        <v>23.08312064328611</v>
      </c>
      <c r="F901" s="4" t="n">
        <v>22.90504692686389</v>
      </c>
      <c r="G901" s="4" t="n">
        <v>4.6</v>
      </c>
      <c r="H901" s="5" t="n">
        <v>44.12654186760277</v>
      </c>
      <c r="I901" s="5" t="n">
        <v>42.00063049946667</v>
      </c>
      <c r="J901" s="5" t="n">
        <v>40.69448471870278</v>
      </c>
      <c r="K901" s="5" t="n">
        <v>71</v>
      </c>
    </row>
    <row r="902">
      <c r="A902" s="2" t="n">
        <v>46134.95833333334</v>
      </c>
      <c r="B902">
        <f>TEXT(A902,"yyyy-mm")</f>
        <v/>
      </c>
      <c r="C902" s="3">
        <f>HOUR(A902)</f>
        <v/>
      </c>
      <c r="D902" s="4" t="n">
        <v>21.336468639975</v>
      </c>
      <c r="E902" s="4" t="n">
        <v>22.75606465283889</v>
      </c>
      <c r="F902" s="4" t="n">
        <v>22.88337302951667</v>
      </c>
      <c r="G902" s="4" t="n">
        <v>3.8</v>
      </c>
      <c r="H902" s="5" t="n">
        <v>44.40542355351389</v>
      </c>
      <c r="I902" s="5" t="n">
        <v>42.52394918337778</v>
      </c>
      <c r="J902" s="5" t="n">
        <v>40.62629681676667</v>
      </c>
      <c r="K902" s="5" t="n">
        <v>71</v>
      </c>
    </row>
    <row r="903">
      <c r="A903" s="2" t="n">
        <v>46135</v>
      </c>
      <c r="B903">
        <f>TEXT(A903,"yyyy-mm")</f>
        <v/>
      </c>
      <c r="C903" s="3">
        <f>HOUR(A903)</f>
        <v/>
      </c>
      <c r="D903" s="4" t="n">
        <v>21.22765344461111</v>
      </c>
      <c r="E903" s="4" t="n">
        <v>22.90656266797778</v>
      </c>
      <c r="F903" s="4" t="n">
        <v>22.857129125525</v>
      </c>
      <c r="G903" s="4" t="n">
        <v>3.3</v>
      </c>
      <c r="H903" s="5" t="n">
        <v>45.26963110582222</v>
      </c>
      <c r="I903" s="5" t="n">
        <v>43.22577117911666</v>
      </c>
      <c r="J903" s="5" t="n">
        <v>40.56916169746945</v>
      </c>
      <c r="K903" s="5" t="n">
        <v>71</v>
      </c>
    </row>
    <row r="904">
      <c r="A904" s="2" t="n">
        <v>46135.04166666666</v>
      </c>
      <c r="B904">
        <f>TEXT(A904,"yyyy-mm")</f>
        <v/>
      </c>
      <c r="C904" s="3">
        <f>HOUR(A904)</f>
        <v/>
      </c>
      <c r="D904" s="4" t="n">
        <v>21.40428289379444</v>
      </c>
      <c r="E904" s="4" t="n">
        <v>22.92211953686945</v>
      </c>
      <c r="F904" s="4" t="n">
        <v>22.83443395314722</v>
      </c>
      <c r="G904" s="4" t="n">
        <v>3</v>
      </c>
      <c r="H904" s="5" t="n">
        <v>44.57675844818056</v>
      </c>
      <c r="I904" s="5" t="n">
        <v>41.87685213634444</v>
      </c>
      <c r="J904" s="5" t="n">
        <v>40.51942217067222</v>
      </c>
      <c r="K904" s="5" t="n">
        <v>71</v>
      </c>
    </row>
    <row r="905">
      <c r="A905" s="2" t="n">
        <v>46135.08333333334</v>
      </c>
      <c r="B905">
        <f>TEXT(A905,"yyyy-mm")</f>
        <v/>
      </c>
      <c r="C905" s="3">
        <f>HOUR(A905)</f>
        <v/>
      </c>
      <c r="D905" s="4" t="n">
        <v>21.17172016543889</v>
      </c>
      <c r="E905" s="4" t="n">
        <v>22.67981428254445</v>
      </c>
      <c r="F905" s="4" t="n">
        <v>22.81884949790833</v>
      </c>
      <c r="G905" s="4" t="n">
        <v>2.6</v>
      </c>
      <c r="H905" s="5" t="n">
        <v>46.15235069418055</v>
      </c>
      <c r="I905" s="5" t="n">
        <v>42.99028900146667</v>
      </c>
      <c r="J905" s="5" t="n">
        <v>40.49516804731667</v>
      </c>
      <c r="K905" s="5" t="n">
        <v>74</v>
      </c>
    </row>
    <row r="906">
      <c r="A906" s="2" t="n">
        <v>46135.125</v>
      </c>
      <c r="B906">
        <f>TEXT(A906,"yyyy-mm")</f>
        <v/>
      </c>
      <c r="C906" s="3">
        <f>HOUR(A906)</f>
        <v/>
      </c>
      <c r="D906" s="4" t="n">
        <v>20.71242575695833</v>
      </c>
      <c r="E906" s="4" t="n">
        <v>22.24703714238611</v>
      </c>
      <c r="F906" s="4" t="n">
        <v>22.78216584950278</v>
      </c>
      <c r="G906" s="4" t="n">
        <v>2.6</v>
      </c>
      <c r="H906" s="5" t="n">
        <v>49.65158763213333</v>
      </c>
      <c r="I906" s="5" t="n">
        <v>45.83720608686111</v>
      </c>
      <c r="J906" s="5" t="n">
        <v>40.49023917381667</v>
      </c>
      <c r="K906" s="5" t="n">
        <v>72</v>
      </c>
    </row>
    <row r="907">
      <c r="A907" s="2" t="n">
        <v>46135.16666666666</v>
      </c>
      <c r="B907">
        <f>TEXT(A907,"yyyy-mm")</f>
        <v/>
      </c>
      <c r="C907" s="3">
        <f>HOUR(A907)</f>
        <v/>
      </c>
      <c r="D907" s="4" t="n">
        <v>20.43384575841944</v>
      </c>
      <c r="E907" s="4" t="n">
        <v>22.01611370536389</v>
      </c>
      <c r="F907" s="4" t="n">
        <v>22.75510047285833</v>
      </c>
      <c r="G907" s="4" t="n">
        <v>2.7</v>
      </c>
      <c r="H907" s="5" t="n">
        <v>49.25517429593055</v>
      </c>
      <c r="I907" s="5" t="n">
        <v>44.94286603131388</v>
      </c>
      <c r="J907" s="5" t="n">
        <v>40.46420682859166</v>
      </c>
      <c r="K907" s="5" t="n">
        <v>68</v>
      </c>
    </row>
    <row r="908">
      <c r="A908" s="2" t="n">
        <v>46135.20833333334</v>
      </c>
      <c r="B908">
        <f>TEXT(A908,"yyyy-mm")</f>
        <v/>
      </c>
      <c r="C908" s="3">
        <f>HOUR(A908)</f>
        <v/>
      </c>
      <c r="D908" s="4" t="n">
        <v>20.31700038155833</v>
      </c>
      <c r="E908" s="4" t="n">
        <v>21.79916337516389</v>
      </c>
      <c r="F908" s="4" t="n">
        <v>22.72870587778334</v>
      </c>
      <c r="G908" s="4" t="n">
        <v>2.8</v>
      </c>
      <c r="H908" s="5" t="n">
        <v>48.55906230445</v>
      </c>
      <c r="I908" s="5" t="n">
        <v>44.19075200427778</v>
      </c>
      <c r="J908" s="5" t="n">
        <v>40.45132179862222</v>
      </c>
      <c r="K908" s="5" t="n">
        <v>66</v>
      </c>
    </row>
    <row r="909">
      <c r="A909" s="2" t="n">
        <v>46135.25</v>
      </c>
      <c r="B909">
        <f>TEXT(A909,"yyyy-mm")</f>
        <v/>
      </c>
      <c r="C909" s="3">
        <f>HOUR(A909)</f>
        <v/>
      </c>
      <c r="D909" s="4" t="n">
        <v>20.79939173227222</v>
      </c>
      <c r="E909" s="4" t="n">
        <v>21.962127819775</v>
      </c>
      <c r="F909" s="4" t="n">
        <v>22.70887794571945</v>
      </c>
      <c r="G909" s="4" t="n">
        <v>2.6</v>
      </c>
      <c r="H909" s="5" t="n">
        <v>45.93660254699167</v>
      </c>
      <c r="I909" s="5" t="n">
        <v>43.10149845693334</v>
      </c>
      <c r="J909" s="5" t="n">
        <v>40.41561949058055</v>
      </c>
      <c r="K909" s="5" t="n">
        <v>68</v>
      </c>
    </row>
    <row r="910">
      <c r="A910" s="2" t="n">
        <v>46135.29166666666</v>
      </c>
      <c r="B910">
        <f>TEXT(A910,"yyyy-mm")</f>
        <v/>
      </c>
      <c r="C910" s="3">
        <f>HOUR(A910)</f>
        <v/>
      </c>
      <c r="D910" s="4" t="n">
        <v>21.35308601720556</v>
      </c>
      <c r="E910" s="4" t="n">
        <v>22.34512885289723</v>
      </c>
      <c r="F910" s="4" t="n">
        <v>22.69792235586111</v>
      </c>
      <c r="G910" s="4" t="n">
        <v>3.6</v>
      </c>
      <c r="H910" s="5" t="n">
        <v>43.63937978410834</v>
      </c>
      <c r="I910" s="5" t="n">
        <v>41.97935152845277</v>
      </c>
      <c r="J910" s="5" t="n">
        <v>40.38368371988889</v>
      </c>
      <c r="K910" s="5" t="n">
        <v>67</v>
      </c>
    </row>
    <row r="911">
      <c r="A911" s="2" t="n">
        <v>46135.33333333334</v>
      </c>
      <c r="B911">
        <f>TEXT(A911,"yyyy-mm")</f>
        <v/>
      </c>
      <c r="C911" s="3">
        <f>HOUR(A911)</f>
        <v/>
      </c>
      <c r="D911" s="4" t="n">
        <v>21.80303379031945</v>
      </c>
      <c r="E911" s="4" t="n">
        <v>22.82401023488889</v>
      </c>
      <c r="F911" s="4" t="n">
        <v>22.69658370847777</v>
      </c>
      <c r="G911" s="4" t="n">
        <v>4.9</v>
      </c>
      <c r="H911" s="5" t="n">
        <v>43.79626873293055</v>
      </c>
      <c r="I911" s="5" t="n">
        <v>41.56920555466389</v>
      </c>
      <c r="J911" s="5" t="n">
        <v>40.35608935040555</v>
      </c>
      <c r="K911" s="5" t="n">
        <v>67</v>
      </c>
    </row>
    <row r="912">
      <c r="A912" s="2" t="n">
        <v>46135.375</v>
      </c>
      <c r="B912">
        <f>TEXT(A912,"yyyy-mm")</f>
        <v/>
      </c>
      <c r="C912" s="3">
        <f>HOUR(A912)</f>
        <v/>
      </c>
      <c r="D912" s="4" t="n">
        <v>21.75540856791111</v>
      </c>
      <c r="E912" s="4" t="n">
        <v>22.98459636918889</v>
      </c>
      <c r="F912" s="4" t="n">
        <v>22.70363022419444</v>
      </c>
      <c r="G912" s="4" t="n">
        <v>7.2</v>
      </c>
      <c r="H912" s="5" t="n">
        <v>44.35787635904722</v>
      </c>
      <c r="I912" s="5" t="n">
        <v>41.71369223874445</v>
      </c>
      <c r="J912" s="5" t="n">
        <v>40.31833538697222</v>
      </c>
      <c r="K912" s="5" t="n">
        <v>61</v>
      </c>
    </row>
    <row r="913">
      <c r="A913" s="2" t="n">
        <v>46135.41666666666</v>
      </c>
      <c r="B913">
        <f>TEXT(A913,"yyyy-mm")</f>
        <v/>
      </c>
      <c r="C913" s="3">
        <f>HOUR(A913)</f>
        <v/>
      </c>
      <c r="D913" s="4" t="n">
        <v>21.54650961321667</v>
      </c>
      <c r="E913" s="4" t="n">
        <v>22.83699474281944</v>
      </c>
      <c r="F913" s="4" t="n">
        <v>22.69411741923611</v>
      </c>
      <c r="G913" s="4" t="n">
        <v>8.6</v>
      </c>
      <c r="H913" s="5" t="n">
        <v>45.31860894045556</v>
      </c>
      <c r="I913" s="5" t="n">
        <v>43.03153886561666</v>
      </c>
      <c r="J913" s="5" t="n">
        <v>40.26830565211944</v>
      </c>
      <c r="K913" s="5" t="n">
        <v>55</v>
      </c>
    </row>
    <row r="914">
      <c r="A914" s="2" t="n">
        <v>46135.45833333334</v>
      </c>
      <c r="B914">
        <f>TEXT(A914,"yyyy-mm")</f>
        <v/>
      </c>
      <c r="C914" s="3">
        <f>HOUR(A914)</f>
        <v/>
      </c>
      <c r="D914" s="4" t="n">
        <v>21.64442026285833</v>
      </c>
      <c r="E914" s="4" t="n">
        <v>23.13495087979445</v>
      </c>
      <c r="F914" s="4" t="n">
        <v>22.68174370902222</v>
      </c>
      <c r="G914" s="4" t="n">
        <v>9</v>
      </c>
      <c r="H914" s="5" t="n">
        <v>51.31833737991111</v>
      </c>
      <c r="I914" s="5" t="n">
        <v>51.59738255181666</v>
      </c>
      <c r="J914" s="5" t="n">
        <v>40.232515269675</v>
      </c>
      <c r="K914" s="5" t="n">
        <v>55</v>
      </c>
    </row>
    <row r="915">
      <c r="A915" s="2" t="n">
        <v>46135.5</v>
      </c>
      <c r="B915">
        <f>TEXT(A915,"yyyy-mm")</f>
        <v/>
      </c>
      <c r="C915" s="3">
        <f>HOUR(A915)</f>
        <v/>
      </c>
      <c r="D915" s="4" t="n">
        <v>21.56396936887778</v>
      </c>
      <c r="E915" s="4" t="n">
        <v>23.21724039675556</v>
      </c>
      <c r="F915" s="4" t="n">
        <v>22.68683943126666</v>
      </c>
      <c r="G915" s="4" t="n">
        <v>10</v>
      </c>
      <c r="H915" s="5" t="n">
        <v>53.62803090337778</v>
      </c>
      <c r="I915" s="5" t="n">
        <v>50.78026171109722</v>
      </c>
      <c r="J915" s="5" t="n">
        <v>40.23445695093056</v>
      </c>
      <c r="K915" s="5" t="n">
        <v>55</v>
      </c>
    </row>
    <row r="916">
      <c r="A916" s="2" t="n">
        <v>46135.54166666666</v>
      </c>
      <c r="B916">
        <f>TEXT(A916,"yyyy-mm")</f>
        <v/>
      </c>
      <c r="C916" s="3">
        <f>HOUR(A916)</f>
        <v/>
      </c>
      <c r="D916" s="4" t="n">
        <v>21.58903457982223</v>
      </c>
      <c r="E916" s="4" t="n">
        <v>23.653923920025</v>
      </c>
      <c r="F916" s="4" t="n">
        <v>22.69441594988889</v>
      </c>
      <c r="G916" s="4" t="n">
        <v>11.2</v>
      </c>
      <c r="H916" s="5" t="n">
        <v>53.38795985115278</v>
      </c>
      <c r="I916" s="5" t="n">
        <v>49.23304249603333</v>
      </c>
      <c r="J916" s="5" t="n">
        <v>40.37933133291389</v>
      </c>
      <c r="K916" s="5" t="n">
        <v>51</v>
      </c>
    </row>
    <row r="917">
      <c r="A917" s="2" t="n">
        <v>46135.58333333334</v>
      </c>
      <c r="B917">
        <f>TEXT(A917,"yyyy-mm")</f>
        <v/>
      </c>
      <c r="C917" s="3">
        <f>HOUR(A917)</f>
        <v/>
      </c>
      <c r="D917" s="4" t="n">
        <v>21.56045655866389</v>
      </c>
      <c r="E917" s="4" t="n">
        <v>24.39653706821389</v>
      </c>
      <c r="F917" s="4" t="n">
        <v>22.68774964952222</v>
      </c>
      <c r="G917" s="4" t="n">
        <v>9.5</v>
      </c>
      <c r="H917" s="5" t="n">
        <v>51.84856016815277</v>
      </c>
      <c r="I917" s="5" t="n">
        <v>45.55647704503056</v>
      </c>
      <c r="J917" s="5" t="n">
        <v>40.17663145059722</v>
      </c>
      <c r="K917" s="5" t="n">
        <v>68</v>
      </c>
    </row>
    <row r="918">
      <c r="A918" s="2" t="n">
        <v>46135.625</v>
      </c>
      <c r="B918">
        <f>TEXT(A918,"yyyy-mm")</f>
        <v/>
      </c>
      <c r="C918" s="3">
        <f>HOUR(A918)</f>
        <v/>
      </c>
      <c r="D918" s="4" t="n">
        <v>21.517924835925</v>
      </c>
      <c r="E918" s="4" t="n">
        <v>24.42277915953333</v>
      </c>
      <c r="F918" s="4" t="n">
        <v>22.69573224174722</v>
      </c>
      <c r="G918" s="4" t="n">
        <v>8.6</v>
      </c>
      <c r="H918" s="5" t="n">
        <v>52.21995959355834</v>
      </c>
      <c r="I918" s="5" t="n">
        <v>43.82041435648333</v>
      </c>
      <c r="J918" s="5" t="n">
        <v>40.11696524149167</v>
      </c>
      <c r="K918" s="5" t="n">
        <v>61</v>
      </c>
    </row>
    <row r="919">
      <c r="A919" s="2" t="n">
        <v>46135.66666666666</v>
      </c>
      <c r="B919">
        <f>TEXT(A919,"yyyy-mm")</f>
        <v/>
      </c>
      <c r="C919" s="3">
        <f>HOUR(A919)</f>
        <v/>
      </c>
      <c r="D919" s="4" t="n">
        <v>21.37197663878333</v>
      </c>
      <c r="E919" s="4" t="n">
        <v>23.17259674068612</v>
      </c>
      <c r="F919" s="4" t="n">
        <v>22.70545891888333</v>
      </c>
      <c r="G919" s="4" t="n">
        <v>6.4</v>
      </c>
      <c r="H919" s="5" t="n">
        <v>50.58259413887777</v>
      </c>
      <c r="I919" s="5" t="n">
        <v>45.894168857275</v>
      </c>
      <c r="J919" s="5" t="n">
        <v>40.27350839397223</v>
      </c>
      <c r="K919" s="5" t="n">
        <v>82</v>
      </c>
    </row>
    <row r="920">
      <c r="A920" s="2" t="n">
        <v>46135.70833333334</v>
      </c>
      <c r="B920">
        <f>TEXT(A920,"yyyy-mm")</f>
        <v/>
      </c>
      <c r="C920" s="3">
        <f>HOUR(A920)</f>
        <v/>
      </c>
      <c r="D920" s="4" t="n">
        <v>21.27845335005</v>
      </c>
      <c r="E920" s="4" t="n">
        <v>22.96685037081389</v>
      </c>
      <c r="F920" s="4" t="n">
        <v>22.69096606666666</v>
      </c>
      <c r="G920" s="4" t="n">
        <v>6.2</v>
      </c>
      <c r="H920" s="5" t="n">
        <v>49.67054767923611</v>
      </c>
      <c r="I920" s="5" t="n">
        <v>45.44749651925833</v>
      </c>
      <c r="J920" s="5" t="n">
        <v>40.25697688244722</v>
      </c>
      <c r="K920" s="5" t="n">
        <v>82</v>
      </c>
    </row>
    <row r="921">
      <c r="A921" s="2" t="n">
        <v>46135.75</v>
      </c>
      <c r="B921">
        <f>TEXT(A921,"yyyy-mm")</f>
        <v/>
      </c>
      <c r="C921" s="3">
        <f>HOUR(A921)</f>
        <v/>
      </c>
      <c r="D921" s="4" t="n">
        <v>21.20799749130833</v>
      </c>
      <c r="E921" s="4" t="n">
        <v>23.144278429475</v>
      </c>
      <c r="F921" s="4" t="n">
        <v>22.68236550982778</v>
      </c>
      <c r="G921" s="4" t="n">
        <v>6.1</v>
      </c>
      <c r="H921" s="5" t="n">
        <v>50.72227526709167</v>
      </c>
      <c r="I921" s="5" t="n">
        <v>45.79931174039722</v>
      </c>
      <c r="J921" s="5" t="n">
        <v>40.27263144291667</v>
      </c>
      <c r="K921" s="5" t="n">
        <v>82</v>
      </c>
    </row>
    <row r="922">
      <c r="A922" s="2" t="n">
        <v>46135.79166666666</v>
      </c>
      <c r="B922">
        <f>TEXT(A922,"yyyy-mm")</f>
        <v/>
      </c>
      <c r="C922" s="3">
        <f>HOUR(A922)</f>
        <v/>
      </c>
      <c r="D922" s="4" t="n">
        <v>21.180171997775</v>
      </c>
      <c r="E922" s="4" t="n">
        <v>23.32034457088334</v>
      </c>
      <c r="F922" s="4" t="n">
        <v>22.76340321566111</v>
      </c>
      <c r="G922" s="4" t="n">
        <v>5.1</v>
      </c>
      <c r="H922" s="5" t="n">
        <v>58.69019596689444</v>
      </c>
      <c r="I922" s="5" t="n">
        <v>52.63203995234722</v>
      </c>
      <c r="J922" s="5" t="n">
        <v>43.35986582845278</v>
      </c>
      <c r="K922" s="5" t="n">
        <v>85</v>
      </c>
    </row>
    <row r="923">
      <c r="A923" s="2" t="n">
        <v>46135.83333333334</v>
      </c>
      <c r="B923">
        <f>TEXT(A923,"yyyy-mm")</f>
        <v/>
      </c>
      <c r="C923" s="3">
        <f>HOUR(A923)</f>
        <v/>
      </c>
      <c r="D923" s="4" t="n">
        <v>21.53992680413889</v>
      </c>
      <c r="E923" s="4" t="n">
        <v>23.65142925956667</v>
      </c>
      <c r="F923" s="4" t="n">
        <v>22.73141127711111</v>
      </c>
      <c r="G923" s="4" t="n">
        <v>3.9</v>
      </c>
      <c r="H923" s="5" t="n">
        <v>54.35793628908056</v>
      </c>
      <c r="I923" s="5" t="n">
        <v>48.47218833000278</v>
      </c>
      <c r="J923" s="5" t="n">
        <v>42.36694190013333</v>
      </c>
      <c r="K923" s="5" t="n">
        <v>89</v>
      </c>
    </row>
    <row r="924">
      <c r="A924" s="2" t="n">
        <v>46135.875</v>
      </c>
      <c r="B924">
        <f>TEXT(A924,"yyyy-mm")</f>
        <v/>
      </c>
      <c r="C924" s="3">
        <f>HOUR(A924)</f>
        <v/>
      </c>
      <c r="D924" s="4" t="n">
        <v>21.45800330243611</v>
      </c>
      <c r="E924" s="4" t="n">
        <v>23.82162531320833</v>
      </c>
      <c r="F924" s="4" t="n">
        <v>22.70388369203333</v>
      </c>
      <c r="G924" s="4" t="n">
        <v>3.7</v>
      </c>
      <c r="H924" s="5" t="n">
        <v>53.56757233994722</v>
      </c>
      <c r="I924" s="5" t="n">
        <v>46.90327454980556</v>
      </c>
      <c r="J924" s="5" t="n">
        <v>41.64153175717222</v>
      </c>
      <c r="K924" s="5" t="n">
        <v>91</v>
      </c>
    </row>
    <row r="925">
      <c r="A925" s="2" t="n">
        <v>46135.91666666666</v>
      </c>
      <c r="B925">
        <f>TEXT(A925,"yyyy-mm")</f>
        <v/>
      </c>
      <c r="C925" s="3">
        <f>HOUR(A925)</f>
        <v/>
      </c>
      <c r="D925" s="4" t="n">
        <v>21.27619321555278</v>
      </c>
      <c r="E925" s="4" t="n">
        <v>23.43371598587222</v>
      </c>
      <c r="F925" s="4" t="n">
        <v>22.68626552721111</v>
      </c>
      <c r="G925" s="4" t="n">
        <v>2.9</v>
      </c>
      <c r="H925" s="5" t="n">
        <v>55.52350185079445</v>
      </c>
      <c r="I925" s="5" t="n">
        <v>48.94415262763056</v>
      </c>
      <c r="J925" s="5" t="n">
        <v>41.47262922110833</v>
      </c>
      <c r="K925" s="5" t="n">
        <v>91</v>
      </c>
    </row>
    <row r="926">
      <c r="A926" s="2" t="n">
        <v>46135.95833333334</v>
      </c>
      <c r="B926">
        <f>TEXT(A926,"yyyy-mm")</f>
        <v/>
      </c>
      <c r="C926" s="3">
        <f>HOUR(A926)</f>
        <v/>
      </c>
      <c r="D926" s="4" t="n">
        <v>21.24497870755278</v>
      </c>
      <c r="E926" s="4" t="n">
        <v>24.46636589533055</v>
      </c>
      <c r="F926" s="4" t="n">
        <v>22.67424371970278</v>
      </c>
      <c r="G926" s="4" t="n">
        <v>2.6</v>
      </c>
      <c r="H926" s="5" t="n">
        <v>55.51213535731111</v>
      </c>
      <c r="I926" s="5" t="n">
        <v>47.17607710624444</v>
      </c>
      <c r="J926" s="5" t="n">
        <v>41.49450309251944</v>
      </c>
      <c r="K926" s="5" t="n">
        <v>89</v>
      </c>
    </row>
    <row r="927">
      <c r="A927" s="2" t="n">
        <v>46136</v>
      </c>
      <c r="B927">
        <f>TEXT(A927,"yyyy-mm")</f>
        <v/>
      </c>
      <c r="C927" s="3">
        <f>HOUR(A927)</f>
        <v/>
      </c>
      <c r="D927" s="4" t="n">
        <v>21.16210264918056</v>
      </c>
      <c r="E927" s="4" t="n">
        <v>24.44897311997222</v>
      </c>
      <c r="F927" s="4" t="n">
        <v>22.66710494692778</v>
      </c>
      <c r="G927" s="4" t="n">
        <v>2</v>
      </c>
      <c r="H927" s="5" t="n">
        <v>54.44870032644723</v>
      </c>
      <c r="I927" s="5" t="n">
        <v>45.78035250943611</v>
      </c>
      <c r="J927" s="5" t="n">
        <v>41.52839486394722</v>
      </c>
      <c r="K927" s="5" t="n">
        <v>92</v>
      </c>
    </row>
    <row r="928">
      <c r="A928" s="2" t="n">
        <v>46136.04166666666</v>
      </c>
      <c r="B928">
        <f>TEXT(A928,"yyyy-mm")</f>
        <v/>
      </c>
      <c r="C928" s="3">
        <f>HOUR(A928)</f>
        <v/>
      </c>
      <c r="D928" s="4" t="n">
        <v>21.1872833151</v>
      </c>
      <c r="E928" s="4" t="n">
        <v>24.44720221637777</v>
      </c>
      <c r="F928" s="4" t="n">
        <v>22.65939489115556</v>
      </c>
      <c r="G928" s="4" t="n">
        <v>1.6</v>
      </c>
      <c r="H928" s="5" t="n">
        <v>52.26914259511389</v>
      </c>
      <c r="I928" s="5" t="n">
        <v>44.39627208986667</v>
      </c>
      <c r="J928" s="5" t="n">
        <v>41.291955327525</v>
      </c>
      <c r="K928" s="5" t="n">
        <v>94</v>
      </c>
    </row>
    <row r="929">
      <c r="A929" s="2" t="n">
        <v>46136.08333333334</v>
      </c>
      <c r="B929">
        <f>TEXT(A929,"yyyy-mm")</f>
        <v/>
      </c>
      <c r="C929" s="3">
        <f>HOUR(A929)</f>
        <v/>
      </c>
      <c r="D929" s="4" t="n">
        <v>20.97707145678889</v>
      </c>
      <c r="E929" s="4" t="n">
        <v>24.08483741734445</v>
      </c>
      <c r="F929" s="4" t="n">
        <v>22.64422743476389</v>
      </c>
      <c r="G929" s="4" t="n">
        <v>1.3</v>
      </c>
      <c r="H929" s="5" t="n">
        <v>51.17914572534722</v>
      </c>
      <c r="I929" s="5" t="n">
        <v>43.36127651275</v>
      </c>
      <c r="J929" s="5" t="n">
        <v>41.14147165161389</v>
      </c>
      <c r="K929" s="5" t="n">
        <v>96</v>
      </c>
    </row>
    <row r="930">
      <c r="A930" s="2" t="n">
        <v>46136.125</v>
      </c>
      <c r="B930">
        <f>TEXT(A930,"yyyy-mm")</f>
        <v/>
      </c>
      <c r="C930" s="3">
        <f>HOUR(A930)</f>
        <v/>
      </c>
      <c r="D930" s="4" t="n">
        <v>20.47870404786667</v>
      </c>
      <c r="E930" s="4" t="n">
        <v>23.80960312988333</v>
      </c>
      <c r="F930" s="4" t="n">
        <v>22.61251172599166</v>
      </c>
      <c r="G930" s="4" t="n">
        <v>0.9</v>
      </c>
      <c r="H930" s="5" t="n">
        <v>51.54957528861944</v>
      </c>
      <c r="I930" s="5" t="n">
        <v>42.31531003634444</v>
      </c>
      <c r="J930" s="5" t="n">
        <v>41.07439646486944</v>
      </c>
      <c r="K930" s="5" t="n">
        <v>91</v>
      </c>
    </row>
    <row r="931">
      <c r="A931" s="2" t="n">
        <v>46136.16666666666</v>
      </c>
      <c r="B931">
        <f>TEXT(A931,"yyyy-mm")</f>
        <v/>
      </c>
      <c r="C931" s="3">
        <f>HOUR(A931)</f>
        <v/>
      </c>
      <c r="D931" s="4" t="n">
        <v>20.21147557718889</v>
      </c>
      <c r="E931" s="4" t="n">
        <v>23.44732059302222</v>
      </c>
      <c r="F931" s="4" t="n">
        <v>22.58462633287778</v>
      </c>
      <c r="G931" s="4" t="n">
        <v>0.9</v>
      </c>
      <c r="H931" s="5" t="n">
        <v>51.65787712426666</v>
      </c>
      <c r="I931" s="5" t="n">
        <v>42.133549457425</v>
      </c>
      <c r="J931" s="5" t="n">
        <v>41.08504936095556</v>
      </c>
      <c r="K931" s="5" t="n">
        <v>91</v>
      </c>
    </row>
    <row r="932">
      <c r="A932" s="2" t="n">
        <v>46136.20833333334</v>
      </c>
      <c r="B932">
        <f>TEXT(A932,"yyyy-mm")</f>
        <v/>
      </c>
      <c r="C932" s="3">
        <f>HOUR(A932)</f>
        <v/>
      </c>
      <c r="D932" s="4" t="n">
        <v>20.04985670041944</v>
      </c>
      <c r="E932" s="4" t="n">
        <v>23.18763592010277</v>
      </c>
      <c r="F932" s="4" t="n">
        <v>22.56390416743889</v>
      </c>
      <c r="G932" s="4" t="n">
        <v>0.9</v>
      </c>
      <c r="H932" s="5" t="n">
        <v>51.43790066975</v>
      </c>
      <c r="I932" s="5" t="n">
        <v>41.91373366701666</v>
      </c>
      <c r="J932" s="5" t="n">
        <v>41.08442939629445</v>
      </c>
      <c r="K932" s="5" t="n">
        <v>92</v>
      </c>
    </row>
    <row r="933">
      <c r="A933" s="2" t="n">
        <v>46136.25</v>
      </c>
      <c r="B933">
        <f>TEXT(A933,"yyyy-mm")</f>
        <v/>
      </c>
      <c r="C933" s="3">
        <f>HOUR(A933)</f>
        <v/>
      </c>
      <c r="D933" s="4" t="n">
        <v>19.9513315194</v>
      </c>
      <c r="E933" s="4" t="n">
        <v>23.00981937324723</v>
      </c>
      <c r="F933" s="4" t="n">
        <v>22.54507042461944</v>
      </c>
      <c r="G933" s="4" t="n">
        <v>1</v>
      </c>
      <c r="H933" s="5" t="n">
        <v>51.15694070001945</v>
      </c>
      <c r="I933" s="5" t="n">
        <v>41.83272661328056</v>
      </c>
      <c r="J933" s="5" t="n">
        <v>41.11065688330833</v>
      </c>
      <c r="K933" s="5" t="n">
        <v>92</v>
      </c>
    </row>
    <row r="934">
      <c r="A934" s="2" t="n">
        <v>46136.29166666666</v>
      </c>
      <c r="B934">
        <f>TEXT(A934,"yyyy-mm")</f>
        <v/>
      </c>
      <c r="C934" s="3">
        <f>HOUR(A934)</f>
        <v/>
      </c>
      <c r="D934" s="4" t="n">
        <v>19.89691870113333</v>
      </c>
      <c r="E934" s="4" t="n">
        <v>22.86529370023889</v>
      </c>
      <c r="F934" s="4" t="n">
        <v>22.53057681473055</v>
      </c>
      <c r="G934" s="4" t="n">
        <v>1</v>
      </c>
      <c r="H934" s="5" t="n">
        <v>51.03519672556112</v>
      </c>
      <c r="I934" s="5" t="n">
        <v>41.80902649526944</v>
      </c>
      <c r="J934" s="5" t="n">
        <v>41.24604048873334</v>
      </c>
      <c r="K934" s="5" t="n">
        <v>92</v>
      </c>
    </row>
    <row r="935">
      <c r="A935" s="2" t="n">
        <v>46136.33333333334</v>
      </c>
      <c r="B935">
        <f>TEXT(A935,"yyyy-mm")</f>
        <v/>
      </c>
      <c r="C935" s="3">
        <f>HOUR(A935)</f>
        <v/>
      </c>
      <c r="D935" s="4" t="n">
        <v>19.89166555925277</v>
      </c>
      <c r="E935" s="4" t="n">
        <v>22.777180300225</v>
      </c>
      <c r="F935" s="4" t="n">
        <v>22.51426494</v>
      </c>
      <c r="G935" s="4" t="n">
        <v>1.5</v>
      </c>
      <c r="H935" s="5" t="n">
        <v>50.83067419146667</v>
      </c>
      <c r="I935" s="5" t="n">
        <v>41.80048459079166</v>
      </c>
      <c r="J935" s="5" t="n">
        <v>41.43990423073611</v>
      </c>
      <c r="K935" s="5" t="n">
        <v>90</v>
      </c>
    </row>
    <row r="936">
      <c r="A936" s="2" t="n">
        <v>46136.375</v>
      </c>
      <c r="B936">
        <f>TEXT(A936,"yyyy-mm")</f>
        <v/>
      </c>
      <c r="C936" s="3">
        <f>HOUR(A936)</f>
        <v/>
      </c>
      <c r="D936" s="4" t="n">
        <v>19.91099871372778</v>
      </c>
      <c r="E936" s="4" t="n">
        <v>22.680123183275</v>
      </c>
      <c r="F936" s="4" t="n">
        <v>22.50851500424167</v>
      </c>
      <c r="G936" s="4" t="n">
        <v>2.1</v>
      </c>
      <c r="H936" s="5" t="n">
        <v>50.40421967628333</v>
      </c>
      <c r="I936" s="5" t="n">
        <v>41.64337713841111</v>
      </c>
      <c r="J936" s="5" t="n">
        <v>41.68903638532777</v>
      </c>
      <c r="K936" s="5" t="n">
        <v>89</v>
      </c>
    </row>
    <row r="937">
      <c r="A937" s="2" t="n">
        <v>46136.41666666666</v>
      </c>
      <c r="B937">
        <f>TEXT(A937,"yyyy-mm")</f>
        <v/>
      </c>
      <c r="C937" s="3">
        <f>HOUR(A937)</f>
        <v/>
      </c>
      <c r="D937" s="4" t="n">
        <v>19.88786061661945</v>
      </c>
      <c r="E937" s="4" t="n">
        <v>22.53627345138611</v>
      </c>
      <c r="F937" s="4" t="n">
        <v>22.49880684465278</v>
      </c>
      <c r="G937" s="4" t="n">
        <v>2.7</v>
      </c>
      <c r="H937" s="5" t="n">
        <v>50.16433154170833</v>
      </c>
      <c r="I937" s="5" t="n">
        <v>41.6284701024</v>
      </c>
      <c r="J937" s="5" t="n">
        <v>42.03959737164445</v>
      </c>
      <c r="K937" s="5" t="n">
        <v>81</v>
      </c>
    </row>
    <row r="938">
      <c r="A938" s="2" t="n">
        <v>46136.45833333334</v>
      </c>
      <c r="B938">
        <f>TEXT(A938,"yyyy-mm")</f>
        <v/>
      </c>
      <c r="C938" s="3">
        <f>HOUR(A938)</f>
        <v/>
      </c>
      <c r="D938" s="4" t="n">
        <v>20.08191659596667</v>
      </c>
      <c r="E938" s="4" t="n">
        <v>22.73783871920278</v>
      </c>
      <c r="F938" s="4" t="n">
        <v>22.49981802214444</v>
      </c>
      <c r="G938" s="4" t="n">
        <v>4.4</v>
      </c>
      <c r="H938" s="5" t="n">
        <v>53.25189352061667</v>
      </c>
      <c r="I938" s="5" t="n">
        <v>44.591512190425</v>
      </c>
      <c r="J938" s="5" t="n">
        <v>42.30279766226389</v>
      </c>
      <c r="K938" s="5" t="n">
        <v>68</v>
      </c>
    </row>
    <row r="939">
      <c r="A939" s="2" t="n">
        <v>46136.5</v>
      </c>
      <c r="B939">
        <f>TEXT(A939,"yyyy-mm")</f>
        <v/>
      </c>
      <c r="C939" s="3">
        <f>HOUR(A939)</f>
        <v/>
      </c>
      <c r="D939" s="4" t="n">
        <v>20.52612468481389</v>
      </c>
      <c r="E939" s="4" t="n">
        <v>23.07954166551111</v>
      </c>
      <c r="F939" s="4" t="n">
        <v>22.49763960968889</v>
      </c>
      <c r="G939" s="4" t="n">
        <v>5.6</v>
      </c>
      <c r="H939" s="5" t="n">
        <v>53.40205208285</v>
      </c>
      <c r="I939" s="5" t="n">
        <v>45.14936838128333</v>
      </c>
      <c r="J939" s="5" t="n">
        <v>42.73118986259723</v>
      </c>
      <c r="K939" s="5" t="n">
        <v>57</v>
      </c>
    </row>
    <row r="940">
      <c r="A940" s="2" t="n">
        <v>46136.54166666666</v>
      </c>
      <c r="B940">
        <f>TEXT(A940,"yyyy-mm")</f>
        <v/>
      </c>
      <c r="C940" s="3">
        <f>HOUR(A940)</f>
        <v/>
      </c>
      <c r="D940" s="4" t="n">
        <v>20.59703711236945</v>
      </c>
      <c r="E940" s="4" t="n">
        <v>23.23098021919166</v>
      </c>
      <c r="F940" s="4" t="n">
        <v>22.51517237925</v>
      </c>
      <c r="G940" s="4" t="n">
        <v>6.3</v>
      </c>
      <c r="H940" s="5" t="n">
        <v>51.16135292913334</v>
      </c>
      <c r="I940" s="5" t="n">
        <v>43.85354932526667</v>
      </c>
      <c r="J940" s="5" t="n">
        <v>42.95068846112778</v>
      </c>
      <c r="K940" s="5" t="n">
        <v>52</v>
      </c>
    </row>
    <row r="941">
      <c r="A941" s="2" t="n">
        <v>46136.58333333334</v>
      </c>
      <c r="B941">
        <f>TEXT(A941,"yyyy-mm")</f>
        <v/>
      </c>
      <c r="C941" s="3">
        <f>HOUR(A941)</f>
        <v/>
      </c>
      <c r="D941" s="4" t="n">
        <v>20.68732208983056</v>
      </c>
      <c r="E941" s="4" t="n">
        <v>23.34263840551389</v>
      </c>
      <c r="F941" s="4" t="n">
        <v>22.52233707003611</v>
      </c>
      <c r="G941" s="4" t="n">
        <v>6.8</v>
      </c>
      <c r="H941" s="5" t="n">
        <v>51.17008013203334</v>
      </c>
      <c r="I941" s="5" t="n">
        <v>43.07350620498334</v>
      </c>
      <c r="J941" s="5" t="n">
        <v>43.31201616194722</v>
      </c>
      <c r="K941" s="5" t="n">
        <v>50</v>
      </c>
    </row>
    <row r="942">
      <c r="A942" s="2" t="n">
        <v>46136.625</v>
      </c>
      <c r="B942">
        <f>TEXT(A942,"yyyy-mm")</f>
        <v/>
      </c>
      <c r="C942" s="3">
        <f>HOUR(A942)</f>
        <v/>
      </c>
      <c r="D942" s="4" t="n">
        <v>20.98690704653889</v>
      </c>
      <c r="E942" s="4" t="n">
        <v>23.93543594328333</v>
      </c>
      <c r="F942" s="4" t="n">
        <v>22.62024384194167</v>
      </c>
      <c r="G942" s="4" t="n">
        <v>6</v>
      </c>
      <c r="H942" s="5" t="n">
        <v>50.71979966684166</v>
      </c>
      <c r="I942" s="5" t="n">
        <v>43.47943533778889</v>
      </c>
      <c r="J942" s="5" t="n">
        <v>46.1503312114</v>
      </c>
      <c r="K942" s="5" t="n">
        <v>51</v>
      </c>
    </row>
    <row r="943">
      <c r="A943" s="2" t="n">
        <v>46136.66666666666</v>
      </c>
      <c r="B943">
        <f>TEXT(A943,"yyyy-mm")</f>
        <v/>
      </c>
      <c r="C943" s="3">
        <f>HOUR(A943)</f>
        <v/>
      </c>
      <c r="D943" s="4" t="n">
        <v>20.98657570267778</v>
      </c>
      <c r="E943" s="4" t="n">
        <v>23.88140543038333</v>
      </c>
      <c r="F943" s="4" t="n">
        <v>22.71659073844722</v>
      </c>
      <c r="G943" s="4" t="n">
        <v>6.6</v>
      </c>
      <c r="H943" s="5" t="n">
        <v>52.58411773411667</v>
      </c>
      <c r="I943" s="5" t="n">
        <v>46.30509791587223</v>
      </c>
      <c r="J943" s="5" t="n">
        <v>46.07977743080556</v>
      </c>
      <c r="K943" s="5" t="n">
        <v>49</v>
      </c>
    </row>
    <row r="944">
      <c r="A944" s="2" t="n">
        <v>46136.70833333334</v>
      </c>
      <c r="B944">
        <f>TEXT(A944,"yyyy-mm")</f>
        <v/>
      </c>
      <c r="C944" s="3">
        <f>HOUR(A944)</f>
        <v/>
      </c>
      <c r="D944" s="4" t="n">
        <v>20.85181246516944</v>
      </c>
      <c r="E944" s="4" t="n">
        <v>23.78144884778611</v>
      </c>
      <c r="F944" s="4" t="n">
        <v>22.74272930060277</v>
      </c>
      <c r="G944" s="4" t="n">
        <v>6.2</v>
      </c>
      <c r="H944" s="5" t="n">
        <v>52.09163190946112</v>
      </c>
      <c r="I944" s="5" t="n">
        <v>44.05879175390556</v>
      </c>
      <c r="J944" s="5" t="n">
        <v>44.78212431420834</v>
      </c>
      <c r="K944" s="5" t="n">
        <v>50</v>
      </c>
    </row>
    <row r="945">
      <c r="A945" s="2" t="n">
        <v>46136.75</v>
      </c>
      <c r="B945">
        <f>TEXT(A945,"yyyy-mm")</f>
        <v/>
      </c>
      <c r="C945" s="3">
        <f>HOUR(A945)</f>
        <v/>
      </c>
      <c r="D945" s="4" t="n">
        <v>20.71333449039167</v>
      </c>
      <c r="E945" s="4" t="n">
        <v>23.34819248820834</v>
      </c>
      <c r="F945" s="4" t="n">
        <v>22.71574617955278</v>
      </c>
      <c r="G945" s="4" t="n">
        <v>5.7</v>
      </c>
      <c r="H945" s="5" t="n">
        <v>51.62983052050277</v>
      </c>
      <c r="I945" s="5" t="n">
        <v>43.62670746296389</v>
      </c>
      <c r="J945" s="5" t="n">
        <v>44.18824072268056</v>
      </c>
      <c r="K945" s="5" t="n">
        <v>54</v>
      </c>
    </row>
    <row r="946">
      <c r="A946" s="2" t="n">
        <v>46136.79166666666</v>
      </c>
      <c r="B946">
        <f>TEXT(A946,"yyyy-mm")</f>
        <v/>
      </c>
      <c r="C946" s="3">
        <f>HOUR(A946)</f>
        <v/>
      </c>
      <c r="D946" s="4" t="n">
        <v>20.64181330300833</v>
      </c>
      <c r="E946" s="4" t="n">
        <v>22.84095519641944</v>
      </c>
      <c r="F946" s="4" t="n">
        <v>22.68445863540833</v>
      </c>
      <c r="G946" s="4" t="n">
        <v>4.9</v>
      </c>
      <c r="H946" s="5" t="n">
        <v>51.53784275814723</v>
      </c>
      <c r="I946" s="5" t="n">
        <v>45.13573405464444</v>
      </c>
      <c r="J946" s="5" t="n">
        <v>43.31671224476389</v>
      </c>
      <c r="K946" s="5" t="n">
        <v>60</v>
      </c>
    </row>
    <row r="947">
      <c r="A947" s="2" t="n">
        <v>46136.83333333334</v>
      </c>
      <c r="B947">
        <f>TEXT(A947,"yyyy-mm")</f>
        <v/>
      </c>
      <c r="C947" s="3">
        <f>HOUR(A947)</f>
        <v/>
      </c>
      <c r="D947" s="4" t="n">
        <v>20.54824740282222</v>
      </c>
      <c r="E947" s="4" t="n">
        <v>22.71280434769167</v>
      </c>
      <c r="F947" s="4" t="n">
        <v>22.67245900364722</v>
      </c>
      <c r="G947" s="4" t="n">
        <v>4.1</v>
      </c>
      <c r="H947" s="5" t="n">
        <v>52.18009481785001</v>
      </c>
      <c r="I947" s="5" t="n">
        <v>44.83416714384166</v>
      </c>
      <c r="J947" s="5" t="n">
        <v>44.79129938306111</v>
      </c>
      <c r="K947" s="5" t="n">
        <v>63</v>
      </c>
    </row>
    <row r="948">
      <c r="A948" s="2" t="n">
        <v>46136.875</v>
      </c>
      <c r="B948">
        <f>TEXT(A948,"yyyy-mm")</f>
        <v/>
      </c>
      <c r="C948" s="3">
        <f>HOUR(A948)</f>
        <v/>
      </c>
      <c r="D948" s="4" t="n">
        <v>20.42585610876666</v>
      </c>
      <c r="E948" s="4" t="n">
        <v>22.45492798025</v>
      </c>
      <c r="F948" s="4" t="n">
        <v>22.60184238671111</v>
      </c>
      <c r="G948" s="4" t="n">
        <v>2.2</v>
      </c>
      <c r="H948" s="5" t="n">
        <v>51.11342246572778</v>
      </c>
      <c r="I948" s="5" t="n">
        <v>44.46074783975556</v>
      </c>
      <c r="J948" s="5" t="n">
        <v>44.49020989526945</v>
      </c>
      <c r="K948" s="5" t="n">
        <v>75</v>
      </c>
    </row>
    <row r="949">
      <c r="A949" s="2" t="n">
        <v>46136.91666666666</v>
      </c>
      <c r="B949">
        <f>TEXT(A949,"yyyy-mm")</f>
        <v/>
      </c>
      <c r="C949" s="3">
        <f>HOUR(A949)</f>
        <v/>
      </c>
      <c r="D949" s="4" t="n">
        <v>20.39627462041389</v>
      </c>
      <c r="E949" s="4" t="n">
        <v>22.64644300868611</v>
      </c>
      <c r="F949" s="4" t="n">
        <v>22.56675807411667</v>
      </c>
      <c r="G949" s="4" t="n">
        <v>2.2</v>
      </c>
      <c r="H949" s="5" t="n">
        <v>52.3636314902889</v>
      </c>
      <c r="I949" s="5" t="n">
        <v>47.12861514418611</v>
      </c>
      <c r="J949" s="5" t="n">
        <v>43.03468916248332</v>
      </c>
      <c r="K949" s="5" t="n">
        <v>76</v>
      </c>
    </row>
    <row r="950">
      <c r="A950" s="2" t="n">
        <v>46136.95833333334</v>
      </c>
      <c r="B950">
        <f>TEXT(A950,"yyyy-mm")</f>
        <v/>
      </c>
      <c r="C950" s="3">
        <f>HOUR(A950)</f>
        <v/>
      </c>
      <c r="D950" s="4" t="n">
        <v>20.41161422686666</v>
      </c>
      <c r="E950" s="4" t="n">
        <v>22.79029831418612</v>
      </c>
      <c r="F950" s="4" t="n">
        <v>22.54126520425278</v>
      </c>
      <c r="G950" s="4" t="n">
        <v>2.1</v>
      </c>
      <c r="H950" s="5" t="n">
        <v>53.48867281143056</v>
      </c>
      <c r="I950" s="5" t="n">
        <v>47.20548090682222</v>
      </c>
      <c r="J950" s="5" t="n">
        <v>42.34239235480555</v>
      </c>
      <c r="K950" s="5" t="n">
        <v>75</v>
      </c>
    </row>
    <row r="951">
      <c r="A951" s="2" t="n">
        <v>46137</v>
      </c>
      <c r="B951">
        <f>TEXT(A951,"yyyy-mm")</f>
        <v/>
      </c>
      <c r="C951" s="3">
        <f>HOUR(A951)</f>
        <v/>
      </c>
      <c r="D951" s="4" t="n">
        <v>20.40718105365833</v>
      </c>
      <c r="E951" s="4" t="n">
        <v>22.81463043393612</v>
      </c>
      <c r="F951" s="4" t="n">
        <v>22.52816015169445</v>
      </c>
      <c r="G951" s="4" t="n">
        <v>1.5</v>
      </c>
      <c r="H951" s="5" t="n">
        <v>52.26540380951945</v>
      </c>
      <c r="I951" s="5" t="n">
        <v>45.78670628448055</v>
      </c>
      <c r="J951" s="5" t="n">
        <v>41.94647946354723</v>
      </c>
      <c r="K951" s="5" t="n">
        <v>77</v>
      </c>
    </row>
    <row r="952">
      <c r="A952" s="2" t="n">
        <v>46137.04166666666</v>
      </c>
      <c r="B952">
        <f>TEXT(A952,"yyyy-mm")</f>
        <v/>
      </c>
      <c r="C952" s="3">
        <f>HOUR(A952)</f>
        <v/>
      </c>
      <c r="D952" s="4" t="n">
        <v>20.30435018489167</v>
      </c>
      <c r="E952" s="4" t="n">
        <v>22.81928219568889</v>
      </c>
      <c r="F952" s="4" t="n">
        <v>22.50540236928612</v>
      </c>
      <c r="G952" s="4" t="n">
        <v>0.9</v>
      </c>
      <c r="H952" s="5" t="n">
        <v>51.13303588660833</v>
      </c>
      <c r="I952" s="5" t="n">
        <v>46.24732960408056</v>
      </c>
      <c r="J952" s="5" t="n">
        <v>41.98798994851666</v>
      </c>
      <c r="K952" s="5" t="n">
        <v>77</v>
      </c>
    </row>
    <row r="953">
      <c r="A953" s="2" t="n">
        <v>46137.08333333334</v>
      </c>
      <c r="B953">
        <f>TEXT(A953,"yyyy-mm")</f>
        <v/>
      </c>
      <c r="C953" s="3">
        <f>HOUR(A953)</f>
        <v/>
      </c>
      <c r="D953" s="4" t="n">
        <v>19.95849503467777</v>
      </c>
      <c r="E953" s="4" t="n">
        <v>22.61299442530555</v>
      </c>
      <c r="F953" s="4" t="n">
        <v>22.54326503223056</v>
      </c>
      <c r="G953" s="4" t="n">
        <v>0.6</v>
      </c>
      <c r="H953" s="5" t="n">
        <v>51.41883969959167</v>
      </c>
      <c r="I953" s="5" t="n">
        <v>43.84446887638889</v>
      </c>
      <c r="J953" s="5" t="n">
        <v>43.40143523693055</v>
      </c>
      <c r="K953" s="5" t="n">
        <v>75</v>
      </c>
    </row>
    <row r="954">
      <c r="A954" s="2" t="n">
        <v>46137.125</v>
      </c>
      <c r="B954">
        <f>TEXT(A954,"yyyy-mm")</f>
        <v/>
      </c>
      <c r="C954" s="3">
        <f>HOUR(A954)</f>
        <v/>
      </c>
      <c r="D954" s="4" t="n">
        <v>19.635486140975</v>
      </c>
      <c r="E954" s="4" t="n">
        <v>22.29758291088889</v>
      </c>
      <c r="F954" s="4" t="n">
        <v>22.58920145839445</v>
      </c>
      <c r="G954" s="4" t="n">
        <v>-0.3</v>
      </c>
      <c r="H954" s="5" t="n">
        <v>50.41655370590833</v>
      </c>
      <c r="I954" s="5" t="n">
        <v>42.90499847264723</v>
      </c>
      <c r="J954" s="5" t="n">
        <v>42.22931387320556</v>
      </c>
      <c r="K954" s="5" t="n">
        <v>72</v>
      </c>
    </row>
    <row r="955">
      <c r="A955" s="2" t="n">
        <v>46137.16666666666</v>
      </c>
      <c r="B955">
        <f>TEXT(A955,"yyyy-mm")</f>
        <v/>
      </c>
      <c r="C955" s="3">
        <f>HOUR(A955)</f>
        <v/>
      </c>
      <c r="D955" s="4" t="n">
        <v>19.43986500459444</v>
      </c>
      <c r="E955" s="4" t="n">
        <v>22.12818976891666</v>
      </c>
      <c r="F955" s="4" t="n">
        <v>22.58668721851112</v>
      </c>
      <c r="G955" s="4" t="n">
        <v>-0.7</v>
      </c>
      <c r="H955" s="5" t="n">
        <v>49.84442588267501</v>
      </c>
      <c r="I955" s="5" t="n">
        <v>42.08737390353611</v>
      </c>
      <c r="J955" s="5" t="n">
        <v>41.85322428342778</v>
      </c>
      <c r="K955" s="5" t="n">
        <v>72</v>
      </c>
    </row>
    <row r="956">
      <c r="A956" s="2" t="n">
        <v>46137.20833333334</v>
      </c>
      <c r="B956">
        <f>TEXT(A956,"yyyy-mm")</f>
        <v/>
      </c>
      <c r="C956" s="3">
        <f>HOUR(A956)</f>
        <v/>
      </c>
      <c r="D956" s="4" t="n">
        <v>19.41794203366389</v>
      </c>
      <c r="E956" s="4" t="n">
        <v>21.93493294156667</v>
      </c>
      <c r="F956" s="4" t="n">
        <v>22.54147175605</v>
      </c>
      <c r="G956" s="4" t="n">
        <v>-0.9</v>
      </c>
      <c r="H956" s="5" t="n">
        <v>49.37716428630555</v>
      </c>
      <c r="I956" s="5" t="n">
        <v>41.45813057704722</v>
      </c>
      <c r="J956" s="5" t="n">
        <v>41.5033633695</v>
      </c>
      <c r="K956" s="5" t="n">
        <v>72</v>
      </c>
    </row>
    <row r="957">
      <c r="A957" s="2" t="n">
        <v>46137.25</v>
      </c>
      <c r="B957">
        <f>TEXT(A957,"yyyy-mm")</f>
        <v/>
      </c>
      <c r="C957" s="3">
        <f>HOUR(A957)</f>
        <v/>
      </c>
      <c r="D957" s="4" t="n">
        <v>20.09753097978889</v>
      </c>
      <c r="E957" s="4" t="n">
        <v>22.041752990475</v>
      </c>
      <c r="F957" s="4" t="n">
        <v>22.49855482234722</v>
      </c>
      <c r="G957" s="4" t="n">
        <v>-0.7</v>
      </c>
      <c r="H957" s="5" t="n">
        <v>46.53811891437778</v>
      </c>
      <c r="I957" s="5" t="n">
        <v>41.66136397062222</v>
      </c>
      <c r="J957" s="5" t="n">
        <v>41.21966360948056</v>
      </c>
      <c r="K957" s="5" t="n">
        <v>73</v>
      </c>
    </row>
    <row r="958">
      <c r="A958" s="2" t="n">
        <v>46137.29166666666</v>
      </c>
      <c r="B958">
        <f>TEXT(A958,"yyyy-mm")</f>
        <v/>
      </c>
      <c r="C958" s="3">
        <f>HOUR(A958)</f>
        <v/>
      </c>
      <c r="D958" s="4" t="n">
        <v>20.79672095346111</v>
      </c>
      <c r="E958" s="4" t="n">
        <v>22.28364730131944</v>
      </c>
      <c r="F958" s="4" t="n">
        <v>22.47616755266944</v>
      </c>
      <c r="G958" s="4" t="n">
        <v>0.8</v>
      </c>
      <c r="H958" s="5" t="n">
        <v>44.54308763846111</v>
      </c>
      <c r="I958" s="5" t="n">
        <v>41.51340151264722</v>
      </c>
      <c r="J958" s="5" t="n">
        <v>41.00437892981667</v>
      </c>
      <c r="K958" s="5" t="n">
        <v>73</v>
      </c>
    </row>
    <row r="959">
      <c r="A959" s="2" t="n">
        <v>46137.33333333334</v>
      </c>
      <c r="B959">
        <f>TEXT(A959,"yyyy-mm")</f>
        <v/>
      </c>
      <c r="C959" s="3">
        <f>HOUR(A959)</f>
        <v/>
      </c>
      <c r="D959" s="4" t="n">
        <v>21.32585835778056</v>
      </c>
      <c r="E959" s="4" t="n">
        <v>22.68244092480833</v>
      </c>
      <c r="F959" s="4" t="n">
        <v>22.46317218352777</v>
      </c>
      <c r="G959" s="4" t="n">
        <v>3</v>
      </c>
      <c r="H959" s="5" t="n">
        <v>44.81005727997222</v>
      </c>
      <c r="I959" s="5" t="n">
        <v>41.896810903175</v>
      </c>
      <c r="J959" s="5" t="n">
        <v>40.90701430822778</v>
      </c>
      <c r="K959" s="5" t="n">
        <v>68</v>
      </c>
    </row>
    <row r="960">
      <c r="A960" s="2" t="n">
        <v>46137.375</v>
      </c>
      <c r="B960">
        <f>TEXT(A960,"yyyy-mm")</f>
        <v/>
      </c>
      <c r="C960" s="3">
        <f>HOUR(A960)</f>
        <v/>
      </c>
      <c r="D960" s="4" t="n">
        <v>21.73906666658611</v>
      </c>
      <c r="E960" s="4" t="n">
        <v>22.95244278523333</v>
      </c>
      <c r="F960" s="4" t="n">
        <v>22.46390177668333</v>
      </c>
      <c r="G960" s="4" t="n">
        <v>5.4</v>
      </c>
      <c r="H960" s="5" t="n">
        <v>45.55651691588888</v>
      </c>
      <c r="I960" s="5" t="n">
        <v>42.56688065656389</v>
      </c>
      <c r="J960" s="5" t="n">
        <v>40.99402124525555</v>
      </c>
      <c r="K960" s="5" t="n">
        <v>59</v>
      </c>
    </row>
    <row r="961">
      <c r="A961" s="2" t="n">
        <v>46137.41666666666</v>
      </c>
      <c r="B961">
        <f>TEXT(A961,"yyyy-mm")</f>
        <v/>
      </c>
      <c r="C961" s="3">
        <f>HOUR(A961)</f>
        <v/>
      </c>
      <c r="D961" s="4" t="n">
        <v>21.94842962822777</v>
      </c>
      <c r="E961" s="4" t="n">
        <v>23.27445517239167</v>
      </c>
      <c r="F961" s="4" t="n">
        <v>22.52548109044722</v>
      </c>
      <c r="G961" s="4" t="n">
        <v>7.5</v>
      </c>
      <c r="H961" s="5" t="n">
        <v>45.86770495091111</v>
      </c>
      <c r="I961" s="5" t="n">
        <v>42.91747305136666</v>
      </c>
      <c r="J961" s="5" t="n">
        <v>42.95211205725278</v>
      </c>
      <c r="K961" s="5" t="n">
        <v>50</v>
      </c>
    </row>
    <row r="962">
      <c r="A962" s="2" t="n">
        <v>46137.45833333334</v>
      </c>
      <c r="B962">
        <f>TEXT(A962,"yyyy-mm")</f>
        <v/>
      </c>
      <c r="C962" s="3">
        <f>HOUR(A962)</f>
        <v/>
      </c>
      <c r="D962" s="4" t="n">
        <v>22.29230141699166</v>
      </c>
      <c r="E962" s="4" t="n">
        <v>23.76969015898056</v>
      </c>
      <c r="F962" s="4" t="n">
        <v>22.69288020905556</v>
      </c>
      <c r="G962" s="4" t="n">
        <v>9.1</v>
      </c>
      <c r="H962" s="5" t="n">
        <v>47.00479740008888</v>
      </c>
      <c r="I962" s="5" t="n">
        <v>43.74507827576111</v>
      </c>
      <c r="J962" s="5" t="n">
        <v>46.34341356819166</v>
      </c>
      <c r="K962" s="5" t="n">
        <v>44</v>
      </c>
    </row>
    <row r="963">
      <c r="A963" s="2" t="n">
        <v>46137.5</v>
      </c>
      <c r="B963">
        <f>TEXT(A963,"yyyy-mm")</f>
        <v/>
      </c>
      <c r="C963" s="3">
        <f>HOUR(A963)</f>
        <v/>
      </c>
      <c r="D963" s="4" t="n">
        <v>22.02115149923334</v>
      </c>
      <c r="E963" s="4" t="n">
        <v>23.61357235448889</v>
      </c>
      <c r="F963" s="4" t="n">
        <v>22.83155603711666</v>
      </c>
      <c r="G963" s="4" t="n">
        <v>10.7</v>
      </c>
      <c r="H963" s="5" t="n">
        <v>46.73636426557223</v>
      </c>
      <c r="I963" s="5" t="n">
        <v>43.28458198865555</v>
      </c>
      <c r="J963" s="5" t="n">
        <v>45.79861041401667</v>
      </c>
      <c r="K963" s="5" t="n">
        <v>39</v>
      </c>
    </row>
    <row r="964">
      <c r="A964" s="2" t="n">
        <v>46137.54166666666</v>
      </c>
      <c r="B964">
        <f>TEXT(A964,"yyyy-mm")</f>
        <v/>
      </c>
      <c r="C964" s="3">
        <f>HOUR(A964)</f>
        <v/>
      </c>
      <c r="D964" s="4" t="n">
        <v>21.62339347291111</v>
      </c>
      <c r="E964" s="4" t="n">
        <v>23.414868913375</v>
      </c>
      <c r="F964" s="4" t="n">
        <v>22.77918475148056</v>
      </c>
      <c r="G964" s="4" t="n">
        <v>11.3</v>
      </c>
      <c r="H964" s="5" t="n">
        <v>46.81791085348056</v>
      </c>
      <c r="I964" s="5" t="n">
        <v>42.29305514893056</v>
      </c>
      <c r="J964" s="5" t="n">
        <v>43.44919693431388</v>
      </c>
      <c r="K964" s="5" t="n">
        <v>38</v>
      </c>
    </row>
    <row r="965">
      <c r="A965" s="2" t="n">
        <v>46137.58333333334</v>
      </c>
      <c r="B965">
        <f>TEXT(A965,"yyyy-mm")</f>
        <v/>
      </c>
      <c r="C965" s="3">
        <f>HOUR(A965)</f>
        <v/>
      </c>
      <c r="D965" s="4" t="n">
        <v>21.24608611997777</v>
      </c>
      <c r="E965" s="4" t="n">
        <v>23.23748510603889</v>
      </c>
      <c r="F965" s="4" t="n">
        <v>22.72945474595833</v>
      </c>
      <c r="G965" s="4" t="n">
        <v>11.8</v>
      </c>
      <c r="H965" s="5" t="n">
        <v>43.88877381011944</v>
      </c>
      <c r="I965" s="5" t="n">
        <v>41.57925945270556</v>
      </c>
      <c r="J965" s="5" t="n">
        <v>42.99486324022222</v>
      </c>
      <c r="K965" s="5" t="n">
        <v>38</v>
      </c>
    </row>
    <row r="966">
      <c r="A966" s="2" t="n">
        <v>46137.625</v>
      </c>
      <c r="B966">
        <f>TEXT(A966,"yyyy-mm")</f>
        <v/>
      </c>
      <c r="C966" s="3">
        <f>HOUR(A966)</f>
        <v/>
      </c>
      <c r="D966" s="4" t="n">
        <v>20.5228762358</v>
      </c>
      <c r="E966" s="4" t="n">
        <v>22.97947435356944</v>
      </c>
      <c r="F966" s="4" t="n">
        <v>22.66520532269723</v>
      </c>
      <c r="G966" s="4" t="n">
        <v>12.6</v>
      </c>
      <c r="H966" s="5" t="n">
        <v>35.42080266879722</v>
      </c>
      <c r="I966" s="5" t="n">
        <v>39.05141897246944</v>
      </c>
      <c r="J966" s="5" t="n">
        <v>42.75055925965555</v>
      </c>
      <c r="K966" s="5" t="n">
        <v>36</v>
      </c>
    </row>
    <row r="967">
      <c r="A967" s="2" t="n">
        <v>46137.66666666666</v>
      </c>
      <c r="B967">
        <f>TEXT(A967,"yyyy-mm")</f>
        <v/>
      </c>
      <c r="C967" s="3">
        <f>HOUR(A967)</f>
        <v/>
      </c>
      <c r="D967" s="4" t="n">
        <v>20.43218869536944</v>
      </c>
      <c r="E967" s="4" t="n">
        <v>22.74834726588056</v>
      </c>
      <c r="F967" s="4" t="n">
        <v>22.61748827700277</v>
      </c>
      <c r="G967" s="4" t="n">
        <v>12.2</v>
      </c>
      <c r="H967" s="5" t="n">
        <v>35.23220991675834</v>
      </c>
      <c r="I967" s="5" t="n">
        <v>36.84224962111112</v>
      </c>
      <c r="J967" s="5" t="n">
        <v>42.56766850575833</v>
      </c>
      <c r="K967" s="5" t="n">
        <v>44</v>
      </c>
    </row>
    <row r="968">
      <c r="A968" s="2" t="n">
        <v>46137.70833333334</v>
      </c>
      <c r="B968">
        <f>TEXT(A968,"yyyy-mm")</f>
        <v/>
      </c>
      <c r="C968" s="3">
        <f>HOUR(A968)</f>
        <v/>
      </c>
      <c r="D968" s="4" t="n">
        <v>20.81547271888056</v>
      </c>
      <c r="E968" s="4" t="n">
        <v>22.53016926920833</v>
      </c>
      <c r="F968" s="4" t="n">
        <v>22.57226512566945</v>
      </c>
      <c r="G968" s="4" t="n">
        <v>11</v>
      </c>
      <c r="H968" s="5" t="n">
        <v>39.95559786086667</v>
      </c>
      <c r="I968" s="5" t="n">
        <v>37.29465371035833</v>
      </c>
      <c r="J968" s="5" t="n">
        <v>42.5303471312</v>
      </c>
      <c r="K968" s="5" t="n">
        <v>52</v>
      </c>
    </row>
    <row r="969">
      <c r="A969" s="2" t="n">
        <v>46137.75</v>
      </c>
      <c r="B969">
        <f>TEXT(A969,"yyyy-mm")</f>
        <v/>
      </c>
      <c r="C969" s="3">
        <f>HOUR(A969)</f>
        <v/>
      </c>
      <c r="D969" s="4" t="n">
        <v>20.75449386578333</v>
      </c>
      <c r="E969" s="4" t="n">
        <v>22.389795962825</v>
      </c>
      <c r="F969" s="4" t="n">
        <v>22.54553167483889</v>
      </c>
      <c r="G969" s="4" t="n">
        <v>10.7</v>
      </c>
      <c r="H969" s="5" t="n">
        <v>41.79317478309722</v>
      </c>
      <c r="I969" s="5" t="n">
        <v>38.57414040773055</v>
      </c>
      <c r="J969" s="5" t="n">
        <v>42.45262658431389</v>
      </c>
      <c r="K969" s="5" t="n">
        <v>57</v>
      </c>
    </row>
    <row r="970">
      <c r="A970" s="2" t="n">
        <v>46137.79166666666</v>
      </c>
      <c r="B970">
        <f>TEXT(A970,"yyyy-mm")</f>
        <v/>
      </c>
      <c r="C970" s="3">
        <f>HOUR(A970)</f>
        <v/>
      </c>
      <c r="D970" s="4" t="n">
        <v>20.785885846225</v>
      </c>
      <c r="E970" s="4" t="n">
        <v>22.34637968391945</v>
      </c>
      <c r="F970" s="4" t="n">
        <v>22.5464752815</v>
      </c>
      <c r="G970" s="4" t="n">
        <v>9.6</v>
      </c>
      <c r="H970" s="5" t="n">
        <v>42.95226897251111</v>
      </c>
      <c r="I970" s="5" t="n">
        <v>39.95346920926666</v>
      </c>
      <c r="J970" s="5" t="n">
        <v>42.49875155941111</v>
      </c>
      <c r="K970" s="5" t="n">
        <v>66</v>
      </c>
    </row>
    <row r="971">
      <c r="A971" s="2" t="n">
        <v>46137.83333333334</v>
      </c>
      <c r="B971">
        <f>TEXT(A971,"yyyy-mm")</f>
        <v/>
      </c>
      <c r="C971" s="3">
        <f>HOUR(A971)</f>
        <v/>
      </c>
      <c r="D971" s="4" t="n">
        <v>20.96093132305833</v>
      </c>
      <c r="E971" s="4" t="n">
        <v>22.42267304776111</v>
      </c>
      <c r="F971" s="4" t="n">
        <v>22.605762511075</v>
      </c>
      <c r="G971" s="4" t="n">
        <v>9.300000000000001</v>
      </c>
      <c r="H971" s="5" t="n">
        <v>44.73971289425555</v>
      </c>
      <c r="I971" s="5" t="n">
        <v>41.38748792557778</v>
      </c>
      <c r="J971" s="5" t="n">
        <v>42.81451448105</v>
      </c>
      <c r="K971" s="5" t="n">
        <v>67</v>
      </c>
    </row>
    <row r="972">
      <c r="A972" s="2" t="n">
        <v>46137.875</v>
      </c>
      <c r="B972">
        <f>TEXT(A972,"yyyy-mm")</f>
        <v/>
      </c>
      <c r="C972" s="3">
        <f>HOUR(A972)</f>
        <v/>
      </c>
      <c r="D972" s="4" t="n">
        <v>20.99729155496389</v>
      </c>
      <c r="E972" s="4" t="n">
        <v>22.65278420558611</v>
      </c>
      <c r="F972" s="4" t="n">
        <v>22.67050565055</v>
      </c>
      <c r="G972" s="4" t="n">
        <v>9.9</v>
      </c>
      <c r="H972" s="5" t="n">
        <v>45.90402925816945</v>
      </c>
      <c r="I972" s="5" t="n">
        <v>42.00883698965277</v>
      </c>
      <c r="J972" s="5" t="n">
        <v>42.45633452573056</v>
      </c>
      <c r="K972" s="5" t="n">
        <v>61</v>
      </c>
    </row>
    <row r="973">
      <c r="A973" s="2" t="n">
        <v>46137.91666666666</v>
      </c>
      <c r="B973">
        <f>TEXT(A973,"yyyy-mm")</f>
        <v/>
      </c>
      <c r="C973" s="3">
        <f>HOUR(A973)</f>
        <v/>
      </c>
      <c r="D973" s="4" t="n">
        <v>21.08395450845</v>
      </c>
      <c r="E973" s="4" t="n">
        <v>22.76245128745833</v>
      </c>
      <c r="F973" s="4" t="n">
        <v>22.75428887953889</v>
      </c>
      <c r="G973" s="4" t="n">
        <v>9.5</v>
      </c>
      <c r="H973" s="5" t="n">
        <v>47.35331844463334</v>
      </c>
      <c r="I973" s="5" t="n">
        <v>44.04939107038056</v>
      </c>
      <c r="J973" s="5" t="n">
        <v>42.7748019784</v>
      </c>
      <c r="K973" s="5" t="n">
        <v>61</v>
      </c>
    </row>
    <row r="974">
      <c r="A974" s="2" t="n">
        <v>46137.95833333334</v>
      </c>
      <c r="B974">
        <f>TEXT(A974,"yyyy-mm")</f>
        <v/>
      </c>
      <c r="C974" s="3">
        <f>HOUR(A974)</f>
        <v/>
      </c>
      <c r="D974" s="4" t="n">
        <v>21.29238421188611</v>
      </c>
      <c r="E974" s="4" t="n">
        <v>22.87250257335556</v>
      </c>
      <c r="F974" s="4" t="n">
        <v>22.73414531962777</v>
      </c>
      <c r="G974" s="4" t="n">
        <v>9.6</v>
      </c>
      <c r="H974" s="5" t="n">
        <v>43.51284365353889</v>
      </c>
      <c r="I974" s="5" t="n">
        <v>41.41025239537778</v>
      </c>
      <c r="J974" s="5" t="n">
        <v>41.80982635325</v>
      </c>
      <c r="K974" s="5" t="n">
        <v>61</v>
      </c>
    </row>
    <row r="975">
      <c r="A975" s="2" t="n">
        <v>46138</v>
      </c>
      <c r="B975">
        <f>TEXT(A975,"yyyy-mm")</f>
        <v/>
      </c>
      <c r="C975" s="3">
        <f>HOUR(A975)</f>
        <v/>
      </c>
      <c r="D975" s="4" t="n">
        <v>21.37093873070833</v>
      </c>
      <c r="E975" s="4" t="n">
        <v>22.94540365033889</v>
      </c>
      <c r="F975" s="4" t="n">
        <v>22.79622484748056</v>
      </c>
      <c r="G975" s="4" t="n">
        <v>9.6</v>
      </c>
      <c r="H975" s="5" t="n">
        <v>42.76881520488055</v>
      </c>
      <c r="I975" s="5" t="n">
        <v>39.74885149456944</v>
      </c>
      <c r="J975" s="5" t="n">
        <v>44.240950063975</v>
      </c>
      <c r="K975" s="5" t="n">
        <v>60</v>
      </c>
    </row>
    <row r="976">
      <c r="A976" s="2" t="n">
        <v>46138.04166666666</v>
      </c>
      <c r="B976">
        <f>TEXT(A976,"yyyy-mm")</f>
        <v/>
      </c>
      <c r="C976" s="3">
        <f>HOUR(A976)</f>
        <v/>
      </c>
      <c r="D976" s="4" t="n">
        <v>21.48267745150278</v>
      </c>
      <c r="E976" s="4" t="n">
        <v>22.99781412600834</v>
      </c>
      <c r="F976" s="4" t="n">
        <v>22.79694340156666</v>
      </c>
      <c r="G976" s="4" t="n">
        <v>9.9</v>
      </c>
      <c r="H976" s="5" t="n">
        <v>43.31127331365556</v>
      </c>
      <c r="I976" s="5" t="n">
        <v>40.44431303103333</v>
      </c>
      <c r="J976" s="5" t="n">
        <v>43.00273201563056</v>
      </c>
      <c r="K976" s="5" t="n">
        <v>57</v>
      </c>
    </row>
    <row r="977">
      <c r="A977" s="2" t="n">
        <v>46138.08333333334</v>
      </c>
      <c r="B977">
        <f>TEXT(A977,"yyyy-mm")</f>
        <v/>
      </c>
      <c r="C977" s="3">
        <f>HOUR(A977)</f>
        <v/>
      </c>
      <c r="D977" s="4" t="n">
        <v>21.4088886809</v>
      </c>
      <c r="E977" s="4" t="n">
        <v>23.14282517064167</v>
      </c>
      <c r="F977" s="4" t="n">
        <v>22.89855839794722</v>
      </c>
      <c r="G977" s="4" t="n">
        <v>9.9</v>
      </c>
      <c r="H977" s="5" t="n">
        <v>44.31528797303611</v>
      </c>
      <c r="I977" s="5" t="n">
        <v>40.87769545569167</v>
      </c>
      <c r="J977" s="5" t="n">
        <v>44.05701306836666</v>
      </c>
      <c r="K977" s="5" t="n">
        <v>56</v>
      </c>
    </row>
    <row r="978">
      <c r="A978" s="2" t="n">
        <v>46138.125</v>
      </c>
      <c r="B978">
        <f>TEXT(A978,"yyyy-mm")</f>
        <v/>
      </c>
      <c r="C978" s="3">
        <f>HOUR(A978)</f>
        <v/>
      </c>
      <c r="D978" s="4" t="n">
        <v>20.99514163186944</v>
      </c>
      <c r="E978" s="4" t="n">
        <v>22.987820933675</v>
      </c>
      <c r="F978" s="4" t="n">
        <v>22.94526214482778</v>
      </c>
      <c r="G978" s="4" t="n">
        <v>9.4</v>
      </c>
      <c r="H978" s="5" t="n">
        <v>45.5720308355</v>
      </c>
      <c r="I978" s="5" t="n">
        <v>40.98969181093056</v>
      </c>
      <c r="J978" s="5" t="n">
        <v>43.96228365614167</v>
      </c>
      <c r="K978" s="5" t="n">
        <v>61</v>
      </c>
    </row>
    <row r="979">
      <c r="A979" s="2" t="n">
        <v>46138.16666666666</v>
      </c>
      <c r="B979">
        <f>TEXT(A979,"yyyy-mm")</f>
        <v/>
      </c>
      <c r="C979" s="3">
        <f>HOUR(A979)</f>
        <v/>
      </c>
      <c r="D979" s="4" t="n">
        <v>20.56816862382222</v>
      </c>
      <c r="E979" s="4" t="n">
        <v>22.70355874321945</v>
      </c>
      <c r="F979" s="4" t="n">
        <v>22.89869406100833</v>
      </c>
      <c r="G979" s="4" t="n">
        <v>9.1</v>
      </c>
      <c r="H979" s="5" t="n">
        <v>46.65104557497222</v>
      </c>
      <c r="I979" s="5" t="n">
        <v>41.02353500136945</v>
      </c>
      <c r="J979" s="5" t="n">
        <v>42.67463674981945</v>
      </c>
      <c r="K979" s="5" t="n">
        <v>62</v>
      </c>
    </row>
    <row r="980">
      <c r="A980" s="2" t="n">
        <v>46138.20833333334</v>
      </c>
      <c r="B980">
        <f>TEXT(A980,"yyyy-mm")</f>
        <v/>
      </c>
      <c r="C980" s="3">
        <f>HOUR(A980)</f>
        <v/>
      </c>
      <c r="D980" s="4" t="n">
        <v>20.32329152780833</v>
      </c>
      <c r="E980" s="4" t="n">
        <v>22.44175589051111</v>
      </c>
      <c r="F980" s="4" t="n">
        <v>22.82433374385555</v>
      </c>
      <c r="G980" s="4" t="n">
        <v>9.199999999999999</v>
      </c>
      <c r="H980" s="5" t="n">
        <v>46.88272882980001</v>
      </c>
      <c r="I980" s="5" t="n">
        <v>40.97205247445556</v>
      </c>
      <c r="J980" s="5" t="n">
        <v>42.05771917786944</v>
      </c>
      <c r="K980" s="5" t="n">
        <v>62</v>
      </c>
    </row>
    <row r="981">
      <c r="A981" s="2" t="n">
        <v>46138.25</v>
      </c>
      <c r="B981">
        <f>TEXT(A981,"yyyy-mm")</f>
        <v/>
      </c>
      <c r="C981" s="3">
        <f>HOUR(A981)</f>
        <v/>
      </c>
      <c r="D981" s="4" t="n">
        <v>20.37328162045</v>
      </c>
      <c r="E981" s="4" t="n">
        <v>22.30357043956112</v>
      </c>
      <c r="F981" s="4" t="n">
        <v>22.74793690993611</v>
      </c>
      <c r="G981" s="4" t="n">
        <v>8.699999999999999</v>
      </c>
      <c r="H981" s="5" t="n">
        <v>46.68664215224722</v>
      </c>
      <c r="I981" s="5" t="n">
        <v>40.99670372105555</v>
      </c>
      <c r="J981" s="5" t="n">
        <v>41.68685231633889</v>
      </c>
      <c r="K981" s="5" t="n">
        <v>65</v>
      </c>
    </row>
    <row r="982">
      <c r="A982" s="2" t="n">
        <v>46138.29166666666</v>
      </c>
      <c r="B982">
        <f>TEXT(A982,"yyyy-mm")</f>
        <v/>
      </c>
      <c r="C982" s="3">
        <f>HOUR(A982)</f>
        <v/>
      </c>
      <c r="D982" s="4" t="n">
        <v>20.661186759325</v>
      </c>
      <c r="E982" s="4" t="n">
        <v>22.42743507124445</v>
      </c>
      <c r="F982" s="4" t="n">
        <v>22.68318207564722</v>
      </c>
      <c r="G982" s="4" t="n">
        <v>9.6</v>
      </c>
      <c r="H982" s="5" t="n">
        <v>45.50544302178889</v>
      </c>
      <c r="I982" s="5" t="n">
        <v>40.87347161820556</v>
      </c>
      <c r="J982" s="5" t="n">
        <v>41.44599757586389</v>
      </c>
      <c r="K982" s="5" t="n">
        <v>65</v>
      </c>
    </row>
    <row r="983">
      <c r="A983" s="2" t="n">
        <v>46138.33333333334</v>
      </c>
      <c r="B983">
        <f>TEXT(A983,"yyyy-mm")</f>
        <v/>
      </c>
      <c r="C983" s="3">
        <f>HOUR(A983)</f>
        <v/>
      </c>
      <c r="D983" s="4" t="n">
        <v>21.31440070025278</v>
      </c>
      <c r="E983" s="4" t="n">
        <v>22.62912492249444</v>
      </c>
      <c r="F983" s="4" t="n">
        <v>22.64738240523611</v>
      </c>
      <c r="G983" s="4" t="n">
        <v>11</v>
      </c>
      <c r="H983" s="5" t="n">
        <v>43.28604008741389</v>
      </c>
      <c r="I983" s="5" t="n">
        <v>40.80189563398889</v>
      </c>
      <c r="J983" s="5" t="n">
        <v>41.27005580230556</v>
      </c>
      <c r="K983" s="5" t="n">
        <v>65</v>
      </c>
    </row>
    <row r="984">
      <c r="A984" s="2" t="n">
        <v>46138.375</v>
      </c>
      <c r="B984">
        <f>TEXT(A984,"yyyy-mm")</f>
        <v/>
      </c>
      <c r="C984" s="3">
        <f>HOUR(A984)</f>
        <v/>
      </c>
      <c r="D984" s="4" t="n">
        <v>21.81681618846944</v>
      </c>
      <c r="E984" s="4" t="n">
        <v>22.92306304798611</v>
      </c>
      <c r="F984" s="4" t="n">
        <v>22.63542665211111</v>
      </c>
      <c r="G984" s="4" t="n">
        <v>13</v>
      </c>
      <c r="H984" s="5" t="n">
        <v>42.33629968205556</v>
      </c>
      <c r="I984" s="5" t="n">
        <v>41.41587667764167</v>
      </c>
      <c r="J984" s="5" t="n">
        <v>41.12058210822222</v>
      </c>
      <c r="K984" s="5" t="n">
        <v>60</v>
      </c>
    </row>
    <row r="985">
      <c r="A985" s="2" t="n">
        <v>46138.41666666666</v>
      </c>
      <c r="B985">
        <f>TEXT(A985,"yyyy-mm")</f>
        <v/>
      </c>
      <c r="C985" s="3">
        <f>HOUR(A985)</f>
        <v/>
      </c>
      <c r="D985" s="4" t="n">
        <v>22.00041962930834</v>
      </c>
      <c r="E985" s="4" t="n">
        <v>23.26049618496111</v>
      </c>
      <c r="F985" s="4" t="n">
        <v>22.62902557205</v>
      </c>
      <c r="G985" s="4" t="n">
        <v>14.8</v>
      </c>
      <c r="H985" s="5" t="n">
        <v>43.08258058900555</v>
      </c>
      <c r="I985" s="5" t="n">
        <v>41.96681523135833</v>
      </c>
      <c r="J985" s="5" t="n">
        <v>41.07369594373333</v>
      </c>
      <c r="K985" s="5" t="n">
        <v>55</v>
      </c>
    </row>
    <row r="986">
      <c r="A986" s="2" t="n">
        <v>46138.45833333334</v>
      </c>
      <c r="B986">
        <f>TEXT(A986,"yyyy-mm")</f>
        <v/>
      </c>
      <c r="C986" s="3">
        <f>HOUR(A986)</f>
        <v/>
      </c>
      <c r="D986" s="4" t="n">
        <v>21.86094290094722</v>
      </c>
      <c r="E986" s="4" t="n">
        <v>23.36112514126112</v>
      </c>
      <c r="F986" s="4" t="n">
        <v>22.62335338389722</v>
      </c>
      <c r="G986" s="4" t="n">
        <v>15.5</v>
      </c>
      <c r="H986" s="5" t="n">
        <v>44.90586538193611</v>
      </c>
      <c r="I986" s="5" t="n">
        <v>42.32998488656944</v>
      </c>
      <c r="J986" s="5" t="n">
        <v>41.0093320152</v>
      </c>
      <c r="K986" s="5" t="n">
        <v>54</v>
      </c>
    </row>
    <row r="987">
      <c r="A987" s="2" t="n">
        <v>46138.5</v>
      </c>
      <c r="B987">
        <f>TEXT(A987,"yyyy-mm")</f>
        <v/>
      </c>
      <c r="C987" s="3">
        <f>HOUR(A987)</f>
        <v/>
      </c>
      <c r="D987" s="4" t="n">
        <v>21.69593484618889</v>
      </c>
      <c r="E987" s="4" t="n">
        <v>23.29943613638889</v>
      </c>
      <c r="F987" s="4" t="n">
        <v>22.61309374725833</v>
      </c>
      <c r="G987" s="4" t="n">
        <v>16.9</v>
      </c>
      <c r="H987" s="5" t="n">
        <v>45.26215521709722</v>
      </c>
      <c r="I987" s="5" t="n">
        <v>42.33316145914722</v>
      </c>
      <c r="J987" s="5" t="n">
        <v>40.97217342906666</v>
      </c>
      <c r="K987" s="5" t="n">
        <v>50</v>
      </c>
    </row>
    <row r="988">
      <c r="A988" s="2" t="n">
        <v>46138.54166666666</v>
      </c>
      <c r="B988">
        <f>TEXT(A988,"yyyy-mm")</f>
        <v/>
      </c>
      <c r="C988" s="3">
        <f>HOUR(A988)</f>
        <v/>
      </c>
      <c r="D988" s="4" t="n">
        <v>21.65985180300833</v>
      </c>
      <c r="E988" s="4" t="n">
        <v>23.38735221135556</v>
      </c>
      <c r="F988" s="4" t="n">
        <v>22.62827809415278</v>
      </c>
      <c r="G988" s="4" t="n">
        <v>18.1</v>
      </c>
      <c r="H988" s="5" t="n">
        <v>46.65315884851111</v>
      </c>
      <c r="I988" s="5" t="n">
        <v>44.33416064461667</v>
      </c>
      <c r="J988" s="5" t="n">
        <v>41.79710765204722</v>
      </c>
      <c r="K988" s="5" t="n">
        <v>47</v>
      </c>
    </row>
    <row r="989">
      <c r="A989" s="2" t="n">
        <v>46138.58333333334</v>
      </c>
      <c r="B989">
        <f>TEXT(A989,"yyyy-mm")</f>
        <v/>
      </c>
      <c r="C989" s="3">
        <f>HOUR(A989)</f>
        <v/>
      </c>
      <c r="D989" s="4" t="n">
        <v>21.78823796347222</v>
      </c>
      <c r="E989" s="4" t="n">
        <v>23.48006235425555</v>
      </c>
      <c r="F989" s="4" t="n">
        <v>22.846836735225</v>
      </c>
      <c r="G989" s="4" t="n">
        <v>17.5</v>
      </c>
      <c r="H989" s="5" t="n">
        <v>46.93156430798334</v>
      </c>
      <c r="I989" s="5" t="n">
        <v>43.544502072875</v>
      </c>
      <c r="J989" s="5" t="n">
        <v>44.81087051914167</v>
      </c>
      <c r="K989" s="5" t="n">
        <v>44</v>
      </c>
    </row>
    <row r="990">
      <c r="A990" s="2" t="n">
        <v>46138.625</v>
      </c>
      <c r="B990">
        <f>TEXT(A990,"yyyy-mm")</f>
        <v/>
      </c>
      <c r="C990" s="3">
        <f>HOUR(A990)</f>
        <v/>
      </c>
      <c r="D990" s="4" t="n">
        <v>21.92960302682222</v>
      </c>
      <c r="E990" s="4" t="n">
        <v>23.63378766928889</v>
      </c>
      <c r="F990" s="4" t="n">
        <v>22.91918291834445</v>
      </c>
      <c r="G990" s="4" t="n">
        <v>17.7</v>
      </c>
      <c r="H990" s="5" t="n">
        <v>46.1298643815</v>
      </c>
      <c r="I990" s="5" t="n">
        <v>42.46930845913611</v>
      </c>
      <c r="J990" s="5" t="n">
        <v>45.01109936441389</v>
      </c>
      <c r="K990" s="5" t="n">
        <v>46</v>
      </c>
    </row>
    <row r="991">
      <c r="A991" s="2" t="n">
        <v>46138.66666666666</v>
      </c>
      <c r="B991">
        <f>TEXT(A991,"yyyy-mm")</f>
        <v/>
      </c>
      <c r="C991" s="3">
        <f>HOUR(A991)</f>
        <v/>
      </c>
      <c r="D991" s="4" t="n">
        <v>21.73755084449167</v>
      </c>
      <c r="E991" s="4" t="n">
        <v>23.36970025818106</v>
      </c>
      <c r="F991" s="4" t="n">
        <v>22.7782887888551</v>
      </c>
      <c r="G991" s="4" t="n">
        <v>14</v>
      </c>
      <c r="H991" s="5" t="n">
        <v>46.11461708179846</v>
      </c>
      <c r="I991" s="5" t="n">
        <v>42.63318749726704</v>
      </c>
      <c r="J991" s="5" t="n">
        <v>48.8388377021401</v>
      </c>
      <c r="K991" s="5" t="n">
        <v>69</v>
      </c>
    </row>
    <row r="992">
      <c r="A992" s="2" t="n">
        <v>46138.70833333334</v>
      </c>
      <c r="B992">
        <f>TEXT(A992,"yyyy-mm")</f>
        <v/>
      </c>
      <c r="C992" s="3">
        <f>HOUR(A992)</f>
        <v/>
      </c>
      <c r="D992" s="4" t="n">
        <v>21.90839042959444</v>
      </c>
      <c r="E992" s="4" t="n">
        <v>23.38089986611667</v>
      </c>
      <c r="F992" s="4" t="n">
        <v>22.886523019625</v>
      </c>
      <c r="G992" s="4" t="n">
        <v>8.9</v>
      </c>
      <c r="H992" s="5" t="n">
        <v>45.90020427060278</v>
      </c>
      <c r="I992" s="5" t="n">
        <v>42.57714354655</v>
      </c>
      <c r="J992" s="5" t="n">
        <v>46.48085346283889</v>
      </c>
      <c r="K992" s="5" t="n">
        <v>92</v>
      </c>
    </row>
    <row r="993">
      <c r="A993" s="2" t="n">
        <v>46138.75</v>
      </c>
      <c r="B993">
        <f>TEXT(A993,"yyyy-mm")</f>
        <v/>
      </c>
      <c r="C993" s="3">
        <f>HOUR(A993)</f>
        <v/>
      </c>
      <c r="D993" s="4" t="n">
        <v>21.66715506565278</v>
      </c>
      <c r="E993" s="4" t="n">
        <v>23.2691960342</v>
      </c>
      <c r="F993" s="4" t="n">
        <v>22.87442620629444</v>
      </c>
      <c r="G993" s="4" t="n">
        <v>6.4</v>
      </c>
      <c r="H993" s="5" t="n">
        <v>47.96322345506667</v>
      </c>
      <c r="I993" s="5" t="n">
        <v>43.52637808796667</v>
      </c>
      <c r="J993" s="5" t="n">
        <v>44.88196199908612</v>
      </c>
      <c r="K993" s="5" t="n">
        <v>93</v>
      </c>
    </row>
    <row r="994">
      <c r="A994" s="2" t="n">
        <v>46138.79166666666</v>
      </c>
      <c r="B994">
        <f>TEXT(A994,"yyyy-mm")</f>
        <v/>
      </c>
      <c r="C994" s="3">
        <f>HOUR(A994)</f>
        <v/>
      </c>
      <c r="D994" s="4" t="n">
        <v>21.22211213995</v>
      </c>
      <c r="E994" s="4" t="n">
        <v>23.239935860625</v>
      </c>
      <c r="F994" s="4" t="n">
        <v>22.83242209962778</v>
      </c>
      <c r="G994" s="4" t="n">
        <v>5.6</v>
      </c>
      <c r="H994" s="5" t="n">
        <v>50.01728320444722</v>
      </c>
      <c r="I994" s="5" t="n">
        <v>46.90758324324167</v>
      </c>
      <c r="J994" s="5" t="n">
        <v>44.68069457281389</v>
      </c>
      <c r="K994" s="5" t="n">
        <v>91</v>
      </c>
    </row>
    <row r="995">
      <c r="A995" s="2" t="n">
        <v>46138.83333333334</v>
      </c>
      <c r="B995">
        <f>TEXT(A995,"yyyy-mm")</f>
        <v/>
      </c>
      <c r="C995" s="3">
        <f>HOUR(A995)</f>
        <v/>
      </c>
      <c r="D995" s="4" t="n">
        <v>21.22284955340277</v>
      </c>
      <c r="E995" s="4" t="n">
        <v>23.56668160052778</v>
      </c>
      <c r="F995" s="4" t="n">
        <v>22.79257941014722</v>
      </c>
      <c r="G995" s="4" t="n">
        <v>5.3</v>
      </c>
      <c r="H995" s="5" t="n">
        <v>54.81085318028611</v>
      </c>
      <c r="I995" s="5" t="n">
        <v>49.7391629764889</v>
      </c>
      <c r="J995" s="5" t="n">
        <v>44.43186680805834</v>
      </c>
      <c r="K995" s="5" t="n">
        <v>90</v>
      </c>
    </row>
    <row r="996">
      <c r="A996" s="2" t="n">
        <v>46138.875</v>
      </c>
      <c r="B996">
        <f>TEXT(A996,"yyyy-mm")</f>
        <v/>
      </c>
      <c r="C996" s="3">
        <f>HOUR(A996)</f>
        <v/>
      </c>
      <c r="D996" s="4" t="n">
        <v>21.49040097349166</v>
      </c>
      <c r="E996" s="4" t="n">
        <v>23.79430127820833</v>
      </c>
      <c r="F996" s="4" t="n">
        <v>22.78561836465833</v>
      </c>
      <c r="G996" s="4" t="n">
        <v>4.2</v>
      </c>
      <c r="H996" s="5" t="n">
        <v>59.80584071118333</v>
      </c>
      <c r="I996" s="5" t="n">
        <v>52.20431088544166</v>
      </c>
      <c r="J996" s="5" t="n">
        <v>44.85321653706666</v>
      </c>
      <c r="K996" s="5" t="n">
        <v>88</v>
      </c>
    </row>
    <row r="997">
      <c r="A997" s="2" t="n">
        <v>46138.91666666666</v>
      </c>
      <c r="B997">
        <f>TEXT(A997,"yyyy-mm")</f>
        <v/>
      </c>
      <c r="C997" s="3">
        <f>HOUR(A997)</f>
        <v/>
      </c>
      <c r="D997" s="4" t="n">
        <v>21.49274579504167</v>
      </c>
      <c r="E997" s="4" t="n">
        <v>23.62190326958333</v>
      </c>
      <c r="F997" s="4" t="n">
        <v>22.88880930727223</v>
      </c>
      <c r="G997" s="4" t="n">
        <v>3.2</v>
      </c>
      <c r="H997" s="5" t="n">
        <v>60.03619459673889</v>
      </c>
      <c r="I997" s="5" t="n">
        <v>52.15626945010833</v>
      </c>
      <c r="J997" s="5" t="n">
        <v>49.10738571465555</v>
      </c>
      <c r="K997" s="5" t="n">
        <v>85</v>
      </c>
    </row>
    <row r="998">
      <c r="A998" s="2" t="n">
        <v>46138.95833333334</v>
      </c>
      <c r="B998">
        <f>TEXT(A998,"yyyy-mm")</f>
        <v/>
      </c>
      <c r="C998" s="3">
        <f>HOUR(A998)</f>
        <v/>
      </c>
      <c r="D998" s="4" t="n">
        <v>21.46632331644722</v>
      </c>
      <c r="E998" s="4" t="n">
        <v>23.469683264775</v>
      </c>
      <c r="F998" s="4" t="n">
        <v>22.91873425761111</v>
      </c>
      <c r="G998" s="4" t="n">
        <v>2.6</v>
      </c>
      <c r="H998" s="5" t="n">
        <v>60.19928604870555</v>
      </c>
      <c r="I998" s="5" t="n">
        <v>52.34559069997221</v>
      </c>
      <c r="J998" s="5" t="n">
        <v>46.74445908371388</v>
      </c>
      <c r="K998" s="5" t="n">
        <v>85</v>
      </c>
    </row>
    <row r="999">
      <c r="A999" s="2" t="n">
        <v>46139</v>
      </c>
      <c r="B999">
        <f>TEXT(A999,"yyyy-mm")</f>
        <v/>
      </c>
      <c r="C999" s="3">
        <f>HOUR(A999)</f>
        <v/>
      </c>
      <c r="D999" s="4" t="n">
        <v>21.35052584259445</v>
      </c>
      <c r="E999" s="4" t="n">
        <v>23.38611905565834</v>
      </c>
      <c r="F999" s="4" t="n">
        <v>22.94028564883333</v>
      </c>
      <c r="G999" s="4" t="n">
        <v>2.4</v>
      </c>
      <c r="H999" s="5" t="n">
        <v>59.97213926930001</v>
      </c>
      <c r="I999" s="5" t="n">
        <v>52.14523021458889</v>
      </c>
      <c r="J999" s="5" t="n">
        <v>46.92778201030001</v>
      </c>
      <c r="K999" s="5" t="n">
        <v>83</v>
      </c>
    </row>
    <row r="1000">
      <c r="A1000" s="2" t="n">
        <v>46139.04166666666</v>
      </c>
      <c r="B1000">
        <f>TEXT(A1000,"yyyy-mm")</f>
        <v/>
      </c>
      <c r="C1000" s="3">
        <f>HOUR(A1000)</f>
        <v/>
      </c>
      <c r="D1000" s="4" t="n">
        <v>20.88984186341667</v>
      </c>
      <c r="E1000" s="4" t="n">
        <v>23.10535270553611</v>
      </c>
      <c r="F1000" s="4" t="n">
        <v>22.87882124790556</v>
      </c>
      <c r="G1000" s="4" t="n">
        <v>2.5</v>
      </c>
      <c r="H1000" s="5" t="n">
        <v>60.28823125243611</v>
      </c>
      <c r="I1000" s="5" t="n">
        <v>52.20685646653612</v>
      </c>
      <c r="J1000" s="5" t="n">
        <v>46.48009889518889</v>
      </c>
      <c r="K1000" s="5" t="n">
        <v>81</v>
      </c>
    </row>
    <row r="1001">
      <c r="A1001" s="2" t="n">
        <v>46139.08333333334</v>
      </c>
      <c r="B1001">
        <f>TEXT(A1001,"yyyy-mm")</f>
        <v/>
      </c>
      <c r="C1001" s="3">
        <f>HOUR(A1001)</f>
        <v/>
      </c>
      <c r="D1001" s="4" t="n">
        <v>20.55119305718333</v>
      </c>
      <c r="E1001" s="4" t="n">
        <v>22.82682783311667</v>
      </c>
      <c r="F1001" s="4" t="n">
        <v>22.78644465243333</v>
      </c>
      <c r="G1001" s="4" t="n">
        <v>2.2</v>
      </c>
      <c r="H1001" s="5" t="n">
        <v>60.49513564394445</v>
      </c>
      <c r="I1001" s="5" t="n">
        <v>51.71202636432222</v>
      </c>
      <c r="J1001" s="5" t="n">
        <v>45.38573488241111</v>
      </c>
      <c r="K1001" s="5" t="n">
        <v>75</v>
      </c>
    </row>
    <row r="1002">
      <c r="A1002" s="2" t="n">
        <v>46139.125</v>
      </c>
      <c r="B1002">
        <f>TEXT(A1002,"yyyy-mm")</f>
        <v/>
      </c>
      <c r="C1002" s="3">
        <f>HOUR(A1002)</f>
        <v/>
      </c>
      <c r="D1002" s="4" t="n">
        <v>20.30808422453056</v>
      </c>
      <c r="E1002" s="4" t="n">
        <v>22.65270642494166</v>
      </c>
      <c r="F1002" s="4" t="n">
        <v>22.71463023549722</v>
      </c>
      <c r="G1002" s="4" t="n">
        <v>2</v>
      </c>
      <c r="H1002" s="5" t="n">
        <v>60.36831535013889</v>
      </c>
      <c r="I1002" s="5" t="n">
        <v>51.16266439413611</v>
      </c>
      <c r="J1002" s="5" t="n">
        <v>44.53756007701389</v>
      </c>
      <c r="K1002" s="5" t="n">
        <v>67</v>
      </c>
    </row>
    <row r="1003">
      <c r="A1003" s="2" t="n">
        <v>46139.16666666666</v>
      </c>
      <c r="B1003">
        <f>TEXT(A1003,"yyyy-mm")</f>
        <v/>
      </c>
      <c r="C1003" s="3">
        <f>HOUR(A1003)</f>
        <v/>
      </c>
      <c r="D1003" s="4" t="n">
        <v>20.134826771775</v>
      </c>
      <c r="E1003" s="4" t="n">
        <v>22.44721198490556</v>
      </c>
      <c r="F1003" s="4" t="n">
        <v>22.65499604555556</v>
      </c>
      <c r="G1003" s="4" t="n">
        <v>1.7</v>
      </c>
      <c r="H1003" s="5" t="n">
        <v>60.17081029535277</v>
      </c>
      <c r="I1003" s="5" t="n">
        <v>51.01447915466667</v>
      </c>
      <c r="J1003" s="5" t="n">
        <v>44.09941202039722</v>
      </c>
      <c r="K1003" s="5" t="n">
        <v>64</v>
      </c>
    </row>
    <row r="1004">
      <c r="A1004" s="2" t="n">
        <v>46139.20833333334</v>
      </c>
      <c r="B1004">
        <f>TEXT(A1004,"yyyy-mm")</f>
        <v/>
      </c>
      <c r="C1004" s="3">
        <f>HOUR(A1004)</f>
        <v/>
      </c>
      <c r="D1004" s="4" t="n">
        <v>20.08396416532222</v>
      </c>
      <c r="E1004" s="4" t="n">
        <v>22.310647610975</v>
      </c>
      <c r="F1004" s="4" t="n">
        <v>22.62375401644445</v>
      </c>
      <c r="G1004" s="4" t="n">
        <v>1.3</v>
      </c>
      <c r="H1004" s="5" t="n">
        <v>59.49799294570001</v>
      </c>
      <c r="I1004" s="5" t="n">
        <v>50.65713937914722</v>
      </c>
      <c r="J1004" s="5" t="n">
        <v>43.69800227946944</v>
      </c>
      <c r="K1004" s="5" t="n">
        <v>66</v>
      </c>
    </row>
    <row r="1005">
      <c r="A1005" s="2" t="n">
        <v>46139.25</v>
      </c>
      <c r="B1005">
        <f>TEXT(A1005,"yyyy-mm")</f>
        <v/>
      </c>
      <c r="C1005" s="3">
        <f>HOUR(A1005)</f>
        <v/>
      </c>
      <c r="D1005" s="4" t="n">
        <v>20.73179047058889</v>
      </c>
      <c r="E1005" s="4" t="n">
        <v>22.45702104431945</v>
      </c>
      <c r="F1005" s="4" t="n">
        <v>22.58150301119167</v>
      </c>
      <c r="G1005" s="4" t="n">
        <v>1.2</v>
      </c>
      <c r="H1005" s="5" t="n">
        <v>56.5802548627</v>
      </c>
      <c r="I1005" s="5" t="n">
        <v>50.339231909575</v>
      </c>
      <c r="J1005" s="5" t="n">
        <v>43.257868633875</v>
      </c>
      <c r="K1005" s="5" t="n">
        <v>68</v>
      </c>
    </row>
    <row r="1006">
      <c r="A1006" s="2" t="n">
        <v>46139.29166666666</v>
      </c>
      <c r="B1006">
        <f>TEXT(A1006,"yyyy-mm")</f>
        <v/>
      </c>
      <c r="C1006" s="3">
        <f>HOUR(A1006)</f>
        <v/>
      </c>
      <c r="D1006" s="4" t="n">
        <v>21.30979118108611</v>
      </c>
      <c r="E1006" s="4" t="n">
        <v>22.66497037428611</v>
      </c>
      <c r="F1006" s="4" t="n">
        <v>22.57266704166111</v>
      </c>
      <c r="G1006" s="4" t="n">
        <v>1.9</v>
      </c>
      <c r="H1006" s="5" t="n">
        <v>54.79013732145555</v>
      </c>
      <c r="I1006" s="5" t="n">
        <v>51.88261478477222</v>
      </c>
      <c r="J1006" s="5" t="n">
        <v>43.11799577211944</v>
      </c>
      <c r="K1006" s="5" t="n">
        <v>67</v>
      </c>
    </row>
    <row r="1007">
      <c r="A1007" s="2" t="n">
        <v>46139.33333333334</v>
      </c>
      <c r="B1007">
        <f>TEXT(A1007,"yyyy-mm")</f>
        <v/>
      </c>
      <c r="C1007" s="3">
        <f>HOUR(A1007)</f>
        <v/>
      </c>
      <c r="D1007" s="4" t="n">
        <v>21.65606555386667</v>
      </c>
      <c r="E1007" s="4" t="n">
        <v>22.87007824579445</v>
      </c>
      <c r="F1007" s="4" t="n">
        <v>22.57363891108611</v>
      </c>
      <c r="G1007" s="4" t="n">
        <v>3.1</v>
      </c>
      <c r="H1007" s="5" t="n">
        <v>53.13754325064722</v>
      </c>
      <c r="I1007" s="5" t="n">
        <v>51.85951296774167</v>
      </c>
      <c r="J1007" s="5" t="n">
        <v>43.20461705379167</v>
      </c>
      <c r="K1007" s="5" t="n">
        <v>61</v>
      </c>
    </row>
    <row r="1008">
      <c r="A1008" s="2" t="n">
        <v>46139.375</v>
      </c>
      <c r="B1008">
        <f>TEXT(A1008,"yyyy-mm")</f>
        <v/>
      </c>
      <c r="C1008" s="3">
        <f>HOUR(A1008)</f>
        <v/>
      </c>
      <c r="D1008" s="4" t="n">
        <v>21.66013517166111</v>
      </c>
      <c r="E1008" s="4" t="n">
        <v>23.08226216378333</v>
      </c>
      <c r="F1008" s="4" t="n">
        <v>22.58222257353055</v>
      </c>
      <c r="G1008" s="4" t="n">
        <v>3.8</v>
      </c>
      <c r="H1008" s="5" t="n">
        <v>53.44603736890278</v>
      </c>
      <c r="I1008" s="5" t="n">
        <v>50.96782227294167</v>
      </c>
      <c r="J1008" s="5" t="n">
        <v>43.20762726587501</v>
      </c>
      <c r="K1008" s="5" t="n">
        <v>56</v>
      </c>
    </row>
    <row r="1009">
      <c r="A1009" s="2" t="n">
        <v>46139.41666666666</v>
      </c>
      <c r="B1009">
        <f>TEXT(A1009,"yyyy-mm")</f>
        <v/>
      </c>
      <c r="C1009" s="3">
        <f>HOUR(A1009)</f>
        <v/>
      </c>
      <c r="D1009" s="4" t="n">
        <v>21.53388057020834</v>
      </c>
      <c r="E1009" s="4" t="n">
        <v>23.04777956640278</v>
      </c>
      <c r="F1009" s="4" t="n">
        <v>22.582277619275</v>
      </c>
      <c r="G1009" s="4" t="n">
        <v>4.8</v>
      </c>
      <c r="H1009" s="5" t="n">
        <v>53.04915477388334</v>
      </c>
      <c r="I1009" s="5" t="n">
        <v>49.87228916992223</v>
      </c>
      <c r="J1009" s="5" t="n">
        <v>43.30493341585278</v>
      </c>
      <c r="K1009" s="5" t="n">
        <v>52</v>
      </c>
    </row>
    <row r="1010">
      <c r="A1010" s="2" t="n">
        <v>46139.45833333334</v>
      </c>
      <c r="B1010">
        <f>TEXT(A1010,"yyyy-mm")</f>
        <v/>
      </c>
      <c r="C1010" s="3">
        <f>HOUR(A1010)</f>
        <v/>
      </c>
      <c r="D1010" s="4" t="n">
        <v>21.51658408351389</v>
      </c>
      <c r="E1010" s="4" t="n">
        <v>23.09574564883611</v>
      </c>
      <c r="F1010" s="4" t="n">
        <v>22.58408351163889</v>
      </c>
      <c r="G1010" s="4" t="n">
        <v>5.2</v>
      </c>
      <c r="H1010" s="5" t="n">
        <v>54.69653403679722</v>
      </c>
      <c r="I1010" s="5" t="n">
        <v>51.67173079124444</v>
      </c>
      <c r="J1010" s="5" t="n">
        <v>43.57036930692222</v>
      </c>
      <c r="K1010" s="5" t="n">
        <v>48</v>
      </c>
    </row>
    <row r="1011">
      <c r="A1011" s="2" t="n">
        <v>46139.5</v>
      </c>
      <c r="B1011">
        <f>TEXT(A1011,"yyyy-mm")</f>
        <v/>
      </c>
      <c r="C1011" s="3">
        <f>HOUR(A1011)</f>
        <v/>
      </c>
      <c r="D1011" s="4" t="n">
        <v>21.511185165175</v>
      </c>
      <c r="E1011" s="4" t="n">
        <v>23.28455620338889</v>
      </c>
      <c r="F1011" s="4" t="n">
        <v>22.57946456016944</v>
      </c>
      <c r="G1011" s="4" t="n">
        <v>5.2</v>
      </c>
      <c r="H1011" s="5" t="n">
        <v>55.77799300800277</v>
      </c>
      <c r="I1011" s="5" t="n">
        <v>51.99789752995556</v>
      </c>
      <c r="J1011" s="5" t="n">
        <v>43.45106071879445</v>
      </c>
      <c r="K1011" s="5" t="n">
        <v>45</v>
      </c>
    </row>
    <row r="1012">
      <c r="A1012" s="2" t="n">
        <v>46139.54166666666</v>
      </c>
      <c r="B1012">
        <f>TEXT(A1012,"yyyy-mm")</f>
        <v/>
      </c>
      <c r="C1012" s="3">
        <f>HOUR(A1012)</f>
        <v/>
      </c>
      <c r="D1012" s="4" t="n">
        <v>21.49740590163056</v>
      </c>
      <c r="E1012" s="4" t="n">
        <v>23.31434004805556</v>
      </c>
      <c r="F1012" s="4" t="n">
        <v>22.57308352311389</v>
      </c>
      <c r="G1012" s="4" t="n">
        <v>5.9</v>
      </c>
      <c r="H1012" s="5" t="n">
        <v>54.66910535029999</v>
      </c>
      <c r="I1012" s="5" t="n">
        <v>50.323937196175</v>
      </c>
      <c r="J1012" s="5" t="n">
        <v>43.38044810870833</v>
      </c>
      <c r="K1012" s="5" t="n">
        <v>42</v>
      </c>
    </row>
    <row r="1013">
      <c r="A1013" s="2" t="n">
        <v>46139.58333333334</v>
      </c>
      <c r="B1013">
        <f>TEXT(A1013,"yyyy-mm")</f>
        <v/>
      </c>
      <c r="C1013" s="3">
        <f>HOUR(A1013)</f>
        <v/>
      </c>
      <c r="D1013" s="4" t="n">
        <v>21.48710195916111</v>
      </c>
      <c r="E1013" s="4" t="n">
        <v>23.47921476715556</v>
      </c>
      <c r="F1013" s="4" t="n">
        <v>22.56953605758333</v>
      </c>
      <c r="G1013" s="4" t="n">
        <v>7</v>
      </c>
      <c r="H1013" s="5" t="n">
        <v>54.53956674876667</v>
      </c>
      <c r="I1013" s="5" t="n">
        <v>48.76241616949445</v>
      </c>
      <c r="J1013" s="5" t="n">
        <v>43.23185393071944</v>
      </c>
      <c r="K1013" s="5" t="n">
        <v>36</v>
      </c>
    </row>
    <row r="1014">
      <c r="A1014" s="2" t="n">
        <v>46139.625</v>
      </c>
      <c r="B1014">
        <f>TEXT(A1014,"yyyy-mm")</f>
        <v/>
      </c>
      <c r="C1014" s="3">
        <f>HOUR(A1014)</f>
        <v/>
      </c>
      <c r="D1014" s="4" t="n">
        <v>21.46280324128056</v>
      </c>
      <c r="E1014" s="4" t="n">
        <v>23.40955357494722</v>
      </c>
      <c r="F1014" s="4" t="n">
        <v>22.57116679762778</v>
      </c>
      <c r="G1014" s="4" t="n">
        <v>7.4</v>
      </c>
      <c r="H1014" s="5" t="n">
        <v>52.3519037863</v>
      </c>
      <c r="I1014" s="5" t="n">
        <v>47.65355205561666</v>
      </c>
      <c r="J1014" s="5" t="n">
        <v>43.50962497562778</v>
      </c>
      <c r="K1014" s="5" t="n">
        <v>34</v>
      </c>
    </row>
    <row r="1015">
      <c r="A1015" s="2" t="n">
        <v>46139.66666666666</v>
      </c>
      <c r="B1015">
        <f>TEXT(A1015,"yyyy-mm")</f>
        <v/>
      </c>
      <c r="C1015" s="3">
        <f>HOUR(A1015)</f>
        <v/>
      </c>
      <c r="D1015" s="4" t="n">
        <v>21.32197112691667</v>
      </c>
      <c r="E1015" s="4" t="n">
        <v>23.28620096485</v>
      </c>
      <c r="F1015" s="4" t="n">
        <v>22.56712187153056</v>
      </c>
      <c r="G1015" s="4" t="n">
        <v>7.8</v>
      </c>
      <c r="H1015" s="5" t="n">
        <v>52.05465731347223</v>
      </c>
      <c r="I1015" s="5" t="n">
        <v>46.10477961590833</v>
      </c>
      <c r="J1015" s="5" t="n">
        <v>43.46787467380833</v>
      </c>
      <c r="K1015" s="5" t="n">
        <v>32</v>
      </c>
    </row>
    <row r="1016">
      <c r="A1016" s="2" t="n">
        <v>46139.70833333334</v>
      </c>
      <c r="B1016">
        <f>TEXT(A1016,"yyyy-mm")</f>
        <v/>
      </c>
      <c r="C1016" s="3">
        <f>HOUR(A1016)</f>
        <v/>
      </c>
      <c r="D1016" s="4" t="n">
        <v>21.29500608855833</v>
      </c>
      <c r="E1016" s="4" t="n">
        <v>23.35376372540277</v>
      </c>
      <c r="F1016" s="4" t="n">
        <v>22.55674946968333</v>
      </c>
      <c r="G1016" s="4" t="n">
        <v>7.9</v>
      </c>
      <c r="H1016" s="5" t="n">
        <v>52.44583502245001</v>
      </c>
      <c r="I1016" s="5" t="n">
        <v>46.01064470571111</v>
      </c>
      <c r="J1016" s="5" t="n">
        <v>43.37023555867778</v>
      </c>
      <c r="K1016" s="5" t="n">
        <v>33</v>
      </c>
    </row>
    <row r="1017">
      <c r="A1017" s="2" t="n">
        <v>46139.75</v>
      </c>
      <c r="B1017">
        <f>TEXT(A1017,"yyyy-mm")</f>
        <v/>
      </c>
      <c r="C1017" s="3">
        <f>HOUR(A1017)</f>
        <v/>
      </c>
      <c r="D1017" s="4" t="n">
        <v>21.30712286625556</v>
      </c>
      <c r="E1017" s="4" t="n">
        <v>23.37938885035</v>
      </c>
      <c r="F1017" s="4" t="n">
        <v>22.54639134280833</v>
      </c>
      <c r="G1017" s="4" t="n">
        <v>7.8</v>
      </c>
      <c r="H1017" s="5" t="n">
        <v>52.712827832775</v>
      </c>
      <c r="I1017" s="5" t="n">
        <v>46.06154098914167</v>
      </c>
      <c r="J1017" s="5" t="n">
        <v>43.04549877647222</v>
      </c>
      <c r="K1017" s="5" t="n">
        <v>36</v>
      </c>
    </row>
    <row r="1018">
      <c r="A1018" s="2" t="n">
        <v>46139.79166666666</v>
      </c>
      <c r="B1018">
        <f>TEXT(A1018,"yyyy-mm")</f>
        <v/>
      </c>
      <c r="C1018" s="3">
        <f>HOUR(A1018)</f>
        <v/>
      </c>
      <c r="D1018" s="4" t="n">
        <v>21.12895871140833</v>
      </c>
      <c r="E1018" s="4" t="n">
        <v>23.10987228336666</v>
      </c>
      <c r="F1018" s="4" t="n">
        <v>22.52804684363889</v>
      </c>
      <c r="G1018" s="4" t="n">
        <v>6.7</v>
      </c>
      <c r="H1018" s="5" t="n">
        <v>53.06732540864723</v>
      </c>
      <c r="I1018" s="5" t="n">
        <v>47.90888443318334</v>
      </c>
      <c r="J1018" s="5" t="n">
        <v>42.59053091377501</v>
      </c>
      <c r="K1018" s="5" t="n">
        <v>44</v>
      </c>
    </row>
    <row r="1019">
      <c r="A1019" s="2" t="n">
        <v>46139.83333333334</v>
      </c>
      <c r="B1019">
        <f>TEXT(A1019,"yyyy-mm")</f>
        <v/>
      </c>
      <c r="C1019" s="3">
        <f>HOUR(A1019)</f>
        <v/>
      </c>
      <c r="D1019" s="4" t="n">
        <v>20.80430488641111</v>
      </c>
      <c r="E1019" s="4" t="n">
        <v>22.82654512439722</v>
      </c>
      <c r="F1019" s="4" t="n">
        <v>22.51237207591112</v>
      </c>
      <c r="G1019" s="4" t="n">
        <v>5.9</v>
      </c>
      <c r="H1019" s="5" t="n">
        <v>54.77053111134168</v>
      </c>
      <c r="I1019" s="5" t="n">
        <v>49.47209562864445</v>
      </c>
      <c r="J1019" s="5" t="n">
        <v>42.37606793631667</v>
      </c>
      <c r="K1019" s="5" t="n">
        <v>45</v>
      </c>
    </row>
    <row r="1020">
      <c r="A1020" s="2" t="n">
        <v>46139.875</v>
      </c>
      <c r="B1020">
        <f>TEXT(A1020,"yyyy-mm")</f>
        <v/>
      </c>
      <c r="C1020" s="3">
        <f>HOUR(A1020)</f>
        <v/>
      </c>
      <c r="D1020" s="4" t="n">
        <v>21.12191412718333</v>
      </c>
      <c r="E1020" s="4" t="n">
        <v>23.04571602918888</v>
      </c>
      <c r="F1020" s="4" t="n">
        <v>22.50862022629167</v>
      </c>
      <c r="G1020" s="4" t="n">
        <v>4.9</v>
      </c>
      <c r="H1020" s="5" t="n">
        <v>52.65428238863333</v>
      </c>
      <c r="I1020" s="5" t="n">
        <v>47.43602291986389</v>
      </c>
      <c r="J1020" s="5" t="n">
        <v>42.346789699825</v>
      </c>
      <c r="K1020" s="5" t="n">
        <v>54</v>
      </c>
    </row>
    <row r="1021">
      <c r="A1021" s="2" t="n">
        <v>46139.91666666666</v>
      </c>
      <c r="B1021">
        <f>TEXT(A1021,"yyyy-mm")</f>
        <v/>
      </c>
      <c r="C1021" s="3">
        <f>HOUR(A1021)</f>
        <v/>
      </c>
      <c r="D1021" s="4" t="n">
        <v>21.26703224855</v>
      </c>
      <c r="E1021" s="4" t="n">
        <v>23.44949780444444</v>
      </c>
      <c r="F1021" s="4" t="n">
        <v>22.51045361769444</v>
      </c>
      <c r="G1021" s="4" t="n">
        <v>4.2</v>
      </c>
      <c r="H1021" s="5" t="n">
        <v>52.27230077929722</v>
      </c>
      <c r="I1021" s="5" t="n">
        <v>48.07873326944167</v>
      </c>
      <c r="J1021" s="5" t="n">
        <v>42.01607520118889</v>
      </c>
      <c r="K1021" s="5" t="n">
        <v>59</v>
      </c>
    </row>
    <row r="1022">
      <c r="A1022" s="2" t="n">
        <v>46139.95833333334</v>
      </c>
      <c r="B1022">
        <f>TEXT(A1022,"yyyy-mm")</f>
        <v/>
      </c>
      <c r="C1022" s="3">
        <f>HOUR(A1022)</f>
        <v/>
      </c>
      <c r="D1022" s="4" t="n">
        <v>21.24077143584445</v>
      </c>
      <c r="E1022" s="4" t="n">
        <v>23.46970746838889</v>
      </c>
      <c r="F1022" s="4" t="n">
        <v>22.51964836939445</v>
      </c>
      <c r="G1022" s="4" t="n">
        <v>3.5</v>
      </c>
      <c r="H1022" s="5" t="n">
        <v>55.12791520340278</v>
      </c>
      <c r="I1022" s="5" t="n">
        <v>50.06484999930556</v>
      </c>
      <c r="J1022" s="5" t="n">
        <v>41.79545946188056</v>
      </c>
      <c r="K1022" s="5" t="n">
        <v>62</v>
      </c>
    </row>
    <row r="1023">
      <c r="A1023" s="2" t="n">
        <v>46140</v>
      </c>
      <c r="B1023">
        <f>TEXT(A1023,"yyyy-mm")</f>
        <v/>
      </c>
      <c r="C1023" s="3">
        <f>HOUR(A1023)</f>
        <v/>
      </c>
      <c r="D1023" s="4" t="n">
        <v>21.34275747773333</v>
      </c>
      <c r="E1023" s="4" t="n">
        <v>23.49417100738889</v>
      </c>
      <c r="F1023" s="4" t="n">
        <v>22.57831014420833</v>
      </c>
      <c r="G1023" s="4" t="n">
        <v>3.3</v>
      </c>
      <c r="H1023" s="5" t="n">
        <v>52.89298286025834</v>
      </c>
      <c r="I1023" s="5" t="n">
        <v>48.50694498301112</v>
      </c>
      <c r="J1023" s="5" t="n">
        <v>41.73762747072778</v>
      </c>
      <c r="K1023" s="5" t="n">
        <v>66</v>
      </c>
    </row>
    <row r="1024">
      <c r="A1024" s="2" t="n">
        <v>46140.04166666666</v>
      </c>
      <c r="B1024">
        <f>TEXT(A1024,"yyyy-mm")</f>
        <v/>
      </c>
      <c r="C1024" s="3">
        <f>HOUR(A1024)</f>
        <v/>
      </c>
      <c r="D1024" s="4" t="n">
        <v>21.20507170225833</v>
      </c>
      <c r="E1024" s="4" t="n">
        <v>23.08643713814444</v>
      </c>
      <c r="F1024" s="4" t="n">
        <v>22.72382516919444</v>
      </c>
      <c r="G1024" s="4" t="n">
        <v>3</v>
      </c>
      <c r="H1024" s="5" t="n">
        <v>51.68462501831667</v>
      </c>
      <c r="I1024" s="5" t="n">
        <v>47.31293726498611</v>
      </c>
      <c r="J1024" s="5" t="n">
        <v>43.143955719525</v>
      </c>
      <c r="K1024" s="5" t="n">
        <v>68</v>
      </c>
    </row>
    <row r="1025">
      <c r="A1025" s="2" t="n">
        <v>46140.08333333334</v>
      </c>
      <c r="B1025">
        <f>TEXT(A1025,"yyyy-mm")</f>
        <v/>
      </c>
      <c r="C1025" s="3">
        <f>HOUR(A1025)</f>
        <v/>
      </c>
      <c r="D1025" s="4" t="n">
        <v>20.63903253374166</v>
      </c>
      <c r="E1025" s="4" t="n">
        <v>22.61437320242777</v>
      </c>
      <c r="F1025" s="4" t="n">
        <v>22.80369264945278</v>
      </c>
      <c r="G1025" s="4" t="n">
        <v>2.6</v>
      </c>
      <c r="H1025" s="5" t="n">
        <v>55.13836278077222</v>
      </c>
      <c r="I1025" s="5" t="n">
        <v>48.29285573110834</v>
      </c>
      <c r="J1025" s="5" t="n">
        <v>43.58929710185834</v>
      </c>
      <c r="K1025" s="5" t="n">
        <v>70</v>
      </c>
    </row>
    <row r="1026">
      <c r="A1026" s="2" t="n">
        <v>46140.125</v>
      </c>
      <c r="B1026">
        <f>TEXT(A1026,"yyyy-mm")</f>
        <v/>
      </c>
      <c r="C1026" s="3">
        <f>HOUR(A1026)</f>
        <v/>
      </c>
      <c r="D1026" s="4" t="n">
        <v>20.23518441982777</v>
      </c>
      <c r="E1026" s="4" t="n">
        <v>22.07230710942778</v>
      </c>
      <c r="F1026" s="4" t="n">
        <v>22.82171197023056</v>
      </c>
      <c r="G1026" s="4" t="n">
        <v>1.9</v>
      </c>
      <c r="H1026" s="5" t="n">
        <v>54.06004059004445</v>
      </c>
      <c r="I1026" s="5" t="n">
        <v>47.28529994067778</v>
      </c>
      <c r="J1026" s="5" t="n">
        <v>42.32018643795278</v>
      </c>
      <c r="K1026" s="5" t="n">
        <v>74</v>
      </c>
    </row>
    <row r="1027">
      <c r="A1027" s="2" t="n">
        <v>46140.16666666666</v>
      </c>
      <c r="B1027">
        <f>TEXT(A1027,"yyyy-mm")</f>
        <v/>
      </c>
      <c r="C1027" s="3">
        <f>HOUR(A1027)</f>
        <v/>
      </c>
      <c r="D1027" s="4" t="n">
        <v>19.98051543533612</v>
      </c>
      <c r="E1027" s="4" t="n">
        <v>21.94963912964167</v>
      </c>
      <c r="F1027" s="4" t="n">
        <v>22.81481681174166</v>
      </c>
      <c r="G1027" s="4" t="n">
        <v>1.5</v>
      </c>
      <c r="H1027" s="5" t="n">
        <v>52.96198757655278</v>
      </c>
      <c r="I1027" s="5" t="n">
        <v>45.78100213902223</v>
      </c>
      <c r="J1027" s="5" t="n">
        <v>41.78138555885833</v>
      </c>
      <c r="K1027" s="5" t="n">
        <v>75</v>
      </c>
    </row>
    <row r="1028">
      <c r="A1028" s="2" t="n">
        <v>46140.20833333334</v>
      </c>
      <c r="B1028">
        <f>TEXT(A1028,"yyyy-mm")</f>
        <v/>
      </c>
      <c r="C1028" s="3">
        <f>HOUR(A1028)</f>
        <v/>
      </c>
      <c r="D1028" s="4" t="n">
        <v>19.93744695220278</v>
      </c>
      <c r="E1028" s="4" t="n">
        <v>21.78581120254166</v>
      </c>
      <c r="F1028" s="4" t="n">
        <v>22.73858628620278</v>
      </c>
      <c r="G1028" s="4" t="n">
        <v>1.2</v>
      </c>
      <c r="H1028" s="5" t="n">
        <v>51.97647355215833</v>
      </c>
      <c r="I1028" s="5" t="n">
        <v>44.96466434123334</v>
      </c>
      <c r="J1028" s="5" t="n">
        <v>41.47165946096388</v>
      </c>
      <c r="K1028" s="5" t="n">
        <v>77</v>
      </c>
    </row>
    <row r="1029">
      <c r="A1029" s="2" t="n">
        <v>46140.25</v>
      </c>
      <c r="B1029">
        <f>TEXT(A1029,"yyyy-mm")</f>
        <v/>
      </c>
      <c r="C1029" s="3">
        <f>HOUR(A1029)</f>
        <v/>
      </c>
      <c r="D1029" s="4" t="n">
        <v>20.58776979025</v>
      </c>
      <c r="E1029" s="4" t="n">
        <v>22.00235222840833</v>
      </c>
      <c r="F1029" s="4" t="n">
        <v>22.65936261433056</v>
      </c>
      <c r="G1029" s="4" t="n">
        <v>1.1</v>
      </c>
      <c r="H1029" s="5" t="n">
        <v>48.22964540749444</v>
      </c>
      <c r="I1029" s="5" t="n">
        <v>44.26023545564723</v>
      </c>
      <c r="J1029" s="5" t="n">
        <v>41.23836464575556</v>
      </c>
      <c r="K1029" s="5" t="n">
        <v>77</v>
      </c>
    </row>
    <row r="1030">
      <c r="A1030" s="2" t="n">
        <v>46140.29166666666</v>
      </c>
      <c r="B1030">
        <f>TEXT(A1030,"yyyy-mm")</f>
        <v/>
      </c>
      <c r="C1030" s="3">
        <f>HOUR(A1030)</f>
        <v/>
      </c>
      <c r="D1030" s="4" t="n">
        <v>21.23925936919444</v>
      </c>
      <c r="E1030" s="4" t="n">
        <v>22.55767333958612</v>
      </c>
      <c r="F1030" s="4" t="n">
        <v>22.61831575889167</v>
      </c>
      <c r="G1030" s="4" t="n">
        <v>2.4</v>
      </c>
      <c r="H1030" s="5" t="n">
        <v>46.04732088251944</v>
      </c>
      <c r="I1030" s="5" t="n">
        <v>43.45414143354167</v>
      </c>
      <c r="J1030" s="5" t="n">
        <v>41.05959910218333</v>
      </c>
      <c r="K1030" s="5" t="n">
        <v>76</v>
      </c>
    </row>
    <row r="1031">
      <c r="A1031" s="2" t="n">
        <v>46140.33333333334</v>
      </c>
      <c r="B1031">
        <f>TEXT(A1031,"yyyy-mm")</f>
        <v/>
      </c>
      <c r="C1031" s="3">
        <f>HOUR(A1031)</f>
        <v/>
      </c>
      <c r="D1031" s="4" t="n">
        <v>21.77567492243889</v>
      </c>
      <c r="E1031" s="4" t="n">
        <v>23.09317886935834</v>
      </c>
      <c r="F1031" s="4" t="n">
        <v>22.60118554895556</v>
      </c>
      <c r="G1031" s="4" t="n">
        <v>4.4</v>
      </c>
      <c r="H1031" s="5" t="n">
        <v>44.91167083338612</v>
      </c>
      <c r="I1031" s="5" t="n">
        <v>43.29972709432223</v>
      </c>
      <c r="J1031" s="5" t="n">
        <v>40.98598065134445</v>
      </c>
      <c r="K1031" s="5" t="n">
        <v>69</v>
      </c>
    </row>
    <row r="1032">
      <c r="A1032" s="2" t="n">
        <v>46140.375</v>
      </c>
      <c r="B1032">
        <f>TEXT(A1032,"yyyy-mm")</f>
        <v/>
      </c>
      <c r="C1032" s="3">
        <f>HOUR(A1032)</f>
        <v/>
      </c>
      <c r="D1032" s="4" t="n">
        <v>22.07854416493889</v>
      </c>
      <c r="E1032" s="4" t="n">
        <v>23.32681025318611</v>
      </c>
      <c r="F1032" s="4" t="n">
        <v>22.59883378190834</v>
      </c>
      <c r="G1032" s="4" t="n">
        <v>6.8</v>
      </c>
      <c r="H1032" s="5" t="n">
        <v>45.97881547276666</v>
      </c>
      <c r="I1032" s="5" t="n">
        <v>44.05828703456945</v>
      </c>
      <c r="J1032" s="5" t="n">
        <v>41.21975083746944</v>
      </c>
      <c r="K1032" s="5" t="n">
        <v>60</v>
      </c>
    </row>
    <row r="1033">
      <c r="A1033" s="2" t="n">
        <v>46140.41666666666</v>
      </c>
      <c r="B1033">
        <f>TEXT(A1033,"yyyy-mm")</f>
        <v/>
      </c>
      <c r="C1033" s="3">
        <f>HOUR(A1033)</f>
        <v/>
      </c>
      <c r="D1033" s="4" t="n">
        <v>21.86829440531111</v>
      </c>
      <c r="E1033" s="4" t="n">
        <v>23.29807748255834</v>
      </c>
      <c r="F1033" s="4" t="n">
        <v>22.60991658692222</v>
      </c>
      <c r="G1033" s="4" t="n">
        <v>8.199999999999999</v>
      </c>
      <c r="H1033" s="5" t="n">
        <v>47.87321794069445</v>
      </c>
      <c r="I1033" s="5" t="n">
        <v>44.79216766351389</v>
      </c>
      <c r="J1033" s="5" t="n">
        <v>41.66152353018334</v>
      </c>
      <c r="K1033" s="5" t="n">
        <v>49</v>
      </c>
    </row>
    <row r="1034">
      <c r="A1034" s="2" t="n">
        <v>46140.45833333334</v>
      </c>
      <c r="B1034">
        <f>TEXT(A1034,"yyyy-mm")</f>
        <v/>
      </c>
      <c r="C1034" s="3">
        <f>HOUR(A1034)</f>
        <v/>
      </c>
      <c r="D1034" s="4" t="n">
        <v>21.69931275376666</v>
      </c>
      <c r="E1034" s="4" t="n">
        <v>23.35727693256389</v>
      </c>
      <c r="F1034" s="4" t="n">
        <v>22.64633310591667</v>
      </c>
      <c r="G1034" s="4" t="n">
        <v>8.699999999999999</v>
      </c>
      <c r="H1034" s="5" t="n">
        <v>49.18126209632778</v>
      </c>
      <c r="I1034" s="5" t="n">
        <v>46.88393913596389</v>
      </c>
      <c r="J1034" s="5" t="n">
        <v>43.03555392773333</v>
      </c>
      <c r="K1034" s="5" t="n">
        <v>41</v>
      </c>
    </row>
    <row r="1035">
      <c r="A1035" s="2" t="n">
        <v>46140.5</v>
      </c>
      <c r="B1035">
        <f>TEXT(A1035,"yyyy-mm")</f>
        <v/>
      </c>
      <c r="C1035" s="3">
        <f>HOUR(A1035)</f>
        <v/>
      </c>
      <c r="D1035" s="4" t="n">
        <v>21.74272586351667</v>
      </c>
      <c r="E1035" s="4" t="n">
        <v>23.48049193988611</v>
      </c>
      <c r="F1035" s="4" t="n">
        <v>22.634037022225</v>
      </c>
      <c r="G1035" s="4" t="n">
        <v>8.800000000000001</v>
      </c>
      <c r="H1035" s="5" t="n">
        <v>54.64038420379723</v>
      </c>
      <c r="I1035" s="5" t="n">
        <v>51.49938829929444</v>
      </c>
      <c r="J1035" s="5" t="n">
        <v>43.05718192006389</v>
      </c>
      <c r="K1035" s="5" t="n">
        <v>39</v>
      </c>
    </row>
    <row r="1036">
      <c r="A1036" s="2" t="n">
        <v>46140.54166666666</v>
      </c>
      <c r="B1036">
        <f>TEXT(A1036,"yyyy-mm")</f>
        <v/>
      </c>
      <c r="C1036" s="3">
        <f>HOUR(A1036)</f>
        <v/>
      </c>
      <c r="D1036" s="4" t="n">
        <v>21.715733597075</v>
      </c>
      <c r="E1036" s="4" t="n">
        <v>23.40709573471389</v>
      </c>
      <c r="F1036" s="4" t="n">
        <v>22.60612093384445</v>
      </c>
      <c r="G1036" s="4" t="n">
        <v>9.300000000000001</v>
      </c>
      <c r="H1036" s="5" t="n">
        <v>51.09697768620001</v>
      </c>
      <c r="I1036" s="5" t="n">
        <v>46.84247529140277</v>
      </c>
      <c r="J1036" s="5" t="n">
        <v>42.08565433503333</v>
      </c>
      <c r="K1036" s="5" t="n">
        <v>39</v>
      </c>
    </row>
    <row r="1037">
      <c r="A1037" s="2" t="n">
        <v>46140.58333333334</v>
      </c>
      <c r="B1037">
        <f>TEXT(A1037,"yyyy-mm")</f>
        <v/>
      </c>
      <c r="C1037" s="3">
        <f>HOUR(A1037)</f>
        <v/>
      </c>
      <c r="D1037" s="4" t="n">
        <v>21.66702104576667</v>
      </c>
      <c r="E1037" s="4" t="n">
        <v>23.36668221018612</v>
      </c>
      <c r="F1037" s="4" t="n">
        <v>22.59360178407778</v>
      </c>
      <c r="G1037" s="4" t="n">
        <v>9.800000000000001</v>
      </c>
      <c r="H1037" s="5" t="n">
        <v>51.09523442161111</v>
      </c>
      <c r="I1037" s="5" t="n">
        <v>47.79375675161111</v>
      </c>
      <c r="J1037" s="5" t="n">
        <v>42.40134335039722</v>
      </c>
      <c r="K1037" s="5" t="n">
        <v>36</v>
      </c>
    </row>
    <row r="1038">
      <c r="A1038" s="2" t="n">
        <v>46140.625</v>
      </c>
      <c r="B1038">
        <f>TEXT(A1038,"yyyy-mm")</f>
        <v/>
      </c>
      <c r="C1038" s="3">
        <f>HOUR(A1038)</f>
        <v/>
      </c>
      <c r="D1038" s="4" t="n">
        <v>21.73346783039166</v>
      </c>
      <c r="E1038" s="4" t="n">
        <v>23.42216266441111</v>
      </c>
      <c r="F1038" s="4" t="n">
        <v>22.69375088971944</v>
      </c>
      <c r="G1038" s="4" t="n">
        <v>9.6</v>
      </c>
      <c r="H1038" s="5" t="n">
        <v>51.95926509054166</v>
      </c>
      <c r="I1038" s="5" t="n">
        <v>48.74323229043611</v>
      </c>
      <c r="J1038" s="5" t="n">
        <v>46.07770111439723</v>
      </c>
      <c r="K1038" s="5" t="n">
        <v>37</v>
      </c>
    </row>
    <row r="1039">
      <c r="A1039" s="2" t="n">
        <v>46140.66666666666</v>
      </c>
      <c r="B1039">
        <f>TEXT(A1039,"yyyy-mm")</f>
        <v/>
      </c>
      <c r="C1039" s="3">
        <f>HOUR(A1039)</f>
        <v/>
      </c>
      <c r="D1039" s="4" t="n">
        <v>21.58093203905278</v>
      </c>
      <c r="E1039" s="4" t="n">
        <v>23.16531138025833</v>
      </c>
      <c r="F1039" s="4" t="n">
        <v>22.764768813275</v>
      </c>
      <c r="G1039" s="4" t="n">
        <v>9.199999999999999</v>
      </c>
      <c r="H1039" s="5" t="n">
        <v>48.58555249479445</v>
      </c>
      <c r="I1039" s="5" t="n">
        <v>47.1983382187</v>
      </c>
      <c r="J1039" s="5" t="n">
        <v>46.18684751228333</v>
      </c>
      <c r="K1039" s="5" t="n">
        <v>40</v>
      </c>
    </row>
    <row r="1040">
      <c r="A1040" s="2" t="n">
        <v>46140.70833333334</v>
      </c>
      <c r="B1040">
        <f>TEXT(A1040,"yyyy-mm")</f>
        <v/>
      </c>
      <c r="C1040" s="3">
        <f>HOUR(A1040)</f>
        <v/>
      </c>
      <c r="D1040" s="4" t="n">
        <v>21.352468619975</v>
      </c>
      <c r="E1040" s="4" t="n">
        <v>22.82438985508334</v>
      </c>
      <c r="F1040" s="4" t="n">
        <v>22.81687108656945</v>
      </c>
      <c r="G1040" s="4" t="n">
        <v>8.699999999999999</v>
      </c>
      <c r="H1040" s="5" t="n">
        <v>47.95783133444166</v>
      </c>
      <c r="I1040" s="5" t="n">
        <v>45.29868073923888</v>
      </c>
      <c r="J1040" s="5" t="n">
        <v>45.19735642514723</v>
      </c>
      <c r="K1040" s="5" t="n">
        <v>42</v>
      </c>
    </row>
    <row r="1041">
      <c r="A1041" s="2" t="n">
        <v>46140.75</v>
      </c>
      <c r="B1041">
        <f>TEXT(A1041,"yyyy-mm")</f>
        <v/>
      </c>
      <c r="C1041" s="3">
        <f>HOUR(A1041)</f>
        <v/>
      </c>
      <c r="D1041" s="4" t="n">
        <v>21.27210205651112</v>
      </c>
      <c r="E1041" s="4" t="n">
        <v>22.87868259163056</v>
      </c>
      <c r="F1041" s="4" t="n">
        <v>22.88555566165</v>
      </c>
      <c r="G1041" s="4" t="n">
        <v>7.2</v>
      </c>
      <c r="H1041" s="5" t="n">
        <v>47.07840700663056</v>
      </c>
      <c r="I1041" s="5" t="n">
        <v>44.09149190865555</v>
      </c>
      <c r="J1041" s="5" t="n">
        <v>44.89151180676389</v>
      </c>
      <c r="K1041" s="5" t="n">
        <v>55</v>
      </c>
    </row>
    <row r="1042">
      <c r="A1042" s="2" t="n">
        <v>46140.79166666666</v>
      </c>
      <c r="B1042">
        <f>TEXT(A1042,"yyyy-mm")</f>
        <v/>
      </c>
      <c r="C1042" s="3">
        <f>HOUR(A1042)</f>
        <v/>
      </c>
      <c r="D1042" s="4" t="n">
        <v>21.10418354455278</v>
      </c>
      <c r="E1042" s="4" t="n">
        <v>22.83259468154166</v>
      </c>
      <c r="F1042" s="4" t="n">
        <v>22.92680630400556</v>
      </c>
      <c r="G1042" s="4" t="n">
        <v>6.3</v>
      </c>
      <c r="H1042" s="5" t="n">
        <v>48.518133982575</v>
      </c>
      <c r="I1042" s="5" t="n">
        <v>44.773705021975</v>
      </c>
      <c r="J1042" s="5" t="n">
        <v>44.54323798414445</v>
      </c>
      <c r="K1042" s="5" t="n">
        <v>61</v>
      </c>
    </row>
    <row r="1043">
      <c r="A1043" s="2" t="n">
        <v>46140.83333333334</v>
      </c>
      <c r="B1043">
        <f>TEXT(A1043,"yyyy-mm")</f>
        <v/>
      </c>
      <c r="C1043" s="3">
        <f>HOUR(A1043)</f>
        <v/>
      </c>
      <c r="D1043" s="4" t="n">
        <v>20.92536456531389</v>
      </c>
      <c r="E1043" s="4" t="n">
        <v>22.62612584723611</v>
      </c>
      <c r="F1043" s="4" t="n">
        <v>22.96475102710556</v>
      </c>
      <c r="G1043" s="4" t="n">
        <v>5</v>
      </c>
      <c r="H1043" s="5" t="n">
        <v>49.95807462918333</v>
      </c>
      <c r="I1043" s="5" t="n">
        <v>44.87181843036944</v>
      </c>
      <c r="J1043" s="5" t="n">
        <v>44.01726107716112</v>
      </c>
      <c r="K1043" s="5" t="n">
        <v>65</v>
      </c>
    </row>
    <row r="1044">
      <c r="A1044" s="2" t="n">
        <v>46140.875</v>
      </c>
      <c r="B1044">
        <f>TEXT(A1044,"yyyy-mm")</f>
        <v/>
      </c>
      <c r="C1044" s="3">
        <f>HOUR(A1044)</f>
        <v/>
      </c>
      <c r="D1044" s="4" t="n">
        <v>21.07346691153889</v>
      </c>
      <c r="E1044" s="4" t="n">
        <v>22.73924710346389</v>
      </c>
      <c r="F1044" s="4" t="n">
        <v>22.97324029705834</v>
      </c>
      <c r="G1044" s="4" t="n">
        <v>4.4</v>
      </c>
      <c r="H1044" s="5" t="n">
        <v>50.51108573587222</v>
      </c>
      <c r="I1044" s="5" t="n">
        <v>47.76453925820278</v>
      </c>
      <c r="J1044" s="5" t="n">
        <v>44.56497398023888</v>
      </c>
      <c r="K1044" s="5" t="n">
        <v>72</v>
      </c>
    </row>
    <row r="1045">
      <c r="A1045" s="2" t="n">
        <v>46140.91666666666</v>
      </c>
      <c r="B1045">
        <f>TEXT(A1045,"yyyy-mm")</f>
        <v/>
      </c>
      <c r="C1045" s="3">
        <f>HOUR(A1045)</f>
        <v/>
      </c>
      <c r="D1045" s="4" t="n">
        <v>21.49615481038612</v>
      </c>
      <c r="E1045" s="4" t="n">
        <v>23.34912370215278</v>
      </c>
      <c r="F1045" s="4" t="n">
        <v>22.97564828778889</v>
      </c>
      <c r="G1045" s="4" t="n">
        <v>3.9</v>
      </c>
      <c r="H1045" s="5" t="n">
        <v>54.43082610624166</v>
      </c>
      <c r="I1045" s="5" t="n">
        <v>54.48568186956111</v>
      </c>
      <c r="J1045" s="5" t="n">
        <v>50.59930904524166</v>
      </c>
      <c r="K1045" s="5" t="n">
        <v>75</v>
      </c>
    </row>
    <row r="1046">
      <c r="A1046" s="2" t="n">
        <v>46140.95833333334</v>
      </c>
      <c r="B1046">
        <f>TEXT(A1046,"yyyy-mm")</f>
        <v/>
      </c>
      <c r="C1046" s="3">
        <f>HOUR(A1046)</f>
        <v/>
      </c>
      <c r="D1046" s="4" t="n">
        <v>21.61412792732777</v>
      </c>
      <c r="E1046" s="4" t="n">
        <v>23.31780552977222</v>
      </c>
      <c r="F1046" s="4" t="n">
        <v>22.90649648362778</v>
      </c>
      <c r="G1046" s="4" t="n">
        <v>3</v>
      </c>
      <c r="H1046" s="5" t="n">
        <v>53.57241306904167</v>
      </c>
      <c r="I1046" s="5" t="n">
        <v>53.0097714521639</v>
      </c>
      <c r="J1046" s="5" t="n">
        <v>47.20690923218611</v>
      </c>
      <c r="K1046" s="5" t="n">
        <v>77</v>
      </c>
    </row>
    <row r="1047">
      <c r="A1047" s="2" t="n">
        <v>46141</v>
      </c>
      <c r="B1047">
        <f>TEXT(A1047,"yyyy-mm")</f>
        <v/>
      </c>
      <c r="C1047" s="3">
        <f>HOUR(A1047)</f>
        <v/>
      </c>
      <c r="D1047" s="4" t="n">
        <v>21.65474546871944</v>
      </c>
      <c r="E1047" s="4" t="n">
        <v>23.28864430202778</v>
      </c>
      <c r="F1047" s="4" t="n">
        <v>22.82128573083889</v>
      </c>
      <c r="G1047" s="4" t="n">
        <v>2.3</v>
      </c>
      <c r="H1047" s="5" t="n">
        <v>51.13668643430833</v>
      </c>
      <c r="I1047" s="5" t="n">
        <v>50.24370032204722</v>
      </c>
      <c r="J1047" s="5" t="n">
        <v>44.59695156336945</v>
      </c>
      <c r="K1047" s="5" t="n">
        <v>75</v>
      </c>
    </row>
    <row r="1048">
      <c r="A1048" s="2" t="n">
        <v>46141.04166666666</v>
      </c>
      <c r="B1048">
        <f>TEXT(A1048,"yyyy-mm")</f>
        <v/>
      </c>
      <c r="C1048" s="3">
        <f>HOUR(A1048)</f>
        <v/>
      </c>
      <c r="D1048" s="4" t="n">
        <v>21.60650340813333</v>
      </c>
      <c r="E1048" s="4" t="n">
        <v>23.30927413841111</v>
      </c>
      <c r="F1048" s="4" t="n">
        <v>22.77197045631112</v>
      </c>
      <c r="G1048" s="4" t="n">
        <v>1.6</v>
      </c>
      <c r="H1048" s="5" t="n">
        <v>50.35390531252778</v>
      </c>
      <c r="I1048" s="5" t="n">
        <v>48.41141389144445</v>
      </c>
      <c r="J1048" s="5" t="n">
        <v>43.54581457579167</v>
      </c>
      <c r="K1048" s="5" t="n">
        <v>75</v>
      </c>
    </row>
    <row r="1049">
      <c r="A1049" s="2" t="n">
        <v>46141.08333333334</v>
      </c>
      <c r="B1049">
        <f>TEXT(A1049,"yyyy-mm")</f>
        <v/>
      </c>
      <c r="C1049" s="3">
        <f>HOUR(A1049)</f>
        <v/>
      </c>
      <c r="D1049" s="4" t="n">
        <v>21.0554842708</v>
      </c>
      <c r="E1049" s="4" t="n">
        <v>22.96084908048333</v>
      </c>
      <c r="F1049" s="4" t="n">
        <v>22.72407334720278</v>
      </c>
      <c r="G1049" s="4" t="n">
        <v>1.1</v>
      </c>
      <c r="H1049" s="5" t="n">
        <v>50.91576176125278</v>
      </c>
      <c r="I1049" s="5" t="n">
        <v>46.16670544378056</v>
      </c>
      <c r="J1049" s="5" t="n">
        <v>42.86471906685278</v>
      </c>
      <c r="K1049" s="5" t="n">
        <v>75</v>
      </c>
    </row>
    <row r="1050">
      <c r="A1050" s="2" t="n">
        <v>46141.125</v>
      </c>
      <c r="B1050">
        <f>TEXT(A1050,"yyyy-mm")</f>
        <v/>
      </c>
      <c r="C1050" s="3">
        <f>HOUR(A1050)</f>
        <v/>
      </c>
      <c r="D1050" s="4" t="n">
        <v>20.48968477873055</v>
      </c>
      <c r="E1050" s="4" t="n">
        <v>22.37242729454166</v>
      </c>
      <c r="F1050" s="4" t="n">
        <v>22.66508252165</v>
      </c>
      <c r="G1050" s="4" t="n">
        <v>0.7</v>
      </c>
      <c r="H1050" s="5" t="n">
        <v>50.93754148249722</v>
      </c>
      <c r="I1050" s="5" t="n">
        <v>45.64085347194722</v>
      </c>
      <c r="J1050" s="5" t="n">
        <v>42.38290844586389</v>
      </c>
      <c r="K1050" s="5" t="n">
        <v>75</v>
      </c>
    </row>
    <row r="1051">
      <c r="A1051" s="2" t="n">
        <v>46141.16666666666</v>
      </c>
      <c r="B1051">
        <f>TEXT(A1051,"yyyy-mm")</f>
        <v/>
      </c>
      <c r="C1051" s="3">
        <f>HOUR(A1051)</f>
        <v/>
      </c>
      <c r="D1051" s="4" t="n">
        <v>20.17690470766667</v>
      </c>
      <c r="E1051" s="4" t="n">
        <v>22.07114420578611</v>
      </c>
      <c r="F1051" s="4" t="n">
        <v>22.60978675842778</v>
      </c>
      <c r="G1051" s="4" t="n">
        <v>0</v>
      </c>
      <c r="H1051" s="5" t="n">
        <v>50.98752992419444</v>
      </c>
      <c r="I1051" s="5" t="n">
        <v>45.03910037424722</v>
      </c>
      <c r="J1051" s="5" t="n">
        <v>42.09393899627222</v>
      </c>
      <c r="K1051" s="5" t="n">
        <v>78</v>
      </c>
    </row>
    <row r="1052">
      <c r="A1052" s="2" t="n">
        <v>46141.20833333334</v>
      </c>
      <c r="B1052">
        <f>TEXT(A1052,"yyyy-mm")</f>
        <v/>
      </c>
      <c r="C1052" s="3">
        <f>HOUR(A1052)</f>
        <v/>
      </c>
      <c r="D1052" s="4" t="n">
        <v>20.12373418030834</v>
      </c>
      <c r="E1052" s="4" t="n">
        <v>21.91674414157778</v>
      </c>
      <c r="F1052" s="4" t="n">
        <v>22.57618322833056</v>
      </c>
      <c r="G1052" s="4" t="n">
        <v>-0.5</v>
      </c>
      <c r="H1052" s="5" t="n">
        <v>50.28777613650833</v>
      </c>
      <c r="I1052" s="5" t="n">
        <v>44.42001843323334</v>
      </c>
      <c r="J1052" s="5" t="n">
        <v>41.76352582508889</v>
      </c>
      <c r="K1052" s="5" t="n">
        <v>79</v>
      </c>
    </row>
    <row r="1053">
      <c r="A1053" s="2" t="n">
        <v>46141.25</v>
      </c>
      <c r="B1053">
        <f>TEXT(A1053,"yyyy-mm")</f>
        <v/>
      </c>
      <c r="C1053" s="3">
        <f>HOUR(A1053)</f>
        <v/>
      </c>
      <c r="D1053" s="4" t="n">
        <v>20.83071479824444</v>
      </c>
      <c r="E1053" s="4" t="n">
        <v>22.11186875233611</v>
      </c>
      <c r="F1053" s="4" t="n">
        <v>22.54306355725278</v>
      </c>
      <c r="G1053" s="4" t="n">
        <v>-0.2</v>
      </c>
      <c r="H1053" s="5" t="n">
        <v>46.42877117976111</v>
      </c>
      <c r="I1053" s="5" t="n">
        <v>43.91163106870556</v>
      </c>
      <c r="J1053" s="5" t="n">
        <v>41.52899351295833</v>
      </c>
      <c r="K1053" s="5" t="n">
        <v>79</v>
      </c>
    </row>
    <row r="1054">
      <c r="A1054" s="2" t="n">
        <v>46141.29166666666</v>
      </c>
      <c r="B1054">
        <f>TEXT(A1054,"yyyy-mm")</f>
        <v/>
      </c>
      <c r="C1054" s="3">
        <f>HOUR(A1054)</f>
        <v/>
      </c>
      <c r="D1054" s="4" t="n">
        <v>21.47903292118889</v>
      </c>
      <c r="E1054" s="4" t="n">
        <v>22.47978140938056</v>
      </c>
      <c r="F1054" s="4" t="n">
        <v>22.53077695390833</v>
      </c>
      <c r="G1054" s="4" t="n">
        <v>1.3</v>
      </c>
      <c r="H1054" s="5" t="n">
        <v>44.85020079919167</v>
      </c>
      <c r="I1054" s="5" t="n">
        <v>43.44068770775</v>
      </c>
      <c r="J1054" s="5" t="n">
        <v>41.39183615814167</v>
      </c>
      <c r="K1054" s="5" t="n">
        <v>79</v>
      </c>
    </row>
    <row r="1055">
      <c r="A1055" s="2" t="n">
        <v>46141.33333333334</v>
      </c>
      <c r="B1055">
        <f>TEXT(A1055,"yyyy-mm")</f>
        <v/>
      </c>
      <c r="C1055" s="3">
        <f>HOUR(A1055)</f>
        <v/>
      </c>
      <c r="D1055" s="4" t="n">
        <v>22.05001291941112</v>
      </c>
      <c r="E1055" s="4" t="n">
        <v>22.93213828156667</v>
      </c>
      <c r="F1055" s="4" t="n">
        <v>22.53767647848889</v>
      </c>
      <c r="G1055" s="4" t="n">
        <v>3.6</v>
      </c>
      <c r="H1055" s="5" t="n">
        <v>43.74419429135278</v>
      </c>
      <c r="I1055" s="5" t="n">
        <v>43.45222016159445</v>
      </c>
      <c r="J1055" s="5" t="n">
        <v>41.31218866548056</v>
      </c>
      <c r="K1055" s="5" t="n">
        <v>73</v>
      </c>
    </row>
    <row r="1056">
      <c r="A1056" s="2" t="n">
        <v>46141.375</v>
      </c>
      <c r="B1056">
        <f>TEXT(A1056,"yyyy-mm")</f>
        <v/>
      </c>
      <c r="C1056" s="3">
        <f>HOUR(A1056)</f>
        <v/>
      </c>
      <c r="D1056" s="4" t="n">
        <v>22.41245382832222</v>
      </c>
      <c r="E1056" s="4" t="n">
        <v>23.28389512382222</v>
      </c>
      <c r="F1056" s="4" t="n">
        <v>22.55583500584444</v>
      </c>
      <c r="G1056" s="4" t="n">
        <v>6.3</v>
      </c>
      <c r="H1056" s="5" t="n">
        <v>44.05013668065278</v>
      </c>
      <c r="I1056" s="5" t="n">
        <v>43.92244366679722</v>
      </c>
      <c r="J1056" s="5" t="n">
        <v>41.37953569695278</v>
      </c>
      <c r="K1056" s="5" t="n">
        <v>61</v>
      </c>
    </row>
    <row r="1057">
      <c r="A1057" s="2" t="n">
        <v>46141.41666666666</v>
      </c>
      <c r="B1057">
        <f>TEXT(A1057,"yyyy-mm")</f>
        <v/>
      </c>
      <c r="C1057" s="3">
        <f>HOUR(A1057)</f>
        <v/>
      </c>
      <c r="D1057" s="4" t="n">
        <v>22.47472324149167</v>
      </c>
      <c r="E1057" s="4" t="n">
        <v>23.48383290488612</v>
      </c>
      <c r="F1057" s="4" t="n">
        <v>22.58325200956667</v>
      </c>
      <c r="G1057" s="4" t="n">
        <v>7.7</v>
      </c>
      <c r="H1057" s="5" t="n">
        <v>45.17416419286111</v>
      </c>
      <c r="I1057" s="5" t="n">
        <v>44.24328773171666</v>
      </c>
      <c r="J1057" s="5" t="n">
        <v>41.78561827588056</v>
      </c>
      <c r="K1057" s="5" t="n">
        <v>46</v>
      </c>
    </row>
    <row r="1058">
      <c r="A1058" s="2" t="n">
        <v>46141.45833333334</v>
      </c>
      <c r="B1058">
        <f>TEXT(A1058,"yyyy-mm")</f>
        <v/>
      </c>
      <c r="C1058" s="3">
        <f>HOUR(A1058)</f>
        <v/>
      </c>
      <c r="D1058" s="4" t="n">
        <v>22.2533459923</v>
      </c>
      <c r="E1058" s="4" t="n">
        <v>23.687267480625</v>
      </c>
      <c r="F1058" s="4" t="n">
        <v>22.59875038151111</v>
      </c>
      <c r="G1058" s="4" t="n">
        <v>8.4</v>
      </c>
      <c r="H1058" s="5" t="n">
        <v>48.25885965830556</v>
      </c>
      <c r="I1058" s="5" t="n">
        <v>44.39661427415</v>
      </c>
      <c r="J1058" s="5" t="n">
        <v>41.94831353499444</v>
      </c>
      <c r="K1058" s="5" t="n">
        <v>40</v>
      </c>
    </row>
    <row r="1059">
      <c r="A1059" s="2" t="n">
        <v>46141.5</v>
      </c>
      <c r="B1059">
        <f>TEXT(A1059,"yyyy-mm")</f>
        <v/>
      </c>
      <c r="C1059" s="3">
        <f>HOUR(A1059)</f>
        <v/>
      </c>
      <c r="D1059" s="4" t="n">
        <v>22.25347194626389</v>
      </c>
      <c r="E1059" s="4" t="n">
        <v>23.6727149899</v>
      </c>
      <c r="F1059" s="4" t="n">
        <v>22.59738917006389</v>
      </c>
      <c r="G1059" s="4" t="n">
        <v>8.800000000000001</v>
      </c>
      <c r="H1059" s="5" t="n">
        <v>48.69962522741667</v>
      </c>
      <c r="I1059" s="5" t="n">
        <v>44.80725679984722</v>
      </c>
      <c r="J1059" s="5" t="n">
        <v>41.96904706967778</v>
      </c>
      <c r="K1059" s="5" t="n">
        <v>40</v>
      </c>
    </row>
    <row r="1060">
      <c r="A1060" s="2" t="n">
        <v>46141.54166666666</v>
      </c>
      <c r="B1060">
        <f>TEXT(A1060,"yyyy-mm")</f>
        <v/>
      </c>
      <c r="C1060" s="3">
        <f>HOUR(A1060)</f>
        <v/>
      </c>
      <c r="D1060" s="4" t="n">
        <v>22.17589803990556</v>
      </c>
      <c r="E1060" s="4" t="n">
        <v>23.50073845410556</v>
      </c>
      <c r="F1060" s="4" t="n">
        <v>22.60654697193334</v>
      </c>
      <c r="G1060" s="4" t="n">
        <v>9.300000000000001</v>
      </c>
      <c r="H1060" s="5" t="n">
        <v>49.36643351791667</v>
      </c>
      <c r="I1060" s="5" t="n">
        <v>45.28329762101666</v>
      </c>
      <c r="J1060" s="5" t="n">
        <v>42.43768433468333</v>
      </c>
      <c r="K1060" s="5" t="n">
        <v>43</v>
      </c>
    </row>
    <row r="1061">
      <c r="A1061" s="2" t="n">
        <v>46141.58333333334</v>
      </c>
      <c r="B1061">
        <f>TEXT(A1061,"yyyy-mm")</f>
        <v/>
      </c>
      <c r="C1061" s="3">
        <f>HOUR(A1061)</f>
        <v/>
      </c>
      <c r="D1061" s="4" t="n">
        <v>21.95548186945278</v>
      </c>
      <c r="E1061" s="4" t="n">
        <v>23.36755961055833</v>
      </c>
      <c r="F1061" s="4" t="n">
        <v>22.60313868619167</v>
      </c>
      <c r="G1061" s="4" t="n">
        <v>9.699999999999999</v>
      </c>
      <c r="H1061" s="5" t="n">
        <v>49.01605350087223</v>
      </c>
      <c r="I1061" s="5" t="n">
        <v>45.16690640127222</v>
      </c>
      <c r="J1061" s="5" t="n">
        <v>42.41795985905</v>
      </c>
      <c r="K1061" s="5" t="n">
        <v>45</v>
      </c>
    </row>
    <row r="1062">
      <c r="A1062" s="2" t="n">
        <v>46141.625</v>
      </c>
      <c r="B1062">
        <f>TEXT(A1062,"yyyy-mm")</f>
        <v/>
      </c>
      <c r="C1062" s="3">
        <f>HOUR(A1062)</f>
        <v/>
      </c>
      <c r="D1062" s="4" t="n">
        <v>21.81639073652778</v>
      </c>
      <c r="E1062" s="4" t="n">
        <v>23.18043404986389</v>
      </c>
      <c r="F1062" s="4" t="n">
        <v>22.59097951903611</v>
      </c>
      <c r="G1062" s="4" t="n">
        <v>10.1</v>
      </c>
      <c r="H1062" s="5" t="n">
        <v>46.24649214381111</v>
      </c>
      <c r="I1062" s="5" t="n">
        <v>43.18612937563055</v>
      </c>
      <c r="J1062" s="5" t="n">
        <v>41.59364735504722</v>
      </c>
      <c r="K1062" s="5" t="n">
        <v>42</v>
      </c>
    </row>
    <row r="1063">
      <c r="A1063" s="2" t="n">
        <v>46141.66666666666</v>
      </c>
      <c r="B1063">
        <f>TEXT(A1063,"yyyy-mm")</f>
        <v/>
      </c>
      <c r="C1063" s="3">
        <f>HOUR(A1063)</f>
        <v/>
      </c>
      <c r="D1063" s="4" t="n">
        <v>21.63976432213889</v>
      </c>
      <c r="E1063" s="4" t="n">
        <v>23.19164678957777</v>
      </c>
      <c r="F1063" s="4" t="n">
        <v>22.57673456518889</v>
      </c>
      <c r="G1063" s="4" t="n">
        <v>10.1</v>
      </c>
      <c r="H1063" s="5" t="n">
        <v>46.58138273125</v>
      </c>
      <c r="I1063" s="5" t="n">
        <v>43.37224659697222</v>
      </c>
      <c r="J1063" s="5" t="n">
        <v>41.79082689537222</v>
      </c>
      <c r="K1063" s="5" t="n">
        <v>42</v>
      </c>
    </row>
    <row r="1064">
      <c r="A1064" s="2" t="n">
        <v>46141.70833333334</v>
      </c>
      <c r="B1064">
        <f>TEXT(A1064,"yyyy-mm")</f>
        <v/>
      </c>
      <c r="C1064" s="3">
        <f>HOUR(A1064)</f>
        <v/>
      </c>
      <c r="D1064" s="4" t="n">
        <v>21.73439268615</v>
      </c>
      <c r="E1064" s="4" t="n">
        <v>23.37268213151389</v>
      </c>
      <c r="F1064" s="4" t="n">
        <v>22.56678545178334</v>
      </c>
      <c r="G1064" s="4" t="n">
        <v>8.6</v>
      </c>
      <c r="H1064" s="5" t="n">
        <v>49.21777047328889</v>
      </c>
      <c r="I1064" s="5" t="n">
        <v>47.78103040394444</v>
      </c>
      <c r="J1064" s="5" t="n">
        <v>41.89617622891111</v>
      </c>
      <c r="K1064" s="5" t="n">
        <v>45</v>
      </c>
    </row>
    <row r="1065">
      <c r="A1065" s="2" t="n">
        <v>46141.75</v>
      </c>
      <c r="B1065">
        <f>TEXT(A1065,"yyyy-mm")</f>
        <v/>
      </c>
      <c r="C1065" s="3">
        <f>HOUR(A1065)</f>
        <v/>
      </c>
      <c r="D1065" s="4" t="n">
        <v>21.64034243465834</v>
      </c>
      <c r="E1065" s="4" t="n">
        <v>23.38809656603055</v>
      </c>
      <c r="F1065" s="4" t="n">
        <v>22.55836089283611</v>
      </c>
      <c r="G1065" s="4" t="n">
        <v>6.6</v>
      </c>
      <c r="H1065" s="5" t="n">
        <v>50.02779425321389</v>
      </c>
      <c r="I1065" s="5" t="n">
        <v>46.91847132161112</v>
      </c>
      <c r="J1065" s="5" t="n">
        <v>41.71881264894722</v>
      </c>
      <c r="K1065" s="5" t="n">
        <v>64</v>
      </c>
    </row>
    <row r="1066">
      <c r="A1066" s="2" t="n">
        <v>46141.79166666666</v>
      </c>
      <c r="B1066">
        <f>TEXT(A1066,"yyyy-mm")</f>
        <v/>
      </c>
      <c r="C1066" s="3">
        <f>HOUR(A1066)</f>
        <v/>
      </c>
      <c r="D1066" s="4" t="n">
        <v>21.41426434875</v>
      </c>
      <c r="E1066" s="4" t="n">
        <v>23.41613325578889</v>
      </c>
      <c r="F1066" s="4" t="n">
        <v>22.61791577660277</v>
      </c>
      <c r="G1066" s="4" t="n">
        <v>6.8</v>
      </c>
      <c r="H1066" s="5" t="n">
        <v>50.76866614155</v>
      </c>
      <c r="I1066" s="5" t="n">
        <v>45.97839474644445</v>
      </c>
      <c r="J1066" s="5" t="n">
        <v>41.90097403859722</v>
      </c>
      <c r="K1066" s="5" t="n">
        <v>66</v>
      </c>
    </row>
    <row r="1067">
      <c r="A1067" s="2" t="n">
        <v>46141.83333333334</v>
      </c>
      <c r="B1067">
        <f>TEXT(A1067,"yyyy-mm")</f>
        <v/>
      </c>
      <c r="C1067" s="3">
        <f>HOUR(A1067)</f>
        <v/>
      </c>
      <c r="D1067" s="4" t="n">
        <v>21.10797046308611</v>
      </c>
      <c r="E1067" s="4" t="n">
        <v>23.61598072726389</v>
      </c>
      <c r="F1067" s="4" t="n">
        <v>22.63061832589444</v>
      </c>
      <c r="G1067" s="4" t="n">
        <v>5</v>
      </c>
      <c r="H1067" s="5" t="n">
        <v>51.12037524408888</v>
      </c>
      <c r="I1067" s="5" t="n">
        <v>43.97231260364723</v>
      </c>
      <c r="J1067" s="5" t="n">
        <v>41.58889053313333</v>
      </c>
      <c r="K1067" s="5" t="n">
        <v>76</v>
      </c>
    </row>
    <row r="1068">
      <c r="A1068" s="2" t="n">
        <v>46141.875</v>
      </c>
      <c r="B1068">
        <f>TEXT(A1068,"yyyy-mm")</f>
        <v/>
      </c>
      <c r="C1068" s="3">
        <f>HOUR(A1068)</f>
        <v/>
      </c>
      <c r="D1068" s="4" t="n">
        <v>20.88638162021389</v>
      </c>
      <c r="E1068" s="4" t="n">
        <v>23.91244397386111</v>
      </c>
      <c r="F1068" s="4" t="n">
        <v>22.60208049945556</v>
      </c>
      <c r="G1068" s="4" t="n">
        <v>4.5</v>
      </c>
      <c r="H1068" s="5" t="n">
        <v>50.57299720319444</v>
      </c>
      <c r="I1068" s="5" t="n">
        <v>43.42704698188889</v>
      </c>
      <c r="J1068" s="5" t="n">
        <v>41.14047746070555</v>
      </c>
      <c r="K1068" s="5" t="n">
        <v>77</v>
      </c>
    </row>
    <row r="1069">
      <c r="A1069" s="2" t="n">
        <v>46141.91666666666</v>
      </c>
      <c r="B1069">
        <f>TEXT(A1069,"yyyy-mm")</f>
        <v/>
      </c>
      <c r="C1069" s="3">
        <f>HOUR(A1069)</f>
        <v/>
      </c>
      <c r="D1069" s="4" t="n">
        <v>21.04573982794444</v>
      </c>
      <c r="E1069" s="4" t="n">
        <v>23.37540998260277</v>
      </c>
      <c r="F1069" s="4" t="n">
        <v>22.58612807386945</v>
      </c>
      <c r="G1069" s="4" t="n">
        <v>3.8</v>
      </c>
      <c r="H1069" s="5" t="n">
        <v>50.08035504599722</v>
      </c>
      <c r="I1069" s="5" t="n">
        <v>45.72449024236666</v>
      </c>
      <c r="J1069" s="5" t="n">
        <v>40.42238788284167</v>
      </c>
      <c r="K1069" s="5" t="n">
        <v>83</v>
      </c>
    </row>
    <row r="1070">
      <c r="A1070" s="2" t="n">
        <v>46141.95833333334</v>
      </c>
      <c r="B1070">
        <f>TEXT(A1070,"yyyy-mm")</f>
        <v/>
      </c>
      <c r="C1070" s="3">
        <f>HOUR(A1070)</f>
        <v/>
      </c>
      <c r="D1070" s="4" t="n">
        <v>21.17549284155</v>
      </c>
      <c r="E1070" s="4" t="n">
        <v>23.23551931212777</v>
      </c>
      <c r="F1070" s="4" t="n">
        <v>22.57175666505</v>
      </c>
      <c r="G1070" s="4" t="n">
        <v>3.1</v>
      </c>
      <c r="H1070" s="5" t="n">
        <v>54.29337175173888</v>
      </c>
      <c r="I1070" s="5" t="n">
        <v>49.71198448786944</v>
      </c>
      <c r="J1070" s="5" t="n">
        <v>40.52630775477222</v>
      </c>
      <c r="K1070" s="5" t="n">
        <v>84</v>
      </c>
    </row>
    <row r="1071">
      <c r="A1071" s="2" t="n">
        <v>46142</v>
      </c>
      <c r="B1071">
        <f>TEXT(A1071,"yyyy-mm")</f>
        <v/>
      </c>
      <c r="C1071" s="3">
        <f>HOUR(A1071)</f>
        <v/>
      </c>
      <c r="D1071" s="4" t="n">
        <v>21.23163902387222</v>
      </c>
      <c r="E1071" s="4" t="n">
        <v>23.19195308223055</v>
      </c>
      <c r="F1071" s="4" t="n">
        <v>22.55685059717221</v>
      </c>
      <c r="G1071" s="4" t="n">
        <v>2.9</v>
      </c>
      <c r="H1071" s="5" t="n">
        <v>56.19358900414166</v>
      </c>
      <c r="I1071" s="5" t="n">
        <v>51.18005878374166</v>
      </c>
      <c r="J1071" s="5" t="n">
        <v>40.46612258030278</v>
      </c>
      <c r="K1071" s="5" t="n">
        <v>81</v>
      </c>
    </row>
    <row r="1072">
      <c r="A1072" s="2" t="n">
        <v>46142.04166666666</v>
      </c>
      <c r="B1072">
        <f>TEXT(A1072,"yyyy-mm")</f>
        <v/>
      </c>
      <c r="C1072" s="3">
        <f>HOUR(A1072)</f>
        <v/>
      </c>
      <c r="D1072" s="4" t="n">
        <v>20.943704335025</v>
      </c>
      <c r="E1072" s="4" t="n">
        <v>23.05942049346666</v>
      </c>
      <c r="F1072" s="4" t="n">
        <v>22.54210105308889</v>
      </c>
      <c r="G1072" s="4" t="n">
        <v>1.9</v>
      </c>
      <c r="H1072" s="5" t="n">
        <v>57.33177832324723</v>
      </c>
      <c r="I1072" s="5" t="n">
        <v>52.414172269075</v>
      </c>
      <c r="J1072" s="5" t="n">
        <v>40.40516612181111</v>
      </c>
      <c r="K1072" s="5" t="n">
        <v>83</v>
      </c>
    </row>
    <row r="1073">
      <c r="A1073" s="2" t="n">
        <v>46142.08333333334</v>
      </c>
      <c r="B1073">
        <f>TEXT(A1073,"yyyy-mm")</f>
        <v/>
      </c>
      <c r="C1073" s="3">
        <f>HOUR(A1073)</f>
        <v/>
      </c>
      <c r="D1073" s="4" t="n">
        <v>20.52403316583611</v>
      </c>
      <c r="E1073" s="4" t="n">
        <v>22.67952934659722</v>
      </c>
      <c r="F1073" s="4" t="n">
        <v>22.52217987745</v>
      </c>
      <c r="G1073" s="4" t="n">
        <v>1.2</v>
      </c>
      <c r="H1073" s="5" t="n">
        <v>59.65033958426111</v>
      </c>
      <c r="I1073" s="5" t="n">
        <v>53.68871908868611</v>
      </c>
      <c r="J1073" s="5" t="n">
        <v>40.32431511473333</v>
      </c>
      <c r="K1073" s="5" t="n">
        <v>85</v>
      </c>
    </row>
    <row r="1074">
      <c r="A1074" s="2" t="n">
        <v>46142.125</v>
      </c>
      <c r="B1074">
        <f>TEXT(A1074,"yyyy-mm")</f>
        <v/>
      </c>
      <c r="C1074" s="3">
        <f>HOUR(A1074)</f>
        <v/>
      </c>
      <c r="D1074" s="4" t="n">
        <v>20.2253722827</v>
      </c>
      <c r="E1074" s="4" t="n">
        <v>22.363219027425</v>
      </c>
      <c r="F1074" s="4" t="n">
        <v>22.49492309812221</v>
      </c>
      <c r="G1074" s="4" t="n">
        <v>0.9</v>
      </c>
      <c r="H1074" s="5" t="n">
        <v>59.655229781375</v>
      </c>
      <c r="I1074" s="5" t="n">
        <v>53.133535326925</v>
      </c>
      <c r="J1074" s="5" t="n">
        <v>40.24949150059167</v>
      </c>
      <c r="K1074" s="5" t="n">
        <v>85</v>
      </c>
    </row>
    <row r="1075">
      <c r="A1075" s="2" t="n">
        <v>46142.16666666666</v>
      </c>
      <c r="B1075">
        <f>TEXT(A1075,"yyyy-mm")</f>
        <v/>
      </c>
      <c r="C1075" s="3">
        <f>HOUR(A1075)</f>
        <v/>
      </c>
      <c r="D1075" s="4" t="n">
        <v>20.002990825875</v>
      </c>
      <c r="E1075" s="4" t="n">
        <v>22.043744571725</v>
      </c>
      <c r="F1075" s="4" t="n">
        <v>22.47114583277222</v>
      </c>
      <c r="G1075" s="4" t="n">
        <v>0.6</v>
      </c>
      <c r="H1075" s="5" t="n">
        <v>59.48246764426944</v>
      </c>
      <c r="I1075" s="5" t="n">
        <v>52.49518976383334</v>
      </c>
      <c r="J1075" s="5" t="n">
        <v>40.18298574725278</v>
      </c>
      <c r="K1075" s="5" t="n">
        <v>87</v>
      </c>
    </row>
    <row r="1076">
      <c r="A1076" s="2" t="n">
        <v>46142.20833333334</v>
      </c>
      <c r="B1076">
        <f>TEXT(A1076,"yyyy-mm")</f>
        <v/>
      </c>
      <c r="C1076" s="3">
        <f>HOUR(A1076)</f>
        <v/>
      </c>
      <c r="D1076" s="4" t="n">
        <v>19.99264515984722</v>
      </c>
      <c r="E1076" s="4" t="n">
        <v>21.90803032806945</v>
      </c>
      <c r="F1076" s="4" t="n">
        <v>22.44119018723056</v>
      </c>
      <c r="G1076" s="4" t="n">
        <v>0.2</v>
      </c>
      <c r="H1076" s="5" t="n">
        <v>59.09621744432221</v>
      </c>
      <c r="I1076" s="5" t="n">
        <v>52.11511101665</v>
      </c>
      <c r="J1076" s="5" t="n">
        <v>40.15606607313611</v>
      </c>
      <c r="K1076" s="5" t="n">
        <v>88</v>
      </c>
    </row>
    <row r="1077">
      <c r="A1077" s="2" t="n">
        <v>46142.25</v>
      </c>
      <c r="B1077">
        <f>TEXT(A1077,"yyyy-mm")</f>
        <v/>
      </c>
      <c r="C1077" s="3">
        <f>HOUR(A1077)</f>
        <v/>
      </c>
      <c r="D1077" s="4" t="n">
        <v>20.68427896984167</v>
      </c>
      <c r="E1077" s="4" t="n">
        <v>22.13817678805556</v>
      </c>
      <c r="F1077" s="4" t="n">
        <v>22.42760104333889</v>
      </c>
      <c r="G1077" s="4" t="n">
        <v>0.3</v>
      </c>
      <c r="H1077" s="5" t="n">
        <v>57.39653517231667</v>
      </c>
      <c r="I1077" s="5" t="n">
        <v>51.58377085416667</v>
      </c>
      <c r="J1077" s="5" t="n">
        <v>40.11571323655278</v>
      </c>
      <c r="K1077" s="5" t="n">
        <v>88</v>
      </c>
    </row>
    <row r="1078">
      <c r="A1078" s="2" t="n">
        <v>46142.29166666666</v>
      </c>
      <c r="B1078">
        <f>TEXT(A1078,"yyyy-mm")</f>
        <v/>
      </c>
      <c r="C1078" s="3">
        <f>HOUR(A1078)</f>
        <v/>
      </c>
      <c r="D1078" s="4" t="n">
        <v>21.28164401306944</v>
      </c>
      <c r="E1078" s="4" t="n">
        <v>22.4738011581</v>
      </c>
      <c r="F1078" s="4" t="n">
        <v>22.43014984099166</v>
      </c>
      <c r="G1078" s="4" t="n">
        <v>1.6</v>
      </c>
      <c r="H1078" s="5" t="n">
        <v>56.28074962077222</v>
      </c>
      <c r="I1078" s="5" t="n">
        <v>52.92373570793333</v>
      </c>
      <c r="J1078" s="5" t="n">
        <v>40.08332231608889</v>
      </c>
      <c r="K1078" s="5" t="n">
        <v>88</v>
      </c>
    </row>
    <row r="1079">
      <c r="A1079" s="2" t="n">
        <v>46142.33333333334</v>
      </c>
      <c r="B1079">
        <f>TEXT(A1079,"yyyy-mm")</f>
        <v/>
      </c>
      <c r="C1079" s="3">
        <f>HOUR(A1079)</f>
        <v/>
      </c>
      <c r="D1079" s="4" t="n">
        <v>21.83616080839167</v>
      </c>
      <c r="E1079" s="4" t="n">
        <v>22.97251792610556</v>
      </c>
      <c r="F1079" s="4" t="n">
        <v>22.43921589088611</v>
      </c>
      <c r="G1079" s="4" t="n">
        <v>3.9</v>
      </c>
      <c r="H1079" s="5" t="n">
        <v>51.82698004241112</v>
      </c>
      <c r="I1079" s="5" t="n">
        <v>53.2579534718</v>
      </c>
      <c r="J1079" s="5" t="n">
        <v>40.07124292781389</v>
      </c>
      <c r="K1079" s="5" t="n">
        <v>80</v>
      </c>
    </row>
    <row r="1080">
      <c r="A1080" s="2" t="n">
        <v>46142.375</v>
      </c>
      <c r="B1080">
        <f>TEXT(A1080,"yyyy-mm")</f>
        <v/>
      </c>
      <c r="C1080" s="3">
        <f>HOUR(A1080)</f>
        <v/>
      </c>
      <c r="D1080" s="4" t="n">
        <v>22.19742339938889</v>
      </c>
      <c r="E1080" s="4" t="n">
        <v>23.43332204033056</v>
      </c>
      <c r="F1080" s="4" t="n">
        <v>22.45957092942222</v>
      </c>
      <c r="G1080" s="4" t="n">
        <v>6.3</v>
      </c>
      <c r="H1080" s="5" t="n">
        <v>51.96050975321944</v>
      </c>
      <c r="I1080" s="5" t="n">
        <v>52.95040464571389</v>
      </c>
      <c r="J1080" s="5" t="n">
        <v>40.38747707648056</v>
      </c>
      <c r="K1080" s="5" t="n">
        <v>67</v>
      </c>
    </row>
    <row r="1081">
      <c r="A1081" s="2" t="n">
        <v>46142.41666666666</v>
      </c>
      <c r="B1081">
        <f>TEXT(A1081,"yyyy-mm")</f>
        <v/>
      </c>
      <c r="C1081" s="3">
        <f>HOUR(A1081)</f>
        <v/>
      </c>
      <c r="D1081" s="4" t="n">
        <v>22.01804985705833</v>
      </c>
      <c r="E1081" s="4" t="n">
        <v>23.42335511953334</v>
      </c>
      <c r="F1081" s="4" t="n">
        <v>22.49873300210556</v>
      </c>
      <c r="G1081" s="4" t="n">
        <v>7.5</v>
      </c>
      <c r="H1081" s="5" t="n">
        <v>54.22231732896389</v>
      </c>
      <c r="I1081" s="5" t="n">
        <v>52.49910972491944</v>
      </c>
      <c r="J1081" s="5" t="n">
        <v>40.79876010568055</v>
      </c>
      <c r="K1081" s="5" t="n">
        <v>57</v>
      </c>
    </row>
    <row r="1082">
      <c r="A1082" s="2" t="n">
        <v>46142.45833333334</v>
      </c>
      <c r="B1082">
        <f>TEXT(A1082,"yyyy-mm")</f>
        <v/>
      </c>
      <c r="C1082" s="3">
        <f>HOUR(A1082)</f>
        <v/>
      </c>
      <c r="D1082" s="4" t="n">
        <v>21.90405867449167</v>
      </c>
      <c r="E1082" s="4" t="n">
        <v>23.4130740847</v>
      </c>
      <c r="F1082" s="4" t="n">
        <v>22.51117770918333</v>
      </c>
      <c r="G1082" s="4" t="n">
        <v>8.4</v>
      </c>
      <c r="H1082" s="5" t="n">
        <v>55.53478466109723</v>
      </c>
      <c r="I1082" s="5" t="n">
        <v>52.15078180150834</v>
      </c>
      <c r="J1082" s="5" t="n">
        <v>41.10021475441389</v>
      </c>
      <c r="K1082" s="5" t="n">
        <v>52</v>
      </c>
    </row>
    <row r="1083">
      <c r="A1083" s="2" t="n">
        <v>46142.5</v>
      </c>
      <c r="B1083">
        <f>TEXT(A1083,"yyyy-mm")</f>
        <v/>
      </c>
      <c r="C1083" s="3">
        <f>HOUR(A1083)</f>
        <v/>
      </c>
      <c r="D1083" s="4" t="n">
        <v>22.13318306549722</v>
      </c>
      <c r="E1083" s="4" t="n">
        <v>23.73119289207222</v>
      </c>
      <c r="F1083" s="4" t="n">
        <v>22.53607150643611</v>
      </c>
      <c r="G1083" s="4" t="n">
        <v>8.800000000000001</v>
      </c>
      <c r="H1083" s="5" t="n">
        <v>56.48872711736944</v>
      </c>
      <c r="I1083" s="5" t="n">
        <v>51.89185739400278</v>
      </c>
      <c r="J1083" s="5" t="n">
        <v>41.85173869538056</v>
      </c>
      <c r="K1083" s="5" t="n">
        <v>49</v>
      </c>
    </row>
    <row r="1084">
      <c r="A1084" s="2" t="n">
        <v>46142.54166666666</v>
      </c>
      <c r="B1084">
        <f>TEXT(A1084,"yyyy-mm")</f>
        <v/>
      </c>
      <c r="C1084" s="3">
        <f>HOUR(A1084)</f>
        <v/>
      </c>
      <c r="D1084" s="4" t="n">
        <v>21.94598244946112</v>
      </c>
      <c r="E1084" s="4" t="n">
        <v>23.71928680154167</v>
      </c>
      <c r="F1084" s="4" t="n">
        <v>22.56429359375833</v>
      </c>
      <c r="G1084" s="4" t="n">
        <v>9</v>
      </c>
      <c r="H1084" s="5" t="n">
        <v>57.35341513573056</v>
      </c>
      <c r="I1084" s="5" t="n">
        <v>51.25597304539722</v>
      </c>
      <c r="J1084" s="5" t="n">
        <v>42.48810267216388</v>
      </c>
      <c r="K1084" s="5" t="n">
        <v>47</v>
      </c>
    </row>
    <row r="1085">
      <c r="A1085" s="2" t="n">
        <v>46142.58333333334</v>
      </c>
      <c r="B1085">
        <f>TEXT(A1085,"yyyy-mm")</f>
        <v/>
      </c>
      <c r="C1085" s="3">
        <f>HOUR(A1085)</f>
        <v/>
      </c>
      <c r="D1085" s="4" t="n">
        <v>21.83896266900833</v>
      </c>
      <c r="E1085" s="4" t="n">
        <v>23.60761006349445</v>
      </c>
      <c r="F1085" s="4" t="n">
        <v>22.72053733017222</v>
      </c>
      <c r="G1085" s="4" t="n">
        <v>8.9</v>
      </c>
      <c r="H1085" s="5" t="n">
        <v>55.85265324834445</v>
      </c>
      <c r="I1085" s="5" t="n">
        <v>50.55268157616945</v>
      </c>
      <c r="J1085" s="5" t="n">
        <v>46.87613325179722</v>
      </c>
      <c r="K1085" s="5" t="n">
        <v>47</v>
      </c>
    </row>
    <row r="1086">
      <c r="A1086" s="2" t="n">
        <v>46142.625</v>
      </c>
      <c r="B1086">
        <f>TEXT(A1086,"yyyy-mm")</f>
        <v/>
      </c>
      <c r="C1086" s="3">
        <f>HOUR(A1086)</f>
        <v/>
      </c>
      <c r="D1086" s="4" t="n">
        <v>21.60676756325556</v>
      </c>
      <c r="E1086" s="4" t="n">
        <v>23.50072401337778</v>
      </c>
      <c r="F1086" s="4" t="n">
        <v>22.70703365400833</v>
      </c>
      <c r="G1086" s="4" t="n">
        <v>8</v>
      </c>
      <c r="H1086" s="5" t="n">
        <v>54.77462402877222</v>
      </c>
      <c r="I1086" s="5" t="n">
        <v>51.12804466034722</v>
      </c>
      <c r="J1086" s="5" t="n">
        <v>45.30047662162778</v>
      </c>
      <c r="K1086" s="5" t="n">
        <v>50</v>
      </c>
    </row>
    <row r="1087">
      <c r="A1087" s="2" t="n">
        <v>46142.66666666666</v>
      </c>
      <c r="B1087">
        <f>TEXT(A1087,"yyyy-mm")</f>
        <v/>
      </c>
      <c r="C1087" s="3">
        <f>HOUR(A1087)</f>
        <v/>
      </c>
      <c r="D1087" s="4" t="n">
        <v>21.54846671035</v>
      </c>
      <c r="E1087" s="4" t="n">
        <v>23.28340685247778</v>
      </c>
      <c r="F1087" s="4" t="n">
        <v>22.73449894770556</v>
      </c>
      <c r="G1087" s="4" t="n">
        <v>8.300000000000001</v>
      </c>
      <c r="H1087" s="5" t="n">
        <v>54.07201286291112</v>
      </c>
      <c r="I1087" s="5" t="n">
        <v>49.78629474523056</v>
      </c>
      <c r="J1087" s="5" t="n">
        <v>45.28082047097778</v>
      </c>
      <c r="K1087" s="5" t="n">
        <v>50</v>
      </c>
    </row>
    <row r="1088">
      <c r="A1088" s="2" t="n">
        <v>46142.70833333334</v>
      </c>
      <c r="B1088">
        <f>TEXT(A1088,"yyyy-mm")</f>
        <v/>
      </c>
      <c r="C1088" s="3">
        <f>HOUR(A1088)</f>
        <v/>
      </c>
      <c r="D1088" s="4" t="n">
        <v>21.51697821408056</v>
      </c>
      <c r="E1088" s="4" t="n">
        <v>23.16572963702222</v>
      </c>
      <c r="F1088" s="4" t="n">
        <v>22.71574448530278</v>
      </c>
      <c r="G1088" s="4" t="n">
        <v>8</v>
      </c>
      <c r="H1088" s="5" t="n">
        <v>53.88489523850277</v>
      </c>
      <c r="I1088" s="5" t="n">
        <v>49.01788229034722</v>
      </c>
      <c r="J1088" s="5" t="n">
        <v>44.55936983625833</v>
      </c>
      <c r="K1088" s="5" t="n">
        <v>50</v>
      </c>
    </row>
    <row r="1089">
      <c r="A1089" s="2" t="n">
        <v>46142.75</v>
      </c>
      <c r="B1089">
        <f>TEXT(A1089,"yyyy-mm")</f>
        <v/>
      </c>
      <c r="C1089" s="3">
        <f>HOUR(A1089)</f>
        <v/>
      </c>
      <c r="D1089" s="4" t="n">
        <v>21.60247077583888</v>
      </c>
      <c r="E1089" s="4" t="n">
        <v>23.30402307066389</v>
      </c>
      <c r="F1089" s="4" t="n">
        <v>22.67902241674444</v>
      </c>
      <c r="G1089" s="4" t="n">
        <v>7.5</v>
      </c>
      <c r="H1089" s="5" t="n">
        <v>53.64970012751389</v>
      </c>
      <c r="I1089" s="5" t="n">
        <v>49.86046887584166</v>
      </c>
      <c r="J1089" s="5" t="n">
        <v>43.77703752215834</v>
      </c>
      <c r="K1089" s="5" t="n">
        <v>52</v>
      </c>
    </row>
    <row r="1090">
      <c r="A1090" s="2" t="n">
        <v>46142.79166666666</v>
      </c>
      <c r="B1090">
        <f>TEXT(A1090,"yyyy-mm")</f>
        <v/>
      </c>
      <c r="C1090" s="3">
        <f>HOUR(A1090)</f>
        <v/>
      </c>
      <c r="D1090" s="4" t="n">
        <v>21.54810504025</v>
      </c>
      <c r="E1090" s="4" t="n">
        <v>23.39237566620556</v>
      </c>
      <c r="F1090" s="4" t="n">
        <v>22.70553963704722</v>
      </c>
      <c r="G1090" s="4" t="n">
        <v>6.6</v>
      </c>
      <c r="H1090" s="5" t="n">
        <v>54.13309368318611</v>
      </c>
      <c r="I1090" s="5" t="n">
        <v>49.92967290931944</v>
      </c>
      <c r="J1090" s="5" t="n">
        <v>45.58716770109445</v>
      </c>
      <c r="K1090" s="5" t="n">
        <v>61</v>
      </c>
    </row>
    <row r="1091">
      <c r="A1091" s="2" t="n">
        <v>46142.83333333334</v>
      </c>
      <c r="B1091">
        <f>TEXT(A1091,"yyyy-mm")</f>
        <v/>
      </c>
      <c r="C1091" s="3">
        <f>HOUR(A1091)</f>
        <v/>
      </c>
      <c r="D1091" s="4" t="n">
        <v>21.46204973619722</v>
      </c>
      <c r="E1091" s="4" t="n">
        <v>23.45409681350555</v>
      </c>
      <c r="F1091" s="4" t="n">
        <v>22.78610526097778</v>
      </c>
      <c r="G1091" s="4" t="n">
        <v>5.1</v>
      </c>
      <c r="H1091" s="5" t="n">
        <v>53.30953112092222</v>
      </c>
      <c r="I1091" s="5" t="n">
        <v>47.91317866148333</v>
      </c>
      <c r="J1091" s="5" t="n">
        <v>50.35750407984722</v>
      </c>
      <c r="K1091" s="5" t="n">
        <v>71</v>
      </c>
    </row>
    <row r="1092">
      <c r="A1092" s="2" t="n">
        <v>46142.875</v>
      </c>
      <c r="B1092">
        <f>TEXT(A1092,"yyyy-mm")</f>
        <v/>
      </c>
      <c r="C1092" s="3">
        <f>HOUR(A1092)</f>
        <v/>
      </c>
      <c r="D1092" s="4" t="n">
        <v>21.39575631507778</v>
      </c>
      <c r="E1092" s="4" t="n">
        <v>23.374539049725</v>
      </c>
      <c r="F1092" s="4" t="n">
        <v>22.79270049741666</v>
      </c>
      <c r="G1092" s="4" t="n">
        <v>4.8</v>
      </c>
      <c r="H1092" s="5" t="n">
        <v>54.08349485234722</v>
      </c>
      <c r="I1092" s="5" t="n">
        <v>49.85549218555278</v>
      </c>
      <c r="J1092" s="5" t="n">
        <v>47.76559107526111</v>
      </c>
      <c r="K1092" s="5" t="n">
        <v>76</v>
      </c>
    </row>
    <row r="1093">
      <c r="A1093" s="2" t="n">
        <v>46142.91666666666</v>
      </c>
      <c r="B1093">
        <f>TEXT(A1093,"yyyy-mm")</f>
        <v/>
      </c>
      <c r="C1093" s="3">
        <f>HOUR(A1093)</f>
        <v/>
      </c>
      <c r="D1093" s="4" t="n">
        <v>21.47334186776667</v>
      </c>
      <c r="E1093" s="4" t="n">
        <v>23.31056379885555</v>
      </c>
      <c r="F1093" s="4" t="n">
        <v>22.74789067748056</v>
      </c>
      <c r="G1093" s="4" t="n">
        <v>4.4</v>
      </c>
      <c r="H1093" s="5" t="n">
        <v>53.47813692721945</v>
      </c>
      <c r="I1093" s="5" t="n">
        <v>48.88991409430556</v>
      </c>
      <c r="J1093" s="5" t="n">
        <v>45.16084797224167</v>
      </c>
      <c r="K1093" s="5" t="n">
        <v>77</v>
      </c>
    </row>
    <row r="1094">
      <c r="A1094" s="2" t="n">
        <v>46142.95833333334</v>
      </c>
      <c r="B1094">
        <f>TEXT(A1094,"yyyy-mm")</f>
        <v/>
      </c>
      <c r="C1094" s="3">
        <f>HOUR(A1094)</f>
        <v/>
      </c>
      <c r="D1094" s="4" t="n">
        <v>21.51569171048056</v>
      </c>
      <c r="E1094" s="4" t="n">
        <v>23.29243208113056</v>
      </c>
      <c r="F1094" s="4" t="n">
        <v>22.6949271881</v>
      </c>
      <c r="G1094" s="4" t="n">
        <v>3.6</v>
      </c>
      <c r="H1094" s="5" t="n">
        <v>52.66003304095278</v>
      </c>
      <c r="I1094" s="5" t="n">
        <v>47.59059344596944</v>
      </c>
      <c r="J1094" s="5" t="n">
        <v>43.96160954242777</v>
      </c>
      <c r="K1094" s="5" t="n">
        <v>81</v>
      </c>
    </row>
    <row r="1095">
      <c r="A1095" s="2" t="n">
        <v>46143</v>
      </c>
      <c r="B1095">
        <f>TEXT(A1095,"yyyy-mm")</f>
        <v/>
      </c>
      <c r="C1095" s="3">
        <f>HOUR(A1095)</f>
        <v/>
      </c>
      <c r="D1095" s="4" t="n">
        <v>21.56552596056111</v>
      </c>
      <c r="E1095" s="4" t="n">
        <v>23.37243953500278</v>
      </c>
      <c r="F1095" s="4" t="n">
        <v>22.64773288525556</v>
      </c>
      <c r="G1095" s="4" t="n">
        <v>3.2</v>
      </c>
      <c r="H1095" s="5" t="n">
        <v>51.79496555433889</v>
      </c>
      <c r="I1095" s="5" t="n">
        <v>46.62648516492222</v>
      </c>
      <c r="J1095" s="5" t="n">
        <v>43.173485512525</v>
      </c>
      <c r="K1095" s="5" t="n">
        <v>83</v>
      </c>
    </row>
    <row r="1096">
      <c r="A1096" s="2" t="n">
        <v>46143.04166666666</v>
      </c>
      <c r="B1096">
        <f>TEXT(A1096,"yyyy-mm")</f>
        <v/>
      </c>
      <c r="C1096" s="3">
        <f>HOUR(A1096)</f>
        <v/>
      </c>
      <c r="D1096" s="4" t="n">
        <v>21.51357615105833</v>
      </c>
      <c r="E1096" s="4" t="n">
        <v>23.60471698693055</v>
      </c>
      <c r="F1096" s="4" t="n">
        <v>22.62400693189444</v>
      </c>
      <c r="G1096" s="4" t="n">
        <v>2.7</v>
      </c>
      <c r="H1096" s="5" t="n">
        <v>51.546146164975</v>
      </c>
      <c r="I1096" s="5" t="n">
        <v>47.84734240628333</v>
      </c>
      <c r="J1096" s="5" t="n">
        <v>43.02643086498333</v>
      </c>
      <c r="K1096" s="5" t="n">
        <v>84</v>
      </c>
    </row>
    <row r="1097">
      <c r="A1097" s="2" t="n">
        <v>46143.08333333334</v>
      </c>
      <c r="B1097">
        <f>TEXT(A1097,"yyyy-mm")</f>
        <v/>
      </c>
      <c r="C1097" s="3">
        <f>HOUR(A1097)</f>
        <v/>
      </c>
      <c r="D1097" s="4" t="n">
        <v>21.10824232753056</v>
      </c>
      <c r="E1097" s="4" t="n">
        <v>23.10093690682778</v>
      </c>
      <c r="F1097" s="4" t="n">
        <v>22.59366548793333</v>
      </c>
      <c r="G1097" s="4" t="n">
        <v>2</v>
      </c>
      <c r="H1097" s="5" t="n">
        <v>53.91765411955</v>
      </c>
      <c r="I1097" s="5" t="n">
        <v>49.16741728352778</v>
      </c>
      <c r="J1097" s="5" t="n">
        <v>42.57946553397501</v>
      </c>
      <c r="K1097" s="5" t="n">
        <v>87</v>
      </c>
    </row>
    <row r="1098">
      <c r="A1098" s="2" t="n">
        <v>46143.125</v>
      </c>
      <c r="B1098">
        <f>TEXT(A1098,"yyyy-mm")</f>
        <v/>
      </c>
      <c r="C1098" s="3">
        <f>HOUR(A1098)</f>
        <v/>
      </c>
      <c r="D1098" s="4" t="n">
        <v>20.72614336696945</v>
      </c>
      <c r="E1098" s="4" t="n">
        <v>22.648950616625</v>
      </c>
      <c r="F1098" s="4" t="n">
        <v>22.54441031694445</v>
      </c>
      <c r="G1098" s="4" t="n">
        <v>1.9</v>
      </c>
      <c r="H1098" s="5" t="n">
        <v>56.22807895422222</v>
      </c>
      <c r="I1098" s="5" t="n">
        <v>49.89676226368611</v>
      </c>
      <c r="J1098" s="5" t="n">
        <v>42.09938767470833</v>
      </c>
      <c r="K1098" s="5" t="n">
        <v>88</v>
      </c>
    </row>
    <row r="1099">
      <c r="A1099" s="2" t="n">
        <v>46143.16666666666</v>
      </c>
      <c r="B1099">
        <f>TEXT(A1099,"yyyy-mm")</f>
        <v/>
      </c>
      <c r="C1099" s="3">
        <f>HOUR(A1099)</f>
        <v/>
      </c>
      <c r="D1099" s="4" t="n">
        <v>20.45703976624445</v>
      </c>
      <c r="E1099" s="4" t="n">
        <v>22.43483633015555</v>
      </c>
      <c r="F1099" s="4" t="n">
        <v>22.50570271291389</v>
      </c>
      <c r="G1099" s="4" t="n">
        <v>1.7</v>
      </c>
      <c r="H1099" s="5" t="n">
        <v>55.861900223125</v>
      </c>
      <c r="I1099" s="5" t="n">
        <v>48.75860608031112</v>
      </c>
      <c r="J1099" s="5" t="n">
        <v>41.77173149793889</v>
      </c>
      <c r="K1099" s="5" t="n">
        <v>90</v>
      </c>
    </row>
    <row r="1100">
      <c r="A1100" s="2" t="n">
        <v>46143.20833333334</v>
      </c>
      <c r="B1100">
        <f>TEXT(A1100,"yyyy-mm")</f>
        <v/>
      </c>
      <c r="C1100" s="3">
        <f>HOUR(A1100)</f>
        <v/>
      </c>
      <c r="D1100" s="4" t="n">
        <v>20.27576932884444</v>
      </c>
      <c r="E1100" s="4" t="n">
        <v>22.16518934251667</v>
      </c>
      <c r="F1100" s="4" t="n">
        <v>22.47574324510833</v>
      </c>
      <c r="G1100" s="4" t="n">
        <v>1.3</v>
      </c>
      <c r="H1100" s="5" t="n">
        <v>55.29124139979167</v>
      </c>
      <c r="I1100" s="5" t="n">
        <v>48.41079592743333</v>
      </c>
      <c r="J1100" s="5" t="n">
        <v>41.52415825907222</v>
      </c>
      <c r="K1100" s="5" t="n">
        <v>91</v>
      </c>
    </row>
    <row r="1101">
      <c r="A1101" s="2" t="n">
        <v>46143.25</v>
      </c>
      <c r="B1101">
        <f>TEXT(A1101,"yyyy-mm")</f>
        <v/>
      </c>
      <c r="C1101" s="3">
        <f>HOUR(A1101)</f>
        <v/>
      </c>
      <c r="D1101" s="4" t="n">
        <v>20.24499559745</v>
      </c>
      <c r="E1101" s="4" t="n">
        <v>22.10941058246112</v>
      </c>
      <c r="F1101" s="4" t="n">
        <v>22.45018762628333</v>
      </c>
      <c r="G1101" s="4" t="n">
        <v>1.2</v>
      </c>
      <c r="H1101" s="5" t="n">
        <v>54.37027325618333</v>
      </c>
      <c r="I1101" s="5" t="n">
        <v>47.54861423309166</v>
      </c>
      <c r="J1101" s="5" t="n">
        <v>41.31529587541667</v>
      </c>
      <c r="K1101" s="5" t="n">
        <v>92</v>
      </c>
    </row>
    <row r="1102">
      <c r="A1102" s="2" t="n">
        <v>46143.29166666666</v>
      </c>
      <c r="B1102">
        <f>TEXT(A1102,"yyyy-mm")</f>
        <v/>
      </c>
      <c r="C1102" s="3">
        <f>HOUR(A1102)</f>
        <v/>
      </c>
      <c r="D1102" s="4" t="n">
        <v>20.23441689328612</v>
      </c>
      <c r="E1102" s="4" t="n">
        <v>21.94493403770278</v>
      </c>
      <c r="F1102" s="4" t="n">
        <v>22.42787774538056</v>
      </c>
      <c r="G1102" s="4" t="n">
        <v>2.4</v>
      </c>
      <c r="H1102" s="5" t="n">
        <v>53.68890705481389</v>
      </c>
      <c r="I1102" s="5" t="n">
        <v>47.22019913344167</v>
      </c>
      <c r="J1102" s="5" t="n">
        <v>41.16322460241111</v>
      </c>
      <c r="K1102" s="5" t="n">
        <v>90</v>
      </c>
    </row>
    <row r="1103">
      <c r="A1103" s="2" t="n">
        <v>46143.33333333334</v>
      </c>
      <c r="B1103">
        <f>TEXT(A1103,"yyyy-mm")</f>
        <v/>
      </c>
      <c r="C1103" s="3">
        <f>HOUR(A1103)</f>
        <v/>
      </c>
      <c r="D1103" s="4" t="n">
        <v>20.24499792930278</v>
      </c>
      <c r="E1103" s="4" t="n">
        <v>21.86722502239166</v>
      </c>
      <c r="F1103" s="4" t="n">
        <v>22.40772703575278</v>
      </c>
      <c r="G1103" s="4" t="n">
        <v>4.5</v>
      </c>
      <c r="H1103" s="5" t="n">
        <v>52.91671907968055</v>
      </c>
      <c r="I1103" s="5" t="n">
        <v>46.8146442644</v>
      </c>
      <c r="J1103" s="5" t="n">
        <v>41.03078722593611</v>
      </c>
      <c r="K1103" s="5" t="n">
        <v>82</v>
      </c>
    </row>
    <row r="1104">
      <c r="A1104" s="2" t="n">
        <v>46143.375</v>
      </c>
      <c r="B1104">
        <f>TEXT(A1104,"yyyy-mm")</f>
        <v/>
      </c>
      <c r="C1104" s="3">
        <f>HOUR(A1104)</f>
        <v/>
      </c>
      <c r="D1104" s="4" t="n">
        <v>20.51483862948333</v>
      </c>
      <c r="E1104" s="4" t="n">
        <v>21.83459329706111</v>
      </c>
      <c r="F1104" s="4" t="n">
        <v>22.39326608637778</v>
      </c>
      <c r="G1104" s="4" t="n">
        <v>6.2</v>
      </c>
      <c r="H1104" s="5" t="n">
        <v>51.23584596105277</v>
      </c>
      <c r="I1104" s="5" t="n">
        <v>46.24420340335833</v>
      </c>
      <c r="J1104" s="5" t="n">
        <v>40.91233188743333</v>
      </c>
      <c r="K1104" s="5" t="n">
        <v>69</v>
      </c>
    </row>
    <row r="1105">
      <c r="A1105" s="2" t="n">
        <v>46143.41666666666</v>
      </c>
      <c r="B1105">
        <f>TEXT(A1105,"yyyy-mm")</f>
        <v/>
      </c>
      <c r="C1105" s="3">
        <f>HOUR(A1105)</f>
        <v/>
      </c>
      <c r="D1105" s="4" t="n">
        <v>20.75944295546111</v>
      </c>
      <c r="E1105" s="4" t="n">
        <v>21.88382843491111</v>
      </c>
      <c r="F1105" s="4" t="n">
        <v>22.38130499518333</v>
      </c>
      <c r="G1105" s="4" t="n">
        <v>7.5</v>
      </c>
      <c r="H1105" s="5" t="n">
        <v>49.78225270293888</v>
      </c>
      <c r="I1105" s="5" t="n">
        <v>46.135987574375</v>
      </c>
      <c r="J1105" s="5" t="n">
        <v>40.81141713006667</v>
      </c>
      <c r="K1105" s="5" t="n">
        <v>63</v>
      </c>
    </row>
    <row r="1106">
      <c r="A1106" s="2" t="n">
        <v>46143.45833333334</v>
      </c>
      <c r="B1106">
        <f>TEXT(A1106,"yyyy-mm")</f>
        <v/>
      </c>
      <c r="C1106" s="3">
        <f>HOUR(A1106)</f>
        <v/>
      </c>
      <c r="D1106" s="4" t="n">
        <v>20.71741137589444</v>
      </c>
      <c r="E1106" s="4" t="n">
        <v>21.86700900215834</v>
      </c>
      <c r="F1106" s="4" t="n">
        <v>22.37082614116666</v>
      </c>
      <c r="G1106" s="4" t="n">
        <v>8.300000000000001</v>
      </c>
      <c r="H1106" s="5" t="n">
        <v>49.98811345026112</v>
      </c>
      <c r="I1106" s="5" t="n">
        <v>45.90624712109723</v>
      </c>
      <c r="J1106" s="5" t="n">
        <v>40.7389322393</v>
      </c>
      <c r="K1106" s="5" t="n">
        <v>57</v>
      </c>
    </row>
    <row r="1107">
      <c r="A1107" s="2" t="n">
        <v>46143.5</v>
      </c>
      <c r="B1107">
        <f>TEXT(A1107,"yyyy-mm")</f>
        <v/>
      </c>
      <c r="C1107" s="3">
        <f>HOUR(A1107)</f>
        <v/>
      </c>
      <c r="D1107" s="4" t="n">
        <v>21.09079972228889</v>
      </c>
      <c r="E1107" s="4" t="n">
        <v>22.35204339181666</v>
      </c>
      <c r="F1107" s="4" t="n">
        <v>22.35863875042222</v>
      </c>
      <c r="G1107" s="4" t="n">
        <v>8.6</v>
      </c>
      <c r="H1107" s="5" t="n">
        <v>48.66035858275279</v>
      </c>
      <c r="I1107" s="5" t="n">
        <v>46.66606119802778</v>
      </c>
      <c r="J1107" s="5" t="n">
        <v>40.65740059452222</v>
      </c>
      <c r="K1107" s="5" t="n">
        <v>52</v>
      </c>
    </row>
    <row r="1108">
      <c r="A1108" s="2" t="n">
        <v>46143.54166666666</v>
      </c>
      <c r="B1108">
        <f>TEXT(A1108,"yyyy-mm")</f>
        <v/>
      </c>
      <c r="C1108" s="3">
        <f>HOUR(A1108)</f>
        <v/>
      </c>
      <c r="D1108" s="4" t="n">
        <v>21.21026264661389</v>
      </c>
      <c r="E1108" s="4" t="n">
        <v>22.73437330188889</v>
      </c>
      <c r="F1108" s="4" t="n">
        <v>22.35877768649722</v>
      </c>
      <c r="G1108" s="4" t="n">
        <v>8.800000000000001</v>
      </c>
      <c r="H1108" s="5" t="n">
        <v>50.77222411081667</v>
      </c>
      <c r="I1108" s="5" t="n">
        <v>48.23611334119445</v>
      </c>
      <c r="J1108" s="5" t="n">
        <v>40.52098108040556</v>
      </c>
      <c r="K1108" s="5" t="n">
        <v>49</v>
      </c>
    </row>
    <row r="1109">
      <c r="A1109" s="2" t="n">
        <v>46143.58333333334</v>
      </c>
      <c r="B1109">
        <f>TEXT(A1109,"yyyy-mm")</f>
        <v/>
      </c>
      <c r="C1109" s="3">
        <f>HOUR(A1109)</f>
        <v/>
      </c>
      <c r="D1109" s="4" t="n">
        <v>21.27530555586667</v>
      </c>
      <c r="E1109" s="4" t="n">
        <v>22.96044302395278</v>
      </c>
      <c r="F1109" s="4" t="n">
        <v>22.36142848553889</v>
      </c>
      <c r="G1109" s="4" t="n">
        <v>9.1</v>
      </c>
      <c r="H1109" s="5" t="n">
        <v>49.13863085912777</v>
      </c>
      <c r="I1109" s="5" t="n">
        <v>45.07186517594723</v>
      </c>
      <c r="J1109" s="5" t="n">
        <v>40.38455426154167</v>
      </c>
      <c r="K1109" s="5" t="n">
        <v>47</v>
      </c>
    </row>
    <row r="1110">
      <c r="A1110" s="2" t="n">
        <v>46143.625</v>
      </c>
      <c r="B1110">
        <f>TEXT(A1110,"yyyy-mm")</f>
        <v/>
      </c>
      <c r="C1110" s="3">
        <f>HOUR(A1110)</f>
        <v/>
      </c>
      <c r="D1110" s="4" t="n">
        <v>21.20322956987778</v>
      </c>
      <c r="E1110" s="4" t="n">
        <v>22.97913094255277</v>
      </c>
      <c r="F1110" s="4" t="n">
        <v>22.35970960732778</v>
      </c>
      <c r="G1110" s="4" t="n">
        <v>7.4</v>
      </c>
      <c r="H1110" s="5" t="n">
        <v>49.96564305858889</v>
      </c>
      <c r="I1110" s="5" t="n">
        <v>45.38740717397778</v>
      </c>
      <c r="J1110" s="5" t="n">
        <v>40.40590475448889</v>
      </c>
      <c r="K1110" s="5" t="n">
        <v>59</v>
      </c>
    </row>
    <row r="1111">
      <c r="A1111" s="2" t="n">
        <v>46143.66666666666</v>
      </c>
      <c r="B1111">
        <f>TEXT(A1111,"yyyy-mm")</f>
        <v/>
      </c>
      <c r="C1111" s="3">
        <f>HOUR(A1111)</f>
        <v/>
      </c>
      <c r="D1111" s="4" t="n">
        <v>21.21938905133056</v>
      </c>
      <c r="E1111" s="4" t="n">
        <v>23.02241061168889</v>
      </c>
      <c r="F1111" s="4" t="n">
        <v>22.36510798529444</v>
      </c>
      <c r="G1111" s="4" t="n">
        <v>8.699999999999999</v>
      </c>
      <c r="H1111" s="5" t="n">
        <v>49.95041809537778</v>
      </c>
      <c r="I1111" s="5" t="n">
        <v>45.49421635493056</v>
      </c>
      <c r="J1111" s="5" t="n">
        <v>40.38330524840278</v>
      </c>
      <c r="K1111" s="5" t="n">
        <v>53</v>
      </c>
    </row>
    <row r="1112">
      <c r="A1112" s="2" t="n">
        <v>46143.70833333334</v>
      </c>
      <c r="B1112">
        <f>TEXT(A1112,"yyyy-mm")</f>
        <v/>
      </c>
      <c r="C1112" s="3">
        <f>HOUR(A1112)</f>
        <v/>
      </c>
      <c r="D1112" s="4" t="n">
        <v>21.17951163064722</v>
      </c>
      <c r="E1112" s="4" t="n">
        <v>23.07407115998056</v>
      </c>
      <c r="F1112" s="4" t="n">
        <v>22.38344829126111</v>
      </c>
      <c r="G1112" s="4" t="n">
        <v>8.699999999999999</v>
      </c>
      <c r="H1112" s="5" t="n">
        <v>51.31583230810556</v>
      </c>
      <c r="I1112" s="5" t="n">
        <v>47.82303752960001</v>
      </c>
      <c r="J1112" s="5" t="n">
        <v>40.416316260675</v>
      </c>
      <c r="K1112" s="5" t="n">
        <v>55</v>
      </c>
    </row>
    <row r="1113">
      <c r="A1113" s="2" t="n">
        <v>46143.75</v>
      </c>
      <c r="B1113">
        <f>TEXT(A1113,"yyyy-mm")</f>
        <v/>
      </c>
      <c r="C1113" s="3">
        <f>HOUR(A1113)</f>
        <v/>
      </c>
      <c r="D1113" s="4" t="n">
        <v>20.96328660797778</v>
      </c>
      <c r="E1113" s="4" t="n">
        <v>22.77371441754444</v>
      </c>
      <c r="F1113" s="4" t="n">
        <v>22.37655554822222</v>
      </c>
      <c r="G1113" s="4" t="n">
        <v>7.1</v>
      </c>
      <c r="H1113" s="5" t="n">
        <v>51.29532016673889</v>
      </c>
      <c r="I1113" s="5" t="n">
        <v>46.04628026894722</v>
      </c>
      <c r="J1113" s="5" t="n">
        <v>40.42685230672222</v>
      </c>
      <c r="K1113" s="5" t="n">
        <v>60</v>
      </c>
    </row>
    <row r="1114">
      <c r="A1114" s="2" t="n">
        <v>46143.79166666666</v>
      </c>
      <c r="B1114">
        <f>TEXT(A1114,"yyyy-mm")</f>
        <v/>
      </c>
      <c r="C1114" s="3">
        <f>HOUR(A1114)</f>
        <v/>
      </c>
      <c r="D1114" s="4" t="n">
        <v>20.70228023109722</v>
      </c>
      <c r="E1114" s="4" t="n">
        <v>22.45622745443056</v>
      </c>
      <c r="F1114" s="4" t="n">
        <v>22.36286476493611</v>
      </c>
      <c r="G1114" s="4" t="n">
        <v>6.9</v>
      </c>
      <c r="H1114" s="5" t="n">
        <v>51.72109607525278</v>
      </c>
      <c r="I1114" s="5" t="n">
        <v>46.69969720872499</v>
      </c>
      <c r="J1114" s="5" t="n">
        <v>40.21934800465</v>
      </c>
      <c r="K1114" s="5" t="n">
        <v>63</v>
      </c>
    </row>
    <row r="1115">
      <c r="A1115" s="2" t="n">
        <v>46143.83333333334</v>
      </c>
      <c r="B1115">
        <f>TEXT(A1115,"yyyy-mm")</f>
        <v/>
      </c>
      <c r="C1115" s="3">
        <f>HOUR(A1115)</f>
        <v/>
      </c>
      <c r="D1115" s="4" t="n">
        <v>20.52064661733611</v>
      </c>
      <c r="E1115" s="4" t="n">
        <v>22.48152056898333</v>
      </c>
      <c r="F1115" s="4" t="n">
        <v>22.35631760400834</v>
      </c>
      <c r="G1115" s="4" t="n">
        <v>5.4</v>
      </c>
      <c r="H1115" s="5" t="n">
        <v>52.13670578334722</v>
      </c>
      <c r="I1115" s="5" t="n">
        <v>46.52076984716667</v>
      </c>
      <c r="J1115" s="5" t="n">
        <v>40.06426144938333</v>
      </c>
      <c r="K1115" s="5" t="n">
        <v>71</v>
      </c>
    </row>
    <row r="1116">
      <c r="A1116" s="2" t="n">
        <v>46143.875</v>
      </c>
      <c r="B1116">
        <f>TEXT(A1116,"yyyy-mm")</f>
        <v/>
      </c>
      <c r="C1116" s="3">
        <f>HOUR(A1116)</f>
        <v/>
      </c>
      <c r="D1116" s="4" t="n">
        <v>20.47907777462222</v>
      </c>
      <c r="E1116" s="4" t="n">
        <v>22.931579541075</v>
      </c>
      <c r="F1116" s="4" t="n">
        <v>22.34201937529444</v>
      </c>
      <c r="G1116" s="4" t="n">
        <v>5.1</v>
      </c>
      <c r="H1116" s="5" t="n">
        <v>57.31323983674722</v>
      </c>
      <c r="I1116" s="5" t="n">
        <v>49.85894879921389</v>
      </c>
      <c r="J1116" s="5" t="n">
        <v>39.86541761754167</v>
      </c>
      <c r="K1116" s="5" t="n">
        <v>70</v>
      </c>
    </row>
    <row r="1117">
      <c r="A1117" s="2" t="n">
        <v>46143.91666666666</v>
      </c>
      <c r="B1117">
        <f>TEXT(A1117,"yyyy-mm")</f>
        <v/>
      </c>
      <c r="C1117" s="3">
        <f>HOUR(A1117)</f>
        <v/>
      </c>
      <c r="D1117" s="4" t="n">
        <v>20.82345760576666</v>
      </c>
      <c r="E1117" s="4" t="n">
        <v>23.49440786149444</v>
      </c>
      <c r="F1117" s="4" t="n">
        <v>22.34942752870556</v>
      </c>
      <c r="G1117" s="4" t="n">
        <v>4.9</v>
      </c>
      <c r="H1117" s="5" t="n">
        <v>57.86645388770277</v>
      </c>
      <c r="I1117" s="5" t="n">
        <v>50.56656938845278</v>
      </c>
      <c r="J1117" s="5" t="n">
        <v>39.77789732305833</v>
      </c>
      <c r="K1117" s="5" t="n">
        <v>71</v>
      </c>
    </row>
    <row r="1118">
      <c r="A1118" s="2" t="n">
        <v>46143.95833333334</v>
      </c>
      <c r="B1118">
        <f>TEXT(A1118,"yyyy-mm")</f>
        <v/>
      </c>
      <c r="C1118" s="3">
        <f>HOUR(A1118)</f>
        <v/>
      </c>
      <c r="D1118" s="4" t="n">
        <v>21.18091704904445</v>
      </c>
      <c r="E1118" s="4" t="n">
        <v>23.35553260205</v>
      </c>
      <c r="F1118" s="4" t="n">
        <v>22.35634586850833</v>
      </c>
      <c r="G1118" s="4" t="n">
        <v>4.1</v>
      </c>
      <c r="H1118" s="5" t="n">
        <v>54.91426207839167</v>
      </c>
      <c r="I1118" s="5" t="n">
        <v>48.8246941933611</v>
      </c>
      <c r="J1118" s="5" t="n">
        <v>39.72965609201667</v>
      </c>
      <c r="K1118" s="5" t="n">
        <v>75</v>
      </c>
    </row>
    <row r="1119">
      <c r="A1119" s="2" t="n">
        <v>46144</v>
      </c>
      <c r="B1119">
        <f>TEXT(A1119,"yyyy-mm")</f>
        <v/>
      </c>
      <c r="C1119" s="3">
        <f>HOUR(A1119)</f>
        <v/>
      </c>
      <c r="D1119" s="4" t="n">
        <v>21.26594424674167</v>
      </c>
      <c r="E1119" s="4" t="n">
        <v>23.215658047775</v>
      </c>
      <c r="F1119" s="4" t="n">
        <v>22.35573869542777</v>
      </c>
      <c r="G1119" s="4" t="n">
        <v>3.7</v>
      </c>
      <c r="H1119" s="5" t="n">
        <v>52.37335030915</v>
      </c>
      <c r="I1119" s="5" t="n">
        <v>47.12660433759444</v>
      </c>
      <c r="J1119" s="5" t="n">
        <v>39.65555677528055</v>
      </c>
      <c r="K1119" s="5" t="n">
        <v>78</v>
      </c>
    </row>
    <row r="1120">
      <c r="A1120" s="2" t="n">
        <v>46144.04166666666</v>
      </c>
      <c r="B1120">
        <f>TEXT(A1120,"yyyy-mm")</f>
        <v/>
      </c>
      <c r="C1120" s="3">
        <f>HOUR(A1120)</f>
        <v/>
      </c>
      <c r="D1120" s="4" t="n">
        <v>21.03484386606944</v>
      </c>
      <c r="E1120" s="4" t="n">
        <v>22.98950006842778</v>
      </c>
      <c r="F1120" s="4" t="n">
        <v>22.34459903644445</v>
      </c>
      <c r="G1120" s="4" t="n">
        <v>3.6</v>
      </c>
      <c r="H1120" s="5" t="n">
        <v>51.54624255851389</v>
      </c>
      <c r="I1120" s="5" t="n">
        <v>47.09081437171944</v>
      </c>
      <c r="J1120" s="5" t="n">
        <v>39.570565013775</v>
      </c>
      <c r="K1120" s="5" t="n">
        <v>76</v>
      </c>
    </row>
    <row r="1121">
      <c r="A1121" s="2" t="n">
        <v>46144.08333333334</v>
      </c>
      <c r="B1121">
        <f>TEXT(A1121,"yyyy-mm")</f>
        <v/>
      </c>
      <c r="C1121" s="3">
        <f>HOUR(A1121)</f>
        <v/>
      </c>
      <c r="D1121" s="4" t="n">
        <v>20.83274720490833</v>
      </c>
      <c r="E1121" s="4" t="n">
        <v>22.73725520908055</v>
      </c>
      <c r="F1121" s="4" t="n">
        <v>22.32861439813334</v>
      </c>
      <c r="G1121" s="4" t="n">
        <v>3.4</v>
      </c>
      <c r="H1121" s="5" t="n">
        <v>50.11074956296389</v>
      </c>
      <c r="I1121" s="5" t="n">
        <v>45.54220471688888</v>
      </c>
      <c r="J1121" s="5" t="n">
        <v>39.49160108643333</v>
      </c>
      <c r="K1121" s="5" t="n">
        <v>73</v>
      </c>
    </row>
    <row r="1122">
      <c r="A1122" s="2" t="n">
        <v>46144.125</v>
      </c>
      <c r="B1122">
        <f>TEXT(A1122,"yyyy-mm")</f>
        <v/>
      </c>
      <c r="C1122" s="3">
        <f>HOUR(A1122)</f>
        <v/>
      </c>
      <c r="D1122" s="4" t="n">
        <v>20.54951380905834</v>
      </c>
      <c r="E1122" s="4" t="n">
        <v>22.44936589516945</v>
      </c>
      <c r="F1122" s="4" t="n">
        <v>22.36424299849722</v>
      </c>
      <c r="G1122" s="4" t="n">
        <v>1.7</v>
      </c>
      <c r="H1122" s="5" t="n">
        <v>49.27307161183611</v>
      </c>
      <c r="I1122" s="5" t="n">
        <v>44.59711589152778</v>
      </c>
      <c r="J1122" s="5" t="n">
        <v>41.61975082580833</v>
      </c>
      <c r="K1122" s="5" t="n">
        <v>77</v>
      </c>
    </row>
    <row r="1123">
      <c r="A1123" s="2" t="n">
        <v>46144.16666666666</v>
      </c>
      <c r="B1123">
        <f>TEXT(A1123,"yyyy-mm")</f>
        <v/>
      </c>
      <c r="C1123" s="3">
        <f>HOUR(A1123)</f>
        <v/>
      </c>
      <c r="D1123" s="4" t="n">
        <v>20.05779639934444</v>
      </c>
      <c r="E1123" s="4" t="n">
        <v>21.93114582589167</v>
      </c>
      <c r="F1123" s="4" t="n">
        <v>22.32239862928333</v>
      </c>
      <c r="G1123" s="4" t="n">
        <v>1.4</v>
      </c>
      <c r="H1123" s="5" t="n">
        <v>49.68690195568333</v>
      </c>
      <c r="I1123" s="5" t="n">
        <v>43.64728775446667</v>
      </c>
      <c r="J1123" s="5" t="n">
        <v>40.91149724482778</v>
      </c>
      <c r="K1123" s="5" t="n">
        <v>74</v>
      </c>
    </row>
    <row r="1124">
      <c r="A1124" s="2" t="n">
        <v>46144.20833333334</v>
      </c>
      <c r="B1124">
        <f>TEXT(A1124,"yyyy-mm")</f>
        <v/>
      </c>
      <c r="C1124" s="3">
        <f>HOUR(A1124)</f>
        <v/>
      </c>
      <c r="D1124" s="4" t="n">
        <v>19.95155831308056</v>
      </c>
      <c r="E1124" s="4" t="n">
        <v>21.73601402124444</v>
      </c>
      <c r="F1124" s="4" t="n">
        <v>22.27536750581389</v>
      </c>
      <c r="G1124" s="4" t="n">
        <v>1</v>
      </c>
      <c r="H1124" s="5" t="n">
        <v>49.33958495595834</v>
      </c>
      <c r="I1124" s="5" t="n">
        <v>42.99471990912778</v>
      </c>
      <c r="J1124" s="5" t="n">
        <v>40.14793932876945</v>
      </c>
      <c r="K1124" s="5" t="n">
        <v>74</v>
      </c>
    </row>
    <row r="1125">
      <c r="A1125" s="2" t="n">
        <v>46144.25</v>
      </c>
      <c r="B1125">
        <f>TEXT(A1125,"yyyy-mm")</f>
        <v/>
      </c>
      <c r="C1125" s="3">
        <f>HOUR(A1125)</f>
        <v/>
      </c>
      <c r="D1125" s="4" t="n">
        <v>20.59503999596389</v>
      </c>
      <c r="E1125" s="4" t="n">
        <v>22.00892495800555</v>
      </c>
      <c r="F1125" s="4" t="n">
        <v>22.25482047284722</v>
      </c>
      <c r="G1125" s="4" t="n">
        <v>1</v>
      </c>
      <c r="H1125" s="5" t="n">
        <v>45.99009967793055</v>
      </c>
      <c r="I1125" s="5" t="n">
        <v>42.99595353215833</v>
      </c>
      <c r="J1125" s="5" t="n">
        <v>39.83671504742778</v>
      </c>
      <c r="K1125" s="5" t="n">
        <v>75</v>
      </c>
    </row>
    <row r="1126">
      <c r="A1126" s="2" t="n">
        <v>46144.29166666666</v>
      </c>
      <c r="B1126">
        <f>TEXT(A1126,"yyyy-mm")</f>
        <v/>
      </c>
      <c r="C1126" s="3">
        <f>HOUR(A1126)</f>
        <v/>
      </c>
      <c r="D1126" s="4" t="n">
        <v>21.19634321644722</v>
      </c>
      <c r="E1126" s="4" t="n">
        <v>22.34802476762222</v>
      </c>
      <c r="F1126" s="4" t="n">
        <v>22.24859874382778</v>
      </c>
      <c r="G1126" s="4" t="n">
        <v>2.4</v>
      </c>
      <c r="H1126" s="5" t="n">
        <v>44.21049628601667</v>
      </c>
      <c r="I1126" s="5" t="n">
        <v>42.269986063925</v>
      </c>
      <c r="J1126" s="5" t="n">
        <v>39.64646273306111</v>
      </c>
      <c r="K1126" s="5" t="n">
        <v>78</v>
      </c>
    </row>
    <row r="1127">
      <c r="A1127" s="2" t="n">
        <v>46144.33333333334</v>
      </c>
      <c r="B1127">
        <f>TEXT(A1127,"yyyy-mm")</f>
        <v/>
      </c>
      <c r="C1127" s="3">
        <f>HOUR(A1127)</f>
        <v/>
      </c>
      <c r="D1127" s="4" t="n">
        <v>21.69949520455555</v>
      </c>
      <c r="E1127" s="4" t="n">
        <v>22.79856707747778</v>
      </c>
      <c r="F1127" s="4" t="n">
        <v>22.24770638521944</v>
      </c>
      <c r="G1127" s="4" t="n">
        <v>4.7</v>
      </c>
      <c r="H1127" s="5" t="n">
        <v>42.68846134691389</v>
      </c>
      <c r="I1127" s="5" t="n">
        <v>42.09443366928889</v>
      </c>
      <c r="J1127" s="5" t="n">
        <v>39.51498484840833</v>
      </c>
      <c r="K1127" s="5" t="n">
        <v>73</v>
      </c>
    </row>
    <row r="1128">
      <c r="A1128" s="2" t="n">
        <v>46144.375</v>
      </c>
      <c r="B1128">
        <f>TEXT(A1128,"yyyy-mm")</f>
        <v/>
      </c>
      <c r="C1128" s="3">
        <f>HOUR(A1128)</f>
        <v/>
      </c>
      <c r="D1128" s="4" t="n">
        <v>22.04979103547777</v>
      </c>
      <c r="E1128" s="4" t="n">
        <v>23.16897861157222</v>
      </c>
      <c r="F1128" s="4" t="n">
        <v>22.25794103055833</v>
      </c>
      <c r="G1128" s="4" t="n">
        <v>7.8</v>
      </c>
      <c r="H1128" s="5" t="n">
        <v>42.76267928761666</v>
      </c>
      <c r="I1128" s="5" t="n">
        <v>41.80629251556111</v>
      </c>
      <c r="J1128" s="5" t="n">
        <v>39.40943956160556</v>
      </c>
      <c r="K1128" s="5" t="n">
        <v>43</v>
      </c>
    </row>
    <row r="1129">
      <c r="A1129" s="2" t="n">
        <v>46144.41666666666</v>
      </c>
      <c r="B1129">
        <f>TEXT(A1129,"yyyy-mm")</f>
        <v/>
      </c>
      <c r="C1129" s="3">
        <f>HOUR(A1129)</f>
        <v/>
      </c>
      <c r="D1129" s="4" t="n">
        <v>22.03740503010278</v>
      </c>
      <c r="E1129" s="4" t="n">
        <v>23.36980499659722</v>
      </c>
      <c r="F1129" s="4" t="n">
        <v>22.26917899112778</v>
      </c>
      <c r="G1129" s="4" t="n">
        <v>8.699999999999999</v>
      </c>
      <c r="H1129" s="5" t="n">
        <v>43.86018496203055</v>
      </c>
      <c r="I1129" s="5" t="n">
        <v>41.82392607235556</v>
      </c>
      <c r="J1129" s="5" t="n">
        <v>39.36656107449444</v>
      </c>
      <c r="K1129" s="5" t="n">
        <v>41</v>
      </c>
    </row>
    <row r="1130">
      <c r="A1130" s="2" t="n">
        <v>46144.45833333334</v>
      </c>
      <c r="B1130">
        <f>TEXT(A1130,"yyyy-mm")</f>
        <v/>
      </c>
      <c r="C1130" s="3">
        <f>HOUR(A1130)</f>
        <v/>
      </c>
      <c r="D1130" s="4" t="n">
        <v>22.10734668188611</v>
      </c>
      <c r="E1130" s="4" t="n">
        <v>23.61771235091944</v>
      </c>
      <c r="F1130" s="4" t="n">
        <v>22.28259674179167</v>
      </c>
      <c r="G1130" s="4" t="n">
        <v>9.300000000000001</v>
      </c>
      <c r="H1130" s="5" t="n">
        <v>45.22855141905277</v>
      </c>
      <c r="I1130" s="5" t="n">
        <v>42.78295578425556</v>
      </c>
      <c r="J1130" s="5" t="n">
        <v>39.40224472962777</v>
      </c>
      <c r="K1130" s="5" t="n">
        <v>41</v>
      </c>
    </row>
    <row r="1131">
      <c r="A1131" s="2" t="n">
        <v>46144.5</v>
      </c>
      <c r="B1131">
        <f>TEXT(A1131,"yyyy-mm")</f>
        <v/>
      </c>
      <c r="C1131" s="3">
        <f>HOUR(A1131)</f>
        <v/>
      </c>
      <c r="D1131" s="4" t="n">
        <v>22.03923631265277</v>
      </c>
      <c r="E1131" s="4" t="n">
        <v>23.61126374000555</v>
      </c>
      <c r="F1131" s="4" t="n">
        <v>22.30316344339167</v>
      </c>
      <c r="G1131" s="4" t="n">
        <v>9.800000000000001</v>
      </c>
      <c r="H1131" s="5" t="n">
        <v>47.19097496761111</v>
      </c>
      <c r="I1131" s="5" t="n">
        <v>43.10437821273889</v>
      </c>
      <c r="J1131" s="5" t="n">
        <v>39.24663838443333</v>
      </c>
      <c r="K1131" s="5" t="n">
        <v>41</v>
      </c>
    </row>
    <row r="1132">
      <c r="A1132" s="2" t="n">
        <v>46144.54166666666</v>
      </c>
      <c r="B1132">
        <f>TEXT(A1132,"yyyy-mm")</f>
        <v/>
      </c>
      <c r="C1132" s="3">
        <f>HOUR(A1132)</f>
        <v/>
      </c>
      <c r="D1132" s="4" t="n">
        <v>21.7056986559</v>
      </c>
      <c r="E1132" s="4" t="n">
        <v>23.26694741432778</v>
      </c>
      <c r="F1132" s="4" t="n">
        <v>22.30740385045278</v>
      </c>
      <c r="G1132" s="4" t="n">
        <v>10.1</v>
      </c>
      <c r="H1132" s="5" t="n">
        <v>46.74878084972499</v>
      </c>
      <c r="I1132" s="5" t="n">
        <v>43.14348858271112</v>
      </c>
      <c r="J1132" s="5" t="n">
        <v>39.26605032177222</v>
      </c>
      <c r="K1132" s="5" t="n">
        <v>41</v>
      </c>
    </row>
    <row r="1133">
      <c r="A1133" s="2" t="n">
        <v>46144.58333333334</v>
      </c>
      <c r="B1133">
        <f>TEXT(A1133,"yyyy-mm")</f>
        <v/>
      </c>
      <c r="C1133" s="3">
        <f>HOUR(A1133)</f>
        <v/>
      </c>
      <c r="D1133" s="4" t="n">
        <v>21.51496880393333</v>
      </c>
      <c r="E1133" s="4" t="n">
        <v>22.98865679911944</v>
      </c>
      <c r="F1133" s="4" t="n">
        <v>22.30463647586112</v>
      </c>
      <c r="G1133" s="4" t="n">
        <v>10.2</v>
      </c>
      <c r="H1133" s="5" t="n">
        <v>46.25315869919167</v>
      </c>
      <c r="I1133" s="5" t="n">
        <v>42.21516976685277</v>
      </c>
      <c r="J1133" s="5" t="n">
        <v>39.14019731102222</v>
      </c>
      <c r="K1133" s="5" t="n">
        <v>40</v>
      </c>
    </row>
    <row r="1134">
      <c r="A1134" s="2" t="n">
        <v>46144.625</v>
      </c>
      <c r="B1134">
        <f>TEXT(A1134,"yyyy-mm")</f>
        <v/>
      </c>
      <c r="C1134" s="3">
        <f>HOUR(A1134)</f>
        <v/>
      </c>
      <c r="D1134" s="4" t="n">
        <v>21.70014508861945</v>
      </c>
      <c r="E1134" s="4" t="n">
        <v>22.81959409588333</v>
      </c>
      <c r="F1134" s="4" t="n">
        <v>22.30301690199722</v>
      </c>
      <c r="G1134" s="4" t="n">
        <v>10.7</v>
      </c>
      <c r="H1134" s="5" t="n">
        <v>44.88812121418334</v>
      </c>
      <c r="I1134" s="5" t="n">
        <v>42.12855668303889</v>
      </c>
      <c r="J1134" s="5" t="n">
        <v>39.11999074635</v>
      </c>
      <c r="K1134" s="5" t="n">
        <v>38</v>
      </c>
    </row>
    <row r="1135">
      <c r="A1135" s="2" t="n">
        <v>46144.66666666666</v>
      </c>
      <c r="B1135">
        <f>TEXT(A1135,"yyyy-mm")</f>
        <v/>
      </c>
      <c r="C1135" s="3">
        <f>HOUR(A1135)</f>
        <v/>
      </c>
      <c r="D1135" s="4" t="n">
        <v>21.718163825775</v>
      </c>
      <c r="E1135" s="4" t="n">
        <v>22.79424717901945</v>
      </c>
      <c r="F1135" s="4" t="n">
        <v>22.29548412731667</v>
      </c>
      <c r="G1135" s="4" t="n">
        <v>10.7</v>
      </c>
      <c r="H1135" s="5" t="n">
        <v>44.023013543725</v>
      </c>
      <c r="I1135" s="5" t="n">
        <v>42.62686387986667</v>
      </c>
      <c r="J1135" s="5" t="n">
        <v>39.14409859483333</v>
      </c>
      <c r="K1135" s="5" t="n">
        <v>38</v>
      </c>
    </row>
    <row r="1136">
      <c r="A1136" s="2" t="n">
        <v>46144.70833333334</v>
      </c>
      <c r="B1136">
        <f>TEXT(A1136,"yyyy-mm")</f>
        <v/>
      </c>
      <c r="C1136" s="3">
        <f>HOUR(A1136)</f>
        <v/>
      </c>
      <c r="D1136" s="4" t="n">
        <v>21.46418497134722</v>
      </c>
      <c r="E1136" s="4" t="n">
        <v>22.74456333550278</v>
      </c>
      <c r="F1136" s="4" t="n">
        <v>22.25729904074167</v>
      </c>
      <c r="G1136" s="4" t="n">
        <v>10.6</v>
      </c>
      <c r="H1136" s="5" t="n">
        <v>40.72063324775834</v>
      </c>
      <c r="I1136" s="5" t="n">
        <v>39.52497662145</v>
      </c>
      <c r="J1136" s="5" t="n">
        <v>38.46231110007778</v>
      </c>
      <c r="K1136" s="5" t="n">
        <v>37</v>
      </c>
    </row>
    <row r="1137">
      <c r="A1137" s="2" t="n">
        <v>46144.75</v>
      </c>
      <c r="B1137">
        <f>TEXT(A1137,"yyyy-mm")</f>
        <v/>
      </c>
      <c r="C1137" s="3">
        <f>HOUR(A1137)</f>
        <v/>
      </c>
      <c r="D1137" s="4" t="n">
        <v>21.19009720133889</v>
      </c>
      <c r="E1137" s="4" t="n">
        <v>22.60038942498889</v>
      </c>
      <c r="F1137" s="4" t="n">
        <v>22.21083529555</v>
      </c>
      <c r="G1137" s="4" t="n">
        <v>10.3</v>
      </c>
      <c r="H1137" s="5" t="n">
        <v>37.11021750706944</v>
      </c>
      <c r="I1137" s="5" t="n">
        <v>37.28927362693611</v>
      </c>
      <c r="J1137" s="5" t="n">
        <v>37.97436028381667</v>
      </c>
      <c r="K1137" s="5" t="n">
        <v>42</v>
      </c>
    </row>
    <row r="1138">
      <c r="A1138" s="2" t="n">
        <v>46144.79166666666</v>
      </c>
      <c r="B1138">
        <f>TEXT(A1138,"yyyy-mm")</f>
        <v/>
      </c>
      <c r="C1138" s="3">
        <f>HOUR(A1138)</f>
        <v/>
      </c>
      <c r="D1138" s="4" t="n">
        <v>21.04146726264722</v>
      </c>
      <c r="E1138" s="4" t="n">
        <v>22.51955692275834</v>
      </c>
      <c r="F1138" s="4" t="n">
        <v>22.22117701908056</v>
      </c>
      <c r="G1138" s="4" t="n">
        <v>9.699999999999999</v>
      </c>
      <c r="H1138" s="5" t="n">
        <v>40.45587307564723</v>
      </c>
      <c r="I1138" s="5" t="n">
        <v>40.17207419460278</v>
      </c>
      <c r="J1138" s="5" t="n">
        <v>38.36920721963611</v>
      </c>
      <c r="K1138" s="5" t="n">
        <v>62</v>
      </c>
    </row>
    <row r="1139">
      <c r="A1139" s="2" t="n">
        <v>46144.83333333334</v>
      </c>
      <c r="B1139">
        <f>TEXT(A1139,"yyyy-mm")</f>
        <v/>
      </c>
      <c r="C1139" s="3">
        <f>HOUR(A1139)</f>
        <v/>
      </c>
      <c r="D1139" s="4" t="n">
        <v>20.65744691427222</v>
      </c>
      <c r="E1139" s="4" t="n">
        <v>22.66547318914722</v>
      </c>
      <c r="F1139" s="4" t="n">
        <v>22.21640374365833</v>
      </c>
      <c r="G1139" s="4" t="n">
        <v>8.6</v>
      </c>
      <c r="H1139" s="5" t="n">
        <v>41.46633353633889</v>
      </c>
      <c r="I1139" s="5" t="n">
        <v>38.46705772223056</v>
      </c>
      <c r="J1139" s="5" t="n">
        <v>38.36995610019444</v>
      </c>
      <c r="K1139" s="5" t="n">
        <v>61</v>
      </c>
    </row>
    <row r="1140">
      <c r="A1140" s="2" t="n">
        <v>46144.875</v>
      </c>
      <c r="B1140">
        <f>TEXT(A1140,"yyyy-mm")</f>
        <v/>
      </c>
      <c r="C1140" s="3">
        <f>HOUR(A1140)</f>
        <v/>
      </c>
      <c r="D1140" s="4" t="n">
        <v>20.57265891166667</v>
      </c>
      <c r="E1140" s="4" t="n">
        <v>22.86422540912778</v>
      </c>
      <c r="F1140" s="4" t="n">
        <v>22.2120836512</v>
      </c>
      <c r="G1140" s="4" t="n">
        <v>7.6</v>
      </c>
      <c r="H1140" s="5" t="n">
        <v>41.42464536169444</v>
      </c>
      <c r="I1140" s="5" t="n">
        <v>37.49388336002777</v>
      </c>
      <c r="J1140" s="5" t="n">
        <v>38.36793719282778</v>
      </c>
      <c r="K1140" s="5" t="n">
        <v>57</v>
      </c>
    </row>
    <row r="1141">
      <c r="A1141" s="2" t="n">
        <v>46144.91666666666</v>
      </c>
      <c r="B1141">
        <f>TEXT(A1141,"yyyy-mm")</f>
        <v/>
      </c>
      <c r="C1141" s="3">
        <f>HOUR(A1141)</f>
        <v/>
      </c>
      <c r="D1141" s="4" t="n">
        <v>21.05056563985833</v>
      </c>
      <c r="E1141" s="4" t="n">
        <v>23.23531276558611</v>
      </c>
      <c r="F1141" s="4" t="n">
        <v>22.20825025675833</v>
      </c>
      <c r="G1141" s="4" t="n">
        <v>6.4</v>
      </c>
      <c r="H1141" s="5" t="n">
        <v>40.31054173525833</v>
      </c>
      <c r="I1141" s="5" t="n">
        <v>38.41924469078611</v>
      </c>
      <c r="J1141" s="5" t="n">
        <v>38.35090589484722</v>
      </c>
      <c r="K1141" s="5" t="n">
        <v>62</v>
      </c>
    </row>
    <row r="1142">
      <c r="A1142" s="2" t="n">
        <v>46144.95833333334</v>
      </c>
      <c r="B1142">
        <f>TEXT(A1142,"yyyy-mm")</f>
        <v/>
      </c>
      <c r="C1142" s="3">
        <f>HOUR(A1142)</f>
        <v/>
      </c>
      <c r="D1142" s="4" t="n">
        <v>21.30534438411667</v>
      </c>
      <c r="E1142" s="4" t="n">
        <v>23.30096875821111</v>
      </c>
      <c r="F1142" s="4" t="n">
        <v>22.21540154831389</v>
      </c>
      <c r="G1142" s="4" t="n">
        <v>5.9</v>
      </c>
      <c r="H1142" s="5" t="n">
        <v>40.27419624624167</v>
      </c>
      <c r="I1142" s="5" t="n">
        <v>37.03450416995278</v>
      </c>
      <c r="J1142" s="5" t="n">
        <v>38.429616953475</v>
      </c>
      <c r="K1142" s="5" t="n">
        <v>63</v>
      </c>
    </row>
    <row r="1143">
      <c r="A1143" s="2" t="n">
        <v>46145</v>
      </c>
      <c r="B1143">
        <f>TEXT(A1143,"yyyy-mm")</f>
        <v/>
      </c>
      <c r="C1143" s="3">
        <f>HOUR(A1143)</f>
        <v/>
      </c>
      <c r="D1143" s="4" t="n">
        <v>21.44175669691944</v>
      </c>
      <c r="E1143" s="4" t="n">
        <v>23.38350871398612</v>
      </c>
      <c r="F1143" s="4" t="n">
        <v>22.23447081504722</v>
      </c>
      <c r="G1143" s="4" t="n">
        <v>5.7</v>
      </c>
      <c r="H1143" s="5" t="n">
        <v>41.08746229301112</v>
      </c>
      <c r="I1143" s="5" t="n">
        <v>37.64737171937778</v>
      </c>
      <c r="J1143" s="5" t="n">
        <v>38.48673201865834</v>
      </c>
      <c r="K1143" s="5" t="n">
        <v>65</v>
      </c>
    </row>
    <row r="1144">
      <c r="A1144" s="2" t="n">
        <v>46145.04166666666</v>
      </c>
      <c r="B1144">
        <f>TEXT(A1144,"yyyy-mm")</f>
        <v/>
      </c>
      <c r="C1144" s="3">
        <f>HOUR(A1144)</f>
        <v/>
      </c>
      <c r="D1144" s="4" t="n">
        <v>21.47656712421667</v>
      </c>
      <c r="E1144" s="4" t="n">
        <v>23.35620758838889</v>
      </c>
      <c r="F1144" s="4" t="n">
        <v>22.24483346832222</v>
      </c>
      <c r="G1144" s="4" t="n">
        <v>5.2</v>
      </c>
      <c r="H1144" s="5" t="n">
        <v>41.44652192338889</v>
      </c>
      <c r="I1144" s="5" t="n">
        <v>38.47821492968889</v>
      </c>
      <c r="J1144" s="5" t="n">
        <v>38.51502661050834</v>
      </c>
      <c r="K1144" s="5" t="n">
        <v>68</v>
      </c>
    </row>
    <row r="1145">
      <c r="A1145" s="2" t="n">
        <v>46145.08333333334</v>
      </c>
      <c r="B1145">
        <f>TEXT(A1145,"yyyy-mm")</f>
        <v/>
      </c>
      <c r="C1145" s="3">
        <f>HOUR(A1145)</f>
        <v/>
      </c>
      <c r="D1145" s="4" t="n">
        <v>21.20710832295278</v>
      </c>
      <c r="E1145" s="4" t="n">
        <v>22.88634356155833</v>
      </c>
      <c r="F1145" s="4" t="n">
        <v>22.23150126249723</v>
      </c>
      <c r="G1145" s="4" t="n">
        <v>4.7</v>
      </c>
      <c r="H1145" s="5" t="n">
        <v>41.16064900208889</v>
      </c>
      <c r="I1145" s="5" t="n">
        <v>38.61822057664167</v>
      </c>
      <c r="J1145" s="5" t="n">
        <v>38.51160915491111</v>
      </c>
      <c r="K1145" s="5" t="n">
        <v>71</v>
      </c>
    </row>
    <row r="1146">
      <c r="A1146" s="2" t="n">
        <v>46145.125</v>
      </c>
      <c r="B1146">
        <f>TEXT(A1146,"yyyy-mm")</f>
        <v/>
      </c>
      <c r="C1146" s="3">
        <f>HOUR(A1146)</f>
        <v/>
      </c>
      <c r="D1146" s="4" t="n">
        <v>20.59444658938056</v>
      </c>
      <c r="E1146" s="4" t="n">
        <v>22.410048987775</v>
      </c>
      <c r="F1146" s="4" t="n">
        <v>22.20769602141666</v>
      </c>
      <c r="G1146" s="4" t="n">
        <v>3.8</v>
      </c>
      <c r="H1146" s="5" t="n">
        <v>42.53462992279167</v>
      </c>
      <c r="I1146" s="5" t="n">
        <v>39.14933168928334</v>
      </c>
      <c r="J1146" s="5" t="n">
        <v>38.56851047428611</v>
      </c>
      <c r="K1146" s="5" t="n">
        <v>70</v>
      </c>
    </row>
    <row r="1147">
      <c r="A1147" s="2" t="n">
        <v>46145.16666666666</v>
      </c>
      <c r="B1147">
        <f>TEXT(A1147,"yyyy-mm")</f>
        <v/>
      </c>
      <c r="C1147" s="3">
        <f>HOUR(A1147)</f>
        <v/>
      </c>
      <c r="D1147" s="4" t="n">
        <v>20.27571167292222</v>
      </c>
      <c r="E1147" s="4" t="n">
        <v>22.16498754991666</v>
      </c>
      <c r="F1147" s="4" t="n">
        <v>22.19133475791945</v>
      </c>
      <c r="G1147" s="4" t="n">
        <v>2.7</v>
      </c>
      <c r="H1147" s="5" t="n">
        <v>43.38476603390001</v>
      </c>
      <c r="I1147" s="5" t="n">
        <v>38.908501410575</v>
      </c>
      <c r="J1147" s="5" t="n">
        <v>38.60181737962778</v>
      </c>
      <c r="K1147" s="5" t="n">
        <v>71</v>
      </c>
    </row>
    <row r="1148">
      <c r="A1148" s="2" t="n">
        <v>46145.20833333334</v>
      </c>
      <c r="B1148">
        <f>TEXT(A1148,"yyyy-mm")</f>
        <v/>
      </c>
      <c r="C1148" s="3">
        <f>HOUR(A1148)</f>
        <v/>
      </c>
      <c r="D1148" s="4" t="n">
        <v>20.26754670215556</v>
      </c>
      <c r="E1148" s="4" t="n">
        <v>22.02890436026667</v>
      </c>
      <c r="F1148" s="4" t="n">
        <v>22.1716957677</v>
      </c>
      <c r="G1148" s="4" t="n">
        <v>1.9</v>
      </c>
      <c r="H1148" s="5" t="n">
        <v>43.31542293957778</v>
      </c>
      <c r="I1148" s="5" t="n">
        <v>38.92558102190834</v>
      </c>
      <c r="J1148" s="5" t="n">
        <v>38.61787569681389</v>
      </c>
      <c r="K1148" s="5" t="n">
        <v>73</v>
      </c>
    </row>
    <row r="1149">
      <c r="A1149" s="2" t="n">
        <v>46145.25</v>
      </c>
      <c r="B1149">
        <f>TEXT(A1149,"yyyy-mm")</f>
        <v/>
      </c>
      <c r="C1149" s="3">
        <f>HOUR(A1149)</f>
        <v/>
      </c>
      <c r="D1149" s="4" t="n">
        <v>20.94775574924445</v>
      </c>
      <c r="E1149" s="4" t="n">
        <v>22.20018652284445</v>
      </c>
      <c r="F1149" s="4" t="n">
        <v>22.15737561106667</v>
      </c>
      <c r="G1149" s="4" t="n">
        <v>2</v>
      </c>
      <c r="H1149" s="5" t="n">
        <v>40.50631789945833</v>
      </c>
      <c r="I1149" s="5" t="n">
        <v>38.54382458765833</v>
      </c>
      <c r="J1149" s="5" t="n">
        <v>38.64401321653889</v>
      </c>
      <c r="K1149" s="5" t="n">
        <v>76</v>
      </c>
    </row>
    <row r="1150">
      <c r="A1150" s="2" t="n">
        <v>46145.29166666666</v>
      </c>
      <c r="B1150">
        <f>TEXT(A1150,"yyyy-mm")</f>
        <v/>
      </c>
      <c r="C1150" s="3">
        <f>HOUR(A1150)</f>
        <v/>
      </c>
      <c r="D1150" s="4" t="n">
        <v>21.56006536762222</v>
      </c>
      <c r="E1150" s="4" t="n">
        <v>22.59223557076945</v>
      </c>
      <c r="F1150" s="4" t="n">
        <v>22.15518236511112</v>
      </c>
      <c r="G1150" s="4" t="n">
        <v>3.7</v>
      </c>
      <c r="H1150" s="5" t="n">
        <v>39.71876409550556</v>
      </c>
      <c r="I1150" s="5" t="n">
        <v>38.34543709071944</v>
      </c>
      <c r="J1150" s="5" t="n">
        <v>38.680998401325</v>
      </c>
      <c r="K1150" s="5" t="n">
        <v>73</v>
      </c>
    </row>
    <row r="1151">
      <c r="A1151" s="2" t="n">
        <v>46145.33333333334</v>
      </c>
      <c r="B1151">
        <f>TEXT(A1151,"yyyy-mm")</f>
        <v/>
      </c>
      <c r="C1151" s="3">
        <f>HOUR(A1151)</f>
        <v/>
      </c>
      <c r="D1151" s="4" t="n">
        <v>22.12494127613333</v>
      </c>
      <c r="E1151" s="4" t="n">
        <v>23.11872196160556</v>
      </c>
      <c r="F1151" s="4" t="n">
        <v>22.17406785073611</v>
      </c>
      <c r="G1151" s="4" t="n">
        <v>6.5</v>
      </c>
      <c r="H1151" s="5" t="n">
        <v>39.87517885477499</v>
      </c>
      <c r="I1151" s="5" t="n">
        <v>38.64251128475555</v>
      </c>
      <c r="J1151" s="5" t="n">
        <v>38.75777010691667</v>
      </c>
      <c r="K1151" s="5" t="n">
        <v>70</v>
      </c>
    </row>
    <row r="1152">
      <c r="A1152" s="2" t="n">
        <v>46145.375</v>
      </c>
      <c r="B1152">
        <f>TEXT(A1152,"yyyy-mm")</f>
        <v/>
      </c>
      <c r="C1152" s="3">
        <f>HOUR(A1152)</f>
        <v/>
      </c>
      <c r="D1152" s="4" t="n">
        <v>22.49394079351667</v>
      </c>
      <c r="E1152" s="4" t="n">
        <v>23.35944256116389</v>
      </c>
      <c r="F1152" s="4" t="n">
        <v>22.203039582075</v>
      </c>
      <c r="G1152" s="4" t="n">
        <v>10.2</v>
      </c>
      <c r="H1152" s="5" t="n">
        <v>40.45494816776111</v>
      </c>
      <c r="I1152" s="5" t="n">
        <v>39.46822878661112</v>
      </c>
      <c r="J1152" s="5" t="n">
        <v>39.06152660488611</v>
      </c>
      <c r="K1152" s="5" t="n">
        <v>52</v>
      </c>
    </row>
    <row r="1153">
      <c r="A1153" s="2" t="n">
        <v>46145.41666666666</v>
      </c>
      <c r="B1153">
        <f>TEXT(A1153,"yyyy-mm")</f>
        <v/>
      </c>
      <c r="C1153" s="3">
        <f>HOUR(A1153)</f>
        <v/>
      </c>
      <c r="D1153" s="4" t="n">
        <v>22.5866527832</v>
      </c>
      <c r="E1153" s="4" t="n">
        <v>23.546568481325</v>
      </c>
      <c r="F1153" s="4" t="n">
        <v>22.23473525763333</v>
      </c>
      <c r="G1153" s="4" t="n">
        <v>11.4</v>
      </c>
      <c r="H1153" s="5" t="n">
        <v>41.06109636993055</v>
      </c>
      <c r="I1153" s="5" t="n">
        <v>40.23596639302222</v>
      </c>
      <c r="J1153" s="5" t="n">
        <v>39.38103852339445</v>
      </c>
      <c r="K1153" s="5" t="n">
        <v>34</v>
      </c>
    </row>
    <row r="1154">
      <c r="A1154" s="2" t="n">
        <v>46145.45833333334</v>
      </c>
      <c r="B1154">
        <f>TEXT(A1154,"yyyy-mm")</f>
        <v/>
      </c>
      <c r="C1154" s="3">
        <f>HOUR(A1154)</f>
        <v/>
      </c>
      <c r="D1154" s="4" t="n">
        <v>22.44997745034722</v>
      </c>
      <c r="E1154" s="4" t="n">
        <v>23.57426964656944</v>
      </c>
      <c r="F1154" s="4" t="n">
        <v>22.26598567162777</v>
      </c>
      <c r="G1154" s="4" t="n">
        <v>12</v>
      </c>
      <c r="H1154" s="5" t="n">
        <v>42.34435489839444</v>
      </c>
      <c r="I1154" s="5" t="n">
        <v>40.75434699321667</v>
      </c>
      <c r="J1154" s="5" t="n">
        <v>39.67466213254722</v>
      </c>
      <c r="K1154" s="5" t="n">
        <v>34</v>
      </c>
    </row>
    <row r="1155">
      <c r="A1155" s="2" t="n">
        <v>46145.5</v>
      </c>
      <c r="B1155">
        <f>TEXT(A1155,"yyyy-mm")</f>
        <v/>
      </c>
      <c r="C1155" s="3">
        <f>HOUR(A1155)</f>
        <v/>
      </c>
      <c r="D1155" s="4" t="n">
        <v>22.18463259882222</v>
      </c>
      <c r="E1155" s="4" t="n">
        <v>23.53773542333611</v>
      </c>
      <c r="F1155" s="4" t="n">
        <v>22.26898561654722</v>
      </c>
      <c r="G1155" s="4" t="n">
        <v>12.6</v>
      </c>
      <c r="H1155" s="5" t="n">
        <v>43.72172274764722</v>
      </c>
      <c r="I1155" s="5" t="n">
        <v>41.08547602141668</v>
      </c>
      <c r="J1155" s="5" t="n">
        <v>39.64416415911111</v>
      </c>
      <c r="K1155" s="5" t="n">
        <v>34</v>
      </c>
    </row>
    <row r="1156">
      <c r="A1156" s="2" t="n">
        <v>46145.54166666666</v>
      </c>
      <c r="B1156">
        <f>TEXT(A1156,"yyyy-mm")</f>
        <v/>
      </c>
      <c r="C1156" s="3">
        <f>HOUR(A1156)</f>
        <v/>
      </c>
      <c r="D1156" s="4" t="n">
        <v>22.19537161308889</v>
      </c>
      <c r="E1156" s="4" t="n">
        <v>23.59970121367778</v>
      </c>
      <c r="F1156" s="4" t="n">
        <v>22.28426024141389</v>
      </c>
      <c r="G1156" s="4" t="n">
        <v>13.3</v>
      </c>
      <c r="H1156" s="5" t="n">
        <v>46.19907186232223</v>
      </c>
      <c r="I1156" s="5" t="n">
        <v>44.21227620736945</v>
      </c>
      <c r="J1156" s="5" t="n">
        <v>40.09636365334445</v>
      </c>
      <c r="K1156" s="5" t="n">
        <v>35</v>
      </c>
    </row>
    <row r="1157">
      <c r="A1157" s="2" t="n">
        <v>46145.58333333334</v>
      </c>
      <c r="B1157">
        <f>TEXT(A1157,"yyyy-mm")</f>
        <v/>
      </c>
      <c r="C1157" s="3">
        <f>HOUR(A1157)</f>
        <v/>
      </c>
      <c r="D1157" s="4" t="n">
        <v>22.53100069870834</v>
      </c>
      <c r="E1157" s="4" t="n">
        <v>23.494081007775</v>
      </c>
      <c r="F1157" s="4" t="n">
        <v>22.31369403867778</v>
      </c>
      <c r="G1157" s="4" t="n">
        <v>13.6</v>
      </c>
      <c r="H1157" s="5" t="n">
        <v>45.50426329538333</v>
      </c>
      <c r="I1157" s="5" t="n">
        <v>43.55151494417501</v>
      </c>
      <c r="J1157" s="5" t="n">
        <v>40.75957056505278</v>
      </c>
      <c r="K1157" s="5" t="n">
        <v>36</v>
      </c>
    </row>
    <row r="1158">
      <c r="A1158" s="2" t="n">
        <v>46145.625</v>
      </c>
      <c r="B1158">
        <f>TEXT(A1158,"yyyy-mm")</f>
        <v/>
      </c>
      <c r="C1158" s="3">
        <f>HOUR(A1158)</f>
        <v/>
      </c>
      <c r="D1158" s="4" t="n">
        <v>22.67950041485556</v>
      </c>
      <c r="E1158" s="4" t="n">
        <v>23.51177490308611</v>
      </c>
      <c r="F1158" s="4" t="n">
        <v>22.34399971549166</v>
      </c>
      <c r="G1158" s="4" t="n">
        <v>14.7</v>
      </c>
      <c r="H1158" s="5" t="n">
        <v>44.72161643569167</v>
      </c>
      <c r="I1158" s="5" t="n">
        <v>43.26434331268334</v>
      </c>
      <c r="J1158" s="5" t="n">
        <v>41.18486888346112</v>
      </c>
      <c r="K1158" s="5" t="n">
        <v>32</v>
      </c>
    </row>
    <row r="1159">
      <c r="A1159" s="2" t="n">
        <v>46145.66666666666</v>
      </c>
      <c r="B1159">
        <f>TEXT(A1159,"yyyy-mm")</f>
        <v/>
      </c>
      <c r="C1159" s="3">
        <f>HOUR(A1159)</f>
        <v/>
      </c>
      <c r="D1159" s="4" t="n">
        <v>22.73990128325278</v>
      </c>
      <c r="E1159" s="4" t="n">
        <v>23.51974884692778</v>
      </c>
      <c r="F1159" s="4" t="n">
        <v>22.36241605322222</v>
      </c>
      <c r="G1159" s="4" t="n">
        <v>14.8</v>
      </c>
      <c r="H1159" s="5" t="n">
        <v>44.58862985844167</v>
      </c>
      <c r="I1159" s="5" t="n">
        <v>43.44967701285</v>
      </c>
      <c r="J1159" s="5" t="n">
        <v>41.4992451124139</v>
      </c>
      <c r="K1159" s="5" t="n">
        <v>33</v>
      </c>
    </row>
    <row r="1160">
      <c r="A1160" s="2" t="n">
        <v>46145.70833333334</v>
      </c>
      <c r="B1160">
        <f>TEXT(A1160,"yyyy-mm")</f>
        <v/>
      </c>
      <c r="C1160" s="3">
        <f>HOUR(A1160)</f>
        <v/>
      </c>
      <c r="D1160" s="4" t="n">
        <v>22.37755692563889</v>
      </c>
      <c r="E1160" s="4" t="n">
        <v>23.39816038988889</v>
      </c>
      <c r="F1160" s="4" t="n">
        <v>22.37119538635833</v>
      </c>
      <c r="G1160" s="4" t="n">
        <v>14.5</v>
      </c>
      <c r="H1160" s="5" t="n">
        <v>43.96806680638889</v>
      </c>
      <c r="I1160" s="5" t="n">
        <v>43.03235762420555</v>
      </c>
      <c r="J1160" s="5" t="n">
        <v>41.59108322787223</v>
      </c>
      <c r="K1160" s="5" t="n">
        <v>34</v>
      </c>
    </row>
    <row r="1161">
      <c r="A1161" s="2" t="n">
        <v>46145.75</v>
      </c>
      <c r="B1161">
        <f>TEXT(A1161,"yyyy-mm")</f>
        <v/>
      </c>
      <c r="C1161" s="3">
        <f>HOUR(A1161)</f>
        <v/>
      </c>
      <c r="D1161" s="4" t="n">
        <v>21.96827997256666</v>
      </c>
      <c r="E1161" s="4" t="n">
        <v>23.35345793001666</v>
      </c>
      <c r="F1161" s="4" t="n">
        <v>22.36565315245</v>
      </c>
      <c r="G1161" s="4" t="n">
        <v>14</v>
      </c>
      <c r="H1161" s="5" t="n">
        <v>35.17233573478055</v>
      </c>
      <c r="I1161" s="5" t="n">
        <v>38.15989738349445</v>
      </c>
      <c r="J1161" s="5" t="n">
        <v>41.74697873638889</v>
      </c>
      <c r="K1161" s="5" t="n">
        <v>36</v>
      </c>
    </row>
    <row r="1162">
      <c r="A1162" s="2" t="n">
        <v>46145.79166666666</v>
      </c>
      <c r="B1162">
        <f>TEXT(A1162,"yyyy-mm")</f>
        <v/>
      </c>
      <c r="C1162" s="3">
        <f>HOUR(A1162)</f>
        <v/>
      </c>
      <c r="D1162" s="4" t="n">
        <v>21.76366921165</v>
      </c>
      <c r="E1162" s="4" t="n">
        <v>23.01869520944722</v>
      </c>
      <c r="F1162" s="4" t="n">
        <v>22.34763852550833</v>
      </c>
      <c r="G1162" s="4" t="n">
        <v>12.7</v>
      </c>
      <c r="H1162" s="5" t="n">
        <v>33.37145054250833</v>
      </c>
      <c r="I1162" s="5" t="n">
        <v>34.90276630849723</v>
      </c>
      <c r="J1162" s="5" t="n">
        <v>41.61841839554722</v>
      </c>
      <c r="K1162" s="5" t="n">
        <v>57</v>
      </c>
    </row>
    <row r="1163">
      <c r="A1163" s="2" t="n">
        <v>46145.83333333334</v>
      </c>
      <c r="B1163">
        <f>TEXT(A1163,"yyyy-mm")</f>
        <v/>
      </c>
      <c r="C1163" s="3">
        <f>HOUR(A1163)</f>
        <v/>
      </c>
      <c r="D1163" s="4" t="n">
        <v>21.60719593699167</v>
      </c>
      <c r="E1163" s="4" t="n">
        <v>22.84656894013611</v>
      </c>
      <c r="F1163" s="4" t="n">
        <v>22.324208778</v>
      </c>
      <c r="G1163" s="4" t="n">
        <v>10.9</v>
      </c>
      <c r="H1163" s="5" t="n">
        <v>34.89534549890833</v>
      </c>
      <c r="I1163" s="5" t="n">
        <v>35.00196011027223</v>
      </c>
      <c r="J1163" s="5" t="n">
        <v>41.30304453218889</v>
      </c>
      <c r="K1163" s="5" t="n">
        <v>55</v>
      </c>
    </row>
    <row r="1164">
      <c r="A1164" s="2" t="n">
        <v>46145.875</v>
      </c>
      <c r="B1164">
        <f>TEXT(A1164,"yyyy-mm")</f>
        <v/>
      </c>
      <c r="C1164" s="3">
        <f>HOUR(A1164)</f>
        <v/>
      </c>
      <c r="D1164" s="4" t="n">
        <v>21.58440005372778</v>
      </c>
      <c r="E1164" s="4" t="n">
        <v>22.83350829489444</v>
      </c>
      <c r="F1164" s="4" t="n">
        <v>22.30579166565278</v>
      </c>
      <c r="G1164" s="4" t="n">
        <v>10.6</v>
      </c>
      <c r="H1164" s="5" t="n">
        <v>40.53226284447499</v>
      </c>
      <c r="I1164" s="5" t="n">
        <v>39.298598011325</v>
      </c>
      <c r="J1164" s="5" t="n">
        <v>40.84550112601389</v>
      </c>
      <c r="K1164" s="5" t="n">
        <v>53</v>
      </c>
    </row>
    <row r="1165">
      <c r="A1165" s="2" t="n">
        <v>46145.91666666666</v>
      </c>
      <c r="B1165">
        <f>TEXT(A1165,"yyyy-mm")</f>
        <v/>
      </c>
      <c r="C1165" s="3">
        <f>HOUR(A1165)</f>
        <v/>
      </c>
      <c r="D1165" s="4" t="n">
        <v>21.56659200338611</v>
      </c>
      <c r="E1165" s="4" t="n">
        <v>22.93058441523611</v>
      </c>
      <c r="F1165" s="4" t="n">
        <v>22.29050031072778</v>
      </c>
      <c r="G1165" s="4" t="n">
        <v>9.5</v>
      </c>
      <c r="H1165" s="5" t="n">
        <v>42.74853036020834</v>
      </c>
      <c r="I1165" s="5" t="n">
        <v>40.22927091283889</v>
      </c>
      <c r="J1165" s="5" t="n">
        <v>40.5397913758</v>
      </c>
      <c r="K1165" s="5" t="n">
        <v>61</v>
      </c>
    </row>
    <row r="1166">
      <c r="A1166" s="2" t="n">
        <v>46145.95833333334</v>
      </c>
      <c r="B1166">
        <f>TEXT(A1166,"yyyy-mm")</f>
        <v/>
      </c>
      <c r="C1166" s="3">
        <f>HOUR(A1166)</f>
        <v/>
      </c>
      <c r="D1166" s="4" t="n">
        <v>21.85659623058611</v>
      </c>
      <c r="E1166" s="4" t="n">
        <v>23.32577504265834</v>
      </c>
      <c r="F1166" s="4" t="n">
        <v>22.28186062042778</v>
      </c>
      <c r="G1166" s="4" t="n">
        <v>7.9</v>
      </c>
      <c r="H1166" s="5" t="n">
        <v>42.83043982823611</v>
      </c>
      <c r="I1166" s="5" t="n">
        <v>39.82626780842778</v>
      </c>
      <c r="J1166" s="5" t="n">
        <v>40.30337578333889</v>
      </c>
      <c r="K1166" s="5" t="n">
        <v>67</v>
      </c>
    </row>
    <row r="1167">
      <c r="A1167" s="2" t="n">
        <v>46146</v>
      </c>
      <c r="B1167">
        <f>TEXT(A1167,"yyyy-mm")</f>
        <v/>
      </c>
      <c r="C1167" s="3">
        <f>HOUR(A1167)</f>
        <v/>
      </c>
      <c r="D1167" s="4" t="n">
        <v>22.04085720924166</v>
      </c>
      <c r="E1167" s="4" t="n">
        <v>23.653248278475</v>
      </c>
      <c r="F1167" s="4" t="n">
        <v>22.290749695275</v>
      </c>
      <c r="G1167" s="4" t="n">
        <v>6.8</v>
      </c>
      <c r="H1167" s="5" t="n">
        <v>44.029749921475</v>
      </c>
      <c r="I1167" s="5" t="n">
        <v>43.85992981678611</v>
      </c>
      <c r="J1167" s="5" t="n">
        <v>40.07980499541666</v>
      </c>
      <c r="K1167" s="5" t="n">
        <v>72</v>
      </c>
    </row>
    <row r="1168">
      <c r="A1168" s="2" t="n">
        <v>46146.04166666666</v>
      </c>
      <c r="B1168">
        <f>TEXT(A1168,"yyyy-mm")</f>
        <v/>
      </c>
      <c r="C1168" s="3">
        <f>HOUR(A1168)</f>
        <v/>
      </c>
      <c r="D1168" s="4" t="n">
        <v>21.74672201497222</v>
      </c>
      <c r="E1168" s="4" t="n">
        <v>23.46042819835556</v>
      </c>
      <c r="F1168" s="4" t="n">
        <v>22.29802816423611</v>
      </c>
      <c r="G1168" s="4" t="n">
        <v>6.3</v>
      </c>
      <c r="H1168" s="5" t="n">
        <v>46.07718190133889</v>
      </c>
      <c r="I1168" s="5" t="n">
        <v>44.1305515758639</v>
      </c>
      <c r="J1168" s="5" t="n">
        <v>39.912025083825</v>
      </c>
      <c r="K1168" s="5" t="n">
        <v>69</v>
      </c>
    </row>
    <row r="1169">
      <c r="A1169" s="2" t="n">
        <v>46146.08333333334</v>
      </c>
      <c r="B1169">
        <f>TEXT(A1169,"yyyy-mm")</f>
        <v/>
      </c>
      <c r="C1169" s="3">
        <f>HOUR(A1169)</f>
        <v/>
      </c>
      <c r="D1169" s="4" t="n">
        <v>21.44428136096944</v>
      </c>
      <c r="E1169" s="4" t="n">
        <v>23.13507818989167</v>
      </c>
      <c r="F1169" s="4" t="n">
        <v>22.2757351634</v>
      </c>
      <c r="G1169" s="4" t="n">
        <v>5.8</v>
      </c>
      <c r="H1169" s="5" t="n">
        <v>48.66845867083333</v>
      </c>
      <c r="I1169" s="5" t="n">
        <v>46.98379454982777</v>
      </c>
      <c r="J1169" s="5" t="n">
        <v>39.80797199426112</v>
      </c>
      <c r="K1169" s="5" t="n">
        <v>69</v>
      </c>
    </row>
    <row r="1170">
      <c r="A1170" s="2" t="n">
        <v>46146.125</v>
      </c>
      <c r="B1170">
        <f>TEXT(A1170,"yyyy-mm")</f>
        <v/>
      </c>
      <c r="C1170" s="3">
        <f>HOUR(A1170)</f>
        <v/>
      </c>
      <c r="D1170" s="4" t="n">
        <v>21.189553438225</v>
      </c>
      <c r="E1170" s="4" t="n">
        <v>22.91893388810278</v>
      </c>
      <c r="F1170" s="4" t="n">
        <v>22.25908333927778</v>
      </c>
      <c r="G1170" s="4" t="n">
        <v>5.3</v>
      </c>
      <c r="H1170" s="5" t="n">
        <v>48.62342899324167</v>
      </c>
      <c r="I1170" s="5" t="n">
        <v>45.03131395216945</v>
      </c>
      <c r="J1170" s="5" t="n">
        <v>39.72280252921112</v>
      </c>
      <c r="K1170" s="5" t="n">
        <v>71</v>
      </c>
    </row>
    <row r="1171">
      <c r="A1171" s="2" t="n">
        <v>46146.16666666666</v>
      </c>
      <c r="B1171">
        <f>TEXT(A1171,"yyyy-mm")</f>
        <v/>
      </c>
      <c r="C1171" s="3">
        <f>HOUR(A1171)</f>
        <v/>
      </c>
      <c r="D1171" s="4" t="n">
        <v>21.03864430612222</v>
      </c>
      <c r="E1171" s="4" t="n">
        <v>22.67307655480833</v>
      </c>
      <c r="F1171" s="4" t="n">
        <v>22.24802777268055</v>
      </c>
      <c r="G1171" s="4" t="n">
        <v>5.2</v>
      </c>
      <c r="H1171" s="5" t="n">
        <v>48.02627488743889</v>
      </c>
      <c r="I1171" s="5" t="n">
        <v>44.44480842074722</v>
      </c>
      <c r="J1171" s="5" t="n">
        <v>39.65162603119167</v>
      </c>
      <c r="K1171" s="5" t="n">
        <v>69</v>
      </c>
    </row>
    <row r="1172">
      <c r="A1172" s="2" t="n">
        <v>46146.20833333334</v>
      </c>
      <c r="B1172">
        <f>TEXT(A1172,"yyyy-mm")</f>
        <v/>
      </c>
      <c r="C1172" s="3">
        <f>HOUR(A1172)</f>
        <v/>
      </c>
      <c r="D1172" s="4" t="n">
        <v>21.10260949121111</v>
      </c>
      <c r="E1172" s="4" t="n">
        <v>22.57867691024166</v>
      </c>
      <c r="F1172" s="4" t="n">
        <v>22.23551423744722</v>
      </c>
      <c r="G1172" s="4" t="n">
        <v>5.1</v>
      </c>
      <c r="H1172" s="5" t="n">
        <v>47.04155561340278</v>
      </c>
      <c r="I1172" s="5" t="n">
        <v>43.8809898086</v>
      </c>
      <c r="J1172" s="5" t="n">
        <v>39.59251314028611</v>
      </c>
      <c r="K1172" s="5" t="n">
        <v>68</v>
      </c>
    </row>
    <row r="1173">
      <c r="A1173" s="2" t="n">
        <v>46146.25</v>
      </c>
      <c r="B1173">
        <f>TEXT(A1173,"yyyy-mm")</f>
        <v/>
      </c>
      <c r="C1173" s="3">
        <f>HOUR(A1173)</f>
        <v/>
      </c>
      <c r="D1173" s="4" t="n">
        <v>21.684638518675</v>
      </c>
      <c r="E1173" s="4" t="n">
        <v>22.78196951768889</v>
      </c>
      <c r="F1173" s="4" t="n">
        <v>22.23081965947222</v>
      </c>
      <c r="G1173" s="4" t="n">
        <v>5.6</v>
      </c>
      <c r="H1173" s="5" t="n">
        <v>45.41639994078333</v>
      </c>
      <c r="I1173" s="5" t="n">
        <v>43.11277408125556</v>
      </c>
      <c r="J1173" s="5" t="n">
        <v>39.55408272922222</v>
      </c>
      <c r="K1173" s="5" t="n">
        <v>70</v>
      </c>
    </row>
    <row r="1174">
      <c r="A1174" s="2" t="n">
        <v>46146.29166666666</v>
      </c>
      <c r="B1174">
        <f>TEXT(A1174,"yyyy-mm")</f>
        <v/>
      </c>
      <c r="C1174" s="3">
        <f>HOUR(A1174)</f>
        <v/>
      </c>
      <c r="D1174" s="4" t="n">
        <v>22.24386798136666</v>
      </c>
      <c r="E1174" s="4" t="n">
        <v>23.29378818034445</v>
      </c>
      <c r="F1174" s="4" t="n">
        <v>22.23791665355555</v>
      </c>
      <c r="G1174" s="4" t="n">
        <v>7.2</v>
      </c>
      <c r="H1174" s="5" t="n">
        <v>44.88955812852777</v>
      </c>
      <c r="I1174" s="5" t="n">
        <v>42.72811209371945</v>
      </c>
      <c r="J1174" s="5" t="n">
        <v>39.57558311287222</v>
      </c>
      <c r="K1174" s="5" t="n">
        <v>69</v>
      </c>
    </row>
    <row r="1175">
      <c r="A1175" s="2" t="n">
        <v>46146.33333333334</v>
      </c>
      <c r="B1175">
        <f>TEXT(A1175,"yyyy-mm")</f>
        <v/>
      </c>
      <c r="C1175" s="3">
        <f>HOUR(A1175)</f>
        <v/>
      </c>
      <c r="D1175" s="4" t="n">
        <v>22.73790024603333</v>
      </c>
      <c r="E1175" s="4" t="n">
        <v>23.63291791196667</v>
      </c>
      <c r="F1175" s="4" t="n">
        <v>22.27618333784723</v>
      </c>
      <c r="G1175" s="4" t="n">
        <v>9.800000000000001</v>
      </c>
      <c r="H1175" s="5" t="n">
        <v>44.64730271466112</v>
      </c>
      <c r="I1175" s="5" t="n">
        <v>43.1834399581389</v>
      </c>
      <c r="J1175" s="5" t="n">
        <v>40.33900673064444</v>
      </c>
      <c r="K1175" s="5" t="n">
        <v>65</v>
      </c>
    </row>
    <row r="1176">
      <c r="A1176" s="2" t="n">
        <v>46146.375</v>
      </c>
      <c r="B1176">
        <f>TEXT(A1176,"yyyy-mm")</f>
        <v/>
      </c>
      <c r="C1176" s="3">
        <f>HOUR(A1176)</f>
        <v/>
      </c>
      <c r="D1176" s="4" t="n">
        <v>23.07980655644722</v>
      </c>
      <c r="E1176" s="4" t="n">
        <v>24.01578610071389</v>
      </c>
      <c r="F1176" s="4" t="n">
        <v>22.34158545711111</v>
      </c>
      <c r="G1176" s="4" t="n">
        <v>13.4</v>
      </c>
      <c r="H1176" s="5" t="n">
        <v>45.01455595360556</v>
      </c>
      <c r="I1176" s="5" t="n">
        <v>43.43777467621666</v>
      </c>
      <c r="J1176" s="5" t="n">
        <v>41.46548798750555</v>
      </c>
      <c r="K1176" s="5" t="n">
        <v>51</v>
      </c>
    </row>
    <row r="1177">
      <c r="A1177" s="2" t="n">
        <v>46146.41666666666</v>
      </c>
      <c r="B1177">
        <f>TEXT(A1177,"yyyy-mm")</f>
        <v/>
      </c>
      <c r="C1177" s="3">
        <f>HOUR(A1177)</f>
        <v/>
      </c>
      <c r="D1177" s="4" t="n">
        <v>23.20491411848889</v>
      </c>
      <c r="E1177" s="4" t="n">
        <v>24.17805403019445</v>
      </c>
      <c r="F1177" s="4" t="n">
        <v>22.40378072476944</v>
      </c>
      <c r="G1177" s="4" t="n">
        <v>15.6</v>
      </c>
      <c r="H1177" s="5" t="n">
        <v>45.65926197805278</v>
      </c>
      <c r="I1177" s="5" t="n">
        <v>44.90500534300555</v>
      </c>
      <c r="J1177" s="5" t="n">
        <v>42.50622496988611</v>
      </c>
      <c r="K1177" s="5" t="n">
        <v>41</v>
      </c>
    </row>
    <row r="1178">
      <c r="A1178" s="2" t="n">
        <v>46146.45833333334</v>
      </c>
      <c r="B1178">
        <f>TEXT(A1178,"yyyy-mm")</f>
        <v/>
      </c>
      <c r="C1178" s="3">
        <f>HOUR(A1178)</f>
        <v/>
      </c>
      <c r="D1178" s="4" t="n">
        <v>23.29312193055</v>
      </c>
      <c r="E1178" s="4" t="n">
        <v>24.60338925781112</v>
      </c>
      <c r="F1178" s="4" t="n">
        <v>22.45636530601945</v>
      </c>
      <c r="G1178" s="4" t="n">
        <v>16.7</v>
      </c>
      <c r="H1178" s="5" t="n">
        <v>46.11402138568334</v>
      </c>
      <c r="I1178" s="5" t="n">
        <v>45.06890574641111</v>
      </c>
      <c r="J1178" s="5" t="n">
        <v>43.42492364259723</v>
      </c>
      <c r="K1178" s="5" t="n">
        <v>37</v>
      </c>
    </row>
    <row r="1179">
      <c r="A1179" s="2" t="n">
        <v>46146.5</v>
      </c>
      <c r="B1179">
        <f>TEXT(A1179,"yyyy-mm")</f>
        <v/>
      </c>
      <c r="C1179" s="3">
        <f>HOUR(A1179)</f>
        <v/>
      </c>
      <c r="D1179" s="4" t="n">
        <v>23.22055098543889</v>
      </c>
      <c r="E1179" s="4" t="n">
        <v>24.69239594930556</v>
      </c>
      <c r="F1179" s="4" t="n">
        <v>22.49844818074444</v>
      </c>
      <c r="G1179" s="4" t="n">
        <v>17.4</v>
      </c>
      <c r="H1179" s="5" t="n">
        <v>48.17074026453889</v>
      </c>
      <c r="I1179" s="5" t="n">
        <v>48.38694217077222</v>
      </c>
      <c r="J1179" s="5" t="n">
        <v>44.14448541465556</v>
      </c>
      <c r="K1179" s="5" t="n">
        <v>36</v>
      </c>
    </row>
    <row r="1180">
      <c r="A1180" s="2" t="n">
        <v>46146.54166666666</v>
      </c>
      <c r="B1180">
        <f>TEXT(A1180,"yyyy-mm")</f>
        <v/>
      </c>
      <c r="C1180" s="3">
        <f>HOUR(A1180)</f>
        <v/>
      </c>
      <c r="D1180" s="4" t="n">
        <v>23.09467845099723</v>
      </c>
      <c r="E1180" s="4" t="n">
        <v>24.83193208930278</v>
      </c>
      <c r="F1180" s="4" t="n">
        <v>22.5385284525</v>
      </c>
      <c r="G1180" s="4" t="n">
        <v>18</v>
      </c>
      <c r="H1180" s="5" t="n">
        <v>50.53228927032222</v>
      </c>
      <c r="I1180" s="5" t="n">
        <v>48.84940759653056</v>
      </c>
      <c r="J1180" s="5" t="n">
        <v>44.93139477042222</v>
      </c>
      <c r="K1180" s="5" t="n">
        <v>36</v>
      </c>
    </row>
    <row r="1181">
      <c r="A1181" s="2" t="n">
        <v>46146.58333333334</v>
      </c>
      <c r="B1181">
        <f>TEXT(A1181,"yyyy-mm")</f>
        <v/>
      </c>
      <c r="C1181" s="3">
        <f>HOUR(A1181)</f>
        <v/>
      </c>
      <c r="D1181" s="4" t="n">
        <v>23.04065259074723</v>
      </c>
      <c r="E1181" s="4" t="n">
        <v>24.89846647388612</v>
      </c>
      <c r="F1181" s="4" t="n">
        <v>22.5532913372</v>
      </c>
      <c r="G1181" s="4" t="n">
        <v>18.4</v>
      </c>
      <c r="H1181" s="5" t="n">
        <v>50.74896025636111</v>
      </c>
      <c r="I1181" s="5" t="n">
        <v>47.61841644230555</v>
      </c>
      <c r="J1181" s="5" t="n">
        <v>45.52912791401945</v>
      </c>
      <c r="K1181" s="5" t="n">
        <v>36</v>
      </c>
    </row>
    <row r="1182">
      <c r="A1182" s="2" t="n">
        <v>46146.625</v>
      </c>
      <c r="B1182">
        <f>TEXT(A1182,"yyyy-mm")</f>
        <v/>
      </c>
      <c r="C1182" s="3">
        <f>HOUR(A1182)</f>
        <v/>
      </c>
      <c r="D1182" s="4" t="n">
        <v>22.97845660181666</v>
      </c>
      <c r="E1182" s="4" t="n">
        <v>24.83654290864445</v>
      </c>
      <c r="F1182" s="4" t="n">
        <v>22.56472267200555</v>
      </c>
      <c r="G1182" s="4" t="n">
        <v>19.1</v>
      </c>
      <c r="H1182" s="5" t="n">
        <v>50.44618077618611</v>
      </c>
      <c r="I1182" s="5" t="n">
        <v>46.94744464881112</v>
      </c>
      <c r="J1182" s="5" t="n">
        <v>45.85034574596944</v>
      </c>
      <c r="K1182" s="5" t="n">
        <v>34</v>
      </c>
    </row>
    <row r="1183">
      <c r="A1183" s="2" t="n">
        <v>46146.66666666666</v>
      </c>
      <c r="B1183">
        <f>TEXT(A1183,"yyyy-mm")</f>
        <v/>
      </c>
      <c r="C1183" s="3">
        <f>HOUR(A1183)</f>
        <v/>
      </c>
      <c r="D1183" s="4" t="n">
        <v>22.82479223739722</v>
      </c>
      <c r="E1183" s="4" t="n">
        <v>24.61937904257778</v>
      </c>
      <c r="F1183" s="4" t="n">
        <v>22.78498522822222</v>
      </c>
      <c r="G1183" s="4" t="n">
        <v>19.7</v>
      </c>
      <c r="H1183" s="5" t="n">
        <v>48.07657927629722</v>
      </c>
      <c r="I1183" s="5" t="n">
        <v>44.77516374697779</v>
      </c>
      <c r="J1183" s="5" t="n">
        <v>50.4806257593</v>
      </c>
      <c r="K1183" s="5" t="n">
        <v>37</v>
      </c>
    </row>
    <row r="1184">
      <c r="A1184" s="2" t="n">
        <v>46146.70833333334</v>
      </c>
      <c r="B1184">
        <f>TEXT(A1184,"yyyy-mm")</f>
        <v/>
      </c>
      <c r="C1184" s="3">
        <f>HOUR(A1184)</f>
        <v/>
      </c>
      <c r="D1184" s="4" t="n">
        <v>22.65899002520834</v>
      </c>
      <c r="E1184" s="4" t="n">
        <v>24.40693146476389</v>
      </c>
      <c r="F1184" s="4" t="n">
        <v>22.74225893765277</v>
      </c>
      <c r="G1184" s="4" t="n">
        <v>19.5</v>
      </c>
      <c r="H1184" s="5" t="n">
        <v>40.23480599123612</v>
      </c>
      <c r="I1184" s="5" t="n">
        <v>39.81010118154167</v>
      </c>
      <c r="J1184" s="5" t="n">
        <v>48.30561510143334</v>
      </c>
      <c r="K1184" s="5" t="n">
        <v>38</v>
      </c>
    </row>
    <row r="1185">
      <c r="A1185" s="2" t="n">
        <v>46146.75</v>
      </c>
      <c r="B1185">
        <f>TEXT(A1185,"yyyy-mm")</f>
        <v/>
      </c>
      <c r="C1185" s="3">
        <f>HOUR(A1185)</f>
        <v/>
      </c>
      <c r="D1185" s="4" t="n">
        <v>22.68901793551389</v>
      </c>
      <c r="E1185" s="4" t="n">
        <v>24.33145033128611</v>
      </c>
      <c r="F1185" s="4" t="n">
        <v>22.86867592561945</v>
      </c>
      <c r="G1185" s="4" t="n">
        <v>19</v>
      </c>
      <c r="H1185" s="5" t="n">
        <v>42.23949252692223</v>
      </c>
      <c r="I1185" s="5" t="n">
        <v>40.78732143684445</v>
      </c>
      <c r="J1185" s="5" t="n">
        <v>50.36861858569722</v>
      </c>
      <c r="K1185" s="5" t="n">
        <v>41</v>
      </c>
    </row>
    <row r="1186">
      <c r="A1186" s="2" t="n">
        <v>46146.79166666666</v>
      </c>
      <c r="B1186">
        <f>TEXT(A1186,"yyyy-mm")</f>
        <v/>
      </c>
      <c r="C1186" s="3">
        <f>HOUR(A1186)</f>
        <v/>
      </c>
      <c r="D1186" s="4" t="n">
        <v>22.49086522155556</v>
      </c>
      <c r="E1186" s="4" t="n">
        <v>24.29334318475556</v>
      </c>
      <c r="F1186" s="4" t="n">
        <v>23.01870588273611</v>
      </c>
      <c r="G1186" s="4" t="n">
        <v>17.5</v>
      </c>
      <c r="H1186" s="5" t="n">
        <v>44.93040366281945</v>
      </c>
      <c r="I1186" s="5" t="n">
        <v>43.14555262438611</v>
      </c>
      <c r="J1186" s="5" t="n">
        <v>52.16616483004166</v>
      </c>
      <c r="K1186" s="5" t="n">
        <v>61</v>
      </c>
    </row>
    <row r="1187">
      <c r="A1187" s="2" t="n">
        <v>46146.83333333334</v>
      </c>
      <c r="B1187">
        <f>TEXT(A1187,"yyyy-mm")</f>
        <v/>
      </c>
      <c r="C1187" s="3">
        <f>HOUR(A1187)</f>
        <v/>
      </c>
      <c r="D1187" s="4" t="n">
        <v>22.27902087225833</v>
      </c>
      <c r="E1187" s="4" t="n">
        <v>24.01796767981667</v>
      </c>
      <c r="F1187" s="4" t="n">
        <v>22.87420895142778</v>
      </c>
      <c r="G1187" s="4" t="n">
        <v>14.8</v>
      </c>
      <c r="H1187" s="5" t="n">
        <v>45.74566307990555</v>
      </c>
      <c r="I1187" s="5" t="n">
        <v>43.55092106208611</v>
      </c>
      <c r="J1187" s="5" t="n">
        <v>49.98885987640278</v>
      </c>
      <c r="K1187" s="5" t="n">
        <v>66</v>
      </c>
    </row>
    <row r="1188">
      <c r="A1188" s="2" t="n">
        <v>46146.875</v>
      </c>
      <c r="B1188">
        <f>TEXT(A1188,"yyyy-mm")</f>
        <v/>
      </c>
      <c r="C1188" s="3">
        <f>HOUR(A1188)</f>
        <v/>
      </c>
      <c r="D1188" s="4" t="n">
        <v>22.13591407262778</v>
      </c>
      <c r="E1188" s="4" t="n">
        <v>23.93469755630555</v>
      </c>
      <c r="F1188" s="4" t="n">
        <v>22.79580204896667</v>
      </c>
      <c r="G1188" s="4" t="n">
        <v>14.3</v>
      </c>
      <c r="H1188" s="5" t="n">
        <v>46.89402693546111</v>
      </c>
      <c r="I1188" s="5" t="n">
        <v>43.65479510625833</v>
      </c>
      <c r="J1188" s="5" t="n">
        <v>48.28266670645278</v>
      </c>
      <c r="K1188" s="5" t="n">
        <v>62</v>
      </c>
    </row>
    <row r="1189">
      <c r="A1189" s="2" t="n">
        <v>46146.91666666666</v>
      </c>
      <c r="B1189">
        <f>TEXT(A1189,"yyyy-mm")</f>
        <v/>
      </c>
      <c r="C1189" s="3">
        <f>HOUR(A1189)</f>
        <v/>
      </c>
      <c r="D1189" s="4" t="n">
        <v>22.31278871064444</v>
      </c>
      <c r="E1189" s="4" t="n">
        <v>23.93318806127778</v>
      </c>
      <c r="F1189" s="4" t="n">
        <v>22.76804295366111</v>
      </c>
      <c r="G1189" s="4" t="n">
        <v>13.9</v>
      </c>
      <c r="H1189" s="5" t="n">
        <v>48.76271659053333</v>
      </c>
      <c r="I1189" s="5" t="n">
        <v>45.25917564800833</v>
      </c>
      <c r="J1189" s="5" t="n">
        <v>47.07511469760556</v>
      </c>
      <c r="K1189" s="5" t="n">
        <v>58</v>
      </c>
    </row>
    <row r="1190">
      <c r="A1190" s="2" t="n">
        <v>46146.95833333334</v>
      </c>
      <c r="B1190">
        <f>TEXT(A1190,"yyyy-mm")</f>
        <v/>
      </c>
      <c r="C1190" s="3">
        <f>HOUR(A1190)</f>
        <v/>
      </c>
      <c r="D1190" s="4" t="n">
        <v>22.37694776519444</v>
      </c>
      <c r="E1190" s="4" t="n">
        <v>23.95198573288333</v>
      </c>
      <c r="F1190" s="4" t="n">
        <v>22.74191131422777</v>
      </c>
      <c r="G1190" s="4" t="n">
        <v>12.9</v>
      </c>
      <c r="H1190" s="5" t="n">
        <v>48.75700006547223</v>
      </c>
      <c r="I1190" s="5" t="n">
        <v>45.08621051926111</v>
      </c>
      <c r="J1190" s="5" t="n">
        <v>46.09499205090278</v>
      </c>
      <c r="K1190" s="5" t="n">
        <v>59</v>
      </c>
    </row>
    <row r="1191">
      <c r="A1191" s="2" t="n">
        <v>46147</v>
      </c>
      <c r="B1191">
        <f>TEXT(A1191,"yyyy-mm")</f>
        <v/>
      </c>
      <c r="C1191" s="3">
        <f>HOUR(A1191)</f>
        <v/>
      </c>
      <c r="D1191" s="4" t="n">
        <v>22.34763758676389</v>
      </c>
      <c r="E1191" s="4" t="n">
        <v>24.15243038276389</v>
      </c>
      <c r="F1191" s="4" t="n">
        <v>22.66703491158611</v>
      </c>
      <c r="G1191" s="4" t="n">
        <v>11.6</v>
      </c>
      <c r="H1191" s="5" t="n">
        <v>48.90145710607222</v>
      </c>
      <c r="I1191" s="5" t="n">
        <v>44.98011674420834</v>
      </c>
      <c r="J1191" s="5" t="n">
        <v>45.31805038777778</v>
      </c>
      <c r="K1191" s="5" t="n">
        <v>62</v>
      </c>
    </row>
    <row r="1192">
      <c r="A1192" s="2" t="n">
        <v>46147.04166666666</v>
      </c>
      <c r="B1192">
        <f>TEXT(A1192,"yyyy-mm")</f>
        <v/>
      </c>
      <c r="C1192" s="3">
        <f>HOUR(A1192)</f>
        <v/>
      </c>
      <c r="D1192" s="4" t="n">
        <v>22.19563233735833</v>
      </c>
      <c r="E1192" s="4" t="n">
        <v>24.04945975288889</v>
      </c>
      <c r="F1192" s="4" t="n">
        <v>22.625329758775</v>
      </c>
      <c r="G1192" s="4" t="n">
        <v>10.7</v>
      </c>
      <c r="H1192" s="5" t="n">
        <v>50.62907008569445</v>
      </c>
      <c r="I1192" s="5" t="n">
        <v>46.08443095100557</v>
      </c>
      <c r="J1192" s="5" t="n">
        <v>44.68440628430556</v>
      </c>
      <c r="K1192" s="5" t="n">
        <v>64</v>
      </c>
    </row>
    <row r="1193">
      <c r="A1193" s="2" t="n">
        <v>46147.08333333334</v>
      </c>
      <c r="B1193">
        <f>TEXT(A1193,"yyyy-mm")</f>
        <v/>
      </c>
      <c r="C1193" s="3">
        <f>HOUR(A1193)</f>
        <v/>
      </c>
      <c r="D1193" s="4" t="n">
        <v>21.94232079001389</v>
      </c>
      <c r="E1193" s="4" t="n">
        <v>23.75108494466112</v>
      </c>
      <c r="F1193" s="4" t="n">
        <v>22.59862171640278</v>
      </c>
      <c r="G1193" s="4" t="n">
        <v>9.800000000000001</v>
      </c>
      <c r="H1193" s="5" t="n">
        <v>53.77497553409167</v>
      </c>
      <c r="I1193" s="5" t="n">
        <v>48.32777598784444</v>
      </c>
      <c r="J1193" s="5" t="n">
        <v>44.22405519176389</v>
      </c>
      <c r="K1193" s="5" t="n">
        <v>67</v>
      </c>
    </row>
    <row r="1194">
      <c r="A1194" s="2" t="n">
        <v>46147.125</v>
      </c>
      <c r="B1194">
        <f>TEXT(A1194,"yyyy-mm")</f>
        <v/>
      </c>
      <c r="C1194" s="3">
        <f>HOUR(A1194)</f>
        <v/>
      </c>
      <c r="D1194" s="4" t="n">
        <v>21.71590083403889</v>
      </c>
      <c r="E1194" s="4" t="n">
        <v>23.57629523674722</v>
      </c>
      <c r="F1194" s="4" t="n">
        <v>22.59016615547777</v>
      </c>
      <c r="G1194" s="4" t="n">
        <v>10</v>
      </c>
      <c r="H1194" s="5" t="n">
        <v>53.398045613825</v>
      </c>
      <c r="I1194" s="5" t="n">
        <v>47.52168294152778</v>
      </c>
      <c r="J1194" s="5" t="n">
        <v>43.81509015947501</v>
      </c>
      <c r="K1194" s="5" t="n">
        <v>63</v>
      </c>
    </row>
    <row r="1195">
      <c r="A1195" s="2" t="n">
        <v>46147.16666666666</v>
      </c>
      <c r="B1195">
        <f>TEXT(A1195,"yyyy-mm")</f>
        <v/>
      </c>
      <c r="C1195" s="3">
        <f>HOUR(A1195)</f>
        <v/>
      </c>
      <c r="D1195" s="4" t="n">
        <v>21.54786680514722</v>
      </c>
      <c r="E1195" s="4" t="n">
        <v>23.37430393615278</v>
      </c>
      <c r="F1195" s="4" t="n">
        <v>22.565551592225</v>
      </c>
      <c r="G1195" s="4" t="n">
        <v>9.4</v>
      </c>
      <c r="H1195" s="5" t="n">
        <v>52.50377753220555</v>
      </c>
      <c r="I1195" s="5" t="n">
        <v>46.52395824056666</v>
      </c>
      <c r="J1195" s="5" t="n">
        <v>43.51104840318056</v>
      </c>
      <c r="K1195" s="5" t="n">
        <v>65</v>
      </c>
    </row>
    <row r="1196">
      <c r="A1196" s="2" t="n">
        <v>46147.20833333334</v>
      </c>
      <c r="B1196">
        <f>TEXT(A1196,"yyyy-mm")</f>
        <v/>
      </c>
      <c r="C1196" s="3">
        <f>HOUR(A1196)</f>
        <v/>
      </c>
      <c r="D1196" s="4" t="n">
        <v>21.49491597965833</v>
      </c>
      <c r="E1196" s="4" t="n">
        <v>23.27416218701667</v>
      </c>
      <c r="F1196" s="4" t="n">
        <v>22.54409591552222</v>
      </c>
      <c r="G1196" s="4" t="n">
        <v>8.699999999999999</v>
      </c>
      <c r="H1196" s="5" t="n">
        <v>51.82096896571944</v>
      </c>
      <c r="I1196" s="5" t="n">
        <v>46.38275998584722</v>
      </c>
      <c r="J1196" s="5" t="n">
        <v>43.21661360396944</v>
      </c>
      <c r="K1196" s="5" t="n">
        <v>67</v>
      </c>
    </row>
    <row r="1197">
      <c r="A1197" s="2" t="n">
        <v>46147.25</v>
      </c>
      <c r="B1197">
        <f>TEXT(A1197,"yyyy-mm")</f>
        <v/>
      </c>
      <c r="C1197" s="3">
        <f>HOUR(A1197)</f>
        <v/>
      </c>
      <c r="D1197" s="4" t="n">
        <v>21.856707581725</v>
      </c>
      <c r="E1197" s="4" t="n">
        <v>23.28058371826111</v>
      </c>
      <c r="F1197" s="4" t="n">
        <v>22.53343068321666</v>
      </c>
      <c r="G1197" s="4" t="n">
        <v>8.9</v>
      </c>
      <c r="H1197" s="5" t="n">
        <v>49.64287430247779</v>
      </c>
      <c r="I1197" s="5" t="n">
        <v>46.13604222817778</v>
      </c>
      <c r="J1197" s="5" t="n">
        <v>42.94345382723333</v>
      </c>
      <c r="K1197" s="5" t="n">
        <v>68</v>
      </c>
    </row>
    <row r="1198">
      <c r="A1198" s="2" t="n">
        <v>46147.29166666666</v>
      </c>
      <c r="B1198">
        <f>TEXT(A1198,"yyyy-mm")</f>
        <v/>
      </c>
      <c r="C1198" s="3">
        <f>HOUR(A1198)</f>
        <v/>
      </c>
      <c r="D1198" s="4" t="n">
        <v>22.36457695425278</v>
      </c>
      <c r="E1198" s="4" t="n">
        <v>23.46961793468333</v>
      </c>
      <c r="F1198" s="4" t="n">
        <v>22.53804265304167</v>
      </c>
      <c r="G1198" s="4" t="n">
        <v>10.6</v>
      </c>
      <c r="H1198" s="5" t="n">
        <v>47.46264397124722</v>
      </c>
      <c r="I1198" s="5" t="n">
        <v>45.7647224177889</v>
      </c>
      <c r="J1198" s="5" t="n">
        <v>42.93420306501111</v>
      </c>
      <c r="K1198" s="5" t="n">
        <v>66</v>
      </c>
    </row>
    <row r="1199">
      <c r="A1199" s="2" t="n">
        <v>46147.33333333334</v>
      </c>
      <c r="B1199">
        <f>TEXT(A1199,"yyyy-mm")</f>
        <v/>
      </c>
      <c r="C1199" s="3">
        <f>HOUR(A1199)</f>
        <v/>
      </c>
      <c r="D1199" s="4" t="n">
        <v>22.75241475289722</v>
      </c>
      <c r="E1199" s="4" t="n">
        <v>23.80260621411389</v>
      </c>
      <c r="F1199" s="4" t="n">
        <v>22.57563368446666</v>
      </c>
      <c r="G1199" s="4" t="n">
        <v>13</v>
      </c>
      <c r="H1199" s="5" t="n">
        <v>47.62210963139444</v>
      </c>
      <c r="I1199" s="5" t="n">
        <v>45.93085439069444</v>
      </c>
      <c r="J1199" s="5" t="n">
        <v>43.90851078743055</v>
      </c>
      <c r="K1199" s="5" t="n">
        <v>64</v>
      </c>
    </row>
    <row r="1200">
      <c r="A1200" s="2" t="n">
        <v>46147.375</v>
      </c>
      <c r="B1200">
        <f>TEXT(A1200,"yyyy-mm")</f>
        <v/>
      </c>
      <c r="C1200" s="3">
        <f>HOUR(A1200)</f>
        <v/>
      </c>
      <c r="D1200" s="4" t="n">
        <v>23.12405657055556</v>
      </c>
      <c r="E1200" s="4" t="n">
        <v>24.14916815165556</v>
      </c>
      <c r="F1200" s="4" t="n">
        <v>22.64964704563056</v>
      </c>
      <c r="G1200" s="4" t="n">
        <v>16.8</v>
      </c>
      <c r="H1200" s="5" t="n">
        <v>47.93845854860555</v>
      </c>
      <c r="I1200" s="5" t="n">
        <v>45.9524316662</v>
      </c>
      <c r="J1200" s="5" t="n">
        <v>45.33407992114444</v>
      </c>
      <c r="K1200" s="5" t="n">
        <v>53</v>
      </c>
    </row>
    <row r="1201">
      <c r="A1201" s="2" t="n">
        <v>46147.41666666666</v>
      </c>
      <c r="B1201">
        <f>TEXT(A1201,"yyyy-mm")</f>
        <v/>
      </c>
      <c r="C1201" s="3">
        <f>HOUR(A1201)</f>
        <v/>
      </c>
      <c r="D1201" s="4" t="n">
        <v>23.33303032907778</v>
      </c>
      <c r="E1201" s="4" t="n">
        <v>24.44139947090278</v>
      </c>
      <c r="F1201" s="4" t="n">
        <v>22.72423192528055</v>
      </c>
      <c r="G1201" s="4" t="n">
        <v>19.3</v>
      </c>
      <c r="H1201" s="5" t="n">
        <v>48.45534841511944</v>
      </c>
      <c r="I1201" s="5" t="n">
        <v>46.40801602896389</v>
      </c>
      <c r="J1201" s="5" t="n">
        <v>46.53818115795278</v>
      </c>
      <c r="K1201" s="5" t="n">
        <v>46</v>
      </c>
    </row>
    <row r="1202">
      <c r="A1202" s="2" t="n">
        <v>46147.45833333334</v>
      </c>
      <c r="B1202">
        <f>TEXT(A1202,"yyyy-mm")</f>
        <v/>
      </c>
      <c r="C1202" s="3">
        <f>HOUR(A1202)</f>
        <v/>
      </c>
      <c r="D1202" s="4" t="n">
        <v>23.50334010444723</v>
      </c>
      <c r="E1202" s="4" t="n">
        <v>24.70131062686944</v>
      </c>
      <c r="F1202" s="4" t="n">
        <v>22.78272675808333</v>
      </c>
      <c r="G1202" s="4" t="n">
        <v>21</v>
      </c>
      <c r="H1202" s="5" t="n">
        <v>49.39952641602223</v>
      </c>
      <c r="I1202" s="5" t="n">
        <v>47.25600189742222</v>
      </c>
      <c r="J1202" s="5" t="n">
        <v>47.55418160419723</v>
      </c>
      <c r="K1202" s="5" t="n">
        <v>39</v>
      </c>
    </row>
    <row r="1203">
      <c r="A1203" s="2" t="n">
        <v>46147.5</v>
      </c>
      <c r="B1203">
        <f>TEXT(A1203,"yyyy-mm")</f>
        <v/>
      </c>
      <c r="C1203" s="3">
        <f>HOUR(A1203)</f>
        <v/>
      </c>
      <c r="D1203" s="4" t="n">
        <v>23.61391356035833</v>
      </c>
      <c r="E1203" s="4" t="n">
        <v>24.76109801639444</v>
      </c>
      <c r="F1203" s="4" t="n">
        <v>22.82160351334444</v>
      </c>
      <c r="G1203" s="4" t="n">
        <v>21.9</v>
      </c>
      <c r="H1203" s="5" t="n">
        <v>49.45070702943889</v>
      </c>
      <c r="I1203" s="5" t="n">
        <v>47.18886770682777</v>
      </c>
      <c r="J1203" s="5" t="n">
        <v>48.49594678715</v>
      </c>
      <c r="K1203" s="5" t="n">
        <v>37</v>
      </c>
    </row>
    <row r="1204">
      <c r="A1204" s="2" t="n">
        <v>46147.54166666666</v>
      </c>
      <c r="B1204">
        <f>TEXT(A1204,"yyyy-mm")</f>
        <v/>
      </c>
      <c r="C1204" s="3">
        <f>HOUR(A1204)</f>
        <v/>
      </c>
      <c r="D1204" s="4" t="n">
        <v>23.51830279131667</v>
      </c>
      <c r="E1204" s="4" t="n">
        <v>24.72922363298333</v>
      </c>
      <c r="F1204" s="4" t="n">
        <v>22.86967226798889</v>
      </c>
      <c r="G1204" s="4" t="n">
        <v>22.4</v>
      </c>
      <c r="H1204" s="5" t="n">
        <v>49.91179650986666</v>
      </c>
      <c r="I1204" s="5" t="n">
        <v>47.21996153275556</v>
      </c>
      <c r="J1204" s="5" t="n">
        <v>49.15002273078333</v>
      </c>
      <c r="K1204" s="5" t="n">
        <v>37</v>
      </c>
    </row>
    <row r="1205">
      <c r="A1205" s="2" t="n">
        <v>46147.58333333334</v>
      </c>
      <c r="B1205">
        <f>TEXT(A1205,"yyyy-mm")</f>
        <v/>
      </c>
      <c r="C1205" s="3">
        <f>HOUR(A1205)</f>
        <v/>
      </c>
      <c r="D1205" s="4" t="n">
        <v>23.44721926741944</v>
      </c>
      <c r="E1205" s="4" t="n">
        <v>24.72100061478056</v>
      </c>
      <c r="F1205" s="4" t="n">
        <v>22.91017521321666</v>
      </c>
      <c r="G1205" s="4" t="n">
        <v>22.8</v>
      </c>
      <c r="H1205" s="5" t="n">
        <v>50.70478067885555</v>
      </c>
      <c r="I1205" s="5" t="n">
        <v>47.43773399110278</v>
      </c>
      <c r="J1205" s="5" t="n">
        <v>49.63326520513611</v>
      </c>
      <c r="K1205" s="5" t="n">
        <v>37</v>
      </c>
    </row>
    <row r="1206">
      <c r="A1206" s="2" t="n">
        <v>46147.625</v>
      </c>
      <c r="B1206">
        <f>TEXT(A1206,"yyyy-mm")</f>
        <v/>
      </c>
      <c r="C1206" s="3">
        <f>HOUR(A1206)</f>
        <v/>
      </c>
      <c r="D1206" s="4" t="n">
        <v>23.45489054905278</v>
      </c>
      <c r="E1206" s="4" t="n">
        <v>24.72414578605555</v>
      </c>
      <c r="F1206" s="4" t="n">
        <v>22.95202719487222</v>
      </c>
      <c r="G1206" s="4" t="n">
        <v>23.7</v>
      </c>
      <c r="H1206" s="5" t="n">
        <v>50.22675471016388</v>
      </c>
      <c r="I1206" s="5" t="n">
        <v>47.25862734818889</v>
      </c>
      <c r="J1206" s="5" t="n">
        <v>50.00929912663056</v>
      </c>
      <c r="K1206" s="5" t="n">
        <v>31</v>
      </c>
    </row>
    <row r="1207">
      <c r="A1207" s="2" t="n">
        <v>46147.66666666666</v>
      </c>
      <c r="B1207">
        <f>TEXT(A1207,"yyyy-mm")</f>
        <v/>
      </c>
      <c r="C1207" s="3">
        <f>HOUR(A1207)</f>
        <v/>
      </c>
      <c r="D1207" s="4" t="n">
        <v>23.49994517746111</v>
      </c>
      <c r="E1207" s="4" t="n">
        <v>24.92326245888333</v>
      </c>
      <c r="F1207" s="4" t="n">
        <v>22.9568781402</v>
      </c>
      <c r="G1207" s="4" t="n">
        <v>23.8</v>
      </c>
      <c r="H1207" s="5" t="n">
        <v>44.98543093225833</v>
      </c>
      <c r="I1207" s="5" t="n">
        <v>47.38960242682779</v>
      </c>
      <c r="J1207" s="5" t="n">
        <v>50.15384558627778</v>
      </c>
      <c r="K1207" s="5" t="n">
        <v>30</v>
      </c>
    </row>
    <row r="1208">
      <c r="A1208" s="2" t="n">
        <v>46147.70833333334</v>
      </c>
      <c r="B1208">
        <f>TEXT(A1208,"yyyy-mm")</f>
        <v/>
      </c>
      <c r="C1208" s="3">
        <f>HOUR(A1208)</f>
        <v/>
      </c>
      <c r="D1208" s="4" t="n">
        <v>23.45499816988889</v>
      </c>
      <c r="E1208" s="4" t="n">
        <v>25.10861080920278</v>
      </c>
      <c r="F1208" s="4" t="n">
        <v>22.956472648625</v>
      </c>
      <c r="G1208" s="4" t="n">
        <v>23.5</v>
      </c>
      <c r="H1208" s="5" t="n">
        <v>48.81142377020556</v>
      </c>
      <c r="I1208" s="5" t="n">
        <v>46.7449824179</v>
      </c>
      <c r="J1208" s="5" t="n">
        <v>50.33978648409444</v>
      </c>
      <c r="K1208" s="5" t="n">
        <v>31</v>
      </c>
    </row>
    <row r="1209">
      <c r="A1209" s="2" t="n">
        <v>46147.75</v>
      </c>
      <c r="B1209">
        <f>TEXT(A1209,"yyyy-mm")</f>
        <v/>
      </c>
      <c r="C1209" s="3">
        <f>HOUR(A1209)</f>
        <v/>
      </c>
      <c r="D1209" s="4" t="n">
        <v>23.42963376413056</v>
      </c>
      <c r="E1209" s="4" t="n">
        <v>24.97324742026112</v>
      </c>
      <c r="F1209" s="4" t="n">
        <v>22.97215533298333</v>
      </c>
      <c r="G1209" s="4" t="n">
        <v>22.9</v>
      </c>
      <c r="H1209" s="5" t="n">
        <v>49.96722125583056</v>
      </c>
      <c r="I1209" s="5" t="n">
        <v>46.83573181632778</v>
      </c>
      <c r="J1209" s="5" t="n">
        <v>50.60570340100555</v>
      </c>
      <c r="K1209" s="5" t="n">
        <v>33</v>
      </c>
    </row>
    <row r="1210">
      <c r="A1210" s="2" t="n">
        <v>46147.79166666666</v>
      </c>
      <c r="B1210">
        <f>TEXT(A1210,"yyyy-mm")</f>
        <v/>
      </c>
      <c r="C1210" s="3">
        <f>HOUR(A1210)</f>
        <v/>
      </c>
      <c r="D1210" s="4" t="n">
        <v>23.271041313125</v>
      </c>
      <c r="E1210" s="4" t="n">
        <v>24.72133325912222</v>
      </c>
      <c r="F1210" s="4" t="n">
        <v>22.98378008281945</v>
      </c>
      <c r="G1210" s="4" t="n">
        <v>21.1</v>
      </c>
      <c r="H1210" s="5" t="n">
        <v>49.02506329738889</v>
      </c>
      <c r="I1210" s="5" t="n">
        <v>47.10752886988612</v>
      </c>
      <c r="J1210" s="5" t="n">
        <v>50.57908545989444</v>
      </c>
      <c r="K1210" s="5" t="n">
        <v>48</v>
      </c>
    </row>
    <row r="1211">
      <c r="A1211" s="2" t="n">
        <v>46147.83333333334</v>
      </c>
      <c r="B1211">
        <f>TEXT(A1211,"yyyy-mm")</f>
        <v/>
      </c>
      <c r="C1211" s="3">
        <f>HOUR(A1211)</f>
        <v/>
      </c>
      <c r="D1211" s="4" t="n">
        <v>23.290447517475</v>
      </c>
      <c r="E1211" s="4" t="n">
        <v>24.76558943891111</v>
      </c>
      <c r="F1211" s="4" t="n">
        <v>22.99329334782222</v>
      </c>
      <c r="G1211" s="4" t="n">
        <v>18.6</v>
      </c>
      <c r="H1211" s="5" t="n">
        <v>51.83126244406944</v>
      </c>
      <c r="I1211" s="5" t="n">
        <v>48.08333670243334</v>
      </c>
      <c r="J1211" s="5" t="n">
        <v>50.33914899314445</v>
      </c>
      <c r="K1211" s="5" t="n">
        <v>60</v>
      </c>
    </row>
    <row r="1212">
      <c r="A1212" s="2" t="n">
        <v>46147.875</v>
      </c>
      <c r="B1212">
        <f>TEXT(A1212,"yyyy-mm")</f>
        <v/>
      </c>
      <c r="C1212" s="3">
        <f>HOUR(A1212)</f>
        <v/>
      </c>
      <c r="D1212" s="4" t="n">
        <v>23.37182712139166</v>
      </c>
      <c r="E1212" s="4" t="n">
        <v>24.71408532096666</v>
      </c>
      <c r="F1212" s="4" t="n">
        <v>22.96661724229444</v>
      </c>
      <c r="G1212" s="4" t="n">
        <v>17.5</v>
      </c>
      <c r="H1212" s="5" t="n">
        <v>53.84207657520556</v>
      </c>
      <c r="I1212" s="5" t="n">
        <v>49.38762079589444</v>
      </c>
      <c r="J1212" s="5" t="n">
        <v>48.903454363025</v>
      </c>
      <c r="K1212" s="5" t="n">
        <v>58</v>
      </c>
    </row>
    <row r="1213">
      <c r="A1213" s="2" t="n">
        <v>46147.91666666666</v>
      </c>
      <c r="B1213">
        <f>TEXT(A1213,"yyyy-mm")</f>
        <v/>
      </c>
      <c r="C1213" s="3">
        <f>HOUR(A1213)</f>
        <v/>
      </c>
      <c r="D1213" s="4" t="n">
        <v>23.48145071668333</v>
      </c>
      <c r="E1213" s="4" t="n">
        <v>24.90479540706944</v>
      </c>
      <c r="F1213" s="4" t="n">
        <v>22.93170358509722</v>
      </c>
      <c r="G1213" s="4" t="n">
        <v>17.3</v>
      </c>
      <c r="H1213" s="5" t="n">
        <v>53.20317461357222</v>
      </c>
      <c r="I1213" s="5" t="n">
        <v>48.36992012840556</v>
      </c>
      <c r="J1213" s="5" t="n">
        <v>47.03831649707222</v>
      </c>
      <c r="K1213" s="5" t="n">
        <v>55</v>
      </c>
    </row>
    <row r="1214">
      <c r="A1214" s="2" t="n">
        <v>46147.95833333334</v>
      </c>
      <c r="B1214">
        <f>TEXT(A1214,"yyyy-mm")</f>
        <v/>
      </c>
      <c r="C1214" s="3">
        <f>HOUR(A1214)</f>
        <v/>
      </c>
      <c r="D1214" s="4" t="n">
        <v>23.39185362144167</v>
      </c>
      <c r="E1214" s="4" t="n">
        <v>24.96198900475556</v>
      </c>
      <c r="F1214" s="4" t="n">
        <v>22.90428692442222</v>
      </c>
      <c r="G1214" s="4" t="n">
        <v>16.6</v>
      </c>
      <c r="H1214" s="5" t="n">
        <v>52.62351170719168</v>
      </c>
      <c r="I1214" s="5" t="n">
        <v>49.31744942281389</v>
      </c>
      <c r="J1214" s="5" t="n">
        <v>45.8641229305</v>
      </c>
      <c r="K1214" s="5" t="n">
        <v>51</v>
      </c>
    </row>
    <row r="1215">
      <c r="A1215" s="2" t="n">
        <v>46148</v>
      </c>
      <c r="B1215">
        <f>TEXT(A1215,"yyyy-mm")</f>
        <v/>
      </c>
      <c r="C1215" s="3">
        <f>HOUR(A1215)</f>
        <v/>
      </c>
      <c r="D1215" s="4" t="n">
        <v>23.20724805931944</v>
      </c>
      <c r="E1215" s="4" t="n">
        <v>24.82290920735834</v>
      </c>
      <c r="F1215" s="4" t="n">
        <v>22.88654013760556</v>
      </c>
      <c r="G1215" s="4" t="n">
        <v>15.4</v>
      </c>
      <c r="H1215" s="5" t="n">
        <v>54.5939190737</v>
      </c>
      <c r="I1215" s="5" t="n">
        <v>50.81656771312777</v>
      </c>
      <c r="J1215" s="5" t="n">
        <v>45.43761101445555</v>
      </c>
      <c r="K1215" s="5" t="n">
        <v>53</v>
      </c>
    </row>
    <row r="1216">
      <c r="A1216" s="2" t="n">
        <v>46148.04166666666</v>
      </c>
      <c r="B1216">
        <f>TEXT(A1216,"yyyy-mm")</f>
        <v/>
      </c>
      <c r="C1216" s="3">
        <f>HOUR(A1216)</f>
        <v/>
      </c>
      <c r="D1216" s="4" t="n">
        <v>22.84602456664166</v>
      </c>
      <c r="E1216" s="4" t="n">
        <v>24.24636472305833</v>
      </c>
      <c r="F1216" s="4" t="n">
        <v>22.87012005298333</v>
      </c>
      <c r="G1216" s="4" t="n">
        <v>14.4</v>
      </c>
      <c r="H1216" s="5" t="n">
        <v>56.37749688860833</v>
      </c>
      <c r="I1216" s="5" t="n">
        <v>53.82262998665833</v>
      </c>
      <c r="J1216" s="5" t="n">
        <v>45.17465740522223</v>
      </c>
      <c r="K1216" s="5" t="n">
        <v>52</v>
      </c>
    </row>
    <row r="1217">
      <c r="A1217" s="2" t="n">
        <v>46148.08333333334</v>
      </c>
      <c r="B1217">
        <f>TEXT(A1217,"yyyy-mm")</f>
        <v/>
      </c>
      <c r="C1217" s="3">
        <f>HOUR(A1217)</f>
        <v/>
      </c>
      <c r="D1217" s="4" t="n">
        <v>22.56841427271944</v>
      </c>
      <c r="E1217" s="4" t="n">
        <v>23.94162870996945</v>
      </c>
      <c r="F1217" s="4" t="n">
        <v>22.85173457105278</v>
      </c>
      <c r="G1217" s="4" t="n">
        <v>13.7</v>
      </c>
      <c r="H1217" s="5" t="n">
        <v>57.33688772425833</v>
      </c>
      <c r="I1217" s="5" t="n">
        <v>55.1393333201139</v>
      </c>
      <c r="J1217" s="5" t="n">
        <v>44.77442937017778</v>
      </c>
      <c r="K1217" s="5" t="n">
        <v>50</v>
      </c>
    </row>
    <row r="1218">
      <c r="A1218" s="2" t="n">
        <v>46148.125</v>
      </c>
      <c r="B1218">
        <f>TEXT(A1218,"yyyy-mm")</f>
        <v/>
      </c>
      <c r="C1218" s="3">
        <f>HOUR(A1218)</f>
        <v/>
      </c>
      <c r="D1218" s="4" t="n">
        <v>22.40019232220833</v>
      </c>
      <c r="E1218" s="4" t="n">
        <v>23.82748675650278</v>
      </c>
      <c r="F1218" s="4" t="n">
        <v>22.83153975185</v>
      </c>
      <c r="G1218" s="4" t="n">
        <v>12.7</v>
      </c>
      <c r="H1218" s="5" t="n">
        <v>57.73806617810556</v>
      </c>
      <c r="I1218" s="5" t="n">
        <v>55.21071876714168</v>
      </c>
      <c r="J1218" s="5" t="n">
        <v>44.40805786282777</v>
      </c>
      <c r="K1218" s="5" t="n">
        <v>58</v>
      </c>
    </row>
    <row r="1219">
      <c r="A1219" s="2" t="n">
        <v>46148.16666666666</v>
      </c>
      <c r="B1219">
        <f>TEXT(A1219,"yyyy-mm")</f>
        <v/>
      </c>
      <c r="C1219" s="3">
        <f>HOUR(A1219)</f>
        <v/>
      </c>
      <c r="D1219" s="4" t="n">
        <v>22.25078304440278</v>
      </c>
      <c r="E1219" s="4" t="n">
        <v>23.602533703375</v>
      </c>
      <c r="F1219" s="4" t="n">
        <v>22.82267915735833</v>
      </c>
      <c r="G1219" s="4" t="n">
        <v>12.2</v>
      </c>
      <c r="H1219" s="5" t="n">
        <v>57.90466458060833</v>
      </c>
      <c r="I1219" s="5" t="n">
        <v>55.34238354241944</v>
      </c>
      <c r="J1219" s="5" t="n">
        <v>44.06628580740556</v>
      </c>
      <c r="K1219" s="5" t="n">
        <v>58</v>
      </c>
    </row>
    <row r="1220">
      <c r="A1220" s="2" t="n">
        <v>46148.20833333334</v>
      </c>
      <c r="B1220">
        <f>TEXT(A1220,"yyyy-mm")</f>
        <v/>
      </c>
      <c r="C1220" s="3">
        <f>HOUR(A1220)</f>
        <v/>
      </c>
      <c r="D1220" s="4" t="n">
        <v>22.20853768140833</v>
      </c>
      <c r="E1220" s="4" t="n">
        <v>23.48801267585</v>
      </c>
      <c r="F1220" s="4" t="n">
        <v>22.81598410011389</v>
      </c>
      <c r="G1220" s="4" t="n">
        <v>11.5</v>
      </c>
      <c r="H1220" s="5" t="n">
        <v>57.72045782786944</v>
      </c>
      <c r="I1220" s="5" t="n">
        <v>54.91585416470278</v>
      </c>
      <c r="J1220" s="5" t="n">
        <v>43.75517232769445</v>
      </c>
      <c r="K1220" s="5" t="n">
        <v>61</v>
      </c>
    </row>
    <row r="1221">
      <c r="A1221" s="2" t="n">
        <v>46148.25</v>
      </c>
      <c r="B1221">
        <f>TEXT(A1221,"yyyy-mm")</f>
        <v/>
      </c>
      <c r="C1221" s="3">
        <f>HOUR(A1221)</f>
        <v/>
      </c>
      <c r="D1221" s="4" t="n">
        <v>22.61122525658333</v>
      </c>
      <c r="E1221" s="4" t="n">
        <v>23.60381245956667</v>
      </c>
      <c r="F1221" s="4" t="n">
        <v>22.80948747085833</v>
      </c>
      <c r="G1221" s="4" t="n">
        <v>11.5</v>
      </c>
      <c r="H1221" s="5" t="n">
        <v>55.39622829305</v>
      </c>
      <c r="I1221" s="5" t="n">
        <v>53.0289137107</v>
      </c>
      <c r="J1221" s="5" t="n">
        <v>43.52620212810277</v>
      </c>
      <c r="K1221" s="5" t="n">
        <v>63</v>
      </c>
    </row>
    <row r="1222">
      <c r="A1222" s="2" t="n">
        <v>46148.29166666666</v>
      </c>
      <c r="B1222">
        <f>TEXT(A1222,"yyyy-mm")</f>
        <v/>
      </c>
      <c r="C1222" s="3">
        <f>HOUR(A1222)</f>
        <v/>
      </c>
      <c r="D1222" s="4" t="n">
        <v>23.043093604625</v>
      </c>
      <c r="E1222" s="4" t="n">
        <v>23.87855596284444</v>
      </c>
      <c r="F1222" s="4" t="n">
        <v>22.82264295078055</v>
      </c>
      <c r="G1222" s="4" t="n">
        <v>12.7</v>
      </c>
      <c r="H1222" s="5" t="n">
        <v>53.73732683125277</v>
      </c>
      <c r="I1222" s="5" t="n">
        <v>53.72573272110278</v>
      </c>
      <c r="J1222" s="5" t="n">
        <v>43.47526037275278</v>
      </c>
      <c r="K1222" s="5" t="n">
        <v>64</v>
      </c>
    </row>
    <row r="1223">
      <c r="A1223" s="2" t="n">
        <v>46148.33333333334</v>
      </c>
      <c r="B1223">
        <f>TEXT(A1223,"yyyy-mm")</f>
        <v/>
      </c>
      <c r="C1223" s="3">
        <f>HOUR(A1223)</f>
        <v/>
      </c>
      <c r="D1223" s="4" t="n">
        <v>23.43084377751944</v>
      </c>
      <c r="E1223" s="4" t="n">
        <v>24.21716829286389</v>
      </c>
      <c r="F1223" s="4" t="n">
        <v>22.86271917532778</v>
      </c>
      <c r="G1223" s="4" t="n">
        <v>14.7</v>
      </c>
      <c r="H1223" s="5" t="n">
        <v>53.40137617285279</v>
      </c>
      <c r="I1223" s="5" t="n">
        <v>53.48181604886111</v>
      </c>
      <c r="J1223" s="5" t="n">
        <v>44.098041180975</v>
      </c>
      <c r="K1223" s="5" t="n">
        <v>58</v>
      </c>
    </row>
    <row r="1224">
      <c r="A1224" s="2" t="n">
        <v>46148.375</v>
      </c>
      <c r="B1224">
        <f>TEXT(A1224,"yyyy-mm")</f>
        <v/>
      </c>
      <c r="C1224" s="3">
        <f>HOUR(A1224)</f>
        <v/>
      </c>
      <c r="D1224" s="4" t="n">
        <v>23.81150406161111</v>
      </c>
      <c r="E1224" s="4" t="n">
        <v>24.74888039505833</v>
      </c>
      <c r="F1224" s="4" t="n">
        <v>22.93868621205278</v>
      </c>
      <c r="G1224" s="4" t="n">
        <v>18.1</v>
      </c>
      <c r="H1224" s="5" t="n">
        <v>52.94432966425</v>
      </c>
      <c r="I1224" s="5" t="n">
        <v>53.20824396277222</v>
      </c>
      <c r="J1224" s="5" t="n">
        <v>45.47594271410833</v>
      </c>
      <c r="K1224" s="5" t="n">
        <v>47</v>
      </c>
    </row>
    <row r="1225">
      <c r="A1225" s="2" t="n">
        <v>46148.41666666666</v>
      </c>
      <c r="B1225">
        <f>TEXT(A1225,"yyyy-mm")</f>
        <v/>
      </c>
      <c r="C1225" s="3">
        <f>HOUR(A1225)</f>
        <v/>
      </c>
      <c r="D1225" s="4" t="n">
        <v>24.12653733962778</v>
      </c>
      <c r="E1225" s="4" t="n">
        <v>25.12393673543611</v>
      </c>
      <c r="F1225" s="4" t="n">
        <v>23.04492503734167</v>
      </c>
      <c r="G1225" s="4" t="n">
        <v>21.1</v>
      </c>
      <c r="H1225" s="5" t="n">
        <v>53.9886848987</v>
      </c>
      <c r="I1225" s="5" t="n">
        <v>52.92232237831112</v>
      </c>
      <c r="J1225" s="5" t="n">
        <v>47.69647705438612</v>
      </c>
      <c r="K1225" s="5" t="n">
        <v>40</v>
      </c>
    </row>
    <row r="1226">
      <c r="A1226" s="2" t="n">
        <v>46148.45833333334</v>
      </c>
      <c r="B1226">
        <f>TEXT(A1226,"yyyy-mm")</f>
        <v/>
      </c>
      <c r="C1226" s="3">
        <f>HOUR(A1226)</f>
        <v/>
      </c>
      <c r="D1226" s="4" t="n">
        <v>24.20315869731389</v>
      </c>
      <c r="E1226" s="4" t="n">
        <v>25.1916327229</v>
      </c>
      <c r="F1226" s="4" t="n">
        <v>23.13805617369166</v>
      </c>
      <c r="G1226" s="4" t="n">
        <v>23.3</v>
      </c>
      <c r="H1226" s="5" t="n">
        <v>54.28864302101388</v>
      </c>
      <c r="I1226" s="5" t="n">
        <v>53.44556644751666</v>
      </c>
      <c r="J1226" s="5" t="n">
        <v>49.68990468382777</v>
      </c>
      <c r="K1226" s="5" t="n">
        <v>36</v>
      </c>
    </row>
    <row r="1227">
      <c r="A1227" s="2" t="n">
        <v>46148.5</v>
      </c>
      <c r="B1227">
        <f>TEXT(A1227,"yyyy-mm")</f>
        <v/>
      </c>
      <c r="C1227" s="3">
        <f>HOUR(A1227)</f>
        <v/>
      </c>
      <c r="D1227" s="4" t="n">
        <v>24.22672217719722</v>
      </c>
      <c r="E1227" s="4" t="n">
        <v>25.35597872241945</v>
      </c>
      <c r="F1227" s="4" t="n">
        <v>23.19587396396944</v>
      </c>
      <c r="G1227" s="4" t="n">
        <v>24.9</v>
      </c>
      <c r="H1227" s="5" t="n">
        <v>55.16684186828611</v>
      </c>
      <c r="I1227" s="5" t="n">
        <v>52.45164060651945</v>
      </c>
      <c r="J1227" s="5" t="n">
        <v>50.68048349990278</v>
      </c>
      <c r="K1227" s="5" t="n">
        <v>30</v>
      </c>
    </row>
    <row r="1228">
      <c r="A1228" s="2" t="n">
        <v>46148.54166666666</v>
      </c>
      <c r="B1228">
        <f>TEXT(A1228,"yyyy-mm")</f>
        <v/>
      </c>
      <c r="C1228" s="3">
        <f>HOUR(A1228)</f>
        <v/>
      </c>
      <c r="D1228" s="4" t="n">
        <v>24.04069071669722</v>
      </c>
      <c r="E1228" s="4" t="n">
        <v>25.28768567810277</v>
      </c>
      <c r="F1228" s="4" t="n">
        <v>23.22081710441389</v>
      </c>
      <c r="G1228" s="4" t="n">
        <v>25.4</v>
      </c>
      <c r="H1228" s="5" t="n">
        <v>51.08118147138611</v>
      </c>
      <c r="I1228" s="5" t="n">
        <v>45.61367764590278</v>
      </c>
      <c r="J1228" s="5" t="n">
        <v>50.42394375825555</v>
      </c>
      <c r="K1228" s="5" t="n">
        <v>26</v>
      </c>
    </row>
    <row r="1229">
      <c r="A1229" s="2" t="n">
        <v>46148.58333333334</v>
      </c>
      <c r="B1229">
        <f>TEXT(A1229,"yyyy-mm")</f>
        <v/>
      </c>
      <c r="C1229" s="3">
        <f>HOUR(A1229)</f>
        <v/>
      </c>
      <c r="D1229" s="4" t="n">
        <v>23.64342291227777</v>
      </c>
      <c r="E1229" s="4" t="n">
        <v>25.00242656926945</v>
      </c>
      <c r="F1229" s="4" t="n">
        <v>23.21474562691389</v>
      </c>
      <c r="G1229" s="4" t="n">
        <v>25.6</v>
      </c>
      <c r="H1229" s="5" t="n">
        <v>48.63063790448612</v>
      </c>
      <c r="I1229" s="5" t="n">
        <v>43.77330419458889</v>
      </c>
      <c r="J1229" s="5" t="n">
        <v>49.73903985034445</v>
      </c>
      <c r="K1229" s="5" t="n">
        <v>25</v>
      </c>
    </row>
    <row r="1230">
      <c r="A1230" s="2" t="n">
        <v>46148.625</v>
      </c>
      <c r="B1230">
        <f>TEXT(A1230,"yyyy-mm")</f>
        <v/>
      </c>
      <c r="C1230" s="3">
        <f>HOUR(A1230)</f>
        <v/>
      </c>
      <c r="D1230" s="4" t="n">
        <v>23.68559890648333</v>
      </c>
      <c r="E1230" s="4" t="n">
        <v>25.13521508850278</v>
      </c>
      <c r="F1230" s="4" t="n">
        <v>23.19552752268889</v>
      </c>
      <c r="G1230" s="4" t="n">
        <v>26.4</v>
      </c>
      <c r="H1230" s="5" t="n">
        <v>42.93050805271389</v>
      </c>
      <c r="I1230" s="5" t="n">
        <v>37.78288669302778</v>
      </c>
      <c r="J1230" s="5" t="n">
        <v>49.040503022225</v>
      </c>
      <c r="K1230" s="5" t="n">
        <v>22</v>
      </c>
    </row>
    <row r="1231">
      <c r="A1231" s="2" t="n">
        <v>46148.66666666666</v>
      </c>
      <c r="B1231">
        <f>TEXT(A1231,"yyyy-mm")</f>
        <v/>
      </c>
      <c r="C1231" s="3">
        <f>HOUR(A1231)</f>
        <v/>
      </c>
      <c r="D1231" s="4" t="n">
        <v>23.8448522631</v>
      </c>
      <c r="E1231" s="4" t="n">
        <v>25.34105165747778</v>
      </c>
      <c r="F1231" s="4" t="n">
        <v>23.19294045916389</v>
      </c>
      <c r="G1231" s="4" t="n">
        <v>26.5</v>
      </c>
      <c r="H1231" s="5" t="n">
        <v>38.38444989008055</v>
      </c>
      <c r="I1231" s="5" t="n">
        <v>35.673776519425</v>
      </c>
      <c r="J1231" s="5" t="n">
        <v>48.229654024725</v>
      </c>
      <c r="K1231" s="5" t="n">
        <v>22</v>
      </c>
    </row>
    <row r="1232">
      <c r="A1232" s="2" t="n">
        <v>46148.70833333334</v>
      </c>
      <c r="B1232">
        <f>TEXT(A1232,"yyyy-mm")</f>
        <v/>
      </c>
      <c r="C1232" s="3">
        <f>HOUR(A1232)</f>
        <v/>
      </c>
      <c r="D1232" s="4" t="n">
        <v>23.86959013751944</v>
      </c>
      <c r="E1232" s="4" t="n">
        <v>25.39806137785556</v>
      </c>
      <c r="F1232" s="4" t="n">
        <v>23.19599308885278</v>
      </c>
      <c r="G1232" s="4" t="n">
        <v>26.2</v>
      </c>
      <c r="H1232" s="5" t="n">
        <v>38.45116584302222</v>
      </c>
      <c r="I1232" s="5" t="n">
        <v>35.79699285333056</v>
      </c>
      <c r="J1232" s="5" t="n">
        <v>47.95801577318889</v>
      </c>
      <c r="K1232" s="5" t="n">
        <v>23</v>
      </c>
    </row>
    <row r="1233">
      <c r="A1233" s="2" t="n">
        <v>46148.75</v>
      </c>
      <c r="B1233">
        <f>TEXT(A1233,"yyyy-mm")</f>
        <v/>
      </c>
      <c r="C1233" s="3">
        <f>HOUR(A1233)</f>
        <v/>
      </c>
      <c r="D1233" s="4" t="n">
        <v>23.81385162322222</v>
      </c>
      <c r="E1233" s="4" t="n">
        <v>25.23610043503611</v>
      </c>
      <c r="F1233" s="4" t="n">
        <v>23.21196113992778</v>
      </c>
      <c r="G1233" s="4" t="n">
        <v>25.5</v>
      </c>
      <c r="H1233" s="5" t="n">
        <v>37.11729630979167</v>
      </c>
      <c r="I1233" s="5" t="n">
        <v>34.26612959943333</v>
      </c>
      <c r="J1233" s="5" t="n">
        <v>47.65688104440278</v>
      </c>
      <c r="K1233" s="5" t="n">
        <v>25</v>
      </c>
    </row>
    <row r="1234">
      <c r="A1234" s="2" t="n">
        <v>46148.79166666666</v>
      </c>
      <c r="B1234">
        <f>TEXT(A1234,"yyyy-mm")</f>
        <v/>
      </c>
      <c r="C1234" s="3">
        <f>HOUR(A1234)</f>
        <v/>
      </c>
      <c r="D1234" s="4" t="n">
        <v>23.59131235883889</v>
      </c>
      <c r="E1234" s="4" t="n">
        <v>24.92522124938889</v>
      </c>
      <c r="F1234" s="4" t="n">
        <v>23.20183964975556</v>
      </c>
      <c r="G1234" s="4" t="n">
        <v>23.7</v>
      </c>
      <c r="H1234" s="5" t="n">
        <v>37.28982457707222</v>
      </c>
      <c r="I1234" s="5" t="n">
        <v>33.10159822961111</v>
      </c>
      <c r="J1234" s="5" t="n">
        <v>47.33602491582778</v>
      </c>
      <c r="K1234" s="5" t="n">
        <v>35</v>
      </c>
    </row>
    <row r="1235">
      <c r="A1235" s="2" t="n">
        <v>46148.83333333334</v>
      </c>
      <c r="B1235">
        <f>TEXT(A1235,"yyyy-mm")</f>
        <v/>
      </c>
      <c r="C1235" s="3">
        <f>HOUR(A1235)</f>
        <v/>
      </c>
      <c r="D1235" s="4" t="n">
        <v>23.52339213287222</v>
      </c>
      <c r="E1235" s="4" t="n">
        <v>25.13346767321111</v>
      </c>
      <c r="F1235" s="4" t="n">
        <v>23.20054936446111</v>
      </c>
      <c r="G1235" s="4" t="n">
        <v>21.6</v>
      </c>
      <c r="H1235" s="5" t="n">
        <v>40.38011574766667</v>
      </c>
      <c r="I1235" s="5" t="n">
        <v>38.69733811513056</v>
      </c>
      <c r="J1235" s="5" t="n">
        <v>47.39660205578889</v>
      </c>
      <c r="K1235" s="5" t="n">
        <v>40</v>
      </c>
    </row>
    <row r="1236">
      <c r="A1236" s="2" t="n">
        <v>46148.875</v>
      </c>
      <c r="B1236">
        <f>TEXT(A1236,"yyyy-mm")</f>
        <v/>
      </c>
      <c r="C1236" s="3">
        <f>HOUR(A1236)</f>
        <v/>
      </c>
      <c r="D1236" s="4" t="n">
        <v>23.680259475675</v>
      </c>
      <c r="E1236" s="4" t="n">
        <v>25.30271476284166</v>
      </c>
      <c r="F1236" s="4" t="n">
        <v>23.23472754931944</v>
      </c>
      <c r="G1236" s="4" t="n">
        <v>20.3</v>
      </c>
      <c r="H1236" s="5" t="n">
        <v>43.88448468677223</v>
      </c>
      <c r="I1236" s="5" t="n">
        <v>40.48843994941389</v>
      </c>
      <c r="J1236" s="5" t="n">
        <v>47.82986992431944</v>
      </c>
      <c r="K1236" s="5" t="n">
        <v>40</v>
      </c>
    </row>
    <row r="1237">
      <c r="A1237" s="2" t="n">
        <v>46148.91666666666</v>
      </c>
      <c r="B1237">
        <f>TEXT(A1237,"yyyy-mm")</f>
        <v/>
      </c>
      <c r="C1237" s="3">
        <f>HOUR(A1237)</f>
        <v/>
      </c>
      <c r="D1237" s="4" t="n">
        <v>23.78464976749167</v>
      </c>
      <c r="E1237" s="4" t="n">
        <v>25.54844088746666</v>
      </c>
      <c r="F1237" s="4" t="n">
        <v>23.25504596834167</v>
      </c>
      <c r="G1237" s="4" t="n">
        <v>19.6</v>
      </c>
      <c r="H1237" s="5" t="n">
        <v>44.27415492714167</v>
      </c>
      <c r="I1237" s="5" t="n">
        <v>41.57303785262222</v>
      </c>
      <c r="J1237" s="5" t="n">
        <v>47.74798432943055</v>
      </c>
      <c r="K1237" s="5" t="n">
        <v>41</v>
      </c>
    </row>
    <row r="1238">
      <c r="A1238" s="2" t="n">
        <v>46148.95833333334</v>
      </c>
      <c r="B1238">
        <f>TEXT(A1238,"yyyy-mm")</f>
        <v/>
      </c>
      <c r="C1238" s="3">
        <f>HOUR(A1238)</f>
        <v/>
      </c>
      <c r="D1238" s="4" t="n">
        <v>24.03682514760834</v>
      </c>
      <c r="E1238" s="4" t="n">
        <v>25.71464487583611</v>
      </c>
      <c r="F1238" s="4" t="n">
        <v>23.28739894743333</v>
      </c>
      <c r="G1238" s="4" t="n">
        <v>18.7</v>
      </c>
      <c r="H1238" s="5" t="n">
        <v>45.50437846373611</v>
      </c>
      <c r="I1238" s="5" t="n">
        <v>42.10289666618056</v>
      </c>
      <c r="J1238" s="5" t="n">
        <v>47.77961690967501</v>
      </c>
      <c r="K1238" s="5" t="n">
        <v>42</v>
      </c>
    </row>
    <row r="1239">
      <c r="A1239" s="2" t="n">
        <v>46149</v>
      </c>
      <c r="B1239">
        <f>TEXT(A1239,"yyyy-mm")</f>
        <v/>
      </c>
      <c r="C1239" s="3">
        <f>HOUR(A1239)</f>
        <v/>
      </c>
      <c r="D1239" s="4" t="n">
        <v>24.16400705970556</v>
      </c>
      <c r="E1239" s="4" t="n">
        <v>25.78244570696667</v>
      </c>
      <c r="F1239" s="4" t="n">
        <v>23.32031086062778</v>
      </c>
      <c r="G1239" s="4" t="n">
        <v>17.9</v>
      </c>
      <c r="H1239" s="5" t="n">
        <v>46.93000393762222</v>
      </c>
      <c r="I1239" s="5" t="n">
        <v>45.41563216136944</v>
      </c>
      <c r="J1239" s="5" t="n">
        <v>47.8275217903111</v>
      </c>
      <c r="K1239" s="5" t="n">
        <v>42</v>
      </c>
    </row>
    <row r="1240">
      <c r="A1240" s="2" t="n">
        <v>46149.04166666666</v>
      </c>
      <c r="B1240">
        <f>TEXT(A1240,"yyyy-mm")</f>
        <v/>
      </c>
      <c r="C1240" s="3">
        <f>HOUR(A1240)</f>
        <v/>
      </c>
      <c r="D1240" s="4" t="n">
        <v>24.143235289</v>
      </c>
      <c r="E1240" s="4" t="n">
        <v>25.53787506819444</v>
      </c>
      <c r="F1240" s="4" t="n">
        <v>23.33733857014444</v>
      </c>
      <c r="G1240" s="4" t="n">
        <v>16.8</v>
      </c>
      <c r="H1240" s="5" t="n">
        <v>51.10191117844445</v>
      </c>
      <c r="I1240" s="5" t="n">
        <v>49.66614211463889</v>
      </c>
      <c r="J1240" s="5" t="n">
        <v>47.86255679990001</v>
      </c>
      <c r="K1240" s="5" t="n">
        <v>47</v>
      </c>
    </row>
    <row r="1241">
      <c r="A1241" s="2" t="n">
        <v>46149.08333333334</v>
      </c>
      <c r="B1241">
        <f>TEXT(A1241,"yyyy-mm")</f>
        <v/>
      </c>
      <c r="C1241" s="3">
        <f>HOUR(A1241)</f>
        <v/>
      </c>
      <c r="D1241" s="4" t="n">
        <v>23.86840088478056</v>
      </c>
      <c r="E1241" s="4" t="n">
        <v>25.24896922799167</v>
      </c>
      <c r="F1241" s="4" t="n">
        <v>23.34905794895278</v>
      </c>
      <c r="G1241" s="4" t="n">
        <v>15.7</v>
      </c>
      <c r="H1241" s="5" t="n">
        <v>52.74687561635556</v>
      </c>
      <c r="I1241" s="5" t="n">
        <v>50.54163320116945</v>
      </c>
      <c r="J1241" s="5" t="n">
        <v>47.95917898515555</v>
      </c>
      <c r="K1241" s="5" t="n">
        <v>53</v>
      </c>
    </row>
    <row r="1242">
      <c r="A1242" s="2" t="n">
        <v>46149.125</v>
      </c>
      <c r="B1242">
        <f>TEXT(A1242,"yyyy-mm")</f>
        <v/>
      </c>
      <c r="C1242" s="3">
        <f>HOUR(A1242)</f>
        <v/>
      </c>
      <c r="D1242" s="4" t="n">
        <v>23.57412313243889</v>
      </c>
      <c r="E1242" s="4" t="n">
        <v>24.88925547241111</v>
      </c>
      <c r="F1242" s="4" t="n">
        <v>23.33528849873055</v>
      </c>
      <c r="G1242" s="4" t="n">
        <v>15.5</v>
      </c>
      <c r="H1242" s="5" t="n">
        <v>54.66208394828333</v>
      </c>
      <c r="I1242" s="5" t="n">
        <v>51.69331065530277</v>
      </c>
      <c r="J1242" s="5" t="n">
        <v>47.92812831912778</v>
      </c>
      <c r="K1242" s="5" t="n">
        <v>54</v>
      </c>
    </row>
    <row r="1243">
      <c r="A1243" s="2" t="n">
        <v>46149.16666666666</v>
      </c>
      <c r="B1243">
        <f>TEXT(A1243,"yyyy-mm")</f>
        <v/>
      </c>
      <c r="C1243" s="3">
        <f>HOUR(A1243)</f>
        <v/>
      </c>
      <c r="D1243" s="4" t="n">
        <v>23.362959349075</v>
      </c>
      <c r="E1243" s="4" t="n">
        <v>24.67887609269444</v>
      </c>
      <c r="F1243" s="4" t="n">
        <v>23.33228902605833</v>
      </c>
      <c r="G1243" s="4" t="n">
        <v>15.2</v>
      </c>
      <c r="H1243" s="5" t="n">
        <v>55.21593441957223</v>
      </c>
      <c r="I1243" s="5" t="n">
        <v>50.97900284025</v>
      </c>
      <c r="J1243" s="5" t="n">
        <v>47.940989878825</v>
      </c>
      <c r="K1243" s="5" t="n">
        <v>53</v>
      </c>
    </row>
    <row r="1244">
      <c r="A1244" s="2" t="n">
        <v>46149.20833333334</v>
      </c>
      <c r="B1244">
        <f>TEXT(A1244,"yyyy-mm")</f>
        <v/>
      </c>
      <c r="C1244" s="3">
        <f>HOUR(A1244)</f>
        <v/>
      </c>
      <c r="D1244" s="4" t="n">
        <v>23.30910849809166</v>
      </c>
      <c r="E1244" s="4" t="n">
        <v>24.53049704671111</v>
      </c>
      <c r="F1244" s="4" t="n">
        <v>23.31493956715278</v>
      </c>
      <c r="G1244" s="4" t="n">
        <v>14.7</v>
      </c>
      <c r="H1244" s="5" t="n">
        <v>55.12576841372222</v>
      </c>
      <c r="I1244" s="5" t="n">
        <v>51.43730272203889</v>
      </c>
      <c r="J1244" s="5" t="n">
        <v>47.55774151908333</v>
      </c>
      <c r="K1244" s="5" t="n">
        <v>52</v>
      </c>
    </row>
    <row r="1245">
      <c r="A1245" s="2" t="n">
        <v>46149.25</v>
      </c>
      <c r="B1245">
        <f>TEXT(A1245,"yyyy-mm")</f>
        <v/>
      </c>
      <c r="C1245" s="3">
        <f>HOUR(A1245)</f>
        <v/>
      </c>
      <c r="D1245" s="4" t="n">
        <v>23.55814634078611</v>
      </c>
      <c r="E1245" s="4" t="n">
        <v>24.63698076762778</v>
      </c>
      <c r="F1245" s="4" t="n">
        <v>23.301710001225</v>
      </c>
      <c r="G1245" s="4" t="n">
        <v>14.9</v>
      </c>
      <c r="H1245" s="5" t="n">
        <v>53.17711442945834</v>
      </c>
      <c r="I1245" s="5" t="n">
        <v>50.53486736168889</v>
      </c>
      <c r="J1245" s="5" t="n">
        <v>46.74794584449445</v>
      </c>
      <c r="K1245" s="5" t="n">
        <v>51</v>
      </c>
    </row>
    <row r="1246">
      <c r="A1246" s="2" t="n">
        <v>46149.29166666666</v>
      </c>
      <c r="B1246">
        <f>TEXT(A1246,"yyyy-mm")</f>
        <v/>
      </c>
      <c r="C1246" s="3">
        <f>HOUR(A1246)</f>
        <v/>
      </c>
      <c r="D1246" s="4" t="n">
        <v>23.93351744674445</v>
      </c>
      <c r="E1246" s="4" t="n">
        <v>24.96208684218056</v>
      </c>
      <c r="F1246" s="4" t="n">
        <v>23.31743181682777</v>
      </c>
      <c r="G1246" s="4" t="n">
        <v>16.3</v>
      </c>
      <c r="H1246" s="5" t="n">
        <v>52.15093678995833</v>
      </c>
      <c r="I1246" s="5" t="n">
        <v>50.06722933668056</v>
      </c>
      <c r="J1246" s="5" t="n">
        <v>46.68244082375278</v>
      </c>
      <c r="K1246" s="5" t="n">
        <v>49</v>
      </c>
    </row>
    <row r="1247">
      <c r="A1247" s="2" t="n">
        <v>46149.33333333334</v>
      </c>
      <c r="B1247">
        <f>TEXT(A1247,"yyyy-mm")</f>
        <v/>
      </c>
      <c r="C1247" s="3">
        <f>HOUR(A1247)</f>
        <v/>
      </c>
      <c r="D1247" s="4" t="n">
        <v>24.31128807959166</v>
      </c>
      <c r="E1247" s="4" t="n">
        <v>25.37987841245556</v>
      </c>
      <c r="F1247" s="4" t="n">
        <v>23.37886119778889</v>
      </c>
      <c r="G1247" s="4" t="n">
        <v>18.4</v>
      </c>
      <c r="H1247" s="5" t="n">
        <v>52.28505637779444</v>
      </c>
      <c r="I1247" s="5" t="n">
        <v>49.73332582176667</v>
      </c>
      <c r="J1247" s="5" t="n">
        <v>47.91967482352222</v>
      </c>
      <c r="K1247" s="5" t="n">
        <v>45</v>
      </c>
    </row>
    <row r="1248">
      <c r="A1248" s="2" t="n">
        <v>46149.375</v>
      </c>
      <c r="B1248">
        <f>TEXT(A1248,"yyyy-mm")</f>
        <v/>
      </c>
      <c r="C1248" s="3">
        <f>HOUR(A1248)</f>
        <v/>
      </c>
      <c r="D1248" s="4" t="n">
        <v>24.76608868313056</v>
      </c>
      <c r="E1248" s="4" t="n">
        <v>25.76401941335556</v>
      </c>
      <c r="F1248" s="4" t="n">
        <v>23.47099449205</v>
      </c>
      <c r="G1248" s="4" t="n">
        <v>21.7</v>
      </c>
      <c r="H1248" s="5" t="n">
        <v>51.59286092862778</v>
      </c>
      <c r="I1248" s="5" t="n">
        <v>49.76343327076944</v>
      </c>
      <c r="J1248" s="5" t="n">
        <v>49.82154205417222</v>
      </c>
      <c r="K1248" s="5" t="n">
        <v>36</v>
      </c>
    </row>
    <row r="1249">
      <c r="A1249" s="2" t="n">
        <v>46149.41666666666</v>
      </c>
      <c r="B1249">
        <f>TEXT(A1249,"yyyy-mm")</f>
        <v/>
      </c>
      <c r="C1249" s="3">
        <f>HOUR(A1249)</f>
        <v/>
      </c>
      <c r="D1249" s="4" t="n">
        <v>25.10617564543611</v>
      </c>
      <c r="E1249" s="4" t="n">
        <v>26.21487844505278</v>
      </c>
      <c r="F1249" s="4" t="n">
        <v>23.56337869085833</v>
      </c>
      <c r="G1249" s="4" t="n">
        <v>24.3</v>
      </c>
      <c r="H1249" s="5" t="n">
        <v>51.87238532070833</v>
      </c>
      <c r="I1249" s="5" t="n">
        <v>50.19203319911112</v>
      </c>
      <c r="J1249" s="5" t="n">
        <v>51.65283227818889</v>
      </c>
      <c r="K1249" s="5" t="n">
        <v>33</v>
      </c>
    </row>
    <row r="1250">
      <c r="A1250" s="2" t="n">
        <v>46149.45833333334</v>
      </c>
      <c r="B1250">
        <f>TEXT(A1250,"yyyy-mm")</f>
        <v/>
      </c>
      <c r="C1250" s="3">
        <f>HOUR(A1250)</f>
        <v/>
      </c>
      <c r="D1250" s="4" t="n">
        <v>25.22191539943056</v>
      </c>
      <c r="E1250" s="4" t="n">
        <v>26.82858179433333</v>
      </c>
      <c r="F1250" s="4" t="n">
        <v>23.63375646546666</v>
      </c>
      <c r="G1250" s="4" t="n">
        <v>26.2</v>
      </c>
      <c r="H1250" s="5" t="n">
        <v>47.52564468866667</v>
      </c>
      <c r="I1250" s="5" t="n">
        <v>39.24882006230833</v>
      </c>
      <c r="J1250" s="5" t="n">
        <v>51.97514552626667</v>
      </c>
      <c r="K1250" s="5" t="n">
        <v>29</v>
      </c>
    </row>
    <row r="1251">
      <c r="A1251" s="2" t="n">
        <v>46149.5</v>
      </c>
      <c r="B1251">
        <f>TEXT(A1251,"yyyy-mm")</f>
        <v/>
      </c>
      <c r="C1251" s="3">
        <f>HOUR(A1251)</f>
        <v/>
      </c>
      <c r="D1251" s="4" t="n">
        <v>25.08034038186666</v>
      </c>
      <c r="E1251" s="4" t="n">
        <v>26.81956517974722</v>
      </c>
      <c r="F1251" s="4" t="n">
        <v>23.63178901954167</v>
      </c>
      <c r="G1251" s="4" t="n">
        <v>27.2</v>
      </c>
      <c r="H1251" s="5" t="n">
        <v>34.25639902801667</v>
      </c>
      <c r="I1251" s="5" t="n">
        <v>28.80374869779445</v>
      </c>
      <c r="J1251" s="5" t="n">
        <v>49.82985628508055</v>
      </c>
      <c r="K1251" s="5" t="n">
        <v>22</v>
      </c>
    </row>
    <row r="1252">
      <c r="A1252" s="2" t="n">
        <v>46149.54166666666</v>
      </c>
      <c r="B1252">
        <f>TEXT(A1252,"yyyy-mm")</f>
        <v/>
      </c>
      <c r="C1252" s="3">
        <f>HOUR(A1252)</f>
        <v/>
      </c>
      <c r="D1252" s="4" t="n">
        <v>24.89285419681667</v>
      </c>
      <c r="E1252" s="4" t="n">
        <v>26.64847929503334</v>
      </c>
      <c r="F1252" s="4" t="n">
        <v>23.61743896118888</v>
      </c>
      <c r="G1252" s="4" t="n">
        <v>27.7</v>
      </c>
      <c r="H1252" s="5" t="n">
        <v>31.12730004952778</v>
      </c>
      <c r="I1252" s="5" t="n">
        <v>28.46103401792778</v>
      </c>
      <c r="J1252" s="5" t="n">
        <v>48.45595112630556</v>
      </c>
      <c r="K1252" s="5" t="n">
        <v>21</v>
      </c>
    </row>
    <row r="1253">
      <c r="A1253" s="2" t="n">
        <v>46149.58333333334</v>
      </c>
      <c r="B1253">
        <f>TEXT(A1253,"yyyy-mm")</f>
        <v/>
      </c>
      <c r="C1253" s="3">
        <f>HOUR(A1253)</f>
        <v/>
      </c>
      <c r="D1253" s="4" t="n">
        <v>24.72134612698889</v>
      </c>
      <c r="E1253" s="4" t="n">
        <v>26.53776197019722</v>
      </c>
      <c r="F1253" s="4" t="n">
        <v>23.60921687091111</v>
      </c>
      <c r="G1253" s="4" t="n">
        <v>27.8</v>
      </c>
      <c r="H1253" s="5" t="n">
        <v>31.38430655031111</v>
      </c>
      <c r="I1253" s="5" t="n">
        <v>28.01977159792777</v>
      </c>
      <c r="J1253" s="5" t="n">
        <v>47.68077322930555</v>
      </c>
      <c r="K1253" s="5" t="n">
        <v>21</v>
      </c>
    </row>
    <row r="1254">
      <c r="A1254" s="2" t="n">
        <v>46149.625</v>
      </c>
      <c r="B1254">
        <f>TEXT(A1254,"yyyy-mm")</f>
        <v/>
      </c>
      <c r="C1254" s="3">
        <f>HOUR(A1254)</f>
        <v/>
      </c>
      <c r="D1254" s="4" t="n">
        <v>24.74830815038611</v>
      </c>
      <c r="E1254" s="4" t="n">
        <v>26.51483197835</v>
      </c>
      <c r="F1254" s="4" t="n">
        <v>23.60220064725833</v>
      </c>
      <c r="G1254" s="4" t="n">
        <v>28.1</v>
      </c>
      <c r="H1254" s="5" t="n">
        <v>30.27123563286389</v>
      </c>
      <c r="I1254" s="5" t="n">
        <v>30.26339965759166</v>
      </c>
      <c r="J1254" s="5" t="n">
        <v>47.12271278933056</v>
      </c>
      <c r="K1254" s="5" t="n">
        <v>20</v>
      </c>
    </row>
    <row r="1255">
      <c r="A1255" s="2" t="n">
        <v>46149.66666666666</v>
      </c>
      <c r="B1255">
        <f>TEXT(A1255,"yyyy-mm")</f>
        <v/>
      </c>
      <c r="C1255" s="3">
        <f>HOUR(A1255)</f>
        <v/>
      </c>
      <c r="D1255" s="4" t="n">
        <v>24.76992278824167</v>
      </c>
      <c r="E1255" s="4" t="n">
        <v>26.57775366588056</v>
      </c>
      <c r="F1255" s="4" t="n">
        <v>23.61687814595556</v>
      </c>
      <c r="G1255" s="4" t="n">
        <v>28</v>
      </c>
      <c r="H1255" s="5" t="n">
        <v>31.72652767964444</v>
      </c>
      <c r="I1255" s="5" t="n">
        <v>32.02267927553333</v>
      </c>
      <c r="J1255" s="5" t="n">
        <v>46.96858085026388</v>
      </c>
      <c r="K1255" s="5" t="n">
        <v>20</v>
      </c>
    </row>
    <row r="1256">
      <c r="A1256" s="2" t="n">
        <v>46149.70833333334</v>
      </c>
      <c r="B1256">
        <f>TEXT(A1256,"yyyy-mm")</f>
        <v/>
      </c>
      <c r="C1256" s="3">
        <f>HOUR(A1256)</f>
        <v/>
      </c>
      <c r="D1256" s="4" t="n">
        <v>24.84593357958056</v>
      </c>
      <c r="E1256" s="4" t="n">
        <v>26.5698152791</v>
      </c>
      <c r="F1256" s="4" t="n">
        <v>23.63877410486389</v>
      </c>
      <c r="G1256" s="4" t="n">
        <v>27.5</v>
      </c>
      <c r="H1256" s="5" t="n">
        <v>30.17123328365833</v>
      </c>
      <c r="I1256" s="5" t="n">
        <v>28.18738363164444</v>
      </c>
      <c r="J1256" s="5" t="n">
        <v>46.63203590483056</v>
      </c>
      <c r="K1256" s="5" t="n">
        <v>22</v>
      </c>
    </row>
    <row r="1257">
      <c r="A1257" s="2" t="n">
        <v>46149.75</v>
      </c>
      <c r="B1257">
        <f>TEXT(A1257,"yyyy-mm")</f>
        <v/>
      </c>
      <c r="C1257" s="3">
        <f>HOUR(A1257)</f>
        <v/>
      </c>
      <c r="D1257" s="4" t="n">
        <v>24.75823497578889</v>
      </c>
      <c r="E1257" s="4" t="n">
        <v>26.42821613070833</v>
      </c>
      <c r="F1257" s="4" t="n">
        <v>23.66272825248889</v>
      </c>
      <c r="G1257" s="4" t="n">
        <v>26.6</v>
      </c>
      <c r="H1257" s="5" t="n">
        <v>30.15474662826389</v>
      </c>
      <c r="I1257" s="5" t="n">
        <v>27.21066868142222</v>
      </c>
      <c r="J1257" s="5" t="n">
        <v>46.24818108564722</v>
      </c>
      <c r="K1257" s="5" t="n">
        <v>25</v>
      </c>
    </row>
    <row r="1258">
      <c r="A1258" s="2" t="n">
        <v>46149.79166666666</v>
      </c>
      <c r="B1258">
        <f>TEXT(A1258,"yyyy-mm")</f>
        <v/>
      </c>
      <c r="C1258" s="3">
        <f>HOUR(A1258)</f>
        <v/>
      </c>
      <c r="D1258" s="4" t="n">
        <v>24.56823213583333</v>
      </c>
      <c r="E1258" s="4" t="n">
        <v>26.00904425451111</v>
      </c>
      <c r="F1258" s="4" t="n">
        <v>23.671628111625</v>
      </c>
      <c r="G1258" s="4" t="n">
        <v>25.3</v>
      </c>
      <c r="H1258" s="5" t="n">
        <v>30.36556584688333</v>
      </c>
      <c r="I1258" s="5" t="n">
        <v>30.34474475355833</v>
      </c>
      <c r="J1258" s="5" t="n">
        <v>46.11178992856667</v>
      </c>
      <c r="K1258" s="5" t="n">
        <v>31</v>
      </c>
    </row>
    <row r="1259">
      <c r="A1259" s="2" t="n">
        <v>46149.83333333334</v>
      </c>
      <c r="B1259">
        <f>TEXT(A1259,"yyyy-mm")</f>
        <v/>
      </c>
      <c r="C1259" s="3">
        <f>HOUR(A1259)</f>
        <v/>
      </c>
      <c r="D1259" s="4" t="n">
        <v>24.30220176993889</v>
      </c>
      <c r="E1259" s="4" t="n">
        <v>25.869249497725</v>
      </c>
      <c r="F1259" s="4" t="n">
        <v>23.68635019556111</v>
      </c>
      <c r="G1259" s="4" t="n">
        <v>23</v>
      </c>
      <c r="H1259" s="5" t="n">
        <v>29.693230901175</v>
      </c>
      <c r="I1259" s="5" t="n">
        <v>33.65565278989722</v>
      </c>
      <c r="J1259" s="5" t="n">
        <v>46.19585331325278</v>
      </c>
      <c r="K1259" s="5" t="n">
        <v>42</v>
      </c>
    </row>
    <row r="1260">
      <c r="A1260" s="2" t="n">
        <v>46149.875</v>
      </c>
      <c r="B1260">
        <f>TEXT(A1260,"yyyy-mm")</f>
        <v/>
      </c>
      <c r="C1260" s="3">
        <f>HOUR(A1260)</f>
        <v/>
      </c>
      <c r="D1260" s="4" t="n">
        <v>23.78881295016389</v>
      </c>
      <c r="E1260" s="4" t="n">
        <v>25.60274812089166</v>
      </c>
      <c r="F1260" s="4" t="n">
        <v>23.69989540176389</v>
      </c>
      <c r="G1260" s="4" t="n">
        <v>21.7</v>
      </c>
      <c r="H1260" s="5" t="n">
        <v>31.93504066263056</v>
      </c>
      <c r="I1260" s="5" t="n">
        <v>33.20703941001388</v>
      </c>
      <c r="J1260" s="5" t="n">
        <v>46.19621152378334</v>
      </c>
      <c r="K1260" s="5" t="n">
        <v>41</v>
      </c>
    </row>
    <row r="1261">
      <c r="A1261" s="2" t="n">
        <v>46149.91666666666</v>
      </c>
      <c r="B1261">
        <f>TEXT(A1261,"yyyy-mm")</f>
        <v/>
      </c>
      <c r="C1261" s="3">
        <f>HOUR(A1261)</f>
        <v/>
      </c>
      <c r="D1261" s="4" t="n">
        <v>23.77239259090834</v>
      </c>
      <c r="E1261" s="4" t="n">
        <v>25.45264845838055</v>
      </c>
      <c r="F1261" s="4" t="n">
        <v>23.69817742758612</v>
      </c>
      <c r="G1261" s="4" t="n">
        <v>21.1</v>
      </c>
      <c r="H1261" s="5" t="n">
        <v>34.72336163502778</v>
      </c>
      <c r="I1261" s="5" t="n">
        <v>34.28016228325556</v>
      </c>
      <c r="J1261" s="5" t="n">
        <v>46.18069775791667</v>
      </c>
      <c r="K1261" s="5" t="n">
        <v>41</v>
      </c>
    </row>
    <row r="1262">
      <c r="A1262" s="2" t="n">
        <v>46149.95833333334</v>
      </c>
      <c r="B1262">
        <f>TEXT(A1262,"yyyy-mm")</f>
        <v/>
      </c>
      <c r="C1262" s="3">
        <f>HOUR(A1262)</f>
        <v/>
      </c>
      <c r="D1262" s="4" t="n">
        <v>24.28767117213055</v>
      </c>
      <c r="E1262" s="4" t="n">
        <v>25.49430759549166</v>
      </c>
      <c r="F1262" s="4" t="n">
        <v>23.71651340909445</v>
      </c>
      <c r="G1262" s="4" t="n">
        <v>20.4</v>
      </c>
      <c r="H1262" s="5" t="n">
        <v>38.06719112962222</v>
      </c>
      <c r="I1262" s="5" t="n">
        <v>36.34491475101111</v>
      </c>
      <c r="J1262" s="5" t="n">
        <v>46.35092651636111</v>
      </c>
      <c r="K1262" s="5" t="n">
        <v>40</v>
      </c>
    </row>
    <row r="1263">
      <c r="A1263" s="2" t="n">
        <v>46150</v>
      </c>
      <c r="B1263">
        <f>TEXT(A1263,"yyyy-mm")</f>
        <v/>
      </c>
      <c r="C1263" s="3">
        <f>HOUR(A1263)</f>
        <v/>
      </c>
      <c r="D1263" s="4" t="n">
        <v>24.71689424330556</v>
      </c>
      <c r="E1263" s="4" t="n">
        <v>25.75457859525278</v>
      </c>
      <c r="F1263" s="4" t="n">
        <v>23.77056793090556</v>
      </c>
      <c r="G1263" s="4" t="n">
        <v>19.6</v>
      </c>
      <c r="H1263" s="5" t="n">
        <v>39.15986626956112</v>
      </c>
      <c r="I1263" s="5" t="n">
        <v>37.50050741878334</v>
      </c>
      <c r="J1263" s="5" t="n">
        <v>46.70334711181945</v>
      </c>
      <c r="K1263" s="5" t="n">
        <v>42</v>
      </c>
    </row>
    <row r="1264">
      <c r="A1264" s="2" t="n">
        <v>46150.04166666666</v>
      </c>
      <c r="B1264">
        <f>TEXT(A1264,"yyyy-mm")</f>
        <v/>
      </c>
      <c r="C1264" s="3">
        <f>HOUR(A1264)</f>
        <v/>
      </c>
      <c r="D1264" s="4" t="n">
        <v>24.55589736044444</v>
      </c>
      <c r="E1264" s="4" t="n">
        <v>25.535497064</v>
      </c>
      <c r="F1264" s="4" t="n">
        <v>23.79665585712777</v>
      </c>
      <c r="G1264" s="4" t="n">
        <v>18.6</v>
      </c>
      <c r="H1264" s="5" t="n">
        <v>41.74601767901945</v>
      </c>
      <c r="I1264" s="5" t="n">
        <v>40.42434308020555</v>
      </c>
      <c r="J1264" s="5" t="n">
        <v>46.9466154074</v>
      </c>
      <c r="K1264" s="5" t="n">
        <v>46</v>
      </c>
    </row>
    <row r="1265">
      <c r="A1265" s="2" t="n">
        <v>46150.08333333334</v>
      </c>
      <c r="B1265">
        <f>TEXT(A1265,"yyyy-mm")</f>
        <v/>
      </c>
      <c r="C1265" s="3">
        <f>HOUR(A1265)</f>
        <v/>
      </c>
      <c r="D1265" s="4" t="n">
        <v>24.329495287425</v>
      </c>
      <c r="E1265" s="4" t="n">
        <v>25.32908208837778</v>
      </c>
      <c r="F1265" s="4" t="n">
        <v>23.79755548761389</v>
      </c>
      <c r="G1265" s="4" t="n">
        <v>17.8</v>
      </c>
      <c r="H1265" s="5" t="n">
        <v>43.20036426611389</v>
      </c>
      <c r="I1265" s="5" t="n">
        <v>41.18838451593333</v>
      </c>
      <c r="J1265" s="5" t="n">
        <v>47.01009836471389</v>
      </c>
      <c r="K1265" s="5" t="n">
        <v>49</v>
      </c>
    </row>
    <row r="1266">
      <c r="A1266" s="2" t="n">
        <v>46150.125</v>
      </c>
      <c r="B1266">
        <f>TEXT(A1266,"yyyy-mm")</f>
        <v/>
      </c>
      <c r="C1266" s="3">
        <f>HOUR(A1266)</f>
        <v/>
      </c>
      <c r="D1266" s="4" t="n">
        <v>24.15520399958333</v>
      </c>
      <c r="E1266" s="4" t="n">
        <v>25.194448494075</v>
      </c>
      <c r="F1266" s="4" t="n">
        <v>23.79263892151389</v>
      </c>
      <c r="G1266" s="4" t="n">
        <v>17.1</v>
      </c>
      <c r="H1266" s="5" t="n">
        <v>43.91703533358889</v>
      </c>
      <c r="I1266" s="5" t="n">
        <v>42.07080058118056</v>
      </c>
      <c r="J1266" s="5" t="n">
        <v>46.92565307509722</v>
      </c>
      <c r="K1266" s="5" t="n">
        <v>49</v>
      </c>
    </row>
    <row r="1267">
      <c r="A1267" s="2" t="n">
        <v>46150.16666666666</v>
      </c>
      <c r="B1267">
        <f>TEXT(A1267,"yyyy-mm")</f>
        <v/>
      </c>
      <c r="C1267" s="3">
        <f>HOUR(A1267)</f>
        <v/>
      </c>
      <c r="D1267" s="4" t="n">
        <v>24.03470291519167</v>
      </c>
      <c r="E1267" s="4" t="n">
        <v>25.09070189267223</v>
      </c>
      <c r="F1267" s="4" t="n">
        <v>23.78485471295278</v>
      </c>
      <c r="G1267" s="4" t="n">
        <v>16.4</v>
      </c>
      <c r="H1267" s="5" t="n">
        <v>44.52575236014167</v>
      </c>
      <c r="I1267" s="5" t="n">
        <v>42.70566530800556</v>
      </c>
      <c r="J1267" s="5" t="n">
        <v>46.67346336356389</v>
      </c>
      <c r="K1267" s="5" t="n">
        <v>51</v>
      </c>
    </row>
    <row r="1268">
      <c r="A1268" s="2" t="n">
        <v>46150.20833333334</v>
      </c>
      <c r="B1268">
        <f>TEXT(A1268,"yyyy-mm")</f>
        <v/>
      </c>
      <c r="C1268" s="3">
        <f>HOUR(A1268)</f>
        <v/>
      </c>
      <c r="D1268" s="4" t="n">
        <v>24.03506512660833</v>
      </c>
      <c r="E1268" s="4" t="n">
        <v>25.01667508373889</v>
      </c>
      <c r="F1268" s="4" t="n">
        <v>23.77500028830833</v>
      </c>
      <c r="G1268" s="4" t="n">
        <v>15.7</v>
      </c>
      <c r="H1268" s="5" t="n">
        <v>44.58780648671389</v>
      </c>
      <c r="I1268" s="5" t="n">
        <v>42.76990461646944</v>
      </c>
      <c r="J1268" s="5" t="n">
        <v>46.34736989370833</v>
      </c>
      <c r="K1268" s="5" t="n">
        <v>52</v>
      </c>
    </row>
    <row r="1269">
      <c r="A1269" s="2" t="n">
        <v>46150.25</v>
      </c>
      <c r="B1269">
        <f>TEXT(A1269,"yyyy-mm")</f>
        <v/>
      </c>
      <c r="C1269" s="3">
        <f>HOUR(A1269)</f>
        <v/>
      </c>
      <c r="D1269" s="4" t="n">
        <v>24.37702608666111</v>
      </c>
      <c r="E1269" s="4" t="n">
        <v>25.241627832775</v>
      </c>
      <c r="F1269" s="4" t="n">
        <v>23.77953436951944</v>
      </c>
      <c r="G1269" s="4" t="n">
        <v>15.7</v>
      </c>
      <c r="H1269" s="5" t="n">
        <v>43.28354762646389</v>
      </c>
      <c r="I1269" s="5" t="n">
        <v>42.33407744680278</v>
      </c>
      <c r="J1269" s="5" t="n">
        <v>46.31737957891667</v>
      </c>
      <c r="K1269" s="5" t="n">
        <v>52</v>
      </c>
    </row>
    <row r="1270">
      <c r="A1270" s="2" t="n">
        <v>46150.29166666666</v>
      </c>
      <c r="B1270">
        <f>TEXT(A1270,"yyyy-mm")</f>
        <v/>
      </c>
      <c r="C1270" s="3">
        <f>HOUR(A1270)</f>
        <v/>
      </c>
      <c r="D1270" s="4" t="n">
        <v>24.84153425978889</v>
      </c>
      <c r="E1270" s="4" t="n">
        <v>25.61302301126944</v>
      </c>
      <c r="F1270" s="4" t="n">
        <v>23.82418768579444</v>
      </c>
      <c r="G1270" s="4" t="n">
        <v>16.8</v>
      </c>
      <c r="H1270" s="5" t="n">
        <v>43.08182635465556</v>
      </c>
      <c r="I1270" s="5" t="n">
        <v>42.72660453034722</v>
      </c>
      <c r="J1270" s="5" t="n">
        <v>46.75163203838056</v>
      </c>
      <c r="K1270" s="5" t="n">
        <v>50</v>
      </c>
    </row>
    <row r="1271">
      <c r="A1271" s="2" t="n">
        <v>46150.33333333334</v>
      </c>
      <c r="B1271">
        <f>TEXT(A1271,"yyyy-mm")</f>
        <v/>
      </c>
      <c r="C1271" s="3">
        <f>HOUR(A1271)</f>
        <v/>
      </c>
      <c r="D1271" s="4" t="n">
        <v>25.31906898588333</v>
      </c>
      <c r="E1271" s="4" t="n">
        <v>26.10679968832222</v>
      </c>
      <c r="F1271" s="4" t="n">
        <v>23.894444907975</v>
      </c>
      <c r="G1271" s="4" t="n">
        <v>18.5</v>
      </c>
      <c r="H1271" s="5" t="n">
        <v>43.58154153104723</v>
      </c>
      <c r="I1271" s="5" t="n">
        <v>42.824508937575</v>
      </c>
      <c r="J1271" s="5" t="n">
        <v>47.754534418725</v>
      </c>
      <c r="K1271" s="5" t="n">
        <v>46</v>
      </c>
    </row>
    <row r="1272">
      <c r="A1272" s="2" t="n">
        <v>46150.375</v>
      </c>
      <c r="B1272">
        <f>TEXT(A1272,"yyyy-mm")</f>
        <v/>
      </c>
      <c r="C1272" s="3">
        <f>HOUR(A1272)</f>
        <v/>
      </c>
      <c r="D1272" s="4" t="n">
        <v>25.67087487014722</v>
      </c>
      <c r="E1272" s="4" t="n">
        <v>26.43112994458056</v>
      </c>
      <c r="F1272" s="4" t="n">
        <v>23.97502801317778</v>
      </c>
      <c r="G1272" s="4" t="n">
        <v>21.3</v>
      </c>
      <c r="H1272" s="5" t="n">
        <v>44.12695913426389</v>
      </c>
      <c r="I1272" s="5" t="n">
        <v>43.49464499242777</v>
      </c>
      <c r="J1272" s="5" t="n">
        <v>48.73535077624167</v>
      </c>
      <c r="K1272" s="5" t="n">
        <v>37</v>
      </c>
    </row>
    <row r="1273">
      <c r="A1273" s="2" t="n">
        <v>46150.41666666666</v>
      </c>
      <c r="B1273">
        <f>TEXT(A1273,"yyyy-mm")</f>
        <v/>
      </c>
      <c r="C1273" s="3">
        <f>HOUR(A1273)</f>
        <v/>
      </c>
      <c r="D1273" s="4" t="n">
        <v>25.8931283298</v>
      </c>
      <c r="E1273" s="4" t="n">
        <v>26.78028743864445</v>
      </c>
      <c r="F1273" s="4" t="n">
        <v>24.05032437325277</v>
      </c>
      <c r="G1273" s="4" t="n">
        <v>23.6</v>
      </c>
      <c r="H1273" s="5" t="n">
        <v>45.31807070344723</v>
      </c>
      <c r="I1273" s="5" t="n">
        <v>44.1552558122</v>
      </c>
      <c r="J1273" s="5" t="n">
        <v>49.71790911737222</v>
      </c>
      <c r="K1273" s="5" t="n">
        <v>33</v>
      </c>
    </row>
    <row r="1274">
      <c r="A1274" s="2" t="n">
        <v>46150.45833333334</v>
      </c>
      <c r="B1274">
        <f>TEXT(A1274,"yyyy-mm")</f>
        <v/>
      </c>
      <c r="C1274" s="3">
        <f>HOUR(A1274)</f>
        <v/>
      </c>
      <c r="D1274" s="4" t="n">
        <v>26.03098622185556</v>
      </c>
      <c r="E1274" s="4" t="n">
        <v>27.15642057367777</v>
      </c>
      <c r="F1274" s="4" t="n">
        <v>24.09906333584444</v>
      </c>
      <c r="G1274" s="4" t="n">
        <v>25.4</v>
      </c>
      <c r="H1274" s="5" t="n">
        <v>46.61565862851666</v>
      </c>
      <c r="I1274" s="5" t="n">
        <v>46.83104469001389</v>
      </c>
      <c r="J1274" s="5" t="n">
        <v>49.74023211608333</v>
      </c>
      <c r="K1274" s="5" t="n">
        <v>30</v>
      </c>
    </row>
    <row r="1275">
      <c r="A1275" s="2" t="n">
        <v>46150.5</v>
      </c>
      <c r="B1275">
        <f>TEXT(A1275,"yyyy-mm")</f>
        <v/>
      </c>
      <c r="C1275" s="3">
        <f>HOUR(A1275)</f>
        <v/>
      </c>
      <c r="D1275" s="4" t="n">
        <v>25.87510430678333</v>
      </c>
      <c r="E1275" s="4" t="n">
        <v>27.08741911020556</v>
      </c>
      <c r="F1275" s="4" t="n">
        <v>24.15524482955</v>
      </c>
      <c r="G1275" s="4" t="n">
        <v>26.4</v>
      </c>
      <c r="H1275" s="5" t="n">
        <v>47.47799264432777</v>
      </c>
      <c r="I1275" s="5" t="n">
        <v>45.74051693779722</v>
      </c>
      <c r="J1275" s="5" t="n">
        <v>50.80784557115</v>
      </c>
      <c r="K1275" s="5" t="n">
        <v>27</v>
      </c>
    </row>
    <row r="1276">
      <c r="A1276" s="2" t="n">
        <v>46150.54166666666</v>
      </c>
      <c r="B1276">
        <f>TEXT(A1276,"yyyy-mm")</f>
        <v/>
      </c>
      <c r="C1276" s="3">
        <f>HOUR(A1276)</f>
        <v/>
      </c>
      <c r="D1276" s="4" t="n">
        <v>25.73546433894722</v>
      </c>
      <c r="E1276" s="4" t="n">
        <v>26.96616363203056</v>
      </c>
      <c r="F1276" s="4" t="n">
        <v>24.20059877355278</v>
      </c>
      <c r="G1276" s="4" t="n">
        <v>26.6</v>
      </c>
      <c r="H1276" s="5" t="n">
        <v>48.31485732845</v>
      </c>
      <c r="I1276" s="5" t="n">
        <v>45.90945075639445</v>
      </c>
      <c r="J1276" s="5" t="n">
        <v>51.44659015876945</v>
      </c>
      <c r="K1276" s="5" t="n">
        <v>27</v>
      </c>
    </row>
    <row r="1277">
      <c r="A1277" s="2" t="n">
        <v>46150.58333333334</v>
      </c>
      <c r="B1277">
        <f>TEXT(A1277,"yyyy-mm")</f>
        <v/>
      </c>
      <c r="C1277" s="3">
        <f>HOUR(A1277)</f>
        <v/>
      </c>
      <c r="D1277" s="4" t="n">
        <v>25.67319430169722</v>
      </c>
      <c r="E1277" s="4" t="n">
        <v>27.07173851905</v>
      </c>
      <c r="F1277" s="4" t="n">
        <v>24.22331322670277</v>
      </c>
      <c r="G1277" s="4" t="n">
        <v>26.7</v>
      </c>
      <c r="H1277" s="5" t="n">
        <v>48.53403431079722</v>
      </c>
      <c r="I1277" s="5" t="n">
        <v>45.52381417496389</v>
      </c>
      <c r="J1277" s="5" t="n">
        <v>51.76901218368889</v>
      </c>
      <c r="K1277" s="5" t="n">
        <v>27</v>
      </c>
    </row>
    <row r="1278">
      <c r="A1278" s="2" t="n">
        <v>46150.625</v>
      </c>
      <c r="B1278">
        <f>TEXT(A1278,"yyyy-mm")</f>
        <v/>
      </c>
      <c r="C1278" s="3">
        <f>HOUR(A1278)</f>
        <v/>
      </c>
      <c r="D1278" s="4" t="n">
        <v>25.67440319694166</v>
      </c>
      <c r="E1278" s="4" t="n">
        <v>26.99803869201111</v>
      </c>
      <c r="F1278" s="4" t="n">
        <v>24.24772930913889</v>
      </c>
      <c r="G1278" s="4" t="n">
        <v>27.1</v>
      </c>
      <c r="H1278" s="5" t="n">
        <v>48.77216895981112</v>
      </c>
      <c r="I1278" s="5" t="n">
        <v>47.1266419337361</v>
      </c>
      <c r="J1278" s="5" t="n">
        <v>51.93366385824722</v>
      </c>
      <c r="K1278" s="5" t="n">
        <v>23</v>
      </c>
    </row>
    <row r="1279">
      <c r="A1279" s="2" t="n">
        <v>46150.66666666666</v>
      </c>
      <c r="B1279">
        <f>TEXT(A1279,"yyyy-mm")</f>
        <v/>
      </c>
      <c r="C1279" s="3">
        <f>HOUR(A1279)</f>
        <v/>
      </c>
      <c r="D1279" s="4" t="n">
        <v>25.6488781556</v>
      </c>
      <c r="E1279" s="4" t="n">
        <v>27.017018521325</v>
      </c>
      <c r="F1279" s="4" t="n">
        <v>24.27804271451112</v>
      </c>
      <c r="G1279" s="4" t="n">
        <v>26.8</v>
      </c>
      <c r="H1279" s="5" t="n">
        <v>49.80578713094167</v>
      </c>
      <c r="I1279" s="5" t="n">
        <v>48.05493181436666</v>
      </c>
      <c r="J1279" s="5" t="n">
        <v>52.14364247074167</v>
      </c>
      <c r="K1279" s="5" t="n">
        <v>23</v>
      </c>
    </row>
    <row r="1280">
      <c r="A1280" s="2" t="n">
        <v>46150.70833333334</v>
      </c>
      <c r="B1280">
        <f>TEXT(A1280,"yyyy-mm")</f>
        <v/>
      </c>
      <c r="C1280" s="3">
        <f>HOUR(A1280)</f>
        <v/>
      </c>
      <c r="D1280" s="4" t="n">
        <v>25.62263017938333</v>
      </c>
      <c r="E1280" s="4" t="n">
        <v>26.83783803405833</v>
      </c>
      <c r="F1280" s="4" t="n">
        <v>24.30248157096944</v>
      </c>
      <c r="G1280" s="4" t="n">
        <v>26.2</v>
      </c>
      <c r="H1280" s="5" t="n">
        <v>50.20073520423333</v>
      </c>
      <c r="I1280" s="5" t="n">
        <v>47.60698044624721</v>
      </c>
      <c r="J1280" s="5" t="n">
        <v>52.32461140475</v>
      </c>
      <c r="K1280" s="5" t="n">
        <v>25</v>
      </c>
    </row>
    <row r="1281">
      <c r="A1281" s="2" t="n">
        <v>46150.75</v>
      </c>
      <c r="B1281">
        <f>TEXT(A1281,"yyyy-mm")</f>
        <v/>
      </c>
      <c r="C1281" s="3">
        <f>HOUR(A1281)</f>
        <v/>
      </c>
      <c r="D1281" s="4" t="n">
        <v>25.53042327628611</v>
      </c>
      <c r="E1281" s="4" t="n">
        <v>26.723968878425</v>
      </c>
      <c r="F1281" s="4" t="n">
        <v>24.27087265340278</v>
      </c>
      <c r="G1281" s="4" t="n">
        <v>25.3</v>
      </c>
      <c r="H1281" s="5" t="n">
        <v>49.46754057818888</v>
      </c>
      <c r="I1281" s="5" t="n">
        <v>47.65893595331945</v>
      </c>
      <c r="J1281" s="5" t="n">
        <v>50.20625909734444</v>
      </c>
      <c r="K1281" s="5" t="n">
        <v>28</v>
      </c>
    </row>
    <row r="1282">
      <c r="A1282" s="2" t="n">
        <v>46150.79166666666</v>
      </c>
      <c r="B1282">
        <f>TEXT(A1282,"yyyy-mm")</f>
        <v/>
      </c>
      <c r="C1282" s="3">
        <f>HOUR(A1282)</f>
        <v/>
      </c>
      <c r="D1282" s="4" t="n">
        <v>25.307059648225</v>
      </c>
      <c r="E1282" s="4" t="n">
        <v>26.441903225125</v>
      </c>
      <c r="F1282" s="4" t="n">
        <v>24.22117902133612</v>
      </c>
      <c r="G1282" s="4" t="n">
        <v>23.6</v>
      </c>
      <c r="H1282" s="5" t="n">
        <v>46.30885510063612</v>
      </c>
      <c r="I1282" s="5" t="n">
        <v>45.02931156541944</v>
      </c>
      <c r="J1282" s="5" t="n">
        <v>48.453243282025</v>
      </c>
      <c r="K1282" s="5" t="n">
        <v>35</v>
      </c>
    </row>
    <row r="1283">
      <c r="A1283" s="2" t="n">
        <v>46150.83333333334</v>
      </c>
      <c r="B1283">
        <f>TEXT(A1283,"yyyy-mm")</f>
        <v/>
      </c>
      <c r="C1283" s="3">
        <f>HOUR(A1283)</f>
        <v/>
      </c>
      <c r="D1283" s="4" t="n">
        <v>25.08588212568056</v>
      </c>
      <c r="E1283" s="4" t="n">
        <v>26.19095527037777</v>
      </c>
      <c r="F1283" s="4" t="n">
        <v>24.18872443519722</v>
      </c>
      <c r="G1283" s="4" t="n">
        <v>21.9</v>
      </c>
      <c r="H1283" s="5" t="n">
        <v>44.48916641614167</v>
      </c>
      <c r="I1283" s="5" t="n">
        <v>42.92410717447223</v>
      </c>
      <c r="J1283" s="5" t="n">
        <v>47.44266696753333</v>
      </c>
      <c r="K1283" s="5" t="n">
        <v>41</v>
      </c>
    </row>
    <row r="1284">
      <c r="A1284" s="2" t="n">
        <v>46150.875</v>
      </c>
      <c r="B1284">
        <f>TEXT(A1284,"yyyy-mm")</f>
        <v/>
      </c>
      <c r="C1284" s="3">
        <f>HOUR(A1284)</f>
        <v/>
      </c>
      <c r="D1284" s="4" t="n">
        <v>24.92661435047778</v>
      </c>
      <c r="E1284" s="4" t="n">
        <v>25.90083754932222</v>
      </c>
      <c r="F1284" s="4" t="n">
        <v>24.16967729200556</v>
      </c>
      <c r="G1284" s="4" t="n">
        <v>20.9</v>
      </c>
      <c r="H1284" s="5" t="n">
        <v>43.69739493004167</v>
      </c>
      <c r="I1284" s="5" t="n">
        <v>41.87578107640278</v>
      </c>
      <c r="J1284" s="5" t="n">
        <v>46.68526064171667</v>
      </c>
      <c r="K1284" s="5" t="n">
        <v>39</v>
      </c>
    </row>
    <row r="1285">
      <c r="A1285" s="2" t="n">
        <v>46150.91666666666</v>
      </c>
      <c r="B1285">
        <f>TEXT(A1285,"yyyy-mm")</f>
        <v/>
      </c>
      <c r="C1285" s="3">
        <f>HOUR(A1285)</f>
        <v/>
      </c>
      <c r="D1285" s="4" t="n">
        <v>24.79463997038333</v>
      </c>
      <c r="E1285" s="4" t="n">
        <v>25.70615175104444</v>
      </c>
      <c r="F1285" s="4" t="n">
        <v>24.15102024703333</v>
      </c>
      <c r="G1285" s="4" t="n">
        <v>19.9</v>
      </c>
      <c r="H1285" s="5" t="n">
        <v>42.38603175236667</v>
      </c>
      <c r="I1285" s="5" t="n">
        <v>41.04162186546944</v>
      </c>
      <c r="J1285" s="5" t="n">
        <v>46.11268054364722</v>
      </c>
      <c r="K1285" s="5" t="n">
        <v>39</v>
      </c>
    </row>
    <row r="1286">
      <c r="A1286" s="2" t="n">
        <v>46150.95833333334</v>
      </c>
      <c r="B1286">
        <f>TEXT(A1286,"yyyy-mm")</f>
        <v/>
      </c>
      <c r="C1286" s="3">
        <f>HOUR(A1286)</f>
        <v/>
      </c>
      <c r="D1286" s="4" t="n">
        <v>23.87263898669723</v>
      </c>
      <c r="E1286" s="4" t="n">
        <v>25.72000890532222</v>
      </c>
      <c r="F1286" s="4" t="n">
        <v>24.14886113999166</v>
      </c>
      <c r="G1286" s="4" t="n">
        <v>18.9</v>
      </c>
      <c r="H1286" s="5" t="n">
        <v>38.57219007823056</v>
      </c>
      <c r="I1286" s="5" t="n">
        <v>38.62613195344444</v>
      </c>
      <c r="J1286" s="5" t="n">
        <v>45.85709337385833</v>
      </c>
      <c r="K1286" s="5" t="n">
        <v>41</v>
      </c>
    </row>
    <row r="1287">
      <c r="A1287" s="2" t="n">
        <v>46151</v>
      </c>
      <c r="B1287">
        <f>TEXT(A1287,"yyyy-mm")</f>
        <v/>
      </c>
      <c r="C1287" s="3">
        <f>HOUR(A1287)</f>
        <v/>
      </c>
      <c r="D1287" s="4" t="n">
        <v>22.16796620885</v>
      </c>
      <c r="E1287" s="4" t="n">
        <v>25.74079837196389</v>
      </c>
      <c r="F1287" s="4" t="n">
        <v>24.22668093061111</v>
      </c>
      <c r="G1287" s="4" t="n">
        <v>18</v>
      </c>
      <c r="H1287" s="5" t="n">
        <v>37.33282378423889</v>
      </c>
      <c r="I1287" s="5" t="n">
        <v>35.12333503210556</v>
      </c>
      <c r="J1287" s="5" t="n">
        <v>46.50611950938056</v>
      </c>
      <c r="K1287" s="5" t="n">
        <v>44</v>
      </c>
    </row>
    <row r="1288">
      <c r="A1288" s="2" t="n">
        <v>46151.04166666666</v>
      </c>
      <c r="B1288">
        <f>TEXT(A1288,"yyyy-mm")</f>
        <v/>
      </c>
      <c r="C1288" s="3">
        <f>HOUR(A1288)</f>
        <v/>
      </c>
      <c r="D1288" s="4" t="n">
        <v>23.78359580743889</v>
      </c>
      <c r="E1288" s="4" t="n">
        <v>25.68499443766389</v>
      </c>
      <c r="F1288" s="4" t="n">
        <v>24.29031701993055</v>
      </c>
      <c r="G1288" s="4" t="n">
        <v>16.9</v>
      </c>
      <c r="H1288" s="5" t="n">
        <v>44.43566058355277</v>
      </c>
      <c r="I1288" s="5" t="n">
        <v>41.40664040767778</v>
      </c>
      <c r="J1288" s="5" t="n">
        <v>46.91624510656112</v>
      </c>
      <c r="K1288" s="5" t="n">
        <v>48</v>
      </c>
    </row>
    <row r="1289">
      <c r="A1289" s="2" t="n">
        <v>46151.08333333334</v>
      </c>
      <c r="B1289">
        <f>TEXT(A1289,"yyyy-mm")</f>
        <v/>
      </c>
      <c r="C1289" s="3">
        <f>HOUR(A1289)</f>
        <v/>
      </c>
      <c r="D1289" s="4" t="n">
        <v>24.13526563001111</v>
      </c>
      <c r="E1289" s="4" t="n">
        <v>25.46802367504445</v>
      </c>
      <c r="F1289" s="4" t="n">
        <v>24.39867964522222</v>
      </c>
      <c r="G1289" s="4" t="n">
        <v>15.8</v>
      </c>
      <c r="H1289" s="5" t="n">
        <v>47.922684357875</v>
      </c>
      <c r="I1289" s="5" t="n">
        <v>45.41982970676111</v>
      </c>
      <c r="J1289" s="5" t="n">
        <v>46.400486298875</v>
      </c>
      <c r="K1289" s="5" t="n">
        <v>53</v>
      </c>
    </row>
    <row r="1290">
      <c r="A1290" s="2" t="n">
        <v>46151.125</v>
      </c>
      <c r="B1290">
        <f>TEXT(A1290,"yyyy-mm")</f>
        <v/>
      </c>
      <c r="C1290" s="3">
        <f>HOUR(A1290)</f>
        <v/>
      </c>
      <c r="D1290" s="4" t="n">
        <v>24.18033289551389</v>
      </c>
      <c r="E1290" s="4" t="n">
        <v>25.41450405897778</v>
      </c>
      <c r="F1290" s="4" t="n">
        <v>24.42775132722222</v>
      </c>
      <c r="G1290" s="4" t="n">
        <v>14.8</v>
      </c>
      <c r="H1290" s="5" t="n">
        <v>48.43418490911667</v>
      </c>
      <c r="I1290" s="5" t="n">
        <v>45.57008465210277</v>
      </c>
      <c r="J1290" s="5" t="n">
        <v>45.90134091255834</v>
      </c>
      <c r="K1290" s="5" t="n">
        <v>57</v>
      </c>
    </row>
    <row r="1291">
      <c r="A1291" s="2" t="n">
        <v>46151.16666666666</v>
      </c>
      <c r="B1291">
        <f>TEXT(A1291,"yyyy-mm")</f>
        <v/>
      </c>
      <c r="C1291" s="3">
        <f>HOUR(A1291)</f>
        <v/>
      </c>
      <c r="D1291" s="4" t="n">
        <v>24.15661445251389</v>
      </c>
      <c r="E1291" s="4" t="n">
        <v>25.37221449684445</v>
      </c>
      <c r="F1291" s="4" t="n">
        <v>24.40560325271112</v>
      </c>
      <c r="G1291" s="4" t="n">
        <v>14</v>
      </c>
      <c r="H1291" s="5" t="n">
        <v>48.45028441039445</v>
      </c>
      <c r="I1291" s="5" t="n">
        <v>45.49857947705556</v>
      </c>
      <c r="J1291" s="5" t="n">
        <v>45.497971854425</v>
      </c>
      <c r="K1291" s="5" t="n">
        <v>59</v>
      </c>
    </row>
    <row r="1292">
      <c r="A1292" s="2" t="n">
        <v>46151.20833333334</v>
      </c>
      <c r="B1292">
        <f>TEXT(A1292,"yyyy-mm")</f>
        <v/>
      </c>
      <c r="C1292" s="3">
        <f>HOUR(A1292)</f>
        <v/>
      </c>
      <c r="D1292" s="4" t="n">
        <v>24.276155179775</v>
      </c>
      <c r="E1292" s="4" t="n">
        <v>25.34378441357778</v>
      </c>
      <c r="F1292" s="4" t="n">
        <v>24.38475145599167</v>
      </c>
      <c r="G1292" s="4" t="n">
        <v>13.4</v>
      </c>
      <c r="H1292" s="5" t="n">
        <v>47.83847160959444</v>
      </c>
      <c r="I1292" s="5" t="n">
        <v>45.45582253694445</v>
      </c>
      <c r="J1292" s="5" t="n">
        <v>45.12659628181388</v>
      </c>
      <c r="K1292" s="5" t="n">
        <v>60</v>
      </c>
    </row>
    <row r="1293">
      <c r="A1293" s="2" t="n">
        <v>46151.25</v>
      </c>
      <c r="B1293">
        <f>TEXT(A1293,"yyyy-mm")</f>
        <v/>
      </c>
      <c r="C1293" s="3">
        <f>HOUR(A1293)</f>
        <v/>
      </c>
      <c r="D1293" s="4" t="n">
        <v>24.59529572074445</v>
      </c>
      <c r="E1293" s="4" t="n">
        <v>25.40645797300833</v>
      </c>
      <c r="F1293" s="4" t="n">
        <v>24.36042593273333</v>
      </c>
      <c r="G1293" s="4" t="n">
        <v>13.4</v>
      </c>
      <c r="H1293" s="5" t="n">
        <v>45.85978589928055</v>
      </c>
      <c r="I1293" s="5" t="n">
        <v>45.21393444163888</v>
      </c>
      <c r="J1293" s="5" t="n">
        <v>44.85718759144722</v>
      </c>
      <c r="K1293" s="5" t="n">
        <v>57</v>
      </c>
    </row>
    <row r="1294">
      <c r="A1294" s="2" t="n">
        <v>46151.29166666666</v>
      </c>
      <c r="B1294">
        <f>TEXT(A1294,"yyyy-mm")</f>
        <v/>
      </c>
      <c r="C1294" s="3">
        <f>HOUR(A1294)</f>
        <v/>
      </c>
      <c r="D1294" s="4" t="n">
        <v>25.09981462702778</v>
      </c>
      <c r="E1294" s="4" t="n">
        <v>25.83850482536944</v>
      </c>
      <c r="F1294" s="4" t="n">
        <v>24.35657409597222</v>
      </c>
      <c r="G1294" s="4" t="n">
        <v>14.7</v>
      </c>
      <c r="H1294" s="5" t="n">
        <v>44.53057610567223</v>
      </c>
      <c r="I1294" s="5" t="n">
        <v>45.10453433865001</v>
      </c>
      <c r="J1294" s="5" t="n">
        <v>44.70861465382777</v>
      </c>
      <c r="K1294" s="5" t="n">
        <v>52</v>
      </c>
    </row>
    <row r="1295">
      <c r="A1295" s="2" t="n">
        <v>46151.33333333334</v>
      </c>
      <c r="B1295">
        <f>TEXT(A1295,"yyyy-mm")</f>
        <v/>
      </c>
      <c r="C1295" s="3">
        <f>HOUR(A1295)</f>
        <v/>
      </c>
      <c r="D1295" s="4" t="n">
        <v>25.38912810610556</v>
      </c>
      <c r="E1295" s="4" t="n">
        <v>26.31426715559722</v>
      </c>
      <c r="F1295" s="4" t="n">
        <v>24.373175055675</v>
      </c>
      <c r="G1295" s="4" t="n">
        <v>16.5</v>
      </c>
      <c r="H1295" s="5" t="n">
        <v>44.87371520761945</v>
      </c>
      <c r="I1295" s="5" t="n">
        <v>44.87773885992777</v>
      </c>
      <c r="J1295" s="5" t="n">
        <v>44.79528984733611</v>
      </c>
      <c r="K1295" s="5" t="n">
        <v>46</v>
      </c>
    </row>
    <row r="1296">
      <c r="A1296" s="2" t="n">
        <v>46151.375</v>
      </c>
      <c r="B1296">
        <f>TEXT(A1296,"yyyy-mm")</f>
        <v/>
      </c>
      <c r="C1296" s="3">
        <f>HOUR(A1296)</f>
        <v/>
      </c>
      <c r="D1296" s="4" t="n">
        <v>25.81235648259167</v>
      </c>
      <c r="E1296" s="4" t="n">
        <v>26.82639464374445</v>
      </c>
      <c r="F1296" s="4" t="n">
        <v>24.41441458306666</v>
      </c>
      <c r="G1296" s="4" t="n">
        <v>18.8</v>
      </c>
      <c r="H1296" s="5" t="n">
        <v>45.10680048621666</v>
      </c>
      <c r="I1296" s="5" t="n">
        <v>44.78401319056388</v>
      </c>
      <c r="J1296" s="5" t="n">
        <v>45.29227897021667</v>
      </c>
      <c r="K1296" s="5" t="n">
        <v>38</v>
      </c>
    </row>
    <row r="1297">
      <c r="A1297" s="2" t="n">
        <v>46151.41666666666</v>
      </c>
      <c r="B1297">
        <f>TEXT(A1297,"yyyy-mm")</f>
        <v/>
      </c>
      <c r="C1297" s="3">
        <f>HOUR(A1297)</f>
        <v/>
      </c>
      <c r="D1297" s="4" t="n">
        <v>26.04551408097777</v>
      </c>
      <c r="E1297" s="4" t="n">
        <v>27.04902224212778</v>
      </c>
      <c r="F1297" s="4" t="n">
        <v>24.47858913977222</v>
      </c>
      <c r="G1297" s="4" t="n">
        <v>20.9</v>
      </c>
      <c r="H1297" s="5" t="n">
        <v>46.05969576113056</v>
      </c>
      <c r="I1297" s="5" t="n">
        <v>45.41360649840556</v>
      </c>
      <c r="J1297" s="5" t="n">
        <v>46.11882278406111</v>
      </c>
      <c r="K1297" s="5" t="n">
        <v>33</v>
      </c>
    </row>
    <row r="1298">
      <c r="A1298" s="2" t="n">
        <v>46151.45833333334</v>
      </c>
      <c r="B1298">
        <f>TEXT(A1298,"yyyy-mm")</f>
        <v/>
      </c>
      <c r="C1298" s="3">
        <f>HOUR(A1298)</f>
        <v/>
      </c>
      <c r="D1298" s="4" t="n">
        <v>26.10248340585278</v>
      </c>
      <c r="E1298" s="4" t="n">
        <v>27.38605144101667</v>
      </c>
      <c r="F1298" s="4" t="n">
        <v>24.60787471736666</v>
      </c>
      <c r="G1298" s="4" t="n">
        <v>22.2</v>
      </c>
      <c r="H1298" s="5" t="n">
        <v>42.73930693246111</v>
      </c>
      <c r="I1298" s="5" t="n">
        <v>45.6075456211</v>
      </c>
      <c r="J1298" s="5" t="n">
        <v>49.21030851741944</v>
      </c>
      <c r="K1298" s="5" t="n">
        <v>30</v>
      </c>
    </row>
    <row r="1299">
      <c r="A1299" s="2" t="n">
        <v>46151.5</v>
      </c>
      <c r="B1299">
        <f>TEXT(A1299,"yyyy-mm")</f>
        <v/>
      </c>
      <c r="C1299" s="3">
        <f>HOUR(A1299)</f>
        <v/>
      </c>
      <c r="D1299" s="4" t="n">
        <v>25.77446826666112</v>
      </c>
      <c r="E1299" s="4" t="n">
        <v>27.42801344474667</v>
      </c>
      <c r="F1299" s="4" t="n">
        <v>24.69041256398056</v>
      </c>
      <c r="G1299" s="4" t="n">
        <v>23.2</v>
      </c>
      <c r="H1299" s="5" t="n">
        <v>38.08238322006667</v>
      </c>
      <c r="I1299" s="5" t="n">
        <v>43.54383762584</v>
      </c>
      <c r="J1299" s="5" t="n">
        <v>49.61355527311944</v>
      </c>
      <c r="K1299" s="5" t="n">
        <v>29</v>
      </c>
    </row>
    <row r="1300">
      <c r="A1300" s="2" t="n">
        <v>46151.54166666666</v>
      </c>
      <c r="B1300">
        <f>TEXT(A1300,"yyyy-mm")</f>
        <v/>
      </c>
      <c r="C1300" s="3">
        <f>HOUR(A1300)</f>
        <v/>
      </c>
      <c r="D1300" s="4" t="n">
        <v>25.37717782003333</v>
      </c>
      <c r="E1300" s="4" t="n"/>
      <c r="F1300" s="4" t="n">
        <v>24.89837655943611</v>
      </c>
      <c r="G1300" s="4" t="n">
        <v>23.9</v>
      </c>
      <c r="H1300" s="5" t="n">
        <v>30.78237211998611</v>
      </c>
      <c r="I1300" s="5" t="n"/>
      <c r="J1300" s="5" t="n">
        <v>46.853920068625</v>
      </c>
      <c r="K1300" s="5" t="n">
        <v>27</v>
      </c>
    </row>
    <row r="1301">
      <c r="A1301" s="2" t="n">
        <v>46151.58333333334</v>
      </c>
      <c r="B1301">
        <f>TEXT(A1301,"yyyy-mm")</f>
        <v/>
      </c>
      <c r="C1301" s="3">
        <f>HOUR(A1301)</f>
        <v/>
      </c>
      <c r="D1301" s="4" t="n">
        <v>25.36172189824167</v>
      </c>
      <c r="E1301" s="4" t="n"/>
      <c r="F1301" s="4" t="n">
        <v>24.98366510426389</v>
      </c>
      <c r="G1301" s="4" t="n">
        <v>24.4</v>
      </c>
      <c r="H1301" s="5" t="n">
        <v>32.10706924110833</v>
      </c>
      <c r="I1301" s="5" t="n"/>
      <c r="J1301" s="5" t="n">
        <v>46.68988859126944</v>
      </c>
      <c r="K1301" s="5" t="n">
        <v>27</v>
      </c>
    </row>
    <row r="1302">
      <c r="A1302" s="2" t="n">
        <v>46151.625</v>
      </c>
      <c r="B1302">
        <f>TEXT(A1302,"yyyy-mm")</f>
        <v/>
      </c>
      <c r="C1302" s="3">
        <f>HOUR(A1302)</f>
        <v/>
      </c>
      <c r="D1302" s="4" t="n">
        <v>25.61710493067778</v>
      </c>
      <c r="E1302" s="4" t="n"/>
      <c r="F1302" s="4" t="n">
        <v>24.95733565454166</v>
      </c>
      <c r="G1302" s="4" t="n">
        <v>24.8</v>
      </c>
      <c r="H1302" s="5" t="n">
        <v>34.22516992891111</v>
      </c>
      <c r="I1302" s="5" t="n"/>
      <c r="J1302" s="5" t="n">
        <v>47.18799017263056</v>
      </c>
      <c r="K1302" s="5" t="n">
        <v>24</v>
      </c>
    </row>
    <row r="1303">
      <c r="A1303" s="2" t="n">
        <v>46151.66666666666</v>
      </c>
      <c r="B1303">
        <f>TEXT(A1303,"yyyy-mm")</f>
        <v/>
      </c>
      <c r="C1303" s="3">
        <f>HOUR(A1303)</f>
        <v/>
      </c>
      <c r="D1303" s="4" t="n">
        <v>25.73923524656945</v>
      </c>
      <c r="E1303" s="4" t="n"/>
      <c r="F1303" s="4" t="n">
        <v>24.847260001975</v>
      </c>
      <c r="G1303" s="4" t="n">
        <v>24.5</v>
      </c>
      <c r="H1303" s="5" t="n">
        <v>29.09935147047778</v>
      </c>
      <c r="I1303" s="5" t="n"/>
      <c r="J1303" s="5" t="n">
        <v>46.64670073658889</v>
      </c>
      <c r="K1303" s="5" t="n">
        <v>25</v>
      </c>
    </row>
    <row r="1304">
      <c r="A1304" s="2" t="n">
        <v>46151.70833333334</v>
      </c>
      <c r="B1304">
        <f>TEXT(A1304,"yyyy-mm")</f>
        <v/>
      </c>
      <c r="C1304" s="3">
        <f>HOUR(A1304)</f>
        <v/>
      </c>
      <c r="D1304" s="4" t="n">
        <v>25.79979548082222</v>
      </c>
      <c r="E1304" s="4" t="n"/>
      <c r="F1304" s="4" t="n">
        <v>24.81325994968056</v>
      </c>
      <c r="G1304" s="4" t="n">
        <v>24</v>
      </c>
      <c r="H1304" s="5" t="n">
        <v>28.34969216106111</v>
      </c>
      <c r="I1304" s="5" t="n"/>
      <c r="J1304" s="5" t="n">
        <v>46.65577586845556</v>
      </c>
      <c r="K1304" s="5" t="n">
        <v>27</v>
      </c>
    </row>
    <row r="1305">
      <c r="A1305" s="2" t="n">
        <v>46151.75</v>
      </c>
      <c r="B1305">
        <f>TEXT(A1305,"yyyy-mm")</f>
        <v/>
      </c>
      <c r="C1305" s="3">
        <f>HOUR(A1305)</f>
        <v/>
      </c>
      <c r="D1305" s="4" t="n">
        <v>25.54218814068333</v>
      </c>
      <c r="E1305" s="4" t="n"/>
      <c r="F1305" s="4" t="n">
        <v>24.80427770720277</v>
      </c>
      <c r="G1305" s="4" t="n">
        <v>23.6</v>
      </c>
      <c r="H1305" s="5" t="n">
        <v>31.10464987250555</v>
      </c>
      <c r="I1305" s="5" t="n"/>
      <c r="J1305" s="5" t="n">
        <v>46.53015155991389</v>
      </c>
      <c r="K1305" s="5" t="n">
        <v>28</v>
      </c>
    </row>
    <row r="1306">
      <c r="A1306" s="2" t="n">
        <v>46151.79166666666</v>
      </c>
      <c r="B1306">
        <f>TEXT(A1306,"yyyy-mm")</f>
        <v/>
      </c>
      <c r="C1306" s="3">
        <f>HOUR(A1306)</f>
        <v/>
      </c>
      <c r="D1306" s="4" t="n">
        <v>24.87773723641945</v>
      </c>
      <c r="E1306" s="4" t="n"/>
      <c r="F1306" s="4" t="n">
        <v>24.80814774881111</v>
      </c>
      <c r="G1306" s="4" t="n">
        <v>22.6</v>
      </c>
      <c r="H1306" s="5" t="n">
        <v>36.40449220663056</v>
      </c>
      <c r="I1306" s="5" t="n"/>
      <c r="J1306" s="5" t="n">
        <v>46.48609616845278</v>
      </c>
      <c r="K1306" s="5" t="n">
        <v>31</v>
      </c>
    </row>
    <row r="1307">
      <c r="A1307" s="2" t="n">
        <v>46151.83333333334</v>
      </c>
      <c r="B1307">
        <f>TEXT(A1307,"yyyy-mm")</f>
        <v/>
      </c>
      <c r="C1307" s="3">
        <f>HOUR(A1307)</f>
        <v/>
      </c>
      <c r="D1307" s="4" t="n">
        <v>23.84835273035556</v>
      </c>
      <c r="E1307" s="4" t="n"/>
      <c r="F1307" s="4" t="n">
        <v>24.90301799104445</v>
      </c>
      <c r="G1307" s="4" t="n">
        <v>20.2</v>
      </c>
      <c r="H1307" s="5" t="n">
        <v>39.86853564121945</v>
      </c>
      <c r="I1307" s="5" t="n"/>
      <c r="J1307" s="5" t="n">
        <v>46.83773965588333</v>
      </c>
      <c r="K1307" s="5" t="n">
        <v>48</v>
      </c>
    </row>
    <row r="1308">
      <c r="A1308" s="2" t="n">
        <v>46151.875</v>
      </c>
      <c r="B1308">
        <f>TEXT(A1308,"yyyy-mm")</f>
        <v/>
      </c>
      <c r="C1308" s="3">
        <f>HOUR(A1308)</f>
        <v/>
      </c>
      <c r="D1308" s="4" t="n">
        <v>23.60561261074722</v>
      </c>
      <c r="E1308" s="4" t="n"/>
      <c r="F1308" s="4" t="n">
        <v>25.00631473961944</v>
      </c>
      <c r="G1308" s="4" t="n">
        <v>18.7</v>
      </c>
      <c r="H1308" s="5" t="n">
        <v>40.85037108966944</v>
      </c>
      <c r="I1308" s="5" t="n"/>
      <c r="J1308" s="5" t="n">
        <v>46.82577070304723</v>
      </c>
      <c r="K1308" s="5" t="n">
        <v>61</v>
      </c>
    </row>
    <row r="1309">
      <c r="A1309" s="2" t="n">
        <v>46151.91666666666</v>
      </c>
      <c r="B1309">
        <f>TEXT(A1309,"yyyy-mm")</f>
        <v/>
      </c>
      <c r="C1309" s="3">
        <f>HOUR(A1309)</f>
        <v/>
      </c>
      <c r="D1309" s="4" t="n">
        <v>23.97211473626945</v>
      </c>
      <c r="E1309" s="4" t="n"/>
      <c r="F1309" s="4" t="n">
        <v>24.98850937471389</v>
      </c>
      <c r="G1309" s="4" t="n">
        <v>17.9</v>
      </c>
      <c r="H1309" s="5" t="n">
        <v>40.119840019</v>
      </c>
      <c r="I1309" s="5" t="n"/>
      <c r="J1309" s="5" t="n">
        <v>46.39558245732778</v>
      </c>
      <c r="K1309" s="5" t="n">
        <v>67</v>
      </c>
    </row>
    <row r="1310">
      <c r="A1310" s="2" t="n">
        <v>46151.95833333334</v>
      </c>
      <c r="B1310">
        <f>TEXT(A1310,"yyyy-mm")</f>
        <v/>
      </c>
      <c r="C1310" s="3">
        <f>HOUR(A1310)</f>
        <v/>
      </c>
      <c r="D1310" s="4" t="n">
        <v>23.96659795104167</v>
      </c>
      <c r="E1310" s="4" t="n"/>
      <c r="F1310" s="4" t="n">
        <v>24.94110246443611</v>
      </c>
      <c r="G1310" s="4" t="n">
        <v>17.3</v>
      </c>
      <c r="H1310" s="5" t="n">
        <v>41.44797149469166</v>
      </c>
      <c r="I1310" s="5" t="n"/>
      <c r="J1310" s="5" t="n">
        <v>46.17109155845</v>
      </c>
      <c r="K1310" s="5" t="n">
        <v>68</v>
      </c>
    </row>
    <row r="1311">
      <c r="A1311" s="2" t="n">
        <v>46152</v>
      </c>
      <c r="B1311">
        <f>TEXT(A1311,"yyyy-mm")</f>
        <v/>
      </c>
      <c r="C1311" s="3">
        <f>HOUR(A1311)</f>
        <v/>
      </c>
      <c r="D1311" s="4" t="n">
        <v>24.1524371171</v>
      </c>
      <c r="E1311" s="4" t="n"/>
      <c r="F1311" s="4" t="n">
        <v>24.90295298639166</v>
      </c>
      <c r="G1311" s="4" t="n">
        <v>16.7</v>
      </c>
      <c r="H1311" s="5" t="n">
        <v>41.36276565507778</v>
      </c>
      <c r="I1311" s="5" t="n"/>
      <c r="J1311" s="5" t="n">
        <v>46.26363460549167</v>
      </c>
      <c r="K1311" s="5" t="n">
        <v>70</v>
      </c>
    </row>
    <row r="1312">
      <c r="A1312" s="2" t="n">
        <v>46152.04166666666</v>
      </c>
      <c r="B1312">
        <f>TEXT(A1312,"yyyy-mm")</f>
        <v/>
      </c>
      <c r="C1312" s="3">
        <f>HOUR(A1312)</f>
        <v/>
      </c>
      <c r="D1312" s="4" t="n">
        <v>23.00867271478889</v>
      </c>
      <c r="E1312" s="4" t="n"/>
      <c r="F1312" s="4" t="n">
        <v>24.90281455162777</v>
      </c>
      <c r="G1312" s="4" t="n">
        <v>16.3</v>
      </c>
      <c r="H1312" s="5" t="n">
        <v>43.76073204868889</v>
      </c>
      <c r="I1312" s="5" t="n"/>
      <c r="J1312" s="5" t="n">
        <v>46.9698625585</v>
      </c>
      <c r="K1312" s="5" t="n">
        <v>72</v>
      </c>
    </row>
    <row r="1313">
      <c r="A1313" s="2" t="n">
        <v>46152.08333333334</v>
      </c>
      <c r="B1313">
        <f>TEXT(A1313,"yyyy-mm")</f>
        <v/>
      </c>
      <c r="C1313" s="3">
        <f>HOUR(A1313)</f>
        <v/>
      </c>
      <c r="D1313" s="4" t="n">
        <v>23.00293225286111</v>
      </c>
      <c r="E1313" s="4" t="n"/>
      <c r="F1313" s="4" t="n">
        <v>24.88675946505</v>
      </c>
      <c r="G1313" s="4" t="n">
        <v>15.9</v>
      </c>
      <c r="H1313" s="5" t="n">
        <v>44.02377652054445</v>
      </c>
      <c r="I1313" s="5" t="n"/>
      <c r="J1313" s="5" t="n">
        <v>47.34084059608333</v>
      </c>
      <c r="K1313" s="5" t="n">
        <v>73</v>
      </c>
    </row>
    <row r="1314">
      <c r="A1314" s="2" t="n">
        <v>46152.125</v>
      </c>
      <c r="B1314">
        <f>TEXT(A1314,"yyyy-mm")</f>
        <v/>
      </c>
      <c r="C1314" s="3">
        <f>HOUR(A1314)</f>
        <v/>
      </c>
      <c r="D1314" s="4" t="n">
        <v>24.17495611986945</v>
      </c>
      <c r="E1314" s="4" t="n"/>
      <c r="F1314" s="4" t="n">
        <v>24.86890684576666</v>
      </c>
      <c r="G1314" s="4" t="n">
        <v>15.4</v>
      </c>
      <c r="H1314" s="5" t="n">
        <v>41.96013114706944</v>
      </c>
      <c r="I1314" s="5" t="n"/>
      <c r="J1314" s="5" t="n">
        <v>47.63239170462222</v>
      </c>
      <c r="K1314" s="5" t="n">
        <v>78</v>
      </c>
    </row>
    <row r="1315">
      <c r="A1315" s="2" t="n">
        <v>46152.16666666666</v>
      </c>
      <c r="B1315">
        <f>TEXT(A1315,"yyyy-mm")</f>
        <v/>
      </c>
      <c r="C1315" s="3">
        <f>HOUR(A1315)</f>
        <v/>
      </c>
      <c r="D1315" s="4" t="n">
        <v>24.04532792593889</v>
      </c>
      <c r="E1315" s="4" t="n"/>
      <c r="F1315" s="4" t="n">
        <v>24.84423784758055</v>
      </c>
      <c r="G1315" s="4" t="n">
        <v>14.8</v>
      </c>
      <c r="H1315" s="5" t="n">
        <v>41.62659281928889</v>
      </c>
      <c r="I1315" s="5" t="n"/>
      <c r="J1315" s="5" t="n">
        <v>47.737629181575</v>
      </c>
      <c r="K1315" s="5" t="n">
        <v>79</v>
      </c>
    </row>
    <row r="1316">
      <c r="A1316" s="2" t="n">
        <v>46152.20833333334</v>
      </c>
      <c r="B1316">
        <f>TEXT(A1316,"yyyy-mm")</f>
        <v/>
      </c>
      <c r="C1316" s="3">
        <f>HOUR(A1316)</f>
        <v/>
      </c>
      <c r="D1316" s="4" t="n">
        <v>24.02953061063611</v>
      </c>
      <c r="E1316" s="4" t="n"/>
      <c r="F1316" s="4" t="n">
        <v>24.82279588154167</v>
      </c>
      <c r="G1316" s="4" t="n">
        <v>14.2</v>
      </c>
      <c r="H1316" s="5" t="n">
        <v>41.219242491325</v>
      </c>
      <c r="I1316" s="5" t="n"/>
      <c r="J1316" s="5" t="n">
        <v>47.61778569511111</v>
      </c>
      <c r="K1316" s="5" t="n">
        <v>81</v>
      </c>
    </row>
    <row r="1317">
      <c r="A1317" s="2" t="n">
        <v>46152.25</v>
      </c>
      <c r="B1317">
        <f>TEXT(A1317,"yyyy-mm")</f>
        <v/>
      </c>
      <c r="C1317" s="3">
        <f>HOUR(A1317)</f>
        <v/>
      </c>
      <c r="D1317" s="4" t="n">
        <v>24.47107533054722</v>
      </c>
      <c r="E1317" s="4" t="n"/>
      <c r="F1317" s="4" t="n">
        <v>24.81423125308611</v>
      </c>
      <c r="G1317" s="4" t="n">
        <v>14.1</v>
      </c>
      <c r="H1317" s="5" t="n">
        <v>40.11426822364167</v>
      </c>
      <c r="I1317" s="5" t="n"/>
      <c r="J1317" s="5" t="n">
        <v>47.50368706316944</v>
      </c>
      <c r="K1317" s="5" t="n">
        <v>80</v>
      </c>
    </row>
    <row r="1318">
      <c r="A1318" s="2" t="n">
        <v>46152.29166666666</v>
      </c>
      <c r="B1318">
        <f>TEXT(A1318,"yyyy-mm")</f>
        <v/>
      </c>
      <c r="C1318" s="3">
        <f>HOUR(A1318)</f>
        <v/>
      </c>
      <c r="D1318" s="4" t="n">
        <v>25.06512538892778</v>
      </c>
      <c r="E1318" s="4" t="n"/>
      <c r="F1318" s="4" t="n">
        <v>24.83515861322222</v>
      </c>
      <c r="G1318" s="4" t="n">
        <v>15.1</v>
      </c>
      <c r="H1318" s="5" t="n">
        <v>39.66250037990278</v>
      </c>
      <c r="I1318" s="5" t="n"/>
      <c r="J1318" s="5" t="n">
        <v>47.76532028823333</v>
      </c>
      <c r="K1318" s="5" t="n">
        <v>74</v>
      </c>
    </row>
    <row r="1319">
      <c r="A1319" s="2" t="n">
        <v>46152.33333333334</v>
      </c>
      <c r="B1319">
        <f>TEXT(A1319,"yyyy-mm")</f>
        <v/>
      </c>
      <c r="C1319" s="3">
        <f>HOUR(A1319)</f>
        <v/>
      </c>
      <c r="D1319" s="4" t="n">
        <v>25.547177127675</v>
      </c>
      <c r="E1319" s="4" t="n"/>
      <c r="F1319" s="4" t="n">
        <v>24.86829762138333</v>
      </c>
      <c r="G1319" s="4" t="n">
        <v>17.1</v>
      </c>
      <c r="H1319" s="5" t="n">
        <v>39.42091536157222</v>
      </c>
      <c r="I1319" s="5" t="n"/>
      <c r="J1319" s="5" t="n">
        <v>47.92789184363334</v>
      </c>
      <c r="K1319" s="5" t="n">
        <v>63</v>
      </c>
    </row>
    <row r="1320">
      <c r="A1320" s="2" t="n">
        <v>46152.375</v>
      </c>
      <c r="B1320">
        <f>TEXT(A1320,"yyyy-mm")</f>
        <v/>
      </c>
      <c r="C1320" s="3">
        <f>HOUR(A1320)</f>
        <v/>
      </c>
      <c r="D1320" s="4" t="n">
        <v>25.85462201057222</v>
      </c>
      <c r="E1320" s="4" t="n"/>
      <c r="F1320" s="4" t="n">
        <v>24.91974303293055</v>
      </c>
      <c r="G1320" s="4" t="n">
        <v>19.4</v>
      </c>
      <c r="H1320" s="5" t="n">
        <v>39.73742088790834</v>
      </c>
      <c r="I1320" s="5" t="n"/>
      <c r="J1320" s="5" t="n">
        <v>48.19208860893611</v>
      </c>
      <c r="K1320" s="5" t="n">
        <v>53</v>
      </c>
    </row>
    <row r="1321">
      <c r="A1321" s="2" t="n">
        <v>46152.41666666666</v>
      </c>
      <c r="B1321">
        <f>TEXT(A1321,"yyyy-mm")</f>
        <v/>
      </c>
      <c r="C1321" s="3">
        <f>HOUR(A1321)</f>
        <v/>
      </c>
      <c r="D1321" s="4" t="n">
        <v>26.03066587003889</v>
      </c>
      <c r="E1321" s="4" t="n"/>
      <c r="F1321" s="4" t="n">
        <v>24.97020514802222</v>
      </c>
      <c r="G1321" s="4" t="n">
        <v>21.8</v>
      </c>
      <c r="H1321" s="5" t="n">
        <v>39.86292972638334</v>
      </c>
      <c r="I1321" s="5" t="n"/>
      <c r="J1321" s="5" t="n">
        <v>48.36892134236666</v>
      </c>
      <c r="K1321" s="5" t="n">
        <v>44</v>
      </c>
    </row>
    <row r="1322">
      <c r="A1322" s="2" t="n">
        <v>46152.45833333334</v>
      </c>
      <c r="B1322">
        <f>TEXT(A1322,"yyyy-mm")</f>
        <v/>
      </c>
      <c r="C1322" s="3">
        <f>HOUR(A1322)</f>
        <v/>
      </c>
      <c r="D1322" s="4" t="n">
        <v>25.9774766503</v>
      </c>
      <c r="E1322" s="4" t="n"/>
      <c r="F1322" s="4" t="n">
        <v>25.00504808398334</v>
      </c>
      <c r="G1322" s="4" t="n">
        <v>23.5</v>
      </c>
      <c r="H1322" s="5" t="n">
        <v>40.19385301080278</v>
      </c>
      <c r="I1322" s="5" t="n"/>
      <c r="J1322" s="5" t="n">
        <v>48.42404338222222</v>
      </c>
      <c r="K1322" s="5" t="n">
        <v>36</v>
      </c>
    </row>
    <row r="1323">
      <c r="A1323" s="2" t="n">
        <v>46152.5</v>
      </c>
      <c r="B1323">
        <f>TEXT(A1323,"yyyy-mm")</f>
        <v/>
      </c>
      <c r="C1323" s="3">
        <f>HOUR(A1323)</f>
        <v/>
      </c>
      <c r="D1323" s="4" t="n">
        <v>25.94629478158333</v>
      </c>
      <c r="E1323" s="4" t="n"/>
      <c r="F1323" s="4" t="n">
        <v>25.04455673844167</v>
      </c>
      <c r="G1323" s="4" t="n">
        <v>24.2</v>
      </c>
      <c r="H1323" s="5" t="n">
        <v>40.99250049074444</v>
      </c>
      <c r="I1323" s="5" t="n"/>
      <c r="J1323" s="5" t="n">
        <v>48.75887669351388</v>
      </c>
      <c r="K1323" s="5" t="n">
        <v>30</v>
      </c>
    </row>
    <row r="1324">
      <c r="A1324" s="2" t="n">
        <v>46152.54166666666</v>
      </c>
      <c r="B1324">
        <f>TEXT(A1324,"yyyy-mm")</f>
        <v/>
      </c>
      <c r="C1324" s="3">
        <f>HOUR(A1324)</f>
        <v/>
      </c>
      <c r="D1324" s="4" t="n">
        <v>26.07304897135833</v>
      </c>
      <c r="E1324" s="4" t="n"/>
      <c r="F1324" s="4" t="n">
        <v>25.06634325307222</v>
      </c>
      <c r="G1324" s="4" t="n">
        <v>24.8</v>
      </c>
      <c r="H1324" s="5" t="n">
        <v>37.92225929695</v>
      </c>
      <c r="I1324" s="5" t="n"/>
      <c r="J1324" s="5" t="n">
        <v>48.62762114197222</v>
      </c>
      <c r="K1324" s="5" t="n">
        <v>27</v>
      </c>
    </row>
    <row r="1325">
      <c r="A1325" s="2" t="n">
        <v>46152.58333333334</v>
      </c>
      <c r="B1325">
        <f>TEXT(A1325,"yyyy-mm")</f>
        <v/>
      </c>
      <c r="C1325" s="3">
        <f>HOUR(A1325)</f>
        <v/>
      </c>
      <c r="D1325" s="4" t="n">
        <v>25.83814661916945</v>
      </c>
      <c r="E1325" s="4" t="n"/>
      <c r="F1325" s="4" t="n">
        <v>25.05895246428611</v>
      </c>
      <c r="G1325" s="4" t="n">
        <v>24.7</v>
      </c>
      <c r="H1325" s="5" t="n">
        <v>34.08103877310278</v>
      </c>
      <c r="I1325" s="5" t="n"/>
      <c r="J1325" s="5" t="n">
        <v>48.11047547085278</v>
      </c>
      <c r="K1325" s="5" t="n">
        <v>27</v>
      </c>
    </row>
    <row r="1326">
      <c r="A1326" s="2" t="n">
        <v>46152.625</v>
      </c>
      <c r="B1326">
        <f>TEXT(A1326,"yyyy-mm")</f>
        <v/>
      </c>
      <c r="C1326" s="3">
        <f>HOUR(A1326)</f>
        <v/>
      </c>
      <c r="D1326" s="4" t="n">
        <v>25.57891093571667</v>
      </c>
      <c r="E1326" s="4" t="n"/>
      <c r="F1326" s="4" t="n">
        <v>25.04684213869444</v>
      </c>
      <c r="G1326" s="4" t="n">
        <v>25.2</v>
      </c>
      <c r="H1326" s="5" t="n">
        <v>32.58309555231667</v>
      </c>
      <c r="I1326" s="5" t="n"/>
      <c r="J1326" s="5" t="n">
        <v>47.63438228540278</v>
      </c>
      <c r="K1326" s="5" t="n">
        <v>25</v>
      </c>
    </row>
    <row r="1327">
      <c r="A1327" s="2" t="n">
        <v>46152.66666666666</v>
      </c>
      <c r="B1327">
        <f>TEXT(A1327,"yyyy-mm")</f>
        <v/>
      </c>
      <c r="C1327" s="3">
        <f>HOUR(A1327)</f>
        <v/>
      </c>
      <c r="D1327" s="4" t="n">
        <v>25.16152715461111</v>
      </c>
      <c r="E1327" s="4" t="n"/>
      <c r="F1327" s="4" t="n">
        <v>25.04635057816667</v>
      </c>
      <c r="G1327" s="4" t="n">
        <v>25.2</v>
      </c>
      <c r="H1327" s="5" t="n">
        <v>31.75901479868333</v>
      </c>
      <c r="I1327" s="5" t="n"/>
      <c r="J1327" s="5" t="n">
        <v>47.40176982587778</v>
      </c>
      <c r="K1327" s="5" t="n">
        <v>24</v>
      </c>
    </row>
    <row r="1328">
      <c r="A1328" s="2" t="n">
        <v>46152.70833333334</v>
      </c>
      <c r="B1328">
        <f>TEXT(A1328,"yyyy-mm")</f>
        <v/>
      </c>
      <c r="C1328" s="3">
        <f>HOUR(A1328)</f>
        <v/>
      </c>
      <c r="D1328" s="4" t="n">
        <v>24.993250457025</v>
      </c>
      <c r="E1328" s="4" t="n">
        <v>26.29351997774432</v>
      </c>
      <c r="F1328" s="4" t="n">
        <v>25.15616733198334</v>
      </c>
      <c r="G1328" s="4" t="n">
        <v>25</v>
      </c>
      <c r="H1328" s="5" t="n">
        <v>33.01306735815</v>
      </c>
      <c r="I1328" s="5" t="n">
        <v>35.8407514983793</v>
      </c>
      <c r="J1328" s="5" t="n">
        <v>48.1455498221</v>
      </c>
      <c r="K1328" s="5" t="n">
        <v>25</v>
      </c>
    </row>
    <row r="1329">
      <c r="A1329" s="2" t="n">
        <v>46152.75</v>
      </c>
      <c r="B1329">
        <f>TEXT(A1329,"yyyy-mm")</f>
        <v/>
      </c>
      <c r="C1329" s="3">
        <f>HOUR(A1329)</f>
        <v/>
      </c>
      <c r="D1329" s="4" t="n">
        <v>25.252846037575</v>
      </c>
      <c r="E1329" s="4" t="n">
        <v>26.64088731564722</v>
      </c>
      <c r="F1329" s="4" t="n">
        <v>25.30550798274444</v>
      </c>
      <c r="G1329" s="4" t="n">
        <v>22</v>
      </c>
      <c r="H1329" s="5" t="n">
        <v>31.86071804146667</v>
      </c>
      <c r="I1329" s="5" t="n">
        <v>35.23840154841945</v>
      </c>
      <c r="J1329" s="5" t="n">
        <v>47.36932785497778</v>
      </c>
      <c r="K1329" s="5" t="n">
        <v>42</v>
      </c>
    </row>
    <row r="1330">
      <c r="A1330" s="2" t="n">
        <v>46152.79166666666</v>
      </c>
      <c r="B1330">
        <f>TEXT(A1330,"yyyy-mm")</f>
        <v/>
      </c>
      <c r="C1330" s="3">
        <f>HOUR(A1330)</f>
        <v/>
      </c>
      <c r="D1330" s="4" t="n">
        <v>24.4793346265</v>
      </c>
      <c r="E1330" s="4" t="n">
        <v>26.93180937350278</v>
      </c>
      <c r="F1330" s="4" t="n">
        <v>25.38864031393889</v>
      </c>
      <c r="G1330" s="4" t="n">
        <v>21.1</v>
      </c>
      <c r="H1330" s="5" t="n">
        <v>32.55197348098334</v>
      </c>
      <c r="I1330" s="5" t="n">
        <v>34.78538445253056</v>
      </c>
      <c r="J1330" s="5" t="n">
        <v>46.81464492027499</v>
      </c>
      <c r="K1330" s="5" t="n">
        <v>50</v>
      </c>
    </row>
    <row r="1331">
      <c r="A1331" s="2" t="n">
        <v>46152.83333333334</v>
      </c>
      <c r="B1331">
        <f>TEXT(A1331,"yyyy-mm")</f>
        <v/>
      </c>
      <c r="C1331" s="3">
        <f>HOUR(A1331)</f>
        <v/>
      </c>
      <c r="D1331" s="4" t="n">
        <v>23.73360741844445</v>
      </c>
      <c r="E1331" s="4" t="n">
        <v>26.87487971226111</v>
      </c>
      <c r="F1331" s="4" t="n">
        <v>25.3531699668</v>
      </c>
      <c r="G1331" s="4" t="n">
        <v>20.2</v>
      </c>
      <c r="H1331" s="5" t="n">
        <v>35.35463661920556</v>
      </c>
      <c r="I1331" s="5" t="n">
        <v>33.78330426015833</v>
      </c>
      <c r="J1331" s="5" t="n">
        <v>47.423779846</v>
      </c>
      <c r="K1331" s="5" t="n">
        <v>56</v>
      </c>
    </row>
    <row r="1332">
      <c r="A1332" s="2" t="n">
        <v>46152.875</v>
      </c>
      <c r="B1332">
        <f>TEXT(A1332,"yyyy-mm")</f>
        <v/>
      </c>
      <c r="C1332" s="3">
        <f>HOUR(A1332)</f>
        <v/>
      </c>
      <c r="D1332" s="4" t="n">
        <v>23.39605905463889</v>
      </c>
      <c r="E1332" s="4" t="n">
        <v>26.55417613211389</v>
      </c>
      <c r="F1332" s="4" t="n">
        <v>25.30882406255278</v>
      </c>
      <c r="G1332" s="4" t="n">
        <v>18.3</v>
      </c>
      <c r="H1332" s="5" t="n">
        <v>36.8140972228</v>
      </c>
      <c r="I1332" s="5" t="n">
        <v>34.73737192075833</v>
      </c>
      <c r="J1332" s="5" t="n">
        <v>47.54114891373612</v>
      </c>
      <c r="K1332" s="5" t="n">
        <v>68</v>
      </c>
    </row>
    <row r="1333">
      <c r="A1333" s="2" t="n">
        <v>46152.91666666666</v>
      </c>
      <c r="B1333">
        <f>TEXT(A1333,"yyyy-mm")</f>
        <v/>
      </c>
      <c r="C1333" s="3">
        <f>HOUR(A1333)</f>
        <v/>
      </c>
      <c r="D1333" s="4" t="n">
        <v>22.82151403158889</v>
      </c>
      <c r="E1333" s="4" t="n">
        <v>26.52906512276944</v>
      </c>
      <c r="F1333" s="4" t="n">
        <v>25.28560571022777</v>
      </c>
      <c r="G1333" s="4" t="n">
        <v>17.8</v>
      </c>
      <c r="H1333" s="5" t="n">
        <v>39.18094925818056</v>
      </c>
      <c r="I1333" s="5" t="n">
        <v>35.00208995221944</v>
      </c>
      <c r="J1333" s="5" t="n">
        <v>47.70112874237778</v>
      </c>
      <c r="K1333" s="5" t="n">
        <v>71</v>
      </c>
    </row>
    <row r="1334">
      <c r="A1334" s="2" t="n">
        <v>46152.95833333334</v>
      </c>
      <c r="B1334">
        <f>TEXT(A1334,"yyyy-mm")</f>
        <v/>
      </c>
      <c r="C1334" s="3">
        <f>HOUR(A1334)</f>
        <v/>
      </c>
      <c r="D1334" s="4" t="n">
        <v>24.13296997571944</v>
      </c>
      <c r="E1334" s="4" t="n">
        <v>26.874999080075</v>
      </c>
      <c r="F1334" s="4" t="n">
        <v>25.24087865792222</v>
      </c>
      <c r="G1334" s="4" t="n">
        <v>17.4</v>
      </c>
      <c r="H1334" s="5" t="n">
        <v>38.58181948838055</v>
      </c>
      <c r="I1334" s="5" t="n">
        <v>35.93778368901666</v>
      </c>
      <c r="J1334" s="5" t="n">
        <v>47.72421054360834</v>
      </c>
      <c r="K1334" s="5" t="n">
        <v>73</v>
      </c>
    </row>
    <row r="1335">
      <c r="A1335" s="2" t="n">
        <v>46153</v>
      </c>
      <c r="B1335">
        <f>TEXT(A1335,"yyyy-mm")</f>
        <v/>
      </c>
      <c r="C1335" s="3">
        <f>HOUR(A1335)</f>
        <v/>
      </c>
      <c r="D1335" s="4" t="n">
        <v>24.30038285635555</v>
      </c>
      <c r="E1335" s="4" t="n">
        <v>27.37326542849167</v>
      </c>
      <c r="F1335" s="4" t="n">
        <v>25.25393828139167</v>
      </c>
      <c r="G1335" s="4" t="n">
        <v>17</v>
      </c>
      <c r="H1335" s="5" t="n">
        <v>40.00595845545278</v>
      </c>
      <c r="I1335" s="5" t="n">
        <v>36.81513743646112</v>
      </c>
      <c r="J1335" s="5" t="n">
        <v>47.59894415421945</v>
      </c>
      <c r="K1335" s="5" t="n">
        <v>76</v>
      </c>
    </row>
    <row r="1336">
      <c r="A1336" s="2" t="n">
        <v>46153.04166666666</v>
      </c>
      <c r="B1336">
        <f>TEXT(A1336,"yyyy-mm")</f>
        <v/>
      </c>
      <c r="C1336" s="3">
        <f>HOUR(A1336)</f>
        <v/>
      </c>
      <c r="D1336" s="4" t="n">
        <v>24.49775316302778</v>
      </c>
      <c r="E1336" s="4" t="n">
        <v>26.89489760010278</v>
      </c>
      <c r="F1336" s="4" t="n">
        <v>25.27325019202778</v>
      </c>
      <c r="G1336" s="4" t="n">
        <v>16.5</v>
      </c>
      <c r="H1336" s="5" t="n">
        <v>42.13265606105278</v>
      </c>
      <c r="I1336" s="5" t="n">
        <v>38.84441964608611</v>
      </c>
      <c r="J1336" s="5" t="n">
        <v>47.73303615540834</v>
      </c>
      <c r="K1336" s="5" t="n">
        <v>80</v>
      </c>
    </row>
    <row r="1337">
      <c r="A1337" s="2" t="n">
        <v>46153.08333333334</v>
      </c>
      <c r="B1337">
        <f>TEXT(A1337,"yyyy-mm")</f>
        <v/>
      </c>
      <c r="C1337" s="3">
        <f>HOUR(A1337)</f>
        <v/>
      </c>
      <c r="D1337" s="4" t="n">
        <v>24.83096483968056</v>
      </c>
      <c r="E1337" s="4" t="n">
        <v>26.32898931312777</v>
      </c>
      <c r="F1337" s="4" t="n">
        <v>25.26016475295278</v>
      </c>
      <c r="G1337" s="4" t="n">
        <v>16</v>
      </c>
      <c r="H1337" s="5" t="n">
        <v>42.86814699767778</v>
      </c>
      <c r="I1337" s="5" t="n">
        <v>40.31166487804445</v>
      </c>
      <c r="J1337" s="5" t="n">
        <v>47.70641880801111</v>
      </c>
      <c r="K1337" s="5" t="n">
        <v>81</v>
      </c>
    </row>
    <row r="1338">
      <c r="A1338" s="2" t="n">
        <v>46153.125</v>
      </c>
      <c r="B1338">
        <f>TEXT(A1338,"yyyy-mm")</f>
        <v/>
      </c>
      <c r="C1338" s="3">
        <f>HOUR(A1338)</f>
        <v/>
      </c>
      <c r="D1338" s="4" t="n">
        <v>24.748193604825</v>
      </c>
      <c r="E1338" s="4" t="n">
        <v>26.02661918034722</v>
      </c>
      <c r="F1338" s="4" t="n">
        <v>25.23325810541667</v>
      </c>
      <c r="G1338" s="4" t="n">
        <v>15.9</v>
      </c>
      <c r="H1338" s="5" t="n">
        <v>42.82877043399722</v>
      </c>
      <c r="I1338" s="5" t="n">
        <v>40.69157197871667</v>
      </c>
      <c r="J1338" s="5" t="n">
        <v>47.68112624883611</v>
      </c>
      <c r="K1338" s="5" t="n">
        <v>85</v>
      </c>
    </row>
    <row r="1339">
      <c r="A1339" s="2" t="n">
        <v>46153.16666666666</v>
      </c>
      <c r="B1339">
        <f>TEXT(A1339,"yyyy-mm")</f>
        <v/>
      </c>
      <c r="C1339" s="3">
        <f>HOUR(A1339)</f>
        <v/>
      </c>
      <c r="D1339" s="4" t="n">
        <v>24.63013989612222</v>
      </c>
      <c r="E1339" s="4" t="n">
        <v>25.79715518111389</v>
      </c>
      <c r="F1339" s="4" t="n">
        <v>25.22021144230278</v>
      </c>
      <c r="G1339" s="4" t="n">
        <v>15.4</v>
      </c>
      <c r="H1339" s="5" t="n">
        <v>42.28875600210556</v>
      </c>
      <c r="I1339" s="5" t="n">
        <v>40.33079422629167</v>
      </c>
      <c r="J1339" s="5" t="n">
        <v>47.65698883561667</v>
      </c>
      <c r="K1339" s="5" t="n">
        <v>84</v>
      </c>
    </row>
    <row r="1340">
      <c r="A1340" s="2" t="n">
        <v>46153.20833333334</v>
      </c>
      <c r="B1340">
        <f>TEXT(A1340,"yyyy-mm")</f>
        <v/>
      </c>
      <c r="C1340" s="3">
        <f>HOUR(A1340)</f>
        <v/>
      </c>
      <c r="D1340" s="4" t="n">
        <v>24.53393680005277</v>
      </c>
      <c r="E1340" s="4" t="n">
        <v>25.615360554325</v>
      </c>
      <c r="F1340" s="4" t="n">
        <v>25.20292534665278</v>
      </c>
      <c r="G1340" s="4" t="n">
        <v>14.9</v>
      </c>
      <c r="H1340" s="5" t="n">
        <v>41.59003805186666</v>
      </c>
      <c r="I1340" s="5" t="n">
        <v>39.61181904880556</v>
      </c>
      <c r="J1340" s="5" t="n">
        <v>47.60893705085834</v>
      </c>
      <c r="K1340" s="5" t="n">
        <v>85</v>
      </c>
    </row>
    <row r="1341">
      <c r="A1341" s="2" t="n">
        <v>46153.25</v>
      </c>
      <c r="B1341">
        <f>TEXT(A1341,"yyyy-mm")</f>
        <v/>
      </c>
      <c r="C1341" s="3">
        <f>HOUR(A1341)</f>
        <v/>
      </c>
      <c r="D1341" s="4" t="n">
        <v>24.51085695714166</v>
      </c>
      <c r="E1341" s="4" t="n">
        <v>25.41016971135</v>
      </c>
      <c r="F1341" s="4" t="n">
        <v>25.19741646532222</v>
      </c>
      <c r="G1341" s="4" t="n">
        <v>14.9</v>
      </c>
      <c r="H1341" s="5" t="n">
        <v>41.50309952051389</v>
      </c>
      <c r="I1341" s="5" t="n">
        <v>40.33801629970834</v>
      </c>
      <c r="J1341" s="5" t="n">
        <v>47.56091626567778</v>
      </c>
      <c r="K1341" s="5" t="n">
        <v>84</v>
      </c>
    </row>
    <row r="1342">
      <c r="A1342" s="2" t="n">
        <v>46153.29166666666</v>
      </c>
      <c r="B1342">
        <f>TEXT(A1342,"yyyy-mm")</f>
        <v/>
      </c>
      <c r="C1342" s="3">
        <f>HOUR(A1342)</f>
        <v/>
      </c>
      <c r="D1342" s="4" t="n">
        <v>24.68357849472778</v>
      </c>
      <c r="E1342" s="4" t="n">
        <v>25.40537590550278</v>
      </c>
      <c r="F1342" s="4" t="n">
        <v>25.1948974883</v>
      </c>
      <c r="G1342" s="4" t="n">
        <v>15.9</v>
      </c>
      <c r="H1342" s="5" t="n">
        <v>41.41050925396944</v>
      </c>
      <c r="I1342" s="5" t="n">
        <v>40.82717001561111</v>
      </c>
      <c r="J1342" s="5" t="n">
        <v>47.58343363939444</v>
      </c>
      <c r="K1342" s="5" t="n">
        <v>77</v>
      </c>
    </row>
    <row r="1343">
      <c r="A1343" s="2" t="n">
        <v>46153.33333333334</v>
      </c>
      <c r="B1343">
        <f>TEXT(A1343,"yyyy-mm")</f>
        <v/>
      </c>
      <c r="C1343" s="3">
        <f>HOUR(A1343)</f>
        <v/>
      </c>
      <c r="D1343" s="4" t="n">
        <v>24.84307857216389</v>
      </c>
      <c r="E1343" s="4" t="n">
        <v>25.41471033255556</v>
      </c>
      <c r="F1343" s="4" t="n">
        <v>25.20003822598056</v>
      </c>
      <c r="G1343" s="4" t="n">
        <v>16.6</v>
      </c>
      <c r="H1343" s="5" t="n">
        <v>41.84896022520277</v>
      </c>
      <c r="I1343" s="5" t="n">
        <v>41.33108727773055</v>
      </c>
      <c r="J1343" s="5" t="n">
        <v>47.60596370626112</v>
      </c>
      <c r="K1343" s="5" t="n">
        <v>72</v>
      </c>
    </row>
    <row r="1344">
      <c r="A1344" s="2" t="n">
        <v>46153.375</v>
      </c>
      <c r="B1344">
        <f>TEXT(A1344,"yyyy-mm")</f>
        <v/>
      </c>
      <c r="C1344" s="3">
        <f>HOUR(A1344)</f>
        <v/>
      </c>
      <c r="D1344" s="4" t="n">
        <v>25.04763399004722</v>
      </c>
      <c r="E1344" s="4" t="n">
        <v>25.61283515305556</v>
      </c>
      <c r="F1344" s="4" t="n">
        <v>25.21411100478889</v>
      </c>
      <c r="G1344" s="4" t="n">
        <v>17.6</v>
      </c>
      <c r="H1344" s="5" t="n">
        <v>42.56434306881389</v>
      </c>
      <c r="I1344" s="5" t="n">
        <v>41.43925432224444</v>
      </c>
      <c r="J1344" s="5" t="n">
        <v>47.70328873082223</v>
      </c>
      <c r="K1344" s="5" t="n">
        <v>68</v>
      </c>
    </row>
    <row r="1345">
      <c r="A1345" s="2" t="n">
        <v>46153.41666666666</v>
      </c>
      <c r="B1345">
        <f>TEXT(A1345,"yyyy-mm")</f>
        <v/>
      </c>
      <c r="C1345" s="3">
        <f>HOUR(A1345)</f>
        <v/>
      </c>
      <c r="D1345" s="4" t="n">
        <v>25.12535334500556</v>
      </c>
      <c r="E1345" s="4" t="n">
        <v>25.74724433790833</v>
      </c>
      <c r="F1345" s="4" t="n">
        <v>25.22614192615833</v>
      </c>
      <c r="G1345" s="4" t="n">
        <v>18.5</v>
      </c>
      <c r="H1345" s="5" t="n">
        <v>42.06490186136389</v>
      </c>
      <c r="I1345" s="5" t="n">
        <v>41.45802159789167</v>
      </c>
      <c r="J1345" s="5" t="n">
        <v>47.72617456914722</v>
      </c>
      <c r="K1345" s="5" t="n">
        <v>60</v>
      </c>
    </row>
    <row r="1346">
      <c r="A1346" s="2" t="n">
        <v>46153.45833333334</v>
      </c>
      <c r="B1346">
        <f>TEXT(A1346,"yyyy-mm")</f>
        <v/>
      </c>
      <c r="C1346" s="3">
        <f>HOUR(A1346)</f>
        <v/>
      </c>
      <c r="D1346" s="4" t="n">
        <v>25.22548664996112</v>
      </c>
      <c r="E1346" s="4" t="n">
        <v>26.17118443394167</v>
      </c>
      <c r="F1346" s="4" t="n">
        <v>25.25031728873056</v>
      </c>
      <c r="G1346" s="4" t="n">
        <v>19.7</v>
      </c>
      <c r="H1346" s="5" t="n">
        <v>40.43425470448333</v>
      </c>
      <c r="I1346" s="5" t="n">
        <v>39.92091443379167</v>
      </c>
      <c r="J1346" s="5" t="n">
        <v>47.77198862791111</v>
      </c>
      <c r="K1346" s="5" t="n">
        <v>52</v>
      </c>
    </row>
    <row r="1347">
      <c r="A1347" s="2" t="n">
        <v>46153.5</v>
      </c>
      <c r="B1347">
        <f>TEXT(A1347,"yyyy-mm")</f>
        <v/>
      </c>
      <c r="C1347" s="3">
        <f>HOUR(A1347)</f>
        <v/>
      </c>
      <c r="D1347" s="4" t="n">
        <v>25.28528608916667</v>
      </c>
      <c r="E1347" s="4" t="n">
        <v>26.25779334888056</v>
      </c>
      <c r="F1347" s="4" t="n">
        <v>25.27349271370833</v>
      </c>
      <c r="G1347" s="4" t="n">
        <v>20.7</v>
      </c>
      <c r="H1347" s="5" t="n">
        <v>38.82803360710277</v>
      </c>
      <c r="I1347" s="5" t="n">
        <v>39.71501324056111</v>
      </c>
      <c r="J1347" s="5" t="n">
        <v>47.78002440056667</v>
      </c>
      <c r="K1347" s="5" t="n">
        <v>48</v>
      </c>
    </row>
    <row r="1348">
      <c r="A1348" s="2" t="n">
        <v>46153.54166666666</v>
      </c>
      <c r="B1348">
        <f>TEXT(A1348,"yyyy-mm")</f>
        <v/>
      </c>
      <c r="C1348" s="3">
        <f>HOUR(A1348)</f>
        <v/>
      </c>
      <c r="D1348" s="4" t="n">
        <v>25.29555892593611</v>
      </c>
      <c r="E1348" s="4" t="n">
        <v>26.246027660025</v>
      </c>
      <c r="F1348" s="4" t="n">
        <v>25.39449595244722</v>
      </c>
      <c r="G1348" s="4" t="n">
        <v>20.1</v>
      </c>
      <c r="H1348" s="5" t="n">
        <v>38.14896721492222</v>
      </c>
      <c r="I1348" s="5" t="n">
        <v>38.51098071663611</v>
      </c>
      <c r="J1348" s="5" t="n">
        <v>48.69513017324445</v>
      </c>
      <c r="K1348" s="5" t="n">
        <v>51</v>
      </c>
    </row>
    <row r="1349">
      <c r="A1349" s="2" t="n">
        <v>46153.58333333334</v>
      </c>
      <c r="B1349">
        <f>TEXT(A1349,"yyyy-mm")</f>
        <v/>
      </c>
      <c r="C1349" s="3">
        <f>HOUR(A1349)</f>
        <v/>
      </c>
      <c r="D1349" s="4" t="n">
        <v>25.13598793442777</v>
      </c>
      <c r="E1349" s="4" t="n">
        <v>26.1733366135</v>
      </c>
      <c r="F1349" s="4" t="n">
        <v>25.377707824325</v>
      </c>
      <c r="G1349" s="4" t="n">
        <v>19.4</v>
      </c>
      <c r="H1349" s="5" t="n">
        <v>40.043640619875</v>
      </c>
      <c r="I1349" s="5" t="n">
        <v>39.16387437078056</v>
      </c>
      <c r="J1349" s="5" t="n">
        <v>49.76800936068611</v>
      </c>
      <c r="K1349" s="5" t="n">
        <v>56</v>
      </c>
    </row>
    <row r="1350">
      <c r="A1350" s="2" t="n">
        <v>46153.625</v>
      </c>
      <c r="B1350">
        <f>TEXT(A1350,"yyyy-mm")</f>
        <v/>
      </c>
      <c r="C1350" s="3">
        <f>HOUR(A1350)</f>
        <v/>
      </c>
      <c r="D1350" s="4" t="n">
        <v>24.97675311909444</v>
      </c>
      <c r="E1350" s="4" t="n">
        <v>26.19342507435833</v>
      </c>
      <c r="F1350" s="4" t="n">
        <v>25.34425845784166</v>
      </c>
      <c r="G1350" s="4" t="n">
        <v>18.2</v>
      </c>
      <c r="H1350" s="5" t="n">
        <v>45.90421477881944</v>
      </c>
      <c r="I1350" s="5" t="n">
        <v>43.54721655134723</v>
      </c>
      <c r="J1350" s="5" t="n">
        <v>49.04290495741111</v>
      </c>
      <c r="K1350" s="5" t="n">
        <v>60</v>
      </c>
    </row>
    <row r="1351">
      <c r="A1351" s="2" t="n">
        <v>46153.66666666666</v>
      </c>
      <c r="B1351">
        <f>TEXT(A1351,"yyyy-mm")</f>
        <v/>
      </c>
      <c r="C1351" s="3">
        <f>HOUR(A1351)</f>
        <v/>
      </c>
      <c r="D1351" s="4" t="n">
        <v>24.90902754411111</v>
      </c>
      <c r="E1351" s="4" t="n">
        <v>26.36071142200833</v>
      </c>
      <c r="F1351" s="4" t="n">
        <v>25.34114680776389</v>
      </c>
      <c r="G1351" s="4" t="n">
        <v>18.2</v>
      </c>
      <c r="H1351" s="5" t="n">
        <v>49.31417562415555</v>
      </c>
      <c r="I1351" s="5" t="n">
        <v>46.14141066569723</v>
      </c>
      <c r="J1351" s="5" t="n">
        <v>48.608163955125</v>
      </c>
      <c r="K1351" s="5" t="n">
        <v>61</v>
      </c>
    </row>
    <row r="1352">
      <c r="A1352" s="2" t="n">
        <v>46153.70833333334</v>
      </c>
      <c r="B1352">
        <f>TEXT(A1352,"yyyy-mm")</f>
        <v/>
      </c>
      <c r="C1352" s="3">
        <f>HOUR(A1352)</f>
        <v/>
      </c>
      <c r="D1352" s="4" t="n">
        <v>24.54560037185833</v>
      </c>
      <c r="E1352" s="4" t="n">
        <v>26.21086030019723</v>
      </c>
      <c r="F1352" s="4" t="n">
        <v>25.37038604655278</v>
      </c>
      <c r="G1352" s="4" t="n">
        <v>18.8</v>
      </c>
      <c r="H1352" s="5" t="n">
        <v>49.36250509291112</v>
      </c>
      <c r="I1352" s="5" t="n">
        <v>47.02111966381944</v>
      </c>
      <c r="J1352" s="5" t="n">
        <v>48.65635349374722</v>
      </c>
      <c r="K1352" s="5" t="n">
        <v>57</v>
      </c>
    </row>
    <row r="1353">
      <c r="A1353" s="2" t="n">
        <v>46153.75</v>
      </c>
      <c r="B1353">
        <f>TEXT(A1353,"yyyy-mm")</f>
        <v/>
      </c>
      <c r="C1353" s="3">
        <f>HOUR(A1353)</f>
        <v/>
      </c>
      <c r="D1353" s="4" t="n">
        <v>23.21646583754167</v>
      </c>
      <c r="E1353" s="4" t="n">
        <v>25.82192981263333</v>
      </c>
      <c r="F1353" s="4" t="n">
        <v>25.38261085189166</v>
      </c>
      <c r="G1353" s="4" t="n">
        <v>18.2</v>
      </c>
      <c r="H1353" s="5" t="n">
        <v>49.30205725165278</v>
      </c>
      <c r="I1353" s="5" t="n">
        <v>46.67840044257222</v>
      </c>
      <c r="J1353" s="5" t="n">
        <v>48.68159787311111</v>
      </c>
      <c r="K1353" s="5" t="n">
        <v>60</v>
      </c>
    </row>
    <row r="1354">
      <c r="A1354" s="2" t="n">
        <v>46153.79166666666</v>
      </c>
      <c r="B1354">
        <f>TEXT(A1354,"yyyy-mm")</f>
        <v/>
      </c>
      <c r="C1354" s="3">
        <f>HOUR(A1354)</f>
        <v/>
      </c>
      <c r="D1354" s="4" t="n">
        <v>22.54550540235833</v>
      </c>
      <c r="E1354" s="4" t="n">
        <v>25.48460280230556</v>
      </c>
      <c r="F1354" s="4" t="n">
        <v>25.38366606295556</v>
      </c>
      <c r="G1354" s="4" t="n">
        <v>17.1</v>
      </c>
      <c r="H1354" s="5" t="n">
        <v>51.32890827263889</v>
      </c>
      <c r="I1354" s="5" t="n">
        <v>46.23476888196667</v>
      </c>
      <c r="J1354" s="5" t="n">
        <v>48.73309424343611</v>
      </c>
      <c r="K1354" s="5" t="n">
        <v>68</v>
      </c>
    </row>
    <row r="1355">
      <c r="A1355" s="2" t="n">
        <v>46153.83333333334</v>
      </c>
      <c r="B1355">
        <f>TEXT(A1355,"yyyy-mm")</f>
        <v/>
      </c>
      <c r="C1355" s="3">
        <f>HOUR(A1355)</f>
        <v/>
      </c>
      <c r="D1355" s="4" t="n">
        <v>23.12859383936111</v>
      </c>
      <c r="E1355" s="4" t="n">
        <v>25.30185325797778</v>
      </c>
      <c r="F1355" s="4" t="n">
        <v>25.37181379873889</v>
      </c>
      <c r="G1355" s="4" t="n">
        <v>16.3</v>
      </c>
      <c r="H1355" s="5" t="n">
        <v>51.47664354313611</v>
      </c>
      <c r="I1355" s="5" t="n">
        <v>47.38974495359167</v>
      </c>
      <c r="J1355" s="5" t="n">
        <v>48.87879242138612</v>
      </c>
      <c r="K1355" s="5" t="n">
        <v>74</v>
      </c>
    </row>
    <row r="1356">
      <c r="A1356" s="2" t="n">
        <v>46153.875</v>
      </c>
      <c r="B1356">
        <f>TEXT(A1356,"yyyy-mm")</f>
        <v/>
      </c>
      <c r="C1356" s="3">
        <f>HOUR(A1356)</f>
        <v/>
      </c>
      <c r="D1356" s="4" t="n">
        <v>24.03956140579167</v>
      </c>
      <c r="E1356" s="4" t="n">
        <v>25.56502134758334</v>
      </c>
      <c r="F1356" s="4" t="n">
        <v>25.37454696007778</v>
      </c>
      <c r="G1356" s="4" t="n">
        <v>15.4</v>
      </c>
      <c r="H1356" s="5" t="n">
        <v>51.42209032232777</v>
      </c>
      <c r="I1356" s="5" t="n">
        <v>48.65046616442222</v>
      </c>
      <c r="J1356" s="5" t="n">
        <v>49.01440532596112</v>
      </c>
      <c r="K1356" s="5" t="n">
        <v>83</v>
      </c>
    </row>
    <row r="1357">
      <c r="A1357" s="2" t="n">
        <v>46153.91666666666</v>
      </c>
      <c r="B1357">
        <f>TEXT(A1357,"yyyy-mm")</f>
        <v/>
      </c>
      <c r="C1357" s="3">
        <f>HOUR(A1357)</f>
        <v/>
      </c>
      <c r="D1357" s="4" t="n">
        <v>24.434428892525</v>
      </c>
      <c r="E1357" s="4" t="n">
        <v>26.23544979305833</v>
      </c>
      <c r="F1357" s="4" t="n">
        <v>25.38501148756111</v>
      </c>
      <c r="G1357" s="4" t="n">
        <v>14.9</v>
      </c>
      <c r="H1357" s="5" t="n">
        <v>51.96375847684445</v>
      </c>
      <c r="I1357" s="5" t="n">
        <v>48.44066879352223</v>
      </c>
      <c r="J1357" s="5" t="n">
        <v>48.96506266395833</v>
      </c>
      <c r="K1357" s="5" t="n">
        <v>86</v>
      </c>
    </row>
    <row r="1358">
      <c r="A1358" s="2" t="n">
        <v>46153.95833333334</v>
      </c>
      <c r="B1358">
        <f>TEXT(A1358,"yyyy-mm")</f>
        <v/>
      </c>
      <c r="C1358" s="3">
        <f>HOUR(A1358)</f>
        <v/>
      </c>
      <c r="D1358" s="4" t="n">
        <v>24.79952988737222</v>
      </c>
      <c r="E1358" s="4" t="n">
        <v>26.64298368941111</v>
      </c>
      <c r="F1358" s="4" t="n">
        <v>25.40823393777222</v>
      </c>
      <c r="G1358" s="4" t="n">
        <v>14.4</v>
      </c>
      <c r="H1358" s="5" t="n">
        <v>50.36343682924721</v>
      </c>
      <c r="I1358" s="5" t="n">
        <v>46.56106327125</v>
      </c>
      <c r="J1358" s="5" t="n">
        <v>48.79951571365834</v>
      </c>
      <c r="K1358" s="5" t="n">
        <v>90</v>
      </c>
    </row>
    <row r="1359">
      <c r="A1359" s="2" t="n">
        <v>46154</v>
      </c>
      <c r="B1359">
        <f>TEXT(A1359,"yyyy-mm")</f>
        <v/>
      </c>
      <c r="C1359" s="3">
        <f>HOUR(A1359)</f>
        <v/>
      </c>
      <c r="D1359" s="4" t="n">
        <v>24.95078882816945</v>
      </c>
      <c r="E1359" s="4" t="n">
        <v>26.64732659655278</v>
      </c>
      <c r="F1359" s="4" t="n">
        <v>25.42398401454167</v>
      </c>
      <c r="G1359" s="4" t="n">
        <v>14.3</v>
      </c>
      <c r="H1359" s="5" t="n">
        <v>49.27816423908612</v>
      </c>
      <c r="I1359" s="5" t="n">
        <v>45.89384842144444</v>
      </c>
      <c r="J1359" s="5" t="n">
        <v>48.92902025317778</v>
      </c>
      <c r="K1359" s="5" t="n">
        <v>90</v>
      </c>
    </row>
    <row r="1360">
      <c r="A1360" s="2" t="n">
        <v>46154.04166666666</v>
      </c>
      <c r="B1360">
        <f>TEXT(A1360,"yyyy-mm")</f>
        <v/>
      </c>
      <c r="C1360" s="3">
        <f>HOUR(A1360)</f>
        <v/>
      </c>
      <c r="D1360" s="4" t="n">
        <v>25.02800789281389</v>
      </c>
      <c r="E1360" s="4" t="n">
        <v>26.70993742771944</v>
      </c>
      <c r="F1360" s="4" t="n">
        <v>25.445048002875</v>
      </c>
      <c r="G1360" s="4" t="n">
        <v>14.2</v>
      </c>
      <c r="H1360" s="5" t="n">
        <v>48.90184444119723</v>
      </c>
      <c r="I1360" s="5" t="n">
        <v>45.60061352586112</v>
      </c>
      <c r="J1360" s="5" t="n">
        <v>48.96436652104445</v>
      </c>
      <c r="K1360" s="5" t="n">
        <v>90</v>
      </c>
    </row>
    <row r="1361">
      <c r="A1361" s="2" t="n">
        <v>46154.08333333334</v>
      </c>
      <c r="B1361">
        <f>TEXT(A1361,"yyyy-mm")</f>
        <v/>
      </c>
      <c r="C1361" s="3">
        <f>HOUR(A1361)</f>
        <v/>
      </c>
      <c r="D1361" s="4" t="n">
        <v>24.90006280838056</v>
      </c>
      <c r="E1361" s="4" t="n">
        <v>26.21537849571111</v>
      </c>
      <c r="F1361" s="4" t="n">
        <v>25.43715438118056</v>
      </c>
      <c r="G1361" s="4" t="n">
        <v>14</v>
      </c>
      <c r="H1361" s="5" t="n">
        <v>49.07252618325</v>
      </c>
      <c r="I1361" s="5" t="n">
        <v>46.859924860025</v>
      </c>
      <c r="J1361" s="5" t="n">
        <v>49.00394817937778</v>
      </c>
      <c r="K1361" s="5" t="n">
        <v>88</v>
      </c>
    </row>
    <row r="1362">
      <c r="A1362" s="2" t="n">
        <v>46154.125</v>
      </c>
      <c r="B1362">
        <f>TEXT(A1362,"yyyy-mm")</f>
        <v/>
      </c>
      <c r="C1362" s="3">
        <f>HOUR(A1362)</f>
        <v/>
      </c>
      <c r="D1362" s="4" t="n">
        <v>24.53081957563611</v>
      </c>
      <c r="E1362" s="4" t="n">
        <v>25.684048235025</v>
      </c>
      <c r="F1362" s="4" t="n">
        <v>25.43211077155</v>
      </c>
      <c r="G1362" s="4" t="n">
        <v>13.8</v>
      </c>
      <c r="H1362" s="5" t="n">
        <v>48.88153994092778</v>
      </c>
      <c r="I1362" s="5" t="n">
        <v>46.84019520563055</v>
      </c>
      <c r="J1362" s="5" t="n">
        <v>49.01621624875278</v>
      </c>
      <c r="K1362" s="5" t="n">
        <v>90</v>
      </c>
    </row>
    <row r="1363">
      <c r="A1363" s="2" t="n">
        <v>46154.16666666666</v>
      </c>
      <c r="B1363">
        <f>TEXT(A1363,"yyyy-mm")</f>
        <v/>
      </c>
      <c r="C1363" s="3">
        <f>HOUR(A1363)</f>
        <v/>
      </c>
      <c r="D1363" s="4" t="n">
        <v>24.28486047752222</v>
      </c>
      <c r="E1363" s="4" t="n">
        <v>25.39402355355556</v>
      </c>
      <c r="F1363" s="4" t="n">
        <v>25.41777365324444</v>
      </c>
      <c r="G1363" s="4" t="n">
        <v>13.7</v>
      </c>
      <c r="H1363" s="5" t="n">
        <v>48.35755686585278</v>
      </c>
      <c r="I1363" s="5" t="n">
        <v>46.40208570043333</v>
      </c>
      <c r="J1363" s="5" t="n">
        <v>49.07086108097221</v>
      </c>
      <c r="K1363" s="5" t="n">
        <v>89</v>
      </c>
    </row>
    <row r="1364">
      <c r="A1364" s="2" t="n">
        <v>46154.20833333334</v>
      </c>
      <c r="B1364">
        <f>TEXT(A1364,"yyyy-mm")</f>
        <v/>
      </c>
      <c r="C1364" s="3">
        <f>HOUR(A1364)</f>
        <v/>
      </c>
      <c r="D1364" s="4" t="n">
        <v>24.13884468715555</v>
      </c>
      <c r="E1364" s="4" t="n">
        <v>25.17066811183055</v>
      </c>
      <c r="F1364" s="4" t="n">
        <v>25.40088111086667</v>
      </c>
      <c r="G1364" s="4" t="n">
        <v>13</v>
      </c>
      <c r="H1364" s="5" t="n">
        <v>47.68315299371111</v>
      </c>
      <c r="I1364" s="5" t="n">
        <v>46.04436437265</v>
      </c>
      <c r="J1364" s="5" t="n">
        <v>49.0894808144</v>
      </c>
      <c r="K1364" s="5" t="n">
        <v>90</v>
      </c>
    </row>
    <row r="1365">
      <c r="A1365" s="2" t="n">
        <v>46154.25</v>
      </c>
      <c r="B1365">
        <f>TEXT(A1365,"yyyy-mm")</f>
        <v/>
      </c>
      <c r="C1365" s="3">
        <f>HOUR(A1365)</f>
        <v/>
      </c>
      <c r="D1365" s="4" t="n">
        <v>24.21125922803612</v>
      </c>
      <c r="E1365" s="4" t="n">
        <v>25.28641718376666</v>
      </c>
      <c r="F1365" s="4" t="n">
        <v>25.39307139831945</v>
      </c>
      <c r="G1365" s="4" t="n">
        <v>12.6</v>
      </c>
      <c r="H1365" s="5" t="n">
        <v>46.91952730495555</v>
      </c>
      <c r="I1365" s="5" t="n">
        <v>45.56190795522778</v>
      </c>
      <c r="J1365" s="5" t="n">
        <v>49.07273445843333</v>
      </c>
      <c r="K1365" s="5" t="n">
        <v>90</v>
      </c>
    </row>
    <row r="1366">
      <c r="A1366" s="2" t="n">
        <v>46154.29166666666</v>
      </c>
      <c r="B1366">
        <f>TEXT(A1366,"yyyy-mm")</f>
        <v/>
      </c>
      <c r="C1366" s="3">
        <f>HOUR(A1366)</f>
        <v/>
      </c>
      <c r="D1366" s="4" t="n">
        <v>24.61658519425556</v>
      </c>
      <c r="E1366" s="4" t="n">
        <v>25.64861591471667</v>
      </c>
      <c r="F1366" s="4" t="n">
        <v>25.39105527271389</v>
      </c>
      <c r="G1366" s="4" t="n">
        <v>13.7</v>
      </c>
      <c r="H1366" s="5" t="n">
        <v>44.79965499415834</v>
      </c>
      <c r="I1366" s="5" t="n">
        <v>44.06567940498334</v>
      </c>
      <c r="J1366" s="5" t="n">
        <v>48.89671815868611</v>
      </c>
      <c r="K1366" s="5" t="n">
        <v>83</v>
      </c>
    </row>
    <row r="1367">
      <c r="A1367" s="2" t="n">
        <v>46154.33333333334</v>
      </c>
      <c r="B1367">
        <f>TEXT(A1367,"yyyy-mm")</f>
        <v/>
      </c>
      <c r="C1367" s="3">
        <f>HOUR(A1367)</f>
        <v/>
      </c>
      <c r="D1367" s="4" t="n">
        <v>25.24731599379167</v>
      </c>
      <c r="E1367" s="4" t="n">
        <v>25.93323482812222</v>
      </c>
      <c r="F1367" s="4" t="n">
        <v>25.405496843375</v>
      </c>
      <c r="G1367" s="4" t="n">
        <v>15.5</v>
      </c>
      <c r="H1367" s="5" t="n">
        <v>42.81776304190001</v>
      </c>
      <c r="I1367" s="5" t="n">
        <v>41.71846527835277</v>
      </c>
      <c r="J1367" s="5" t="n">
        <v>48.81133549283056</v>
      </c>
      <c r="K1367" s="5" t="n">
        <v>69</v>
      </c>
    </row>
    <row r="1368">
      <c r="A1368" s="2" t="n">
        <v>46154.375</v>
      </c>
      <c r="B1368">
        <f>TEXT(A1368,"yyyy-mm")</f>
        <v/>
      </c>
      <c r="C1368" s="3">
        <f>HOUR(A1368)</f>
        <v/>
      </c>
      <c r="D1368" s="4" t="n">
        <v>25.69512199268611</v>
      </c>
      <c r="E1368" s="4" t="n">
        <v>26.27184073399722</v>
      </c>
      <c r="F1368" s="4" t="n">
        <v>25.45954513944723</v>
      </c>
      <c r="G1368" s="4" t="n">
        <v>17.2</v>
      </c>
      <c r="H1368" s="5" t="n">
        <v>42.40503367031944</v>
      </c>
      <c r="I1368" s="5" t="n">
        <v>39.99285450837223</v>
      </c>
      <c r="J1368" s="5" t="n">
        <v>48.87307049373055</v>
      </c>
      <c r="K1368" s="5" t="n">
        <v>56</v>
      </c>
    </row>
    <row r="1369">
      <c r="A1369" s="2" t="n">
        <v>46154.41666666666</v>
      </c>
      <c r="B1369">
        <f>TEXT(A1369,"yyyy-mm")</f>
        <v/>
      </c>
      <c r="C1369" s="3">
        <f>HOUR(A1369)</f>
        <v/>
      </c>
      <c r="D1369" s="4" t="n">
        <v>25.82808110609722</v>
      </c>
      <c r="E1369" s="4" t="n">
        <v>26.65641740500834</v>
      </c>
      <c r="F1369" s="4" t="n">
        <v>25.50446923949722</v>
      </c>
      <c r="G1369" s="4" t="n">
        <v>18.1</v>
      </c>
      <c r="H1369" s="5" t="n">
        <v>42.07619176409444</v>
      </c>
      <c r="I1369" s="5" t="n">
        <v>40.624610839825</v>
      </c>
      <c r="J1369" s="5" t="n">
        <v>48.88633936946388</v>
      </c>
      <c r="K1369" s="5" t="n">
        <v>50</v>
      </c>
    </row>
    <row r="1370">
      <c r="A1370" s="2" t="n">
        <v>46154.45833333334</v>
      </c>
      <c r="B1370">
        <f>TEXT(A1370,"yyyy-mm")</f>
        <v/>
      </c>
      <c r="C1370" s="3">
        <f>HOUR(A1370)</f>
        <v/>
      </c>
      <c r="D1370" s="4" t="n">
        <v>25.80192318075555</v>
      </c>
      <c r="E1370" s="4" t="n">
        <v>27.12498422091944</v>
      </c>
      <c r="F1370" s="4" t="n">
        <v>25.5192705797</v>
      </c>
      <c r="G1370" s="4" t="n">
        <v>19.2</v>
      </c>
      <c r="H1370" s="5" t="n">
        <v>40.21519234883612</v>
      </c>
      <c r="I1370" s="5" t="n">
        <v>38.39934820685833</v>
      </c>
      <c r="J1370" s="5" t="n">
        <v>48.93537758946389</v>
      </c>
      <c r="K1370" s="5" t="n">
        <v>45</v>
      </c>
    </row>
    <row r="1371">
      <c r="A1371" s="2" t="n">
        <v>46154.5</v>
      </c>
      <c r="B1371">
        <f>TEXT(A1371,"yyyy-mm")</f>
        <v/>
      </c>
      <c r="C1371" s="3">
        <f>HOUR(A1371)</f>
        <v/>
      </c>
      <c r="D1371" s="4" t="n">
        <v>25.74896227255</v>
      </c>
      <c r="E1371" s="4" t="n">
        <v>27.05727339810556</v>
      </c>
      <c r="F1371" s="4" t="n">
        <v>25.53690904152222</v>
      </c>
      <c r="G1371" s="4" t="n">
        <v>20.1</v>
      </c>
      <c r="H1371" s="5" t="n">
        <v>38.97879657879167</v>
      </c>
      <c r="I1371" s="5" t="n">
        <v>37.19820721170556</v>
      </c>
      <c r="J1371" s="5" t="n">
        <v>48.70063051007778</v>
      </c>
      <c r="K1371" s="5" t="n">
        <v>42</v>
      </c>
    </row>
    <row r="1372">
      <c r="A1372" s="2" t="n">
        <v>46154.54166666666</v>
      </c>
      <c r="B1372">
        <f>TEXT(A1372,"yyyy-mm")</f>
        <v/>
      </c>
      <c r="C1372" s="3">
        <f>HOUR(A1372)</f>
        <v/>
      </c>
      <c r="D1372" s="4" t="n">
        <v>25.55373695664722</v>
      </c>
      <c r="E1372" s="4" t="n">
        <v>26.75089848445556</v>
      </c>
      <c r="F1372" s="4" t="n">
        <v>25.54129797435833</v>
      </c>
      <c r="G1372" s="4" t="n">
        <v>20.8</v>
      </c>
      <c r="H1372" s="5" t="n">
        <v>35.77420333363055</v>
      </c>
      <c r="I1372" s="5" t="n">
        <v>36.76006209764167</v>
      </c>
      <c r="J1372" s="5" t="n">
        <v>48.46777448591945</v>
      </c>
      <c r="K1372" s="5" t="n">
        <v>40</v>
      </c>
    </row>
    <row r="1373">
      <c r="A1373" s="2" t="n">
        <v>46154.58333333334</v>
      </c>
      <c r="B1373">
        <f>TEXT(A1373,"yyyy-mm")</f>
        <v/>
      </c>
      <c r="C1373" s="3">
        <f>HOUR(A1373)</f>
        <v/>
      </c>
      <c r="D1373" s="4" t="n">
        <v>25.37241777633056</v>
      </c>
      <c r="E1373" s="4" t="n">
        <v>26.39168759094722</v>
      </c>
      <c r="F1373" s="4" t="n">
        <v>25.54061847777778</v>
      </c>
      <c r="G1373" s="4" t="n">
        <v>21.8</v>
      </c>
      <c r="H1373" s="5" t="n">
        <v>33.77328463935833</v>
      </c>
      <c r="I1373" s="5" t="n">
        <v>34.18510138765</v>
      </c>
      <c r="J1373" s="5" t="n">
        <v>48.16409073655</v>
      </c>
      <c r="K1373" s="5" t="n">
        <v>35</v>
      </c>
    </row>
    <row r="1374">
      <c r="A1374" s="2" t="n">
        <v>46154.625</v>
      </c>
      <c r="B1374">
        <f>TEXT(A1374,"yyyy-mm")</f>
        <v/>
      </c>
      <c r="C1374" s="3">
        <f>HOUR(A1374)</f>
        <v/>
      </c>
      <c r="D1374" s="4" t="n">
        <v>25.37718739340556</v>
      </c>
      <c r="E1374" s="4" t="n">
        <v>26.28627687198056</v>
      </c>
      <c r="F1374" s="4" t="n">
        <v>25.54282588093333</v>
      </c>
      <c r="G1374" s="4" t="n">
        <v>21.9</v>
      </c>
      <c r="H1374" s="5" t="n">
        <v>33.83318541630556</v>
      </c>
      <c r="I1374" s="5" t="n">
        <v>34.47873827823333</v>
      </c>
      <c r="J1374" s="5" t="n">
        <v>47.922818537425</v>
      </c>
      <c r="K1374" s="5" t="n">
        <v>36</v>
      </c>
    </row>
    <row r="1375">
      <c r="A1375" s="2" t="n">
        <v>46154.66666666666</v>
      </c>
      <c r="B1375">
        <f>TEXT(A1375,"yyyy-mm")</f>
        <v/>
      </c>
      <c r="C1375" s="3">
        <f>HOUR(A1375)</f>
        <v/>
      </c>
      <c r="D1375" s="4" t="n">
        <v>25.37968829410833</v>
      </c>
      <c r="E1375" s="4" t="n">
        <v>26.32786421565</v>
      </c>
      <c r="F1375" s="4" t="n">
        <v>25.54551982516945</v>
      </c>
      <c r="G1375" s="4" t="n">
        <v>21.9</v>
      </c>
      <c r="H1375" s="5" t="n">
        <v>33.25431220638333</v>
      </c>
      <c r="I1375" s="5" t="n">
        <v>33.87768778884722</v>
      </c>
      <c r="J1375" s="5" t="n">
        <v>47.739469422675</v>
      </c>
      <c r="K1375" s="5" t="n">
        <v>35</v>
      </c>
    </row>
    <row r="1376">
      <c r="A1376" s="2" t="n">
        <v>46154.70833333334</v>
      </c>
      <c r="B1376">
        <f>TEXT(A1376,"yyyy-mm")</f>
        <v/>
      </c>
      <c r="C1376" s="3">
        <f>HOUR(A1376)</f>
        <v/>
      </c>
      <c r="D1376" s="4" t="n">
        <v>25.39892055053889</v>
      </c>
      <c r="E1376" s="4" t="n">
        <v>26.25828356724167</v>
      </c>
      <c r="F1376" s="4" t="n">
        <v>25.56171373398056</v>
      </c>
      <c r="G1376" s="4" t="n">
        <v>21.6</v>
      </c>
      <c r="H1376" s="5" t="n">
        <v>32.52060150685556</v>
      </c>
      <c r="I1376" s="5" t="n">
        <v>32.78990945113333</v>
      </c>
      <c r="J1376" s="5" t="n">
        <v>47.551278787875</v>
      </c>
      <c r="K1376" s="5" t="n">
        <v>37</v>
      </c>
    </row>
    <row r="1377">
      <c r="A1377" s="2" t="n">
        <v>46154.75</v>
      </c>
      <c r="B1377">
        <f>TEXT(A1377,"yyyy-mm")</f>
        <v/>
      </c>
      <c r="C1377" s="3">
        <f>HOUR(A1377)</f>
        <v/>
      </c>
      <c r="D1377" s="4" t="n">
        <v>25.276292525925</v>
      </c>
      <c r="E1377" s="4" t="n">
        <v>26.43850940680278</v>
      </c>
      <c r="F1377" s="4" t="n">
        <v>25.56073763680556</v>
      </c>
      <c r="G1377" s="4" t="n">
        <v>21.3</v>
      </c>
      <c r="H1377" s="5" t="n">
        <v>32.3976997537</v>
      </c>
      <c r="I1377" s="5" t="n">
        <v>32.86011029575834</v>
      </c>
      <c r="J1377" s="5" t="n">
        <v>46.65101027025</v>
      </c>
      <c r="K1377" s="5" t="n">
        <v>39</v>
      </c>
    </row>
    <row r="1378">
      <c r="A1378" s="2" t="n">
        <v>46154.79166666666</v>
      </c>
      <c r="B1378">
        <f>TEXT(A1378,"yyyy-mm")</f>
        <v/>
      </c>
      <c r="C1378" s="3">
        <f>HOUR(A1378)</f>
        <v/>
      </c>
      <c r="D1378" s="4" t="n">
        <v>25.05087166384722</v>
      </c>
      <c r="E1378" s="4" t="n">
        <v>26.22182888803333</v>
      </c>
      <c r="F1378" s="4" t="n">
        <v>25.54613899571389</v>
      </c>
      <c r="G1378" s="4" t="n">
        <v>20.8</v>
      </c>
      <c r="H1378" s="5" t="n">
        <v>32.0701177576</v>
      </c>
      <c r="I1378" s="5" t="n">
        <v>33.26545977809167</v>
      </c>
      <c r="J1378" s="5" t="n">
        <v>46.55392891709445</v>
      </c>
      <c r="K1378" s="5" t="n">
        <v>41</v>
      </c>
    </row>
    <row r="1379">
      <c r="A1379" s="2" t="n">
        <v>46154.83333333334</v>
      </c>
      <c r="B1379">
        <f>TEXT(A1379,"yyyy-mm")</f>
        <v/>
      </c>
      <c r="C1379" s="3">
        <f>HOUR(A1379)</f>
        <v/>
      </c>
      <c r="D1379" s="4" t="n">
        <v>24.71678977311389</v>
      </c>
      <c r="E1379" s="4" t="n">
        <v>26.12920762688889</v>
      </c>
      <c r="F1379" s="4" t="n">
        <v>25.56331168768056</v>
      </c>
      <c r="G1379" s="4" t="n">
        <v>19.3</v>
      </c>
      <c r="H1379" s="5" t="n">
        <v>32.64398295996111</v>
      </c>
      <c r="I1379" s="5" t="n">
        <v>33.02512805954444</v>
      </c>
      <c r="J1379" s="5" t="n">
        <v>46.66088204953611</v>
      </c>
      <c r="K1379" s="5" t="n">
        <v>52</v>
      </c>
    </row>
    <row r="1380">
      <c r="A1380" s="2" t="n">
        <v>46154.875</v>
      </c>
      <c r="B1380">
        <f>TEXT(A1380,"yyyy-mm")</f>
        <v/>
      </c>
      <c r="C1380" s="3">
        <f>HOUR(A1380)</f>
        <v/>
      </c>
      <c r="D1380" s="4" t="n">
        <v>24.84427724831944</v>
      </c>
      <c r="E1380" s="4" t="n">
        <v>26.08033541679166</v>
      </c>
      <c r="F1380" s="4" t="n">
        <v>25.562451750175</v>
      </c>
      <c r="G1380" s="4" t="n">
        <v>18.1</v>
      </c>
      <c r="H1380" s="5" t="n">
        <v>34.27557948601389</v>
      </c>
      <c r="I1380" s="5" t="n">
        <v>33.94826718395277</v>
      </c>
      <c r="J1380" s="5" t="n">
        <v>46.66631337645277</v>
      </c>
      <c r="K1380" s="5" t="n">
        <v>59</v>
      </c>
    </row>
    <row r="1381">
      <c r="A1381" s="2" t="n">
        <v>46154.91666666666</v>
      </c>
      <c r="B1381">
        <f>TEXT(A1381,"yyyy-mm")</f>
        <v/>
      </c>
      <c r="C1381" s="3">
        <f>HOUR(A1381)</f>
        <v/>
      </c>
      <c r="D1381" s="4" t="n">
        <v>24.94049159921945</v>
      </c>
      <c r="E1381" s="4" t="n">
        <v>26.41059825984722</v>
      </c>
      <c r="F1381" s="4" t="n">
        <v>25.57727842148056</v>
      </c>
      <c r="G1381" s="4" t="n">
        <v>16.9</v>
      </c>
      <c r="H1381" s="5" t="n">
        <v>36.22533266840833</v>
      </c>
      <c r="I1381" s="5" t="n">
        <v>35.78074293613334</v>
      </c>
      <c r="J1381" s="5" t="n">
        <v>46.68200334221945</v>
      </c>
      <c r="K1381" s="5" t="n">
        <v>63</v>
      </c>
    </row>
    <row r="1382">
      <c r="A1382" s="2" t="n">
        <v>46154.95833333334</v>
      </c>
      <c r="B1382">
        <f>TEXT(A1382,"yyyy-mm")</f>
        <v/>
      </c>
      <c r="C1382" s="3">
        <f>HOUR(A1382)</f>
        <v/>
      </c>
      <c r="D1382" s="4" t="n">
        <v>24.96382662715834</v>
      </c>
      <c r="E1382" s="4" t="n">
        <v>26.5663668677</v>
      </c>
      <c r="F1382" s="4" t="n">
        <v>25.59624853529445</v>
      </c>
      <c r="G1382" s="4" t="n">
        <v>15.9</v>
      </c>
      <c r="H1382" s="5" t="n">
        <v>35.81165173586945</v>
      </c>
      <c r="I1382" s="5" t="n">
        <v>34.39665529862222</v>
      </c>
      <c r="J1382" s="5" t="n">
        <v>46.69037823441388</v>
      </c>
      <c r="K1382" s="5" t="n">
        <v>66</v>
      </c>
    </row>
    <row r="1383">
      <c r="A1383" s="2" t="n">
        <v>46155</v>
      </c>
      <c r="B1383">
        <f>TEXT(A1383,"yyyy-mm")</f>
        <v/>
      </c>
      <c r="C1383" s="3">
        <f>HOUR(A1383)</f>
        <v/>
      </c>
      <c r="D1383" s="4" t="n">
        <v>25.08996486779722</v>
      </c>
      <c r="E1383" s="4" t="n">
        <v>26.32998779010833</v>
      </c>
      <c r="F1383" s="4" t="n">
        <v>25.62285349673056</v>
      </c>
      <c r="G1383" s="4" t="n">
        <v>15.4</v>
      </c>
      <c r="H1383" s="5" t="n">
        <v>34.60128120231111</v>
      </c>
      <c r="I1383" s="5" t="n">
        <v>34.16625635339722</v>
      </c>
      <c r="J1383" s="5" t="n">
        <v>46.63503025703333</v>
      </c>
      <c r="K1383" s="5" t="n">
        <v>64</v>
      </c>
    </row>
    <row r="1384">
      <c r="A1384" s="2" t="n">
        <v>46155.04166666666</v>
      </c>
      <c r="B1384">
        <f>TEXT(A1384,"yyyy-mm")</f>
        <v/>
      </c>
      <c r="C1384" s="3">
        <f>HOUR(A1384)</f>
        <v/>
      </c>
      <c r="D1384" s="4" t="n">
        <v>24.80448893766111</v>
      </c>
      <c r="E1384" s="4" t="n">
        <v>25.65253022885278</v>
      </c>
      <c r="F1384" s="4" t="n">
        <v>25.59879283246389</v>
      </c>
      <c r="G1384" s="4" t="n">
        <v>15</v>
      </c>
      <c r="H1384" s="5" t="n">
        <v>35.10092608863334</v>
      </c>
      <c r="I1384" s="5" t="n">
        <v>34.988690376</v>
      </c>
      <c r="J1384" s="5" t="n">
        <v>46.58871709093889</v>
      </c>
      <c r="K1384" s="5" t="n">
        <v>60</v>
      </c>
    </row>
    <row r="1385">
      <c r="A1385" s="2" t="n">
        <v>46155.08333333334</v>
      </c>
      <c r="B1385">
        <f>TEXT(A1385,"yyyy-mm")</f>
        <v/>
      </c>
      <c r="C1385" s="3">
        <f>HOUR(A1385)</f>
        <v/>
      </c>
      <c r="D1385" s="4" t="n">
        <v>24.51767985804166</v>
      </c>
      <c r="E1385" s="4" t="n">
        <v>25.17226257956666</v>
      </c>
      <c r="F1385" s="4" t="n">
        <v>25.58258502168333</v>
      </c>
      <c r="G1385" s="4" t="n">
        <v>14.3</v>
      </c>
      <c r="H1385" s="5" t="n">
        <v>36.03066235031111</v>
      </c>
      <c r="I1385" s="5" t="n">
        <v>36.05340915727778</v>
      </c>
      <c r="J1385" s="5" t="n">
        <v>46.53562597923889</v>
      </c>
      <c r="K1385" s="5" t="n">
        <v>61</v>
      </c>
    </row>
    <row r="1386">
      <c r="A1386" s="2" t="n">
        <v>46155.125</v>
      </c>
      <c r="B1386">
        <f>TEXT(A1386,"yyyy-mm")</f>
        <v/>
      </c>
      <c r="C1386" s="3">
        <f>HOUR(A1386)</f>
        <v/>
      </c>
      <c r="D1386" s="4" t="n">
        <v>24.30408486084166</v>
      </c>
      <c r="E1386" s="4" t="n">
        <v>24.93893813870556</v>
      </c>
      <c r="F1386" s="4" t="n">
        <v>25.56166681078611</v>
      </c>
      <c r="G1386" s="4" t="n">
        <v>13.5</v>
      </c>
      <c r="H1386" s="5" t="n">
        <v>36.76768988923333</v>
      </c>
      <c r="I1386" s="5" t="n">
        <v>36.67560439509722</v>
      </c>
      <c r="J1386" s="5" t="n">
        <v>46.51005511714445</v>
      </c>
      <c r="K1386" s="5" t="n">
        <v>69</v>
      </c>
    </row>
    <row r="1387">
      <c r="A1387" s="2" t="n">
        <v>46155.16666666666</v>
      </c>
      <c r="B1387">
        <f>TEXT(A1387,"yyyy-mm")</f>
        <v/>
      </c>
      <c r="C1387" s="3">
        <f>HOUR(A1387)</f>
        <v/>
      </c>
      <c r="D1387" s="4" t="n">
        <v>24.13037002522778</v>
      </c>
      <c r="E1387" s="4" t="n">
        <v>24.94342265523611</v>
      </c>
      <c r="F1387" s="4" t="n">
        <v>25.54795951364722</v>
      </c>
      <c r="G1387" s="4" t="n">
        <v>12.6</v>
      </c>
      <c r="H1387" s="5" t="n">
        <v>37.33115300348611</v>
      </c>
      <c r="I1387" s="5" t="n">
        <v>36.83722441498889</v>
      </c>
      <c r="J1387" s="5" t="n">
        <v>46.49897175474167</v>
      </c>
      <c r="K1387" s="5" t="n">
        <v>74</v>
      </c>
    </row>
    <row r="1388">
      <c r="A1388" s="2" t="n">
        <v>46155.20833333334</v>
      </c>
      <c r="B1388">
        <f>TEXT(A1388,"yyyy-mm")</f>
        <v/>
      </c>
      <c r="C1388" s="3">
        <f>HOUR(A1388)</f>
        <v/>
      </c>
      <c r="D1388" s="4" t="n">
        <v>24.09795384303333</v>
      </c>
      <c r="E1388" s="4" t="n">
        <v>24.74187955306111</v>
      </c>
      <c r="F1388" s="4" t="n">
        <v>25.53570218779167</v>
      </c>
      <c r="G1388" s="4" t="n">
        <v>11.8</v>
      </c>
      <c r="H1388" s="5" t="n">
        <v>37.60523745548056</v>
      </c>
      <c r="I1388" s="5" t="n">
        <v>37.68908317616111</v>
      </c>
      <c r="J1388" s="5" t="n">
        <v>46.50529135596389</v>
      </c>
      <c r="K1388" s="5" t="n">
        <v>79</v>
      </c>
    </row>
    <row r="1389">
      <c r="A1389" s="2" t="n">
        <v>46155.25</v>
      </c>
      <c r="B1389">
        <f>TEXT(A1389,"yyyy-mm")</f>
        <v/>
      </c>
      <c r="C1389" s="3">
        <f>HOUR(A1389)</f>
        <v/>
      </c>
      <c r="D1389" s="4" t="n">
        <v>24.51885484031945</v>
      </c>
      <c r="E1389" s="4" t="n">
        <v>25.12963556748611</v>
      </c>
      <c r="F1389" s="4" t="n">
        <v>25.54223282145278</v>
      </c>
      <c r="G1389" s="4" t="n">
        <v>12.3</v>
      </c>
      <c r="H1389" s="5" t="n">
        <v>37.39673310306389</v>
      </c>
      <c r="I1389" s="5" t="n">
        <v>37.71554957994445</v>
      </c>
      <c r="J1389" s="5" t="n">
        <v>46.52823962215277</v>
      </c>
      <c r="K1389" s="5" t="n">
        <v>77</v>
      </c>
    </row>
    <row r="1390">
      <c r="A1390" s="2" t="n">
        <v>46155.29166666666</v>
      </c>
      <c r="B1390">
        <f>TEXT(A1390,"yyyy-mm")</f>
        <v/>
      </c>
      <c r="C1390" s="3">
        <f>HOUR(A1390)</f>
        <v/>
      </c>
      <c r="D1390" s="4" t="n">
        <v>25.10441559005556</v>
      </c>
      <c r="E1390" s="4" t="n">
        <v>25.68901712733889</v>
      </c>
      <c r="F1390" s="4" t="n">
        <v>25.56205483360278</v>
      </c>
      <c r="G1390" s="4" t="n">
        <v>14.1</v>
      </c>
      <c r="H1390" s="5" t="n">
        <v>37.46883557361389</v>
      </c>
      <c r="I1390" s="5" t="n">
        <v>37.461216925925</v>
      </c>
      <c r="J1390" s="5" t="n">
        <v>46.60373915157501</v>
      </c>
      <c r="K1390" s="5" t="n">
        <v>69</v>
      </c>
    </row>
    <row r="1391">
      <c r="A1391" s="2" t="n">
        <v>46155.33333333334</v>
      </c>
      <c r="B1391">
        <f>TEXT(A1391,"yyyy-mm")</f>
        <v/>
      </c>
      <c r="C1391" s="3">
        <f>HOUR(A1391)</f>
        <v/>
      </c>
      <c r="D1391" s="4" t="n">
        <v>25.66118475660556</v>
      </c>
      <c r="E1391" s="4" t="n">
        <v>26.07829646878334</v>
      </c>
      <c r="F1391" s="4" t="n">
        <v>25.62249205700833</v>
      </c>
      <c r="G1391" s="4" t="n">
        <v>16.5</v>
      </c>
      <c r="H1391" s="5" t="n">
        <v>37.97493024703888</v>
      </c>
      <c r="I1391" s="5" t="n">
        <v>37.42371898011388</v>
      </c>
      <c r="J1391" s="5" t="n">
        <v>46.76489762823611</v>
      </c>
      <c r="K1391" s="5" t="n">
        <v>61</v>
      </c>
    </row>
    <row r="1392">
      <c r="A1392" s="2" t="n">
        <v>46155.375</v>
      </c>
      <c r="B1392">
        <f>TEXT(A1392,"yyyy-mm")</f>
        <v/>
      </c>
      <c r="C1392" s="3">
        <f>HOUR(A1392)</f>
        <v/>
      </c>
      <c r="D1392" s="4" t="n">
        <v>26.03671973322222</v>
      </c>
      <c r="E1392" s="4" t="n">
        <v>26.42473488417778</v>
      </c>
      <c r="F1392" s="4" t="n">
        <v>25.66566596302778</v>
      </c>
      <c r="G1392" s="4" t="n">
        <v>18.9</v>
      </c>
      <c r="H1392" s="5" t="n">
        <v>38.06154828593333</v>
      </c>
      <c r="I1392" s="5" t="n">
        <v>37.067332739925</v>
      </c>
      <c r="J1392" s="5" t="n">
        <v>47.02246357801111</v>
      </c>
      <c r="K1392" s="5" t="n">
        <v>53</v>
      </c>
    </row>
    <row r="1393">
      <c r="A1393" s="2" t="n">
        <v>46155.41666666666</v>
      </c>
      <c r="B1393">
        <f>TEXT(A1393,"yyyy-mm")</f>
        <v/>
      </c>
      <c r="C1393" s="3">
        <f>HOUR(A1393)</f>
        <v/>
      </c>
      <c r="D1393" s="4" t="n">
        <v>26.16632669246111</v>
      </c>
      <c r="E1393" s="4" t="n">
        <v>26.64209581443889</v>
      </c>
      <c r="F1393" s="4" t="n">
        <v>25.705248806575</v>
      </c>
      <c r="G1393" s="4" t="n">
        <v>20.1</v>
      </c>
      <c r="H1393" s="5" t="n">
        <v>37.47291376065277</v>
      </c>
      <c r="I1393" s="5" t="n">
        <v>36.78253041147778</v>
      </c>
      <c r="J1393" s="5" t="n">
        <v>47.16609393538611</v>
      </c>
      <c r="K1393" s="5" t="n">
        <v>46</v>
      </c>
    </row>
    <row r="1394">
      <c r="A1394" s="2" t="n">
        <v>46155.45833333334</v>
      </c>
      <c r="B1394">
        <f>TEXT(A1394,"yyyy-mm")</f>
        <v/>
      </c>
      <c r="C1394" s="3">
        <f>HOUR(A1394)</f>
        <v/>
      </c>
      <c r="D1394" s="4" t="n">
        <v>26.181202901825</v>
      </c>
      <c r="E1394" s="4" t="n">
        <v>27.01263999809444</v>
      </c>
      <c r="F1394" s="4" t="n">
        <v>25.74208316720556</v>
      </c>
      <c r="G1394" s="4" t="n">
        <v>20.7</v>
      </c>
      <c r="H1394" s="5" t="n">
        <v>36.60931367898056</v>
      </c>
      <c r="I1394" s="5" t="n">
        <v>35.56512028145556</v>
      </c>
      <c r="J1394" s="5" t="n">
        <v>47.22021705323888</v>
      </c>
      <c r="K1394" s="5" t="n">
        <v>43</v>
      </c>
    </row>
    <row r="1395">
      <c r="A1395" s="2" t="n">
        <v>46155.5</v>
      </c>
      <c r="B1395">
        <f>TEXT(A1395,"yyyy-mm")</f>
        <v/>
      </c>
      <c r="C1395" s="3">
        <f>HOUR(A1395)</f>
        <v/>
      </c>
      <c r="D1395" s="4" t="n">
        <v>26.19885673153334</v>
      </c>
      <c r="E1395" s="4" t="n">
        <v>27.01154406198333</v>
      </c>
      <c r="F1395" s="4" t="n">
        <v>25.76426862817222</v>
      </c>
      <c r="G1395" s="4" t="n">
        <v>21.5</v>
      </c>
      <c r="H1395" s="5" t="n">
        <v>32.98956799372778</v>
      </c>
      <c r="I1395" s="5" t="n">
        <v>33.29628166420555</v>
      </c>
      <c r="J1395" s="5" t="n">
        <v>47.03538230369444</v>
      </c>
      <c r="K1395" s="5" t="n">
        <v>38</v>
      </c>
    </row>
    <row r="1396">
      <c r="A1396" s="2" t="n">
        <v>46155.54166666666</v>
      </c>
      <c r="B1396">
        <f>TEXT(A1396,"yyyy-mm")</f>
        <v/>
      </c>
      <c r="C1396" s="3">
        <f>HOUR(A1396)</f>
        <v/>
      </c>
      <c r="D1396" s="4" t="n">
        <v>26.07095487445556</v>
      </c>
      <c r="E1396" s="4" t="n">
        <v>26.75079325760555</v>
      </c>
      <c r="F1396" s="4" t="n">
        <v>25.78115237448611</v>
      </c>
      <c r="G1396" s="4" t="n">
        <v>22.2</v>
      </c>
      <c r="H1396" s="5" t="n">
        <v>31.26252599373055</v>
      </c>
      <c r="I1396" s="5" t="n">
        <v>32.52438838306667</v>
      </c>
      <c r="J1396" s="5" t="n">
        <v>46.77685061215833</v>
      </c>
      <c r="K1396" s="5" t="n">
        <v>35</v>
      </c>
    </row>
    <row r="1397">
      <c r="A1397" s="2" t="n">
        <v>46155.58333333334</v>
      </c>
      <c r="B1397">
        <f>TEXT(A1397,"yyyy-mm")</f>
        <v/>
      </c>
      <c r="C1397" s="3">
        <f>HOUR(A1397)</f>
        <v/>
      </c>
      <c r="D1397" s="4" t="n">
        <v>25.77987737046111</v>
      </c>
      <c r="E1397" s="4" t="n">
        <v>26.27754076400833</v>
      </c>
      <c r="F1397" s="4" t="n">
        <v>25.78062482619723</v>
      </c>
      <c r="G1397" s="4" t="n">
        <v>22.8</v>
      </c>
      <c r="H1397" s="5" t="n">
        <v>29.10578115673056</v>
      </c>
      <c r="I1397" s="5" t="n">
        <v>30.53545137548333</v>
      </c>
      <c r="J1397" s="5" t="n">
        <v>46.50827450546666</v>
      </c>
      <c r="K1397" s="5" t="n">
        <v>33</v>
      </c>
    </row>
    <row r="1398">
      <c r="A1398" s="2" t="n">
        <v>46155.625</v>
      </c>
      <c r="B1398">
        <f>TEXT(A1398,"yyyy-mm")</f>
        <v/>
      </c>
      <c r="C1398" s="3">
        <f>HOUR(A1398)</f>
        <v/>
      </c>
      <c r="D1398" s="4" t="n">
        <v>25.62751699944444</v>
      </c>
      <c r="E1398" s="4" t="n">
        <v>26.16150311865</v>
      </c>
      <c r="F1398" s="4" t="n">
        <v>25.77124972454166</v>
      </c>
      <c r="G1398" s="4" t="n">
        <v>23.7</v>
      </c>
      <c r="H1398" s="5" t="n">
        <v>29.54693452819167</v>
      </c>
      <c r="I1398" s="5" t="n">
        <v>30.51321934687778</v>
      </c>
      <c r="J1398" s="5" t="n">
        <v>46.2579957678</v>
      </c>
      <c r="K1398" s="5" t="n">
        <v>33</v>
      </c>
    </row>
    <row r="1399">
      <c r="A1399" s="2" t="n">
        <v>46155.66666666666</v>
      </c>
      <c r="B1399">
        <f>TEXT(A1399,"yyyy-mm")</f>
        <v/>
      </c>
      <c r="C1399" s="3">
        <f>HOUR(A1399)</f>
        <v/>
      </c>
      <c r="D1399" s="4" t="n">
        <v>25.69686366306667</v>
      </c>
      <c r="E1399" s="4" t="n">
        <v>26.03234592215277</v>
      </c>
      <c r="F1399" s="4" t="n">
        <v>25.76674997044723</v>
      </c>
      <c r="G1399" s="4" t="n">
        <v>23.2</v>
      </c>
      <c r="H1399" s="5" t="n">
        <v>30.35273343201944</v>
      </c>
      <c r="I1399" s="5" t="n">
        <v>31.26632317240833</v>
      </c>
      <c r="J1399" s="5" t="n">
        <v>46.13729752376111</v>
      </c>
      <c r="K1399" s="5" t="n">
        <v>35</v>
      </c>
    </row>
    <row r="1400">
      <c r="A1400" s="2" t="n">
        <v>46155.70833333334</v>
      </c>
      <c r="B1400">
        <f>TEXT(A1400,"yyyy-mm")</f>
        <v/>
      </c>
      <c r="C1400" s="3">
        <f>HOUR(A1400)</f>
        <v/>
      </c>
      <c r="D1400" s="4" t="n">
        <v>25.6646245624</v>
      </c>
      <c r="E1400" s="4" t="n">
        <v>25.81470440455</v>
      </c>
      <c r="F1400" s="4" t="n">
        <v>25.76617478009445</v>
      </c>
      <c r="G1400" s="4" t="n">
        <v>22.9</v>
      </c>
      <c r="H1400" s="5" t="n">
        <v>31.58187650133611</v>
      </c>
      <c r="I1400" s="5" t="n">
        <v>32.54858204852222</v>
      </c>
      <c r="J1400" s="5" t="n">
        <v>46.04726711018611</v>
      </c>
      <c r="K1400" s="5" t="n">
        <v>38</v>
      </c>
    </row>
    <row r="1401">
      <c r="A1401" s="2" t="n">
        <v>46155.75</v>
      </c>
      <c r="B1401">
        <f>TEXT(A1401,"yyyy-mm")</f>
        <v/>
      </c>
      <c r="C1401" s="3">
        <f>HOUR(A1401)</f>
        <v/>
      </c>
      <c r="D1401" s="4" t="n">
        <v>25.32227499985278</v>
      </c>
      <c r="E1401" s="4" t="n">
        <v>25.72571472562223</v>
      </c>
      <c r="F1401" s="4" t="n">
        <v>25.76900631983333</v>
      </c>
      <c r="G1401" s="4" t="n">
        <v>22.2</v>
      </c>
      <c r="H1401" s="5" t="n">
        <v>37.23697929294167</v>
      </c>
      <c r="I1401" s="5" t="n">
        <v>37.84366064270278</v>
      </c>
      <c r="J1401" s="5" t="n">
        <v>46.28696046943056</v>
      </c>
      <c r="K1401" s="5" t="n">
        <v>40</v>
      </c>
    </row>
    <row r="1402">
      <c r="A1402" s="2" t="n">
        <v>46155.79166666666</v>
      </c>
      <c r="B1402">
        <f>TEXT(A1402,"yyyy-mm")</f>
        <v/>
      </c>
      <c r="C1402" s="3">
        <f>HOUR(A1402)</f>
        <v/>
      </c>
      <c r="D1402" s="4" t="n">
        <v>25.18706952347222</v>
      </c>
      <c r="E1402" s="4" t="n">
        <v>25.83145001548611</v>
      </c>
      <c r="F1402" s="4" t="n">
        <v>25.83606916465278</v>
      </c>
      <c r="G1402" s="4" t="n">
        <v>21.4</v>
      </c>
      <c r="H1402" s="5" t="n">
        <v>39.06425871974445</v>
      </c>
      <c r="I1402" s="5" t="n">
        <v>38.72285790465833</v>
      </c>
      <c r="J1402" s="5" t="n">
        <v>47.39514345436111</v>
      </c>
      <c r="K1402" s="5" t="n">
        <v>44</v>
      </c>
    </row>
    <row r="1403">
      <c r="A1403" s="2" t="n">
        <v>46155.83333333334</v>
      </c>
      <c r="B1403">
        <f>TEXT(A1403,"yyyy-mm")</f>
        <v/>
      </c>
      <c r="C1403" s="3">
        <f>HOUR(A1403)</f>
        <v/>
      </c>
      <c r="D1403" s="4" t="n">
        <v>24.97053153818334</v>
      </c>
      <c r="E1403" s="4" t="n">
        <v>25.56120103720556</v>
      </c>
      <c r="F1403" s="4" t="n">
        <v>25.85810598490833</v>
      </c>
      <c r="G1403" s="4" t="n">
        <v>19.8</v>
      </c>
      <c r="H1403" s="5" t="n">
        <v>40.67627221489167</v>
      </c>
      <c r="I1403" s="5" t="n">
        <v>40.04927791119723</v>
      </c>
      <c r="J1403" s="5" t="n">
        <v>46.88610925940834</v>
      </c>
      <c r="K1403" s="5" t="n">
        <v>53</v>
      </c>
    </row>
    <row r="1404">
      <c r="A1404" s="2" t="n">
        <v>46155.875</v>
      </c>
      <c r="B1404">
        <f>TEXT(A1404,"yyyy-mm")</f>
        <v/>
      </c>
      <c r="C1404" s="3">
        <f>HOUR(A1404)</f>
        <v/>
      </c>
      <c r="D1404" s="4" t="n">
        <v>24.900041993375</v>
      </c>
      <c r="E1404" s="4" t="n">
        <v>25.5472333478</v>
      </c>
      <c r="F1404" s="4" t="n">
        <v>25.87142303167778</v>
      </c>
      <c r="G1404" s="4" t="n">
        <v>18.1</v>
      </c>
      <c r="H1404" s="5" t="n">
        <v>42.271747034</v>
      </c>
      <c r="I1404" s="5" t="n">
        <v>41.55006270543889</v>
      </c>
      <c r="J1404" s="5" t="n">
        <v>46.83622734257778</v>
      </c>
      <c r="K1404" s="5" t="n">
        <v>66</v>
      </c>
    </row>
    <row r="1405">
      <c r="A1405" s="2" t="n">
        <v>46155.91666666666</v>
      </c>
      <c r="B1405">
        <f>TEXT(A1405,"yyyy-mm")</f>
        <v/>
      </c>
      <c r="C1405" s="3">
        <f>HOUR(A1405)</f>
        <v/>
      </c>
      <c r="D1405" s="4" t="n">
        <v>25.057860555875</v>
      </c>
      <c r="E1405" s="4" t="n">
        <v>25.744692129975</v>
      </c>
      <c r="F1405" s="4" t="n">
        <v>25.94868044048611</v>
      </c>
      <c r="G1405" s="4" t="n">
        <v>17.8</v>
      </c>
      <c r="H1405" s="5" t="n">
        <v>44.29382712325832</v>
      </c>
      <c r="I1405" s="5" t="n">
        <v>43.95019031446389</v>
      </c>
      <c r="J1405" s="5" t="n">
        <v>46.91262149595278</v>
      </c>
      <c r="K1405" s="5" t="n">
        <v>69</v>
      </c>
    </row>
    <row r="1406">
      <c r="A1406" s="2" t="n">
        <v>46155.95833333334</v>
      </c>
      <c r="B1406">
        <f>TEXT(A1406,"yyyy-mm")</f>
        <v/>
      </c>
      <c r="C1406" s="3">
        <f>HOUR(A1406)</f>
        <v/>
      </c>
      <c r="D1406" s="4" t="n">
        <v>24.54390742452222</v>
      </c>
      <c r="E1406" s="4" t="n">
        <v>25.73881168882778</v>
      </c>
      <c r="F1406" s="4" t="n">
        <v>25.92272239046667</v>
      </c>
      <c r="G1406" s="4" t="n">
        <v>16.7</v>
      </c>
      <c r="H1406" s="5" t="n">
        <v>44.16683894377223</v>
      </c>
      <c r="I1406" s="5" t="n">
        <v>43.6377755753</v>
      </c>
      <c r="J1406" s="5" t="n">
        <v>47.14104200030834</v>
      </c>
      <c r="K1406" s="5" t="n">
        <v>78</v>
      </c>
    </row>
    <row r="1407">
      <c r="A1407" s="2" t="n">
        <v>46156</v>
      </c>
      <c r="B1407">
        <f>TEXT(A1407,"yyyy-mm")</f>
        <v/>
      </c>
      <c r="C1407" s="3">
        <f>HOUR(A1407)</f>
        <v/>
      </c>
      <c r="D1407" s="4" t="n">
        <v>24.16832339606389</v>
      </c>
      <c r="E1407" s="4" t="n">
        <v>25.74017998607778</v>
      </c>
      <c r="F1407" s="4" t="n">
        <v>25.91396567482778</v>
      </c>
      <c r="G1407" s="4" t="n">
        <v>15.7</v>
      </c>
      <c r="H1407" s="5" t="n">
        <v>44.54421439974723</v>
      </c>
      <c r="I1407" s="5" t="n">
        <v>43.47377534260278</v>
      </c>
      <c r="J1407" s="5" t="n">
        <v>47.30863335865556</v>
      </c>
      <c r="K1407" s="5" t="n">
        <v>84</v>
      </c>
    </row>
    <row r="1408">
      <c r="A1408" s="2" t="n">
        <v>46156.04166666666</v>
      </c>
      <c r="B1408">
        <f>TEXT(A1408,"yyyy-mm")</f>
        <v/>
      </c>
      <c r="C1408" s="3">
        <f>HOUR(A1408)</f>
        <v/>
      </c>
      <c r="D1408" s="4" t="n">
        <v>24.22699230293055</v>
      </c>
      <c r="E1408" s="4" t="n">
        <v>25.98598933684167</v>
      </c>
      <c r="F1408" s="4" t="n">
        <v>25.90648597218333</v>
      </c>
      <c r="G1408" s="4" t="n">
        <v>15.2</v>
      </c>
      <c r="H1408" s="5" t="n">
        <v>44.64971420939167</v>
      </c>
      <c r="I1408" s="5" t="n">
        <v>42.41148260015277</v>
      </c>
      <c r="J1408" s="5" t="n">
        <v>47.53128708055556</v>
      </c>
      <c r="K1408" s="5" t="n">
        <v>86</v>
      </c>
    </row>
    <row r="1409">
      <c r="A1409" s="2" t="n">
        <v>46156.08333333334</v>
      </c>
      <c r="B1409">
        <f>TEXT(A1409,"yyyy-mm")</f>
        <v/>
      </c>
      <c r="C1409" s="3">
        <f>HOUR(A1409)</f>
        <v/>
      </c>
      <c r="D1409" s="4" t="n">
        <v>24.97505702785</v>
      </c>
      <c r="E1409" s="4" t="n">
        <v>26.06705131734167</v>
      </c>
      <c r="F1409" s="4" t="n">
        <v>25.911382041025</v>
      </c>
      <c r="G1409" s="4" t="n">
        <v>14.7</v>
      </c>
      <c r="H1409" s="5" t="n">
        <v>43.63870936151944</v>
      </c>
      <c r="I1409" s="5" t="n">
        <v>41.879682371675</v>
      </c>
      <c r="J1409" s="5" t="n">
        <v>47.58831351540278</v>
      </c>
      <c r="K1409" s="5" t="n">
        <v>89</v>
      </c>
    </row>
    <row r="1410">
      <c r="A1410" s="2" t="n">
        <v>46156.125</v>
      </c>
      <c r="B1410">
        <f>TEXT(A1410,"yyyy-mm")</f>
        <v/>
      </c>
      <c r="C1410" s="3">
        <f>HOUR(A1410)</f>
        <v/>
      </c>
      <c r="D1410" s="4" t="n">
        <v>24.83950779029722</v>
      </c>
      <c r="E1410" s="4" t="n">
        <v>26.02979930092222</v>
      </c>
      <c r="F1410" s="4" t="n">
        <v>25.90886921661111</v>
      </c>
      <c r="G1410" s="4" t="n">
        <v>14.6</v>
      </c>
      <c r="H1410" s="5" t="n">
        <v>43.70616860483056</v>
      </c>
      <c r="I1410" s="5" t="n">
        <v>41.73231886139167</v>
      </c>
      <c r="J1410" s="5" t="n">
        <v>47.66939318083333</v>
      </c>
      <c r="K1410" s="5" t="n">
        <v>92</v>
      </c>
    </row>
    <row r="1411">
      <c r="A1411" s="2" t="n">
        <v>46156.16666666666</v>
      </c>
      <c r="B1411">
        <f>TEXT(A1411,"yyyy-mm")</f>
        <v/>
      </c>
      <c r="C1411" s="3">
        <f>HOUR(A1411)</f>
        <v/>
      </c>
      <c r="D1411" s="4" t="n">
        <v>24.59359430204166</v>
      </c>
      <c r="E1411" s="4" t="n">
        <v>25.32357816464722</v>
      </c>
      <c r="F1411" s="4" t="n">
        <v>25.89645470446667</v>
      </c>
      <c r="G1411" s="4" t="n">
        <v>14.5</v>
      </c>
      <c r="H1411" s="5" t="n">
        <v>43.56814962518334</v>
      </c>
      <c r="I1411" s="5" t="n">
        <v>42.52281896913056</v>
      </c>
      <c r="J1411" s="5" t="n">
        <v>47.74896412136945</v>
      </c>
      <c r="K1411" s="5" t="n">
        <v>93</v>
      </c>
    </row>
    <row r="1412">
      <c r="A1412" s="2" t="n">
        <v>46156.20833333334</v>
      </c>
      <c r="B1412">
        <f>TEXT(A1412,"yyyy-mm")</f>
        <v/>
      </c>
      <c r="C1412" s="3">
        <f>HOUR(A1412)</f>
        <v/>
      </c>
      <c r="D1412" s="4" t="n">
        <v>24.45555942573889</v>
      </c>
      <c r="E1412" s="4" t="n">
        <v>25.34189402898611</v>
      </c>
      <c r="F1412" s="4" t="n">
        <v>25.89063849752222</v>
      </c>
      <c r="G1412" s="4" t="n">
        <v>13.9</v>
      </c>
      <c r="H1412" s="5" t="n">
        <v>44.90734686191666</v>
      </c>
      <c r="I1412" s="5" t="n">
        <v>43.36619904455834</v>
      </c>
      <c r="J1412" s="5" t="n">
        <v>47.79278485232222</v>
      </c>
      <c r="K1412" s="5" t="n">
        <v>97</v>
      </c>
    </row>
    <row r="1413">
      <c r="A1413" s="2" t="n">
        <v>46156.25</v>
      </c>
      <c r="B1413">
        <f>TEXT(A1413,"yyyy-mm")</f>
        <v/>
      </c>
      <c r="C1413" s="3">
        <f>HOUR(A1413)</f>
        <v/>
      </c>
      <c r="D1413" s="4" t="n">
        <v>24.39188680055</v>
      </c>
      <c r="E1413" s="4" t="n">
        <v>25.09944220160556</v>
      </c>
      <c r="F1413" s="4" t="n">
        <v>25.88556441575833</v>
      </c>
      <c r="G1413" s="4" t="n">
        <v>14.1</v>
      </c>
      <c r="H1413" s="5" t="n">
        <v>45.38379376028889</v>
      </c>
      <c r="I1413" s="5" t="n">
        <v>44.18544213701111</v>
      </c>
      <c r="J1413" s="5" t="n">
        <v>47.89535071184722</v>
      </c>
      <c r="K1413" s="5" t="n">
        <v>95</v>
      </c>
    </row>
    <row r="1414">
      <c r="A1414" s="2" t="n">
        <v>46156.29166666666</v>
      </c>
      <c r="B1414">
        <f>TEXT(A1414,"yyyy-mm")</f>
        <v/>
      </c>
      <c r="C1414" s="3">
        <f>HOUR(A1414)</f>
        <v/>
      </c>
      <c r="D1414" s="4" t="n">
        <v>24.35156270464445</v>
      </c>
      <c r="E1414" s="4" t="n">
        <v>24.86884565355833</v>
      </c>
      <c r="F1414" s="4" t="n">
        <v>25.88066708981944</v>
      </c>
      <c r="G1414" s="4" t="n">
        <v>14.6</v>
      </c>
      <c r="H1414" s="5" t="n">
        <v>46.31733726958888</v>
      </c>
      <c r="I1414" s="5" t="n">
        <v>45.40775142848333</v>
      </c>
      <c r="J1414" s="5" t="n">
        <v>48.01166901924167</v>
      </c>
      <c r="K1414" s="5" t="n">
        <v>90</v>
      </c>
    </row>
    <row r="1415">
      <c r="A1415" s="2" t="n">
        <v>46156.33333333334</v>
      </c>
      <c r="B1415">
        <f>TEXT(A1415,"yyyy-mm")</f>
        <v/>
      </c>
      <c r="C1415" s="3">
        <f>HOUR(A1415)</f>
        <v/>
      </c>
      <c r="D1415" s="4" t="n">
        <v>24.3634753915</v>
      </c>
      <c r="E1415" s="4" t="n">
        <v>24.852017450375</v>
      </c>
      <c r="F1415" s="4" t="n">
        <v>25.87983402685833</v>
      </c>
      <c r="G1415" s="4" t="n">
        <v>14.3</v>
      </c>
      <c r="H1415" s="5" t="n">
        <v>46.80194233069722</v>
      </c>
      <c r="I1415" s="5" t="n">
        <v>45.98359092387778</v>
      </c>
      <c r="J1415" s="5" t="n">
        <v>48.19716473624445</v>
      </c>
      <c r="K1415" s="5" t="n">
        <v>89</v>
      </c>
    </row>
    <row r="1416">
      <c r="A1416" s="2" t="n">
        <v>46156.375</v>
      </c>
      <c r="B1416">
        <f>TEXT(A1416,"yyyy-mm")</f>
        <v/>
      </c>
      <c r="C1416" s="3">
        <f>HOUR(A1416)</f>
        <v/>
      </c>
      <c r="D1416" s="4" t="n">
        <v>24.46110510254167</v>
      </c>
      <c r="E1416" s="4" t="n">
        <v>24.81716478653333</v>
      </c>
      <c r="F1416" s="4" t="n">
        <v>25.88397228246944</v>
      </c>
      <c r="G1416" s="4" t="n">
        <v>16</v>
      </c>
      <c r="H1416" s="5" t="n">
        <v>46.46857396128888</v>
      </c>
      <c r="I1416" s="5" t="n">
        <v>46.03482577317222</v>
      </c>
      <c r="J1416" s="5" t="n">
        <v>48.28619205766944</v>
      </c>
      <c r="K1416" s="5" t="n">
        <v>77</v>
      </c>
    </row>
    <row r="1417">
      <c r="A1417" s="2" t="n">
        <v>46156.41666666666</v>
      </c>
      <c r="B1417">
        <f>TEXT(A1417,"yyyy-mm")</f>
        <v/>
      </c>
      <c r="C1417" s="3">
        <f>HOUR(A1417)</f>
        <v/>
      </c>
      <c r="D1417" s="4" t="n">
        <v>24.97008833068333</v>
      </c>
      <c r="E1417" s="4" t="n">
        <v>25.19278409598333</v>
      </c>
      <c r="F1417" s="4" t="n">
        <v>25.89480628561667</v>
      </c>
      <c r="G1417" s="4" t="n">
        <v>16.8</v>
      </c>
      <c r="H1417" s="5" t="n">
        <v>44.51220156098611</v>
      </c>
      <c r="I1417" s="5" t="n">
        <v>44.86298048817222</v>
      </c>
      <c r="J1417" s="5" t="n">
        <v>48.20465609385278</v>
      </c>
      <c r="K1417" s="5" t="n">
        <v>72</v>
      </c>
    </row>
    <row r="1418">
      <c r="A1418" s="2" t="n">
        <v>46156.45833333334</v>
      </c>
      <c r="B1418">
        <f>TEXT(A1418,"yyyy-mm")</f>
        <v/>
      </c>
      <c r="C1418" s="3">
        <f>HOUR(A1418)</f>
        <v/>
      </c>
      <c r="D1418" s="4" t="n">
        <v>25.47059209798056</v>
      </c>
      <c r="E1418" s="4" t="n">
        <v>25.94929286304166</v>
      </c>
      <c r="F1418" s="4" t="n">
        <v>25.91896601529444</v>
      </c>
      <c r="G1418" s="4" t="n">
        <v>17.4</v>
      </c>
      <c r="H1418" s="5" t="n">
        <v>44.75319968071111</v>
      </c>
      <c r="I1418" s="5" t="n">
        <v>45.01337446465833</v>
      </c>
      <c r="J1418" s="5" t="n">
        <v>47.77449805824722</v>
      </c>
      <c r="K1418" s="5" t="n">
        <v>68</v>
      </c>
    </row>
    <row r="1419">
      <c r="A1419" s="2" t="n">
        <v>46156.5</v>
      </c>
      <c r="B1419">
        <f>TEXT(A1419,"yyyy-mm")</f>
        <v/>
      </c>
      <c r="C1419" s="3">
        <f>HOUR(A1419)</f>
        <v/>
      </c>
      <c r="D1419" s="4" t="n">
        <v>25.79375377209166</v>
      </c>
      <c r="E1419" s="4" t="n">
        <v>26.29808786453611</v>
      </c>
      <c r="F1419" s="4" t="n">
        <v>25.934397129375</v>
      </c>
      <c r="G1419" s="4" t="n">
        <v>18.6</v>
      </c>
      <c r="H1419" s="5" t="n">
        <v>45.14360359191389</v>
      </c>
      <c r="I1419" s="5" t="n">
        <v>44.730183550675</v>
      </c>
      <c r="J1419" s="5" t="n">
        <v>47.15087727057778</v>
      </c>
      <c r="K1419" s="5" t="n">
        <v>63</v>
      </c>
    </row>
    <row r="1420">
      <c r="A1420" s="2" t="n">
        <v>46156.54166666666</v>
      </c>
      <c r="B1420">
        <f>TEXT(A1420,"yyyy-mm")</f>
        <v/>
      </c>
      <c r="C1420" s="3">
        <f>HOUR(A1420)</f>
        <v/>
      </c>
      <c r="D1420" s="4" t="n">
        <v>25.82856783765277</v>
      </c>
      <c r="E1420" s="4" t="n">
        <v>26.42938606223611</v>
      </c>
      <c r="F1420" s="4" t="n">
        <v>25.95664701424722</v>
      </c>
      <c r="G1420" s="4" t="n">
        <v>20.4</v>
      </c>
      <c r="H1420" s="5" t="n">
        <v>45.36978481724722</v>
      </c>
      <c r="I1420" s="5" t="n">
        <v>44.90199109231944</v>
      </c>
      <c r="J1420" s="5" t="n">
        <v>46.88785733862222</v>
      </c>
      <c r="K1420" s="5" t="n">
        <v>51</v>
      </c>
    </row>
    <row r="1421">
      <c r="A1421" s="2" t="n">
        <v>46156.58333333334</v>
      </c>
      <c r="B1421">
        <f>TEXT(A1421,"yyyy-mm")</f>
        <v/>
      </c>
      <c r="C1421" s="3">
        <f>HOUR(A1421)</f>
        <v/>
      </c>
      <c r="D1421" s="4" t="n">
        <v>25.83790938721389</v>
      </c>
      <c r="E1421" s="4" t="n">
        <v>26.65907649006944</v>
      </c>
      <c r="F1421" s="4" t="n">
        <v>25.99448681708612</v>
      </c>
      <c r="G1421" s="4" t="n">
        <v>16.8</v>
      </c>
      <c r="H1421" s="5" t="n">
        <v>44.91925582926388</v>
      </c>
      <c r="I1421" s="5" t="n">
        <v>44.974770436425</v>
      </c>
      <c r="J1421" s="5" t="n">
        <v>47.21643727478889</v>
      </c>
      <c r="K1421" s="5" t="n">
        <v>66</v>
      </c>
    </row>
    <row r="1422">
      <c r="A1422" s="2" t="n">
        <v>46156.625</v>
      </c>
      <c r="B1422">
        <f>TEXT(A1422,"yyyy-mm")</f>
        <v/>
      </c>
      <c r="C1422" s="3">
        <f>HOUR(A1422)</f>
        <v/>
      </c>
      <c r="D1422" s="4" t="n">
        <v>25.181897456025</v>
      </c>
      <c r="E1422" s="4" t="n">
        <v>26.16764946374167</v>
      </c>
      <c r="F1422" s="4" t="n">
        <v>26.00378453072778</v>
      </c>
      <c r="G1422" s="4" t="n">
        <v>19.1</v>
      </c>
      <c r="H1422" s="5" t="n">
        <v>41.69105217759722</v>
      </c>
      <c r="I1422" s="5" t="n">
        <v>41.43498753369166</v>
      </c>
      <c r="J1422" s="5" t="n">
        <v>47.36904153890277</v>
      </c>
      <c r="K1422" s="5" t="n">
        <v>51</v>
      </c>
    </row>
    <row r="1423">
      <c r="A1423" s="2" t="n">
        <v>46156.66666666666</v>
      </c>
      <c r="B1423">
        <f>TEXT(A1423,"yyyy-mm")</f>
        <v/>
      </c>
      <c r="C1423" s="3">
        <f>HOUR(A1423)</f>
        <v/>
      </c>
      <c r="D1423" s="4" t="n">
        <v>24.88208013995556</v>
      </c>
      <c r="E1423" s="4" t="n">
        <v>25.77937309612222</v>
      </c>
      <c r="F1423" s="4" t="n">
        <v>25.99053447628889</v>
      </c>
      <c r="G1423" s="4" t="n">
        <v>16.9</v>
      </c>
      <c r="H1423" s="5" t="n">
        <v>39.94058179359445</v>
      </c>
      <c r="I1423" s="5" t="n">
        <v>40.01837478420556</v>
      </c>
      <c r="J1423" s="5" t="n">
        <v>47.30937353836389</v>
      </c>
      <c r="K1423" s="5" t="n">
        <v>64</v>
      </c>
    </row>
    <row r="1424">
      <c r="A1424" s="2" t="n">
        <v>46156.70833333334</v>
      </c>
      <c r="B1424">
        <f>TEXT(A1424,"yyyy-mm")</f>
        <v/>
      </c>
      <c r="C1424" s="3">
        <f>HOUR(A1424)</f>
        <v/>
      </c>
      <c r="D1424" s="4" t="n">
        <v>24.60205761344722</v>
      </c>
      <c r="E1424" s="4" t="n">
        <v>25.20442595182778</v>
      </c>
      <c r="F1424" s="4" t="n">
        <v>25.96941510299444</v>
      </c>
      <c r="G1424" s="4" t="n">
        <v>18</v>
      </c>
      <c r="H1424" s="5" t="n">
        <v>37.49770720928333</v>
      </c>
      <c r="I1424" s="5" t="n">
        <v>37.56523776683889</v>
      </c>
      <c r="J1424" s="5" t="n">
        <v>47.16131755555</v>
      </c>
      <c r="K1424" s="5" t="n">
        <v>56</v>
      </c>
    </row>
    <row r="1425">
      <c r="A1425" s="2" t="n">
        <v>46156.75</v>
      </c>
      <c r="B1425">
        <f>TEXT(A1425,"yyyy-mm")</f>
        <v/>
      </c>
      <c r="C1425" s="3">
        <f>HOUR(A1425)</f>
        <v/>
      </c>
      <c r="D1425" s="4" t="n">
        <v>24.30064431581112</v>
      </c>
      <c r="E1425" s="4" t="n">
        <v>24.69802924422778</v>
      </c>
      <c r="F1425" s="4" t="n">
        <v>25.93770774636112</v>
      </c>
      <c r="G1425" s="4" t="n">
        <v>17.8</v>
      </c>
      <c r="H1425" s="5" t="n">
        <v>36.76181722839167</v>
      </c>
      <c r="I1425" s="5" t="n">
        <v>37.02248183156944</v>
      </c>
      <c r="J1425" s="5" t="n">
        <v>46.90665173777222</v>
      </c>
      <c r="K1425" s="5" t="n">
        <v>52</v>
      </c>
    </row>
    <row r="1426">
      <c r="A1426" s="2" t="n">
        <v>46156.79166666666</v>
      </c>
      <c r="B1426">
        <f>TEXT(A1426,"yyyy-mm")</f>
        <v/>
      </c>
      <c r="C1426" s="3">
        <f>HOUR(A1426)</f>
        <v/>
      </c>
      <c r="D1426" s="4" t="n">
        <v>23.98913013269722</v>
      </c>
      <c r="E1426" s="4" t="n">
        <v>24.39518161755555</v>
      </c>
      <c r="F1426" s="4" t="n">
        <v>25.92068014924167</v>
      </c>
      <c r="G1426" s="4" t="n">
        <v>17.1</v>
      </c>
      <c r="H1426" s="5" t="n">
        <v>36.91294682744444</v>
      </c>
      <c r="I1426" s="5" t="n">
        <v>37.53339036533056</v>
      </c>
      <c r="J1426" s="5" t="n">
        <v>46.76884416381666</v>
      </c>
      <c r="K1426" s="5" t="n">
        <v>55</v>
      </c>
    </row>
    <row r="1427">
      <c r="A1427" s="2" t="n">
        <v>46156.83333333334</v>
      </c>
      <c r="B1427">
        <f>TEXT(A1427,"yyyy-mm")</f>
        <v/>
      </c>
      <c r="C1427" s="3">
        <f>HOUR(A1427)</f>
        <v/>
      </c>
      <c r="D1427" s="4" t="n">
        <v>23.54938311634167</v>
      </c>
      <c r="E1427" s="4" t="n">
        <v>24.17102647623611</v>
      </c>
      <c r="F1427" s="4" t="n">
        <v>25.89610280684722</v>
      </c>
      <c r="G1427" s="4" t="n">
        <v>15.9</v>
      </c>
      <c r="H1427" s="5" t="n">
        <v>37.05803186780833</v>
      </c>
      <c r="I1427" s="5" t="n">
        <v>37.28383914238055</v>
      </c>
      <c r="J1427" s="5" t="n">
        <v>46.57621393338889</v>
      </c>
      <c r="K1427" s="5" t="n">
        <v>64</v>
      </c>
    </row>
    <row r="1428">
      <c r="A1428" s="2" t="n">
        <v>46156.875</v>
      </c>
      <c r="B1428">
        <f>TEXT(A1428,"yyyy-mm")</f>
        <v/>
      </c>
      <c r="C1428" s="3">
        <f>HOUR(A1428)</f>
        <v/>
      </c>
      <c r="D1428" s="4" t="n">
        <v>23.0981263168017</v>
      </c>
      <c r="E1428" s="4" t="n">
        <v>24.05712585145</v>
      </c>
      <c r="F1428" s="4" t="n">
        <v>25.87945720396111</v>
      </c>
      <c r="G1428" s="4" t="n">
        <v>15.1</v>
      </c>
      <c r="H1428" s="5" t="n">
        <v>38.41470323400625</v>
      </c>
      <c r="I1428" s="5" t="n">
        <v>38.12411131757778</v>
      </c>
      <c r="J1428" s="5" t="n">
        <v>46.46296953937222</v>
      </c>
      <c r="K1428" s="5" t="n">
        <v>67</v>
      </c>
    </row>
    <row r="1429">
      <c r="A1429" s="2" t="n">
        <v>46156.91666666666</v>
      </c>
      <c r="B1429">
        <f>TEXT(A1429,"yyyy-mm")</f>
        <v/>
      </c>
      <c r="C1429" s="3">
        <f>HOUR(A1429)</f>
        <v/>
      </c>
      <c r="D1429" s="4" t="n"/>
      <c r="E1429" s="4" t="n">
        <v>24.07202277480278</v>
      </c>
      <c r="F1429" s="4" t="n">
        <v>25.8628529357</v>
      </c>
      <c r="G1429" s="4" t="n">
        <v>13.9</v>
      </c>
      <c r="H1429" s="5" t="n"/>
      <c r="I1429" s="5" t="n">
        <v>39.13125626331945</v>
      </c>
      <c r="J1429" s="5" t="n">
        <v>46.41996952431944</v>
      </c>
      <c r="K1429" s="5" t="n">
        <v>73</v>
      </c>
    </row>
    <row r="1430">
      <c r="A1430" s="2" t="n">
        <v>46156.95833333334</v>
      </c>
      <c r="B1430">
        <f>TEXT(A1430,"yyyy-mm")</f>
        <v/>
      </c>
      <c r="C1430" s="3">
        <f>HOUR(A1430)</f>
        <v/>
      </c>
      <c r="D1430" s="4" t="n"/>
      <c r="E1430" s="4" t="n">
        <v>24.18226667213056</v>
      </c>
      <c r="F1430" s="4" t="n">
        <v>25.86389561805</v>
      </c>
      <c r="G1430" s="4" t="n">
        <v>12.7</v>
      </c>
      <c r="H1430" s="5" t="n"/>
      <c r="I1430" s="5" t="n">
        <v>40.43709975195556</v>
      </c>
      <c r="J1430" s="5" t="n">
        <v>46.49135956864166</v>
      </c>
      <c r="K1430" s="5" t="n">
        <v>82</v>
      </c>
    </row>
    <row r="1431">
      <c r="A1431" s="2" t="n">
        <v>46157</v>
      </c>
      <c r="B1431">
        <f>TEXT(A1431,"yyyy-mm")</f>
        <v/>
      </c>
      <c r="C1431" s="3">
        <f>HOUR(A1431)</f>
        <v/>
      </c>
      <c r="D1431" s="4" t="n"/>
      <c r="E1431" s="4" t="n">
        <v>24.19164617534167</v>
      </c>
      <c r="F1431" s="4" t="n">
        <v>25.86125635996667</v>
      </c>
      <c r="G1431" s="4" t="n">
        <v>11.9</v>
      </c>
      <c r="H1431" s="5" t="n"/>
      <c r="I1431" s="5" t="n">
        <v>40.119488807525</v>
      </c>
      <c r="J1431" s="5" t="n">
        <v>46.51515397407223</v>
      </c>
      <c r="K1431" s="5" t="n">
        <v>89</v>
      </c>
    </row>
    <row r="1432">
      <c r="A1432" s="2" t="n">
        <v>46157.04166666666</v>
      </c>
      <c r="B1432">
        <f>TEXT(A1432,"yyyy-mm")</f>
        <v/>
      </c>
      <c r="C1432" s="3">
        <f>HOUR(A1432)</f>
        <v/>
      </c>
      <c r="D1432" s="4" t="n"/>
      <c r="E1432" s="4" t="n">
        <v>24.05347885310277</v>
      </c>
      <c r="F1432" s="4" t="n">
        <v>25.84081846995</v>
      </c>
      <c r="G1432" s="4" t="n">
        <v>11.3</v>
      </c>
      <c r="H1432" s="5" t="n"/>
      <c r="I1432" s="5" t="n">
        <v>40.1711797616</v>
      </c>
      <c r="J1432" s="5" t="n">
        <v>46.58098976680834</v>
      </c>
      <c r="K1432" s="5" t="n">
        <v>93</v>
      </c>
    </row>
    <row r="1433">
      <c r="A1433" s="2" t="n">
        <v>46157.08333333334</v>
      </c>
      <c r="B1433">
        <f>TEXT(A1433,"yyyy-mm")</f>
        <v/>
      </c>
      <c r="C1433" s="3">
        <f>HOUR(A1433)</f>
        <v/>
      </c>
      <c r="D1433" s="4" t="n"/>
      <c r="E1433" s="4" t="n">
        <v>23.98335601016944</v>
      </c>
      <c r="F1433" s="4" t="n">
        <v>25.83518847725277</v>
      </c>
      <c r="G1433" s="4" t="n">
        <v>10.7</v>
      </c>
      <c r="H1433" s="5" t="n"/>
      <c r="I1433" s="5" t="n">
        <v>40.58956064770833</v>
      </c>
      <c r="J1433" s="5" t="n">
        <v>46.48822017257778</v>
      </c>
      <c r="K1433" s="5" t="n">
        <v>94</v>
      </c>
    </row>
    <row r="1434">
      <c r="A1434" s="2" t="n">
        <v>46157.125</v>
      </c>
      <c r="B1434">
        <f>TEXT(A1434,"yyyy-mm")</f>
        <v/>
      </c>
      <c r="C1434" s="3">
        <f>HOUR(A1434)</f>
        <v/>
      </c>
      <c r="D1434" s="4" t="n"/>
      <c r="E1434" s="4" t="n">
        <v>24.18780403679166</v>
      </c>
      <c r="F1434" s="4" t="n">
        <v>25.84738281473611</v>
      </c>
      <c r="G1434" s="4" t="n">
        <v>10.6</v>
      </c>
      <c r="H1434" s="5" t="n"/>
      <c r="I1434" s="5" t="n">
        <v>41.25058046788056</v>
      </c>
      <c r="J1434" s="5" t="n">
        <v>46.21474330040278</v>
      </c>
      <c r="K1434" s="5" t="n">
        <v>94</v>
      </c>
    </row>
    <row r="1435">
      <c r="A1435" s="2" t="n">
        <v>46157.16666666666</v>
      </c>
      <c r="B1435">
        <f>TEXT(A1435,"yyyy-mm")</f>
        <v/>
      </c>
      <c r="C1435" s="3">
        <f>HOUR(A1435)</f>
        <v/>
      </c>
      <c r="D1435" s="4" t="n"/>
      <c r="E1435" s="4" t="n">
        <v>24.2993609542</v>
      </c>
      <c r="F1435" s="4" t="n">
        <v>25.86232706071666</v>
      </c>
      <c r="G1435" s="4" t="n">
        <v>10.4</v>
      </c>
      <c r="H1435" s="5" t="n"/>
      <c r="I1435" s="5" t="n">
        <v>41.78005714218611</v>
      </c>
      <c r="J1435" s="5" t="n">
        <v>46.02849421467778</v>
      </c>
      <c r="K1435" s="5" t="n">
        <v>93</v>
      </c>
    </row>
    <row r="1436">
      <c r="A1436" s="2" t="n">
        <v>46157.20833333334</v>
      </c>
      <c r="B1436">
        <f>TEXT(A1436,"yyyy-mm")</f>
        <v/>
      </c>
      <c r="C1436" s="3">
        <f>HOUR(A1436)</f>
        <v/>
      </c>
      <c r="D1436" s="4" t="n"/>
      <c r="E1436" s="4" t="n">
        <v>24.38069614846389</v>
      </c>
      <c r="F1436" s="4" t="n">
        <v>25.87034107948611</v>
      </c>
      <c r="G1436" s="4" t="n">
        <v>10.3</v>
      </c>
      <c r="H1436" s="5" t="n"/>
      <c r="I1436" s="5" t="n">
        <v>42.3123387878</v>
      </c>
      <c r="J1436" s="5" t="n">
        <v>45.89233936212222</v>
      </c>
      <c r="K1436" s="5" t="n">
        <v>92</v>
      </c>
    </row>
    <row r="1437">
      <c r="A1437" s="2" t="n">
        <v>46157.25</v>
      </c>
      <c r="B1437">
        <f>TEXT(A1437,"yyyy-mm")</f>
        <v/>
      </c>
      <c r="C1437" s="3">
        <f>HOUR(A1437)</f>
        <v/>
      </c>
      <c r="D1437" s="4" t="n"/>
      <c r="E1437" s="4" t="n">
        <v>24.44347387553056</v>
      </c>
      <c r="F1437" s="4" t="n">
        <v>25.88458486105</v>
      </c>
      <c r="G1437" s="4" t="n">
        <v>10.7</v>
      </c>
      <c r="H1437" s="5" t="n"/>
      <c r="I1437" s="5" t="n">
        <v>42.85168174265834</v>
      </c>
      <c r="J1437" s="5" t="n">
        <v>45.77458814621389</v>
      </c>
      <c r="K1437" s="5" t="n">
        <v>88</v>
      </c>
    </row>
    <row r="1438">
      <c r="A1438" s="2" t="n">
        <v>46157.29166666666</v>
      </c>
      <c r="B1438">
        <f>TEXT(A1438,"yyyy-mm")</f>
        <v/>
      </c>
      <c r="C1438" s="3">
        <f>HOUR(A1438)</f>
        <v/>
      </c>
      <c r="D1438" s="4" t="n"/>
      <c r="E1438" s="4" t="n">
        <v>24.49019435745278</v>
      </c>
      <c r="F1438" s="4" t="n">
        <v>25.88553426634722</v>
      </c>
      <c r="G1438" s="4" t="n">
        <v>11.4</v>
      </c>
      <c r="H1438" s="5" t="n"/>
      <c r="I1438" s="5" t="n">
        <v>43.28325215935833</v>
      </c>
      <c r="J1438" s="5" t="n">
        <v>45.67198130488611</v>
      </c>
      <c r="K1438" s="5" t="n">
        <v>80</v>
      </c>
    </row>
    <row r="1439">
      <c r="A1439" s="2" t="n">
        <v>46157.33333333334</v>
      </c>
      <c r="B1439">
        <f>TEXT(A1439,"yyyy-mm")</f>
        <v/>
      </c>
      <c r="C1439" s="3">
        <f>HOUR(A1439)</f>
        <v/>
      </c>
      <c r="D1439" s="4" t="n"/>
      <c r="E1439" s="4" t="n">
        <v>24.546118209075</v>
      </c>
      <c r="F1439" s="4" t="n">
        <v>25.88295068948611</v>
      </c>
      <c r="G1439" s="4" t="n">
        <v>12.1</v>
      </c>
      <c r="H1439" s="5" t="n"/>
      <c r="I1439" s="5" t="n">
        <v>43.47917261423611</v>
      </c>
      <c r="J1439" s="5" t="n">
        <v>45.58604936476667</v>
      </c>
      <c r="K1439" s="5" t="n">
        <v>75</v>
      </c>
    </row>
    <row r="1440">
      <c r="A1440" s="2" t="n">
        <v>46157.375</v>
      </c>
      <c r="B1440">
        <f>TEXT(A1440,"yyyy-mm")</f>
        <v/>
      </c>
      <c r="C1440" s="3">
        <f>HOUR(A1440)</f>
        <v/>
      </c>
      <c r="D1440" s="4" t="n">
        <v>24.32153865515378</v>
      </c>
      <c r="E1440" s="4" t="n">
        <v>24.68434571571111</v>
      </c>
      <c r="F1440" s="4" t="n">
        <v>25.89253106359722</v>
      </c>
      <c r="G1440" s="4" t="n">
        <v>12.9</v>
      </c>
      <c r="H1440" s="5" t="n">
        <v>44.37123600285533</v>
      </c>
      <c r="I1440" s="5" t="n">
        <v>43.57698625443889</v>
      </c>
      <c r="J1440" s="5" t="n">
        <v>45.48677022531945</v>
      </c>
      <c r="K1440" s="5" t="n">
        <v>71</v>
      </c>
    </row>
    <row r="1441">
      <c r="A1441" s="2" t="n">
        <v>46157.41666666666</v>
      </c>
      <c r="B1441">
        <f>TEXT(A1441,"yyyy-mm")</f>
        <v/>
      </c>
      <c r="C1441" s="3">
        <f>HOUR(A1441)</f>
        <v/>
      </c>
      <c r="D1441" s="4" t="n">
        <v>24.45071901307778</v>
      </c>
      <c r="E1441" s="4" t="n">
        <v>25.00569965779722</v>
      </c>
      <c r="F1441" s="4" t="n">
        <v>25.907909885825</v>
      </c>
      <c r="G1441" s="4" t="n">
        <v>13.8</v>
      </c>
      <c r="H1441" s="5" t="n">
        <v>44.73635836821111</v>
      </c>
      <c r="I1441" s="5" t="n">
        <v>44.02325375857222</v>
      </c>
      <c r="J1441" s="5" t="n">
        <v>45.38763363856111</v>
      </c>
      <c r="K1441" s="5" t="n">
        <v>68</v>
      </c>
    </row>
    <row r="1442">
      <c r="A1442" s="2" t="n">
        <v>46157.45833333334</v>
      </c>
      <c r="B1442">
        <f>TEXT(A1442,"yyyy-mm")</f>
        <v/>
      </c>
      <c r="C1442" s="3">
        <f>HOUR(A1442)</f>
        <v/>
      </c>
      <c r="D1442" s="4" t="n">
        <v>24.55567308835833</v>
      </c>
      <c r="E1442" s="4" t="n">
        <v>25.57865352323612</v>
      </c>
      <c r="F1442" s="4" t="n">
        <v>25.92355632744722</v>
      </c>
      <c r="G1442" s="4" t="n">
        <v>14.7</v>
      </c>
      <c r="H1442" s="5" t="n">
        <v>45.35493729746667</v>
      </c>
      <c r="I1442" s="5" t="n">
        <v>43.90311532530556</v>
      </c>
      <c r="J1442" s="5" t="n">
        <v>45.29081664459722</v>
      </c>
      <c r="K1442" s="5" t="n">
        <v>66</v>
      </c>
    </row>
    <row r="1443">
      <c r="A1443" s="2" t="n">
        <v>46157.5</v>
      </c>
      <c r="B1443">
        <f>TEXT(A1443,"yyyy-mm")</f>
        <v/>
      </c>
      <c r="C1443" s="3">
        <f>HOUR(A1443)</f>
        <v/>
      </c>
      <c r="D1443" s="4" t="n">
        <v>24.63261220482222</v>
      </c>
      <c r="E1443" s="4" t="n">
        <v>25.43633489645</v>
      </c>
      <c r="F1443" s="4" t="n">
        <v>25.89687459627222</v>
      </c>
      <c r="G1443" s="4" t="n">
        <v>15.4</v>
      </c>
      <c r="H1443" s="5" t="n">
        <v>44.08756081018333</v>
      </c>
      <c r="I1443" s="5" t="n">
        <v>43.12748830086944</v>
      </c>
      <c r="J1443" s="5" t="n">
        <v>46.42816986930001</v>
      </c>
      <c r="K1443" s="5" t="n">
        <v>63</v>
      </c>
    </row>
    <row r="1444">
      <c r="A1444" s="2" t="n">
        <v>46157.54166666666</v>
      </c>
      <c r="B1444">
        <f>TEXT(A1444,"yyyy-mm")</f>
        <v/>
      </c>
      <c r="C1444" s="3">
        <f>HOUR(A1444)</f>
        <v/>
      </c>
      <c r="D1444" s="4" t="n">
        <v>23.89720286058333</v>
      </c>
      <c r="E1444" s="4" t="n">
        <v>25.15098051168055</v>
      </c>
      <c r="F1444" s="4" t="n">
        <v>25.36597616000278</v>
      </c>
      <c r="G1444" s="4" t="n">
        <v>16.2</v>
      </c>
      <c r="H1444" s="5" t="n">
        <v>38.55547317788611</v>
      </c>
      <c r="I1444" s="5" t="n">
        <v>37.92901844611389</v>
      </c>
      <c r="J1444" s="5" t="n">
        <v>47.91941054857778</v>
      </c>
      <c r="K1444" s="5" t="n">
        <v>61</v>
      </c>
    </row>
    <row r="1445">
      <c r="A1445" s="2" t="n">
        <v>46157.58333333334</v>
      </c>
      <c r="B1445">
        <f>TEXT(A1445,"yyyy-mm")</f>
        <v/>
      </c>
      <c r="C1445" s="3">
        <f>HOUR(A1445)</f>
        <v/>
      </c>
      <c r="D1445" s="4" t="n">
        <v>23.60026805246111</v>
      </c>
      <c r="E1445" s="4" t="n">
        <v>24.88147786115</v>
      </c>
      <c r="F1445" s="4" t="n">
        <v>25.75106223386945</v>
      </c>
      <c r="G1445" s="4" t="n">
        <v>16.4</v>
      </c>
      <c r="H1445" s="5" t="n">
        <v>38.35935697035833</v>
      </c>
      <c r="I1445" s="5" t="n">
        <v>37.29087238433056</v>
      </c>
      <c r="J1445" s="5" t="n">
        <v>46.61920029245556</v>
      </c>
      <c r="K1445" s="5" t="n">
        <v>62</v>
      </c>
    </row>
    <row r="1446">
      <c r="A1446" s="2" t="n">
        <v>46157.625</v>
      </c>
      <c r="B1446">
        <f>TEXT(A1446,"yyyy-mm")</f>
        <v/>
      </c>
      <c r="C1446" s="3">
        <f>HOUR(A1446)</f>
        <v/>
      </c>
      <c r="D1446" s="4" t="n">
        <v>23.32705666266969</v>
      </c>
      <c r="E1446" s="4" t="n">
        <v>24.825480027075</v>
      </c>
      <c r="F1446" s="4" t="n">
        <v>25.94677221171944</v>
      </c>
      <c r="G1446" s="4" t="n">
        <v>16.9</v>
      </c>
      <c r="H1446" s="5" t="n">
        <v>39.21626943853637</v>
      </c>
      <c r="I1446" s="5" t="n">
        <v>37.57375709418056</v>
      </c>
      <c r="J1446" s="5" t="n">
        <v>46.38615702446389</v>
      </c>
      <c r="K1446" s="5" t="n">
        <v>59</v>
      </c>
    </row>
    <row r="1447">
      <c r="A1447" s="2" t="n">
        <v>46157.66666666666</v>
      </c>
      <c r="B1447">
        <f>TEXT(A1447,"yyyy-mm")</f>
        <v/>
      </c>
      <c r="C1447" s="3">
        <f>HOUR(A1447)</f>
        <v/>
      </c>
      <c r="D1447" s="4" t="n"/>
      <c r="E1447" s="4" t="n">
        <v>24.51565498276944</v>
      </c>
      <c r="F1447" s="4" t="n">
        <v>26.03823365726112</v>
      </c>
      <c r="G1447" s="4" t="n">
        <v>16.5</v>
      </c>
      <c r="H1447" s="5" t="n"/>
      <c r="I1447" s="5" t="n">
        <v>37.17427197429722</v>
      </c>
      <c r="J1447" s="5" t="n">
        <v>46.24315891589723</v>
      </c>
      <c r="K1447" s="5" t="n">
        <v>61</v>
      </c>
    </row>
    <row r="1448">
      <c r="A1448" s="2" t="n">
        <v>46157.70833333334</v>
      </c>
      <c r="B1448">
        <f>TEXT(A1448,"yyyy-mm")</f>
        <v/>
      </c>
      <c r="C1448" s="3">
        <f>HOUR(A1448)</f>
        <v/>
      </c>
      <c r="D1448" s="4" t="n"/>
      <c r="E1448" s="4" t="n">
        <v>24.66147689039444</v>
      </c>
      <c r="F1448" s="4" t="n">
        <v>26.04782116199167</v>
      </c>
      <c r="G1448" s="4" t="n">
        <v>16.8</v>
      </c>
      <c r="H1448" s="5" t="n"/>
      <c r="I1448" s="5" t="n">
        <v>37.80359294926667</v>
      </c>
      <c r="J1448" s="5" t="n">
        <v>46.19375184184444</v>
      </c>
      <c r="K1448" s="5" t="n">
        <v>59</v>
      </c>
    </row>
    <row r="1449">
      <c r="A1449" s="2" t="n">
        <v>46157.75</v>
      </c>
      <c r="B1449">
        <f>TEXT(A1449,"yyyy-mm")</f>
        <v/>
      </c>
      <c r="C1449" s="3">
        <f>HOUR(A1449)</f>
        <v/>
      </c>
      <c r="D1449" s="4" t="n"/>
      <c r="E1449" s="4" t="n">
        <v>24.80854413910278</v>
      </c>
      <c r="F1449" s="4" t="n">
        <v>26.09248820363889</v>
      </c>
      <c r="G1449" s="4" t="n">
        <v>16.6</v>
      </c>
      <c r="H1449" s="5" t="n"/>
      <c r="I1449" s="5" t="n">
        <v>38.07233555471944</v>
      </c>
      <c r="J1449" s="5" t="n">
        <v>46.02941686827222</v>
      </c>
      <c r="K1449" s="5" t="n">
        <v>59</v>
      </c>
    </row>
    <row r="1450">
      <c r="A1450" s="2" t="n">
        <v>46157.79166666666</v>
      </c>
      <c r="B1450">
        <f>TEXT(A1450,"yyyy-mm")</f>
        <v/>
      </c>
      <c r="C1450" s="3">
        <f>HOUR(A1450)</f>
        <v/>
      </c>
      <c r="D1450" s="4" t="n"/>
      <c r="E1450" s="4" t="n">
        <v>24.69684678328333</v>
      </c>
      <c r="F1450" s="4" t="n">
        <v>25.42941604525278</v>
      </c>
      <c r="G1450" s="4" t="n">
        <v>16.2</v>
      </c>
      <c r="H1450" s="5" t="n"/>
      <c r="I1450" s="5" t="n">
        <v>38.66105260499445</v>
      </c>
      <c r="J1450" s="5" t="n">
        <v>46.613975641025</v>
      </c>
      <c r="K1450" s="5" t="n">
        <v>59</v>
      </c>
    </row>
    <row r="1451">
      <c r="A1451" s="2" t="n">
        <v>46157.83333333334</v>
      </c>
      <c r="B1451">
        <f>TEXT(A1451,"yyyy-mm")</f>
        <v/>
      </c>
      <c r="C1451" s="3">
        <f>HOUR(A1451)</f>
        <v/>
      </c>
      <c r="D1451" s="4" t="n"/>
      <c r="E1451" s="4" t="n">
        <v>24.77739233674722</v>
      </c>
      <c r="F1451" s="4" t="n">
        <v>24.95500735472778</v>
      </c>
      <c r="G1451" s="4" t="n">
        <v>15.8</v>
      </c>
      <c r="H1451" s="5" t="n"/>
      <c r="I1451" s="5" t="n">
        <v>38.54314499216944</v>
      </c>
      <c r="J1451" s="5" t="n">
        <v>47.33457512034445</v>
      </c>
      <c r="K1451" s="5" t="n">
        <v>64</v>
      </c>
    </row>
    <row r="1452">
      <c r="A1452" s="2" t="n">
        <v>46157.875</v>
      </c>
      <c r="B1452">
        <f>TEXT(A1452,"yyyy-mm")</f>
        <v/>
      </c>
      <c r="C1452" s="3">
        <f>HOUR(A1452)</f>
        <v/>
      </c>
      <c r="D1452" s="4" t="n">
        <v>23.70344491160244</v>
      </c>
      <c r="E1452" s="4" t="n">
        <v>24.62482250254167</v>
      </c>
      <c r="F1452" s="4" t="n">
        <v>24.96267405213056</v>
      </c>
      <c r="G1452" s="4" t="n">
        <v>15.5</v>
      </c>
      <c r="H1452" s="5" t="n">
        <v>42.02677725148434</v>
      </c>
      <c r="I1452" s="5" t="n">
        <v>39.97755435146667</v>
      </c>
      <c r="J1452" s="5" t="n">
        <v>48.50061079506111</v>
      </c>
      <c r="K1452" s="5" t="n">
        <v>66</v>
      </c>
    </row>
    <row r="1453">
      <c r="A1453" s="2" t="n">
        <v>46157.91666666666</v>
      </c>
      <c r="B1453">
        <f>TEXT(A1453,"yyyy-mm")</f>
        <v/>
      </c>
      <c r="C1453" s="3">
        <f>HOUR(A1453)</f>
        <v/>
      </c>
      <c r="D1453" s="4" t="n">
        <v>23.9253760671</v>
      </c>
      <c r="E1453" s="4" t="n">
        <v>24.91875423489722</v>
      </c>
      <c r="F1453" s="4" t="n">
        <v>25.19079280593612</v>
      </c>
      <c r="G1453" s="4" t="n">
        <v>13.9</v>
      </c>
      <c r="H1453" s="5" t="n">
        <v>44.03282556945278</v>
      </c>
      <c r="I1453" s="5" t="n">
        <v>41.70715837203056</v>
      </c>
      <c r="J1453" s="5" t="n">
        <v>50.35506980692222</v>
      </c>
      <c r="K1453" s="5" t="n">
        <v>74</v>
      </c>
    </row>
    <row r="1454">
      <c r="A1454" s="2" t="n">
        <v>46157.95833333334</v>
      </c>
      <c r="B1454">
        <f>TEXT(A1454,"yyyy-mm")</f>
        <v/>
      </c>
      <c r="C1454" s="3">
        <f>HOUR(A1454)</f>
        <v/>
      </c>
      <c r="D1454" s="4" t="n">
        <v>24.54839096509722</v>
      </c>
      <c r="E1454" s="4" t="n">
        <v>25.49153083818056</v>
      </c>
      <c r="F1454" s="4" t="n">
        <v>25.53873598538611</v>
      </c>
      <c r="G1454" s="4" t="n">
        <v>13</v>
      </c>
      <c r="H1454" s="5" t="n">
        <v>44.384914573175</v>
      </c>
      <c r="I1454" s="5" t="n">
        <v>44.21766421441944</v>
      </c>
      <c r="J1454" s="5" t="n">
        <v>48.00726829405278</v>
      </c>
      <c r="K1454" s="5" t="n">
        <v>79</v>
      </c>
    </row>
    <row r="1455">
      <c r="A1455" s="2" t="n">
        <v>46158</v>
      </c>
      <c r="B1455">
        <f>TEXT(A1455,"yyyy-mm")</f>
        <v/>
      </c>
      <c r="C1455" s="3">
        <f>HOUR(A1455)</f>
        <v/>
      </c>
      <c r="D1455" s="4" t="n">
        <v>25.06657418098056</v>
      </c>
      <c r="E1455" s="4" t="n">
        <v>25.84798566925833</v>
      </c>
      <c r="F1455" s="4" t="n">
        <v>25.79840530578889</v>
      </c>
      <c r="G1455" s="4" t="n">
        <v>12.2</v>
      </c>
      <c r="H1455" s="5" t="n">
        <v>44.605657958475</v>
      </c>
      <c r="I1455" s="5" t="n">
        <v>43.44275879728611</v>
      </c>
      <c r="J1455" s="5" t="n">
        <v>47.01367867010278</v>
      </c>
      <c r="K1455" s="5" t="n">
        <v>83</v>
      </c>
    </row>
    <row r="1456">
      <c r="A1456" s="2" t="n">
        <v>46158.04166666666</v>
      </c>
      <c r="B1456">
        <f>TEXT(A1456,"yyyy-mm")</f>
        <v/>
      </c>
      <c r="C1456" s="3">
        <f>HOUR(A1456)</f>
        <v/>
      </c>
      <c r="D1456" s="4" t="n">
        <v>24.40087010633611</v>
      </c>
      <c r="E1456" s="4" t="n">
        <v>26.12166343163611</v>
      </c>
      <c r="F1456" s="4" t="n">
        <v>25.99520092846389</v>
      </c>
      <c r="G1456" s="4" t="n">
        <v>11.5</v>
      </c>
      <c r="H1456" s="5" t="n">
        <v>43.83529506873333</v>
      </c>
      <c r="I1456" s="5" t="n">
        <v>42.73700203459723</v>
      </c>
      <c r="J1456" s="5" t="n">
        <v>46.71868443297223</v>
      </c>
      <c r="K1456" s="5" t="n">
        <v>86</v>
      </c>
    </row>
    <row r="1457">
      <c r="A1457" s="2" t="n">
        <v>46158.08333333334</v>
      </c>
      <c r="B1457">
        <f>TEXT(A1457,"yyyy-mm")</f>
        <v/>
      </c>
      <c r="C1457" s="3">
        <f>HOUR(A1457)</f>
        <v/>
      </c>
      <c r="D1457" s="4" t="n">
        <v>23.34514873200555</v>
      </c>
      <c r="E1457" s="4" t="n">
        <v>26.08778140435</v>
      </c>
      <c r="F1457" s="4" t="n">
        <v>26.10646273450278</v>
      </c>
      <c r="G1457" s="4" t="n">
        <v>11.1</v>
      </c>
      <c r="H1457" s="5" t="n">
        <v>44.28278939899445</v>
      </c>
      <c r="I1457" s="5" t="n">
        <v>42.36547735874445</v>
      </c>
      <c r="J1457" s="5" t="n">
        <v>47.9568488413361</v>
      </c>
      <c r="K1457" s="5" t="n">
        <v>88</v>
      </c>
    </row>
    <row r="1458">
      <c r="A1458" s="2" t="n">
        <v>46158.125</v>
      </c>
      <c r="B1458">
        <f>TEXT(A1458,"yyyy-mm")</f>
        <v/>
      </c>
      <c r="C1458" s="3">
        <f>HOUR(A1458)</f>
        <v/>
      </c>
      <c r="D1458" s="4" t="n">
        <v>23.06088487068611</v>
      </c>
      <c r="E1458" s="4" t="n">
        <v>25.902619568675</v>
      </c>
      <c r="F1458" s="4" t="n">
        <v>26.11332965118333</v>
      </c>
      <c r="G1458" s="4" t="n">
        <v>10.7</v>
      </c>
      <c r="H1458" s="5" t="n">
        <v>44.9225636623</v>
      </c>
      <c r="I1458" s="5" t="n">
        <v>42.23382217834166</v>
      </c>
      <c r="J1458" s="5" t="n">
        <v>48.75155767407778</v>
      </c>
      <c r="K1458" s="5" t="n">
        <v>91</v>
      </c>
    </row>
    <row r="1459">
      <c r="A1459" s="2" t="n">
        <v>46158.16666666666</v>
      </c>
      <c r="B1459">
        <f>TEXT(A1459,"yyyy-mm")</f>
        <v/>
      </c>
      <c r="C1459" s="3">
        <f>HOUR(A1459)</f>
        <v/>
      </c>
      <c r="D1459" s="4" t="n">
        <v>22.50775199153334</v>
      </c>
      <c r="E1459" s="4" t="n">
        <v>25.51250958219444</v>
      </c>
      <c r="F1459" s="4" t="n">
        <v>26.25322538928611</v>
      </c>
      <c r="G1459" s="4" t="n">
        <v>10.1</v>
      </c>
      <c r="H1459" s="5" t="n">
        <v>45.26890283474166</v>
      </c>
      <c r="I1459" s="5" t="n">
        <v>41.63947818643334</v>
      </c>
      <c r="J1459" s="5" t="n">
        <v>48.03938460619444</v>
      </c>
      <c r="K1459" s="5" t="n">
        <v>93</v>
      </c>
    </row>
    <row r="1460">
      <c r="A1460" s="2" t="n">
        <v>46158.20833333334</v>
      </c>
      <c r="B1460">
        <f>TEXT(A1460,"yyyy-mm")</f>
        <v/>
      </c>
      <c r="C1460" s="3">
        <f>HOUR(A1460)</f>
        <v/>
      </c>
      <c r="D1460" s="4" t="n">
        <v>22.40900678253056</v>
      </c>
      <c r="E1460" s="4" t="n">
        <v>25.20924506608056</v>
      </c>
      <c r="F1460" s="4" t="n">
        <v>26.3189187583</v>
      </c>
      <c r="G1460" s="4" t="n">
        <v>9.699999999999999</v>
      </c>
      <c r="H1460" s="5" t="n">
        <v>45.09011132536667</v>
      </c>
      <c r="I1460" s="5" t="n">
        <v>41.11777161221944</v>
      </c>
      <c r="J1460" s="5" t="n">
        <v>47.75348446031666</v>
      </c>
      <c r="K1460" s="5" t="n">
        <v>94</v>
      </c>
    </row>
    <row r="1461">
      <c r="A1461" s="2" t="n">
        <v>46158.25</v>
      </c>
      <c r="B1461">
        <f>TEXT(A1461,"yyyy-mm")</f>
        <v/>
      </c>
      <c r="C1461" s="3">
        <f>HOUR(A1461)</f>
        <v/>
      </c>
      <c r="D1461" s="4" t="n">
        <v>23.89832291358611</v>
      </c>
      <c r="E1461" s="4" t="n">
        <v>25.30051785985556</v>
      </c>
      <c r="F1461" s="4" t="n">
        <v>26.37155504650833</v>
      </c>
      <c r="G1461" s="4" t="n">
        <v>10.5</v>
      </c>
      <c r="H1461" s="5" t="n">
        <v>42.35119988688611</v>
      </c>
      <c r="I1461" s="5" t="n">
        <v>41.02687787057222</v>
      </c>
      <c r="J1461" s="5" t="n">
        <v>47.60129172365833</v>
      </c>
      <c r="K1461" s="5" t="n">
        <v>92</v>
      </c>
    </row>
    <row r="1462">
      <c r="A1462" s="2" t="n">
        <v>46158.29166666666</v>
      </c>
      <c r="B1462">
        <f>TEXT(A1462,"yyyy-mm")</f>
        <v/>
      </c>
      <c r="C1462" s="3">
        <f>HOUR(A1462)</f>
        <v/>
      </c>
      <c r="D1462" s="4" t="n">
        <v>25.274631293525</v>
      </c>
      <c r="E1462" s="4" t="n">
        <v>25.77072748561666</v>
      </c>
      <c r="F1462" s="4" t="n">
        <v>26.40612739322222</v>
      </c>
      <c r="G1462" s="4" t="n">
        <v>12.3</v>
      </c>
      <c r="H1462" s="5" t="n">
        <v>40.96628517946389</v>
      </c>
      <c r="I1462" s="5" t="n">
        <v>41.02398449594722</v>
      </c>
      <c r="J1462" s="5" t="n">
        <v>47.37071377614722</v>
      </c>
      <c r="K1462" s="5" t="n">
        <v>84</v>
      </c>
    </row>
    <row r="1463">
      <c r="A1463" s="2" t="n">
        <v>46158.33333333334</v>
      </c>
      <c r="B1463">
        <f>TEXT(A1463,"yyyy-mm")</f>
        <v/>
      </c>
      <c r="C1463" s="3">
        <f>HOUR(A1463)</f>
        <v/>
      </c>
      <c r="D1463" s="4" t="n">
        <v>25.86471998505</v>
      </c>
      <c r="E1463" s="4" t="n">
        <v>26.640175730025</v>
      </c>
      <c r="F1463" s="4" t="n">
        <v>26.39451116530833</v>
      </c>
      <c r="G1463" s="4" t="n">
        <v>14.6</v>
      </c>
      <c r="H1463" s="5" t="n">
        <v>39.92128517159444</v>
      </c>
      <c r="I1463" s="5" t="n">
        <v>39.92109702515555</v>
      </c>
      <c r="J1463" s="5" t="n">
        <v>47.10891968237223</v>
      </c>
      <c r="K1463" s="5" t="n">
        <v>75</v>
      </c>
    </row>
    <row r="1464">
      <c r="A1464" s="2" t="n">
        <v>46158.375</v>
      </c>
      <c r="B1464">
        <f>TEXT(A1464,"yyyy-mm")</f>
        <v/>
      </c>
      <c r="C1464" s="3">
        <f>HOUR(A1464)</f>
        <v/>
      </c>
      <c r="D1464" s="4" t="n">
        <v>26.291174733675</v>
      </c>
      <c r="E1464" s="4" t="n">
        <v>26.66293545079445</v>
      </c>
      <c r="F1464" s="4" t="n">
        <v>26.37040551518056</v>
      </c>
      <c r="G1464" s="4" t="n">
        <v>16.5</v>
      </c>
      <c r="H1464" s="5" t="n">
        <v>39.36779081260001</v>
      </c>
      <c r="I1464" s="5" t="n">
        <v>40.21972679054722</v>
      </c>
      <c r="J1464" s="5" t="n">
        <v>46.88916608635555</v>
      </c>
      <c r="K1464" s="5" t="n">
        <v>64</v>
      </c>
    </row>
    <row r="1465">
      <c r="A1465" s="2" t="n">
        <v>46158.41666666666</v>
      </c>
      <c r="B1465">
        <f>TEXT(A1465,"yyyy-mm")</f>
        <v/>
      </c>
      <c r="C1465" s="3">
        <f>HOUR(A1465)</f>
        <v/>
      </c>
      <c r="D1465" s="4" t="n">
        <v>26.502423840225</v>
      </c>
      <c r="E1465" s="4" t="n">
        <v>26.68974139876944</v>
      </c>
      <c r="F1465" s="4" t="n">
        <v>26.36197224478333</v>
      </c>
      <c r="G1465" s="4" t="n">
        <v>17.9</v>
      </c>
      <c r="H1465" s="5" t="n">
        <v>38.28551374241111</v>
      </c>
      <c r="I1465" s="5" t="n">
        <v>40.13836994314445</v>
      </c>
      <c r="J1465" s="5" t="n">
        <v>46.92298841436945</v>
      </c>
      <c r="K1465" s="5" t="n">
        <v>57</v>
      </c>
    </row>
    <row r="1466">
      <c r="A1466" s="2" t="n">
        <v>46158.45833333334</v>
      </c>
      <c r="B1466">
        <f>TEXT(A1466,"yyyy-mm")</f>
        <v/>
      </c>
      <c r="C1466" s="3">
        <f>HOUR(A1466)</f>
        <v/>
      </c>
      <c r="D1466" s="4" t="n">
        <v>26.50954277661389</v>
      </c>
      <c r="E1466" s="4" t="n">
        <v>26.70820073236667</v>
      </c>
      <c r="F1466" s="4" t="n">
        <v>26.35891109235</v>
      </c>
      <c r="G1466" s="4" t="n">
        <v>18.5</v>
      </c>
      <c r="H1466" s="5" t="n">
        <v>38.38590624492777</v>
      </c>
      <c r="I1466" s="5" t="n">
        <v>40.47181030905278</v>
      </c>
      <c r="J1466" s="5" t="n">
        <v>46.93736968863612</v>
      </c>
      <c r="K1466" s="5" t="n">
        <v>53</v>
      </c>
    </row>
    <row r="1467">
      <c r="A1467" s="2" t="n">
        <v>46158.5</v>
      </c>
      <c r="B1467">
        <f>TEXT(A1467,"yyyy-mm")</f>
        <v/>
      </c>
      <c r="C1467" s="3">
        <f>HOUR(A1467)</f>
        <v/>
      </c>
      <c r="D1467" s="4" t="n">
        <v>26.35274565941112</v>
      </c>
      <c r="E1467" s="4" t="n">
        <v>26.88484838387222</v>
      </c>
      <c r="F1467" s="4" t="n">
        <v>26.46619950658889</v>
      </c>
      <c r="G1467" s="4" t="n">
        <v>18.7</v>
      </c>
      <c r="H1467" s="5" t="n">
        <v>36.53834980025</v>
      </c>
      <c r="I1467" s="5" t="n">
        <v>40.48316437764444</v>
      </c>
      <c r="J1467" s="5" t="n">
        <v>49.55590426906389</v>
      </c>
      <c r="K1467" s="5" t="n">
        <v>53</v>
      </c>
    </row>
    <row r="1468">
      <c r="A1468" s="2" t="n">
        <v>46158.54166666666</v>
      </c>
      <c r="B1468">
        <f>TEXT(A1468,"yyyy-mm")</f>
        <v/>
      </c>
      <c r="C1468" s="3">
        <f>HOUR(A1468)</f>
        <v/>
      </c>
      <c r="D1468" s="4" t="n">
        <v>25.88779816923889</v>
      </c>
      <c r="E1468" s="4" t="n">
        <v>26.92546812300833</v>
      </c>
      <c r="F1468" s="4" t="n">
        <v>26.48334480988889</v>
      </c>
      <c r="G1468" s="4" t="n">
        <v>19.7</v>
      </c>
      <c r="H1468" s="5" t="n">
        <v>35.956574857025</v>
      </c>
      <c r="I1468" s="5" t="n">
        <v>39.27599374029722</v>
      </c>
      <c r="J1468" s="5" t="n">
        <v>49.37279691015278</v>
      </c>
      <c r="K1468" s="5" t="n">
        <v>49</v>
      </c>
    </row>
    <row r="1469">
      <c r="A1469" s="2" t="n">
        <v>46158.58333333334</v>
      </c>
      <c r="B1469">
        <f>TEXT(A1469,"yyyy-mm")</f>
        <v/>
      </c>
      <c r="C1469" s="3">
        <f>HOUR(A1469)</f>
        <v/>
      </c>
      <c r="D1469" s="4" t="n">
        <v>26.07592314848333</v>
      </c>
      <c r="E1469" s="4" t="n">
        <v>26.84593505823333</v>
      </c>
      <c r="F1469" s="4" t="n">
        <v>26.42412278563056</v>
      </c>
      <c r="G1469" s="4" t="n">
        <v>19.9</v>
      </c>
      <c r="H1469" s="5" t="n">
        <v>36.02644286953889</v>
      </c>
      <c r="I1469" s="5" t="n">
        <v>37.54435063455</v>
      </c>
      <c r="J1469" s="5" t="n">
        <v>48.55124250948889</v>
      </c>
      <c r="K1469" s="5" t="n">
        <v>48</v>
      </c>
    </row>
    <row r="1470">
      <c r="A1470" s="2" t="n">
        <v>46158.625</v>
      </c>
      <c r="B1470">
        <f>TEXT(A1470,"yyyy-mm")</f>
        <v/>
      </c>
      <c r="C1470" s="3">
        <f>HOUR(A1470)</f>
        <v/>
      </c>
      <c r="D1470" s="4" t="n">
        <v>26.18261362954444</v>
      </c>
      <c r="E1470" s="4" t="n">
        <v>26.62687528939722</v>
      </c>
      <c r="F1470" s="4" t="n">
        <v>26.390338195375</v>
      </c>
      <c r="G1470" s="4" t="n">
        <v>20.9</v>
      </c>
      <c r="H1470" s="5" t="n">
        <v>36.04086025348334</v>
      </c>
      <c r="I1470" s="5" t="n">
        <v>37.52306936619444</v>
      </c>
      <c r="J1470" s="5" t="n">
        <v>48.10580338949444</v>
      </c>
      <c r="K1470" s="5" t="n">
        <v>44</v>
      </c>
    </row>
    <row r="1471">
      <c r="A1471" s="2" t="n">
        <v>46158.66666666666</v>
      </c>
      <c r="B1471">
        <f>TEXT(A1471,"yyyy-mm")</f>
        <v/>
      </c>
      <c r="C1471" s="3">
        <f>HOUR(A1471)</f>
        <v/>
      </c>
      <c r="D1471" s="4" t="n">
        <v>25.51909521259167</v>
      </c>
      <c r="E1471" s="4" t="n">
        <v>26.680038411375</v>
      </c>
      <c r="F1471" s="4" t="n">
        <v>26.3515337455</v>
      </c>
      <c r="G1471" s="4" t="n">
        <v>21.3</v>
      </c>
      <c r="H1471" s="5" t="n">
        <v>35.54351723774722</v>
      </c>
      <c r="I1471" s="5" t="n">
        <v>36.57868643900556</v>
      </c>
      <c r="J1471" s="5" t="n">
        <v>47.70634726703611</v>
      </c>
      <c r="K1471" s="5" t="n">
        <v>43</v>
      </c>
    </row>
    <row r="1472">
      <c r="A1472" s="2" t="n">
        <v>46158.70833333334</v>
      </c>
      <c r="B1472">
        <f>TEXT(A1472,"yyyy-mm")</f>
        <v/>
      </c>
      <c r="C1472" s="3">
        <f>HOUR(A1472)</f>
        <v/>
      </c>
      <c r="D1472" s="4" t="n">
        <v>25.22298872208611</v>
      </c>
      <c r="E1472" s="4" t="n">
        <v>26.62903873212778</v>
      </c>
      <c r="F1472" s="4" t="n">
        <v>26.32394384148889</v>
      </c>
      <c r="G1472" s="4" t="n">
        <v>20.6</v>
      </c>
      <c r="H1472" s="5" t="n">
        <v>35.420375374875</v>
      </c>
      <c r="I1472" s="5" t="n">
        <v>34.84723333868889</v>
      </c>
      <c r="J1472" s="5" t="n">
        <v>47.31259459903888</v>
      </c>
      <c r="K1472" s="5" t="n">
        <v>45</v>
      </c>
    </row>
    <row r="1473">
      <c r="A1473" s="2" t="n">
        <v>46158.75</v>
      </c>
      <c r="B1473">
        <f>TEXT(A1473,"yyyy-mm")</f>
        <v/>
      </c>
      <c r="C1473" s="3">
        <f>HOUR(A1473)</f>
        <v/>
      </c>
      <c r="D1473" s="4" t="n">
        <v>25.01963188791666</v>
      </c>
      <c r="E1473" s="4" t="n">
        <v>26.244879369475</v>
      </c>
      <c r="F1473" s="4" t="n">
        <v>26.11086947281667</v>
      </c>
      <c r="G1473" s="4" t="n">
        <v>20.2</v>
      </c>
      <c r="H1473" s="5" t="n">
        <v>35.74402101535834</v>
      </c>
      <c r="I1473" s="5" t="n">
        <v>35.165808338175</v>
      </c>
      <c r="J1473" s="5" t="n">
        <v>46.70448153573056</v>
      </c>
      <c r="K1473" s="5" t="n">
        <v>47</v>
      </c>
    </row>
    <row r="1474">
      <c r="A1474" s="2" t="n">
        <v>46158.79166666666</v>
      </c>
      <c r="B1474">
        <f>TEXT(A1474,"yyyy-mm")</f>
        <v/>
      </c>
      <c r="C1474" s="3">
        <f>HOUR(A1474)</f>
        <v/>
      </c>
      <c r="D1474" s="4" t="n">
        <v>24.98734428593333</v>
      </c>
      <c r="E1474" s="4" t="n">
        <v>26.38560592098333</v>
      </c>
      <c r="F1474" s="4" t="n">
        <v>25.93224181377778</v>
      </c>
      <c r="G1474" s="4" t="n">
        <v>19.8</v>
      </c>
      <c r="H1474" s="5" t="n">
        <v>36.88540942783333</v>
      </c>
      <c r="I1474" s="5" t="n">
        <v>36.48948341841667</v>
      </c>
      <c r="J1474" s="5" t="n">
        <v>47.39820161589444</v>
      </c>
      <c r="K1474" s="5" t="n">
        <v>49</v>
      </c>
    </row>
    <row r="1475">
      <c r="A1475" s="2" t="n">
        <v>46158.83333333334</v>
      </c>
      <c r="B1475">
        <f>TEXT(A1475,"yyyy-mm")</f>
        <v/>
      </c>
      <c r="C1475" s="3">
        <f>HOUR(A1475)</f>
        <v/>
      </c>
      <c r="D1475" s="4" t="n">
        <v>24.75139957638889</v>
      </c>
      <c r="E1475" s="4" t="n">
        <v>26.48543464617778</v>
      </c>
      <c r="F1475" s="4" t="n">
        <v>25.95469472279444</v>
      </c>
      <c r="G1475" s="4" t="n">
        <v>18.9</v>
      </c>
      <c r="H1475" s="5" t="n">
        <v>37.7153675242</v>
      </c>
      <c r="I1475" s="5" t="n">
        <v>37.14021540249167</v>
      </c>
      <c r="J1475" s="5" t="n">
        <v>47.81249628669722</v>
      </c>
      <c r="K1475" s="5" t="n">
        <v>54</v>
      </c>
    </row>
    <row r="1476">
      <c r="A1476" s="2" t="n">
        <v>46158.875</v>
      </c>
      <c r="B1476">
        <f>TEXT(A1476,"yyyy-mm")</f>
        <v/>
      </c>
      <c r="C1476" s="3">
        <f>HOUR(A1476)</f>
        <v/>
      </c>
      <c r="D1476" s="4" t="n">
        <v>23.94198574643889</v>
      </c>
      <c r="E1476" s="4" t="n">
        <v>26.48760658600833</v>
      </c>
      <c r="F1476" s="4" t="n">
        <v>25.89905588946112</v>
      </c>
      <c r="G1476" s="4" t="n">
        <v>18.6</v>
      </c>
      <c r="H1476" s="5" t="n">
        <v>39.08208820990556</v>
      </c>
      <c r="I1476" s="5" t="n">
        <v>36.96870357348055</v>
      </c>
      <c r="J1476" s="5" t="n">
        <v>47.42376400817222</v>
      </c>
      <c r="K1476" s="5" t="n">
        <v>57</v>
      </c>
    </row>
    <row r="1477">
      <c r="A1477" s="2" t="n">
        <v>46158.91666666666</v>
      </c>
      <c r="B1477">
        <f>TEXT(A1477,"yyyy-mm")</f>
        <v/>
      </c>
      <c r="C1477" s="3">
        <f>HOUR(A1477)</f>
        <v/>
      </c>
      <c r="D1477" s="4" t="n">
        <v>22.24798844294166</v>
      </c>
      <c r="E1477" s="4" t="n">
        <v>26.45023176850556</v>
      </c>
      <c r="F1477" s="4" t="n">
        <v>26.06240864916111</v>
      </c>
      <c r="G1477" s="4" t="n">
        <v>18</v>
      </c>
      <c r="H1477" s="5" t="n">
        <v>43.165545549025</v>
      </c>
      <c r="I1477" s="5" t="n">
        <v>36.12771958130278</v>
      </c>
      <c r="J1477" s="5" t="n">
        <v>47.05417826997778</v>
      </c>
      <c r="K1477" s="5" t="n">
        <v>59</v>
      </c>
    </row>
    <row r="1478">
      <c r="A1478" s="2" t="n">
        <v>46158.95833333334</v>
      </c>
      <c r="B1478">
        <f>TEXT(A1478,"yyyy-mm")</f>
        <v/>
      </c>
      <c r="C1478" s="3">
        <f>HOUR(A1478)</f>
        <v/>
      </c>
      <c r="D1478" s="4" t="n">
        <v>24.076619080525</v>
      </c>
      <c r="E1478" s="4" t="n">
        <v>26.19171758669444</v>
      </c>
      <c r="F1478" s="4" t="n">
        <v>26.13982374393611</v>
      </c>
      <c r="G1478" s="4" t="n">
        <v>17</v>
      </c>
      <c r="H1478" s="5" t="n">
        <v>41.22566845275833</v>
      </c>
      <c r="I1478" s="5" t="n">
        <v>37.99896725190833</v>
      </c>
      <c r="J1478" s="5" t="n">
        <v>46.86578575179167</v>
      </c>
      <c r="K1478" s="5" t="n">
        <v>63</v>
      </c>
    </row>
    <row r="1479">
      <c r="A1479" s="2" t="n">
        <v>46159</v>
      </c>
      <c r="B1479">
        <f>TEXT(A1479,"yyyy-mm")</f>
        <v/>
      </c>
      <c r="C1479" s="3">
        <f>HOUR(A1479)</f>
        <v/>
      </c>
      <c r="D1479" s="4" t="n">
        <v>25.11546929195278</v>
      </c>
      <c r="E1479" s="4" t="n">
        <v>25.9896008344</v>
      </c>
      <c r="F1479" s="4" t="n">
        <v>26.18002291092223</v>
      </c>
      <c r="G1479" s="4" t="n">
        <v>16.5</v>
      </c>
      <c r="H1479" s="5" t="n">
        <v>39.604145201375</v>
      </c>
      <c r="I1479" s="5" t="n">
        <v>39.13613920735001</v>
      </c>
      <c r="J1479" s="5" t="n">
        <v>46.67894086476111</v>
      </c>
      <c r="K1479" s="5" t="n">
        <v>65</v>
      </c>
    </row>
    <row r="1480">
      <c r="A1480" s="2" t="n">
        <v>46159.04166666666</v>
      </c>
      <c r="B1480">
        <f>TEXT(A1480,"yyyy-mm")</f>
        <v/>
      </c>
      <c r="C1480" s="3">
        <f>HOUR(A1480)</f>
        <v/>
      </c>
      <c r="D1480" s="4" t="n">
        <v>25.21045092934722</v>
      </c>
      <c r="E1480" s="4" t="n">
        <v>25.92158536342222</v>
      </c>
      <c r="F1480" s="4" t="n">
        <v>26.20066078001111</v>
      </c>
      <c r="G1480" s="4" t="n">
        <v>15.7</v>
      </c>
      <c r="H1480" s="5" t="n">
        <v>39.494591097425</v>
      </c>
      <c r="I1480" s="5" t="n">
        <v>39.24505298364166</v>
      </c>
      <c r="J1480" s="5" t="n">
        <v>46.55636324783333</v>
      </c>
      <c r="K1480" s="5" t="n">
        <v>68</v>
      </c>
    </row>
    <row r="1481">
      <c r="A1481" s="2" t="n">
        <v>46159.08333333334</v>
      </c>
      <c r="B1481">
        <f>TEXT(A1481,"yyyy-mm")</f>
        <v/>
      </c>
      <c r="C1481" s="3">
        <f>HOUR(A1481)</f>
        <v/>
      </c>
      <c r="D1481" s="4" t="n">
        <v>25.09654535235</v>
      </c>
      <c r="E1481" s="4" t="n">
        <v>26.00694461558611</v>
      </c>
      <c r="F1481" s="4" t="n">
        <v>26.08140384730278</v>
      </c>
      <c r="G1481" s="4" t="n">
        <v>15.1</v>
      </c>
      <c r="H1481" s="5" t="n">
        <v>39.65272866981111</v>
      </c>
      <c r="I1481" s="5" t="n">
        <v>39.15369733911667</v>
      </c>
      <c r="J1481" s="5" t="n">
        <v>48.20271406625278</v>
      </c>
      <c r="K1481" s="5" t="n">
        <v>70</v>
      </c>
    </row>
    <row r="1482">
      <c r="A1482" s="2" t="n">
        <v>46159.125</v>
      </c>
      <c r="B1482">
        <f>TEXT(A1482,"yyyy-mm")</f>
        <v/>
      </c>
      <c r="C1482" s="3">
        <f>HOUR(A1482)</f>
        <v/>
      </c>
      <c r="D1482" s="4" t="n">
        <v>24.99536736881667</v>
      </c>
      <c r="E1482" s="4" t="n">
        <v>25.71956956678056</v>
      </c>
      <c r="F1482" s="4" t="n">
        <v>26.14258092480833</v>
      </c>
      <c r="G1482" s="4" t="n">
        <v>14.9</v>
      </c>
      <c r="H1482" s="5" t="n">
        <v>40.31518892105</v>
      </c>
      <c r="I1482" s="5" t="n">
        <v>40.18191313678889</v>
      </c>
      <c r="J1482" s="5" t="n">
        <v>47.67852996526944</v>
      </c>
      <c r="K1482" s="5" t="n">
        <v>70</v>
      </c>
    </row>
    <row r="1483">
      <c r="A1483" s="2" t="n">
        <v>46159.16666666666</v>
      </c>
      <c r="B1483">
        <f>TEXT(A1483,"yyyy-mm")</f>
        <v/>
      </c>
      <c r="C1483" s="3">
        <f>HOUR(A1483)</f>
        <v/>
      </c>
      <c r="D1483" s="4" t="n">
        <v>24.84702888623889</v>
      </c>
      <c r="E1483" s="4" t="n">
        <v>25.49622774910556</v>
      </c>
      <c r="F1483" s="4" t="n">
        <v>26.18061642900278</v>
      </c>
      <c r="G1483" s="4" t="n">
        <v>14.3</v>
      </c>
      <c r="H1483" s="5" t="n">
        <v>40.02831082615555</v>
      </c>
      <c r="I1483" s="5" t="n">
        <v>39.59104378513612</v>
      </c>
      <c r="J1483" s="5" t="n">
        <v>47.06398413331389</v>
      </c>
      <c r="K1483" s="5" t="n">
        <v>72</v>
      </c>
    </row>
    <row r="1484">
      <c r="A1484" s="2" t="n">
        <v>46159.20833333334</v>
      </c>
      <c r="B1484">
        <f>TEXT(A1484,"yyyy-mm")</f>
        <v/>
      </c>
      <c r="C1484" s="3">
        <f>HOUR(A1484)</f>
        <v/>
      </c>
      <c r="D1484" s="4" t="n">
        <v>24.83958071040277</v>
      </c>
      <c r="E1484" s="4" t="n">
        <v>25.33782205826389</v>
      </c>
      <c r="F1484" s="4" t="n">
        <v>26.17188904943056</v>
      </c>
      <c r="G1484" s="4" t="n">
        <v>14.4</v>
      </c>
      <c r="H1484" s="5" t="n">
        <v>39.53257594034722</v>
      </c>
      <c r="I1484" s="5" t="n">
        <v>39.37116640972222</v>
      </c>
      <c r="J1484" s="5" t="n">
        <v>46.84303795735</v>
      </c>
      <c r="K1484" s="5" t="n">
        <v>71</v>
      </c>
    </row>
    <row r="1485">
      <c r="A1485" s="2" t="n">
        <v>46159.25</v>
      </c>
      <c r="B1485">
        <f>TEXT(A1485,"yyyy-mm")</f>
        <v/>
      </c>
      <c r="C1485" s="3">
        <f>HOUR(A1485)</f>
        <v/>
      </c>
      <c r="D1485" s="4" t="n">
        <v>25.19927499107222</v>
      </c>
      <c r="E1485" s="4" t="n">
        <v>25.35388036713889</v>
      </c>
      <c r="F1485" s="4" t="n">
        <v>26.17597329303611</v>
      </c>
      <c r="G1485" s="4" t="n">
        <v>14.4</v>
      </c>
      <c r="H1485" s="5" t="n">
        <v>38.79521719244722</v>
      </c>
      <c r="I1485" s="5" t="n">
        <v>39.85567720063055</v>
      </c>
      <c r="J1485" s="5" t="n">
        <v>46.69085479796389</v>
      </c>
      <c r="K1485" s="5" t="n">
        <v>71</v>
      </c>
    </row>
    <row r="1486">
      <c r="A1486" s="2" t="n">
        <v>46159.29166666666</v>
      </c>
      <c r="B1486">
        <f>TEXT(A1486,"yyyy-mm")</f>
        <v/>
      </c>
      <c r="C1486" s="3">
        <f>HOUR(A1486)</f>
        <v/>
      </c>
      <c r="D1486" s="4" t="n">
        <v>25.11259799738611</v>
      </c>
      <c r="E1486" s="4" t="n">
        <v>25.22353792936944</v>
      </c>
      <c r="F1486" s="4" t="n">
        <v>26.18107331145556</v>
      </c>
      <c r="G1486" s="4" t="n">
        <v>15.6</v>
      </c>
      <c r="H1486" s="5" t="n">
        <v>39.26776612443333</v>
      </c>
      <c r="I1486" s="5" t="n">
        <v>40.01631883759166</v>
      </c>
      <c r="J1486" s="5" t="n">
        <v>46.583864979525</v>
      </c>
      <c r="K1486" s="5" t="n">
        <v>66</v>
      </c>
    </row>
    <row r="1487">
      <c r="A1487" s="2" t="n">
        <v>46159.33333333334</v>
      </c>
      <c r="B1487">
        <f>TEXT(A1487,"yyyy-mm")</f>
        <v/>
      </c>
      <c r="C1487" s="3">
        <f>HOUR(A1487)</f>
        <v/>
      </c>
      <c r="D1487" s="4" t="n">
        <v>24.28081343625</v>
      </c>
      <c r="E1487" s="4" t="n">
        <v>24.88420497666666</v>
      </c>
      <c r="F1487" s="4" t="n">
        <v>26.17692738766667</v>
      </c>
      <c r="G1487" s="4" t="n">
        <v>17.3</v>
      </c>
      <c r="H1487" s="5" t="n">
        <v>41.58456007311111</v>
      </c>
      <c r="I1487" s="5" t="n">
        <v>40.93727391630834</v>
      </c>
      <c r="J1487" s="5" t="n">
        <v>46.84193741423888</v>
      </c>
      <c r="K1487" s="5" t="n">
        <v>59</v>
      </c>
    </row>
    <row r="1488">
      <c r="A1488" s="2" t="n">
        <v>46159.375</v>
      </c>
      <c r="B1488">
        <f>TEXT(A1488,"yyyy-mm")</f>
        <v/>
      </c>
      <c r="C1488" s="3">
        <f>HOUR(A1488)</f>
        <v/>
      </c>
      <c r="D1488" s="4" t="n">
        <v>24.02905546995</v>
      </c>
      <c r="E1488" s="4" t="n">
        <v>24.85379849113333</v>
      </c>
      <c r="F1488" s="4" t="n">
        <v>26.16722200875278</v>
      </c>
      <c r="G1488" s="4" t="n">
        <v>18</v>
      </c>
      <c r="H1488" s="5" t="n">
        <v>44.07987956685</v>
      </c>
      <c r="I1488" s="5" t="n">
        <v>42.45977836037222</v>
      </c>
      <c r="J1488" s="5" t="n">
        <v>47.01152318781666</v>
      </c>
      <c r="K1488" s="5" t="n">
        <v>58</v>
      </c>
    </row>
    <row r="1489">
      <c r="A1489" s="2" t="n">
        <v>46159.41666666666</v>
      </c>
      <c r="B1489">
        <f>TEXT(A1489,"yyyy-mm")</f>
        <v/>
      </c>
      <c r="C1489" s="3">
        <f>HOUR(A1489)</f>
        <v/>
      </c>
      <c r="D1489" s="4" t="n">
        <v>23.888737362675</v>
      </c>
      <c r="E1489" s="4" t="n">
        <v>24.88392219848889</v>
      </c>
      <c r="F1489" s="4" t="n">
        <v>26.16752752243333</v>
      </c>
      <c r="G1489" s="4" t="n">
        <v>18</v>
      </c>
      <c r="H1489" s="5" t="n">
        <v>46.26923183271944</v>
      </c>
      <c r="I1489" s="5" t="n">
        <v>43.96852151205277</v>
      </c>
      <c r="J1489" s="5" t="n">
        <v>46.86896354743889</v>
      </c>
      <c r="K1489" s="5" t="n">
        <v>64</v>
      </c>
    </row>
    <row r="1490">
      <c r="A1490" s="2" t="n">
        <v>46159.45833333334</v>
      </c>
      <c r="B1490">
        <f>TEXT(A1490,"yyyy-mm")</f>
        <v/>
      </c>
      <c r="C1490" s="3">
        <f>HOUR(A1490)</f>
        <v/>
      </c>
      <c r="D1490" s="4" t="n">
        <v>24.11619263623333</v>
      </c>
      <c r="E1490" s="4" t="n">
        <v>24.78200896733889</v>
      </c>
      <c r="F1490" s="4" t="n">
        <v>26.16683351565</v>
      </c>
      <c r="G1490" s="4" t="n">
        <v>17.1</v>
      </c>
      <c r="H1490" s="5" t="n">
        <v>46.68338096110278</v>
      </c>
      <c r="I1490" s="5" t="n">
        <v>44.8311870068861</v>
      </c>
      <c r="J1490" s="5" t="n">
        <v>46.69228469824167</v>
      </c>
      <c r="K1490" s="5" t="n">
        <v>77</v>
      </c>
    </row>
    <row r="1491">
      <c r="A1491" s="2" t="n">
        <v>46159.5</v>
      </c>
      <c r="B1491">
        <f>TEXT(A1491,"yyyy-mm")</f>
        <v/>
      </c>
      <c r="C1491" s="3">
        <f>HOUR(A1491)</f>
        <v/>
      </c>
      <c r="D1491" s="4" t="n">
        <v>24.66251437600556</v>
      </c>
      <c r="E1491" s="4" t="n">
        <v>24.93335788555556</v>
      </c>
      <c r="F1491" s="4" t="n">
        <v>26.16652813066944</v>
      </c>
      <c r="G1491" s="4" t="n">
        <v>19.4</v>
      </c>
      <c r="H1491" s="5" t="n">
        <v>46.91185505245833</v>
      </c>
      <c r="I1491" s="5" t="n">
        <v>45.83699027663334</v>
      </c>
      <c r="J1491" s="5" t="n">
        <v>46.56552704398056</v>
      </c>
      <c r="K1491" s="5" t="n">
        <v>68</v>
      </c>
    </row>
    <row r="1492">
      <c r="A1492" s="2" t="n">
        <v>46159.54166666666</v>
      </c>
      <c r="B1492">
        <f>TEXT(A1492,"yyyy-mm")</f>
        <v/>
      </c>
      <c r="C1492" s="3">
        <f>HOUR(A1492)</f>
        <v/>
      </c>
      <c r="D1492" s="4" t="n">
        <v>25.30638100258333</v>
      </c>
      <c r="E1492" s="4" t="n">
        <v>25.50727628432778</v>
      </c>
      <c r="F1492" s="4" t="n">
        <v>26.18321187538334</v>
      </c>
      <c r="G1492" s="4" t="n">
        <v>21.2</v>
      </c>
      <c r="H1492" s="5" t="n">
        <v>47.14710291150556</v>
      </c>
      <c r="I1492" s="5" t="n">
        <v>47.59795028718056</v>
      </c>
      <c r="J1492" s="5" t="n">
        <v>46.56611318121944</v>
      </c>
      <c r="K1492" s="5" t="n">
        <v>61</v>
      </c>
    </row>
    <row r="1493">
      <c r="A1493" s="2" t="n">
        <v>46159.58333333334</v>
      </c>
      <c r="B1493">
        <f>TEXT(A1493,"yyyy-mm")</f>
        <v/>
      </c>
      <c r="C1493" s="3">
        <f>HOUR(A1493)</f>
        <v/>
      </c>
      <c r="D1493" s="4" t="n">
        <v>25.54936943337778</v>
      </c>
      <c r="E1493" s="4" t="n">
        <v>25.86947583897222</v>
      </c>
      <c r="F1493" s="4" t="n">
        <v>26.22924551254722</v>
      </c>
      <c r="G1493" s="4" t="n">
        <v>22.8</v>
      </c>
      <c r="H1493" s="5" t="n">
        <v>46.90522643125556</v>
      </c>
      <c r="I1493" s="5" t="n">
        <v>46.57255592418333</v>
      </c>
      <c r="J1493" s="5" t="n">
        <v>47.65713387148056</v>
      </c>
      <c r="K1493" s="5" t="n">
        <v>57</v>
      </c>
    </row>
    <row r="1494">
      <c r="A1494" s="2" t="n">
        <v>46159.625</v>
      </c>
      <c r="B1494">
        <f>TEXT(A1494,"yyyy-mm")</f>
        <v/>
      </c>
      <c r="C1494" s="3">
        <f>HOUR(A1494)</f>
        <v/>
      </c>
      <c r="D1494" s="4" t="n">
        <v>25.37037301271666</v>
      </c>
      <c r="E1494" s="4" t="n">
        <v>26.01975740655556</v>
      </c>
      <c r="F1494" s="4" t="n">
        <v>26.26636865538889</v>
      </c>
      <c r="G1494" s="4" t="n">
        <v>24.2</v>
      </c>
      <c r="H1494" s="5" t="n">
        <v>48.37423421732777</v>
      </c>
      <c r="I1494" s="5" t="n">
        <v>46.86906524013889</v>
      </c>
      <c r="J1494" s="5" t="n">
        <v>49.13443833726389</v>
      </c>
      <c r="K1494" s="5" t="n">
        <v>52</v>
      </c>
    </row>
    <row r="1495">
      <c r="A1495" s="2" t="n">
        <v>46159.66666666666</v>
      </c>
      <c r="B1495">
        <f>TEXT(A1495,"yyyy-mm")</f>
        <v/>
      </c>
      <c r="C1495" s="3">
        <f>HOUR(A1495)</f>
        <v/>
      </c>
      <c r="D1495" s="4" t="n">
        <v>24.90106559734167</v>
      </c>
      <c r="E1495" s="4" t="n">
        <v>26.06514677331112</v>
      </c>
      <c r="F1495" s="4" t="n">
        <v>26.29612933326944</v>
      </c>
      <c r="G1495" s="4" t="n">
        <v>18.3</v>
      </c>
      <c r="H1495" s="5" t="n">
        <v>50.58537554555</v>
      </c>
      <c r="I1495" s="5" t="n">
        <v>47.64813770318333</v>
      </c>
      <c r="J1495" s="5" t="n">
        <v>50.00738456893056</v>
      </c>
      <c r="K1495" s="5" t="n">
        <v>85</v>
      </c>
    </row>
    <row r="1496">
      <c r="A1496" s="2" t="n">
        <v>46159.70833333334</v>
      </c>
      <c r="B1496">
        <f>TEXT(A1496,"yyyy-mm")</f>
        <v/>
      </c>
      <c r="C1496" s="3">
        <f>HOUR(A1496)</f>
        <v/>
      </c>
      <c r="D1496" s="4" t="n">
        <v>24.682127210925</v>
      </c>
      <c r="E1496" s="4" t="n">
        <v>26.09471706998333</v>
      </c>
      <c r="F1496" s="4" t="n">
        <v>26.32256223701944</v>
      </c>
      <c r="G1496" s="4" t="n">
        <v>20.4</v>
      </c>
      <c r="H1496" s="5" t="n">
        <v>51.33354536279722</v>
      </c>
      <c r="I1496" s="5" t="n">
        <v>48.26645876083889</v>
      </c>
      <c r="J1496" s="5" t="n">
        <v>51.14884525489445</v>
      </c>
      <c r="K1496" s="5" t="n">
        <v>74</v>
      </c>
    </row>
    <row r="1497">
      <c r="A1497" s="2" t="n">
        <v>46159.75</v>
      </c>
      <c r="B1497">
        <f>TEXT(A1497,"yyyy-mm")</f>
        <v/>
      </c>
      <c r="C1497" s="3">
        <f>HOUR(A1497)</f>
        <v/>
      </c>
      <c r="D1497" s="4" t="n">
        <v>24.53900425891666</v>
      </c>
      <c r="E1497" s="4" t="n">
        <v>25.679189366925</v>
      </c>
      <c r="F1497" s="4" t="n">
        <v>26.33978728805</v>
      </c>
      <c r="G1497" s="4" t="n">
        <v>21.3</v>
      </c>
      <c r="H1497" s="5" t="n">
        <v>50.73289269296389</v>
      </c>
      <c r="I1497" s="5" t="n">
        <v>47.74448478777222</v>
      </c>
      <c r="J1497" s="5" t="n">
        <v>51.41356754560278</v>
      </c>
      <c r="K1497" s="5" t="n">
        <v>69</v>
      </c>
    </row>
    <row r="1498">
      <c r="A1498" s="2" t="n">
        <v>46159.79166666666</v>
      </c>
      <c r="B1498">
        <f>TEXT(A1498,"yyyy-mm")</f>
        <v/>
      </c>
      <c r="C1498" s="3">
        <f>HOUR(A1498)</f>
        <v/>
      </c>
      <c r="D1498" s="4" t="n">
        <v>23.17644644749445</v>
      </c>
      <c r="E1498" s="4" t="n">
        <v>25.12223653586944</v>
      </c>
      <c r="F1498" s="4" t="n">
        <v>26.302223916175</v>
      </c>
      <c r="G1498" s="4" t="n">
        <v>16.9</v>
      </c>
      <c r="H1498" s="5" t="n">
        <v>52.12472667515556</v>
      </c>
      <c r="I1498" s="5" t="n">
        <v>47.42797249298611</v>
      </c>
      <c r="J1498" s="5" t="n">
        <v>51.85701230090834</v>
      </c>
      <c r="K1498" s="5" t="n">
        <v>93</v>
      </c>
    </row>
    <row r="1499">
      <c r="A1499" s="2" t="n">
        <v>46159.83333333334</v>
      </c>
      <c r="B1499">
        <f>TEXT(A1499,"yyyy-mm")</f>
        <v/>
      </c>
      <c r="C1499" s="3">
        <f>HOUR(A1499)</f>
        <v/>
      </c>
      <c r="D1499" s="4" t="n">
        <v>23.15625968096389</v>
      </c>
      <c r="E1499" s="4" t="n">
        <v>24.64481876734722</v>
      </c>
      <c r="F1499" s="4" t="n">
        <v>26.24241342226667</v>
      </c>
      <c r="G1499" s="4" t="n">
        <v>16.5</v>
      </c>
      <c r="H1499" s="5" t="n">
        <v>50.34716949706944</v>
      </c>
      <c r="I1499" s="5" t="n">
        <v>46.50040696358056</v>
      </c>
      <c r="J1499" s="5" t="n">
        <v>51.28694271753333</v>
      </c>
      <c r="K1499" s="5" t="n">
        <v>95</v>
      </c>
    </row>
    <row r="1500">
      <c r="A1500" s="2" t="n">
        <v>46159.875</v>
      </c>
      <c r="B1500">
        <f>TEXT(A1500,"yyyy-mm")</f>
        <v/>
      </c>
      <c r="C1500" s="3">
        <f>HOUR(A1500)</f>
        <v/>
      </c>
      <c r="D1500" s="4" t="n">
        <v>22.71531401469722</v>
      </c>
      <c r="E1500" s="4" t="n">
        <v>24.70475413713056</v>
      </c>
      <c r="F1500" s="4" t="n">
        <v>26.22715740677222</v>
      </c>
      <c r="G1500" s="4" t="n">
        <v>16.7</v>
      </c>
      <c r="H1500" s="5" t="n">
        <v>51.86732517627221</v>
      </c>
      <c r="I1500" s="5" t="n">
        <v>47.017256610775</v>
      </c>
      <c r="J1500" s="5" t="n">
        <v>50.89201647018889</v>
      </c>
      <c r="K1500" s="5" t="n">
        <v>92</v>
      </c>
    </row>
    <row r="1501">
      <c r="A1501" s="2" t="n">
        <v>46159.91666666666</v>
      </c>
      <c r="B1501">
        <f>TEXT(A1501,"yyyy-mm")</f>
        <v/>
      </c>
      <c r="C1501" s="3">
        <f>HOUR(A1501)</f>
        <v/>
      </c>
      <c r="D1501" s="4" t="n">
        <v>22.93947543692222</v>
      </c>
      <c r="E1501" s="4" t="n">
        <v>25.142203675275</v>
      </c>
      <c r="F1501" s="4" t="n">
        <v>26.23796713675278</v>
      </c>
      <c r="G1501" s="4" t="n">
        <v>16.3</v>
      </c>
      <c r="H1501" s="5" t="n">
        <v>53.51569627468334</v>
      </c>
      <c r="I1501" s="5" t="n">
        <v>48.76019158516389</v>
      </c>
      <c r="J1501" s="5" t="n">
        <v>50.81566346213333</v>
      </c>
      <c r="K1501" s="5" t="n">
        <v>93</v>
      </c>
    </row>
    <row r="1502">
      <c r="A1502" s="2" t="n">
        <v>46159.95833333334</v>
      </c>
      <c r="B1502">
        <f>TEXT(A1502,"yyyy-mm")</f>
        <v/>
      </c>
      <c r="C1502" s="3">
        <f>HOUR(A1502)</f>
        <v/>
      </c>
      <c r="D1502" s="4" t="n">
        <v>23.324482830275</v>
      </c>
      <c r="E1502" s="4" t="n">
        <v>25.52813068588611</v>
      </c>
      <c r="F1502" s="4" t="n">
        <v>26.25771701939166</v>
      </c>
      <c r="G1502" s="4" t="n">
        <v>16</v>
      </c>
      <c r="H1502" s="5" t="n">
        <v>53.35977976580278</v>
      </c>
      <c r="I1502" s="5" t="n">
        <v>48.65983007432222</v>
      </c>
      <c r="J1502" s="5" t="n">
        <v>50.87330449912778</v>
      </c>
      <c r="K1502" s="5" t="n">
        <v>93</v>
      </c>
    </row>
    <row r="1503">
      <c r="A1503" s="2" t="n">
        <v>46160</v>
      </c>
      <c r="B1503">
        <f>TEXT(A1503,"yyyy-mm")</f>
        <v/>
      </c>
      <c r="C1503" s="3">
        <f>HOUR(A1503)</f>
        <v/>
      </c>
      <c r="D1503" s="4" t="n">
        <v>23.23209548027222</v>
      </c>
      <c r="E1503" s="4" t="n">
        <v>25.49827506430556</v>
      </c>
      <c r="F1503" s="4" t="n">
        <v>26.261919311</v>
      </c>
      <c r="G1503" s="4" t="n">
        <v>15.9</v>
      </c>
      <c r="H1503" s="5" t="n">
        <v>52.87495850705556</v>
      </c>
      <c r="I1503" s="5" t="n">
        <v>48.422093588625</v>
      </c>
      <c r="J1503" s="5" t="n">
        <v>50.68268775017778</v>
      </c>
      <c r="K1503" s="5" t="n">
        <v>93</v>
      </c>
    </row>
    <row r="1504">
      <c r="A1504" s="2" t="n">
        <v>46160.04166666666</v>
      </c>
      <c r="B1504">
        <f>TEXT(A1504,"yyyy-mm")</f>
        <v/>
      </c>
      <c r="C1504" s="3">
        <f>HOUR(A1504)</f>
        <v/>
      </c>
      <c r="D1504" s="4" t="n">
        <v>23.09914287361389</v>
      </c>
      <c r="E1504" s="4" t="n">
        <v>25.32923190308333</v>
      </c>
      <c r="F1504" s="4" t="n">
        <v>26.25442123689444</v>
      </c>
      <c r="G1504" s="4" t="n">
        <v>15.5</v>
      </c>
      <c r="H1504" s="5" t="n">
        <v>51.51689919833611</v>
      </c>
      <c r="I1504" s="5" t="n">
        <v>47.44157986634722</v>
      </c>
      <c r="J1504" s="5" t="n">
        <v>50.53158563979167</v>
      </c>
      <c r="K1504" s="5" t="n">
        <v>93</v>
      </c>
    </row>
    <row r="1505">
      <c r="A1505" s="2" t="n">
        <v>46160.08333333334</v>
      </c>
      <c r="B1505">
        <f>TEXT(A1505,"yyyy-mm")</f>
        <v/>
      </c>
      <c r="C1505" s="3">
        <f>HOUR(A1505)</f>
        <v/>
      </c>
      <c r="D1505" s="4" t="n">
        <v>23.02036132266667</v>
      </c>
      <c r="E1505" s="4" t="n">
        <v>25.27062009423889</v>
      </c>
      <c r="F1505" s="4" t="n">
        <v>26.24794403973611</v>
      </c>
      <c r="G1505" s="4" t="n">
        <v>15.4</v>
      </c>
      <c r="H1505" s="5" t="n">
        <v>51.58557271387222</v>
      </c>
      <c r="I1505" s="5" t="n">
        <v>47.19244148061111</v>
      </c>
      <c r="J1505" s="5" t="n">
        <v>50.35253482721389</v>
      </c>
      <c r="K1505" s="5" t="n">
        <v>93</v>
      </c>
    </row>
    <row r="1506">
      <c r="A1506" s="2" t="n">
        <v>46160.125</v>
      </c>
      <c r="B1506">
        <f>TEXT(A1506,"yyyy-mm")</f>
        <v/>
      </c>
      <c r="C1506" s="3">
        <f>HOUR(A1506)</f>
        <v/>
      </c>
      <c r="D1506" s="4" t="n">
        <v>22.79178663889445</v>
      </c>
      <c r="E1506" s="4" t="n">
        <v>25.02907022240278</v>
      </c>
      <c r="F1506" s="4" t="n">
        <v>26.228876653275</v>
      </c>
      <c r="G1506" s="4" t="n">
        <v>15.5</v>
      </c>
      <c r="H1506" s="5" t="n">
        <v>52.2951179076</v>
      </c>
      <c r="I1506" s="5" t="n">
        <v>47.3101296661639</v>
      </c>
      <c r="J1506" s="5" t="n">
        <v>50.32150152630278</v>
      </c>
      <c r="K1506" s="5" t="n">
        <v>95</v>
      </c>
    </row>
    <row r="1507">
      <c r="A1507" s="2" t="n">
        <v>46160.16666666666</v>
      </c>
      <c r="B1507">
        <f>TEXT(A1507,"yyyy-mm")</f>
        <v/>
      </c>
      <c r="C1507" s="3">
        <f>HOUR(A1507)</f>
        <v/>
      </c>
      <c r="D1507" s="4" t="n">
        <v>22.61514330242223</v>
      </c>
      <c r="E1507" s="4" t="n">
        <v>24.73349421523333</v>
      </c>
      <c r="F1507" s="4" t="n">
        <v>26.208925848175</v>
      </c>
      <c r="G1507" s="4" t="n">
        <v>14.7</v>
      </c>
      <c r="H1507" s="5" t="n">
        <v>52.50331712486945</v>
      </c>
      <c r="I1507" s="5" t="n">
        <v>47.173392079725</v>
      </c>
      <c r="J1507" s="5" t="n">
        <v>50.29705663802222</v>
      </c>
      <c r="K1507" s="5" t="n">
        <v>96</v>
      </c>
    </row>
    <row r="1508">
      <c r="A1508" s="2" t="n">
        <v>46160.20833333334</v>
      </c>
      <c r="B1508">
        <f>TEXT(A1508,"yyyy-mm")</f>
        <v/>
      </c>
      <c r="C1508" s="3">
        <f>HOUR(A1508)</f>
        <v/>
      </c>
      <c r="D1508" s="4" t="n">
        <v>22.48015633126111</v>
      </c>
      <c r="E1508" s="4" t="n">
        <v>24.59714393781944</v>
      </c>
      <c r="F1508" s="4" t="n">
        <v>26.18956524546667</v>
      </c>
      <c r="G1508" s="4" t="n">
        <v>14.2</v>
      </c>
      <c r="H1508" s="5" t="n">
        <v>52.90146285750555</v>
      </c>
      <c r="I1508" s="5" t="n">
        <v>47.3666954502111</v>
      </c>
      <c r="J1508" s="5" t="n">
        <v>50.27588907223889</v>
      </c>
      <c r="K1508" s="5" t="n">
        <v>96</v>
      </c>
    </row>
    <row r="1509">
      <c r="A1509" s="2" t="n">
        <v>46160.25</v>
      </c>
      <c r="B1509">
        <f>TEXT(A1509,"yyyy-mm")</f>
        <v/>
      </c>
      <c r="C1509" s="3">
        <f>HOUR(A1509)</f>
        <v/>
      </c>
      <c r="D1509" s="4" t="n">
        <v>22.68642345513333</v>
      </c>
      <c r="E1509" s="4" t="n">
        <v>24.61565262501945</v>
      </c>
      <c r="F1509" s="4" t="n">
        <v>26.17663908998889</v>
      </c>
      <c r="G1509" s="4" t="n">
        <v>14.6</v>
      </c>
      <c r="H1509" s="5" t="n">
        <v>52.7280149956139</v>
      </c>
      <c r="I1509" s="5" t="n">
        <v>47.69832805813888</v>
      </c>
      <c r="J1509" s="5" t="n">
        <v>50.25523829036945</v>
      </c>
      <c r="K1509" s="5" t="n">
        <v>96</v>
      </c>
    </row>
    <row r="1510">
      <c r="A1510" s="2" t="n">
        <v>46160.29166666666</v>
      </c>
      <c r="B1510">
        <f>TEXT(A1510,"yyyy-mm")</f>
        <v/>
      </c>
      <c r="C1510" s="3">
        <f>HOUR(A1510)</f>
        <v/>
      </c>
      <c r="D1510" s="4" t="n">
        <v>23.21239403206667</v>
      </c>
      <c r="E1510" s="4" t="n">
        <v>24.7694884514</v>
      </c>
      <c r="F1510" s="4" t="n">
        <v>26.17930497746944</v>
      </c>
      <c r="G1510" s="4" t="n">
        <v>15.9</v>
      </c>
      <c r="H1510" s="5" t="n">
        <v>50.73292963121667</v>
      </c>
      <c r="I1510" s="5" t="n">
        <v>47.00523577346944</v>
      </c>
      <c r="J1510" s="5" t="n">
        <v>50.17053052485556</v>
      </c>
      <c r="K1510" s="5" t="n">
        <v>92</v>
      </c>
    </row>
    <row r="1511">
      <c r="A1511" s="2" t="n">
        <v>46160.33333333334</v>
      </c>
      <c r="B1511">
        <f>TEXT(A1511,"yyyy-mm")</f>
        <v/>
      </c>
      <c r="C1511" s="3">
        <f>HOUR(A1511)</f>
        <v/>
      </c>
      <c r="D1511" s="4" t="n">
        <v>24.31962657685555</v>
      </c>
      <c r="E1511" s="4" t="n">
        <v>24.95632918508889</v>
      </c>
      <c r="F1511" s="4" t="n">
        <v>26.18182852353056</v>
      </c>
      <c r="G1511" s="4" t="n">
        <v>17.6</v>
      </c>
      <c r="H1511" s="5" t="n">
        <v>47.83007631335</v>
      </c>
      <c r="I1511" s="5" t="n">
        <v>46.89844373478888</v>
      </c>
      <c r="J1511" s="5" t="n">
        <v>50.03766210715833</v>
      </c>
      <c r="K1511" s="5" t="n">
        <v>81</v>
      </c>
    </row>
    <row r="1512">
      <c r="A1512" s="2" t="n">
        <v>46160.375</v>
      </c>
      <c r="B1512">
        <f>TEXT(A1512,"yyyy-mm")</f>
        <v/>
      </c>
      <c r="C1512" s="3">
        <f>HOUR(A1512)</f>
        <v/>
      </c>
      <c r="D1512" s="4" t="n">
        <v>25.01512626126944</v>
      </c>
      <c r="E1512" s="4" t="n">
        <v>25.20196301661389</v>
      </c>
      <c r="F1512" s="4" t="n">
        <v>26.20024205249445</v>
      </c>
      <c r="G1512" s="4" t="n">
        <v>19.4</v>
      </c>
      <c r="H1512" s="5" t="n">
        <v>46.46607923851111</v>
      </c>
      <c r="I1512" s="5" t="n">
        <v>46.72039605954723</v>
      </c>
      <c r="J1512" s="5" t="n">
        <v>49.92170068250834</v>
      </c>
      <c r="K1512" s="5" t="n">
        <v>71</v>
      </c>
    </row>
    <row r="1513">
      <c r="A1513" s="2" t="n">
        <v>46160.41666666666</v>
      </c>
      <c r="B1513">
        <f>TEXT(A1513,"yyyy-mm")</f>
        <v/>
      </c>
      <c r="C1513" s="3">
        <f>HOUR(A1513)</f>
        <v/>
      </c>
      <c r="D1513" s="4" t="n">
        <v>25.13877355843333</v>
      </c>
      <c r="E1513" s="4" t="n">
        <v>25.27284066976667</v>
      </c>
      <c r="F1513" s="4" t="n">
        <v>26.21077270331111</v>
      </c>
      <c r="G1513" s="4" t="n">
        <v>20.6</v>
      </c>
      <c r="H1513" s="5" t="n">
        <v>46.5950126028</v>
      </c>
      <c r="I1513" s="5" t="n">
        <v>47.16033770328334</v>
      </c>
      <c r="J1513" s="5" t="n">
        <v>49.87663016397778</v>
      </c>
      <c r="K1513" s="5" t="n">
        <v>66</v>
      </c>
    </row>
    <row r="1514">
      <c r="A1514" s="2" t="n">
        <v>46160.45833333334</v>
      </c>
      <c r="B1514">
        <f>TEXT(A1514,"yyyy-mm")</f>
        <v/>
      </c>
      <c r="C1514" s="3">
        <f>HOUR(A1514)</f>
        <v/>
      </c>
      <c r="D1514" s="4" t="n">
        <v>25.32242045105278</v>
      </c>
      <c r="E1514" s="4" t="n">
        <v>25.52807368079722</v>
      </c>
      <c r="F1514" s="4" t="n">
        <v>26.22610360263611</v>
      </c>
      <c r="G1514" s="4" t="n">
        <v>21.6</v>
      </c>
      <c r="H1514" s="5" t="n">
        <v>47.76344580398333</v>
      </c>
      <c r="I1514" s="5" t="n">
        <v>47.77427109058333</v>
      </c>
      <c r="J1514" s="5" t="n">
        <v>49.69591740178333</v>
      </c>
      <c r="K1514" s="5" t="n">
        <v>63</v>
      </c>
    </row>
    <row r="1515">
      <c r="A1515" s="2" t="n">
        <v>46160.5</v>
      </c>
      <c r="B1515">
        <f>TEXT(A1515,"yyyy-mm")</f>
        <v/>
      </c>
      <c r="C1515" s="3">
        <f>HOUR(A1515)</f>
        <v/>
      </c>
      <c r="D1515" s="4" t="n">
        <v>25.57639055211945</v>
      </c>
      <c r="E1515" s="4" t="n">
        <v>26.13822911019444</v>
      </c>
      <c r="F1515" s="4" t="n">
        <v>26.25443093537778</v>
      </c>
      <c r="G1515" s="4" t="n">
        <v>22.6</v>
      </c>
      <c r="H1515" s="5" t="n">
        <v>48.91435038823334</v>
      </c>
      <c r="I1515" s="5" t="n">
        <v>48.28777533590556</v>
      </c>
      <c r="J1515" s="5" t="n">
        <v>49.72738997674444</v>
      </c>
      <c r="K1515" s="5" t="n">
        <v>63</v>
      </c>
    </row>
    <row r="1516">
      <c r="A1516" s="2" t="n">
        <v>46160.54166666666</v>
      </c>
      <c r="B1516">
        <f>TEXT(A1516,"yyyy-mm")</f>
        <v/>
      </c>
      <c r="C1516" s="3">
        <f>HOUR(A1516)</f>
        <v/>
      </c>
      <c r="D1516" s="4" t="n">
        <v>25.80235982861944</v>
      </c>
      <c r="E1516" s="4" t="n">
        <v>26.17570142633889</v>
      </c>
      <c r="F1516" s="4" t="n">
        <v>26.28151789710833</v>
      </c>
      <c r="G1516" s="4" t="n">
        <v>23.5</v>
      </c>
      <c r="H1516" s="5" t="n">
        <v>49.22269528551112</v>
      </c>
      <c r="I1516" s="5" t="n">
        <v>48.36954267985833</v>
      </c>
      <c r="J1516" s="5" t="n">
        <v>49.819860815175</v>
      </c>
      <c r="K1516" s="5" t="n">
        <v>62</v>
      </c>
    </row>
    <row r="1517">
      <c r="A1517" s="2" t="n">
        <v>46160.58333333334</v>
      </c>
      <c r="B1517">
        <f>TEXT(A1517,"yyyy-mm")</f>
        <v/>
      </c>
      <c r="C1517" s="3">
        <f>HOUR(A1517)</f>
        <v/>
      </c>
      <c r="D1517" s="4" t="n">
        <v>25.98224875230833</v>
      </c>
      <c r="E1517" s="4" t="n">
        <v>26.16607161721944</v>
      </c>
      <c r="F1517" s="4" t="n">
        <v>26.31284671908334</v>
      </c>
      <c r="G1517" s="4" t="n">
        <v>24.5</v>
      </c>
      <c r="H1517" s="5" t="n">
        <v>48.18435442417223</v>
      </c>
      <c r="I1517" s="5" t="n">
        <v>48.345568847425</v>
      </c>
      <c r="J1517" s="5" t="n">
        <v>49.86196873230833</v>
      </c>
      <c r="K1517" s="5" t="n">
        <v>60</v>
      </c>
    </row>
    <row r="1518">
      <c r="A1518" s="2" t="n">
        <v>46160.625</v>
      </c>
      <c r="B1518">
        <f>TEXT(A1518,"yyyy-mm")</f>
        <v/>
      </c>
      <c r="C1518" s="3">
        <f>HOUR(A1518)</f>
        <v/>
      </c>
      <c r="D1518" s="4" t="n">
        <v>26.06566893537222</v>
      </c>
      <c r="E1518" s="4" t="n">
        <v>26.22717157581112</v>
      </c>
      <c r="F1518" s="4" t="n">
        <v>26.33327512008611</v>
      </c>
      <c r="G1518" s="4" t="n">
        <v>25.9</v>
      </c>
      <c r="H1518" s="5" t="n">
        <v>45.34035443257222</v>
      </c>
      <c r="I1518" s="5" t="n">
        <v>45.87112601989723</v>
      </c>
      <c r="J1518" s="5" t="n">
        <v>49.71444612756945</v>
      </c>
      <c r="K1518" s="5" t="n">
        <v>46</v>
      </c>
    </row>
    <row r="1519">
      <c r="A1519" s="2" t="n">
        <v>46160.66666666666</v>
      </c>
      <c r="B1519">
        <f>TEXT(A1519,"yyyy-mm")</f>
        <v/>
      </c>
      <c r="C1519" s="3">
        <f>HOUR(A1519)</f>
        <v/>
      </c>
      <c r="D1519" s="4" t="n">
        <v>26.03908029299722</v>
      </c>
      <c r="E1519" s="4" t="n">
        <v>26.15617749276666</v>
      </c>
      <c r="F1519" s="4" t="n">
        <v>26.34657391163056</v>
      </c>
      <c r="G1519" s="4" t="n">
        <v>25.6</v>
      </c>
      <c r="H1519" s="5" t="n">
        <v>45.14187941502777</v>
      </c>
      <c r="I1519" s="5" t="n">
        <v>46.55438874571389</v>
      </c>
      <c r="J1519" s="5" t="n">
        <v>49.62961335479444</v>
      </c>
      <c r="K1519" s="5" t="n">
        <v>50</v>
      </c>
    </row>
    <row r="1520">
      <c r="A1520" s="2" t="n">
        <v>46160.70833333334</v>
      </c>
      <c r="B1520">
        <f>TEXT(A1520,"yyyy-mm")</f>
        <v/>
      </c>
      <c r="C1520" s="3">
        <f>HOUR(A1520)</f>
        <v/>
      </c>
      <c r="D1520" s="4" t="n">
        <v>26.04848903734722</v>
      </c>
      <c r="E1520" s="4" t="n">
        <v>26.19202566581389</v>
      </c>
      <c r="F1520" s="4" t="n">
        <v>26.36085871411389</v>
      </c>
      <c r="G1520" s="4" t="n">
        <v>23.8</v>
      </c>
      <c r="H1520" s="5" t="n">
        <v>47.77922542261667</v>
      </c>
      <c r="I1520" s="5" t="n">
        <v>47.84274483923611</v>
      </c>
      <c r="J1520" s="5" t="n">
        <v>49.60806711939723</v>
      </c>
      <c r="K1520" s="5" t="n">
        <v>65</v>
      </c>
    </row>
    <row r="1521">
      <c r="A1521" s="2" t="n">
        <v>46160.75</v>
      </c>
      <c r="B1521">
        <f>TEXT(A1521,"yyyy-mm")</f>
        <v/>
      </c>
      <c r="C1521" s="3">
        <f>HOUR(A1521)</f>
        <v/>
      </c>
      <c r="D1521" s="4" t="n">
        <v>26.03382632548612</v>
      </c>
      <c r="E1521" s="4" t="n">
        <v>26.36050098400278</v>
      </c>
      <c r="F1521" s="4" t="n">
        <v>26.37621782435833</v>
      </c>
      <c r="G1521" s="4" t="n">
        <v>22.6</v>
      </c>
      <c r="H1521" s="5" t="n">
        <v>48.18967272639722</v>
      </c>
      <c r="I1521" s="5" t="n">
        <v>48.65078313324722</v>
      </c>
      <c r="J1521" s="5" t="n">
        <v>49.76989312908611</v>
      </c>
      <c r="K1521" s="5" t="n">
        <v>68</v>
      </c>
    </row>
    <row r="1522">
      <c r="A1522" s="2" t="n">
        <v>46160.79166666666</v>
      </c>
      <c r="B1522">
        <f>TEXT(A1522,"yyyy-mm")</f>
        <v/>
      </c>
      <c r="C1522" s="3">
        <f>HOUR(A1522)</f>
        <v/>
      </c>
      <c r="D1522" s="4" t="n">
        <v>25.94224971159722</v>
      </c>
      <c r="E1522" s="4" t="n">
        <v>26.60818715808334</v>
      </c>
      <c r="F1522" s="4" t="n">
        <v>26.39788095691112</v>
      </c>
      <c r="G1522" s="4" t="n">
        <v>21.8</v>
      </c>
      <c r="H1522" s="5" t="n">
        <v>49.31032325266667</v>
      </c>
      <c r="I1522" s="5" t="n">
        <v>48.7355317438</v>
      </c>
      <c r="J1522" s="5" t="n">
        <v>49.95934793307222</v>
      </c>
      <c r="K1522" s="5" t="n">
        <v>73</v>
      </c>
    </row>
    <row r="1523">
      <c r="A1523" s="2" t="n">
        <v>46160.83333333334</v>
      </c>
      <c r="B1523">
        <f>TEXT(A1523,"yyyy-mm")</f>
        <v/>
      </c>
      <c r="C1523" s="3">
        <f>HOUR(A1523)</f>
        <v/>
      </c>
      <c r="D1523" s="4" t="n">
        <v>25.76399905536111</v>
      </c>
      <c r="E1523" s="4" t="n">
        <v>26.48335441821389</v>
      </c>
      <c r="F1523" s="4" t="n">
        <v>26.43475600854722</v>
      </c>
      <c r="G1523" s="4" t="n">
        <v>20.3</v>
      </c>
      <c r="H1523" s="5" t="n">
        <v>49.57143820609166</v>
      </c>
      <c r="I1523" s="5" t="n">
        <v>50.733566660125</v>
      </c>
      <c r="J1523" s="5" t="n">
        <v>50.1510791451</v>
      </c>
      <c r="K1523" s="5" t="n">
        <v>80</v>
      </c>
    </row>
    <row r="1524">
      <c r="A1524" s="2" t="n">
        <v>46160.875</v>
      </c>
      <c r="B1524">
        <f>TEXT(A1524,"yyyy-mm")</f>
        <v/>
      </c>
      <c r="C1524" s="3">
        <f>HOUR(A1524)</f>
        <v/>
      </c>
      <c r="D1524" s="4" t="n">
        <v>25.44724965526666</v>
      </c>
      <c r="E1524" s="4" t="n">
        <v>26.16250838100555</v>
      </c>
      <c r="F1524" s="4" t="n">
        <v>26.44839264031389</v>
      </c>
      <c r="G1524" s="4" t="n">
        <v>19.1</v>
      </c>
      <c r="H1524" s="5" t="n">
        <v>51.17532627344445</v>
      </c>
      <c r="I1524" s="5" t="n">
        <v>52.09799120598888</v>
      </c>
      <c r="J1524" s="5" t="n">
        <v>50.57701806927778</v>
      </c>
      <c r="K1524" s="5" t="n">
        <v>78</v>
      </c>
    </row>
    <row r="1525">
      <c r="A1525" s="2" t="n">
        <v>46160.91666666666</v>
      </c>
      <c r="B1525">
        <f>TEXT(A1525,"yyyy-mm")</f>
        <v/>
      </c>
      <c r="C1525" s="3">
        <f>HOUR(A1525)</f>
        <v/>
      </c>
      <c r="D1525" s="4" t="n">
        <v>24.82082056463611</v>
      </c>
      <c r="E1525" s="4" t="n">
        <v>25.93034546908056</v>
      </c>
      <c r="F1525" s="4" t="n">
        <v>26.43110308439167</v>
      </c>
      <c r="G1525" s="4" t="n">
        <v>18.4</v>
      </c>
      <c r="H1525" s="5" t="n">
        <v>54.01528730367222</v>
      </c>
      <c r="I1525" s="5" t="n">
        <v>53.49531591556666</v>
      </c>
      <c r="J1525" s="5" t="n">
        <v>52.17883802142222</v>
      </c>
      <c r="K1525" s="5" t="n">
        <v>79</v>
      </c>
    </row>
    <row r="1526">
      <c r="A1526" s="2" t="n">
        <v>46160.95833333334</v>
      </c>
      <c r="B1526">
        <f>TEXT(A1526,"yyyy-mm")</f>
        <v/>
      </c>
      <c r="C1526" s="3">
        <f>HOUR(A1526)</f>
        <v/>
      </c>
      <c r="D1526" s="4" t="n">
        <v>24.53752735244722</v>
      </c>
      <c r="E1526" s="4" t="n">
        <v>26.16088015772222</v>
      </c>
      <c r="F1526" s="4" t="n">
        <v>26.14621931879167</v>
      </c>
      <c r="G1526" s="4" t="n">
        <v>18</v>
      </c>
      <c r="H1526" s="5" t="n">
        <v>55.64667767278056</v>
      </c>
      <c r="I1526" s="5" t="n">
        <v>53.81824812221388</v>
      </c>
      <c r="J1526" s="5" t="n">
        <v>61.493515057775</v>
      </c>
      <c r="K1526" s="5" t="n">
        <v>80</v>
      </c>
    </row>
    <row r="1527">
      <c r="A1527" s="2" t="n">
        <v>46161</v>
      </c>
      <c r="B1527">
        <f>TEXT(A1527,"yyyy-mm")</f>
        <v/>
      </c>
      <c r="C1527" s="3">
        <f>HOUR(A1527)</f>
        <v/>
      </c>
      <c r="D1527" s="4" t="n">
        <v>24.52311345206389</v>
      </c>
      <c r="E1527" s="4" t="n">
        <v>26.23455464599722</v>
      </c>
      <c r="F1527" s="4" t="n">
        <v>26.12195777134166</v>
      </c>
      <c r="G1527" s="4" t="n">
        <v>17.2</v>
      </c>
      <c r="H1527" s="5" t="n">
        <v>55.61937625505556</v>
      </c>
      <c r="I1527" s="5" t="n">
        <v>53.60572253295834</v>
      </c>
      <c r="J1527" s="5" t="n">
        <v>60.64038993678611</v>
      </c>
      <c r="K1527" s="5" t="n">
        <v>84</v>
      </c>
    </row>
    <row r="1528">
      <c r="A1528" s="2" t="n">
        <v>46161.04166666666</v>
      </c>
      <c r="B1528">
        <f>TEXT(A1528,"yyyy-mm")</f>
        <v/>
      </c>
      <c r="C1528" s="3">
        <f>HOUR(A1528)</f>
        <v/>
      </c>
      <c r="D1528" s="4" t="n">
        <v>24.411085729625</v>
      </c>
      <c r="E1528" s="4" t="n">
        <v>26.03868906645556</v>
      </c>
      <c r="F1528" s="4" t="n">
        <v>26.29048276723889</v>
      </c>
      <c r="G1528" s="4" t="n">
        <v>16.5</v>
      </c>
      <c r="H1528" s="5" t="n">
        <v>54.29226283533611</v>
      </c>
      <c r="I1528" s="5" t="n">
        <v>52.62326840501945</v>
      </c>
      <c r="J1528" s="5" t="n">
        <v>56.84781118803334</v>
      </c>
      <c r="K1528" s="5" t="n">
        <v>87</v>
      </c>
    </row>
    <row r="1529">
      <c r="A1529" s="2" t="n">
        <v>46161.08333333334</v>
      </c>
      <c r="B1529">
        <f>TEXT(A1529,"yyyy-mm")</f>
        <v/>
      </c>
      <c r="C1529" s="3">
        <f>HOUR(A1529)</f>
        <v/>
      </c>
      <c r="D1529" s="4" t="n">
        <v>24.45345104443055</v>
      </c>
      <c r="E1529" s="4" t="n">
        <v>26.01339498635833</v>
      </c>
      <c r="F1529" s="4" t="n">
        <v>25.99833085383333</v>
      </c>
      <c r="G1529" s="4" t="n">
        <v>16</v>
      </c>
      <c r="H1529" s="5" t="n">
        <v>51.78876303691388</v>
      </c>
      <c r="I1529" s="5" t="n">
        <v>50.58388797330278</v>
      </c>
      <c r="J1529" s="5" t="n">
        <v>60.13262422239444</v>
      </c>
      <c r="K1529" s="5" t="n">
        <v>88</v>
      </c>
    </row>
    <row r="1530">
      <c r="A1530" s="2" t="n">
        <v>46161.125</v>
      </c>
      <c r="B1530">
        <f>TEXT(A1530,"yyyy-mm")</f>
        <v/>
      </c>
      <c r="C1530" s="3">
        <f>HOUR(A1530)</f>
        <v/>
      </c>
      <c r="D1530" s="4" t="n">
        <v>24.45432446125833</v>
      </c>
      <c r="E1530" s="4" t="n">
        <v>25.96571841006945</v>
      </c>
      <c r="F1530" s="4" t="n">
        <v>25.83618776733056</v>
      </c>
      <c r="G1530" s="4" t="n">
        <v>16.6</v>
      </c>
      <c r="H1530" s="5" t="n">
        <v>49.7161008234111</v>
      </c>
      <c r="I1530" s="5" t="n">
        <v>48.62672643420555</v>
      </c>
      <c r="J1530" s="5" t="n">
        <v>58.92018500300557</v>
      </c>
      <c r="K1530" s="5" t="n">
        <v>84</v>
      </c>
    </row>
    <row r="1531">
      <c r="A1531" s="2" t="n">
        <v>46161.16666666666</v>
      </c>
      <c r="B1531">
        <f>TEXT(A1531,"yyyy-mm")</f>
        <v/>
      </c>
      <c r="C1531" s="3">
        <f>HOUR(A1531)</f>
        <v/>
      </c>
      <c r="D1531" s="4" t="n">
        <v>24.20683599454167</v>
      </c>
      <c r="E1531" s="4" t="n">
        <v>25.59222710346944</v>
      </c>
      <c r="F1531" s="4" t="n">
        <v>25.96657050584166</v>
      </c>
      <c r="G1531" s="4" t="n">
        <v>16.3</v>
      </c>
      <c r="H1531" s="5" t="n">
        <v>48.5054324601</v>
      </c>
      <c r="I1531" s="5" t="n">
        <v>47.94561855886111</v>
      </c>
      <c r="J1531" s="5" t="n">
        <v>56.42467819083611</v>
      </c>
      <c r="K1531" s="5" t="n">
        <v>79</v>
      </c>
    </row>
    <row r="1532">
      <c r="A1532" s="2" t="n">
        <v>46161.20833333334</v>
      </c>
      <c r="B1532">
        <f>TEXT(A1532,"yyyy-mm")</f>
        <v/>
      </c>
      <c r="C1532" s="3">
        <f>HOUR(A1532)</f>
        <v/>
      </c>
      <c r="D1532" s="4" t="n">
        <v>24.50692294728889</v>
      </c>
      <c r="E1532" s="4" t="n">
        <v>25.02752240248056</v>
      </c>
      <c r="F1532" s="4" t="n">
        <v>26.11214936735277</v>
      </c>
      <c r="G1532" s="4" t="n">
        <v>16.2</v>
      </c>
      <c r="H1532" s="5" t="n">
        <v>42.55436275819444</v>
      </c>
      <c r="I1532" s="5" t="n">
        <v>42.99610752304722</v>
      </c>
      <c r="J1532" s="5" t="n">
        <v>54.097798857925</v>
      </c>
      <c r="K1532" s="5" t="n">
        <v>76</v>
      </c>
    </row>
    <row r="1533">
      <c r="A1533" s="2" t="n">
        <v>46161.25</v>
      </c>
      <c r="B1533">
        <f>TEXT(A1533,"yyyy-mm")</f>
        <v/>
      </c>
      <c r="C1533" s="3">
        <f>HOUR(A1533)</f>
        <v/>
      </c>
      <c r="D1533" s="4" t="n">
        <v>25.18479254028611</v>
      </c>
      <c r="E1533" s="4" t="n">
        <v>25.03372672991389</v>
      </c>
      <c r="F1533" s="4" t="n">
        <v>26.12986538054722</v>
      </c>
      <c r="G1533" s="4" t="n">
        <v>17.1</v>
      </c>
      <c r="H1533" s="5" t="n">
        <v>37.99284922551112</v>
      </c>
      <c r="I1533" s="5" t="n">
        <v>38.98463779385556</v>
      </c>
      <c r="J1533" s="5" t="n">
        <v>52.82759808345</v>
      </c>
      <c r="K1533" s="5" t="n">
        <v>71</v>
      </c>
    </row>
    <row r="1534">
      <c r="A1534" s="2" t="n">
        <v>46161.29166666666</v>
      </c>
      <c r="B1534">
        <f>TEXT(A1534,"yyyy-mm")</f>
        <v/>
      </c>
      <c r="C1534" s="3">
        <f>HOUR(A1534)</f>
        <v/>
      </c>
      <c r="D1534" s="4" t="n">
        <v>25.77021977012778</v>
      </c>
      <c r="E1534" s="4" t="n">
        <v>25.44215087653333</v>
      </c>
      <c r="F1534" s="4" t="n">
        <v>26.14065401506944</v>
      </c>
      <c r="G1534" s="4" t="n">
        <v>18.9</v>
      </c>
      <c r="H1534" s="5" t="n">
        <v>36.37156663750556</v>
      </c>
      <c r="I1534" s="5" t="n">
        <v>36.94715101371112</v>
      </c>
      <c r="J1534" s="5" t="n">
        <v>51.66983677685555</v>
      </c>
      <c r="K1534" s="5" t="n">
        <v>63</v>
      </c>
    </row>
    <row r="1535">
      <c r="A1535" s="2" t="n">
        <v>46161.33333333334</v>
      </c>
      <c r="B1535">
        <f>TEXT(A1535,"yyyy-mm")</f>
        <v/>
      </c>
      <c r="C1535" s="3">
        <f>HOUR(A1535)</f>
        <v/>
      </c>
      <c r="D1535" s="4" t="n">
        <v>26.22268183973611</v>
      </c>
      <c r="E1535" s="4" t="n">
        <v>25.94155600831944</v>
      </c>
      <c r="F1535" s="4" t="n">
        <v>26.17309031131389</v>
      </c>
      <c r="G1535" s="4" t="n">
        <v>21.2</v>
      </c>
      <c r="H1535" s="5" t="n">
        <v>35.55283183971389</v>
      </c>
      <c r="I1535" s="5" t="n">
        <v>35.86168836944167</v>
      </c>
      <c r="J1535" s="5" t="n">
        <v>50.83900045333611</v>
      </c>
      <c r="K1535" s="5" t="n">
        <v>54</v>
      </c>
    </row>
    <row r="1536">
      <c r="A1536" s="2" t="n">
        <v>46161.375</v>
      </c>
      <c r="B1536">
        <f>TEXT(A1536,"yyyy-mm")</f>
        <v/>
      </c>
      <c r="C1536" s="3">
        <f>HOUR(A1536)</f>
        <v/>
      </c>
      <c r="D1536" s="4" t="n">
        <v>26.6031109763</v>
      </c>
      <c r="E1536" s="4" t="n">
        <v>26.468504915325</v>
      </c>
      <c r="F1536" s="4" t="n">
        <v>26.22517552758056</v>
      </c>
      <c r="G1536" s="4" t="n">
        <v>24.6</v>
      </c>
      <c r="H1536" s="5" t="n">
        <v>35.98395714358889</v>
      </c>
      <c r="I1536" s="5" t="n">
        <v>36.48323581811666</v>
      </c>
      <c r="J1536" s="5" t="n">
        <v>50.40944277011667</v>
      </c>
      <c r="K1536" s="5" t="n">
        <v>42</v>
      </c>
    </row>
    <row r="1537">
      <c r="A1537" s="2" t="n">
        <v>46161.41666666666</v>
      </c>
      <c r="B1537">
        <f>TEXT(A1537,"yyyy-mm")</f>
        <v/>
      </c>
      <c r="C1537" s="3">
        <f>HOUR(A1537)</f>
        <v/>
      </c>
      <c r="D1537" s="4" t="n">
        <v>26.83692704855833</v>
      </c>
      <c r="E1537" s="4" t="n">
        <v>26.83710736329722</v>
      </c>
      <c r="F1537" s="4" t="n">
        <v>26.28228082501112</v>
      </c>
      <c r="G1537" s="4" t="n">
        <v>26.4</v>
      </c>
      <c r="H1537" s="5" t="n">
        <v>35.60143728616111</v>
      </c>
      <c r="I1537" s="5" t="n">
        <v>36.65183030566389</v>
      </c>
      <c r="J1537" s="5" t="n">
        <v>50.05183183243056</v>
      </c>
      <c r="K1537" s="5" t="n">
        <v>37</v>
      </c>
    </row>
    <row r="1538">
      <c r="A1538" s="2" t="n">
        <v>46161.45833333334</v>
      </c>
      <c r="B1538">
        <f>TEXT(A1538,"yyyy-mm")</f>
        <v/>
      </c>
      <c r="C1538" s="3">
        <f>HOUR(A1538)</f>
        <v/>
      </c>
      <c r="D1538" s="4" t="n">
        <v>27.06728935790278</v>
      </c>
      <c r="E1538" s="4" t="n">
        <v>27.26780988398611</v>
      </c>
      <c r="F1538" s="4" t="n">
        <v>26.33806228654444</v>
      </c>
      <c r="G1538" s="4" t="n">
        <v>27.9</v>
      </c>
      <c r="H1538" s="5" t="n">
        <v>33.87459393422778</v>
      </c>
      <c r="I1538" s="5" t="n">
        <v>35.03709422975833</v>
      </c>
      <c r="J1538" s="5" t="n">
        <v>49.69274874079445</v>
      </c>
      <c r="K1538" s="5" t="n">
        <v>34</v>
      </c>
    </row>
    <row r="1539">
      <c r="A1539" s="2" t="n">
        <v>46161.5</v>
      </c>
      <c r="B1539">
        <f>TEXT(A1539,"yyyy-mm")</f>
        <v/>
      </c>
      <c r="C1539" s="3">
        <f>HOUR(A1539)</f>
        <v/>
      </c>
      <c r="D1539" s="4" t="n">
        <v>27.21360376768333</v>
      </c>
      <c r="E1539" s="4" t="n">
        <v>27.23676714594167</v>
      </c>
      <c r="F1539" s="4" t="n">
        <v>26.38120571007222</v>
      </c>
      <c r="G1539" s="4" t="n">
        <v>29</v>
      </c>
      <c r="H1539" s="5" t="n">
        <v>30.47465466217222</v>
      </c>
      <c r="I1539" s="5" t="n">
        <v>32.92893020118611</v>
      </c>
      <c r="J1539" s="5" t="n">
        <v>48.50773485105555</v>
      </c>
      <c r="K1539" s="5" t="n">
        <v>32</v>
      </c>
    </row>
    <row r="1540">
      <c r="A1540" s="2" t="n">
        <v>46161.54166666666</v>
      </c>
      <c r="B1540">
        <f>TEXT(A1540,"yyyy-mm")</f>
        <v/>
      </c>
      <c r="C1540" s="3">
        <f>HOUR(A1540)</f>
        <v/>
      </c>
      <c r="D1540" s="4" t="n">
        <v>27.24202729285278</v>
      </c>
      <c r="E1540" s="4" t="n">
        <v>27.25595861406389</v>
      </c>
      <c r="F1540" s="4" t="n">
        <v>26.40785012098611</v>
      </c>
      <c r="G1540" s="4" t="n">
        <v>28.9</v>
      </c>
      <c r="H1540" s="5" t="n">
        <v>29.45945315244166</v>
      </c>
      <c r="I1540" s="5" t="n">
        <v>31.77131170590556</v>
      </c>
      <c r="J1540" s="5" t="n">
        <v>47.66102296109167</v>
      </c>
      <c r="K1540" s="5" t="n">
        <v>32</v>
      </c>
    </row>
    <row r="1541">
      <c r="A1541" s="2" t="n">
        <v>46161.58333333334</v>
      </c>
      <c r="B1541">
        <f>TEXT(A1541,"yyyy-mm")</f>
        <v/>
      </c>
      <c r="C1541" s="3">
        <f>HOUR(A1541)</f>
        <v/>
      </c>
      <c r="D1541" s="4" t="n">
        <v>27.3252731124</v>
      </c>
      <c r="E1541" s="4" t="n">
        <v>27.45840174970833</v>
      </c>
      <c r="F1541" s="4" t="n">
        <v>26.48628810236944</v>
      </c>
      <c r="G1541" s="4" t="n">
        <v>26.8</v>
      </c>
      <c r="H1541" s="5" t="n">
        <v>29.79492318666667</v>
      </c>
      <c r="I1541" s="5" t="n">
        <v>31.45034401746667</v>
      </c>
      <c r="J1541" s="5" t="n">
        <v>47.26377450861944</v>
      </c>
      <c r="K1541" s="5" t="n">
        <v>39</v>
      </c>
    </row>
    <row r="1542">
      <c r="A1542" s="2" t="n">
        <v>46161.625</v>
      </c>
      <c r="B1542">
        <f>TEXT(A1542,"yyyy-mm")</f>
        <v/>
      </c>
      <c r="C1542" s="3">
        <f>HOUR(A1542)</f>
        <v/>
      </c>
      <c r="D1542" s="4" t="n">
        <v>27.00526705723889</v>
      </c>
      <c r="E1542" s="4" t="n">
        <v>27.42314672735833</v>
      </c>
      <c r="F1542" s="4" t="n">
        <v>26.61441573957778</v>
      </c>
      <c r="G1542" s="4" t="n">
        <v>29.5</v>
      </c>
      <c r="H1542" s="5" t="n">
        <v>29.71040080068612</v>
      </c>
      <c r="I1542" s="5" t="n">
        <v>31.14118047296944</v>
      </c>
      <c r="J1542" s="5" t="n">
        <v>46.38209662167778</v>
      </c>
      <c r="K1542" s="5" t="n">
        <v>21</v>
      </c>
    </row>
    <row r="1543">
      <c r="A1543" s="2" t="n">
        <v>46161.66666666666</v>
      </c>
      <c r="B1543">
        <f>TEXT(A1543,"yyyy-mm")</f>
        <v/>
      </c>
      <c r="C1543" s="3">
        <f>HOUR(A1543)</f>
        <v/>
      </c>
      <c r="D1543" s="4" t="n">
        <v>24.74607720406667</v>
      </c>
      <c r="E1543" s="4" t="n">
        <v>27.04274035506389</v>
      </c>
      <c r="F1543" s="4" t="n">
        <v>26.688613322975</v>
      </c>
      <c r="G1543" s="4" t="n">
        <v>28.4</v>
      </c>
      <c r="H1543" s="5" t="n">
        <v>31.44395640893056</v>
      </c>
      <c r="I1543" s="5" t="n">
        <v>31.25738833966111</v>
      </c>
      <c r="J1543" s="5" t="n">
        <v>45.84272725786667</v>
      </c>
      <c r="K1543" s="5" t="n">
        <v>25</v>
      </c>
    </row>
    <row r="1544">
      <c r="A1544" s="2" t="n">
        <v>46161.70833333334</v>
      </c>
      <c r="B1544">
        <f>TEXT(A1544,"yyyy-mm")</f>
        <v/>
      </c>
      <c r="C1544" s="3">
        <f>HOUR(A1544)</f>
        <v/>
      </c>
      <c r="D1544" s="4" t="n">
        <v>25.39421804923333</v>
      </c>
      <c r="E1544" s="4" t="n">
        <v>26.88546548567777</v>
      </c>
      <c r="F1544" s="4" t="n">
        <v>26.66820259176945</v>
      </c>
      <c r="G1544" s="4" t="n">
        <v>26.2</v>
      </c>
      <c r="H1544" s="5" t="n">
        <v>35.66078395713611</v>
      </c>
      <c r="I1544" s="5" t="n">
        <v>33.21220143777778</v>
      </c>
      <c r="J1544" s="5" t="n">
        <v>45.88486115752222</v>
      </c>
      <c r="K1544" s="5" t="n">
        <v>33</v>
      </c>
    </row>
    <row r="1545">
      <c r="A1545" s="2" t="n">
        <v>46161.75</v>
      </c>
      <c r="B1545">
        <f>TEXT(A1545,"yyyy-mm")</f>
        <v/>
      </c>
      <c r="C1545" s="3">
        <f>HOUR(A1545)</f>
        <v/>
      </c>
      <c r="D1545" s="4" t="n">
        <v>25.810723442625</v>
      </c>
      <c r="E1545" s="4" t="n">
        <v>27.00896486262777</v>
      </c>
      <c r="F1545" s="4" t="n">
        <v>26.64000251769166</v>
      </c>
      <c r="G1545" s="4" t="n">
        <v>25.8</v>
      </c>
      <c r="H1545" s="5" t="n">
        <v>35.00380915430834</v>
      </c>
      <c r="I1545" s="5" t="n">
        <v>31.78909041172222</v>
      </c>
      <c r="J1545" s="5" t="n">
        <v>45.8757729311</v>
      </c>
      <c r="K1545" s="5" t="n">
        <v>37</v>
      </c>
    </row>
    <row r="1546">
      <c r="A1546" s="2" t="n">
        <v>46161.79166666666</v>
      </c>
      <c r="B1546">
        <f>TEXT(A1546,"yyyy-mm")</f>
        <v/>
      </c>
      <c r="C1546" s="3">
        <f>HOUR(A1546)</f>
        <v/>
      </c>
      <c r="D1546" s="4" t="n">
        <v>25.05933119451112</v>
      </c>
      <c r="E1546" s="4" t="n">
        <v>26.70976094618889</v>
      </c>
      <c r="F1546" s="4" t="n">
        <v>26.62692102238889</v>
      </c>
      <c r="G1546" s="4" t="n">
        <v>25.2</v>
      </c>
      <c r="H1546" s="5" t="n">
        <v>35.75667911207778</v>
      </c>
      <c r="I1546" s="5" t="n">
        <v>33.78155322126111</v>
      </c>
      <c r="J1546" s="5" t="n">
        <v>45.99501994784444</v>
      </c>
      <c r="K1546" s="5" t="n">
        <v>39</v>
      </c>
    </row>
    <row r="1547">
      <c r="A1547" s="2" t="n">
        <v>46161.83333333334</v>
      </c>
      <c r="B1547">
        <f>TEXT(A1547,"yyyy-mm")</f>
        <v/>
      </c>
      <c r="C1547" s="3">
        <f>HOUR(A1547)</f>
        <v/>
      </c>
      <c r="D1547" s="4" t="n">
        <v>26.47078333709722</v>
      </c>
      <c r="E1547" s="4" t="n">
        <v>27.02699571945556</v>
      </c>
      <c r="F1547" s="4" t="n">
        <v>26.64891456793056</v>
      </c>
      <c r="G1547" s="4" t="n">
        <v>23.9</v>
      </c>
      <c r="H1547" s="5" t="n">
        <v>36.45086945493333</v>
      </c>
      <c r="I1547" s="5" t="n">
        <v>37.72982791006945</v>
      </c>
      <c r="J1547" s="5" t="n">
        <v>46.38601192145278</v>
      </c>
      <c r="K1547" s="5" t="n">
        <v>46</v>
      </c>
    </row>
    <row r="1548">
      <c r="A1548" s="2" t="n">
        <v>46161.875</v>
      </c>
      <c r="B1548">
        <f>TEXT(A1548,"yyyy-mm")</f>
        <v/>
      </c>
      <c r="C1548" s="3">
        <f>HOUR(A1548)</f>
        <v/>
      </c>
      <c r="D1548" s="4" t="n">
        <v>25.705706220825</v>
      </c>
      <c r="E1548" s="4" t="n">
        <v>26.49428120664166</v>
      </c>
      <c r="F1548" s="4" t="n">
        <v>26.64758346859444</v>
      </c>
      <c r="G1548" s="4" t="n">
        <v>23.5</v>
      </c>
      <c r="H1548" s="5" t="n">
        <v>39.18115019312778</v>
      </c>
      <c r="I1548" s="5" t="n">
        <v>38.13281834731389</v>
      </c>
      <c r="J1548" s="5" t="n">
        <v>46.98869026670278</v>
      </c>
      <c r="K1548" s="5" t="n">
        <v>45</v>
      </c>
    </row>
    <row r="1549">
      <c r="A1549" s="2" t="n">
        <v>46161.91666666666</v>
      </c>
      <c r="B1549">
        <f>TEXT(A1549,"yyyy-mm")</f>
        <v/>
      </c>
      <c r="C1549" s="3">
        <f>HOUR(A1549)</f>
        <v/>
      </c>
      <c r="D1549" s="4" t="n">
        <v>25.56157985836667</v>
      </c>
      <c r="E1549" s="4" t="n">
        <v>26.35848832795556</v>
      </c>
      <c r="F1549" s="4" t="n">
        <v>26.63761074816389</v>
      </c>
      <c r="G1549" s="4" t="n">
        <v>22.6</v>
      </c>
      <c r="H1549" s="5" t="n">
        <v>43.57654775726112</v>
      </c>
      <c r="I1549" s="5" t="n">
        <v>39.95135640155278</v>
      </c>
      <c r="J1549" s="5" t="n">
        <v>47.14279368968332</v>
      </c>
      <c r="K1549" s="5" t="n">
        <v>47</v>
      </c>
    </row>
    <row r="1550">
      <c r="A1550" s="2" t="n">
        <v>46161.95833333334</v>
      </c>
      <c r="B1550">
        <f>TEXT(A1550,"yyyy-mm")</f>
        <v/>
      </c>
      <c r="C1550" s="3">
        <f>HOUR(A1550)</f>
        <v/>
      </c>
      <c r="D1550" s="4" t="n">
        <v>25.64110200377777</v>
      </c>
      <c r="E1550" s="4" t="n">
        <v>26.42239765386111</v>
      </c>
      <c r="F1550" s="4" t="n">
        <v>26.64671445885556</v>
      </c>
      <c r="G1550" s="4" t="n">
        <v>21.8</v>
      </c>
      <c r="H1550" s="5" t="n">
        <v>40.19218541820833</v>
      </c>
      <c r="I1550" s="5" t="n">
        <v>39.1706646661</v>
      </c>
      <c r="J1550" s="5" t="n">
        <v>47.42527153668889</v>
      </c>
      <c r="K1550" s="5" t="n">
        <v>51</v>
      </c>
    </row>
    <row r="1551">
      <c r="A1551" s="2" t="n">
        <v>46162</v>
      </c>
      <c r="B1551">
        <f>TEXT(A1551,"yyyy-mm")</f>
        <v/>
      </c>
      <c r="C1551" s="3">
        <f>HOUR(A1551)</f>
        <v/>
      </c>
      <c r="D1551" s="4" t="n">
        <v>26.47392594491111</v>
      </c>
      <c r="E1551" s="4" t="n">
        <v>26.66203756711666</v>
      </c>
      <c r="F1551" s="4" t="n">
        <v>26.66094053418334</v>
      </c>
      <c r="G1551" s="4" t="n">
        <v>21.1</v>
      </c>
      <c r="H1551" s="5" t="n">
        <v>37.54238493385</v>
      </c>
      <c r="I1551" s="5" t="n">
        <v>39.90304075065833</v>
      </c>
      <c r="J1551" s="5" t="n">
        <v>47.55067173233611</v>
      </c>
      <c r="K1551" s="5" t="n">
        <v>53</v>
      </c>
    </row>
    <row r="1552">
      <c r="A1552" s="2" t="n">
        <v>46162.04166666666</v>
      </c>
      <c r="B1552">
        <f>TEXT(A1552,"yyyy-mm")</f>
        <v/>
      </c>
      <c r="C1552" s="3">
        <f>HOUR(A1552)</f>
        <v/>
      </c>
      <c r="D1552" s="4" t="n">
        <v>26.56092961572222</v>
      </c>
      <c r="E1552" s="4" t="n">
        <v>26.79370943713333</v>
      </c>
      <c r="F1552" s="4" t="n">
        <v>26.67627800185</v>
      </c>
      <c r="G1552" s="4" t="n">
        <v>20.3</v>
      </c>
      <c r="H1552" s="5" t="n">
        <v>37.09494161449445</v>
      </c>
      <c r="I1552" s="5" t="n">
        <v>38.67868874254444</v>
      </c>
      <c r="J1552" s="5" t="n">
        <v>47.64661096165</v>
      </c>
      <c r="K1552" s="5" t="n">
        <v>56</v>
      </c>
    </row>
    <row r="1553">
      <c r="A1553" s="2" t="n">
        <v>46162.08333333334</v>
      </c>
      <c r="B1553">
        <f>TEXT(A1553,"yyyy-mm")</f>
        <v/>
      </c>
      <c r="C1553" s="3">
        <f>HOUR(A1553)</f>
        <v/>
      </c>
      <c r="D1553" s="4" t="n">
        <v>25.86011526745834</v>
      </c>
      <c r="E1553" s="4" t="n">
        <v>25.99889560473056</v>
      </c>
      <c r="F1553" s="4" t="n">
        <v>26.66025791084722</v>
      </c>
      <c r="G1553" s="4" t="n">
        <v>19.9</v>
      </c>
      <c r="H1553" s="5" t="n">
        <v>37.60987792221666</v>
      </c>
      <c r="I1553" s="5" t="n">
        <v>38.68975981181944</v>
      </c>
      <c r="J1553" s="5" t="n">
        <v>47.61952791786111</v>
      </c>
      <c r="K1553" s="5" t="n">
        <v>58</v>
      </c>
    </row>
    <row r="1554">
      <c r="A1554" s="2" t="n">
        <v>46162.125</v>
      </c>
      <c r="B1554">
        <f>TEXT(A1554,"yyyy-mm")</f>
        <v/>
      </c>
      <c r="C1554" s="3">
        <f>HOUR(A1554)</f>
        <v/>
      </c>
      <c r="D1554" s="4" t="n">
        <v>25.43601687100833</v>
      </c>
      <c r="E1554" s="4" t="n">
        <v>25.58851558153611</v>
      </c>
      <c r="F1554" s="4" t="n">
        <v>26.63948358399166</v>
      </c>
      <c r="G1554" s="4" t="n">
        <v>19.8</v>
      </c>
      <c r="H1554" s="5" t="n">
        <v>38.41619978873056</v>
      </c>
      <c r="I1554" s="5" t="n">
        <v>39.07854933722222</v>
      </c>
      <c r="J1554" s="5" t="n">
        <v>47.60859150738889</v>
      </c>
      <c r="K1554" s="5" t="n">
        <v>60</v>
      </c>
    </row>
    <row r="1555">
      <c r="A1555" s="2" t="n">
        <v>46162.16666666666</v>
      </c>
      <c r="B1555">
        <f>TEXT(A1555,"yyyy-mm")</f>
        <v/>
      </c>
      <c r="C1555" s="3">
        <f>HOUR(A1555)</f>
        <v/>
      </c>
      <c r="D1555" s="4" t="n">
        <v>25.09866961350833</v>
      </c>
      <c r="E1555" s="4" t="n">
        <v>25.16091100165</v>
      </c>
      <c r="F1555" s="4" t="n">
        <v>26.61201373783611</v>
      </c>
      <c r="G1555" s="4" t="n">
        <v>18.9</v>
      </c>
      <c r="H1555" s="5" t="n">
        <v>38.92344920871944</v>
      </c>
      <c r="I1555" s="5" t="n">
        <v>39.69232487305278</v>
      </c>
      <c r="J1555" s="5" t="n">
        <v>47.55963058466667</v>
      </c>
      <c r="K1555" s="5" t="n">
        <v>61</v>
      </c>
    </row>
    <row r="1556">
      <c r="A1556" s="2" t="n">
        <v>46162.20833333334</v>
      </c>
      <c r="B1556">
        <f>TEXT(A1556,"yyyy-mm")</f>
        <v/>
      </c>
      <c r="C1556" s="3">
        <f>HOUR(A1556)</f>
        <v/>
      </c>
      <c r="D1556" s="4" t="n">
        <v>24.96609273815555</v>
      </c>
      <c r="E1556" s="4" t="n">
        <v>25.00648020288333</v>
      </c>
      <c r="F1556" s="4" t="n">
        <v>26.58653205091666</v>
      </c>
      <c r="G1556" s="4" t="n">
        <v>18.6</v>
      </c>
      <c r="H1556" s="5" t="n">
        <v>39.42131717288611</v>
      </c>
      <c r="I1556" s="5" t="n">
        <v>40.18930398545277</v>
      </c>
      <c r="J1556" s="5" t="n">
        <v>47.55424662745833</v>
      </c>
      <c r="K1556" s="5" t="n">
        <v>60</v>
      </c>
    </row>
    <row r="1557">
      <c r="A1557" s="2" t="n">
        <v>46162.25</v>
      </c>
      <c r="B1557">
        <f>TEXT(A1557,"yyyy-mm")</f>
        <v/>
      </c>
      <c r="C1557" s="3">
        <f>HOUR(A1557)</f>
        <v/>
      </c>
      <c r="D1557" s="4" t="n">
        <v>25.19812594381111</v>
      </c>
      <c r="E1557" s="4" t="n">
        <v>24.99472858501944</v>
      </c>
      <c r="F1557" s="4" t="n">
        <v>26.58582809839167</v>
      </c>
      <c r="G1557" s="4" t="n">
        <v>19</v>
      </c>
      <c r="H1557" s="5" t="n">
        <v>39.50863164262778</v>
      </c>
      <c r="I1557" s="5" t="n">
        <v>40.71981242861944</v>
      </c>
      <c r="J1557" s="5" t="n">
        <v>47.56063915362778</v>
      </c>
      <c r="K1557" s="5" t="n">
        <v>59</v>
      </c>
    </row>
    <row r="1558">
      <c r="A1558" s="2" t="n">
        <v>46162.29166666666</v>
      </c>
      <c r="B1558">
        <f>TEXT(A1558,"yyyy-mm")</f>
        <v/>
      </c>
      <c r="C1558" s="3">
        <f>HOUR(A1558)</f>
        <v/>
      </c>
      <c r="D1558" s="4" t="n">
        <v>25.69375493992222</v>
      </c>
      <c r="E1558" s="4" t="n">
        <v>25.34484246826389</v>
      </c>
      <c r="F1558" s="4" t="n">
        <v>26.59999379790278</v>
      </c>
      <c r="G1558" s="4" t="n">
        <v>20.6</v>
      </c>
      <c r="H1558" s="5" t="n">
        <v>39.73858437005556</v>
      </c>
      <c r="I1558" s="5" t="n">
        <v>41.06438058975</v>
      </c>
      <c r="J1558" s="5" t="n">
        <v>47.55020566564167</v>
      </c>
      <c r="K1558" s="5" t="n">
        <v>53</v>
      </c>
    </row>
    <row r="1559">
      <c r="A1559" s="2" t="n">
        <v>46162.33333333334</v>
      </c>
      <c r="B1559">
        <f>TEXT(A1559,"yyyy-mm")</f>
        <v/>
      </c>
      <c r="C1559" s="3">
        <f>HOUR(A1559)</f>
        <v/>
      </c>
      <c r="D1559" s="4" t="n">
        <v>26.27625487695833</v>
      </c>
      <c r="E1559" s="4" t="n">
        <v>25.74691641104167</v>
      </c>
      <c r="F1559" s="4" t="n">
        <v>26.62529404198889</v>
      </c>
      <c r="G1559" s="4" t="n">
        <v>22.3</v>
      </c>
      <c r="H1559" s="5" t="n">
        <v>39.57175567578889</v>
      </c>
      <c r="I1559" s="5" t="n">
        <v>40.88164329295834</v>
      </c>
      <c r="J1559" s="5" t="n">
        <v>47.52155255653889</v>
      </c>
      <c r="K1559" s="5" t="n">
        <v>49</v>
      </c>
    </row>
    <row r="1560">
      <c r="A1560" s="2" t="n">
        <v>46162.375</v>
      </c>
      <c r="B1560">
        <f>TEXT(A1560,"yyyy-mm")</f>
        <v/>
      </c>
      <c r="C1560" s="3">
        <f>HOUR(A1560)</f>
        <v/>
      </c>
      <c r="D1560" s="4" t="n">
        <v>26.74549061480556</v>
      </c>
      <c r="E1560" s="4" t="n">
        <v>26.22752684919723</v>
      </c>
      <c r="F1560" s="4" t="n">
        <v>26.65376792973333</v>
      </c>
      <c r="G1560" s="4" t="n">
        <v>25</v>
      </c>
      <c r="H1560" s="5" t="n">
        <v>37.93283275574722</v>
      </c>
      <c r="I1560" s="5" t="n">
        <v>39.04622466461111</v>
      </c>
      <c r="J1560" s="5" t="n">
        <v>47.70296059879723</v>
      </c>
      <c r="K1560" s="5" t="n">
        <v>40</v>
      </c>
    </row>
    <row r="1561">
      <c r="A1561" s="2" t="n">
        <v>46162.41666666666</v>
      </c>
      <c r="B1561">
        <f>TEXT(A1561,"yyyy-mm")</f>
        <v/>
      </c>
      <c r="C1561" s="3">
        <f>HOUR(A1561)</f>
        <v/>
      </c>
      <c r="D1561" s="4" t="n">
        <v>27.07832215616111</v>
      </c>
      <c r="E1561" s="4" t="n">
        <v>26.73430864674444</v>
      </c>
      <c r="F1561" s="4" t="n">
        <v>26.69329101553889</v>
      </c>
      <c r="G1561" s="4" t="n">
        <v>26.2</v>
      </c>
      <c r="H1561" s="5" t="n">
        <v>36.31536947286111</v>
      </c>
      <c r="I1561" s="5" t="n">
        <v>37.70829010940278</v>
      </c>
      <c r="J1561" s="5" t="n">
        <v>47.82758369881111</v>
      </c>
      <c r="K1561" s="5" t="n">
        <v>37</v>
      </c>
    </row>
    <row r="1562">
      <c r="A1562" s="2" t="n">
        <v>46162.45833333334</v>
      </c>
      <c r="B1562">
        <f>TEXT(A1562,"yyyy-mm")</f>
        <v/>
      </c>
      <c r="C1562" s="3">
        <f>HOUR(A1562)</f>
        <v/>
      </c>
      <c r="D1562" s="4" t="n">
        <v>27.36355477401666</v>
      </c>
      <c r="E1562" s="4" t="n">
        <v>27.16668200569723</v>
      </c>
      <c r="F1562" s="4" t="n">
        <v>26.72323890720556</v>
      </c>
      <c r="G1562" s="4" t="n">
        <v>27.4</v>
      </c>
      <c r="H1562" s="5" t="n">
        <v>33.48811872654444</v>
      </c>
      <c r="I1562" s="5" t="n">
        <v>35.29565966811945</v>
      </c>
      <c r="J1562" s="5" t="n">
        <v>47.54342827122778</v>
      </c>
      <c r="K1562" s="5" t="n">
        <v>35</v>
      </c>
    </row>
    <row r="1563">
      <c r="A1563" s="2" t="n">
        <v>46162.5</v>
      </c>
      <c r="B1563">
        <f>TEXT(A1563,"yyyy-mm")</f>
        <v/>
      </c>
      <c r="C1563" s="3">
        <f>HOUR(A1563)</f>
        <v/>
      </c>
      <c r="D1563" s="4" t="n">
        <v>27.44197170051111</v>
      </c>
      <c r="E1563" s="4" t="n">
        <v>27.21028360133889</v>
      </c>
      <c r="F1563" s="4" t="n">
        <v>26.759157691925</v>
      </c>
      <c r="G1563" s="4" t="n">
        <v>27.9</v>
      </c>
      <c r="H1563" s="5" t="n">
        <v>33.55848083314167</v>
      </c>
      <c r="I1563" s="5" t="n">
        <v>35.30460438201945</v>
      </c>
      <c r="J1563" s="5" t="n">
        <v>47.38443745407778</v>
      </c>
      <c r="K1563" s="5" t="n">
        <v>33</v>
      </c>
    </row>
    <row r="1564">
      <c r="A1564" s="2" t="n">
        <v>46162.54166666666</v>
      </c>
      <c r="B1564">
        <f>TEXT(A1564,"yyyy-mm")</f>
        <v/>
      </c>
      <c r="C1564" s="3">
        <f>HOUR(A1564)</f>
        <v/>
      </c>
      <c r="D1564" s="4" t="n">
        <v>27.41733369903056</v>
      </c>
      <c r="E1564" s="4" t="n">
        <v>27.244849815275</v>
      </c>
      <c r="F1564" s="4" t="n">
        <v>26.78318008602222</v>
      </c>
      <c r="G1564" s="4" t="n">
        <v>28.5</v>
      </c>
      <c r="H1564" s="5" t="n">
        <v>32.06696424535556</v>
      </c>
      <c r="I1564" s="5" t="n">
        <v>34.47384061435</v>
      </c>
      <c r="J1564" s="5" t="n">
        <v>46.98066551195</v>
      </c>
      <c r="K1564" s="5" t="n">
        <v>33</v>
      </c>
    </row>
    <row r="1565">
      <c r="A1565" s="2" t="n">
        <v>46162.58333333334</v>
      </c>
      <c r="B1565">
        <f>TEXT(A1565,"yyyy-mm")</f>
        <v/>
      </c>
      <c r="C1565" s="3">
        <f>HOUR(A1565)</f>
        <v/>
      </c>
      <c r="D1565" s="4" t="n">
        <v>27.43314059057223</v>
      </c>
      <c r="E1565" s="4" t="n">
        <v>27.29948121881111</v>
      </c>
      <c r="F1565" s="4" t="n">
        <v>26.80385751999166</v>
      </c>
      <c r="G1565" s="4" t="n">
        <v>28.8</v>
      </c>
      <c r="H1565" s="5" t="n">
        <v>32.25282739645</v>
      </c>
      <c r="I1565" s="5" t="n">
        <v>34.54771973617778</v>
      </c>
      <c r="J1565" s="5" t="n">
        <v>46.75251270940277</v>
      </c>
      <c r="K1565" s="5" t="n">
        <v>32</v>
      </c>
    </row>
    <row r="1566">
      <c r="A1566" s="2" t="n">
        <v>46162.625</v>
      </c>
      <c r="B1566">
        <f>TEXT(A1566,"yyyy-mm")</f>
        <v/>
      </c>
      <c r="C1566" s="3">
        <f>HOUR(A1566)</f>
        <v/>
      </c>
      <c r="D1566" s="4" t="n">
        <v>27.44248317205833</v>
      </c>
      <c r="E1566" s="4" t="n">
        <v>27.28205097683056</v>
      </c>
      <c r="F1566" s="4" t="n">
        <v>26.82563185599444</v>
      </c>
      <c r="G1566" s="4" t="n">
        <v>27.3</v>
      </c>
      <c r="H1566" s="5" t="n">
        <v>31.81565725658889</v>
      </c>
      <c r="I1566" s="5" t="n">
        <v>34.23116375536389</v>
      </c>
      <c r="J1566" s="5" t="n">
        <v>46.5770612306</v>
      </c>
      <c r="K1566" s="5" t="n">
        <v>32</v>
      </c>
    </row>
    <row r="1567">
      <c r="A1567" s="2" t="n">
        <v>46162.66666666666</v>
      </c>
      <c r="B1567">
        <f>TEXT(A1567,"yyyy-mm")</f>
        <v/>
      </c>
      <c r="C1567" s="3">
        <f>HOUR(A1567)</f>
        <v/>
      </c>
      <c r="D1567" s="4" t="n">
        <v>27.56542767830556</v>
      </c>
      <c r="E1567" s="4" t="n">
        <v>27.30771477109444</v>
      </c>
      <c r="F1567" s="4" t="n">
        <v>26.84668047711389</v>
      </c>
      <c r="G1567" s="4" t="n">
        <v>27.1</v>
      </c>
      <c r="H1567" s="5" t="n">
        <v>31.307841821025</v>
      </c>
      <c r="I1567" s="5" t="n">
        <v>34.06679219708611</v>
      </c>
      <c r="J1567" s="5" t="n">
        <v>46.34437024007222</v>
      </c>
      <c r="K1567" s="5" t="n">
        <v>31</v>
      </c>
    </row>
    <row r="1568">
      <c r="A1568" s="2" t="n">
        <v>46162.70833333334</v>
      </c>
      <c r="B1568">
        <f>TEXT(A1568,"yyyy-mm")</f>
        <v/>
      </c>
      <c r="C1568" s="3">
        <f>HOUR(A1568)</f>
        <v/>
      </c>
      <c r="D1568" s="4" t="n">
        <v>27.62709665489444</v>
      </c>
      <c r="E1568" s="4" t="n">
        <v>27.86948934364722</v>
      </c>
      <c r="F1568" s="4" t="n">
        <v>26.88069141252222</v>
      </c>
      <c r="G1568" s="4" t="n">
        <v>26.6</v>
      </c>
      <c r="H1568" s="5" t="n">
        <v>30.97048281578612</v>
      </c>
      <c r="I1568" s="5" t="n">
        <v>34.16302088446667</v>
      </c>
      <c r="J1568" s="5" t="n">
        <v>46.39775514646944</v>
      </c>
      <c r="K1568" s="5" t="n">
        <v>33</v>
      </c>
    </row>
    <row r="1569">
      <c r="A1569" s="2" t="n">
        <v>46162.75</v>
      </c>
      <c r="B1569">
        <f>TEXT(A1569,"yyyy-mm")</f>
        <v/>
      </c>
      <c r="C1569" s="3">
        <f>HOUR(A1569)</f>
        <v/>
      </c>
      <c r="D1569" s="4" t="n">
        <v>27.25343384285833</v>
      </c>
      <c r="E1569" s="4" t="n">
        <v>27.56329770095833</v>
      </c>
      <c r="F1569" s="4" t="n">
        <v>26.90535383093611</v>
      </c>
      <c r="G1569" s="4" t="n">
        <v>26.7</v>
      </c>
      <c r="H1569" s="5" t="n">
        <v>32.84500857796667</v>
      </c>
      <c r="I1569" s="5" t="n">
        <v>34.05668063326667</v>
      </c>
      <c r="J1569" s="5" t="n">
        <v>46.25221203956389</v>
      </c>
      <c r="K1569" s="5" t="n">
        <v>36</v>
      </c>
    </row>
    <row r="1570">
      <c r="A1570" s="2" t="n">
        <v>46162.79166666666</v>
      </c>
      <c r="B1570">
        <f>TEXT(A1570,"yyyy-mm")</f>
        <v/>
      </c>
      <c r="C1570" s="3">
        <f>HOUR(A1570)</f>
        <v/>
      </c>
      <c r="D1570" s="4" t="n">
        <v>26.61954758943333</v>
      </c>
      <c r="E1570" s="4" t="n">
        <v>27.32986302428333</v>
      </c>
      <c r="F1570" s="4" t="n">
        <v>26.93531028284444</v>
      </c>
      <c r="G1570" s="4" t="n">
        <v>26.1</v>
      </c>
      <c r="H1570" s="5" t="n">
        <v>37.29169687177778</v>
      </c>
      <c r="I1570" s="5" t="n">
        <v>37.80184756145555</v>
      </c>
      <c r="J1570" s="5" t="n">
        <v>46.85367270948056</v>
      </c>
      <c r="K1570" s="5" t="n">
        <v>39</v>
      </c>
    </row>
    <row r="1571">
      <c r="A1571" s="2" t="n">
        <v>46162.83333333334</v>
      </c>
      <c r="B1571">
        <f>TEXT(A1571,"yyyy-mm")</f>
        <v/>
      </c>
      <c r="C1571" s="3">
        <f>HOUR(A1571)</f>
        <v/>
      </c>
      <c r="D1571" s="4" t="n">
        <v>26.78433730619444</v>
      </c>
      <c r="E1571" s="4" t="n">
        <v>27.35979412241944</v>
      </c>
      <c r="F1571" s="4" t="n">
        <v>26.96671912275833</v>
      </c>
      <c r="G1571" s="4" t="n">
        <v>25.1</v>
      </c>
      <c r="H1571" s="5" t="n">
        <v>37.48991003826666</v>
      </c>
      <c r="I1571" s="5" t="n">
        <v>37.72497337283611</v>
      </c>
      <c r="J1571" s="5" t="n">
        <v>47.33729756523334</v>
      </c>
      <c r="K1571" s="5" t="n">
        <v>45</v>
      </c>
    </row>
    <row r="1572">
      <c r="A1572" s="2" t="n">
        <v>46162.875</v>
      </c>
      <c r="B1572">
        <f>TEXT(A1572,"yyyy-mm")</f>
        <v/>
      </c>
      <c r="C1572" s="3">
        <f>HOUR(A1572)</f>
        <v/>
      </c>
      <c r="D1572" s="4" t="n">
        <v>26.25969487435556</v>
      </c>
      <c r="E1572" s="4" t="n">
        <v>27.53636177508333</v>
      </c>
      <c r="F1572" s="4" t="n">
        <v>26.98528972764722</v>
      </c>
      <c r="G1572" s="4" t="n">
        <v>24.4</v>
      </c>
      <c r="H1572" s="5" t="n">
        <v>38.06197355097778</v>
      </c>
      <c r="I1572" s="5" t="n">
        <v>38.26789577550833</v>
      </c>
      <c r="J1572" s="5" t="n">
        <v>47.66230983627778</v>
      </c>
      <c r="K1572" s="5" t="n">
        <v>47</v>
      </c>
    </row>
    <row r="1573">
      <c r="A1573" s="2" t="n">
        <v>46162.91666666666</v>
      </c>
      <c r="B1573">
        <f>TEXT(A1573,"yyyy-mm")</f>
        <v/>
      </c>
      <c r="C1573" s="3">
        <f>HOUR(A1573)</f>
        <v/>
      </c>
      <c r="D1573" s="4" t="n">
        <v>26.70878290786111</v>
      </c>
      <c r="E1573" s="4" t="n">
        <v>27.873591668025</v>
      </c>
      <c r="F1573" s="4" t="n">
        <v>27.017934263325</v>
      </c>
      <c r="G1573" s="4" t="n">
        <v>23.2</v>
      </c>
      <c r="H1573" s="5" t="n">
        <v>40.97266867476389</v>
      </c>
      <c r="I1573" s="5" t="n">
        <v>41.85323190491666</v>
      </c>
      <c r="J1573" s="5" t="n">
        <v>48.24370024276666</v>
      </c>
      <c r="K1573" s="5" t="n">
        <v>52</v>
      </c>
    </row>
    <row r="1574">
      <c r="A1574" s="2" t="n">
        <v>46162.95833333334</v>
      </c>
      <c r="B1574">
        <f>TEXT(A1574,"yyyy-mm")</f>
        <v/>
      </c>
      <c r="C1574" s="3">
        <f>HOUR(A1574)</f>
        <v/>
      </c>
      <c r="D1574" s="4" t="n">
        <v>26.50399334424722</v>
      </c>
      <c r="E1574" s="4" t="n">
        <v>27.58378107843333</v>
      </c>
      <c r="F1574" s="4" t="n">
        <v>27.04802441185</v>
      </c>
      <c r="G1574" s="4" t="n">
        <v>22.1</v>
      </c>
      <c r="H1574" s="5" t="n">
        <v>39.65972191288056</v>
      </c>
      <c r="I1574" s="5" t="n">
        <v>39.15310865696667</v>
      </c>
      <c r="J1574" s="5" t="n">
        <v>48.52923376021945</v>
      </c>
      <c r="K1574" s="5" t="n">
        <v>56</v>
      </c>
    </row>
    <row r="1575">
      <c r="A1575" s="2" t="n">
        <v>46163</v>
      </c>
      <c r="B1575">
        <f>TEXT(A1575,"yyyy-mm")</f>
        <v/>
      </c>
      <c r="C1575" s="3">
        <f>HOUR(A1575)</f>
        <v/>
      </c>
      <c r="D1575" s="4" t="n">
        <v>26.85335551468611</v>
      </c>
      <c r="E1575" s="4" t="n">
        <v>27.60200044376944</v>
      </c>
      <c r="F1575" s="4" t="n">
        <v>27.04388923096666</v>
      </c>
      <c r="G1575" s="4" t="n">
        <v>21.5</v>
      </c>
      <c r="H1575" s="5" t="n">
        <v>37.21563957366667</v>
      </c>
      <c r="I1575" s="5" t="n">
        <v>37.59414390441667</v>
      </c>
      <c r="J1575" s="5" t="n">
        <v>48.23305228324722</v>
      </c>
      <c r="K1575" s="5" t="n">
        <v>57</v>
      </c>
    </row>
    <row r="1576">
      <c r="A1576" s="2" t="n">
        <v>46163.04166666666</v>
      </c>
      <c r="B1576">
        <f>TEXT(A1576,"yyyy-mm")</f>
        <v/>
      </c>
      <c r="C1576" s="3">
        <f>HOUR(A1576)</f>
        <v/>
      </c>
      <c r="D1576" s="4" t="n">
        <v>24.45661419051111</v>
      </c>
      <c r="E1576" s="4" t="n">
        <v>26.37124237742778</v>
      </c>
      <c r="F1576" s="4" t="n">
        <v>27.0064430803</v>
      </c>
      <c r="G1576" s="4" t="n">
        <v>20.9</v>
      </c>
      <c r="H1576" s="5" t="n">
        <v>37.00938531568056</v>
      </c>
      <c r="I1576" s="5" t="n">
        <v>34.915030668375</v>
      </c>
      <c r="J1576" s="5" t="n">
        <v>47.71740060638889</v>
      </c>
      <c r="K1576" s="5" t="n">
        <v>59</v>
      </c>
    </row>
    <row r="1577">
      <c r="A1577" s="2" t="n">
        <v>46163.08333333334</v>
      </c>
      <c r="B1577">
        <f>TEXT(A1577,"yyyy-mm")</f>
        <v/>
      </c>
      <c r="C1577" s="3">
        <f>HOUR(A1577)</f>
        <v/>
      </c>
      <c r="D1577" s="4" t="n">
        <v>25.58409010063611</v>
      </c>
      <c r="E1577" s="4" t="n">
        <v>26.09621350580001</v>
      </c>
      <c r="F1577" s="4" t="n">
        <v>26.96006581224722</v>
      </c>
      <c r="G1577" s="4" t="n">
        <v>20.2</v>
      </c>
      <c r="H1577" s="5" t="n">
        <v>37.81155755288056</v>
      </c>
      <c r="I1577" s="5" t="n">
        <v>37.27893286772778</v>
      </c>
      <c r="J1577" s="5" t="n">
        <v>47.39726760752222</v>
      </c>
      <c r="K1577" s="5" t="n">
        <v>62</v>
      </c>
    </row>
    <row r="1578">
      <c r="A1578" s="2" t="n">
        <v>46163.125</v>
      </c>
      <c r="B1578">
        <f>TEXT(A1578,"yyyy-mm")</f>
        <v/>
      </c>
      <c r="C1578" s="3">
        <f>HOUR(A1578)</f>
        <v/>
      </c>
      <c r="D1578" s="4" t="n">
        <v>25.69366108093611</v>
      </c>
      <c r="E1578" s="4" t="n">
        <v>25.69910471508611</v>
      </c>
      <c r="F1578" s="4" t="n">
        <v>26.9295585292</v>
      </c>
      <c r="G1578" s="4" t="n">
        <v>19.3</v>
      </c>
      <c r="H1578" s="5" t="n">
        <v>36.32844500790278</v>
      </c>
      <c r="I1578" s="5" t="n">
        <v>37.03912485774444</v>
      </c>
      <c r="J1578" s="5" t="n">
        <v>47.22103835522222</v>
      </c>
      <c r="K1578" s="5" t="n">
        <v>64</v>
      </c>
    </row>
    <row r="1579">
      <c r="A1579" s="2" t="n">
        <v>46163.16666666666</v>
      </c>
      <c r="B1579">
        <f>TEXT(A1579,"yyyy-mm")</f>
        <v/>
      </c>
      <c r="C1579" s="3">
        <f>HOUR(A1579)</f>
        <v/>
      </c>
      <c r="D1579" s="4" t="n">
        <v>25.447517167175</v>
      </c>
      <c r="E1579" s="4" t="n">
        <v>25.50309345148889</v>
      </c>
      <c r="F1579" s="4" t="n">
        <v>26.92748642653889</v>
      </c>
      <c r="G1579" s="4" t="n">
        <v>18.6</v>
      </c>
      <c r="H1579" s="5" t="n">
        <v>36.95661094865833</v>
      </c>
      <c r="I1579" s="5" t="n">
        <v>37.49897567147777</v>
      </c>
      <c r="J1579" s="5" t="n">
        <v>47.13973729221667</v>
      </c>
      <c r="K1579" s="5" t="n">
        <v>66</v>
      </c>
    </row>
    <row r="1580">
      <c r="A1580" s="2" t="n">
        <v>46163.20833333334</v>
      </c>
      <c r="B1580">
        <f>TEXT(A1580,"yyyy-mm")</f>
        <v/>
      </c>
      <c r="C1580" s="3">
        <f>HOUR(A1580)</f>
        <v/>
      </c>
      <c r="D1580" s="4" t="n">
        <v>25.59119838866389</v>
      </c>
      <c r="E1580" s="4" t="n">
        <v>25.25502199612222</v>
      </c>
      <c r="F1580" s="4" t="n">
        <v>26.90700606253333</v>
      </c>
      <c r="G1580" s="4" t="n">
        <v>17.8</v>
      </c>
      <c r="H1580" s="5" t="n">
        <v>35.40449652944444</v>
      </c>
      <c r="I1580" s="5" t="n">
        <v>37.01551569192778</v>
      </c>
      <c r="J1580" s="5" t="n">
        <v>47.03923712231111</v>
      </c>
      <c r="K1580" s="5" t="n">
        <v>68</v>
      </c>
    </row>
    <row r="1581">
      <c r="A1581" s="2" t="n">
        <v>46163.25</v>
      </c>
      <c r="B1581">
        <f>TEXT(A1581,"yyyy-mm")</f>
        <v/>
      </c>
      <c r="C1581" s="3">
        <f>HOUR(A1581)</f>
        <v/>
      </c>
      <c r="D1581" s="4" t="n">
        <v>26.32543121833611</v>
      </c>
      <c r="E1581" s="4" t="n">
        <v>25.70012150155</v>
      </c>
      <c r="F1581" s="4" t="n">
        <v>26.899440864175</v>
      </c>
      <c r="G1581" s="4" t="n">
        <v>18</v>
      </c>
      <c r="H1581" s="5" t="n">
        <v>34.1104518418</v>
      </c>
      <c r="I1581" s="5" t="n">
        <v>36.44056547554722</v>
      </c>
      <c r="J1581" s="5" t="n">
        <v>46.85756713206944</v>
      </c>
      <c r="K1581" s="5" t="n">
        <v>62</v>
      </c>
    </row>
    <row r="1582">
      <c r="A1582" s="2" t="n">
        <v>46163.29166666666</v>
      </c>
      <c r="B1582">
        <f>TEXT(A1582,"yyyy-mm")</f>
        <v/>
      </c>
      <c r="C1582" s="3">
        <f>HOUR(A1582)</f>
        <v/>
      </c>
      <c r="D1582" s="4" t="n">
        <v>26.95105629162222</v>
      </c>
      <c r="E1582" s="4" t="n">
        <v>25.99363834119166</v>
      </c>
      <c r="F1582" s="4" t="n">
        <v>26.91268405192778</v>
      </c>
      <c r="G1582" s="4" t="n">
        <v>19.2</v>
      </c>
      <c r="H1582" s="5" t="n">
        <v>33.55314798544445</v>
      </c>
      <c r="I1582" s="5" t="n">
        <v>36.31141281416944</v>
      </c>
      <c r="J1582" s="5" t="n">
        <v>46.75315248883055</v>
      </c>
      <c r="K1582" s="5" t="n">
        <v>54</v>
      </c>
    </row>
    <row r="1583">
      <c r="A1583" s="2" t="n">
        <v>46163.33333333334</v>
      </c>
      <c r="B1583">
        <f>TEXT(A1583,"yyyy-mm")</f>
        <v/>
      </c>
      <c r="C1583" s="3">
        <f>HOUR(A1583)</f>
        <v/>
      </c>
      <c r="D1583" s="4" t="n">
        <v>27.12217166717222</v>
      </c>
      <c r="E1583" s="4" t="n">
        <v>26.40565735154167</v>
      </c>
      <c r="F1583" s="4" t="n">
        <v>26.9401019909</v>
      </c>
      <c r="G1583" s="4" t="n">
        <v>21.6</v>
      </c>
      <c r="H1583" s="5" t="n">
        <v>35.1742562035389</v>
      </c>
      <c r="I1583" s="5" t="n">
        <v>37.049022548975</v>
      </c>
      <c r="J1583" s="5" t="n">
        <v>46.76481606658889</v>
      </c>
      <c r="K1583" s="5" t="n">
        <v>47</v>
      </c>
    </row>
    <row r="1584">
      <c r="A1584" s="2" t="n">
        <v>46163.375</v>
      </c>
      <c r="B1584">
        <f>TEXT(A1584,"yyyy-mm")</f>
        <v/>
      </c>
      <c r="C1584" s="3">
        <f>HOUR(A1584)</f>
        <v/>
      </c>
      <c r="D1584" s="4" t="n">
        <v>27.56753039156389</v>
      </c>
      <c r="E1584" s="4" t="n">
        <v>27.08440999114167</v>
      </c>
      <c r="F1584" s="4" t="n">
        <v>26.97315377348889</v>
      </c>
      <c r="G1584" s="4" t="n">
        <v>25</v>
      </c>
      <c r="H1584" s="5" t="n">
        <v>35.89141569555555</v>
      </c>
      <c r="I1584" s="5" t="n">
        <v>37.28193972136111</v>
      </c>
      <c r="J1584" s="5" t="n">
        <v>46.8303706737</v>
      </c>
      <c r="K1584" s="5" t="n">
        <v>39</v>
      </c>
    </row>
    <row r="1585">
      <c r="A1585" s="2" t="n">
        <v>46163.41666666666</v>
      </c>
      <c r="B1585">
        <f>TEXT(A1585,"yyyy-mm")</f>
        <v/>
      </c>
      <c r="C1585" s="3">
        <f>HOUR(A1585)</f>
        <v/>
      </c>
      <c r="D1585" s="4" t="n">
        <v>27.86075260341945</v>
      </c>
      <c r="E1585" s="4" t="n">
        <v>27.69765185377778</v>
      </c>
      <c r="F1585" s="4" t="n">
        <v>27.01554528561667</v>
      </c>
      <c r="G1585" s="4" t="n">
        <v>26.9</v>
      </c>
      <c r="H1585" s="5" t="n">
        <v>36.42216251398611</v>
      </c>
      <c r="I1585" s="5" t="n">
        <v>37.78901247492777</v>
      </c>
      <c r="J1585" s="5" t="n">
        <v>46.93673648528334</v>
      </c>
      <c r="K1585" s="5" t="n">
        <v>34</v>
      </c>
    </row>
    <row r="1586">
      <c r="A1586" s="2" t="n">
        <v>46163.45833333334</v>
      </c>
      <c r="B1586">
        <f>TEXT(A1586,"yyyy-mm")</f>
        <v/>
      </c>
      <c r="C1586" s="3">
        <f>HOUR(A1586)</f>
        <v/>
      </c>
      <c r="D1586" s="4" t="n">
        <v>27.99845070356945</v>
      </c>
      <c r="E1586" s="4" t="n">
        <v>28.22072111114722</v>
      </c>
      <c r="F1586" s="4" t="n">
        <v>27.06498247875833</v>
      </c>
      <c r="G1586" s="4" t="n">
        <v>28</v>
      </c>
      <c r="H1586" s="5" t="n">
        <v>38.83220384626667</v>
      </c>
      <c r="I1586" s="5" t="n">
        <v>39.68688628560555</v>
      </c>
      <c r="J1586" s="5" t="n">
        <v>46.82614433160833</v>
      </c>
      <c r="K1586" s="5" t="n">
        <v>30</v>
      </c>
    </row>
    <row r="1587">
      <c r="A1587" s="2" t="n">
        <v>46163.5</v>
      </c>
      <c r="B1587">
        <f>TEXT(A1587,"yyyy-mm")</f>
        <v/>
      </c>
      <c r="C1587" s="3">
        <f>HOUR(A1587)</f>
        <v/>
      </c>
      <c r="D1587" s="4" t="n">
        <v>28.015380881925</v>
      </c>
      <c r="E1587" s="4" t="n">
        <v>28.42179288236389</v>
      </c>
      <c r="F1587" s="4" t="n">
        <v>27.10068455273333</v>
      </c>
      <c r="G1587" s="4" t="n">
        <v>29.3</v>
      </c>
      <c r="H1587" s="5" t="n">
        <v>41.28371265926666</v>
      </c>
      <c r="I1587" s="5" t="n">
        <v>40.7403955574</v>
      </c>
      <c r="J1587" s="5" t="n">
        <v>46.77238334580278</v>
      </c>
      <c r="K1587" s="5" t="n">
        <v>25</v>
      </c>
    </row>
    <row r="1588">
      <c r="A1588" s="2" t="n">
        <v>46163.54166666666</v>
      </c>
      <c r="B1588">
        <f>TEXT(A1588,"yyyy-mm")</f>
        <v/>
      </c>
      <c r="C1588" s="3">
        <f>HOUR(A1588)</f>
        <v/>
      </c>
      <c r="D1588" s="4" t="n">
        <v>27.69937734651944</v>
      </c>
      <c r="E1588" s="4" t="n">
        <v>28.25552722071389</v>
      </c>
      <c r="F1588" s="4" t="n">
        <v>27.13393618387778</v>
      </c>
      <c r="G1588" s="4" t="n">
        <v>29.7</v>
      </c>
      <c r="H1588" s="5" t="n">
        <v>40.35170414080278</v>
      </c>
      <c r="I1588" s="5" t="n">
        <v>40.61185570236945</v>
      </c>
      <c r="J1588" s="5" t="n">
        <v>46.71582060047778</v>
      </c>
      <c r="K1588" s="5" t="n">
        <v>22</v>
      </c>
    </row>
    <row r="1589">
      <c r="A1589" s="2" t="n">
        <v>46163.58333333334</v>
      </c>
      <c r="B1589">
        <f>TEXT(A1589,"yyyy-mm")</f>
        <v/>
      </c>
      <c r="C1589" s="3">
        <f>HOUR(A1589)</f>
        <v/>
      </c>
      <c r="D1589" s="4" t="n">
        <v>26.08955741809444</v>
      </c>
      <c r="E1589" s="4" t="n">
        <v>27.67885869745277</v>
      </c>
      <c r="F1589" s="4" t="n">
        <v>27.13315176357223</v>
      </c>
      <c r="G1589" s="4" t="n">
        <v>29.7</v>
      </c>
      <c r="H1589" s="5" t="n">
        <v>34.32377732086667</v>
      </c>
      <c r="I1589" s="5" t="n">
        <v>33.54673624908612</v>
      </c>
      <c r="J1589" s="5" t="n">
        <v>46.58281384215277</v>
      </c>
      <c r="K1589" s="5" t="n">
        <v>20</v>
      </c>
    </row>
    <row r="1590">
      <c r="A1590" s="2" t="n">
        <v>46163.625</v>
      </c>
      <c r="B1590">
        <f>TEXT(A1590,"yyyy-mm")</f>
        <v/>
      </c>
      <c r="C1590" s="3">
        <f>HOUR(A1590)</f>
        <v/>
      </c>
      <c r="D1590" s="4" t="n">
        <v>26.40003482188333</v>
      </c>
      <c r="E1590" s="4" t="n">
        <v>27.70389020489445</v>
      </c>
      <c r="F1590" s="4" t="n">
        <v>27.120024635425</v>
      </c>
      <c r="G1590" s="4" t="n">
        <v>30.7</v>
      </c>
      <c r="H1590" s="5" t="n">
        <v>35.60858861747222</v>
      </c>
      <c r="I1590" s="5" t="n">
        <v>35.00607451782778</v>
      </c>
      <c r="J1590" s="5" t="n">
        <v>46.380467874225</v>
      </c>
      <c r="K1590" s="5" t="n">
        <v>16</v>
      </c>
    </row>
    <row r="1591">
      <c r="A1591" s="2" t="n">
        <v>46163.66666666666</v>
      </c>
      <c r="B1591">
        <f>TEXT(A1591,"yyyy-mm")</f>
        <v/>
      </c>
      <c r="C1591" s="3">
        <f>HOUR(A1591)</f>
        <v/>
      </c>
      <c r="D1591" s="4" t="n">
        <v>27.36176991361944</v>
      </c>
      <c r="E1591" s="4" t="n">
        <v>28.18853485644722</v>
      </c>
      <c r="F1591" s="4" t="n">
        <v>27.149598049175</v>
      </c>
      <c r="G1591" s="4" t="n">
        <v>30.9</v>
      </c>
      <c r="H1591" s="5" t="n">
        <v>39.82796090421945</v>
      </c>
      <c r="I1591" s="5" t="n">
        <v>39.61030301134444</v>
      </c>
      <c r="J1591" s="5" t="n">
        <v>46.51872223670555</v>
      </c>
      <c r="K1591" s="5" t="n">
        <v>15</v>
      </c>
    </row>
    <row r="1592">
      <c r="A1592" s="2" t="n">
        <v>46163.70833333334</v>
      </c>
      <c r="B1592">
        <f>TEXT(A1592,"yyyy-mm")</f>
        <v/>
      </c>
      <c r="C1592" s="3">
        <f>HOUR(A1592)</f>
        <v/>
      </c>
      <c r="D1592" s="4" t="n">
        <v>26.34312797501111</v>
      </c>
      <c r="E1592" s="4" t="n">
        <v>27.86716175845556</v>
      </c>
      <c r="F1592" s="4" t="n">
        <v>27.16832777151667</v>
      </c>
      <c r="G1592" s="4" t="n">
        <v>30.7</v>
      </c>
      <c r="H1592" s="5" t="n">
        <v>38.19159928200278</v>
      </c>
      <c r="I1592" s="5" t="n">
        <v>37.13249336462778</v>
      </c>
      <c r="J1592" s="5" t="n">
        <v>46.28018225878333</v>
      </c>
      <c r="K1592" s="5" t="n">
        <v>15</v>
      </c>
    </row>
    <row r="1593">
      <c r="A1593" s="2" t="n">
        <v>46163.75</v>
      </c>
      <c r="B1593">
        <f>TEXT(A1593,"yyyy-mm")</f>
        <v/>
      </c>
      <c r="C1593" s="3">
        <f>HOUR(A1593)</f>
        <v/>
      </c>
      <c r="D1593" s="4" t="n">
        <v>25.11015996228611</v>
      </c>
      <c r="E1593" s="4" t="n">
        <v>27.33749483438056</v>
      </c>
      <c r="F1593" s="4" t="n">
        <v>27.14128668104444</v>
      </c>
      <c r="G1593" s="4" t="n">
        <v>30.2</v>
      </c>
      <c r="H1593" s="5" t="n">
        <v>34.45723097969167</v>
      </c>
      <c r="I1593" s="5" t="n">
        <v>32.27327907834444</v>
      </c>
      <c r="J1593" s="5" t="n">
        <v>45.97996332371667</v>
      </c>
      <c r="K1593" s="5" t="n">
        <v>16</v>
      </c>
    </row>
    <row r="1594">
      <c r="A1594" s="2" t="n">
        <v>46163.79166666666</v>
      </c>
      <c r="B1594">
        <f>TEXT(A1594,"yyyy-mm")</f>
        <v/>
      </c>
      <c r="C1594" s="3">
        <f>HOUR(A1594)</f>
        <v/>
      </c>
      <c r="D1594" s="4" t="n">
        <v>26.59131824305278</v>
      </c>
      <c r="E1594" s="4" t="n">
        <v>27.53491795463333</v>
      </c>
      <c r="F1594" s="4" t="n">
        <v>27.1496599705</v>
      </c>
      <c r="G1594" s="4" t="n">
        <v>29.1</v>
      </c>
      <c r="H1594" s="5" t="n">
        <v>37.06549484525278</v>
      </c>
      <c r="I1594" s="5" t="n">
        <v>36.09384342166667</v>
      </c>
      <c r="J1594" s="5" t="n">
        <v>46.00857100196666</v>
      </c>
      <c r="K1594" s="5" t="n">
        <v>20</v>
      </c>
    </row>
    <row r="1595">
      <c r="A1595" s="2" t="n">
        <v>46163.83333333334</v>
      </c>
      <c r="B1595">
        <f>TEXT(A1595,"yyyy-mm")</f>
        <v/>
      </c>
      <c r="C1595" s="3">
        <f>HOUR(A1595)</f>
        <v/>
      </c>
      <c r="D1595" s="4" t="n">
        <v>26.85480387118611</v>
      </c>
      <c r="E1595" s="4" t="n">
        <v>27.60524118478056</v>
      </c>
      <c r="F1595" s="4" t="n">
        <v>27.18110812371944</v>
      </c>
      <c r="G1595" s="4" t="n">
        <v>27.3</v>
      </c>
      <c r="H1595" s="5" t="n">
        <v>40.63370888973056</v>
      </c>
      <c r="I1595" s="5" t="n">
        <v>39.71853475097777</v>
      </c>
      <c r="J1595" s="5" t="n">
        <v>46.464929502275</v>
      </c>
      <c r="K1595" s="5" t="n">
        <v>27</v>
      </c>
    </row>
    <row r="1596">
      <c r="A1596" s="2" t="n">
        <v>46163.875</v>
      </c>
      <c r="B1596">
        <f>TEXT(A1596,"yyyy-mm")</f>
        <v/>
      </c>
      <c r="C1596" s="3">
        <f>HOUR(A1596)</f>
        <v/>
      </c>
      <c r="D1596" s="4" t="n">
        <v>27.15278052834445</v>
      </c>
      <c r="E1596" s="4" t="n">
        <v>27.786839666775</v>
      </c>
      <c r="F1596" s="4" t="n">
        <v>27.25124739900833</v>
      </c>
      <c r="G1596" s="4" t="n">
        <v>26.5</v>
      </c>
      <c r="H1596" s="5" t="n">
        <v>44.24218899061945</v>
      </c>
      <c r="I1596" s="5" t="n">
        <v>43.3685943549</v>
      </c>
      <c r="J1596" s="5" t="n">
        <v>47.38252146609444</v>
      </c>
      <c r="K1596" s="5" t="n">
        <v>27</v>
      </c>
    </row>
    <row r="1597">
      <c r="A1597" s="2" t="n">
        <v>46163.91666666666</v>
      </c>
      <c r="B1597">
        <f>TEXT(A1597,"yyyy-mm")</f>
        <v/>
      </c>
      <c r="C1597" s="3">
        <f>HOUR(A1597)</f>
        <v/>
      </c>
      <c r="D1597" s="4" t="n">
        <v>27.67279478384445</v>
      </c>
      <c r="E1597" s="4" t="n">
        <v>27.95285042698889</v>
      </c>
      <c r="F1597" s="4" t="n">
        <v>27.26660837676667</v>
      </c>
      <c r="G1597" s="4" t="n">
        <v>25.3</v>
      </c>
      <c r="H1597" s="5" t="n">
        <v>43.56403003389722</v>
      </c>
      <c r="I1597" s="5" t="n">
        <v>43.04311697237778</v>
      </c>
      <c r="J1597" s="5" t="n">
        <v>46.6367393637</v>
      </c>
      <c r="K1597" s="5" t="n">
        <v>26</v>
      </c>
    </row>
    <row r="1598">
      <c r="A1598" s="2" t="n">
        <v>46163.95833333334</v>
      </c>
      <c r="B1598">
        <f>TEXT(A1598,"yyyy-mm")</f>
        <v/>
      </c>
      <c r="C1598" s="3">
        <f>HOUR(A1598)</f>
        <v/>
      </c>
      <c r="D1598" s="4" t="n">
        <v>27.84170651101389</v>
      </c>
      <c r="E1598" s="4" t="n">
        <v>28.36440142745834</v>
      </c>
      <c r="F1598" s="4" t="n">
        <v>27.29274216244444</v>
      </c>
      <c r="G1598" s="4" t="n">
        <v>24.1</v>
      </c>
      <c r="H1598" s="5" t="n">
        <v>43.87203790855555</v>
      </c>
      <c r="I1598" s="5" t="n">
        <v>45.15002094531943</v>
      </c>
      <c r="J1598" s="5" t="n">
        <v>46.22523901384722</v>
      </c>
      <c r="K1598" s="5" t="n">
        <v>27</v>
      </c>
    </row>
    <row r="1599">
      <c r="A1599" s="2" t="n">
        <v>46164</v>
      </c>
      <c r="B1599">
        <f>TEXT(A1599,"yyyy-mm")</f>
        <v/>
      </c>
      <c r="C1599" s="3">
        <f>HOUR(A1599)</f>
        <v/>
      </c>
      <c r="D1599" s="4" t="n">
        <v>27.75191913685556</v>
      </c>
      <c r="E1599" s="4" t="n">
        <v>28.45085081238889</v>
      </c>
      <c r="F1599" s="4" t="n">
        <v>27.30229954276945</v>
      </c>
      <c r="G1599" s="4" t="n">
        <v>22.9</v>
      </c>
      <c r="H1599" s="5" t="n">
        <v>43.73395561560556</v>
      </c>
      <c r="I1599" s="5" t="n">
        <v>42.92916850759722</v>
      </c>
      <c r="J1599" s="5" t="n">
        <v>45.91979199118888</v>
      </c>
      <c r="K1599" s="5" t="n">
        <v>29</v>
      </c>
    </row>
    <row r="1600">
      <c r="A1600" s="2" t="n">
        <v>46164.04166666666</v>
      </c>
      <c r="B1600">
        <f>TEXT(A1600,"yyyy-mm")</f>
        <v/>
      </c>
      <c r="C1600" s="3">
        <f>HOUR(A1600)</f>
        <v/>
      </c>
      <c r="D1600" s="4" t="n">
        <v>26.80206726614166</v>
      </c>
      <c r="E1600" s="4" t="n">
        <v>28.028940634225</v>
      </c>
      <c r="F1600" s="4" t="n">
        <v>27.38960821339445</v>
      </c>
      <c r="G1600" s="4" t="n">
        <v>22</v>
      </c>
      <c r="H1600" s="5" t="n">
        <v>41.04833598814722</v>
      </c>
      <c r="I1600" s="5" t="n">
        <v>40.72665873966111</v>
      </c>
      <c r="J1600" s="5" t="n">
        <v>48.61784288316111</v>
      </c>
      <c r="K1600" s="5" t="n">
        <v>31</v>
      </c>
    </row>
    <row r="1601">
      <c r="A1601" s="2" t="n">
        <v>46164.08333333334</v>
      </c>
      <c r="B1601">
        <f>TEXT(A1601,"yyyy-mm")</f>
        <v/>
      </c>
      <c r="C1601" s="3">
        <f>HOUR(A1601)</f>
        <v/>
      </c>
      <c r="D1601" s="4" t="n">
        <v>25.00952169875833</v>
      </c>
      <c r="E1601" s="4" t="n">
        <v>26.93158520956944</v>
      </c>
      <c r="F1601" s="4" t="n">
        <v>27.29984845395556</v>
      </c>
      <c r="G1601" s="4" t="n">
        <v>21.3</v>
      </c>
      <c r="H1601" s="5" t="n">
        <v>36.04258328398611</v>
      </c>
      <c r="I1601" s="5" t="n">
        <v>33.77144368595</v>
      </c>
      <c r="J1601" s="5" t="n">
        <v>46.93513487494445</v>
      </c>
      <c r="K1601" s="5" t="n">
        <v>33</v>
      </c>
    </row>
    <row r="1602">
      <c r="A1602" s="2" t="n">
        <v>46164.125</v>
      </c>
      <c r="B1602">
        <f>TEXT(A1602,"yyyy-mm")</f>
        <v/>
      </c>
      <c r="C1602" s="3">
        <f>HOUR(A1602)</f>
        <v/>
      </c>
      <c r="D1602" s="4" t="n">
        <v>26.35336687431944</v>
      </c>
      <c r="E1602" s="4" t="n">
        <v>27.351302546225</v>
      </c>
      <c r="F1602" s="4" t="n">
        <v>27.27814168430833</v>
      </c>
      <c r="G1602" s="4" t="n">
        <v>20.3</v>
      </c>
      <c r="H1602" s="5" t="n">
        <v>39.26294357008611</v>
      </c>
      <c r="I1602" s="5" t="n">
        <v>37.39562514053611</v>
      </c>
      <c r="J1602" s="5" t="n">
        <v>46.34136787181388</v>
      </c>
      <c r="K1602" s="5" t="n">
        <v>37</v>
      </c>
    </row>
    <row r="1603">
      <c r="A1603" s="2" t="n">
        <v>46164.16666666666</v>
      </c>
      <c r="B1603">
        <f>TEXT(A1603,"yyyy-mm")</f>
        <v/>
      </c>
      <c r="C1603" s="3">
        <f>HOUR(A1603)</f>
        <v/>
      </c>
      <c r="D1603" s="4" t="n">
        <v>26.71350353568333</v>
      </c>
      <c r="E1603" s="4" t="n">
        <v>27.23028520159722</v>
      </c>
      <c r="F1603" s="4" t="n">
        <v>27.27566592685833</v>
      </c>
      <c r="G1603" s="4" t="n">
        <v>19.3</v>
      </c>
      <c r="H1603" s="5" t="n">
        <v>40.83079590765556</v>
      </c>
      <c r="I1603" s="5" t="n">
        <v>39.83644697493056</v>
      </c>
      <c r="J1603" s="5" t="n">
        <v>45.95099379910278</v>
      </c>
      <c r="K1603" s="5" t="n">
        <v>40</v>
      </c>
    </row>
    <row r="1604">
      <c r="A1604" s="2" t="n">
        <v>46164.20833333334</v>
      </c>
      <c r="B1604">
        <f>TEXT(A1604,"yyyy-mm")</f>
        <v/>
      </c>
      <c r="C1604" s="3">
        <f>HOUR(A1604)</f>
        <v/>
      </c>
      <c r="D1604" s="4" t="n">
        <v>26.97566987893056</v>
      </c>
      <c r="E1604" s="4" t="n">
        <v>27.25405081002778</v>
      </c>
      <c r="F1604" s="4" t="n">
        <v>27.26497464554167</v>
      </c>
      <c r="G1604" s="4" t="n">
        <v>18.8</v>
      </c>
      <c r="H1604" s="5" t="n">
        <v>41.48704046616389</v>
      </c>
      <c r="I1604" s="5" t="n">
        <v>40.63848874166112</v>
      </c>
      <c r="J1604" s="5" t="n">
        <v>45.74254646904166</v>
      </c>
      <c r="K1604" s="5" t="n">
        <v>42</v>
      </c>
    </row>
    <row r="1605">
      <c r="A1605" s="2" t="n">
        <v>46164.25</v>
      </c>
      <c r="B1605">
        <f>TEXT(A1605,"yyyy-mm")</f>
        <v/>
      </c>
      <c r="C1605" s="3">
        <f>HOUR(A1605)</f>
        <v/>
      </c>
      <c r="D1605" s="4" t="n">
        <v>27.477735154525</v>
      </c>
      <c r="E1605" s="4" t="n">
        <v>27.56441635852222</v>
      </c>
      <c r="F1605" s="4" t="n">
        <v>27.27471626948056</v>
      </c>
      <c r="G1605" s="4" t="n">
        <v>19.5</v>
      </c>
      <c r="H1605" s="5" t="n">
        <v>40.43069378668333</v>
      </c>
      <c r="I1605" s="5" t="n">
        <v>41.30566134692223</v>
      </c>
      <c r="J1605" s="5" t="n">
        <v>45.55161209671945</v>
      </c>
      <c r="K1605" s="5" t="n">
        <v>42</v>
      </c>
    </row>
    <row r="1606">
      <c r="A1606" s="2" t="n">
        <v>46164.29166666666</v>
      </c>
      <c r="B1606">
        <f>TEXT(A1606,"yyyy-mm")</f>
        <v/>
      </c>
      <c r="C1606" s="3">
        <f>HOUR(A1606)</f>
        <v/>
      </c>
      <c r="D1606" s="4" t="n">
        <v>27.98938322240278</v>
      </c>
      <c r="E1606" s="4" t="n">
        <v>28.11117515340278</v>
      </c>
      <c r="F1606" s="4" t="n">
        <v>27.29807267658889</v>
      </c>
      <c r="G1606" s="4" t="n">
        <v>21</v>
      </c>
      <c r="H1606" s="5" t="n">
        <v>40.89720242422222</v>
      </c>
      <c r="I1606" s="5" t="n">
        <v>41.65949292113056</v>
      </c>
      <c r="J1606" s="5" t="n">
        <v>45.42636383808333</v>
      </c>
      <c r="K1606" s="5" t="n">
        <v>41</v>
      </c>
    </row>
    <row r="1607">
      <c r="A1607" s="2" t="n">
        <v>46164.33333333334</v>
      </c>
      <c r="B1607">
        <f>TEXT(A1607,"yyyy-mm")</f>
        <v/>
      </c>
      <c r="C1607" s="3">
        <f>HOUR(A1607)</f>
        <v/>
      </c>
      <c r="D1607" s="4" t="n">
        <v>28.43580355037222</v>
      </c>
      <c r="E1607" s="4" t="n">
        <v>28.59355216194722</v>
      </c>
      <c r="F1607" s="4" t="n">
        <v>27.34486859464722</v>
      </c>
      <c r="G1607" s="4" t="n">
        <v>23</v>
      </c>
      <c r="H1607" s="5" t="n">
        <v>41.33513370363611</v>
      </c>
      <c r="I1607" s="5" t="n">
        <v>42.25553707509167</v>
      </c>
      <c r="J1607" s="5" t="n">
        <v>45.56327734447501</v>
      </c>
      <c r="K1607" s="5" t="n">
        <v>40</v>
      </c>
    </row>
    <row r="1608">
      <c r="A1608" s="2" t="n">
        <v>46164.375</v>
      </c>
      <c r="B1608">
        <f>TEXT(A1608,"yyyy-mm")</f>
        <v/>
      </c>
      <c r="C1608" s="3">
        <f>HOUR(A1608)</f>
        <v/>
      </c>
      <c r="D1608" s="4" t="n">
        <v>28.78744685341389</v>
      </c>
      <c r="E1608" s="4" t="n">
        <v>28.85110321890278</v>
      </c>
      <c r="F1608" s="4" t="n">
        <v>27.40448294320555</v>
      </c>
      <c r="G1608" s="4" t="n">
        <v>26</v>
      </c>
      <c r="H1608" s="5" t="n">
        <v>41.73037402588056</v>
      </c>
      <c r="I1608" s="5" t="n">
        <v>43.08411389984445</v>
      </c>
      <c r="J1608" s="5" t="n">
        <v>45.98056164265278</v>
      </c>
      <c r="K1608" s="5" t="n">
        <v>37</v>
      </c>
    </row>
    <row r="1609">
      <c r="A1609" s="2" t="n">
        <v>46164.41666666666</v>
      </c>
      <c r="B1609">
        <f>TEXT(A1609,"yyyy-mm")</f>
        <v/>
      </c>
      <c r="C1609" s="3">
        <f>HOUR(A1609)</f>
        <v/>
      </c>
      <c r="D1609" s="4" t="n">
        <v>28.97082629940278</v>
      </c>
      <c r="E1609" s="4" t="n">
        <v>29.171040436475</v>
      </c>
      <c r="F1609" s="4" t="n">
        <v>27.47303487059166</v>
      </c>
      <c r="G1609" s="4" t="n">
        <v>27.9</v>
      </c>
      <c r="H1609" s="5" t="n">
        <v>42.66293070009444</v>
      </c>
      <c r="I1609" s="5" t="n">
        <v>43.91194240400555</v>
      </c>
      <c r="J1609" s="5" t="n">
        <v>46.75040243724445</v>
      </c>
      <c r="K1609" s="5" t="n">
        <v>35</v>
      </c>
    </row>
    <row r="1610">
      <c r="A1610" s="2" t="n">
        <v>46164.45833333334</v>
      </c>
      <c r="B1610">
        <f>TEXT(A1610,"yyyy-mm")</f>
        <v/>
      </c>
      <c r="C1610" s="3">
        <f>HOUR(A1610)</f>
        <v/>
      </c>
      <c r="D1610" s="4" t="n">
        <v>27.56092050638889</v>
      </c>
      <c r="E1610" s="4" t="n">
        <v>29.28393645099166</v>
      </c>
      <c r="F1610" s="4" t="n">
        <v>27.50672621733056</v>
      </c>
      <c r="G1610" s="4" t="n">
        <v>29.5</v>
      </c>
      <c r="H1610" s="5" t="n">
        <v>38.94602471729166</v>
      </c>
      <c r="I1610" s="5" t="n">
        <v>38.07218858650833</v>
      </c>
      <c r="J1610" s="5" t="n">
        <v>46.87855815253334</v>
      </c>
      <c r="K1610" s="5" t="n">
        <v>31</v>
      </c>
    </row>
    <row r="1611">
      <c r="A1611" s="2" t="n">
        <v>46164.5</v>
      </c>
      <c r="B1611">
        <f>TEXT(A1611,"yyyy-mm")</f>
        <v/>
      </c>
      <c r="C1611" s="3">
        <f>HOUR(A1611)</f>
        <v/>
      </c>
      <c r="D1611" s="4" t="n">
        <v>28.43999304201667</v>
      </c>
      <c r="E1611" s="4" t="n">
        <v>29.17201586703333</v>
      </c>
      <c r="F1611" s="4" t="n">
        <v>27.51998995646112</v>
      </c>
      <c r="G1611" s="4" t="n">
        <v>30.5</v>
      </c>
      <c r="H1611" s="5" t="n">
        <v>41.64371466734722</v>
      </c>
      <c r="I1611" s="5" t="n">
        <v>40.11295006598889</v>
      </c>
      <c r="J1611" s="5" t="n">
        <v>47.00883610302223</v>
      </c>
      <c r="K1611" s="5" t="n">
        <v>28</v>
      </c>
    </row>
    <row r="1612">
      <c r="A1612" s="2" t="n">
        <v>46164.54166666666</v>
      </c>
      <c r="B1612">
        <f>TEXT(A1612,"yyyy-mm")</f>
        <v/>
      </c>
      <c r="C1612" s="3">
        <f>HOUR(A1612)</f>
        <v/>
      </c>
      <c r="D1612" s="4" t="n">
        <v>27.84226931930278</v>
      </c>
      <c r="E1612" s="4" t="n">
        <v>28.87894368548333</v>
      </c>
      <c r="F1612" s="4" t="n">
        <v>27.55822021662222</v>
      </c>
      <c r="G1612" s="4" t="n">
        <v>31.2</v>
      </c>
      <c r="H1612" s="5" t="n">
        <v>40.54568961947778</v>
      </c>
      <c r="I1612" s="5" t="n">
        <v>39.66747964301389</v>
      </c>
      <c r="J1612" s="5" t="n">
        <v>47.16336315348334</v>
      </c>
      <c r="K1612" s="5" t="n">
        <v>23</v>
      </c>
    </row>
    <row r="1613">
      <c r="A1613" s="2" t="n">
        <v>46164.58333333334</v>
      </c>
      <c r="B1613">
        <f>TEXT(A1613,"yyyy-mm")</f>
        <v/>
      </c>
      <c r="C1613" s="3">
        <f>HOUR(A1613)</f>
        <v/>
      </c>
      <c r="D1613" s="4" t="n">
        <v>27.74207955217778</v>
      </c>
      <c r="E1613" s="4" t="n">
        <v>28.81904573091112</v>
      </c>
      <c r="F1613" s="4" t="n">
        <v>27.55327563956945</v>
      </c>
      <c r="G1613" s="4" t="n">
        <v>30.9</v>
      </c>
      <c r="H1613" s="5" t="n">
        <v>39.77686326577222</v>
      </c>
      <c r="I1613" s="5" t="n">
        <v>38.68899682398333</v>
      </c>
      <c r="J1613" s="5" t="n">
        <v>46.84422778589722</v>
      </c>
      <c r="K1613" s="5" t="n">
        <v>22</v>
      </c>
    </row>
    <row r="1614">
      <c r="A1614" s="2" t="n">
        <v>46164.625</v>
      </c>
      <c r="B1614">
        <f>TEXT(A1614,"yyyy-mm")</f>
        <v/>
      </c>
      <c r="C1614" s="3">
        <f>HOUR(A1614)</f>
        <v/>
      </c>
      <c r="D1614" s="4" t="n">
        <v>26.36949402833611</v>
      </c>
      <c r="E1614" s="4" t="n">
        <v>28.17178575453889</v>
      </c>
      <c r="F1614" s="4" t="n">
        <v>27.52793939563611</v>
      </c>
      <c r="G1614" s="4" t="n">
        <v>31.2</v>
      </c>
      <c r="H1614" s="5" t="n">
        <v>36.15616061883889</v>
      </c>
      <c r="I1614" s="5" t="n">
        <v>35.66490862741389</v>
      </c>
      <c r="J1614" s="5" t="n">
        <v>46.23155504842779</v>
      </c>
      <c r="K1614" s="5" t="n">
        <v>20</v>
      </c>
    </row>
    <row r="1615">
      <c r="A1615" s="2" t="n">
        <v>46164.66666666666</v>
      </c>
      <c r="B1615">
        <f>TEXT(A1615,"yyyy-mm")</f>
        <v/>
      </c>
      <c r="C1615" s="3">
        <f>HOUR(A1615)</f>
        <v/>
      </c>
      <c r="D1615" s="4" t="n">
        <v>26.44373674764723</v>
      </c>
      <c r="E1615" s="4" t="n">
        <v>28.18987528992777</v>
      </c>
      <c r="F1615" s="4" t="n">
        <v>27.48935852241944</v>
      </c>
      <c r="G1615" s="4" t="n">
        <v>29.4</v>
      </c>
      <c r="H1615" s="5" t="n">
        <v>38.3456933585</v>
      </c>
      <c r="I1615" s="5" t="n">
        <v>37.04819783702778</v>
      </c>
      <c r="J1615" s="5" t="n">
        <v>45.65437388938889</v>
      </c>
      <c r="K1615" s="5" t="n">
        <v>27</v>
      </c>
    </row>
    <row r="1616">
      <c r="A1616" s="2" t="n">
        <v>46164.70833333334</v>
      </c>
      <c r="B1616">
        <f>TEXT(A1616,"yyyy-mm")</f>
        <v/>
      </c>
      <c r="C1616" s="3">
        <f>HOUR(A1616)</f>
        <v/>
      </c>
      <c r="D1616" s="4" t="n">
        <v>27.05478129936944</v>
      </c>
      <c r="E1616" s="4" t="n">
        <v>28.26715426836667</v>
      </c>
      <c r="F1616" s="4" t="n">
        <v>27.49516041389722</v>
      </c>
      <c r="G1616" s="4" t="n">
        <v>29.3</v>
      </c>
      <c r="H1616" s="5" t="n">
        <v>39.88686707065</v>
      </c>
      <c r="I1616" s="5" t="n">
        <v>37.61747228152222</v>
      </c>
      <c r="J1616" s="5" t="n">
        <v>45.67102238324444</v>
      </c>
      <c r="K1616" s="5" t="n">
        <v>28</v>
      </c>
    </row>
    <row r="1617">
      <c r="A1617" s="2" t="n">
        <v>46164.75</v>
      </c>
      <c r="B1617">
        <f>TEXT(A1617,"yyyy-mm")</f>
        <v/>
      </c>
      <c r="C1617" s="3">
        <f>HOUR(A1617)</f>
        <v/>
      </c>
      <c r="D1617" s="4" t="n">
        <v>26.76693600215833</v>
      </c>
      <c r="E1617" s="4" t="n">
        <v>28.06780233698333</v>
      </c>
      <c r="F1617" s="4" t="n">
        <v>27.50122195042222</v>
      </c>
      <c r="G1617" s="4" t="n">
        <v>28.9</v>
      </c>
      <c r="H1617" s="5" t="n">
        <v>37.46446113733333</v>
      </c>
      <c r="I1617" s="5" t="n">
        <v>36.39562413145833</v>
      </c>
      <c r="J1617" s="5" t="n">
        <v>45.69455828885555</v>
      </c>
      <c r="K1617" s="5" t="n">
        <v>29</v>
      </c>
    </row>
    <row r="1618">
      <c r="A1618" s="2" t="n">
        <v>46164.79166666666</v>
      </c>
      <c r="B1618">
        <f>TEXT(A1618,"yyyy-mm")</f>
        <v/>
      </c>
      <c r="C1618" s="3">
        <f>HOUR(A1618)</f>
        <v/>
      </c>
      <c r="D1618" s="4" t="n">
        <v>26.49372289241389</v>
      </c>
      <c r="E1618" s="4" t="n">
        <v>27.41312215305</v>
      </c>
      <c r="F1618" s="4" t="n">
        <v>27.51633127975</v>
      </c>
      <c r="G1618" s="4" t="n">
        <v>28.1</v>
      </c>
      <c r="H1618" s="5" t="n">
        <v>38.14370941513611</v>
      </c>
      <c r="I1618" s="5" t="n">
        <v>38.354539881475</v>
      </c>
      <c r="J1618" s="5" t="n">
        <v>45.71915077191389</v>
      </c>
      <c r="K1618" s="5" t="n">
        <v>31</v>
      </c>
    </row>
    <row r="1619">
      <c r="A1619" s="2" t="n">
        <v>46164.83333333334</v>
      </c>
      <c r="B1619">
        <f>TEXT(A1619,"yyyy-mm")</f>
        <v/>
      </c>
      <c r="C1619" s="3">
        <f>HOUR(A1619)</f>
        <v/>
      </c>
      <c r="D1619" s="4" t="n">
        <v>26.66050656593612</v>
      </c>
      <c r="E1619" s="4" t="n">
        <v>26.7448016258</v>
      </c>
      <c r="F1619" s="4" t="n">
        <v>27.51883296641944</v>
      </c>
      <c r="G1619" s="4" t="n">
        <v>26.9</v>
      </c>
      <c r="H1619" s="5" t="n">
        <v>41.58208100492778</v>
      </c>
      <c r="I1619" s="5" t="n">
        <v>42.06376697930833</v>
      </c>
      <c r="J1619" s="5" t="n">
        <v>46.0487630481889</v>
      </c>
      <c r="K1619" s="5" t="n">
        <v>35</v>
      </c>
    </row>
    <row r="1620">
      <c r="A1620" s="2" t="n">
        <v>46164.875</v>
      </c>
      <c r="B1620">
        <f>TEXT(A1620,"yyyy-mm")</f>
        <v/>
      </c>
      <c r="C1620" s="3">
        <f>HOUR(A1620)</f>
        <v/>
      </c>
      <c r="D1620" s="4" t="n">
        <v>26.83930035107777</v>
      </c>
      <c r="E1620" s="4" t="n">
        <v>26.64667623765834</v>
      </c>
      <c r="F1620" s="4" t="n">
        <v>27.52560890452777</v>
      </c>
      <c r="G1620" s="4" t="n">
        <v>26.1</v>
      </c>
      <c r="H1620" s="5" t="n">
        <v>40.80678071481945</v>
      </c>
      <c r="I1620" s="5" t="n">
        <v>41.90116023203611</v>
      </c>
      <c r="J1620" s="5" t="n">
        <v>46.65812703898612</v>
      </c>
      <c r="K1620" s="5" t="n">
        <v>39</v>
      </c>
    </row>
    <row r="1621">
      <c r="A1621" s="2" t="n">
        <v>46164.91666666666</v>
      </c>
      <c r="B1621">
        <f>TEXT(A1621,"yyyy-mm")</f>
        <v/>
      </c>
      <c r="C1621" s="3">
        <f>HOUR(A1621)</f>
        <v/>
      </c>
      <c r="D1621" s="4" t="n">
        <v>26.86773050055833</v>
      </c>
      <c r="E1621" s="4" t="n">
        <v>26.67425903237778</v>
      </c>
      <c r="F1621" s="4" t="n">
        <v>27.53630320719445</v>
      </c>
      <c r="G1621" s="4" t="n">
        <v>24.8</v>
      </c>
      <c r="H1621" s="5" t="n">
        <v>39.89849518584445</v>
      </c>
      <c r="I1621" s="5" t="n">
        <v>41.805307576475</v>
      </c>
      <c r="J1621" s="5" t="n">
        <v>46.89680587769445</v>
      </c>
      <c r="K1621" s="5" t="n">
        <v>45</v>
      </c>
    </row>
    <row r="1622">
      <c r="A1622" s="2" t="n">
        <v>46164.95833333334</v>
      </c>
      <c r="B1622">
        <f>TEXT(A1622,"yyyy-mm")</f>
        <v/>
      </c>
      <c r="C1622" s="3">
        <f>HOUR(A1622)</f>
        <v/>
      </c>
      <c r="D1622" s="4" t="n">
        <v>26.43359018483333</v>
      </c>
      <c r="E1622" s="4" t="n">
        <v>26.64057982178889</v>
      </c>
      <c r="F1622" s="4" t="n">
        <v>27.53091978115278</v>
      </c>
      <c r="G1622" s="4" t="n">
        <v>23.7</v>
      </c>
      <c r="H1622" s="5" t="n">
        <v>41.29792713379445</v>
      </c>
      <c r="I1622" s="5" t="n">
        <v>42.24012205149168</v>
      </c>
      <c r="J1622" s="5" t="n">
        <v>47.06825430170556</v>
      </c>
      <c r="K1622" s="5" t="n">
        <v>48</v>
      </c>
    </row>
    <row r="1623">
      <c r="A1623" s="2" t="n">
        <v>46165</v>
      </c>
      <c r="B1623">
        <f>TEXT(A1623,"yyyy-mm")</f>
        <v/>
      </c>
      <c r="C1623" s="3">
        <f>HOUR(A1623)</f>
        <v/>
      </c>
      <c r="D1623" s="4" t="n">
        <v>24.061649635575</v>
      </c>
      <c r="E1623" s="4" t="n">
        <v>26.72111615891111</v>
      </c>
      <c r="F1623" s="4" t="n">
        <v>27.543743618825</v>
      </c>
      <c r="G1623" s="4" t="n">
        <v>22.9</v>
      </c>
      <c r="H1623" s="5" t="n">
        <v>47.39418507991667</v>
      </c>
      <c r="I1623" s="5" t="n">
        <v>45.55475384268056</v>
      </c>
      <c r="J1623" s="5" t="n">
        <v>47.45047606931389</v>
      </c>
      <c r="K1623" s="5" t="n">
        <v>50</v>
      </c>
    </row>
    <row r="1624">
      <c r="A1624" s="2" t="n">
        <v>46165.04166666666</v>
      </c>
      <c r="B1624">
        <f>TEXT(A1624,"yyyy-mm")</f>
        <v/>
      </c>
      <c r="C1624" s="3">
        <f>HOUR(A1624)</f>
        <v/>
      </c>
      <c r="D1624" s="4" t="n">
        <v>25.08466234639722</v>
      </c>
      <c r="E1624" s="4" t="n">
        <v>26.64362977537223</v>
      </c>
      <c r="F1624" s="4" t="n">
        <v>27.56521661869445</v>
      </c>
      <c r="G1624" s="4" t="n">
        <v>22.1</v>
      </c>
      <c r="H1624" s="5" t="n">
        <v>45.83010838600278</v>
      </c>
      <c r="I1624" s="5" t="n">
        <v>45.82109668269722</v>
      </c>
      <c r="J1624" s="5" t="n">
        <v>47.68691319491666</v>
      </c>
      <c r="K1624" s="5" t="n">
        <v>52</v>
      </c>
    </row>
    <row r="1625">
      <c r="A1625" s="2" t="n">
        <v>46165.08333333334</v>
      </c>
      <c r="B1625">
        <f>TEXT(A1625,"yyyy-mm")</f>
        <v/>
      </c>
      <c r="C1625" s="3">
        <f>HOUR(A1625)</f>
        <v/>
      </c>
      <c r="D1625" s="4" t="n">
        <v>25.35757504228056</v>
      </c>
      <c r="E1625" s="4" t="n">
        <v>26.64921435842778</v>
      </c>
      <c r="F1625" s="4" t="n">
        <v>27.56205839725278</v>
      </c>
      <c r="G1625" s="4" t="n">
        <v>21.1</v>
      </c>
      <c r="H1625" s="5" t="n">
        <v>43.89741820840555</v>
      </c>
      <c r="I1625" s="5" t="n">
        <v>44.45668442907778</v>
      </c>
      <c r="J1625" s="5" t="n">
        <v>47.85917188175555</v>
      </c>
      <c r="K1625" s="5" t="n">
        <v>56</v>
      </c>
    </row>
    <row r="1626">
      <c r="A1626" s="2" t="n">
        <v>46165.125</v>
      </c>
      <c r="B1626">
        <f>TEXT(A1626,"yyyy-mm")</f>
        <v/>
      </c>
      <c r="C1626" s="3">
        <f>HOUR(A1626)</f>
        <v/>
      </c>
      <c r="D1626" s="4" t="n">
        <v>25.57572786819444</v>
      </c>
      <c r="E1626" s="4" t="n">
        <v>26.6892971368</v>
      </c>
      <c r="F1626" s="4" t="n">
        <v>27.56794341065556</v>
      </c>
      <c r="G1626" s="4" t="n">
        <v>19.6</v>
      </c>
      <c r="H1626" s="5" t="n">
        <v>43.85703349000833</v>
      </c>
      <c r="I1626" s="5" t="n">
        <v>44.63576273077222</v>
      </c>
      <c r="J1626" s="5" t="n">
        <v>47.83291967845833</v>
      </c>
      <c r="K1626" s="5" t="n">
        <v>71</v>
      </c>
    </row>
    <row r="1627">
      <c r="A1627" s="2" t="n">
        <v>46165.16666666666</v>
      </c>
      <c r="B1627">
        <f>TEXT(A1627,"yyyy-mm")</f>
        <v/>
      </c>
      <c r="C1627" s="3">
        <f>HOUR(A1627)</f>
        <v/>
      </c>
      <c r="D1627" s="4" t="n">
        <v>25.23160577475</v>
      </c>
      <c r="E1627" s="4" t="n">
        <v>26.63169764198889</v>
      </c>
      <c r="F1627" s="4" t="n">
        <v>27.58158366318333</v>
      </c>
      <c r="G1627" s="4" t="n">
        <v>19</v>
      </c>
      <c r="H1627" s="5" t="n">
        <v>45.76083269490278</v>
      </c>
      <c r="I1627" s="5" t="n">
        <v>44.93844723288333</v>
      </c>
      <c r="J1627" s="5" t="n">
        <v>47.78597834046388</v>
      </c>
      <c r="K1627" s="5" t="n">
        <v>73</v>
      </c>
    </row>
    <row r="1628">
      <c r="A1628" s="2" t="n">
        <v>46165.20833333334</v>
      </c>
      <c r="B1628">
        <f>TEXT(A1628,"yyyy-mm")</f>
        <v/>
      </c>
      <c r="C1628" s="3">
        <f>HOUR(A1628)</f>
        <v/>
      </c>
      <c r="D1628" s="4" t="n">
        <v>25.29162629298889</v>
      </c>
      <c r="E1628" s="4" t="n">
        <v>26.42644988790278</v>
      </c>
      <c r="F1628" s="4" t="n">
        <v>27.57327526330278</v>
      </c>
      <c r="G1628" s="4" t="n">
        <v>18.6</v>
      </c>
      <c r="H1628" s="5" t="n">
        <v>45.08028292949722</v>
      </c>
      <c r="I1628" s="5" t="n">
        <v>44.35606859063333</v>
      </c>
      <c r="J1628" s="5" t="n">
        <v>47.67164091616389</v>
      </c>
      <c r="K1628" s="5" t="n">
        <v>74</v>
      </c>
    </row>
    <row r="1629">
      <c r="A1629" s="2" t="n">
        <v>46165.25</v>
      </c>
      <c r="B1629">
        <f>TEXT(A1629,"yyyy-mm")</f>
        <v/>
      </c>
      <c r="C1629" s="3">
        <f>HOUR(A1629)</f>
        <v/>
      </c>
      <c r="D1629" s="4" t="n">
        <v>26.18808840836111</v>
      </c>
      <c r="E1629" s="4" t="n">
        <v>26.54044630045279</v>
      </c>
      <c r="F1629" s="4" t="n">
        <v>27.57055891067223</v>
      </c>
      <c r="G1629" s="4" t="n">
        <v>19.2</v>
      </c>
      <c r="H1629" s="5" t="n">
        <v>42.68535585020278</v>
      </c>
      <c r="I1629" s="5" t="n">
        <v>43.26067881613889</v>
      </c>
      <c r="J1629" s="5" t="n">
        <v>47.53119183389445</v>
      </c>
      <c r="K1629" s="5" t="n">
        <v>71</v>
      </c>
    </row>
    <row r="1630">
      <c r="A1630" s="2" t="n">
        <v>46165.29166666666</v>
      </c>
      <c r="B1630">
        <f>TEXT(A1630,"yyyy-mm")</f>
        <v/>
      </c>
      <c r="C1630" s="3">
        <f>HOUR(A1630)</f>
        <v/>
      </c>
      <c r="D1630" s="4" t="n">
        <v>27.27809649685556</v>
      </c>
      <c r="E1630" s="4" t="n">
        <v>27.01901867583056</v>
      </c>
      <c r="F1630" s="4" t="n">
        <v>27.58352210150833</v>
      </c>
      <c r="G1630" s="4" t="n">
        <v>20.8</v>
      </c>
      <c r="H1630" s="5" t="n">
        <v>40.95336805950834</v>
      </c>
      <c r="I1630" s="5" t="n">
        <v>41.84888226134445</v>
      </c>
      <c r="J1630" s="5" t="n">
        <v>47.37184169967222</v>
      </c>
      <c r="K1630" s="5" t="n">
        <v>63</v>
      </c>
    </row>
    <row r="1631">
      <c r="A1631" s="2" t="n">
        <v>46165.33333333334</v>
      </c>
      <c r="B1631">
        <f>TEXT(A1631,"yyyy-mm")</f>
        <v/>
      </c>
      <c r="C1631" s="3">
        <f>HOUR(A1631)</f>
        <v/>
      </c>
      <c r="D1631" s="4" t="n">
        <v>27.65734179551389</v>
      </c>
      <c r="E1631" s="4" t="n">
        <v>27.31484331904722</v>
      </c>
      <c r="F1631" s="4" t="n">
        <v>27.60648983670833</v>
      </c>
      <c r="G1631" s="4" t="n">
        <v>23.1</v>
      </c>
      <c r="H1631" s="5" t="n">
        <v>41.28505274404722</v>
      </c>
      <c r="I1631" s="5" t="n">
        <v>42.19415851056944</v>
      </c>
      <c r="J1631" s="5" t="n">
        <v>47.39277536398611</v>
      </c>
      <c r="K1631" s="5" t="n">
        <v>54</v>
      </c>
    </row>
    <row r="1632">
      <c r="A1632" s="2" t="n">
        <v>46165.375</v>
      </c>
      <c r="B1632">
        <f>TEXT(A1632,"yyyy-mm")</f>
        <v/>
      </c>
      <c r="C1632" s="3">
        <f>HOUR(A1632)</f>
        <v/>
      </c>
      <c r="D1632" s="4" t="n">
        <v>28.30491170987777</v>
      </c>
      <c r="E1632" s="4" t="n">
        <v>27.9197641484</v>
      </c>
      <c r="F1632" s="4" t="n">
        <v>27.65920956923889</v>
      </c>
      <c r="G1632" s="4" t="n">
        <v>25.2</v>
      </c>
      <c r="H1632" s="5" t="n">
        <v>39.68780843293612</v>
      </c>
      <c r="I1632" s="5" t="n">
        <v>40.23086810758056</v>
      </c>
      <c r="J1632" s="5" t="n">
        <v>47.84838074237778</v>
      </c>
      <c r="K1632" s="5" t="n">
        <v>44</v>
      </c>
    </row>
    <row r="1633">
      <c r="A1633" s="2" t="n">
        <v>46165.41666666666</v>
      </c>
      <c r="B1633">
        <f>TEXT(A1633,"yyyy-mm")</f>
        <v/>
      </c>
      <c r="C1633" s="3">
        <f>HOUR(A1633)</f>
        <v/>
      </c>
      <c r="D1633" s="4" t="n">
        <v>28.61511401065833</v>
      </c>
      <c r="E1633" s="4" t="n">
        <v>28.35281632615</v>
      </c>
      <c r="F1633" s="4" t="n">
        <v>27.71124218229444</v>
      </c>
      <c r="G1633" s="4" t="n">
        <v>26.8</v>
      </c>
      <c r="H1633" s="5" t="n">
        <v>37.67834730021944</v>
      </c>
      <c r="I1633" s="5" t="n">
        <v>37.64990028354723</v>
      </c>
      <c r="J1633" s="5" t="n">
        <v>48.05425202261667</v>
      </c>
      <c r="K1633" s="5" t="n">
        <v>38</v>
      </c>
    </row>
    <row r="1634">
      <c r="A1634" s="2" t="n">
        <v>46165.45833333334</v>
      </c>
      <c r="B1634">
        <f>TEXT(A1634,"yyyy-mm")</f>
        <v/>
      </c>
      <c r="C1634" s="3">
        <f>HOUR(A1634)</f>
        <v/>
      </c>
      <c r="D1634" s="4" t="n">
        <v>28.64921135573056</v>
      </c>
      <c r="E1634" s="4" t="n">
        <v>28.51465655190556</v>
      </c>
      <c r="F1634" s="4" t="n">
        <v>27.74229790062222</v>
      </c>
      <c r="G1634" s="4" t="n">
        <v>27.8</v>
      </c>
      <c r="H1634" s="5" t="n">
        <v>38.26319796743056</v>
      </c>
      <c r="I1634" s="5" t="n">
        <v>38.51648497291111</v>
      </c>
      <c r="J1634" s="5" t="n">
        <v>47.80273359394167</v>
      </c>
      <c r="K1634" s="5" t="n">
        <v>35</v>
      </c>
    </row>
    <row r="1635">
      <c r="A1635" s="2" t="n">
        <v>46165.5</v>
      </c>
      <c r="B1635">
        <f>TEXT(A1635,"yyyy-mm")</f>
        <v/>
      </c>
      <c r="C1635" s="3">
        <f>HOUR(A1635)</f>
        <v/>
      </c>
      <c r="D1635" s="4" t="n">
        <v>28.66046273814445</v>
      </c>
      <c r="E1635" s="4" t="n">
        <v>28.87772849653889</v>
      </c>
      <c r="F1635" s="4" t="n">
        <v>27.82002646256389</v>
      </c>
      <c r="G1635" s="4" t="n">
        <v>28.6</v>
      </c>
      <c r="H1635" s="5" t="n">
        <v>38.23128432604445</v>
      </c>
      <c r="I1635" s="5" t="n">
        <v>38.27740017042778</v>
      </c>
      <c r="J1635" s="5" t="n">
        <v>48.34784826792778</v>
      </c>
      <c r="K1635" s="5" t="n">
        <v>33</v>
      </c>
    </row>
    <row r="1636">
      <c r="A1636" s="2" t="n">
        <v>46165.54166666666</v>
      </c>
      <c r="B1636">
        <f>TEXT(A1636,"yyyy-mm")</f>
        <v/>
      </c>
      <c r="C1636" s="3">
        <f>HOUR(A1636)</f>
        <v/>
      </c>
      <c r="D1636" s="4" t="n">
        <v>27.38165794870833</v>
      </c>
      <c r="E1636" s="4" t="n">
        <v>28.31412940765277</v>
      </c>
      <c r="F1636" s="4" t="n">
        <v>27.89623880372778</v>
      </c>
      <c r="G1636" s="4" t="n">
        <v>27</v>
      </c>
      <c r="H1636" s="5" t="n">
        <v>33.01508782307778</v>
      </c>
      <c r="I1636" s="5" t="n">
        <v>34.50237580745</v>
      </c>
      <c r="J1636" s="5" t="n">
        <v>48.5009061623</v>
      </c>
      <c r="K1636" s="5" t="n">
        <v>37</v>
      </c>
    </row>
    <row r="1637">
      <c r="A1637" s="2" t="n">
        <v>46165.58333333334</v>
      </c>
      <c r="B1637">
        <f>TEXT(A1637,"yyyy-mm")</f>
        <v/>
      </c>
      <c r="C1637" s="3">
        <f>HOUR(A1637)</f>
        <v/>
      </c>
      <c r="D1637" s="4" t="n">
        <v>27.07212371057222</v>
      </c>
      <c r="E1637" s="4" t="n">
        <v>27.95886617354445</v>
      </c>
      <c r="F1637" s="4" t="n">
        <v>27.95723269815833</v>
      </c>
      <c r="G1637" s="4" t="n">
        <v>19.6</v>
      </c>
      <c r="H1637" s="5" t="n">
        <v>35.18993995109722</v>
      </c>
      <c r="I1637" s="5" t="n">
        <v>35.54083167856944</v>
      </c>
      <c r="J1637" s="5" t="n">
        <v>47.85348119824722</v>
      </c>
      <c r="K1637" s="5" t="n">
        <v>85</v>
      </c>
    </row>
    <row r="1638">
      <c r="A1638" s="2" t="n">
        <v>46165.625</v>
      </c>
      <c r="B1638">
        <f>TEXT(A1638,"yyyy-mm")</f>
        <v/>
      </c>
      <c r="C1638" s="3">
        <f>HOUR(A1638)</f>
        <v/>
      </c>
      <c r="D1638" s="4" t="n">
        <v>27.50430877649723</v>
      </c>
      <c r="E1638" s="4" t="n">
        <v>27.97824988099722</v>
      </c>
      <c r="F1638" s="4" t="n">
        <v>28.03423140748889</v>
      </c>
      <c r="G1638" s="4" t="n">
        <v>25.1</v>
      </c>
      <c r="H1638" s="5" t="n">
        <v>41.42481809871666</v>
      </c>
      <c r="I1638" s="5" t="n">
        <v>40.59000557618055</v>
      </c>
      <c r="J1638" s="5" t="n">
        <v>49.82292710735278</v>
      </c>
      <c r="K1638" s="5" t="n">
        <v>46</v>
      </c>
    </row>
    <row r="1639">
      <c r="A1639" s="2" t="n">
        <v>46165.66666666666</v>
      </c>
      <c r="B1639">
        <f>TEXT(A1639,"yyyy-mm")</f>
        <v/>
      </c>
      <c r="C1639" s="3">
        <f>HOUR(A1639)</f>
        <v/>
      </c>
      <c r="D1639" s="4" t="n">
        <v>26.63596494439444</v>
      </c>
      <c r="E1639" s="4" t="n">
        <v>27.75296336683333</v>
      </c>
      <c r="F1639" s="4" t="n">
        <v>27.85177640903889</v>
      </c>
      <c r="G1639" s="4" t="n">
        <v>26.5</v>
      </c>
      <c r="H1639" s="5" t="n">
        <v>47.01833172962222</v>
      </c>
      <c r="I1639" s="5" t="n">
        <v>44.69425320030278</v>
      </c>
      <c r="J1639" s="5" t="n">
        <v>52.538724268425</v>
      </c>
      <c r="K1639" s="5" t="n">
        <v>36</v>
      </c>
    </row>
    <row r="1640">
      <c r="A1640" s="2" t="n">
        <v>46165.70833333334</v>
      </c>
      <c r="B1640">
        <f>TEXT(A1640,"yyyy-mm")</f>
        <v/>
      </c>
      <c r="C1640" s="3">
        <f>HOUR(A1640)</f>
        <v/>
      </c>
      <c r="D1640" s="4" t="n">
        <v>26.549962202775</v>
      </c>
      <c r="E1640" s="4" t="n">
        <v>27.95164757503611</v>
      </c>
      <c r="F1640" s="4" t="n">
        <v>28.07580376404445</v>
      </c>
      <c r="G1640" s="4" t="n">
        <v>24.3</v>
      </c>
      <c r="H1640" s="5" t="n">
        <v>48.99020374143888</v>
      </c>
      <c r="I1640" s="5" t="n">
        <v>46.49509270524722</v>
      </c>
      <c r="J1640" s="5" t="n">
        <v>50.96929315088334</v>
      </c>
      <c r="K1640" s="5" t="n">
        <v>43</v>
      </c>
    </row>
    <row r="1641">
      <c r="A1641" s="2" t="n">
        <v>46165.75</v>
      </c>
      <c r="B1641">
        <f>TEXT(A1641,"yyyy-mm")</f>
        <v/>
      </c>
      <c r="C1641" s="3">
        <f>HOUR(A1641)</f>
        <v/>
      </c>
      <c r="D1641" s="4" t="n">
        <v>26.69238002686111</v>
      </c>
      <c r="E1641" s="4" t="n">
        <v>27.51606267251111</v>
      </c>
      <c r="F1641" s="4" t="n">
        <v>28.21668487578055</v>
      </c>
      <c r="G1641" s="4" t="n">
        <v>23.9</v>
      </c>
      <c r="H1641" s="5" t="n">
        <v>48.05567885308333</v>
      </c>
      <c r="I1641" s="5" t="n">
        <v>47.22264591051667</v>
      </c>
      <c r="J1641" s="5" t="n">
        <v>53.24058188416388</v>
      </c>
      <c r="K1641" s="5" t="n">
        <v>48</v>
      </c>
    </row>
    <row r="1642">
      <c r="A1642" s="2" t="n">
        <v>46165.79166666666</v>
      </c>
      <c r="B1642">
        <f>TEXT(A1642,"yyyy-mm")</f>
        <v/>
      </c>
      <c r="C1642" s="3">
        <f>HOUR(A1642)</f>
        <v/>
      </c>
      <c r="D1642" s="4" t="n">
        <v>25.71658224858889</v>
      </c>
      <c r="E1642" s="4" t="n">
        <v>27.12848838996389</v>
      </c>
      <c r="F1642" s="4" t="n">
        <v>28.18116160216944</v>
      </c>
      <c r="G1642" s="4" t="n">
        <v>23.6</v>
      </c>
      <c r="H1642" s="5" t="n">
        <v>48.10554210445</v>
      </c>
      <c r="I1642" s="5" t="n">
        <v>46.39828965174723</v>
      </c>
      <c r="J1642" s="5" t="n">
        <v>51.84568396368056</v>
      </c>
      <c r="K1642" s="5" t="n">
        <v>49</v>
      </c>
    </row>
    <row r="1643">
      <c r="A1643" s="2" t="n">
        <v>46165.83333333334</v>
      </c>
      <c r="B1643">
        <f>TEXT(A1643,"yyyy-mm")</f>
        <v/>
      </c>
      <c r="C1643" s="3">
        <f>HOUR(A1643)</f>
        <v/>
      </c>
      <c r="D1643" s="4" t="n">
        <v>25.77156270902778</v>
      </c>
      <c r="E1643" s="4" t="n">
        <v>27.13798194213889</v>
      </c>
      <c r="F1643" s="4" t="n">
        <v>28.24437906084166</v>
      </c>
      <c r="G1643" s="4" t="n">
        <v>22.6</v>
      </c>
      <c r="H1643" s="5" t="n">
        <v>50.662147382875</v>
      </c>
      <c r="I1643" s="5" t="n">
        <v>48.745877847325</v>
      </c>
      <c r="J1643" s="5" t="n">
        <v>51.52880835930555</v>
      </c>
      <c r="K1643" s="5" t="n">
        <v>54</v>
      </c>
    </row>
    <row r="1644">
      <c r="A1644" s="2" t="n">
        <v>46165.875</v>
      </c>
      <c r="B1644">
        <f>TEXT(A1644,"yyyy-mm")</f>
        <v/>
      </c>
      <c r="C1644" s="3">
        <f>HOUR(A1644)</f>
        <v/>
      </c>
      <c r="D1644" s="4" t="n">
        <v>25.41802924374445</v>
      </c>
      <c r="E1644" s="4" t="n">
        <v>27.140504164825</v>
      </c>
      <c r="F1644" s="4" t="n">
        <v>28.28693273191111</v>
      </c>
      <c r="G1644" s="4" t="n">
        <v>20.8</v>
      </c>
      <c r="H1644" s="5" t="n">
        <v>51.561545224875</v>
      </c>
      <c r="I1644" s="5" t="n">
        <v>49.64915808967223</v>
      </c>
      <c r="J1644" s="5" t="n">
        <v>51.61539240929722</v>
      </c>
      <c r="K1644" s="5" t="n">
        <v>60</v>
      </c>
    </row>
    <row r="1645">
      <c r="A1645" s="2" t="n">
        <v>46165.91666666666</v>
      </c>
      <c r="B1645">
        <f>TEXT(A1645,"yyyy-mm")</f>
        <v/>
      </c>
      <c r="C1645" s="3">
        <f>HOUR(A1645)</f>
        <v/>
      </c>
      <c r="D1645" s="4" t="n">
        <v>25.028320027525</v>
      </c>
      <c r="E1645" s="4" t="n">
        <v>27.29873195641111</v>
      </c>
      <c r="F1645" s="4" t="n">
        <v>28.3897314948</v>
      </c>
      <c r="G1645" s="4" t="n">
        <v>20.4</v>
      </c>
      <c r="H1645" s="5" t="n">
        <v>51.84683616883333</v>
      </c>
      <c r="I1645" s="5" t="n">
        <v>48.91576276769445</v>
      </c>
      <c r="J1645" s="5" t="n">
        <v>51.041485236475</v>
      </c>
      <c r="K1645" s="5" t="n">
        <v>64</v>
      </c>
    </row>
    <row r="1646">
      <c r="A1646" s="2" t="n">
        <v>46165.95833333334</v>
      </c>
      <c r="B1646">
        <f>TEXT(A1646,"yyyy-mm")</f>
        <v/>
      </c>
      <c r="C1646" s="3">
        <f>HOUR(A1646)</f>
        <v/>
      </c>
      <c r="D1646" s="4" t="n">
        <v>25.22639083521389</v>
      </c>
      <c r="E1646" s="4" t="n">
        <v>27.31702760533889</v>
      </c>
      <c r="F1646" s="4" t="n">
        <v>28.29863507620556</v>
      </c>
      <c r="G1646" s="4" t="n">
        <v>20.2</v>
      </c>
      <c r="H1646" s="5" t="n">
        <v>51.80034767105834</v>
      </c>
      <c r="I1646" s="5" t="n">
        <v>48.12627692095278</v>
      </c>
      <c r="J1646" s="5" t="n">
        <v>52.59805401077778</v>
      </c>
      <c r="K1646" s="5" t="n">
        <v>66</v>
      </c>
    </row>
    <row r="1647">
      <c r="A1647" s="2" t="n">
        <v>46166</v>
      </c>
      <c r="B1647">
        <f>TEXT(A1647,"yyyy-mm")</f>
        <v/>
      </c>
      <c r="C1647" s="3">
        <f>HOUR(A1647)</f>
        <v/>
      </c>
      <c r="D1647" s="4" t="n">
        <v>24.22674588971389</v>
      </c>
      <c r="E1647" s="4" t="n">
        <v>27.36106223913611</v>
      </c>
      <c r="F1647" s="4" t="n">
        <v>28.2664388</v>
      </c>
      <c r="G1647" s="4" t="n">
        <v>19.8</v>
      </c>
      <c r="H1647" s="5" t="n">
        <v>53.45428234629444</v>
      </c>
      <c r="I1647" s="5" t="n">
        <v>47.17709913447778</v>
      </c>
      <c r="J1647" s="5" t="n">
        <v>51.2570832645</v>
      </c>
      <c r="K1647" s="5" t="n">
        <v>68</v>
      </c>
    </row>
    <row r="1648">
      <c r="A1648" s="2" t="n">
        <v>46166.04166666666</v>
      </c>
      <c r="B1648">
        <f>TEXT(A1648,"yyyy-mm")</f>
        <v/>
      </c>
      <c r="C1648" s="3">
        <f>HOUR(A1648)</f>
        <v/>
      </c>
      <c r="D1648" s="4" t="n">
        <v>22.16916279565833</v>
      </c>
      <c r="E1648" s="4" t="n">
        <v>27.27472629634444</v>
      </c>
      <c r="F1648" s="4" t="n">
        <v>28.19578771013333</v>
      </c>
      <c r="G1648" s="4" t="n">
        <v>19.3</v>
      </c>
      <c r="H1648" s="5" t="n">
        <v>59.44279755923333</v>
      </c>
      <c r="I1648" s="5" t="n">
        <v>45.83366776024167</v>
      </c>
      <c r="J1648" s="5" t="n">
        <v>51.77224173598889</v>
      </c>
      <c r="K1648" s="5" t="n">
        <v>71</v>
      </c>
    </row>
    <row r="1649">
      <c r="A1649" s="2" t="n">
        <v>46166.08333333334</v>
      </c>
      <c r="B1649">
        <f>TEXT(A1649,"yyyy-mm")</f>
        <v/>
      </c>
      <c r="C1649" s="3">
        <f>HOUR(A1649)</f>
        <v/>
      </c>
      <c r="D1649" s="4" t="n">
        <v>21.87157225153889</v>
      </c>
      <c r="E1649" s="4" t="n">
        <v>27.31240352573889</v>
      </c>
      <c r="F1649" s="4" t="n">
        <v>28.21889635285833</v>
      </c>
      <c r="G1649" s="4" t="n">
        <v>18.8</v>
      </c>
      <c r="H1649" s="5" t="n">
        <v>60.32741228398056</v>
      </c>
      <c r="I1649" s="5" t="n">
        <v>45.57236235988611</v>
      </c>
      <c r="J1649" s="5" t="n">
        <v>51.32249113148334</v>
      </c>
      <c r="K1649" s="5" t="n">
        <v>74</v>
      </c>
    </row>
    <row r="1650">
      <c r="A1650" s="2" t="n">
        <v>46166.125</v>
      </c>
      <c r="B1650">
        <f>TEXT(A1650,"yyyy-mm")</f>
        <v/>
      </c>
      <c r="C1650" s="3">
        <f>HOUR(A1650)</f>
        <v/>
      </c>
      <c r="D1650" s="4" t="n">
        <v>22.15175936658056</v>
      </c>
      <c r="E1650" s="4" t="n">
        <v>27.02768840021666</v>
      </c>
      <c r="F1650" s="4" t="n">
        <v>28.14283001542778</v>
      </c>
      <c r="G1650" s="4" t="n">
        <v>16.1</v>
      </c>
      <c r="H1650" s="5" t="n">
        <v>58.55841421385833</v>
      </c>
      <c r="I1650" s="5" t="n">
        <v>45.66997014640833</v>
      </c>
      <c r="J1650" s="5" t="n">
        <v>52.17346145382501</v>
      </c>
      <c r="K1650" s="5" t="n">
        <v>89</v>
      </c>
    </row>
    <row r="1651">
      <c r="A1651" s="2" t="n">
        <v>46166.16666666666</v>
      </c>
      <c r="B1651">
        <f>TEXT(A1651,"yyyy-mm")</f>
        <v/>
      </c>
      <c r="C1651" s="3">
        <f>HOUR(A1651)</f>
        <v/>
      </c>
      <c r="D1651" s="4" t="n">
        <v>22.32165003852778</v>
      </c>
      <c r="E1651" s="4" t="n">
        <v>26.36698465081111</v>
      </c>
      <c r="F1651" s="4" t="n">
        <v>28.07204664605834</v>
      </c>
      <c r="G1651" s="4" t="n">
        <v>15.7</v>
      </c>
      <c r="H1651" s="5" t="n">
        <v>56.87857084326667</v>
      </c>
      <c r="I1651" s="5" t="n">
        <v>45.73087625754445</v>
      </c>
      <c r="J1651" s="5" t="n">
        <v>51.05563145991111</v>
      </c>
      <c r="K1651" s="5" t="n">
        <v>93</v>
      </c>
    </row>
    <row r="1652">
      <c r="A1652" s="2" t="n">
        <v>46166.20833333334</v>
      </c>
      <c r="B1652">
        <f>TEXT(A1652,"yyyy-mm")</f>
        <v/>
      </c>
      <c r="C1652" s="3">
        <f>HOUR(A1652)</f>
        <v/>
      </c>
      <c r="D1652" s="4" t="n">
        <v>22.40750334731389</v>
      </c>
      <c r="E1652" s="4" t="n">
        <v>26.15178840911944</v>
      </c>
      <c r="F1652" s="4" t="n">
        <v>28.01935193751945</v>
      </c>
      <c r="G1652" s="4" t="n">
        <v>15.4</v>
      </c>
      <c r="H1652" s="5" t="n">
        <v>55.37989595149722</v>
      </c>
      <c r="I1652" s="5" t="n">
        <v>45.1961974979</v>
      </c>
      <c r="J1652" s="5" t="n">
        <v>50.45164917438333</v>
      </c>
      <c r="K1652" s="5" t="n">
        <v>94</v>
      </c>
    </row>
    <row r="1653">
      <c r="A1653" s="2" t="n">
        <v>46166.25</v>
      </c>
      <c r="B1653">
        <f>TEXT(A1653,"yyyy-mm")</f>
        <v/>
      </c>
      <c r="C1653" s="3">
        <f>HOUR(A1653)</f>
        <v/>
      </c>
      <c r="D1653" s="4" t="n">
        <v>24.13105757940833</v>
      </c>
      <c r="E1653" s="4" t="n">
        <v>26.193162622725</v>
      </c>
      <c r="F1653" s="4" t="n">
        <v>27.99307406926667</v>
      </c>
      <c r="G1653" s="4" t="n">
        <v>16</v>
      </c>
      <c r="H1653" s="5" t="n">
        <v>49.64949986270278</v>
      </c>
      <c r="I1653" s="5" t="n">
        <v>44.60081855324722</v>
      </c>
      <c r="J1653" s="5" t="n">
        <v>49.9672498976</v>
      </c>
      <c r="K1653" s="5" t="n">
        <v>89</v>
      </c>
    </row>
    <row r="1654">
      <c r="A1654" s="2" t="n">
        <v>46166.29166666666</v>
      </c>
      <c r="B1654">
        <f>TEXT(A1654,"yyyy-mm")</f>
        <v/>
      </c>
      <c r="C1654" s="3">
        <f>HOUR(A1654)</f>
        <v/>
      </c>
      <c r="D1654" s="4" t="n">
        <v>25.54077216721944</v>
      </c>
      <c r="E1654" s="4" t="n">
        <v>26.27569186456389</v>
      </c>
      <c r="F1654" s="4" t="n">
        <v>27.98829633702778</v>
      </c>
      <c r="G1654" s="4" t="n">
        <v>17.5</v>
      </c>
      <c r="H1654" s="5" t="n">
        <v>44.97867113039722</v>
      </c>
      <c r="I1654" s="5" t="n">
        <v>43.60351330566112</v>
      </c>
      <c r="J1654" s="5" t="n">
        <v>49.55104328635833</v>
      </c>
      <c r="K1654" s="5" t="n">
        <v>78</v>
      </c>
    </row>
    <row r="1655">
      <c r="A1655" s="2" t="n">
        <v>46166.33333333334</v>
      </c>
      <c r="B1655">
        <f>TEXT(A1655,"yyyy-mm")</f>
        <v/>
      </c>
      <c r="C1655" s="3">
        <f>HOUR(A1655)</f>
        <v/>
      </c>
      <c r="D1655" s="4" t="n">
        <v>26.41585024351111</v>
      </c>
      <c r="E1655" s="4" t="n">
        <v>26.39675528793056</v>
      </c>
      <c r="F1655" s="4" t="n">
        <v>27.97645561474722</v>
      </c>
      <c r="G1655" s="4" t="n">
        <v>19.3</v>
      </c>
      <c r="H1655" s="5" t="n">
        <v>41.59783948034445</v>
      </c>
      <c r="I1655" s="5" t="n">
        <v>42.22350338495</v>
      </c>
      <c r="J1655" s="5" t="n">
        <v>49.20682011284722</v>
      </c>
      <c r="K1655" s="5" t="n">
        <v>67</v>
      </c>
    </row>
    <row r="1656">
      <c r="A1656" s="2" t="n">
        <v>46166.375</v>
      </c>
      <c r="B1656">
        <f>TEXT(A1656,"yyyy-mm")</f>
        <v/>
      </c>
      <c r="C1656" s="3">
        <f>HOUR(A1656)</f>
        <v/>
      </c>
      <c r="D1656" s="4" t="n">
        <v>27.07736663126389</v>
      </c>
      <c r="E1656" s="4" t="n">
        <v>26.85400898523056</v>
      </c>
      <c r="F1656" s="4" t="n">
        <v>27.98770196693055</v>
      </c>
      <c r="G1656" s="4" t="n">
        <v>20.4</v>
      </c>
      <c r="H1656" s="5" t="n">
        <v>40.26118390680278</v>
      </c>
      <c r="I1656" s="5" t="n">
        <v>40.80499709425833</v>
      </c>
      <c r="J1656" s="5" t="n">
        <v>48.96868194646667</v>
      </c>
      <c r="K1656" s="5" t="n">
        <v>64</v>
      </c>
    </row>
    <row r="1657">
      <c r="A1657" s="2" t="n">
        <v>46166.41666666666</v>
      </c>
      <c r="B1657">
        <f>TEXT(A1657,"yyyy-mm")</f>
        <v/>
      </c>
      <c r="C1657" s="3">
        <f>HOUR(A1657)</f>
        <v/>
      </c>
      <c r="D1657" s="4" t="n">
        <v>27.32068399198611</v>
      </c>
      <c r="E1657" s="4" t="n">
        <v>27.07471729373333</v>
      </c>
      <c r="F1657" s="4" t="n">
        <v>28.00294605245</v>
      </c>
      <c r="G1657" s="4" t="n">
        <v>21.7</v>
      </c>
      <c r="H1657" s="5" t="n">
        <v>38.29538465204722</v>
      </c>
      <c r="I1657" s="5" t="n">
        <v>38.97472103184445</v>
      </c>
      <c r="J1657" s="5" t="n">
        <v>48.713324683</v>
      </c>
      <c r="K1657" s="5" t="n">
        <v>57</v>
      </c>
    </row>
    <row r="1658">
      <c r="A1658" s="2" t="n">
        <v>46166.45833333334</v>
      </c>
      <c r="B1658">
        <f>TEXT(A1658,"yyyy-mm")</f>
        <v/>
      </c>
      <c r="C1658" s="3">
        <f>HOUR(A1658)</f>
        <v/>
      </c>
      <c r="D1658" s="4" t="n">
        <v>27.30373439436667</v>
      </c>
      <c r="E1658" s="4" t="n">
        <v>27.32101710289444</v>
      </c>
      <c r="F1658" s="4" t="n">
        <v>28.01530533611389</v>
      </c>
      <c r="G1658" s="4" t="n">
        <v>22.7</v>
      </c>
      <c r="H1658" s="5" t="n">
        <v>37.12515405735555</v>
      </c>
      <c r="I1658" s="5" t="n">
        <v>39.01447360904445</v>
      </c>
      <c r="J1658" s="5" t="n">
        <v>48.45433301948611</v>
      </c>
      <c r="K1658" s="5" t="n">
        <v>51</v>
      </c>
    </row>
    <row r="1659">
      <c r="A1659" s="2" t="n">
        <v>46166.5</v>
      </c>
      <c r="B1659">
        <f>TEXT(A1659,"yyyy-mm")</f>
        <v/>
      </c>
      <c r="C1659" s="3">
        <f>HOUR(A1659)</f>
        <v/>
      </c>
      <c r="D1659" s="4" t="n">
        <v>27.04973394354722</v>
      </c>
      <c r="E1659" s="4" t="n">
        <v>27.51896836878333</v>
      </c>
      <c r="F1659" s="4" t="n">
        <v>28.0085923964</v>
      </c>
      <c r="G1659" s="4" t="n">
        <v>23.5</v>
      </c>
      <c r="H1659" s="5" t="n">
        <v>35.26719018170278</v>
      </c>
      <c r="I1659" s="5" t="n">
        <v>36.79054530241389</v>
      </c>
      <c r="J1659" s="5" t="n">
        <v>48.24176500370555</v>
      </c>
      <c r="K1659" s="5" t="n">
        <v>48</v>
      </c>
    </row>
    <row r="1660">
      <c r="A1660" s="2" t="n">
        <v>46166.54166666666</v>
      </c>
      <c r="B1660">
        <f>TEXT(A1660,"yyyy-mm")</f>
        <v/>
      </c>
      <c r="C1660" s="3">
        <f>HOUR(A1660)</f>
        <v/>
      </c>
      <c r="D1660" s="4" t="n">
        <v>26.89569755167083</v>
      </c>
      <c r="E1660" s="4" t="n">
        <v>27.46843676803334</v>
      </c>
      <c r="F1660" s="4" t="n">
        <v>28.08815065507222</v>
      </c>
      <c r="G1660" s="4" t="n">
        <v>24</v>
      </c>
      <c r="H1660" s="5" t="n">
        <v>35.68587530227916</v>
      </c>
      <c r="I1660" s="5" t="n">
        <v>36.42457690112778</v>
      </c>
      <c r="J1660" s="5" t="n">
        <v>48.00211985998055</v>
      </c>
      <c r="K1660" s="5" t="n">
        <v>44</v>
      </c>
    </row>
    <row r="1661">
      <c r="A1661" s="2" t="n">
        <v>46166.58333333334</v>
      </c>
      <c r="B1661">
        <f>TEXT(A1661,"yyyy-mm")</f>
        <v/>
      </c>
      <c r="C1661" s="3">
        <f>HOUR(A1661)</f>
        <v/>
      </c>
      <c r="D1661" s="4" t="n"/>
      <c r="E1661" s="4" t="n">
        <v>27.473861616025</v>
      </c>
      <c r="F1661" s="4" t="n">
        <v>28.27331801004445</v>
      </c>
      <c r="G1661" s="4" t="n">
        <v>24</v>
      </c>
      <c r="H1661" s="5" t="n"/>
      <c r="I1661" s="5" t="n">
        <v>35.44418586921389</v>
      </c>
      <c r="J1661" s="5" t="n">
        <v>47.86608779339167</v>
      </c>
      <c r="K1661" s="5" t="n">
        <v>43</v>
      </c>
    </row>
    <row r="1662">
      <c r="A1662" s="2" t="n">
        <v>46166.625</v>
      </c>
      <c r="B1662">
        <f>TEXT(A1662,"yyyy-mm")</f>
        <v/>
      </c>
      <c r="C1662" s="3">
        <f>HOUR(A1662)</f>
        <v/>
      </c>
      <c r="D1662" s="4" t="n">
        <v>26.48695483852979</v>
      </c>
      <c r="E1662" s="4" t="n">
        <v>27.64764927895556</v>
      </c>
      <c r="F1662" s="4" t="n">
        <v>28.28829402761389</v>
      </c>
      <c r="G1662" s="4" t="n">
        <v>25.4</v>
      </c>
      <c r="H1662" s="5" t="n">
        <v>32.43586971073779</v>
      </c>
      <c r="I1662" s="5" t="n">
        <v>33.764815229</v>
      </c>
      <c r="J1662" s="5" t="n">
        <v>46.54937383818055</v>
      </c>
      <c r="K1662" s="5" t="n">
        <v>34</v>
      </c>
    </row>
    <row r="1663">
      <c r="A1663" s="2" t="n">
        <v>46166.66666666666</v>
      </c>
      <c r="B1663">
        <f>TEXT(A1663,"yyyy-mm")</f>
        <v/>
      </c>
      <c r="C1663" s="3">
        <f>HOUR(A1663)</f>
        <v/>
      </c>
      <c r="D1663" s="4" t="n">
        <v>26.81569168986944</v>
      </c>
      <c r="E1663" s="4" t="n">
        <v>27.52993443108611</v>
      </c>
      <c r="F1663" s="4" t="n">
        <v>28.18631635091944</v>
      </c>
      <c r="G1663" s="4" t="n">
        <v>25.1</v>
      </c>
      <c r="H1663" s="5" t="n">
        <v>32.20254654351945</v>
      </c>
      <c r="I1663" s="5" t="n">
        <v>35.00041121988055</v>
      </c>
      <c r="J1663" s="5" t="n">
        <v>46.07255449176389</v>
      </c>
      <c r="K1663" s="5" t="n">
        <v>32</v>
      </c>
    </row>
    <row r="1664">
      <c r="A1664" s="2" t="n">
        <v>46166.70833333334</v>
      </c>
      <c r="B1664">
        <f>TEXT(A1664,"yyyy-mm")</f>
        <v/>
      </c>
      <c r="C1664" s="3">
        <f>HOUR(A1664)</f>
        <v/>
      </c>
      <c r="D1664" s="4" t="n">
        <v>26.88037790166944</v>
      </c>
      <c r="E1664" s="4" t="n">
        <v>27.40017146906944</v>
      </c>
      <c r="F1664" s="4" t="n">
        <v>28.23830562075278</v>
      </c>
      <c r="G1664" s="4" t="n">
        <v>25.2</v>
      </c>
      <c r="H1664" s="5" t="n">
        <v>31.57020798183056</v>
      </c>
      <c r="I1664" s="5" t="n">
        <v>34.11162497012222</v>
      </c>
      <c r="J1664" s="5" t="n">
        <v>46.54291688844722</v>
      </c>
      <c r="K1664" s="5" t="n">
        <v>30</v>
      </c>
    </row>
    <row r="1665">
      <c r="A1665" s="2" t="n">
        <v>46166.75</v>
      </c>
      <c r="B1665">
        <f>TEXT(A1665,"yyyy-mm")</f>
        <v/>
      </c>
      <c r="C1665" s="3">
        <f>HOUR(A1665)</f>
        <v/>
      </c>
      <c r="D1665" s="4" t="n">
        <v>26.80675406167778</v>
      </c>
      <c r="E1665" s="4" t="n">
        <v>27.40642114245833</v>
      </c>
      <c r="F1665" s="4" t="n">
        <v>28.22496260973889</v>
      </c>
      <c r="G1665" s="4" t="n">
        <v>24.8</v>
      </c>
      <c r="H1665" s="5" t="n">
        <v>32.02389875560834</v>
      </c>
      <c r="I1665" s="5" t="n">
        <v>34.258140273475</v>
      </c>
      <c r="J1665" s="5" t="n">
        <v>46.49811526714166</v>
      </c>
      <c r="K1665" s="5" t="n">
        <v>29</v>
      </c>
    </row>
    <row r="1666">
      <c r="A1666" s="2" t="n">
        <v>46166.79166666666</v>
      </c>
      <c r="B1666">
        <f>TEXT(A1666,"yyyy-mm")</f>
        <v/>
      </c>
      <c r="C1666" s="3">
        <f>HOUR(A1666)</f>
        <v/>
      </c>
      <c r="D1666" s="4" t="n">
        <v>26.78324001503333</v>
      </c>
      <c r="E1666" s="4" t="n">
        <v>27.40323242723889</v>
      </c>
      <c r="F1666" s="4" t="n">
        <v>28.2076874476</v>
      </c>
      <c r="G1666" s="4" t="n">
        <v>24</v>
      </c>
      <c r="H1666" s="5" t="n">
        <v>32.43066832933056</v>
      </c>
      <c r="I1666" s="5" t="n">
        <v>35.2680538496389</v>
      </c>
      <c r="J1666" s="5" t="n">
        <v>46.52782395513333</v>
      </c>
      <c r="K1666" s="5" t="n">
        <v>31</v>
      </c>
    </row>
    <row r="1667">
      <c r="A1667" s="2" t="n">
        <v>46166.83333333334</v>
      </c>
      <c r="B1667">
        <f>TEXT(A1667,"yyyy-mm")</f>
        <v/>
      </c>
      <c r="C1667" s="3">
        <f>HOUR(A1667)</f>
        <v/>
      </c>
      <c r="D1667" s="4" t="n">
        <v>26.30335999344166</v>
      </c>
      <c r="E1667" s="4" t="n">
        <v>27.20787212689721</v>
      </c>
      <c r="F1667" s="4" t="n">
        <v>28.19631266687778</v>
      </c>
      <c r="G1667" s="4" t="n">
        <v>23</v>
      </c>
      <c r="H1667" s="5" t="n">
        <v>33.71109591911944</v>
      </c>
      <c r="I1667" s="5" t="n">
        <v>35.696228651925</v>
      </c>
      <c r="J1667" s="5" t="n">
        <v>46.43457240809445</v>
      </c>
      <c r="K1667" s="5" t="n">
        <v>32</v>
      </c>
    </row>
    <row r="1668">
      <c r="A1668" s="2" t="n">
        <v>46166.875</v>
      </c>
      <c r="B1668">
        <f>TEXT(A1668,"yyyy-mm")</f>
        <v/>
      </c>
      <c r="C1668" s="3">
        <f>HOUR(A1668)</f>
        <v/>
      </c>
      <c r="D1668" s="4" t="n">
        <v>24.99050299224444</v>
      </c>
      <c r="E1668" s="4" t="n">
        <v>27.47062994263333</v>
      </c>
      <c r="F1668" s="4" t="n">
        <v>27.74816985343888</v>
      </c>
      <c r="G1668" s="4" t="n">
        <v>21.7</v>
      </c>
      <c r="H1668" s="5" t="n">
        <v>37.41073134731389</v>
      </c>
      <c r="I1668" s="5" t="n">
        <v>36.68201770183334</v>
      </c>
      <c r="J1668" s="5" t="n">
        <v>45.79937225715556</v>
      </c>
      <c r="K1668" s="5" t="n">
        <v>39</v>
      </c>
    </row>
    <row r="1669">
      <c r="A1669" s="2" t="n">
        <v>46166.91666666666</v>
      </c>
      <c r="B1669">
        <f>TEXT(A1669,"yyyy-mm")</f>
        <v/>
      </c>
      <c r="C1669" s="3">
        <f>HOUR(A1669)</f>
        <v/>
      </c>
      <c r="D1669" s="4" t="n">
        <v>22.25419860326112</v>
      </c>
      <c r="E1669" s="4" t="n">
        <v>27.36790735171111</v>
      </c>
      <c r="F1669" s="4" t="n">
        <v>27.13590590965278</v>
      </c>
      <c r="G1669" s="4" t="n">
        <v>20.5</v>
      </c>
      <c r="H1669" s="5" t="n">
        <v>41.309386989425</v>
      </c>
      <c r="I1669" s="5" t="n">
        <v>34.25241197444166</v>
      </c>
      <c r="J1669" s="5" t="n">
        <v>44.33234557903612</v>
      </c>
      <c r="K1669" s="5" t="n">
        <v>42</v>
      </c>
    </row>
    <row r="1670">
      <c r="A1670" s="2" t="n">
        <v>46166.95833333334</v>
      </c>
      <c r="B1670">
        <f>TEXT(A1670,"yyyy-mm")</f>
        <v/>
      </c>
      <c r="C1670" s="3">
        <f>HOUR(A1670)</f>
        <v/>
      </c>
      <c r="D1670" s="4" t="n">
        <v>21.87271589396111</v>
      </c>
      <c r="E1670" s="4" t="n">
        <v>27.33505257781389</v>
      </c>
      <c r="F1670" s="4" t="n">
        <v>26.96317536475556</v>
      </c>
      <c r="G1670" s="4" t="n">
        <v>19.7</v>
      </c>
      <c r="H1670" s="5" t="n">
        <v>41.8291971108</v>
      </c>
      <c r="I1670" s="5" t="n">
        <v>33.69918187824167</v>
      </c>
      <c r="J1670" s="5" t="n">
        <v>44.11807517223889</v>
      </c>
      <c r="K1670" s="5" t="n">
        <v>45</v>
      </c>
    </row>
    <row r="1671">
      <c r="A1671" s="2" t="n">
        <v>46167</v>
      </c>
      <c r="B1671">
        <f>TEXT(A1671,"yyyy-mm")</f>
        <v/>
      </c>
      <c r="C1671" s="3">
        <f>HOUR(A1671)</f>
        <v/>
      </c>
      <c r="D1671" s="4" t="n">
        <v>21.70537138030556</v>
      </c>
      <c r="E1671" s="4" t="n">
        <v>27.05382736793056</v>
      </c>
      <c r="F1671" s="4" t="n">
        <v>26.918585952</v>
      </c>
      <c r="G1671" s="4" t="n">
        <v>18.8</v>
      </c>
      <c r="H1671" s="5" t="n">
        <v>42.104084780375</v>
      </c>
      <c r="I1671" s="5" t="n">
        <v>34.43202850215</v>
      </c>
      <c r="J1671" s="5" t="n">
        <v>44.1036883562</v>
      </c>
      <c r="K1671" s="5" t="n">
        <v>49</v>
      </c>
    </row>
    <row r="1672">
      <c r="A1672" s="2" t="n">
        <v>46167.04166666666</v>
      </c>
      <c r="B1672">
        <f>TEXT(A1672,"yyyy-mm")</f>
        <v/>
      </c>
      <c r="C1672" s="3">
        <f>HOUR(A1672)</f>
        <v/>
      </c>
      <c r="D1672" s="4" t="n">
        <v>21.12653579734722</v>
      </c>
      <c r="E1672" s="4" t="n">
        <v>26.60971599201666</v>
      </c>
      <c r="F1672" s="4" t="n">
        <v>27.375400915125</v>
      </c>
      <c r="G1672" s="4" t="n">
        <v>17.7</v>
      </c>
      <c r="H1672" s="5" t="n">
        <v>44.08001435609444</v>
      </c>
      <c r="I1672" s="5" t="n">
        <v>34.44437923524722</v>
      </c>
      <c r="J1672" s="5" t="n">
        <v>44.53598469830556</v>
      </c>
      <c r="K1672" s="5" t="n">
        <v>55</v>
      </c>
    </row>
    <row r="1673">
      <c r="A1673" s="2" t="n">
        <v>46167.08333333334</v>
      </c>
      <c r="B1673">
        <f>TEXT(A1673,"yyyy-mm")</f>
        <v/>
      </c>
      <c r="C1673" s="3">
        <f>HOUR(A1673)</f>
        <v/>
      </c>
      <c r="D1673" s="4" t="n">
        <v>20.65310046174723</v>
      </c>
      <c r="E1673" s="4" t="n">
        <v>26.04877611645556</v>
      </c>
      <c r="F1673" s="4" t="n">
        <v>27.61540073435277</v>
      </c>
      <c r="G1673" s="4" t="n">
        <v>17.1</v>
      </c>
      <c r="H1673" s="5" t="n">
        <v>44.41088495199167</v>
      </c>
      <c r="I1673" s="5" t="n">
        <v>34.28940269616667</v>
      </c>
      <c r="J1673" s="5" t="n">
        <v>44.61648142476944</v>
      </c>
      <c r="K1673" s="5" t="n">
        <v>58</v>
      </c>
    </row>
    <row r="1674">
      <c r="A1674" s="2" t="n">
        <v>46167.125</v>
      </c>
      <c r="B1674">
        <f>TEXT(A1674,"yyyy-mm")</f>
        <v/>
      </c>
      <c r="C1674" s="3">
        <f>HOUR(A1674)</f>
        <v/>
      </c>
      <c r="D1674" s="4" t="n">
        <v>20.24505038693056</v>
      </c>
      <c r="E1674" s="4" t="n">
        <v>25.83457914798889</v>
      </c>
      <c r="F1674" s="4" t="n">
        <v>27.69077945133333</v>
      </c>
      <c r="G1674" s="4" t="n">
        <v>16.2</v>
      </c>
      <c r="H1674" s="5" t="n">
        <v>45.30064703650279</v>
      </c>
      <c r="I1674" s="5" t="n">
        <v>34.41326061013334</v>
      </c>
      <c r="J1674" s="5" t="n">
        <v>44.58303598390555</v>
      </c>
      <c r="K1674" s="5" t="n">
        <v>63</v>
      </c>
    </row>
    <row r="1675">
      <c r="A1675" s="2" t="n">
        <v>46167.16666666666</v>
      </c>
      <c r="B1675">
        <f>TEXT(A1675,"yyyy-mm")</f>
        <v/>
      </c>
      <c r="C1675" s="3">
        <f>HOUR(A1675)</f>
        <v/>
      </c>
      <c r="D1675" s="4" t="n">
        <v>19.57298241379445</v>
      </c>
      <c r="E1675" s="4" t="n">
        <v>25.59791076715278</v>
      </c>
      <c r="F1675" s="4" t="n">
        <v>27.72602861779444</v>
      </c>
      <c r="G1675" s="4" t="n">
        <v>15.5</v>
      </c>
      <c r="H1675" s="5" t="n">
        <v>47.57719521011945</v>
      </c>
      <c r="I1675" s="5" t="n">
        <v>35.11524096524445</v>
      </c>
      <c r="J1675" s="5" t="n">
        <v>44.570646592075</v>
      </c>
      <c r="K1675" s="5" t="n">
        <v>65</v>
      </c>
    </row>
    <row r="1676">
      <c r="A1676" s="2" t="n">
        <v>46167.20833333334</v>
      </c>
      <c r="B1676">
        <f>TEXT(A1676,"yyyy-mm")</f>
        <v/>
      </c>
      <c r="C1676" s="3">
        <f>HOUR(A1676)</f>
        <v/>
      </c>
      <c r="D1676" s="4" t="n">
        <v>20.17207186218056</v>
      </c>
      <c r="E1676" s="4" t="n">
        <v>25.75492591473889</v>
      </c>
      <c r="F1676" s="4" t="n">
        <v>27.75954766128056</v>
      </c>
      <c r="G1676" s="4" t="n">
        <v>14.9</v>
      </c>
      <c r="H1676" s="5" t="n">
        <v>49.12657704713334</v>
      </c>
      <c r="I1676" s="5" t="n">
        <v>36.23956253321944</v>
      </c>
      <c r="J1676" s="5" t="n">
        <v>44.59159957368889</v>
      </c>
      <c r="K1676" s="5" t="n">
        <v>68</v>
      </c>
    </row>
    <row r="1677">
      <c r="A1677" s="2" t="n">
        <v>46167.25</v>
      </c>
      <c r="B1677">
        <f>TEXT(A1677,"yyyy-mm")</f>
        <v/>
      </c>
      <c r="C1677" s="3">
        <f>HOUR(A1677)</f>
        <v/>
      </c>
      <c r="D1677" s="4" t="n">
        <v>22.74485291293611</v>
      </c>
      <c r="E1677" s="4" t="n">
        <v>26.30672985160278</v>
      </c>
      <c r="F1677" s="4" t="n">
        <v>27.79449123546389</v>
      </c>
      <c r="G1677" s="4" t="n">
        <v>15.8</v>
      </c>
      <c r="H1677" s="5" t="n">
        <v>43.9221312013639</v>
      </c>
      <c r="I1677" s="5" t="n">
        <v>37.98786648832778</v>
      </c>
      <c r="J1677" s="5" t="n">
        <v>44.92973929215555</v>
      </c>
      <c r="K1677" s="5" t="n">
        <v>65</v>
      </c>
    </row>
    <row r="1678">
      <c r="A1678" s="2" t="n">
        <v>46167.29166666666</v>
      </c>
      <c r="B1678">
        <f>TEXT(A1678,"yyyy-mm")</f>
        <v/>
      </c>
      <c r="C1678" s="3">
        <f>HOUR(A1678)</f>
        <v/>
      </c>
      <c r="D1678" s="4" t="n">
        <v>24.38667209306666</v>
      </c>
      <c r="E1678" s="4" t="n">
        <v>26.69887542810556</v>
      </c>
      <c r="F1678" s="4" t="n">
        <v>27.83674243114722</v>
      </c>
      <c r="G1678" s="4" t="n">
        <v>17.7</v>
      </c>
      <c r="H1678" s="5" t="n">
        <v>38.95691728565556</v>
      </c>
      <c r="I1678" s="5" t="n">
        <v>37.26630133012222</v>
      </c>
      <c r="J1678" s="5" t="n">
        <v>45.02313187989444</v>
      </c>
      <c r="K1678" s="5" t="n">
        <v>58</v>
      </c>
    </row>
    <row r="1679">
      <c r="A1679" s="2" t="n">
        <v>46167.33333333334</v>
      </c>
      <c r="B1679">
        <f>TEXT(A1679,"yyyy-mm")</f>
        <v/>
      </c>
      <c r="C1679" s="3">
        <f>HOUR(A1679)</f>
        <v/>
      </c>
      <c r="D1679" s="4" t="n">
        <v>25.49605428021111</v>
      </c>
      <c r="E1679" s="4" t="n">
        <v>27.13022955769722</v>
      </c>
      <c r="F1679" s="4" t="n">
        <v>27.91533743827222</v>
      </c>
      <c r="G1679" s="4" t="n">
        <v>20.1</v>
      </c>
      <c r="H1679" s="5" t="n">
        <v>37.15986927426111</v>
      </c>
      <c r="I1679" s="5" t="n">
        <v>36.74370598433889</v>
      </c>
      <c r="J1679" s="5" t="n">
        <v>45.12350880715834</v>
      </c>
      <c r="K1679" s="5" t="n">
        <v>50</v>
      </c>
    </row>
    <row r="1680">
      <c r="A1680" s="2" t="n">
        <v>46167.375</v>
      </c>
      <c r="B1680">
        <f>TEXT(A1680,"yyyy-mm")</f>
        <v/>
      </c>
      <c r="C1680" s="3">
        <f>HOUR(A1680)</f>
        <v/>
      </c>
      <c r="D1680" s="4" t="n">
        <v>24.94561811971666</v>
      </c>
      <c r="E1680" s="4" t="n">
        <v>27.05912299384444</v>
      </c>
      <c r="F1680" s="4" t="n">
        <v>27.97811743950278</v>
      </c>
      <c r="G1680" s="4" t="n">
        <v>21.9</v>
      </c>
      <c r="H1680" s="5" t="n">
        <v>40.20290440478889</v>
      </c>
      <c r="I1680" s="5" t="n">
        <v>37.91970602408056</v>
      </c>
      <c r="J1680" s="5" t="n">
        <v>45.19303068987222</v>
      </c>
      <c r="K1680" s="5" t="n">
        <v>44</v>
      </c>
    </row>
    <row r="1681">
      <c r="A1681" s="2" t="n">
        <v>46167.41666666666</v>
      </c>
      <c r="B1681">
        <f>TEXT(A1681,"yyyy-mm")</f>
        <v/>
      </c>
      <c r="C1681" s="3">
        <f>HOUR(A1681)</f>
        <v/>
      </c>
      <c r="D1681" s="4" t="n">
        <v>25.632431844525</v>
      </c>
      <c r="E1681" s="4" t="n">
        <v>27.18519714155</v>
      </c>
      <c r="F1681" s="4" t="n">
        <v>27.97785360662777</v>
      </c>
      <c r="G1681" s="4" t="n">
        <v>18.7</v>
      </c>
      <c r="H1681" s="5" t="n">
        <v>38.99038802071389</v>
      </c>
      <c r="I1681" s="5" t="n">
        <v>37.35917326075</v>
      </c>
      <c r="J1681" s="5" t="n">
        <v>45.3502439110139</v>
      </c>
      <c r="K1681" s="5" t="n">
        <v>65</v>
      </c>
    </row>
    <row r="1682">
      <c r="A1682" s="2" t="n">
        <v>46167.45833333334</v>
      </c>
      <c r="B1682">
        <f>TEXT(A1682,"yyyy-mm")</f>
        <v/>
      </c>
      <c r="C1682" s="3">
        <f>HOUR(A1682)</f>
        <v/>
      </c>
      <c r="D1682" s="4" t="n">
        <v>22.40512295878056</v>
      </c>
      <c r="E1682" s="4" t="n">
        <v>27.10601863899167</v>
      </c>
      <c r="F1682" s="4" t="n">
        <v>28.01009482895556</v>
      </c>
      <c r="G1682" s="4" t="n">
        <v>21.4</v>
      </c>
      <c r="H1682" s="5" t="n">
        <v>51.83294263354723</v>
      </c>
      <c r="I1682" s="5" t="n">
        <v>40.86209187368056</v>
      </c>
      <c r="J1682" s="5" t="n">
        <v>45.58899843634166</v>
      </c>
      <c r="K1682" s="5" t="n">
        <v>51</v>
      </c>
    </row>
    <row r="1683">
      <c r="A1683" s="2" t="n">
        <v>46167.5</v>
      </c>
      <c r="B1683">
        <f>TEXT(A1683,"yyyy-mm")</f>
        <v/>
      </c>
      <c r="C1683" s="3">
        <f>HOUR(A1683)</f>
        <v/>
      </c>
      <c r="D1683" s="4" t="n">
        <v>24.40010296486111</v>
      </c>
      <c r="E1683" s="4" t="n">
        <v>27.14121362348056</v>
      </c>
      <c r="F1683" s="4" t="n">
        <v>28.00003769047778</v>
      </c>
      <c r="G1683" s="4" t="n">
        <v>22.7</v>
      </c>
      <c r="H1683" s="5" t="n">
        <v>47.65926334761111</v>
      </c>
      <c r="I1683" s="5" t="n">
        <v>41.62310478847223</v>
      </c>
      <c r="J1683" s="5" t="n">
        <v>46.01353267301945</v>
      </c>
      <c r="K1683" s="5" t="n">
        <v>48</v>
      </c>
    </row>
    <row r="1684">
      <c r="A1684" s="2" t="n">
        <v>46167.54166666666</v>
      </c>
      <c r="B1684">
        <f>TEXT(A1684,"yyyy-mm")</f>
        <v/>
      </c>
      <c r="C1684" s="3">
        <f>HOUR(A1684)</f>
        <v/>
      </c>
      <c r="D1684" s="4" t="n">
        <v>25.15916537940834</v>
      </c>
      <c r="E1684" s="4" t="n">
        <v>27.13861798511389</v>
      </c>
      <c r="F1684" s="4" t="n">
        <v>27.99558315007222</v>
      </c>
      <c r="G1684" s="4" t="n">
        <v>23.6</v>
      </c>
      <c r="H1684" s="5" t="n">
        <v>43.17048511789444</v>
      </c>
      <c r="I1684" s="5" t="n">
        <v>39.41928264445278</v>
      </c>
      <c r="J1684" s="5" t="n">
        <v>46.12150851305555</v>
      </c>
      <c r="K1684" s="5" t="n">
        <v>47</v>
      </c>
    </row>
    <row r="1685">
      <c r="A1685" s="2" t="n">
        <v>46167.58333333334</v>
      </c>
      <c r="B1685">
        <f>TEXT(A1685,"yyyy-mm")</f>
        <v/>
      </c>
      <c r="C1685" s="3">
        <f>HOUR(A1685)</f>
        <v/>
      </c>
      <c r="D1685" s="4" t="n">
        <v>25.70720153914722</v>
      </c>
      <c r="E1685" s="4" t="n">
        <v>27.27286667913055</v>
      </c>
      <c r="F1685" s="4" t="n">
        <v>27.99863882458611</v>
      </c>
      <c r="G1685" s="4" t="n">
        <v>24</v>
      </c>
      <c r="H1685" s="5" t="n">
        <v>41.38757288170833</v>
      </c>
      <c r="I1685" s="5" t="n">
        <v>38.89139444957223</v>
      </c>
      <c r="J1685" s="5" t="n">
        <v>46.13908553200833</v>
      </c>
      <c r="K1685" s="5" t="n">
        <v>42</v>
      </c>
    </row>
    <row r="1686">
      <c r="A1686" s="2" t="n">
        <v>46167.625</v>
      </c>
      <c r="B1686">
        <f>TEXT(A1686,"yyyy-mm")</f>
        <v/>
      </c>
      <c r="C1686" s="3">
        <f>HOUR(A1686)</f>
        <v/>
      </c>
      <c r="D1686" s="4" t="n">
        <v>25.72920288921667</v>
      </c>
      <c r="E1686" s="4" t="n">
        <v>27.41116256242222</v>
      </c>
      <c r="F1686" s="4" t="n">
        <v>28.00364866269722</v>
      </c>
      <c r="G1686" s="4" t="n">
        <v>23.6</v>
      </c>
      <c r="H1686" s="5" t="n">
        <v>37.20463348018056</v>
      </c>
      <c r="I1686" s="5" t="n">
        <v>36.40786643639444</v>
      </c>
      <c r="J1686" s="5" t="n">
        <v>46.10763802365278</v>
      </c>
      <c r="K1686" s="5" t="n">
        <v>45</v>
      </c>
    </row>
    <row r="1687">
      <c r="A1687" s="2" t="n">
        <v>46167.66666666666</v>
      </c>
      <c r="B1687">
        <f>TEXT(A1687,"yyyy-mm")</f>
        <v/>
      </c>
      <c r="C1687" s="3">
        <f>HOUR(A1687)</f>
        <v/>
      </c>
      <c r="D1687" s="4" t="n">
        <v>25.82952846678889</v>
      </c>
      <c r="E1687" s="4" t="n">
        <v>27.47840369713612</v>
      </c>
      <c r="F1687" s="4" t="n">
        <v>28.00321195997222</v>
      </c>
      <c r="G1687" s="4" t="n">
        <v>23.9</v>
      </c>
      <c r="H1687" s="5" t="n">
        <v>32.09107048555833</v>
      </c>
      <c r="I1687" s="5" t="n">
        <v>31.92760947027222</v>
      </c>
      <c r="J1687" s="5" t="n">
        <v>45.76085875386389</v>
      </c>
      <c r="K1687" s="5" t="n">
        <v>36</v>
      </c>
    </row>
    <row r="1688">
      <c r="A1688" s="2" t="n">
        <v>46167.70833333334</v>
      </c>
      <c r="B1688">
        <f>TEXT(A1688,"yyyy-mm")</f>
        <v/>
      </c>
      <c r="C1688" s="3">
        <f>HOUR(A1688)</f>
        <v/>
      </c>
      <c r="D1688" s="4" t="n">
        <v>25.80684773466389</v>
      </c>
      <c r="E1688" s="4" t="n">
        <v>27.41303411991666</v>
      </c>
      <c r="F1688" s="4" t="n">
        <v>27.68103700528889</v>
      </c>
      <c r="G1688" s="4" t="n">
        <v>23.6</v>
      </c>
      <c r="H1688" s="5" t="n">
        <v>30.94150773034722</v>
      </c>
      <c r="I1688" s="5" t="n">
        <v>32.19228464034167</v>
      </c>
      <c r="J1688" s="5" t="n">
        <v>42.50310196172778</v>
      </c>
      <c r="K1688" s="5" t="n">
        <v>32</v>
      </c>
    </row>
    <row r="1689">
      <c r="A1689" s="2" t="n">
        <v>46167.75</v>
      </c>
      <c r="B1689">
        <f>TEXT(A1689,"yyyy-mm")</f>
        <v/>
      </c>
      <c r="C1689" s="3">
        <f>HOUR(A1689)</f>
        <v/>
      </c>
      <c r="D1689" s="4" t="n">
        <v>25.55608293894445</v>
      </c>
      <c r="E1689" s="4" t="n"/>
      <c r="F1689" s="4" t="n">
        <v>27.32234744406666</v>
      </c>
      <c r="G1689" s="4" t="n">
        <v>22.7</v>
      </c>
      <c r="H1689" s="5" t="n">
        <v>30.61534628058333</v>
      </c>
      <c r="I1689" s="5" t="n"/>
      <c r="J1689" s="5" t="n">
        <v>43.03241116279445</v>
      </c>
      <c r="K1689" s="5" t="n">
        <v>35</v>
      </c>
    </row>
    <row r="1690">
      <c r="A1690" s="2" t="n">
        <v>46167.79166666666</v>
      </c>
      <c r="B1690">
        <f>TEXT(A1690,"yyyy-mm")</f>
        <v/>
      </c>
      <c r="C1690" s="3">
        <f>HOUR(A1690)</f>
        <v/>
      </c>
      <c r="D1690" s="4" t="n">
        <v>24.86018994214167</v>
      </c>
      <c r="E1690" s="4" t="n">
        <v>27.06026327644879</v>
      </c>
      <c r="F1690" s="4" t="n">
        <v>27.23136320255556</v>
      </c>
      <c r="G1690" s="4" t="n">
        <v>21.6</v>
      </c>
      <c r="H1690" s="5" t="n">
        <v>32.78181712241111</v>
      </c>
      <c r="I1690" s="5" t="n">
        <v>35.80471248416038</v>
      </c>
      <c r="J1690" s="5" t="n">
        <v>42.76165973972778</v>
      </c>
      <c r="K1690" s="5" t="n">
        <v>39</v>
      </c>
    </row>
    <row r="1691">
      <c r="A1691" s="2" t="n">
        <v>46167.83333333334</v>
      </c>
      <c r="B1691">
        <f>TEXT(A1691,"yyyy-mm")</f>
        <v/>
      </c>
      <c r="C1691" s="3">
        <f>HOUR(A1691)</f>
        <v/>
      </c>
      <c r="D1691" s="4" t="n">
        <v>23.65317988036667</v>
      </c>
      <c r="E1691" s="4" t="n">
        <v>27.30850433165277</v>
      </c>
      <c r="F1691" s="4" t="n">
        <v>27.01477402308333</v>
      </c>
      <c r="G1691" s="4" t="n">
        <v>20.4</v>
      </c>
      <c r="H1691" s="5" t="n">
        <v>36.04172308080833</v>
      </c>
      <c r="I1691" s="5" t="n">
        <v>33.02709202400001</v>
      </c>
      <c r="J1691" s="5" t="n">
        <v>42.794655590475</v>
      </c>
      <c r="K1691" s="5" t="n">
        <v>45</v>
      </c>
    </row>
    <row r="1692">
      <c r="A1692" s="2" t="n">
        <v>46167.875</v>
      </c>
      <c r="B1692">
        <f>TEXT(A1692,"yyyy-mm")</f>
        <v/>
      </c>
      <c r="C1692" s="3">
        <f>HOUR(A1692)</f>
        <v/>
      </c>
      <c r="D1692" s="4" t="n">
        <v>22.86309465415</v>
      </c>
      <c r="E1692" s="4" t="n">
        <v>27.20244688058889</v>
      </c>
      <c r="F1692" s="4" t="n">
        <v>26.72370853400556</v>
      </c>
      <c r="G1692" s="4" t="n">
        <v>19.4</v>
      </c>
      <c r="H1692" s="5" t="n">
        <v>37.48752971610555</v>
      </c>
      <c r="I1692" s="5" t="n">
        <v>33.36398097762222</v>
      </c>
      <c r="J1692" s="5" t="n">
        <v>42.91378963133611</v>
      </c>
      <c r="K1692" s="5" t="n">
        <v>49</v>
      </c>
    </row>
    <row r="1693">
      <c r="A1693" s="2" t="n">
        <v>46167.91666666666</v>
      </c>
      <c r="B1693">
        <f>TEXT(A1693,"yyyy-mm")</f>
        <v/>
      </c>
      <c r="C1693" s="3">
        <f>HOUR(A1693)</f>
        <v/>
      </c>
      <c r="D1693" s="4" t="n">
        <v>22.88474842754445</v>
      </c>
      <c r="E1693" s="4" t="n">
        <v>26.94027355495278</v>
      </c>
      <c r="F1693" s="4" t="n">
        <v>26.74265852509722</v>
      </c>
      <c r="G1693" s="4" t="n">
        <v>18.5</v>
      </c>
      <c r="H1693" s="5" t="n">
        <v>37.11168295026111</v>
      </c>
      <c r="I1693" s="5" t="n">
        <v>33.15272345214166</v>
      </c>
      <c r="J1693" s="5" t="n">
        <v>42.48552086491389</v>
      </c>
      <c r="K1693" s="5" t="n">
        <v>52</v>
      </c>
    </row>
    <row r="1694">
      <c r="A1694" s="2" t="n">
        <v>46167.95833333334</v>
      </c>
      <c r="B1694">
        <f>TEXT(A1694,"yyyy-mm")</f>
        <v/>
      </c>
      <c r="C1694" s="3">
        <f>HOUR(A1694)</f>
        <v/>
      </c>
      <c r="D1694" s="4" t="n">
        <v>22.81781890323612</v>
      </c>
      <c r="E1694" s="4" t="n">
        <v>26.84897210464166</v>
      </c>
      <c r="F1694" s="4" t="n">
        <v>26.79482944721111</v>
      </c>
      <c r="G1694" s="4" t="n">
        <v>17.7</v>
      </c>
      <c r="H1694" s="5" t="n">
        <v>37.74094936692778</v>
      </c>
      <c r="I1694" s="5" t="n">
        <v>34.793074181325</v>
      </c>
      <c r="J1694" s="5" t="n">
        <v>42.80118084168056</v>
      </c>
      <c r="K1694" s="5" t="n">
        <v>54</v>
      </c>
    </row>
    <row r="1695">
      <c r="A1695" s="2" t="n">
        <v>46168</v>
      </c>
      <c r="B1695">
        <f>TEXT(A1695,"yyyy-mm")</f>
        <v/>
      </c>
      <c r="C1695" s="3">
        <f>HOUR(A1695)</f>
        <v/>
      </c>
      <c r="D1695" s="4" t="n">
        <v>22.91301476365</v>
      </c>
      <c r="E1695" s="4" t="n">
        <v>26.82013487985278</v>
      </c>
      <c r="F1695" s="4" t="n">
        <v>26.84240819991389</v>
      </c>
      <c r="G1695" s="4" t="n">
        <v>17.1</v>
      </c>
      <c r="H1695" s="5" t="n">
        <v>36.13857860389167</v>
      </c>
      <c r="I1695" s="5" t="n">
        <v>34.37815847960555</v>
      </c>
      <c r="J1695" s="5" t="n">
        <v>42.19289392624444</v>
      </c>
      <c r="K1695" s="5" t="n">
        <v>55</v>
      </c>
    </row>
    <row r="1696">
      <c r="A1696" s="2" t="n">
        <v>46168.04166666666</v>
      </c>
      <c r="B1696">
        <f>TEXT(A1696,"yyyy-mm")</f>
        <v/>
      </c>
      <c r="C1696" s="3">
        <f>HOUR(A1696)</f>
        <v/>
      </c>
      <c r="D1696" s="4" t="n">
        <v>22.23481397203055</v>
      </c>
      <c r="E1696" s="4" t="n">
        <v>26.63857861185</v>
      </c>
      <c r="F1696" s="4" t="n">
        <v>26.962378332175</v>
      </c>
      <c r="G1696" s="4" t="n">
        <v>16.6</v>
      </c>
      <c r="H1696" s="5" t="n">
        <v>36.55238429725833</v>
      </c>
      <c r="I1696" s="5" t="n">
        <v>31.72142267378333</v>
      </c>
      <c r="J1696" s="5" t="n">
        <v>41.50138102631944</v>
      </c>
      <c r="K1696" s="5" t="n">
        <v>55</v>
      </c>
    </row>
    <row r="1697">
      <c r="A1697" s="2" t="n">
        <v>46168.08333333334</v>
      </c>
      <c r="B1697">
        <f>TEXT(A1697,"yyyy-mm")</f>
        <v/>
      </c>
      <c r="C1697" s="3">
        <f>HOUR(A1697)</f>
        <v/>
      </c>
      <c r="D1697" s="4" t="n">
        <v>21.28942297525556</v>
      </c>
      <c r="E1697" s="4" t="n">
        <v>26.22594566331945</v>
      </c>
      <c r="F1697" s="4" t="n">
        <v>27.49422369613333</v>
      </c>
      <c r="G1697" s="4" t="n">
        <v>16.2</v>
      </c>
      <c r="H1697" s="5" t="n">
        <v>39.06000095446667</v>
      </c>
      <c r="I1697" s="5" t="n">
        <v>32.09199547776111</v>
      </c>
      <c r="J1697" s="5" t="n">
        <v>42.06089737452222</v>
      </c>
      <c r="K1697" s="5" t="n">
        <v>55</v>
      </c>
    </row>
    <row r="1698">
      <c r="A1698" s="2" t="n">
        <v>46168.125</v>
      </c>
      <c r="B1698">
        <f>TEXT(A1698,"yyyy-mm")</f>
        <v/>
      </c>
      <c r="C1698" s="3">
        <f>HOUR(A1698)</f>
        <v/>
      </c>
      <c r="D1698" s="4" t="n">
        <v>20.55168837430556</v>
      </c>
      <c r="E1698" s="4" t="n">
        <v>25.68570743541112</v>
      </c>
      <c r="F1698" s="4" t="n">
        <v>27.76828524344167</v>
      </c>
      <c r="G1698" s="4" t="n">
        <v>15.4</v>
      </c>
      <c r="H1698" s="5" t="n">
        <v>40.91720842817222</v>
      </c>
      <c r="I1698" s="5" t="n">
        <v>32.40831817810834</v>
      </c>
      <c r="J1698" s="5" t="n">
        <v>41.98904639159166</v>
      </c>
      <c r="K1698" s="5" t="n">
        <v>57</v>
      </c>
    </row>
    <row r="1699">
      <c r="A1699" s="2" t="n">
        <v>46168.16666666666</v>
      </c>
      <c r="B1699">
        <f>TEXT(A1699,"yyyy-mm")</f>
        <v/>
      </c>
      <c r="C1699" s="3">
        <f>HOUR(A1699)</f>
        <v/>
      </c>
      <c r="D1699" s="4" t="n">
        <v>20.90492995798611</v>
      </c>
      <c r="E1699" s="4" t="n">
        <v>25.37835649905278</v>
      </c>
      <c r="F1699" s="4" t="n">
        <v>27.56328359986945</v>
      </c>
      <c r="G1699" s="4" t="n">
        <v>14.6</v>
      </c>
      <c r="H1699" s="5" t="n">
        <v>41.20673480277223</v>
      </c>
      <c r="I1699" s="5" t="n">
        <v>33.57174891466389</v>
      </c>
      <c r="J1699" s="5" t="n">
        <v>42.45303931161944</v>
      </c>
      <c r="K1699" s="5" t="n">
        <v>61</v>
      </c>
    </row>
    <row r="1700">
      <c r="A1700" s="2" t="n">
        <v>46168.20833333334</v>
      </c>
      <c r="B1700">
        <f>TEXT(A1700,"yyyy-mm")</f>
        <v/>
      </c>
      <c r="C1700" s="3">
        <f>HOUR(A1700)</f>
        <v/>
      </c>
      <c r="D1700" s="4" t="n">
        <v>20.78438210455556</v>
      </c>
      <c r="E1700" s="4" t="n">
        <v>25.142131974775</v>
      </c>
      <c r="F1700" s="4" t="n">
        <v>27.52191192251389</v>
      </c>
      <c r="G1700" s="4" t="n">
        <v>14.3</v>
      </c>
      <c r="H1700" s="5" t="n">
        <v>42.11320393739722</v>
      </c>
      <c r="I1700" s="5" t="n">
        <v>34.32980939046944</v>
      </c>
      <c r="J1700" s="5" t="n">
        <v>42.684192393525</v>
      </c>
      <c r="K1700" s="5" t="n">
        <v>63</v>
      </c>
    </row>
    <row r="1701">
      <c r="A1701" s="2" t="n">
        <v>46168.25</v>
      </c>
      <c r="B1701">
        <f>TEXT(A1701,"yyyy-mm")</f>
        <v/>
      </c>
      <c r="C1701" s="3">
        <f>HOUR(A1701)</f>
        <v/>
      </c>
      <c r="D1701" s="4" t="n">
        <v>21.09807856193889</v>
      </c>
      <c r="E1701" s="4" t="n">
        <v>25.09777456988056</v>
      </c>
      <c r="F1701" s="4" t="n">
        <v>27.53798209234167</v>
      </c>
      <c r="G1701" s="4" t="n">
        <v>14.8</v>
      </c>
      <c r="H1701" s="5" t="n">
        <v>42.22163297762778</v>
      </c>
      <c r="I1701" s="5" t="n">
        <v>35.04314838702223</v>
      </c>
      <c r="J1701" s="5" t="n">
        <v>42.82118698600001</v>
      </c>
      <c r="K1701" s="5" t="n">
        <v>61</v>
      </c>
    </row>
    <row r="1702">
      <c r="A1702" s="2" t="n">
        <v>46168.29166666666</v>
      </c>
      <c r="B1702">
        <f>TEXT(A1702,"yyyy-mm")</f>
        <v/>
      </c>
      <c r="C1702" s="3">
        <f>HOUR(A1702)</f>
        <v/>
      </c>
      <c r="D1702" s="4" t="n">
        <v>22.62173930729723</v>
      </c>
      <c r="E1702" s="4" t="n">
        <v>25.52368191824445</v>
      </c>
      <c r="F1702" s="4" t="n">
        <v>27.61526592445556</v>
      </c>
      <c r="G1702" s="4" t="n">
        <v>16</v>
      </c>
      <c r="H1702" s="5" t="n">
        <v>39.38376715998056</v>
      </c>
      <c r="I1702" s="5" t="n">
        <v>34.91951245426944</v>
      </c>
      <c r="J1702" s="5" t="n">
        <v>42.88473536859166</v>
      </c>
      <c r="K1702" s="5" t="n">
        <v>59</v>
      </c>
    </row>
    <row r="1703">
      <c r="A1703" s="2" t="n">
        <v>46168.33333333334</v>
      </c>
      <c r="B1703">
        <f>TEXT(A1703,"yyyy-mm")</f>
        <v/>
      </c>
      <c r="C1703" s="3">
        <f>HOUR(A1703)</f>
        <v/>
      </c>
      <c r="D1703" s="4" t="n">
        <v>23.11415150017778</v>
      </c>
      <c r="E1703" s="4" t="n">
        <v>25.85091921235556</v>
      </c>
      <c r="F1703" s="4" t="n">
        <v>27.82027820578333</v>
      </c>
      <c r="G1703" s="4" t="n">
        <v>17.2</v>
      </c>
      <c r="H1703" s="5" t="n">
        <v>38.733986067025</v>
      </c>
      <c r="I1703" s="5" t="n">
        <v>34.84083251018334</v>
      </c>
      <c r="J1703" s="5" t="n">
        <v>42.77701031520277</v>
      </c>
      <c r="K1703" s="5" t="n">
        <v>56</v>
      </c>
    </row>
    <row r="1704">
      <c r="A1704" s="2" t="n">
        <v>46168.375</v>
      </c>
      <c r="B1704">
        <f>TEXT(A1704,"yyyy-mm")</f>
        <v/>
      </c>
      <c r="C1704" s="3">
        <f>HOUR(A1704)</f>
        <v/>
      </c>
      <c r="D1704" s="4" t="n">
        <v>23.11917573803889</v>
      </c>
      <c r="E1704" s="4" t="n">
        <v>25.66943211993889</v>
      </c>
      <c r="F1704" s="4" t="n">
        <v>27.6694293485</v>
      </c>
      <c r="G1704" s="4" t="n">
        <v>18.6</v>
      </c>
      <c r="H1704" s="5" t="n">
        <v>39.21216896280556</v>
      </c>
      <c r="I1704" s="5" t="n">
        <v>35.38759339890277</v>
      </c>
      <c r="J1704" s="5" t="n">
        <v>43.14568169111945</v>
      </c>
      <c r="K1704" s="5" t="n">
        <v>51</v>
      </c>
    </row>
    <row r="1705">
      <c r="A1705" s="2" t="n">
        <v>46168.41666666666</v>
      </c>
      <c r="B1705">
        <f>TEXT(A1705,"yyyy-mm")</f>
        <v/>
      </c>
      <c r="C1705" s="3">
        <f>HOUR(A1705)</f>
        <v/>
      </c>
      <c r="D1705" s="4" t="n">
        <v>22.92143785402778</v>
      </c>
      <c r="E1705" s="4" t="n">
        <v>25.58700176068056</v>
      </c>
      <c r="F1705" s="4" t="n">
        <v>27.62293526068333</v>
      </c>
      <c r="G1705" s="4" t="n">
        <v>19.1</v>
      </c>
      <c r="H1705" s="5" t="n">
        <v>40.05909950763611</v>
      </c>
      <c r="I1705" s="5" t="n">
        <v>36.086462222575</v>
      </c>
      <c r="J1705" s="5" t="n">
        <v>43.35994826078333</v>
      </c>
      <c r="K1705" s="5" t="n">
        <v>49</v>
      </c>
    </row>
    <row r="1706">
      <c r="A1706" s="2" t="n">
        <v>46168.45833333334</v>
      </c>
      <c r="B1706">
        <f>TEXT(A1706,"yyyy-mm")</f>
        <v/>
      </c>
      <c r="C1706" s="3">
        <f>HOUR(A1706)</f>
        <v/>
      </c>
      <c r="D1706" s="4" t="n">
        <v>22.84677522580556</v>
      </c>
      <c r="E1706" s="4" t="n">
        <v>26.01889740803334</v>
      </c>
      <c r="F1706" s="4" t="n">
        <v>27.63058328614444</v>
      </c>
      <c r="G1706" s="4" t="n">
        <v>18.3</v>
      </c>
      <c r="H1706" s="5" t="n">
        <v>40.18080572422778</v>
      </c>
      <c r="I1706" s="5" t="n">
        <v>36.81705730801666</v>
      </c>
      <c r="J1706" s="5" t="n">
        <v>43.51853582416945</v>
      </c>
      <c r="K1706" s="5" t="n">
        <v>53</v>
      </c>
    </row>
    <row r="1707">
      <c r="A1707" s="2" t="n">
        <v>46168.5</v>
      </c>
      <c r="B1707">
        <f>TEXT(A1707,"yyyy-mm")</f>
        <v/>
      </c>
      <c r="C1707" s="3">
        <f>HOUR(A1707)</f>
        <v/>
      </c>
      <c r="D1707" s="4" t="n">
        <v>23.31182150510834</v>
      </c>
      <c r="E1707" s="4" t="n">
        <v>26.1901633927</v>
      </c>
      <c r="F1707" s="4" t="n">
        <v>27.66158096535</v>
      </c>
      <c r="G1707" s="4" t="n">
        <v>17.3</v>
      </c>
      <c r="H1707" s="5" t="n">
        <v>35.44546686232778</v>
      </c>
      <c r="I1707" s="5" t="n">
        <v>33.77342873651111</v>
      </c>
      <c r="J1707" s="5" t="n">
        <v>43.38133811575833</v>
      </c>
      <c r="K1707" s="5" t="n">
        <v>55</v>
      </c>
    </row>
    <row r="1708">
      <c r="A1708" s="2" t="n">
        <v>46168.54166666666</v>
      </c>
      <c r="B1708">
        <f>TEXT(A1708,"yyyy-mm")</f>
        <v/>
      </c>
      <c r="C1708" s="3">
        <f>HOUR(A1708)</f>
        <v/>
      </c>
      <c r="D1708" s="4" t="n">
        <v>22.78845198407222</v>
      </c>
      <c r="E1708" s="4" t="n">
        <v>26.021989301775</v>
      </c>
      <c r="F1708" s="4" t="n">
        <v>27.63606661349722</v>
      </c>
      <c r="G1708" s="4" t="n">
        <v>17.2</v>
      </c>
      <c r="H1708" s="5" t="n">
        <v>36.48077035948889</v>
      </c>
      <c r="I1708" s="5" t="n">
        <v>33.49035734151945</v>
      </c>
      <c r="J1708" s="5" t="n">
        <v>43.12653793690833</v>
      </c>
      <c r="K1708" s="5" t="n">
        <v>53</v>
      </c>
    </row>
    <row r="1709">
      <c r="A1709" s="2" t="n">
        <v>46168.58333333334</v>
      </c>
      <c r="B1709">
        <f>TEXT(A1709,"yyyy-mm")</f>
        <v/>
      </c>
      <c r="C1709" s="3">
        <f>HOUR(A1709)</f>
        <v/>
      </c>
      <c r="D1709" s="4" t="n">
        <v>23.11854562040556</v>
      </c>
      <c r="E1709" s="4" t="n">
        <v>25.47081573715833</v>
      </c>
      <c r="F1709" s="4" t="n">
        <v>27.63478730890278</v>
      </c>
      <c r="G1709" s="4" t="n">
        <v>18</v>
      </c>
      <c r="H1709" s="5" t="n">
        <v>33.96406935917778</v>
      </c>
      <c r="I1709" s="5" t="n">
        <v>32.40416012264444</v>
      </c>
      <c r="J1709" s="5" t="n">
        <v>42.927175802025</v>
      </c>
      <c r="K1709" s="5" t="n">
        <v>47</v>
      </c>
    </row>
    <row r="1710">
      <c r="A1710" s="2" t="n">
        <v>46168.625</v>
      </c>
      <c r="B1710">
        <f>TEXT(A1710,"yyyy-mm")</f>
        <v/>
      </c>
      <c r="C1710" s="3">
        <f>HOUR(A1710)</f>
        <v/>
      </c>
      <c r="D1710" s="4" t="n">
        <v>23.16116216200833</v>
      </c>
      <c r="E1710" s="4" t="n">
        <v>25.38338099816389</v>
      </c>
      <c r="F1710" s="4" t="n">
        <v>27.63383277524444</v>
      </c>
      <c r="G1710" s="4" t="n">
        <v>18</v>
      </c>
      <c r="H1710" s="5" t="n">
        <v>33.52727791671389</v>
      </c>
      <c r="I1710" s="5" t="n">
        <v>32.56749027851111</v>
      </c>
      <c r="J1710" s="5" t="n">
        <v>42.80314431616389</v>
      </c>
      <c r="K1710" s="5" t="n">
        <v>45</v>
      </c>
    </row>
    <row r="1711">
      <c r="A1711" s="2" t="n">
        <v>46168.66666666666</v>
      </c>
      <c r="B1711">
        <f>TEXT(A1711,"yyyy-mm")</f>
        <v/>
      </c>
      <c r="C1711" s="3">
        <f>HOUR(A1711)</f>
        <v/>
      </c>
      <c r="D1711" s="4" t="n">
        <v>23.02538300541667</v>
      </c>
      <c r="E1711" s="4" t="n">
        <v>25.41163323399445</v>
      </c>
      <c r="F1711" s="4" t="n">
        <v>27.64005933010278</v>
      </c>
      <c r="G1711" s="4" t="n">
        <v>18</v>
      </c>
      <c r="H1711" s="5" t="n">
        <v>32.99936625820278</v>
      </c>
      <c r="I1711" s="5" t="n">
        <v>31.644221515625</v>
      </c>
      <c r="J1711" s="5" t="n">
        <v>42.5974012849</v>
      </c>
      <c r="K1711" s="5" t="n">
        <v>42</v>
      </c>
    </row>
    <row r="1712">
      <c r="A1712" s="2" t="n">
        <v>46168.70833333334</v>
      </c>
      <c r="B1712">
        <f>TEXT(A1712,"yyyy-mm")</f>
        <v/>
      </c>
      <c r="C1712" s="3">
        <f>HOUR(A1712)</f>
        <v/>
      </c>
      <c r="D1712" s="4" t="n">
        <v>22.7683261231</v>
      </c>
      <c r="E1712" s="4" t="n">
        <v>25.35325425803612</v>
      </c>
      <c r="F1712" s="4" t="n">
        <v>27.63072927511945</v>
      </c>
      <c r="G1712" s="4" t="n">
        <v>18.1</v>
      </c>
      <c r="H1712" s="5" t="n">
        <v>31.94563809398611</v>
      </c>
      <c r="I1712" s="5" t="n">
        <v>30.34884740097223</v>
      </c>
      <c r="J1712" s="5" t="n">
        <v>42.35647238678055</v>
      </c>
      <c r="K1712" s="5" t="n">
        <v>41</v>
      </c>
    </row>
    <row r="1713">
      <c r="A1713" s="2" t="n">
        <v>46168.75</v>
      </c>
      <c r="B1713">
        <f>TEXT(A1713,"yyyy-mm")</f>
        <v/>
      </c>
      <c r="C1713" s="3">
        <f>HOUR(A1713)</f>
        <v/>
      </c>
      <c r="D1713" s="4" t="n">
        <v>22.62832495083056</v>
      </c>
      <c r="E1713" s="4" t="n">
        <v>25.47602210373612</v>
      </c>
      <c r="F1713" s="4" t="n">
        <v>27.51893769096945</v>
      </c>
      <c r="G1713" s="4" t="n">
        <v>18.4</v>
      </c>
      <c r="H1713" s="5" t="n">
        <v>28.38154934326389</v>
      </c>
      <c r="I1713" s="5" t="n">
        <v>27.93044700491111</v>
      </c>
      <c r="J1713" s="5" t="n">
        <v>40.81842464416389</v>
      </c>
      <c r="K1713" s="5" t="n">
        <v>38</v>
      </c>
    </row>
    <row r="1714">
      <c r="A1714" s="2" t="n">
        <v>46168.79166666666</v>
      </c>
      <c r="B1714">
        <f>TEXT(A1714,"yyyy-mm")</f>
        <v/>
      </c>
      <c r="C1714" s="3">
        <f>HOUR(A1714)</f>
        <v/>
      </c>
      <c r="D1714" s="4" t="n">
        <v>22.09935951065278</v>
      </c>
      <c r="E1714" s="4" t="n">
        <v>25.7963138639</v>
      </c>
      <c r="F1714" s="4" t="n">
        <v>27.06762325341111</v>
      </c>
      <c r="G1714" s="4" t="n">
        <v>18</v>
      </c>
      <c r="H1714" s="5" t="n">
        <v>26.65461170099167</v>
      </c>
      <c r="I1714" s="5" t="n">
        <v>25.75163439537222</v>
      </c>
      <c r="J1714" s="5" t="n">
        <v>37.71333119361389</v>
      </c>
      <c r="K1714" s="5" t="n">
        <v>35</v>
      </c>
    </row>
    <row r="1715">
      <c r="A1715" s="2" t="n">
        <v>46168.83333333334</v>
      </c>
      <c r="B1715">
        <f>TEXT(A1715,"yyyy-mm")</f>
        <v/>
      </c>
      <c r="C1715" s="3">
        <f>HOUR(A1715)</f>
        <v/>
      </c>
      <c r="D1715" s="4" t="n">
        <v>20.965688125425</v>
      </c>
      <c r="E1715" s="4" t="n">
        <v>25.91361831864444</v>
      </c>
      <c r="F1715" s="4" t="n">
        <v>27.31801798526945</v>
      </c>
      <c r="G1715" s="4" t="n">
        <v>17.1</v>
      </c>
      <c r="H1715" s="5" t="n">
        <v>28.62585223324444</v>
      </c>
      <c r="I1715" s="5" t="n">
        <v>25.75073396826944</v>
      </c>
      <c r="J1715" s="5" t="n">
        <v>39.37992338332777</v>
      </c>
      <c r="K1715" s="5" t="n">
        <v>35</v>
      </c>
    </row>
    <row r="1716">
      <c r="A1716" s="2" t="n">
        <v>46168.875</v>
      </c>
      <c r="B1716">
        <f>TEXT(A1716,"yyyy-mm")</f>
        <v/>
      </c>
      <c r="C1716" s="3">
        <f>HOUR(A1716)</f>
        <v/>
      </c>
      <c r="D1716" s="4" t="n">
        <v>19.94502764968889</v>
      </c>
      <c r="E1716" s="4" t="n">
        <v>25.68668553335556</v>
      </c>
      <c r="F1716" s="4" t="n">
        <v>27.44324671931111</v>
      </c>
      <c r="G1716" s="4" t="n">
        <v>15.9</v>
      </c>
      <c r="H1716" s="5" t="n">
        <v>30.125675960975</v>
      </c>
      <c r="I1716" s="5" t="n">
        <v>25.95225336299444</v>
      </c>
      <c r="J1716" s="5" t="n">
        <v>39.68761776138612</v>
      </c>
      <c r="K1716" s="5" t="n">
        <v>41</v>
      </c>
    </row>
    <row r="1717">
      <c r="A1717" s="2" t="n">
        <v>46168.91666666666</v>
      </c>
      <c r="B1717">
        <f>TEXT(A1717,"yyyy-mm")</f>
        <v/>
      </c>
      <c r="C1717" s="3">
        <f>HOUR(A1717)</f>
        <v/>
      </c>
      <c r="D1717" s="4" t="n">
        <v>19.16476730031389</v>
      </c>
      <c r="E1717" s="4" t="n">
        <v>25.58852635215278</v>
      </c>
      <c r="F1717" s="4" t="n">
        <v>27.473800500975</v>
      </c>
      <c r="G1717" s="4" t="n">
        <v>15.7</v>
      </c>
      <c r="H1717" s="5" t="n">
        <v>31.97402762211389</v>
      </c>
      <c r="I1717" s="5" t="n">
        <v>25.45929475957222</v>
      </c>
      <c r="J1717" s="5" t="n">
        <v>39.67078484229167</v>
      </c>
      <c r="K1717" s="5" t="n">
        <v>42</v>
      </c>
    </row>
    <row r="1718">
      <c r="A1718" s="2" t="n">
        <v>46168.95833333334</v>
      </c>
      <c r="B1718">
        <f>TEXT(A1718,"yyyy-mm")</f>
        <v/>
      </c>
      <c r="C1718" s="3">
        <f>HOUR(A1718)</f>
        <v/>
      </c>
      <c r="D1718" s="4" t="n">
        <v>21.51157509529722</v>
      </c>
      <c r="E1718" s="4" t="n">
        <v>25.68422322191389</v>
      </c>
      <c r="F1718" s="4" t="n">
        <v>27.39044723864166</v>
      </c>
      <c r="G1718" s="4" t="n">
        <v>15.3</v>
      </c>
      <c r="H1718" s="5" t="n">
        <v>31.20457111441944</v>
      </c>
      <c r="I1718" s="5" t="n">
        <v>27.59896071453889</v>
      </c>
      <c r="J1718" s="5" t="n">
        <v>39.19144173544166</v>
      </c>
      <c r="K1718" s="5" t="n">
        <v>42</v>
      </c>
    </row>
    <row r="1719">
      <c r="A1719" s="2" t="n">
        <v>46169</v>
      </c>
      <c r="B1719">
        <f>TEXT(A1719,"yyyy-mm")</f>
        <v/>
      </c>
      <c r="C1719" s="3">
        <f>HOUR(A1719)</f>
        <v/>
      </c>
      <c r="D1719" s="4" t="n">
        <v>22.83670383824445</v>
      </c>
      <c r="E1719" s="4" t="n">
        <v>25.88170454841389</v>
      </c>
      <c r="F1719" s="4" t="n">
        <v>26.36212581363889</v>
      </c>
      <c r="G1719" s="4" t="n">
        <v>13.7</v>
      </c>
      <c r="H1719" s="5" t="n">
        <v>29.34062441097777</v>
      </c>
      <c r="I1719" s="5" t="n">
        <v>28.16903108206112</v>
      </c>
      <c r="J1719" s="5" t="n">
        <v>37.57172065311666</v>
      </c>
      <c r="K1719" s="5" t="n">
        <v>50</v>
      </c>
    </row>
    <row r="1720">
      <c r="A1720" s="2" t="n">
        <v>46169.04166666666</v>
      </c>
      <c r="B1720">
        <f>TEXT(A1720,"yyyy-mm")</f>
        <v/>
      </c>
      <c r="C1720" s="3">
        <f>HOUR(A1720)</f>
        <v/>
      </c>
      <c r="D1720" s="4" t="n">
        <v>23.22616207628611</v>
      </c>
      <c r="E1720" s="4" t="n">
        <v>25.826693204425</v>
      </c>
      <c r="F1720" s="4" t="n">
        <v>26.44996188909722</v>
      </c>
      <c r="G1720" s="4" t="n">
        <v>12.4</v>
      </c>
      <c r="H1720" s="5" t="n">
        <v>29.48431212609445</v>
      </c>
      <c r="I1720" s="5" t="n">
        <v>28.57196255929722</v>
      </c>
      <c r="J1720" s="5" t="n">
        <v>38.36756358959722</v>
      </c>
      <c r="K1720" s="5" t="n">
        <v>58</v>
      </c>
    </row>
    <row r="1721">
      <c r="A1721" s="2" t="n">
        <v>46169.08333333334</v>
      </c>
      <c r="B1721">
        <f>TEXT(A1721,"yyyy-mm")</f>
        <v/>
      </c>
      <c r="C1721" s="3">
        <f>HOUR(A1721)</f>
        <v/>
      </c>
      <c r="D1721" s="4" t="n">
        <v>22.75617362867778</v>
      </c>
      <c r="E1721" s="4" t="n">
        <v>25.25459052793612</v>
      </c>
      <c r="F1721" s="4" t="n">
        <v>27.04012464153056</v>
      </c>
      <c r="G1721" s="4" t="n">
        <v>11.5</v>
      </c>
      <c r="H1721" s="5" t="n">
        <v>31.5324162067</v>
      </c>
      <c r="I1721" s="5" t="n">
        <v>29.43732321072222</v>
      </c>
      <c r="J1721" s="5" t="n">
        <v>39.214521700675</v>
      </c>
      <c r="K1721" s="5" t="n">
        <v>63</v>
      </c>
    </row>
    <row r="1722">
      <c r="A1722" s="2" t="n">
        <v>46169.125</v>
      </c>
      <c r="B1722">
        <f>TEXT(A1722,"yyyy-mm")</f>
        <v/>
      </c>
      <c r="C1722" s="3">
        <f>HOUR(A1722)</f>
        <v/>
      </c>
      <c r="D1722" s="4" t="n">
        <v>22.14205082304167</v>
      </c>
      <c r="E1722" s="4" t="n">
        <v>24.87186361661389</v>
      </c>
      <c r="F1722" s="4" t="n">
        <v>27.20300344149166</v>
      </c>
      <c r="G1722" s="4" t="n">
        <v>11.1</v>
      </c>
      <c r="H1722" s="5" t="n">
        <v>33.55315356771667</v>
      </c>
      <c r="I1722" s="5" t="n">
        <v>30.79559083513333</v>
      </c>
      <c r="J1722" s="5" t="n">
        <v>39.66484295536944</v>
      </c>
      <c r="K1722" s="5" t="n">
        <v>61</v>
      </c>
    </row>
    <row r="1723">
      <c r="A1723" s="2" t="n">
        <v>46169.16666666666</v>
      </c>
      <c r="B1723">
        <f>TEXT(A1723,"yyyy-mm")</f>
        <v/>
      </c>
      <c r="C1723" s="3">
        <f>HOUR(A1723)</f>
        <v/>
      </c>
      <c r="D1723" s="4" t="n">
        <v>21.80902950946944</v>
      </c>
      <c r="E1723" s="4" t="n">
        <v>24.63751085548612</v>
      </c>
      <c r="F1723" s="4" t="n">
        <v>27.26529463885834</v>
      </c>
      <c r="G1723" s="4" t="n">
        <v>10.7</v>
      </c>
      <c r="H1723" s="5" t="n">
        <v>34.66731387333333</v>
      </c>
      <c r="I1723" s="5" t="n">
        <v>31.56157086676389</v>
      </c>
      <c r="J1723" s="5" t="n">
        <v>39.96193119529722</v>
      </c>
      <c r="K1723" s="5" t="n">
        <v>65</v>
      </c>
    </row>
    <row r="1724">
      <c r="A1724" s="2" t="n">
        <v>46169.20833333334</v>
      </c>
      <c r="B1724">
        <f>TEXT(A1724,"yyyy-mm")</f>
        <v/>
      </c>
      <c r="C1724" s="3">
        <f>HOUR(A1724)</f>
        <v/>
      </c>
      <c r="D1724" s="4" t="n">
        <v>21.58310664914723</v>
      </c>
      <c r="E1724" s="4" t="n">
        <v>24.44756482963055</v>
      </c>
      <c r="F1724" s="4" t="n">
        <v>27.29328928765556</v>
      </c>
      <c r="G1724" s="4" t="n">
        <v>11.7</v>
      </c>
      <c r="H1724" s="5" t="n">
        <v>36.45882179912778</v>
      </c>
      <c r="I1724" s="5" t="n">
        <v>32.77040050299444</v>
      </c>
      <c r="J1724" s="5" t="n">
        <v>40.23282038183333</v>
      </c>
      <c r="K1724" s="5" t="n">
        <v>64</v>
      </c>
    </row>
    <row r="1725">
      <c r="A1725" s="2" t="n">
        <v>46169.25</v>
      </c>
      <c r="B1725">
        <f>TEXT(A1725,"yyyy-mm")</f>
        <v/>
      </c>
      <c r="C1725" s="3">
        <f>HOUR(A1725)</f>
        <v/>
      </c>
      <c r="D1725" s="4" t="n">
        <v>21.54659259183612</v>
      </c>
      <c r="E1725" s="4" t="n">
        <v>24.39706748831667</v>
      </c>
      <c r="F1725" s="4" t="n">
        <v>27.31674123738611</v>
      </c>
      <c r="G1725" s="4" t="n">
        <v>12.1</v>
      </c>
      <c r="H1725" s="5" t="n">
        <v>37.17619296906667</v>
      </c>
      <c r="I1725" s="5" t="n">
        <v>33.32897959677222</v>
      </c>
      <c r="J1725" s="5" t="n">
        <v>40.51147085340556</v>
      </c>
      <c r="K1725" s="5" t="n">
        <v>66</v>
      </c>
    </row>
    <row r="1726">
      <c r="A1726" s="2" t="n">
        <v>46169.29166666666</v>
      </c>
      <c r="B1726">
        <f>TEXT(A1726,"yyyy-mm")</f>
        <v/>
      </c>
      <c r="C1726" s="3">
        <f>HOUR(A1726)</f>
        <v/>
      </c>
      <c r="D1726" s="4" t="n">
        <v>21.88574500535</v>
      </c>
      <c r="E1726" s="4" t="n">
        <v>24.20009173609722</v>
      </c>
      <c r="F1726" s="4" t="n">
        <v>27.32060600584722</v>
      </c>
      <c r="G1726" s="4" t="n">
        <v>11.9</v>
      </c>
      <c r="H1726" s="5" t="n">
        <v>38.8583065258</v>
      </c>
      <c r="I1726" s="5" t="n">
        <v>35.11995272461111</v>
      </c>
      <c r="J1726" s="5" t="n">
        <v>40.79753585309167</v>
      </c>
      <c r="K1726" s="5" t="n">
        <v>74</v>
      </c>
    </row>
    <row r="1727">
      <c r="A1727" s="2" t="n">
        <v>46169.33333333334</v>
      </c>
      <c r="B1727">
        <f>TEXT(A1727,"yyyy-mm")</f>
        <v/>
      </c>
      <c r="C1727" s="3">
        <f>HOUR(A1727)</f>
        <v/>
      </c>
      <c r="D1727" s="4" t="n">
        <v>22.27901161096666</v>
      </c>
      <c r="E1727" s="4" t="n">
        <v>24.44480549860833</v>
      </c>
      <c r="F1727" s="4" t="n">
        <v>27.35339289832222</v>
      </c>
      <c r="G1727" s="4" t="n">
        <v>11.6</v>
      </c>
      <c r="H1727" s="5" t="n">
        <v>41.93790877963889</v>
      </c>
      <c r="I1727" s="5" t="n">
        <v>37.58379655066667</v>
      </c>
      <c r="J1727" s="5" t="n">
        <v>41.21421710874722</v>
      </c>
      <c r="K1727" s="5" t="n">
        <v>91</v>
      </c>
    </row>
    <row r="1728">
      <c r="A1728" s="2" t="n">
        <v>46169.375</v>
      </c>
      <c r="B1728">
        <f>TEXT(A1728,"yyyy-mm")</f>
        <v/>
      </c>
      <c r="C1728" s="3">
        <f>HOUR(A1728)</f>
        <v/>
      </c>
      <c r="D1728" s="4" t="n">
        <v>22.79883207564444</v>
      </c>
      <c r="E1728" s="4" t="n">
        <v>24.56275102350556</v>
      </c>
      <c r="F1728" s="4" t="n">
        <v>27.38837527887778</v>
      </c>
      <c r="G1728" s="4" t="n">
        <v>13.3</v>
      </c>
      <c r="H1728" s="5" t="n">
        <v>43.4741088273361</v>
      </c>
      <c r="I1728" s="5" t="n">
        <v>39.54193745100555</v>
      </c>
      <c r="J1728" s="5" t="n">
        <v>41.67435686367778</v>
      </c>
      <c r="K1728" s="5" t="n">
        <v>86</v>
      </c>
    </row>
    <row r="1729">
      <c r="A1729" s="2" t="n">
        <v>46169.41666666666</v>
      </c>
      <c r="B1729">
        <f>TEXT(A1729,"yyyy-mm")</f>
        <v/>
      </c>
      <c r="C1729" s="3">
        <f>HOUR(A1729)</f>
        <v/>
      </c>
      <c r="D1729" s="4" t="n">
        <v>23.51435560052778</v>
      </c>
      <c r="E1729" s="4" t="n">
        <v>24.95892822869444</v>
      </c>
      <c r="F1729" s="4" t="n">
        <v>27.42075100228333</v>
      </c>
      <c r="G1729" s="4" t="n">
        <v>15.1</v>
      </c>
      <c r="H1729" s="5" t="n">
        <v>43.19411726462778</v>
      </c>
      <c r="I1729" s="5" t="n">
        <v>41.44536093103889</v>
      </c>
      <c r="J1729" s="5" t="n">
        <v>42.06567878151944</v>
      </c>
      <c r="K1729" s="5" t="n">
        <v>80</v>
      </c>
    </row>
    <row r="1730">
      <c r="A1730" s="2" t="n">
        <v>46169.45833333334</v>
      </c>
      <c r="B1730">
        <f>TEXT(A1730,"yyyy-mm")</f>
        <v/>
      </c>
      <c r="C1730" s="3">
        <f>HOUR(A1730)</f>
        <v/>
      </c>
      <c r="D1730" s="4" t="n">
        <v>24.04738323750833</v>
      </c>
      <c r="E1730" s="4" t="n">
        <v>25.56165775886667</v>
      </c>
      <c r="F1730" s="4" t="n">
        <v>27.45743380571389</v>
      </c>
      <c r="G1730" s="4" t="n">
        <v>16.3</v>
      </c>
      <c r="H1730" s="5" t="n">
        <v>41.42897519507778</v>
      </c>
      <c r="I1730" s="5" t="n">
        <v>42.06947675448611</v>
      </c>
      <c r="J1730" s="5" t="n">
        <v>42.3507848786</v>
      </c>
      <c r="K1730" s="5" t="n">
        <v>73</v>
      </c>
    </row>
    <row r="1731">
      <c r="A1731" s="2" t="n">
        <v>46169.5</v>
      </c>
      <c r="B1731">
        <f>TEXT(A1731,"yyyy-mm")</f>
        <v/>
      </c>
      <c r="C1731" s="3">
        <f>HOUR(A1731)</f>
        <v/>
      </c>
      <c r="D1731" s="4" t="n">
        <v>24.22141156462777</v>
      </c>
      <c r="E1731" s="4" t="n">
        <v>25.64421723205</v>
      </c>
      <c r="F1731" s="4" t="n">
        <v>27.47795629882778</v>
      </c>
      <c r="G1731" s="4" t="n">
        <v>16.4</v>
      </c>
      <c r="H1731" s="5" t="n">
        <v>41.28784828914166</v>
      </c>
      <c r="I1731" s="5" t="n">
        <v>43.83752970929722</v>
      </c>
      <c r="J1731" s="5" t="n">
        <v>42.60269061019723</v>
      </c>
      <c r="K1731" s="5" t="n">
        <v>63</v>
      </c>
    </row>
    <row r="1732">
      <c r="A1732" s="2" t="n">
        <v>46169.54166666666</v>
      </c>
      <c r="B1732">
        <f>TEXT(A1732,"yyyy-mm")</f>
        <v/>
      </c>
      <c r="C1732" s="3">
        <f>HOUR(A1732)</f>
        <v/>
      </c>
      <c r="D1732" s="4" t="n">
        <v>24.5708337518</v>
      </c>
      <c r="E1732" s="4" t="n">
        <v>25.84189404741112</v>
      </c>
      <c r="F1732" s="4" t="n">
        <v>27.50021244571389</v>
      </c>
      <c r="G1732" s="4" t="n">
        <v>18</v>
      </c>
      <c r="H1732" s="5" t="n">
        <v>41.56548961784167</v>
      </c>
      <c r="I1732" s="5" t="n">
        <v>44.17717197685555</v>
      </c>
      <c r="J1732" s="5" t="n">
        <v>42.76393466074722</v>
      </c>
      <c r="K1732" s="5" t="n">
        <v>51</v>
      </c>
    </row>
    <row r="1733">
      <c r="A1733" s="2" t="n">
        <v>46169.58333333334</v>
      </c>
      <c r="B1733">
        <f>TEXT(A1733,"yyyy-mm")</f>
        <v/>
      </c>
      <c r="C1733" s="3">
        <f>HOUR(A1733)</f>
        <v/>
      </c>
      <c r="D1733" s="4" t="n">
        <v>24.697500900425</v>
      </c>
      <c r="E1733" s="4" t="n">
        <v>25.88864119440833</v>
      </c>
      <c r="F1733" s="4" t="n">
        <v>27.52376744318056</v>
      </c>
      <c r="G1733" s="4" t="n">
        <v>17.1</v>
      </c>
      <c r="H1733" s="5" t="n">
        <v>40.38668203119722</v>
      </c>
      <c r="I1733" s="5" t="n">
        <v>41.11678289250556</v>
      </c>
      <c r="J1733" s="5" t="n">
        <v>42.97932746093889</v>
      </c>
      <c r="K1733" s="5" t="n">
        <v>52</v>
      </c>
    </row>
    <row r="1734">
      <c r="A1734" s="2" t="n">
        <v>46169.625</v>
      </c>
      <c r="B1734">
        <f>TEXT(A1734,"yyyy-mm")</f>
        <v/>
      </c>
      <c r="C1734" s="3">
        <f>HOUR(A1734)</f>
        <v/>
      </c>
      <c r="D1734" s="4" t="n">
        <v>24.5698525076</v>
      </c>
      <c r="E1734" s="4" t="n">
        <v>25.64154421690555</v>
      </c>
      <c r="F1734" s="4" t="n">
        <v>26.896041944425</v>
      </c>
      <c r="G1734" s="4" t="n">
        <v>19.1</v>
      </c>
      <c r="H1734" s="5" t="n">
        <v>38.44816410208333</v>
      </c>
      <c r="I1734" s="5" t="n">
        <v>38.51109835355</v>
      </c>
      <c r="J1734" s="5" t="n">
        <v>45.84845890765556</v>
      </c>
      <c r="K1734" s="5" t="n">
        <v>45</v>
      </c>
    </row>
    <row r="1735">
      <c r="A1735" s="2" t="n">
        <v>46169.66666666666</v>
      </c>
      <c r="B1735">
        <f>TEXT(A1735,"yyyy-mm")</f>
        <v/>
      </c>
      <c r="C1735" s="3">
        <f>HOUR(A1735)</f>
        <v/>
      </c>
      <c r="D1735" s="4" t="n">
        <v>24.49586352780278</v>
      </c>
      <c r="E1735" s="4" t="n">
        <v>25.49413833775833</v>
      </c>
      <c r="F1735" s="4" t="n">
        <v>26.41349561797222</v>
      </c>
      <c r="G1735" s="4" t="n">
        <v>19.4</v>
      </c>
      <c r="H1735" s="5" t="n">
        <v>37.505811341725</v>
      </c>
      <c r="I1735" s="5" t="n">
        <v>37.16465174445</v>
      </c>
      <c r="J1735" s="5" t="n">
        <v>45.64425564932222</v>
      </c>
      <c r="K1735" s="5" t="n">
        <v>48</v>
      </c>
    </row>
    <row r="1736">
      <c r="A1736" s="2" t="n">
        <v>46169.70833333334</v>
      </c>
      <c r="B1736">
        <f>TEXT(A1736,"yyyy-mm")</f>
        <v/>
      </c>
      <c r="C1736" s="3">
        <f>HOUR(A1736)</f>
        <v/>
      </c>
      <c r="D1736" s="4" t="n">
        <v>24.41514744610833</v>
      </c>
      <c r="E1736" s="4" t="n">
        <v>25.45967639417222</v>
      </c>
      <c r="F1736" s="4" t="n">
        <v>26.25815127641944</v>
      </c>
      <c r="G1736" s="4" t="n">
        <v>19.4</v>
      </c>
      <c r="H1736" s="5" t="n">
        <v>38.34435702712778</v>
      </c>
      <c r="I1736" s="5" t="n">
        <v>38.18509823908889</v>
      </c>
      <c r="J1736" s="5" t="n">
        <v>46.89809688756944</v>
      </c>
      <c r="K1736" s="5" t="n">
        <v>49</v>
      </c>
    </row>
    <row r="1737">
      <c r="A1737" s="2" t="n">
        <v>46169.75</v>
      </c>
      <c r="B1737">
        <f>TEXT(A1737,"yyyy-mm")</f>
        <v/>
      </c>
      <c r="C1737" s="3">
        <f>HOUR(A1737)</f>
        <v/>
      </c>
      <c r="D1737" s="4" t="n">
        <v>23.89731326748056</v>
      </c>
      <c r="E1737" s="4" t="n">
        <v>25.36075147602778</v>
      </c>
      <c r="F1737" s="4" t="n">
        <v>26.10393874232222</v>
      </c>
      <c r="G1737" s="4" t="n">
        <v>17.7</v>
      </c>
      <c r="H1737" s="5" t="n">
        <v>40.29342535376111</v>
      </c>
      <c r="I1737" s="5" t="n">
        <v>38.50236823005833</v>
      </c>
      <c r="J1737" s="5" t="n">
        <v>47.13924006666667</v>
      </c>
      <c r="K1737" s="5" t="n">
        <v>58</v>
      </c>
    </row>
    <row r="1738">
      <c r="A1738" s="2" t="n">
        <v>46169.79166666666</v>
      </c>
      <c r="B1738">
        <f>TEXT(A1738,"yyyy-mm")</f>
        <v/>
      </c>
      <c r="C1738" s="3">
        <f>HOUR(A1738)</f>
        <v/>
      </c>
      <c r="D1738" s="4" t="n">
        <v>22.94786745305278</v>
      </c>
      <c r="E1738" s="4" t="n">
        <v>25.21792205983056</v>
      </c>
      <c r="F1738" s="4" t="n">
        <v>25.86091357337778</v>
      </c>
      <c r="G1738" s="4" t="n">
        <v>17.4</v>
      </c>
      <c r="H1738" s="5" t="n">
        <v>42.25447565023334</v>
      </c>
      <c r="I1738" s="5" t="n">
        <v>38.936529943825</v>
      </c>
      <c r="J1738" s="5" t="n">
        <v>47.26000249968889</v>
      </c>
      <c r="K1738" s="5" t="n">
        <v>61</v>
      </c>
    </row>
    <row r="1739">
      <c r="A1739" s="2" t="n">
        <v>46169.83333333334</v>
      </c>
      <c r="B1739">
        <f>TEXT(A1739,"yyyy-mm")</f>
        <v/>
      </c>
      <c r="C1739" s="3">
        <f>HOUR(A1739)</f>
        <v/>
      </c>
      <c r="D1739" s="4" t="n">
        <v>22.71840851425278</v>
      </c>
      <c r="E1739" s="4" t="n">
        <v>24.94847306777222</v>
      </c>
      <c r="F1739" s="4" t="n">
        <v>26.50157983552222</v>
      </c>
      <c r="G1739" s="4" t="n">
        <v>16.2</v>
      </c>
      <c r="H1739" s="5" t="n">
        <v>41.83119289878056</v>
      </c>
      <c r="I1739" s="5" t="n">
        <v>39.71580029421389</v>
      </c>
      <c r="J1739" s="5" t="n">
        <v>45.64402686550278</v>
      </c>
      <c r="K1739" s="5" t="n">
        <v>57</v>
      </c>
    </row>
    <row r="1740">
      <c r="A1740" s="2" t="n">
        <v>46169.875</v>
      </c>
      <c r="B1740">
        <f>TEXT(A1740,"yyyy-mm")</f>
        <v/>
      </c>
      <c r="C1740" s="3">
        <f>HOUR(A1740)</f>
        <v/>
      </c>
      <c r="D1740" s="4" t="n">
        <v>22.49000679075555</v>
      </c>
      <c r="E1740" s="4" t="n">
        <v>25.06530658626389</v>
      </c>
      <c r="F1740" s="4" t="n">
        <v>26.82553650226111</v>
      </c>
      <c r="G1740" s="4" t="n">
        <v>13.8</v>
      </c>
      <c r="H1740" s="5" t="n">
        <v>41.33807881328333</v>
      </c>
      <c r="I1740" s="5" t="n">
        <v>38.70458649502222</v>
      </c>
      <c r="J1740" s="5" t="n">
        <v>45.05400641510833</v>
      </c>
      <c r="K1740" s="5" t="n">
        <v>66</v>
      </c>
    </row>
    <row r="1741">
      <c r="A1741" s="2" t="n">
        <v>46169.91666666666</v>
      </c>
      <c r="B1741">
        <f>TEXT(A1741,"yyyy-mm")</f>
        <v/>
      </c>
      <c r="C1741" s="3">
        <f>HOUR(A1741)</f>
        <v/>
      </c>
      <c r="D1741" s="4" t="n">
        <v>22.597137593275</v>
      </c>
      <c r="E1741" s="4" t="n">
        <v>25.1813028865</v>
      </c>
      <c r="F1741" s="4" t="n">
        <v>26.97375972354167</v>
      </c>
      <c r="G1741" s="4" t="n">
        <v>12.9</v>
      </c>
      <c r="H1741" s="5" t="n">
        <v>37.35345250440277</v>
      </c>
      <c r="I1741" s="5" t="n">
        <v>36.03448896743333</v>
      </c>
      <c r="J1741" s="5" t="n">
        <v>44.58827603885</v>
      </c>
      <c r="K1741" s="5" t="n">
        <v>68</v>
      </c>
    </row>
    <row r="1742">
      <c r="A1742" s="2" t="n">
        <v>46169.95833333334</v>
      </c>
      <c r="B1742">
        <f>TEXT(A1742,"yyyy-mm")</f>
        <v/>
      </c>
      <c r="C1742" s="3">
        <f>HOUR(A1742)</f>
        <v/>
      </c>
      <c r="D1742" s="4" t="n">
        <v>21.857882394825</v>
      </c>
      <c r="E1742" s="4" t="n">
        <v>25.17059100171112</v>
      </c>
      <c r="F1742" s="4" t="n">
        <v>27.05157555828612</v>
      </c>
      <c r="G1742" s="4" t="n">
        <v>11.6</v>
      </c>
      <c r="H1742" s="5" t="n">
        <v>37.87975368759167</v>
      </c>
      <c r="I1742" s="5" t="n">
        <v>36.75321428906667</v>
      </c>
      <c r="J1742" s="5" t="n">
        <v>44.21265608728056</v>
      </c>
      <c r="K1742" s="5" t="n">
        <v>67</v>
      </c>
    </row>
    <row r="1743">
      <c r="A1743" s="2" t="n">
        <v>46170</v>
      </c>
      <c r="B1743">
        <f>TEXT(A1743,"yyyy-mm")</f>
        <v/>
      </c>
      <c r="C1743" s="3">
        <f>HOUR(A1743)</f>
        <v/>
      </c>
      <c r="D1743" s="4" t="n">
        <v>22.099410509575</v>
      </c>
      <c r="E1743" s="4" t="n">
        <v>25.22132675054445</v>
      </c>
      <c r="F1743" s="4" t="n">
        <v>27.09520702081667</v>
      </c>
      <c r="G1743" s="4" t="n">
        <v>10.7</v>
      </c>
      <c r="H1743" s="5" t="n">
        <v>36.14149386437222</v>
      </c>
      <c r="I1743" s="5" t="n">
        <v>34.57474368595278</v>
      </c>
      <c r="J1743" s="5" t="n">
        <v>43.88811463017223</v>
      </c>
      <c r="K1743" s="5" t="n">
        <v>71</v>
      </c>
    </row>
    <row r="1744">
      <c r="A1744" s="2" t="n">
        <v>46170.04166666666</v>
      </c>
      <c r="B1744">
        <f>TEXT(A1744,"yyyy-mm")</f>
        <v/>
      </c>
      <c r="C1744" s="3">
        <f>HOUR(A1744)</f>
        <v/>
      </c>
      <c r="D1744" s="4" t="n">
        <v>21.72584706041667</v>
      </c>
      <c r="E1744" s="4" t="n">
        <v>25.11055352106389</v>
      </c>
      <c r="F1744" s="4" t="n">
        <v>26.98513586441666</v>
      </c>
      <c r="G1744" s="4" t="n">
        <v>10.2</v>
      </c>
      <c r="H1744" s="5" t="n">
        <v>36.61764075073889</v>
      </c>
      <c r="I1744" s="5" t="n">
        <v>33.65267439351388</v>
      </c>
      <c r="J1744" s="5" t="n">
        <v>42.79878115881944</v>
      </c>
      <c r="K1744" s="5" t="n">
        <v>74</v>
      </c>
    </row>
    <row r="1745">
      <c r="A1745" s="2" t="n">
        <v>46170.08333333334</v>
      </c>
      <c r="B1745">
        <f>TEXT(A1745,"yyyy-mm")</f>
        <v/>
      </c>
      <c r="C1745" s="3">
        <f>HOUR(A1745)</f>
        <v/>
      </c>
      <c r="D1745" s="4" t="n">
        <v>21.40952730248611</v>
      </c>
      <c r="E1745" s="4" t="n">
        <v>24.47993801295833</v>
      </c>
      <c r="F1745" s="4" t="n">
        <v>26.99630326708333</v>
      </c>
      <c r="G1745" s="4" t="n">
        <v>9.9</v>
      </c>
      <c r="H1745" s="5" t="n">
        <v>36.20660557723333</v>
      </c>
      <c r="I1745" s="5" t="n">
        <v>32.98942521379445</v>
      </c>
      <c r="J1745" s="5" t="n">
        <v>42.65811624598612</v>
      </c>
      <c r="K1745" s="5" t="n">
        <v>75</v>
      </c>
    </row>
    <row r="1746">
      <c r="A1746" s="2" t="n">
        <v>46170.125</v>
      </c>
      <c r="B1746">
        <f>TEXT(A1746,"yyyy-mm")</f>
        <v/>
      </c>
      <c r="C1746" s="3">
        <f>HOUR(A1746)</f>
        <v/>
      </c>
      <c r="D1746" s="4" t="n">
        <v>21.38411326646112</v>
      </c>
      <c r="E1746" s="4" t="n">
        <v>24.08585177515556</v>
      </c>
      <c r="F1746" s="4" t="n">
        <v>27.00917173924167</v>
      </c>
      <c r="G1746" s="4" t="n">
        <v>9.4</v>
      </c>
      <c r="H1746" s="5" t="n">
        <v>34.65710437743333</v>
      </c>
      <c r="I1746" s="5" t="n">
        <v>31.86557971961944</v>
      </c>
      <c r="J1746" s="5" t="n">
        <v>42.31344826717778</v>
      </c>
      <c r="K1746" s="5" t="n">
        <v>69</v>
      </c>
    </row>
    <row r="1747">
      <c r="A1747" s="2" t="n">
        <v>46170.16666666666</v>
      </c>
      <c r="B1747">
        <f>TEXT(A1747,"yyyy-mm")</f>
        <v/>
      </c>
      <c r="C1747" s="3">
        <f>HOUR(A1747)</f>
        <v/>
      </c>
      <c r="D1747" s="4" t="n">
        <v>21.25585965397222</v>
      </c>
      <c r="E1747" s="4" t="n">
        <v>23.77559778158611</v>
      </c>
      <c r="F1747" s="4" t="n">
        <v>26.988733872375</v>
      </c>
      <c r="G1747" s="4" t="n">
        <v>8.9</v>
      </c>
      <c r="H1747" s="5" t="n">
        <v>34.46229591905278</v>
      </c>
      <c r="I1747" s="5" t="n">
        <v>31.70994801166389</v>
      </c>
      <c r="J1747" s="5" t="n">
        <v>41.85225313441666</v>
      </c>
      <c r="K1747" s="5" t="n">
        <v>73</v>
      </c>
    </row>
    <row r="1748">
      <c r="A1748" s="2" t="n">
        <v>46170.20833333334</v>
      </c>
      <c r="B1748">
        <f>TEXT(A1748,"yyyy-mm")</f>
        <v/>
      </c>
      <c r="C1748" s="3">
        <f>HOUR(A1748)</f>
        <v/>
      </c>
      <c r="D1748" s="4" t="n">
        <v>21.66305403602222</v>
      </c>
      <c r="E1748" s="4" t="n">
        <v>23.79884091205833</v>
      </c>
      <c r="F1748" s="4" t="n">
        <v>26.98158056371111</v>
      </c>
      <c r="G1748" s="4" t="n">
        <v>8.6</v>
      </c>
      <c r="H1748" s="5" t="n">
        <v>34.05481930446944</v>
      </c>
      <c r="I1748" s="5" t="n">
        <v>32.05462831881389</v>
      </c>
      <c r="J1748" s="5" t="n">
        <v>41.71389720177778</v>
      </c>
      <c r="K1748" s="5" t="n">
        <v>75</v>
      </c>
    </row>
    <row r="1749">
      <c r="A1749" s="2" t="n">
        <v>46170.25</v>
      </c>
      <c r="B1749">
        <f>TEXT(A1749,"yyyy-mm")</f>
        <v/>
      </c>
      <c r="C1749" s="3">
        <f>HOUR(A1749)</f>
        <v/>
      </c>
      <c r="D1749" s="4" t="n">
        <v>22.94706756493333</v>
      </c>
      <c r="E1749" s="4" t="n">
        <v>24.29575882903333</v>
      </c>
      <c r="F1749" s="4" t="n">
        <v>27.00567483995833</v>
      </c>
      <c r="G1749" s="4" t="n">
        <v>9.300000000000001</v>
      </c>
      <c r="H1749" s="5" t="n">
        <v>31.30084321096389</v>
      </c>
      <c r="I1749" s="5" t="n">
        <v>31.74741238468889</v>
      </c>
      <c r="J1749" s="5" t="n">
        <v>41.69555356971389</v>
      </c>
      <c r="K1749" s="5" t="n">
        <v>70</v>
      </c>
    </row>
    <row r="1750">
      <c r="A1750" s="2" t="n">
        <v>46170.29166666666</v>
      </c>
      <c r="B1750">
        <f>TEXT(A1750,"yyyy-mm")</f>
        <v/>
      </c>
      <c r="C1750" s="3">
        <f>HOUR(A1750)</f>
        <v/>
      </c>
      <c r="D1750" s="4" t="n">
        <v>23.88744569640556</v>
      </c>
      <c r="E1750" s="4" t="n">
        <v>24.68306807761667</v>
      </c>
      <c r="F1750" s="4" t="n">
        <v>27.05364698632778</v>
      </c>
      <c r="G1750" s="4" t="n">
        <v>10.5</v>
      </c>
      <c r="H1750" s="5" t="n">
        <v>30.20527893744167</v>
      </c>
      <c r="I1750" s="5" t="n">
        <v>31.29529394914444</v>
      </c>
      <c r="J1750" s="5" t="n">
        <v>41.68519141181945</v>
      </c>
      <c r="K1750" s="5" t="n">
        <v>63</v>
      </c>
    </row>
    <row r="1751">
      <c r="A1751" s="2" t="n">
        <v>46170.33333333334</v>
      </c>
      <c r="B1751">
        <f>TEXT(A1751,"yyyy-mm")</f>
        <v/>
      </c>
      <c r="C1751" s="3">
        <f>HOUR(A1751)</f>
        <v/>
      </c>
      <c r="D1751" s="4" t="n">
        <v>24.47926461821389</v>
      </c>
      <c r="E1751" s="4" t="n">
        <v>25.05802795401945</v>
      </c>
      <c r="F1751" s="4" t="n">
        <v>27.101638977575</v>
      </c>
      <c r="G1751" s="4" t="n">
        <v>11.6</v>
      </c>
      <c r="H1751" s="5" t="n">
        <v>29.12743759702778</v>
      </c>
      <c r="I1751" s="5" t="n">
        <v>31.12070209050833</v>
      </c>
      <c r="J1751" s="5" t="n">
        <v>41.68744984911945</v>
      </c>
      <c r="K1751" s="5" t="n">
        <v>58</v>
      </c>
    </row>
    <row r="1752">
      <c r="A1752" s="2" t="n">
        <v>46170.375</v>
      </c>
      <c r="B1752">
        <f>TEXT(A1752,"yyyy-mm")</f>
        <v/>
      </c>
      <c r="C1752" s="3">
        <f>HOUR(A1752)</f>
        <v/>
      </c>
      <c r="D1752" s="4" t="n">
        <v>24.58806846917222</v>
      </c>
      <c r="E1752" s="4" t="n">
        <v>25.14429823007222</v>
      </c>
      <c r="F1752" s="4" t="n">
        <v>27.13213093526389</v>
      </c>
      <c r="G1752" s="4" t="n">
        <v>12.5</v>
      </c>
      <c r="H1752" s="5" t="n">
        <v>28.67940128496944</v>
      </c>
      <c r="I1752" s="5" t="n">
        <v>30.83995483175555</v>
      </c>
      <c r="J1752" s="5" t="n">
        <v>41.67762987369722</v>
      </c>
      <c r="K1752" s="5" t="n">
        <v>55</v>
      </c>
    </row>
    <row r="1753">
      <c r="A1753" s="2" t="n">
        <v>46170.41666666666</v>
      </c>
      <c r="B1753">
        <f>TEXT(A1753,"yyyy-mm")</f>
        <v/>
      </c>
      <c r="C1753" s="3">
        <f>HOUR(A1753)</f>
        <v/>
      </c>
      <c r="D1753" s="4" t="n">
        <v>24.55752798649722</v>
      </c>
      <c r="E1753" s="4" t="n">
        <v>25.103479292725</v>
      </c>
      <c r="F1753" s="4" t="n">
        <v>27.14707471963055</v>
      </c>
      <c r="G1753" s="4" t="n">
        <v>13.3</v>
      </c>
      <c r="H1753" s="5" t="n">
        <v>27.91030954018056</v>
      </c>
      <c r="I1753" s="5" t="n">
        <v>30.32533847465833</v>
      </c>
      <c r="J1753" s="5" t="n">
        <v>41.61298861148055</v>
      </c>
      <c r="K1753" s="5" t="n">
        <v>50</v>
      </c>
    </row>
    <row r="1754">
      <c r="A1754" s="2" t="n">
        <v>46170.45833333334</v>
      </c>
      <c r="B1754">
        <f>TEXT(A1754,"yyyy-mm")</f>
        <v/>
      </c>
      <c r="C1754" s="3">
        <f>HOUR(A1754)</f>
        <v/>
      </c>
      <c r="D1754" s="4" t="n">
        <v>24.04565386736944</v>
      </c>
      <c r="E1754" s="4" t="n">
        <v>25.04075482935277</v>
      </c>
      <c r="F1754" s="4" t="n">
        <v>27.16061192737778</v>
      </c>
      <c r="G1754" s="4" t="n">
        <v>14.5</v>
      </c>
      <c r="H1754" s="5" t="n">
        <v>26.97016735091944</v>
      </c>
      <c r="I1754" s="5" t="n">
        <v>29.738077438625</v>
      </c>
      <c r="J1754" s="5" t="n">
        <v>41.41768286246111</v>
      </c>
      <c r="K1754" s="5" t="n">
        <v>43</v>
      </c>
    </row>
    <row r="1755">
      <c r="A1755" s="2" t="n">
        <v>46170.5</v>
      </c>
      <c r="B1755">
        <f>TEXT(A1755,"yyyy-mm")</f>
        <v/>
      </c>
      <c r="C1755" s="3">
        <f>HOUR(A1755)</f>
        <v/>
      </c>
      <c r="D1755" s="4" t="n">
        <v>23.93537191321667</v>
      </c>
      <c r="E1755" s="4" t="n">
        <v>25.37609734356666</v>
      </c>
      <c r="F1755" s="4" t="n">
        <v>27.15985153931944</v>
      </c>
      <c r="G1755" s="4" t="n">
        <v>15.8</v>
      </c>
      <c r="H1755" s="5" t="n">
        <v>27.26218632963889</v>
      </c>
      <c r="I1755" s="5" t="n">
        <v>29.7924427967</v>
      </c>
      <c r="J1755" s="5" t="n">
        <v>41.28719836231944</v>
      </c>
      <c r="K1755" s="5" t="n">
        <v>40</v>
      </c>
    </row>
    <row r="1756">
      <c r="A1756" s="2" t="n">
        <v>46170.54166666666</v>
      </c>
      <c r="B1756">
        <f>TEXT(A1756,"yyyy-mm")</f>
        <v/>
      </c>
      <c r="C1756" s="3">
        <f>HOUR(A1756)</f>
        <v/>
      </c>
      <c r="D1756" s="4" t="n">
        <v>23.85965786537222</v>
      </c>
      <c r="E1756" s="4" t="n">
        <v>25.32990808277222</v>
      </c>
      <c r="F1756" s="4" t="n">
        <v>27.16924991928333</v>
      </c>
      <c r="G1756" s="4" t="n">
        <v>16.6</v>
      </c>
      <c r="H1756" s="5" t="n">
        <v>26.65186178554723</v>
      </c>
      <c r="I1756" s="5" t="n">
        <v>28.01687812263889</v>
      </c>
      <c r="J1756" s="5" t="n">
        <v>41.11633791003333</v>
      </c>
      <c r="K1756" s="5" t="n">
        <v>38</v>
      </c>
    </row>
    <row r="1757">
      <c r="A1757" s="2" t="n">
        <v>46170.58333333334</v>
      </c>
      <c r="B1757">
        <f>TEXT(A1757,"yyyy-mm")</f>
        <v/>
      </c>
      <c r="C1757" s="3">
        <f>HOUR(A1757)</f>
        <v/>
      </c>
      <c r="D1757" s="4" t="n">
        <v>23.39376957597223</v>
      </c>
      <c r="E1757" s="4" t="n">
        <v>25.274156442075</v>
      </c>
      <c r="F1757" s="4" t="n">
        <v>26.53974084007222</v>
      </c>
      <c r="G1757" s="4" t="n">
        <v>17.1</v>
      </c>
      <c r="H1757" s="5" t="n">
        <v>29.99596895668889</v>
      </c>
      <c r="I1757" s="5" t="n">
        <v>29.6592058834</v>
      </c>
      <c r="J1757" s="5" t="n">
        <v>39.00092838163611</v>
      </c>
      <c r="K1757" s="5" t="n">
        <v>37</v>
      </c>
    </row>
    <row r="1758">
      <c r="A1758" s="2" t="n">
        <v>46170.625</v>
      </c>
      <c r="B1758">
        <f>TEXT(A1758,"yyyy-mm")</f>
        <v/>
      </c>
      <c r="C1758" s="3">
        <f>HOUR(A1758)</f>
        <v/>
      </c>
      <c r="D1758" s="4" t="n">
        <v>21.51779367628056</v>
      </c>
      <c r="E1758" s="4" t="n">
        <v>24.93363330787777</v>
      </c>
      <c r="F1758" s="4" t="n">
        <v>26.17886677390834</v>
      </c>
      <c r="G1758" s="4" t="n">
        <v>13.7</v>
      </c>
      <c r="H1758" s="5" t="n">
        <v>30.70834875774445</v>
      </c>
      <c r="I1758" s="5" t="n">
        <v>28.6663823751</v>
      </c>
      <c r="J1758" s="5" t="n">
        <v>38.28810203706667</v>
      </c>
      <c r="K1758" s="5" t="n">
        <v>51</v>
      </c>
    </row>
    <row r="1759">
      <c r="A1759" s="2" t="n">
        <v>46170.66666666666</v>
      </c>
      <c r="B1759">
        <f>TEXT(A1759,"yyyy-mm")</f>
        <v/>
      </c>
      <c r="C1759" s="3">
        <f>HOUR(A1759)</f>
        <v/>
      </c>
      <c r="D1759" s="4" t="n">
        <v>20.98777854968611</v>
      </c>
      <c r="E1759" s="4" t="n">
        <v>24.97156217475555</v>
      </c>
      <c r="F1759" s="4" t="n">
        <v>25.40766286691111</v>
      </c>
      <c r="G1759" s="4" t="n">
        <v>13.2</v>
      </c>
      <c r="H1759" s="5" t="n">
        <v>32.53748916959444</v>
      </c>
      <c r="I1759" s="5" t="n">
        <v>29.41256900893056</v>
      </c>
      <c r="J1759" s="5" t="n">
        <v>38.60436526891944</v>
      </c>
      <c r="K1759" s="5" t="n">
        <v>53</v>
      </c>
    </row>
    <row r="1760">
      <c r="A1760" s="2" t="n">
        <v>46170.70833333334</v>
      </c>
      <c r="B1760">
        <f>TEXT(A1760,"yyyy-mm")</f>
        <v/>
      </c>
      <c r="C1760" s="3">
        <f>HOUR(A1760)</f>
        <v/>
      </c>
      <c r="D1760" s="4" t="n">
        <v>22.90209098751667</v>
      </c>
      <c r="E1760" s="4" t="n">
        <v>24.99261468693055</v>
      </c>
      <c r="F1760" s="4" t="n">
        <v>25.41764618524445</v>
      </c>
      <c r="G1760" s="4" t="n">
        <v>14.3</v>
      </c>
      <c r="H1760" s="5" t="n">
        <v>28.08527421653333</v>
      </c>
      <c r="I1760" s="5" t="n">
        <v>28.58297398180833</v>
      </c>
      <c r="J1760" s="5" t="n">
        <v>37.19710576536945</v>
      </c>
      <c r="K1760" s="5" t="n">
        <v>50</v>
      </c>
    </row>
    <row r="1761">
      <c r="A1761" s="2" t="n">
        <v>46170.75</v>
      </c>
      <c r="B1761">
        <f>TEXT(A1761,"yyyy-mm")</f>
        <v/>
      </c>
      <c r="C1761" s="3">
        <f>HOUR(A1761)</f>
        <v/>
      </c>
      <c r="D1761" s="4" t="n">
        <v>22.98234161054167</v>
      </c>
      <c r="E1761" s="4" t="n">
        <v>24.68495092931111</v>
      </c>
      <c r="F1761" s="4" t="n">
        <v>26.0702409948</v>
      </c>
      <c r="G1761" s="4" t="n">
        <v>14.1</v>
      </c>
      <c r="H1761" s="5" t="n">
        <v>27.21149323830834</v>
      </c>
      <c r="I1761" s="5" t="n">
        <v>27.49873275252778</v>
      </c>
      <c r="J1761" s="5" t="n">
        <v>38.20418114405</v>
      </c>
      <c r="K1761" s="5" t="n">
        <v>48</v>
      </c>
    </row>
    <row r="1762">
      <c r="A1762" s="2" t="n">
        <v>46170.79166666666</v>
      </c>
      <c r="B1762">
        <f>TEXT(A1762,"yyyy-mm")</f>
        <v/>
      </c>
      <c r="C1762" s="3">
        <f>HOUR(A1762)</f>
        <v/>
      </c>
      <c r="D1762" s="4" t="n">
        <v>23.00180107103889</v>
      </c>
      <c r="E1762" s="4" t="n">
        <v>24.802690452725</v>
      </c>
      <c r="F1762" s="4" t="n">
        <v>26.45766376744722</v>
      </c>
      <c r="G1762" s="4" t="n">
        <v>12.6</v>
      </c>
      <c r="H1762" s="5" t="n">
        <v>29.44408521241944</v>
      </c>
      <c r="I1762" s="5" t="n">
        <v>29.56313751926111</v>
      </c>
      <c r="J1762" s="5" t="n">
        <v>38.83027949770555</v>
      </c>
      <c r="K1762" s="5" t="n">
        <v>51</v>
      </c>
    </row>
    <row r="1763">
      <c r="A1763" s="2" t="n">
        <v>46170.83333333334</v>
      </c>
      <c r="B1763">
        <f>TEXT(A1763,"yyyy-mm")</f>
        <v/>
      </c>
      <c r="C1763" s="3">
        <f>HOUR(A1763)</f>
        <v/>
      </c>
      <c r="D1763" s="4" t="n">
        <v>22.49152001306389</v>
      </c>
      <c r="E1763" s="4" t="n">
        <v>24.92839899173056</v>
      </c>
      <c r="F1763" s="4" t="n">
        <v>26.63305915683334</v>
      </c>
      <c r="G1763" s="4" t="n">
        <v>11.3</v>
      </c>
      <c r="H1763" s="5" t="n">
        <v>31.65468381743889</v>
      </c>
      <c r="I1763" s="5" t="n">
        <v>30.65674575534445</v>
      </c>
      <c r="J1763" s="5" t="n">
        <v>39.38414998284444</v>
      </c>
      <c r="K1763" s="5" t="n">
        <v>60</v>
      </c>
    </row>
    <row r="1764">
      <c r="A1764" s="2" t="n">
        <v>46170.875</v>
      </c>
      <c r="B1764">
        <f>TEXT(A1764,"yyyy-mm")</f>
        <v/>
      </c>
      <c r="C1764" s="3">
        <f>HOUR(A1764)</f>
        <v/>
      </c>
      <c r="D1764" s="4" t="n">
        <v>22.38628862128889</v>
      </c>
      <c r="E1764" s="4" t="n">
        <v>24.84328160378889</v>
      </c>
      <c r="F1764" s="4" t="n">
        <v>26.72379049915834</v>
      </c>
      <c r="G1764" s="4" t="n">
        <v>10.5</v>
      </c>
      <c r="H1764" s="5" t="n">
        <v>31.16030516331667</v>
      </c>
      <c r="I1764" s="5" t="n">
        <v>29.99461782665277</v>
      </c>
      <c r="J1764" s="5" t="n">
        <v>39.55544379665833</v>
      </c>
      <c r="K1764" s="5" t="n">
        <v>67</v>
      </c>
    </row>
    <row r="1765">
      <c r="A1765" s="2" t="n">
        <v>46170.91666666666</v>
      </c>
      <c r="B1765">
        <f>TEXT(A1765,"yyyy-mm")</f>
        <v/>
      </c>
      <c r="C1765" s="3">
        <f>HOUR(A1765)</f>
        <v/>
      </c>
      <c r="D1765" s="4" t="n">
        <v>22.55169934824722</v>
      </c>
      <c r="E1765" s="4" t="n">
        <v>25.45260500384722</v>
      </c>
      <c r="F1765" s="4" t="n">
        <v>26.80834148063333</v>
      </c>
      <c r="G1765" s="4" t="n">
        <v>9.9</v>
      </c>
      <c r="H1765" s="5" t="n">
        <v>32.735042204075</v>
      </c>
      <c r="I1765" s="5" t="n">
        <v>33.92103954006111</v>
      </c>
      <c r="J1765" s="5" t="n">
        <v>39.89051084773889</v>
      </c>
      <c r="K1765" s="5" t="n">
        <v>72</v>
      </c>
    </row>
    <row r="1766">
      <c r="A1766" s="2" t="n">
        <v>46170.95833333334</v>
      </c>
      <c r="B1766">
        <f>TEXT(A1766,"yyyy-mm")</f>
        <v/>
      </c>
      <c r="C1766" s="3">
        <f>HOUR(A1766)</f>
        <v/>
      </c>
      <c r="D1766" s="4" t="n">
        <v>22.60043287837778</v>
      </c>
      <c r="E1766" s="4" t="n">
        <v>25.71167004692222</v>
      </c>
      <c r="F1766" s="4" t="n">
        <v>26.90977346663611</v>
      </c>
      <c r="G1766" s="4" t="n">
        <v>9.1</v>
      </c>
      <c r="H1766" s="5" t="n">
        <v>33.64001522059167</v>
      </c>
      <c r="I1766" s="5" t="n">
        <v>36.44082514161111</v>
      </c>
      <c r="J1766" s="5" t="n">
        <v>40.27611221414444</v>
      </c>
      <c r="K1766" s="5" t="n">
        <v>78</v>
      </c>
    </row>
    <row r="1767">
      <c r="A1767" s="2" t="n">
        <v>46171</v>
      </c>
      <c r="B1767">
        <f>TEXT(A1767,"yyyy-mm")</f>
        <v/>
      </c>
      <c r="C1767" s="3">
        <f>HOUR(A1767)</f>
        <v/>
      </c>
      <c r="D1767" s="4" t="n">
        <v>22.25708789689444</v>
      </c>
      <c r="E1767" s="4" t="n">
        <v>25.59948698152777</v>
      </c>
      <c r="F1767" s="4" t="n">
        <v>26.95962493031945</v>
      </c>
      <c r="G1767" s="4" t="n">
        <v>8.699999999999999</v>
      </c>
      <c r="H1767" s="5" t="n">
        <v>34.34734327591666</v>
      </c>
      <c r="I1767" s="5" t="n">
        <v>34.43720063766111</v>
      </c>
      <c r="J1767" s="5" t="n">
        <v>40.51278277116945</v>
      </c>
      <c r="K1767" s="5" t="n">
        <v>80</v>
      </c>
    </row>
    <row r="1768">
      <c r="A1768" s="2" t="n">
        <v>46171.04166666666</v>
      </c>
      <c r="B1768">
        <f>TEXT(A1768,"yyyy-mm")</f>
        <v/>
      </c>
      <c r="C1768" s="3">
        <f>HOUR(A1768)</f>
        <v/>
      </c>
      <c r="D1768" s="4" t="n">
        <v>21.47824170103334</v>
      </c>
      <c r="E1768" s="4" t="n">
        <v>25.40662557663889</v>
      </c>
      <c r="F1768" s="4" t="n">
        <v>26.97601858987223</v>
      </c>
      <c r="G1768" s="4" t="n">
        <v>8.300000000000001</v>
      </c>
      <c r="H1768" s="5" t="n">
        <v>35.57933960196112</v>
      </c>
      <c r="I1768" s="5" t="n">
        <v>32.28508214993055</v>
      </c>
      <c r="J1768" s="5" t="n">
        <v>40.61310153728889</v>
      </c>
      <c r="K1768" s="5" t="n">
        <v>79</v>
      </c>
    </row>
    <row r="1769">
      <c r="A1769" s="2" t="n">
        <v>46171.08333333334</v>
      </c>
      <c r="B1769">
        <f>TEXT(A1769,"yyyy-mm")</f>
        <v/>
      </c>
      <c r="C1769" s="3">
        <f>HOUR(A1769)</f>
        <v/>
      </c>
      <c r="D1769" s="4" t="n">
        <v>21.17948184587778</v>
      </c>
      <c r="E1769" s="4" t="n">
        <v>24.96634193633611</v>
      </c>
      <c r="F1769" s="4" t="n">
        <v>26.97539784518611</v>
      </c>
      <c r="G1769" s="4" t="n">
        <v>7.9</v>
      </c>
      <c r="H1769" s="5" t="n">
        <v>36.30968451581945</v>
      </c>
      <c r="I1769" s="5" t="n">
        <v>32.77696491644167</v>
      </c>
      <c r="J1769" s="5" t="n">
        <v>40.65558824173889</v>
      </c>
      <c r="K1769" s="5" t="n">
        <v>80</v>
      </c>
    </row>
    <row r="1770">
      <c r="A1770" s="2" t="n">
        <v>46171.125</v>
      </c>
      <c r="B1770">
        <f>TEXT(A1770,"yyyy-mm")</f>
        <v/>
      </c>
      <c r="C1770" s="3">
        <f>HOUR(A1770)</f>
        <v/>
      </c>
      <c r="D1770" s="4" t="n">
        <v>21.12305666933056</v>
      </c>
      <c r="E1770" s="4" t="n">
        <v>24.63480756532778</v>
      </c>
      <c r="F1770" s="4" t="n">
        <v>26.96242091026667</v>
      </c>
      <c r="G1770" s="4" t="n">
        <v>7.5</v>
      </c>
      <c r="H1770" s="5" t="n">
        <v>36.63087990869722</v>
      </c>
      <c r="I1770" s="5" t="n">
        <v>33.40665965854166</v>
      </c>
      <c r="J1770" s="5" t="n">
        <v>40.71877353899722</v>
      </c>
      <c r="K1770" s="5" t="n">
        <v>82</v>
      </c>
    </row>
    <row r="1771">
      <c r="A1771" s="2" t="n">
        <v>46171.16666666666</v>
      </c>
      <c r="B1771">
        <f>TEXT(A1771,"yyyy-mm")</f>
        <v/>
      </c>
      <c r="C1771" s="3">
        <f>HOUR(A1771)</f>
        <v/>
      </c>
      <c r="D1771" s="4" t="n">
        <v>20.91480764639167</v>
      </c>
      <c r="E1771" s="4" t="n">
        <v>24.46298787962777</v>
      </c>
      <c r="F1771" s="4" t="n">
        <v>26.95378539812222</v>
      </c>
      <c r="G1771" s="4" t="n">
        <v>7.1</v>
      </c>
      <c r="H1771" s="5" t="n">
        <v>37.10535331161389</v>
      </c>
      <c r="I1771" s="5" t="n">
        <v>33.26802965673611</v>
      </c>
      <c r="J1771" s="5" t="n">
        <v>40.76436158957223</v>
      </c>
      <c r="K1771" s="5" t="n">
        <v>82</v>
      </c>
    </row>
    <row r="1772">
      <c r="A1772" s="2" t="n">
        <v>46171.20833333334</v>
      </c>
      <c r="B1772">
        <f>TEXT(A1772,"yyyy-mm")</f>
        <v/>
      </c>
      <c r="C1772" s="3">
        <f>HOUR(A1772)</f>
        <v/>
      </c>
      <c r="D1772" s="4" t="n">
        <v>21.65314484816945</v>
      </c>
      <c r="E1772" s="4" t="n">
        <v>24.58629045701666</v>
      </c>
      <c r="F1772" s="4" t="n">
        <v>26.95124503841112</v>
      </c>
      <c r="G1772" s="4" t="n">
        <v>7</v>
      </c>
      <c r="H1772" s="5" t="n">
        <v>35.45099441829166</v>
      </c>
      <c r="I1772" s="5" t="n">
        <v>32.58779851223056</v>
      </c>
      <c r="J1772" s="5" t="n">
        <v>40.79572734872777</v>
      </c>
      <c r="K1772" s="5" t="n">
        <v>80</v>
      </c>
    </row>
    <row r="1773">
      <c r="A1773" s="2" t="n">
        <v>46171.25</v>
      </c>
      <c r="B1773">
        <f>TEXT(A1773,"yyyy-mm")</f>
        <v/>
      </c>
      <c r="C1773" s="3">
        <f>HOUR(A1773)</f>
        <v/>
      </c>
      <c r="D1773" s="4" t="n">
        <v>23.07888074367222</v>
      </c>
      <c r="E1773" s="4" t="n">
        <v>24.95133568204444</v>
      </c>
      <c r="F1773" s="4" t="n">
        <v>26.96698647565277</v>
      </c>
      <c r="G1773" s="4" t="n">
        <v>7.9</v>
      </c>
      <c r="H1773" s="5" t="n">
        <v>32.45695724579166</v>
      </c>
      <c r="I1773" s="5" t="n">
        <v>33.14148080754722</v>
      </c>
      <c r="J1773" s="5" t="n">
        <v>40.80636316633611</v>
      </c>
      <c r="K1773" s="5" t="n">
        <v>78</v>
      </c>
    </row>
    <row r="1774">
      <c r="A1774" s="2" t="n">
        <v>46171.29166666666</v>
      </c>
      <c r="B1774">
        <f>TEXT(A1774,"yyyy-mm")</f>
        <v/>
      </c>
      <c r="C1774" s="3">
        <f>HOUR(A1774)</f>
        <v/>
      </c>
      <c r="D1774" s="4" t="n">
        <v>24.03155476626111</v>
      </c>
      <c r="E1774" s="4" t="n">
        <v>25.49702237383612</v>
      </c>
      <c r="F1774" s="4" t="n">
        <v>26.99563084355</v>
      </c>
      <c r="G1774" s="4" t="n">
        <v>9.199999999999999</v>
      </c>
      <c r="H1774" s="5" t="n">
        <v>32.38308285169445</v>
      </c>
      <c r="I1774" s="5" t="n">
        <v>33.01890947482778</v>
      </c>
      <c r="J1774" s="5" t="n">
        <v>40.91679754230555</v>
      </c>
      <c r="K1774" s="5" t="n">
        <v>72</v>
      </c>
    </row>
    <row r="1775">
      <c r="A1775" s="2" t="n">
        <v>46171.33333333334</v>
      </c>
      <c r="B1775">
        <f>TEXT(A1775,"yyyy-mm")</f>
        <v/>
      </c>
      <c r="C1775" s="3">
        <f>HOUR(A1775)</f>
        <v/>
      </c>
      <c r="D1775" s="4" t="n">
        <v>24.83944722647778</v>
      </c>
      <c r="E1775" s="4" t="n">
        <v>25.97942488165</v>
      </c>
      <c r="F1775" s="4" t="n">
        <v>27.03089405155277</v>
      </c>
      <c r="G1775" s="4" t="n">
        <v>10.6</v>
      </c>
      <c r="H1775" s="5" t="n">
        <v>31.67815367121389</v>
      </c>
      <c r="I1775" s="5" t="n">
        <v>33.07946120521111</v>
      </c>
      <c r="J1775" s="5" t="n">
        <v>41.11538517971389</v>
      </c>
      <c r="K1775" s="5" t="n">
        <v>68</v>
      </c>
    </row>
    <row r="1776">
      <c r="A1776" s="2" t="n">
        <v>46171.375</v>
      </c>
      <c r="B1776">
        <f>TEXT(A1776,"yyyy-mm")</f>
        <v/>
      </c>
      <c r="C1776" s="3">
        <f>HOUR(A1776)</f>
        <v/>
      </c>
      <c r="D1776" s="4" t="n">
        <v>25.1838352557</v>
      </c>
      <c r="E1776" s="4" t="n">
        <v>26.26801072061389</v>
      </c>
      <c r="F1776" s="4" t="n">
        <v>27.06915496340556</v>
      </c>
      <c r="G1776" s="4" t="n">
        <v>11.5</v>
      </c>
      <c r="H1776" s="5" t="n">
        <v>31.33127278864167</v>
      </c>
      <c r="I1776" s="5" t="n">
        <v>33.20817497435555</v>
      </c>
      <c r="J1776" s="5" t="n">
        <v>41.30838753488056</v>
      </c>
      <c r="K1776" s="5" t="n">
        <v>61</v>
      </c>
    </row>
    <row r="1777">
      <c r="A1777" s="2" t="n">
        <v>46171.41666666666</v>
      </c>
      <c r="B1777">
        <f>TEXT(A1777,"yyyy-mm")</f>
        <v/>
      </c>
      <c r="C1777" s="3">
        <f>HOUR(A1777)</f>
        <v/>
      </c>
      <c r="D1777" s="4" t="n">
        <v>25.31433354083056</v>
      </c>
      <c r="E1777" s="4" t="n">
        <v>26.49379944264167</v>
      </c>
      <c r="F1777" s="4" t="n">
        <v>27.10365981691111</v>
      </c>
      <c r="G1777" s="4" t="n">
        <v>12.6</v>
      </c>
      <c r="H1777" s="5" t="n">
        <v>30.77180147245278</v>
      </c>
      <c r="I1777" s="5" t="n">
        <v>33.12823006697778</v>
      </c>
      <c r="J1777" s="5" t="n">
        <v>41.45497461835</v>
      </c>
      <c r="K1777" s="5" t="n">
        <v>54</v>
      </c>
    </row>
    <row r="1778">
      <c r="A1778" s="2" t="n">
        <v>46171.45833333334</v>
      </c>
      <c r="B1778">
        <f>TEXT(A1778,"yyyy-mm")</f>
        <v/>
      </c>
      <c r="C1778" s="3">
        <f>HOUR(A1778)</f>
        <v/>
      </c>
      <c r="D1778" s="4" t="n">
        <v>25.18741295865277</v>
      </c>
      <c r="E1778" s="4" t="n">
        <v>26.72411062846945</v>
      </c>
      <c r="F1778" s="4" t="n">
        <v>27.19636657279166</v>
      </c>
      <c r="G1778" s="4" t="n">
        <v>13.5</v>
      </c>
      <c r="H1778" s="5" t="n">
        <v>30.01927724153333</v>
      </c>
      <c r="I1778" s="5" t="n">
        <v>39.10996976758056</v>
      </c>
      <c r="J1778" s="5" t="n">
        <v>41.50302486126667</v>
      </c>
      <c r="K1778" s="5" t="n">
        <v>46</v>
      </c>
    </row>
    <row r="1779">
      <c r="A1779" s="2" t="n">
        <v>46171.5</v>
      </c>
      <c r="B1779">
        <f>TEXT(A1779,"yyyy-mm")</f>
        <v/>
      </c>
      <c r="C1779" s="3">
        <f>HOUR(A1779)</f>
        <v/>
      </c>
      <c r="D1779" s="4" t="n">
        <v>25.063946466925</v>
      </c>
      <c r="E1779" s="4" t="n">
        <v>26.61863060309722</v>
      </c>
      <c r="F1779" s="4" t="n">
        <v>27.22441273137778</v>
      </c>
      <c r="G1779" s="4" t="n">
        <v>14.1</v>
      </c>
      <c r="H1779" s="5" t="n">
        <v>31.07762470052222</v>
      </c>
      <c r="I1779" s="5" t="n">
        <v>38.80782134041944</v>
      </c>
      <c r="J1779" s="5" t="n">
        <v>41.54883803093333</v>
      </c>
      <c r="K1779" s="5" t="n">
        <v>41</v>
      </c>
    </row>
    <row r="1780">
      <c r="A1780" s="2" t="n">
        <v>46171.54166666666</v>
      </c>
      <c r="B1780">
        <f>TEXT(A1780,"yyyy-mm")</f>
        <v/>
      </c>
      <c r="C1780" s="3">
        <f>HOUR(A1780)</f>
        <v/>
      </c>
      <c r="D1780" s="4" t="n">
        <v>25.05135316788056</v>
      </c>
      <c r="E1780" s="4" t="n">
        <v>26.61915550049723</v>
      </c>
      <c r="F1780" s="4" t="n">
        <v>27.17208054600278</v>
      </c>
      <c r="G1780" s="4" t="n">
        <v>14.2</v>
      </c>
      <c r="H1780" s="5" t="n">
        <v>33.05752819073056</v>
      </c>
      <c r="I1780" s="5" t="n">
        <v>36.39748275365556</v>
      </c>
      <c r="J1780" s="5" t="n">
        <v>41.70980870812777</v>
      </c>
      <c r="K1780" s="5" t="n">
        <v>43</v>
      </c>
    </row>
    <row r="1781">
      <c r="A1781" s="2" t="n">
        <v>46171.58333333334</v>
      </c>
      <c r="B1781">
        <f>TEXT(A1781,"yyyy-mm")</f>
        <v/>
      </c>
      <c r="C1781" s="3">
        <f>HOUR(A1781)</f>
        <v/>
      </c>
      <c r="D1781" s="4" t="n">
        <v>24.58050447110834</v>
      </c>
      <c r="E1781" s="4" t="n">
        <v>26.61192670938334</v>
      </c>
      <c r="F1781" s="4" t="n">
        <v>27.22097654764167</v>
      </c>
      <c r="G1781" s="4" t="n">
        <v>15.1</v>
      </c>
      <c r="H1781" s="5" t="n">
        <v>33.075815650675</v>
      </c>
      <c r="I1781" s="5" t="n">
        <v>34.79218906801389</v>
      </c>
      <c r="J1781" s="5" t="n">
        <v>41.77608725502223</v>
      </c>
      <c r="K1781" s="5" t="n">
        <v>46</v>
      </c>
    </row>
    <row r="1782">
      <c r="A1782" s="2" t="n">
        <v>46171.625</v>
      </c>
      <c r="B1782">
        <f>TEXT(A1782,"yyyy-mm")</f>
        <v/>
      </c>
      <c r="C1782" s="3">
        <f>HOUR(A1782)</f>
        <v/>
      </c>
      <c r="D1782" s="4" t="n">
        <v>22.06579768512778</v>
      </c>
      <c r="E1782" s="4" t="n">
        <v>26.08969054024167</v>
      </c>
      <c r="F1782" s="4" t="n">
        <v>27.18732344145</v>
      </c>
      <c r="G1782" s="4" t="n">
        <v>14.5</v>
      </c>
      <c r="H1782" s="5" t="n">
        <v>30.62555133626389</v>
      </c>
      <c r="I1782" s="5" t="n">
        <v>29.06582316224445</v>
      </c>
      <c r="J1782" s="5" t="n">
        <v>41.56516266013056</v>
      </c>
      <c r="K1782" s="5" t="n">
        <v>44</v>
      </c>
    </row>
    <row r="1783">
      <c r="A1783" s="2" t="n">
        <v>46171.66666666666</v>
      </c>
      <c r="B1783">
        <f>TEXT(A1783,"yyyy-mm")</f>
        <v/>
      </c>
      <c r="C1783" s="3">
        <f>HOUR(A1783)</f>
        <v/>
      </c>
      <c r="D1783" s="4" t="n">
        <v>21.67836226318056</v>
      </c>
      <c r="E1783" s="4" t="n">
        <v>25.80997951862222</v>
      </c>
      <c r="F1783" s="4" t="n">
        <v>27.15815257506389</v>
      </c>
      <c r="G1783" s="4" t="n">
        <v>15</v>
      </c>
      <c r="H1783" s="5" t="n">
        <v>30.14931869083889</v>
      </c>
      <c r="I1783" s="5" t="n">
        <v>27.813141015725</v>
      </c>
      <c r="J1783" s="5" t="n">
        <v>41.13679686243055</v>
      </c>
      <c r="K1783" s="5" t="n">
        <v>43</v>
      </c>
    </row>
    <row r="1784">
      <c r="A1784" s="2" t="n">
        <v>46171.70833333334</v>
      </c>
      <c r="B1784">
        <f>TEXT(A1784,"yyyy-mm")</f>
        <v/>
      </c>
      <c r="C1784" s="3">
        <f>HOUR(A1784)</f>
        <v/>
      </c>
      <c r="D1784" s="4" t="n">
        <v>20.89850365924167</v>
      </c>
      <c r="E1784" s="4" t="n">
        <v>25.82424768590833</v>
      </c>
      <c r="F1784" s="4" t="n">
        <v>27.14248779751667</v>
      </c>
      <c r="G1784" s="4" t="n">
        <v>14.8</v>
      </c>
      <c r="H1784" s="5" t="n">
        <v>33.47912855895556</v>
      </c>
      <c r="I1784" s="5" t="n">
        <v>28.54035530799722</v>
      </c>
      <c r="J1784" s="5" t="n">
        <v>40.93381651046666</v>
      </c>
      <c r="K1784" s="5" t="n">
        <v>44</v>
      </c>
    </row>
    <row r="1785">
      <c r="A1785" s="2" t="n">
        <v>46171.75</v>
      </c>
      <c r="B1785">
        <f>TEXT(A1785,"yyyy-mm")</f>
        <v/>
      </c>
      <c r="C1785" s="3">
        <f>HOUR(A1785)</f>
        <v/>
      </c>
      <c r="D1785" s="4" t="n">
        <v>23.02030408473611</v>
      </c>
      <c r="E1785" s="4" t="n">
        <v>26.06547640966944</v>
      </c>
      <c r="F1785" s="4" t="n">
        <v>27.13362018025</v>
      </c>
      <c r="G1785" s="4" t="n">
        <v>13.9</v>
      </c>
      <c r="H1785" s="5" t="n">
        <v>35.08622937875</v>
      </c>
      <c r="I1785" s="5" t="n">
        <v>33.43549505768333</v>
      </c>
      <c r="J1785" s="5" t="n">
        <v>40.92692250463056</v>
      </c>
      <c r="K1785" s="5" t="n">
        <v>47</v>
      </c>
    </row>
    <row r="1786">
      <c r="A1786" s="2" t="n">
        <v>46171.79166666666</v>
      </c>
      <c r="B1786">
        <f>TEXT(A1786,"yyyy-mm")</f>
        <v/>
      </c>
      <c r="C1786" s="3">
        <f>HOUR(A1786)</f>
        <v/>
      </c>
      <c r="D1786" s="4" t="n">
        <v>23.91189551031667</v>
      </c>
      <c r="E1786" s="4" t="n">
        <v>26.32717555506945</v>
      </c>
      <c r="F1786" s="4" t="n">
        <v>27.14321397311112</v>
      </c>
      <c r="G1786" s="4" t="n">
        <v>13.1</v>
      </c>
      <c r="H1786" s="5" t="n">
        <v>36.218344700525</v>
      </c>
      <c r="I1786" s="5" t="n">
        <v>35.76179474065</v>
      </c>
      <c r="J1786" s="5" t="n">
        <v>41.82769574200278</v>
      </c>
      <c r="K1786" s="5" t="n">
        <v>51</v>
      </c>
    </row>
    <row r="1787">
      <c r="A1787" s="2" t="n">
        <v>46171.83333333334</v>
      </c>
      <c r="B1787">
        <f>TEXT(A1787,"yyyy-mm")</f>
        <v/>
      </c>
      <c r="C1787" s="3">
        <f>HOUR(A1787)</f>
        <v/>
      </c>
      <c r="D1787" s="4" t="n">
        <v>23.52302483338333</v>
      </c>
      <c r="E1787" s="4" t="n">
        <v>26.14344319095555</v>
      </c>
      <c r="F1787" s="4" t="n">
        <v>27.16764536170556</v>
      </c>
      <c r="G1787" s="4" t="n">
        <v>11.8</v>
      </c>
      <c r="H1787" s="5" t="n">
        <v>39.13974075146667</v>
      </c>
      <c r="I1787" s="5" t="n">
        <v>40.94965855474167</v>
      </c>
      <c r="J1787" s="5" t="n">
        <v>44.230724026475</v>
      </c>
      <c r="K1787" s="5" t="n">
        <v>59</v>
      </c>
    </row>
    <row r="1788">
      <c r="A1788" s="2" t="n">
        <v>46171.875</v>
      </c>
      <c r="B1788">
        <f>TEXT(A1788,"yyyy-mm")</f>
        <v/>
      </c>
      <c r="C1788" s="3">
        <f>HOUR(A1788)</f>
        <v/>
      </c>
      <c r="D1788" s="4" t="n">
        <v>22.99993826943333</v>
      </c>
      <c r="E1788" s="4" t="n">
        <v>25.75307996405278</v>
      </c>
      <c r="F1788" s="4" t="n">
        <v>27.35988610341389</v>
      </c>
      <c r="G1788" s="4" t="n">
        <v>10.5</v>
      </c>
      <c r="H1788" s="5" t="n">
        <v>40.39859772256388</v>
      </c>
      <c r="I1788" s="5" t="n">
        <v>43.85962944578333</v>
      </c>
      <c r="J1788" s="5" t="n">
        <v>43.43707426040277</v>
      </c>
      <c r="K1788" s="5" t="n">
        <v>68</v>
      </c>
    </row>
    <row r="1789">
      <c r="A1789" s="2" t="n">
        <v>46171.91666666666</v>
      </c>
      <c r="B1789">
        <f>TEXT(A1789,"yyyy-mm")</f>
        <v/>
      </c>
      <c r="C1789" s="3">
        <f>HOUR(A1789)</f>
        <v/>
      </c>
      <c r="D1789" s="4" t="n">
        <v>22.63302916536945</v>
      </c>
      <c r="E1789" s="4" t="n">
        <v>25.48626251123611</v>
      </c>
      <c r="F1789" s="4" t="n">
        <v>27.25456912318333</v>
      </c>
      <c r="G1789" s="4" t="n">
        <v>9.6</v>
      </c>
      <c r="H1789" s="5" t="n">
        <v>41.54895602056111</v>
      </c>
      <c r="I1789" s="5" t="n">
        <v>43.97448619114167</v>
      </c>
      <c r="J1789" s="5" t="n">
        <v>44.03269899980833</v>
      </c>
      <c r="K1789" s="5" t="n">
        <v>75</v>
      </c>
    </row>
    <row r="1790">
      <c r="A1790" s="2" t="n">
        <v>46171.95833333334</v>
      </c>
      <c r="B1790">
        <f>TEXT(A1790,"yyyy-mm")</f>
        <v/>
      </c>
      <c r="C1790" s="3">
        <f>HOUR(A1790)</f>
        <v/>
      </c>
      <c r="D1790" s="4" t="n">
        <v>22.61763071335556</v>
      </c>
      <c r="E1790" s="4" t="n">
        <v>25.71810031186111</v>
      </c>
      <c r="F1790" s="4" t="n">
        <v>27.10459765426667</v>
      </c>
      <c r="G1790" s="4" t="n">
        <v>9.199999999999999</v>
      </c>
      <c r="H1790" s="5" t="n">
        <v>41.83918780784722</v>
      </c>
      <c r="I1790" s="5" t="n">
        <v>45.13005471291111</v>
      </c>
      <c r="J1790" s="5" t="n">
        <v>45.09587168312501</v>
      </c>
      <c r="K1790" s="5" t="n">
        <v>79</v>
      </c>
    </row>
    <row r="1791">
      <c r="A1791" s="2" t="n">
        <v>46172</v>
      </c>
      <c r="B1791">
        <f>TEXT(A1791,"yyyy-mm")</f>
        <v/>
      </c>
      <c r="C1791" s="3">
        <f>HOUR(A1791)</f>
        <v/>
      </c>
      <c r="D1791" s="4" t="n">
        <v>22.80397721448334</v>
      </c>
      <c r="E1791" s="4" t="n">
        <v>25.81274937533611</v>
      </c>
      <c r="F1791" s="4" t="n">
        <v>27.36929082097222</v>
      </c>
      <c r="G1791" s="4" t="n">
        <v>8.800000000000001</v>
      </c>
      <c r="H1791" s="5" t="n">
        <v>39.00393727504445</v>
      </c>
      <c r="I1791" s="5" t="n">
        <v>44.21522238689445</v>
      </c>
      <c r="J1791" s="5" t="n">
        <v>44.23135865043889</v>
      </c>
      <c r="K1791" s="5" t="n">
        <v>81</v>
      </c>
    </row>
    <row r="1792">
      <c r="A1792" s="2" t="n">
        <v>46172.04166666666</v>
      </c>
      <c r="B1792">
        <f>TEXT(A1792,"yyyy-mm")</f>
        <v/>
      </c>
      <c r="C1792" s="3">
        <f>HOUR(A1792)</f>
        <v/>
      </c>
      <c r="D1792" s="4" t="n">
        <v>22.39458746772222</v>
      </c>
      <c r="E1792" s="4" t="n">
        <v>25.72365087263889</v>
      </c>
      <c r="F1792" s="4" t="n">
        <v>27.39476260002223</v>
      </c>
      <c r="G1792" s="4" t="n">
        <v>8.1</v>
      </c>
      <c r="H1792" s="5" t="n">
        <v>40.20802301369445</v>
      </c>
      <c r="I1792" s="5" t="n">
        <v>41.30098332758889</v>
      </c>
      <c r="J1792" s="5" t="n">
        <v>43.97110232207501</v>
      </c>
      <c r="K1792" s="5" t="n">
        <v>83</v>
      </c>
    </row>
    <row r="1793">
      <c r="A1793" s="2" t="n">
        <v>46172.08333333334</v>
      </c>
      <c r="B1793">
        <f>TEXT(A1793,"yyyy-mm")</f>
        <v/>
      </c>
      <c r="C1793" s="3">
        <f>HOUR(A1793)</f>
        <v/>
      </c>
      <c r="D1793" s="4" t="n">
        <v>21.53894266794444</v>
      </c>
      <c r="E1793" s="4" t="n">
        <v>25.18399859731112</v>
      </c>
      <c r="F1793" s="4" t="n">
        <v>27.33875197956944</v>
      </c>
      <c r="G1793" s="4" t="n">
        <v>7.4</v>
      </c>
      <c r="H1793" s="5" t="n">
        <v>40.31487893024444</v>
      </c>
      <c r="I1793" s="5" t="n">
        <v>39.65845995451389</v>
      </c>
      <c r="J1793" s="5" t="n">
        <v>43.60176745735</v>
      </c>
      <c r="K1793" s="5" t="n">
        <v>85</v>
      </c>
    </row>
    <row r="1794">
      <c r="A1794" s="2" t="n">
        <v>46172.125</v>
      </c>
      <c r="B1794">
        <f>TEXT(A1794,"yyyy-mm")</f>
        <v/>
      </c>
      <c r="C1794" s="3">
        <f>HOUR(A1794)</f>
        <v/>
      </c>
      <c r="D1794" s="4" t="n">
        <v>21.23118877965834</v>
      </c>
      <c r="E1794" s="4" t="n">
        <v>24.80379721019444</v>
      </c>
      <c r="F1794" s="4" t="n">
        <v>27.26080708603056</v>
      </c>
      <c r="G1794" s="4" t="n">
        <v>7.2</v>
      </c>
      <c r="H1794" s="5" t="n">
        <v>39.32218091007223</v>
      </c>
      <c r="I1794" s="5" t="n">
        <v>38.22263288849167</v>
      </c>
      <c r="J1794" s="5" t="n">
        <v>43.18450511311666</v>
      </c>
      <c r="K1794" s="5" t="n">
        <v>83</v>
      </c>
    </row>
    <row r="1795">
      <c r="A1795" s="2" t="n">
        <v>46172.16666666666</v>
      </c>
      <c r="B1795">
        <f>TEXT(A1795,"yyyy-mm")</f>
        <v/>
      </c>
      <c r="C1795" s="3">
        <f>HOUR(A1795)</f>
        <v/>
      </c>
      <c r="D1795" s="4" t="n">
        <v>20.97960874934444</v>
      </c>
      <c r="E1795" s="4" t="n">
        <v>24.60447261859167</v>
      </c>
      <c r="F1795" s="4" t="n">
        <v>27.18697810789167</v>
      </c>
      <c r="G1795" s="4" t="n">
        <v>6.5</v>
      </c>
      <c r="H1795" s="5" t="n">
        <v>38.60997554775833</v>
      </c>
      <c r="I1795" s="5" t="n">
        <v>37.42884481136111</v>
      </c>
      <c r="J1795" s="5" t="n">
        <v>42.81381460198889</v>
      </c>
      <c r="K1795" s="5" t="n">
        <v>87</v>
      </c>
    </row>
    <row r="1796">
      <c r="A1796" s="2" t="n">
        <v>46172.20833333334</v>
      </c>
      <c r="B1796">
        <f>TEXT(A1796,"yyyy-mm")</f>
        <v/>
      </c>
      <c r="C1796" s="3">
        <f>HOUR(A1796)</f>
        <v/>
      </c>
      <c r="D1796" s="4" t="n">
        <v>20.99454178657778</v>
      </c>
      <c r="E1796" s="4" t="n">
        <v>24.53419977253612</v>
      </c>
      <c r="F1796" s="4" t="n">
        <v>27.13584862499167</v>
      </c>
      <c r="G1796" s="4" t="n">
        <v>6.1</v>
      </c>
      <c r="H1796" s="5" t="n">
        <v>38.24807415863055</v>
      </c>
      <c r="I1796" s="5" t="n">
        <v>34.91765683851111</v>
      </c>
      <c r="J1796" s="5" t="n">
        <v>42.49064891158056</v>
      </c>
      <c r="K1796" s="5" t="n">
        <v>89</v>
      </c>
    </row>
    <row r="1797">
      <c r="A1797" s="2" t="n">
        <v>46172.25</v>
      </c>
      <c r="B1797">
        <f>TEXT(A1797,"yyyy-mm")</f>
        <v/>
      </c>
      <c r="C1797" s="3">
        <f>HOUR(A1797)</f>
        <v/>
      </c>
      <c r="D1797" s="4" t="n">
        <v>21.44126875043333</v>
      </c>
      <c r="E1797" s="4" t="n">
        <v>24.58395358129722</v>
      </c>
      <c r="F1797" s="4" t="n">
        <v>27.11128182121945</v>
      </c>
      <c r="G1797" s="4" t="n">
        <v>6.8</v>
      </c>
      <c r="H1797" s="5" t="n">
        <v>37.70662135898333</v>
      </c>
      <c r="I1797" s="5" t="n">
        <v>34.24695413483611</v>
      </c>
      <c r="J1797" s="5" t="n">
        <v>42.27037637210555</v>
      </c>
      <c r="K1797" s="5" t="n">
        <v>86</v>
      </c>
    </row>
    <row r="1798">
      <c r="A1798" s="2" t="n">
        <v>46172.29166666666</v>
      </c>
      <c r="B1798">
        <f>TEXT(A1798,"yyyy-mm")</f>
        <v/>
      </c>
      <c r="C1798" s="3">
        <f>HOUR(A1798)</f>
        <v/>
      </c>
      <c r="D1798" s="4" t="n">
        <v>22.82066884109167</v>
      </c>
      <c r="E1798" s="4" t="n">
        <v>24.93405320683889</v>
      </c>
      <c r="F1798" s="4" t="n">
        <v>27.09685704818056</v>
      </c>
      <c r="G1798" s="4" t="n">
        <v>8.199999999999999</v>
      </c>
      <c r="H1798" s="5" t="n">
        <v>35.64140351092222</v>
      </c>
      <c r="I1798" s="5" t="n">
        <v>35.6824028102</v>
      </c>
      <c r="J1798" s="5" t="n">
        <v>42.16506554765555</v>
      </c>
      <c r="K1798" s="5" t="n">
        <v>79</v>
      </c>
    </row>
    <row r="1799">
      <c r="A1799" s="2" t="n">
        <v>46172.33333333334</v>
      </c>
      <c r="B1799">
        <f>TEXT(A1799,"yyyy-mm")</f>
        <v/>
      </c>
      <c r="C1799" s="3">
        <f>HOUR(A1799)</f>
        <v/>
      </c>
      <c r="D1799" s="4" t="n">
        <v>23.62379045145555</v>
      </c>
      <c r="E1799" s="4" t="n">
        <v>25.26758352841945</v>
      </c>
      <c r="F1799" s="4" t="n">
        <v>27.106334192475</v>
      </c>
      <c r="G1799" s="4" t="n">
        <v>9.6</v>
      </c>
      <c r="H1799" s="5" t="n">
        <v>34.16659152633056</v>
      </c>
      <c r="I1799" s="5" t="n">
        <v>35.71592998864445</v>
      </c>
      <c r="J1799" s="5" t="n">
        <v>42.13772248073611</v>
      </c>
      <c r="K1799" s="5" t="n">
        <v>72</v>
      </c>
    </row>
    <row r="1800">
      <c r="A1800" s="2" t="n">
        <v>46172.375</v>
      </c>
      <c r="B1800">
        <f>TEXT(A1800,"yyyy-mm")</f>
        <v/>
      </c>
      <c r="C1800" s="3">
        <f>HOUR(A1800)</f>
        <v/>
      </c>
      <c r="D1800" s="4" t="n">
        <v>23.94460726558611</v>
      </c>
      <c r="E1800" s="4" t="n">
        <v>25.42768657316944</v>
      </c>
      <c r="F1800" s="4" t="n">
        <v>27.12004790810556</v>
      </c>
      <c r="G1800" s="4" t="n">
        <v>11.2</v>
      </c>
      <c r="H1800" s="5" t="n">
        <v>33.65696484941667</v>
      </c>
      <c r="I1800" s="5" t="n">
        <v>35.67643638615555</v>
      </c>
      <c r="J1800" s="5" t="n">
        <v>42.15967156825</v>
      </c>
      <c r="K1800" s="5" t="n">
        <v>64</v>
      </c>
    </row>
    <row r="1801">
      <c r="A1801" s="2" t="n">
        <v>46172.41666666666</v>
      </c>
      <c r="B1801">
        <f>TEXT(A1801,"yyyy-mm")</f>
        <v/>
      </c>
      <c r="C1801" s="3">
        <f>HOUR(A1801)</f>
        <v/>
      </c>
      <c r="D1801" s="4" t="n">
        <v>24.12848732243333</v>
      </c>
      <c r="E1801" s="4" t="n">
        <v>25.58059880705</v>
      </c>
      <c r="F1801" s="4" t="n">
        <v>27.13007966446389</v>
      </c>
      <c r="G1801" s="4" t="n">
        <v>12.4</v>
      </c>
      <c r="H1801" s="5" t="n">
        <v>31.49926822542778</v>
      </c>
      <c r="I1801" s="5" t="n">
        <v>34.45413885540833</v>
      </c>
      <c r="J1801" s="5" t="n">
        <v>42.13332134539166</v>
      </c>
      <c r="K1801" s="5" t="n">
        <v>56</v>
      </c>
    </row>
    <row r="1802">
      <c r="A1802" s="2" t="n">
        <v>46172.45833333334</v>
      </c>
      <c r="B1802">
        <f>TEXT(A1802,"yyyy-mm")</f>
        <v/>
      </c>
      <c r="C1802" s="3">
        <f>HOUR(A1802)</f>
        <v/>
      </c>
      <c r="D1802" s="4" t="n">
        <v>24.32998970742223</v>
      </c>
      <c r="E1802" s="4" t="n">
        <v>25.78206333342777</v>
      </c>
      <c r="F1802" s="4" t="n">
        <v>27.14207501776667</v>
      </c>
      <c r="G1802" s="4" t="n">
        <v>12.5</v>
      </c>
      <c r="H1802" s="5" t="n">
        <v>30.53294859053056</v>
      </c>
      <c r="I1802" s="5" t="n">
        <v>33.58917866293888</v>
      </c>
      <c r="J1802" s="5" t="n">
        <v>42.07989231851667</v>
      </c>
      <c r="K1802" s="5" t="n">
        <v>54</v>
      </c>
    </row>
    <row r="1803">
      <c r="A1803" s="2" t="n">
        <v>46172.5</v>
      </c>
      <c r="B1803">
        <f>TEXT(A1803,"yyyy-mm")</f>
        <v/>
      </c>
      <c r="C1803" s="3">
        <f>HOUR(A1803)</f>
        <v/>
      </c>
      <c r="D1803" s="4" t="n">
        <v>24.19321890044722</v>
      </c>
      <c r="E1803" s="4" t="n">
        <v>25.99124428859444</v>
      </c>
      <c r="F1803" s="4" t="n">
        <v>27.14631048906389</v>
      </c>
      <c r="G1803" s="4" t="n">
        <v>13</v>
      </c>
      <c r="H1803" s="5" t="n">
        <v>31.97104036903889</v>
      </c>
      <c r="I1803" s="5" t="n">
        <v>34.20477280300278</v>
      </c>
      <c r="J1803" s="5" t="n">
        <v>42.02017955632223</v>
      </c>
      <c r="K1803" s="5" t="n">
        <v>52</v>
      </c>
    </row>
    <row r="1804">
      <c r="A1804" s="2" t="n">
        <v>46172.54166666666</v>
      </c>
      <c r="B1804">
        <f>TEXT(A1804,"yyyy-mm")</f>
        <v/>
      </c>
      <c r="C1804" s="3">
        <f>HOUR(A1804)</f>
        <v/>
      </c>
      <c r="D1804" s="4" t="n">
        <v>23.72489090609722</v>
      </c>
      <c r="E1804" s="4" t="n">
        <v>26.23074741705556</v>
      </c>
      <c r="F1804" s="4" t="n">
        <v>27.14339783980833</v>
      </c>
      <c r="G1804" s="4" t="n">
        <v>12.9</v>
      </c>
      <c r="H1804" s="5" t="n">
        <v>33.88922815332778</v>
      </c>
      <c r="I1804" s="5" t="n">
        <v>34.1245805544</v>
      </c>
      <c r="J1804" s="5" t="n">
        <v>41.99074355395833</v>
      </c>
      <c r="K1804" s="5" t="n">
        <v>53</v>
      </c>
    </row>
    <row r="1805">
      <c r="A1805" s="2" t="n">
        <v>46172.58333333334</v>
      </c>
      <c r="B1805">
        <f>TEXT(A1805,"yyyy-mm")</f>
        <v/>
      </c>
      <c r="C1805" s="3">
        <f>HOUR(A1805)</f>
        <v/>
      </c>
      <c r="D1805" s="4" t="n">
        <v>23.1630880639</v>
      </c>
      <c r="E1805" s="4" t="n">
        <v>26.223027380275</v>
      </c>
      <c r="F1805" s="4" t="n">
        <v>27.14199773046944</v>
      </c>
      <c r="G1805" s="4" t="n">
        <v>12.8</v>
      </c>
      <c r="H1805" s="5" t="n">
        <v>36.59746909059999</v>
      </c>
      <c r="I1805" s="5" t="n">
        <v>35.64464723805001</v>
      </c>
      <c r="J1805" s="5" t="n">
        <v>42.11828926269445</v>
      </c>
      <c r="K1805" s="5" t="n">
        <v>53</v>
      </c>
    </row>
    <row r="1806">
      <c r="A1806" s="2" t="n">
        <v>46172.625</v>
      </c>
      <c r="B1806">
        <f>TEXT(A1806,"yyyy-mm")</f>
        <v/>
      </c>
      <c r="C1806" s="3">
        <f>HOUR(A1806)</f>
        <v/>
      </c>
      <c r="D1806" s="4" t="n">
        <v>23.07746226554444</v>
      </c>
      <c r="E1806" s="4" t="n">
        <v>26.10626815184166</v>
      </c>
      <c r="F1806" s="4" t="n">
        <v>27.13627799504722</v>
      </c>
      <c r="G1806" s="4" t="n">
        <v>14.4</v>
      </c>
      <c r="H1806" s="5" t="n">
        <v>35.982583774525</v>
      </c>
      <c r="I1806" s="5" t="n">
        <v>34.06952252878612</v>
      </c>
      <c r="J1806" s="5" t="n">
        <v>42.10025827512222</v>
      </c>
      <c r="K1806" s="5" t="n">
        <v>52</v>
      </c>
    </row>
    <row r="1807">
      <c r="A1807" s="2" t="n">
        <v>46172.66666666666</v>
      </c>
      <c r="B1807">
        <f>TEXT(A1807,"yyyy-mm")</f>
        <v/>
      </c>
      <c r="C1807" s="3">
        <f>HOUR(A1807)</f>
        <v/>
      </c>
      <c r="D1807" s="4" t="n">
        <v>22.70537036641667</v>
      </c>
      <c r="E1807" s="4" t="n">
        <v>25.94991621856389</v>
      </c>
      <c r="F1807" s="4" t="n">
        <v>27.13366800771945</v>
      </c>
      <c r="G1807" s="4" t="n">
        <v>13.6</v>
      </c>
      <c r="H1807" s="5" t="n">
        <v>36.70753120795556</v>
      </c>
      <c r="I1807" s="5" t="n">
        <v>33.08100097487777</v>
      </c>
      <c r="J1807" s="5" t="n">
        <v>42.02245226652778</v>
      </c>
      <c r="K1807" s="5" t="n">
        <v>54</v>
      </c>
    </row>
    <row r="1808">
      <c r="A1808" s="2" t="n">
        <v>46172.70833333334</v>
      </c>
      <c r="B1808">
        <f>TEXT(A1808,"yyyy-mm")</f>
        <v/>
      </c>
      <c r="C1808" s="3">
        <f>HOUR(A1808)</f>
        <v/>
      </c>
      <c r="D1808" s="4" t="n">
        <v>23.04154086204444</v>
      </c>
      <c r="E1808" s="4" t="n">
        <v>25.75836908218611</v>
      </c>
      <c r="F1808" s="4" t="n">
        <v>27.12883301358612</v>
      </c>
      <c r="G1808" s="4" t="n">
        <v>10.8</v>
      </c>
      <c r="H1808" s="5" t="n">
        <v>37.46995435411944</v>
      </c>
      <c r="I1808" s="5" t="n">
        <v>34.65123860026667</v>
      </c>
      <c r="J1808" s="5" t="n">
        <v>42.02422104473055</v>
      </c>
      <c r="K1808" s="5" t="n">
        <v>78</v>
      </c>
    </row>
    <row r="1809">
      <c r="A1809" s="2" t="n">
        <v>46172.75</v>
      </c>
      <c r="B1809">
        <f>TEXT(A1809,"yyyy-mm")</f>
        <v/>
      </c>
      <c r="C1809" s="3">
        <f>HOUR(A1809)</f>
        <v/>
      </c>
      <c r="D1809" s="4" t="n">
        <v>22.878943845275</v>
      </c>
      <c r="E1809" s="4" t="n">
        <v>25.51058360705833</v>
      </c>
      <c r="F1809" s="4" t="n">
        <v>27.124012148125</v>
      </c>
      <c r="G1809" s="4" t="n">
        <v>10.3</v>
      </c>
      <c r="H1809" s="5" t="n">
        <v>36.75507072629723</v>
      </c>
      <c r="I1809" s="5" t="n">
        <v>33.959451595375</v>
      </c>
      <c r="J1809" s="5" t="n">
        <v>42.01078187752778</v>
      </c>
      <c r="K1809" s="5" t="n">
        <v>80</v>
      </c>
    </row>
    <row r="1810">
      <c r="A1810" s="2" t="n">
        <v>46172.79166666666</v>
      </c>
      <c r="B1810">
        <f>TEXT(A1810,"yyyy-mm")</f>
        <v/>
      </c>
      <c r="C1810" s="3">
        <f>HOUR(A1810)</f>
        <v/>
      </c>
      <c r="D1810" s="4" t="n">
        <v>22.73002104003889</v>
      </c>
      <c r="E1810" s="4" t="n">
        <v>25.60617842435833</v>
      </c>
      <c r="F1810" s="4" t="n">
        <v>27.07735653336667</v>
      </c>
      <c r="G1810" s="4" t="n">
        <v>11</v>
      </c>
      <c r="H1810" s="5" t="n">
        <v>37.75197935844167</v>
      </c>
      <c r="I1810" s="5" t="n">
        <v>35.07956835346667</v>
      </c>
      <c r="J1810" s="5" t="n">
        <v>41.97310018785</v>
      </c>
      <c r="K1810" s="5" t="n">
        <v>75</v>
      </c>
    </row>
    <row r="1811">
      <c r="A1811" s="2" t="n">
        <v>46172.83333333334</v>
      </c>
      <c r="B1811">
        <f>TEXT(A1811,"yyyy-mm")</f>
        <v/>
      </c>
      <c r="C1811" s="3">
        <f>HOUR(A1811)</f>
        <v/>
      </c>
      <c r="D1811" s="4" t="n">
        <v>22.46636042436389</v>
      </c>
      <c r="E1811" s="4" t="n">
        <v>25.63286280631389</v>
      </c>
      <c r="F1811" s="4" t="n">
        <v>27.05019482384722</v>
      </c>
      <c r="G1811" s="4" t="n">
        <v>10.7</v>
      </c>
      <c r="H1811" s="5" t="n">
        <v>40.18701963416112</v>
      </c>
      <c r="I1811" s="5" t="n">
        <v>36.48373460719723</v>
      </c>
      <c r="J1811" s="5" t="n">
        <v>42.198759358825</v>
      </c>
      <c r="K1811" s="5" t="n">
        <v>77</v>
      </c>
    </row>
    <row r="1812">
      <c r="A1812" s="2" t="n">
        <v>46172.875</v>
      </c>
      <c r="B1812">
        <f>TEXT(A1812,"yyyy-mm")</f>
        <v/>
      </c>
      <c r="C1812" s="3">
        <f>HOUR(A1812)</f>
        <v/>
      </c>
      <c r="D1812" s="4" t="n">
        <v>22.25833387263611</v>
      </c>
      <c r="E1812" s="4" t="n">
        <v>25.540057496625</v>
      </c>
      <c r="F1812" s="4" t="n">
        <v>27.03952788924722</v>
      </c>
      <c r="G1812" s="4" t="n">
        <v>9.800000000000001</v>
      </c>
      <c r="H1812" s="5" t="n">
        <v>40.72485714555</v>
      </c>
      <c r="I1812" s="5" t="n">
        <v>36.68481882102222</v>
      </c>
      <c r="J1812" s="5" t="n">
        <v>42.35652732904445</v>
      </c>
      <c r="K1812" s="5" t="n">
        <v>82</v>
      </c>
    </row>
    <row r="1813">
      <c r="A1813" s="2" t="n">
        <v>46172.91666666666</v>
      </c>
      <c r="B1813">
        <f>TEXT(A1813,"yyyy-mm")</f>
        <v/>
      </c>
      <c r="C1813" s="3">
        <f>HOUR(A1813)</f>
        <v/>
      </c>
      <c r="D1813" s="4" t="n">
        <v>22.08005936824722</v>
      </c>
      <c r="E1813" s="4" t="n">
        <v>25.338340531225</v>
      </c>
      <c r="F1813" s="4" t="n">
        <v>27.04389747203055</v>
      </c>
      <c r="G1813" s="4" t="n">
        <v>9.6</v>
      </c>
      <c r="H1813" s="5" t="n">
        <v>40.58461026949444</v>
      </c>
      <c r="I1813" s="5" t="n">
        <v>35.86736042261389</v>
      </c>
      <c r="J1813" s="5" t="n">
        <v>42.40375759044444</v>
      </c>
      <c r="K1813" s="5" t="n">
        <v>82</v>
      </c>
    </row>
    <row r="1814">
      <c r="A1814" s="2" t="n">
        <v>46172.95833333334</v>
      </c>
      <c r="B1814">
        <f>TEXT(A1814,"yyyy-mm")</f>
        <v/>
      </c>
      <c r="C1814" s="3">
        <f>HOUR(A1814)</f>
        <v/>
      </c>
      <c r="D1814" s="4" t="n">
        <v>21.94291997402222</v>
      </c>
      <c r="E1814" s="4" t="n">
        <v>25.13714478418333</v>
      </c>
      <c r="F1814" s="4" t="n">
        <v>27.02198055209166</v>
      </c>
      <c r="G1814" s="4" t="n">
        <v>9</v>
      </c>
      <c r="H1814" s="5" t="n">
        <v>40.79492285225</v>
      </c>
      <c r="I1814" s="5" t="n">
        <v>35.79418696689722</v>
      </c>
      <c r="J1814" s="5" t="n">
        <v>42.45095999245556</v>
      </c>
      <c r="K1814" s="5" t="n">
        <v>86</v>
      </c>
    </row>
    <row r="1815">
      <c r="A1815" s="2" t="n">
        <v>46173</v>
      </c>
      <c r="B1815">
        <f>TEXT(A1815,"yyyy-mm")</f>
        <v/>
      </c>
      <c r="C1815" s="3">
        <f>HOUR(A1815)</f>
        <v/>
      </c>
      <c r="D1815" s="4" t="n">
        <v>21.80427185192778</v>
      </c>
      <c r="E1815" s="4" t="n">
        <v>25.11293109629445</v>
      </c>
      <c r="F1815" s="4" t="n">
        <v>27.01478426868612</v>
      </c>
      <c r="G1815" s="4" t="n">
        <v>8.4</v>
      </c>
      <c r="H1815" s="5" t="n">
        <v>41.44383913080278</v>
      </c>
      <c r="I1815" s="5" t="n">
        <v>36.32501352449444</v>
      </c>
      <c r="J1815" s="5" t="n">
        <v>42.47170480400555</v>
      </c>
      <c r="K1815" s="5" t="n">
        <v>87</v>
      </c>
    </row>
    <row r="1816">
      <c r="A1816" s="2" t="n">
        <v>46173.04166666666</v>
      </c>
      <c r="B1816">
        <f>TEXT(A1816,"yyyy-mm")</f>
        <v/>
      </c>
      <c r="C1816" s="3">
        <f>HOUR(A1816)</f>
        <v/>
      </c>
      <c r="D1816" s="4" t="n">
        <v>21.05644900404167</v>
      </c>
      <c r="E1816" s="4" t="n">
        <v>24.97882784087778</v>
      </c>
      <c r="F1816" s="4" t="n">
        <v>27.00889269769445</v>
      </c>
      <c r="G1816" s="4" t="n">
        <v>7.7</v>
      </c>
      <c r="H1816" s="5" t="n">
        <v>44.38736561986111</v>
      </c>
      <c r="I1816" s="5" t="n">
        <v>37.59337062947777</v>
      </c>
      <c r="J1816" s="5" t="n">
        <v>42.60822136650555</v>
      </c>
      <c r="K1816" s="5" t="n">
        <v>91</v>
      </c>
    </row>
    <row r="1817">
      <c r="A1817" s="2" t="n">
        <v>46173.08333333334</v>
      </c>
      <c r="B1817">
        <f>TEXT(A1817,"yyyy-mm")</f>
        <v/>
      </c>
      <c r="C1817" s="3">
        <f>HOUR(A1817)</f>
        <v/>
      </c>
      <c r="D1817" s="4" t="n">
        <v>21.11549725536111</v>
      </c>
      <c r="E1817" s="4" t="n">
        <v>24.73251677835556</v>
      </c>
      <c r="F1817" s="4" t="n">
        <v>26.99108744806666</v>
      </c>
      <c r="G1817" s="4" t="n">
        <v>7.3</v>
      </c>
      <c r="H1817" s="5" t="n">
        <v>42.15755823699444</v>
      </c>
      <c r="I1817" s="5" t="n">
        <v>36.75718362707222</v>
      </c>
      <c r="J1817" s="5" t="n">
        <v>42.61013928685556</v>
      </c>
      <c r="K1817" s="5" t="n">
        <v>94</v>
      </c>
    </row>
    <row r="1818">
      <c r="A1818" s="2" t="n">
        <v>46173.125</v>
      </c>
      <c r="B1818">
        <f>TEXT(A1818,"yyyy-mm")</f>
        <v/>
      </c>
      <c r="C1818" s="3">
        <f>HOUR(A1818)</f>
        <v/>
      </c>
      <c r="D1818" s="4" t="n">
        <v>21.06810869306111</v>
      </c>
      <c r="E1818" s="4" t="n">
        <v>24.5202225746</v>
      </c>
      <c r="F1818" s="4" t="n">
        <v>26.96592848954167</v>
      </c>
      <c r="G1818" s="4" t="n">
        <v>6.6</v>
      </c>
      <c r="H1818" s="5" t="n">
        <v>40.94283915583889</v>
      </c>
      <c r="I1818" s="5" t="n">
        <v>36.16891207574167</v>
      </c>
      <c r="J1818" s="5" t="n">
        <v>42.51844494757223</v>
      </c>
      <c r="K1818" s="5" t="n">
        <v>96</v>
      </c>
    </row>
    <row r="1819">
      <c r="A1819" s="2" t="n">
        <v>46173.16666666666</v>
      </c>
      <c r="B1819">
        <f>TEXT(A1819,"yyyy-mm")</f>
        <v/>
      </c>
      <c r="C1819" s="3">
        <f>HOUR(A1819)</f>
        <v/>
      </c>
      <c r="D1819" s="4" t="n">
        <v>20.94913660834445</v>
      </c>
      <c r="E1819" s="4" t="n">
        <v>24.37215514685555</v>
      </c>
      <c r="F1819" s="4" t="n">
        <v>26.94698012915556</v>
      </c>
      <c r="G1819" s="4" t="n">
        <v>6.4</v>
      </c>
      <c r="H1819" s="5" t="n">
        <v>40.208273514875</v>
      </c>
      <c r="I1819" s="5" t="n">
        <v>36.09088039428889</v>
      </c>
      <c r="J1819" s="5" t="n">
        <v>42.38569372911667</v>
      </c>
      <c r="K1819" s="5" t="n">
        <v>97</v>
      </c>
    </row>
    <row r="1820">
      <c r="A1820" s="2" t="n">
        <v>46173.20833333334</v>
      </c>
      <c r="B1820">
        <f>TEXT(A1820,"yyyy-mm")</f>
        <v/>
      </c>
      <c r="C1820" s="3">
        <f>HOUR(A1820)</f>
        <v/>
      </c>
      <c r="D1820" s="4" t="n">
        <v>21.12871780806667</v>
      </c>
      <c r="E1820" s="4" t="n">
        <v>24.37214286972777</v>
      </c>
      <c r="F1820" s="4" t="n">
        <v>26.9298133357</v>
      </c>
      <c r="G1820" s="4" t="n">
        <v>6.2</v>
      </c>
      <c r="H1820" s="5" t="n">
        <v>39.26226493173333</v>
      </c>
      <c r="I1820" s="5" t="n">
        <v>35.59992758967778</v>
      </c>
      <c r="J1820" s="5" t="n">
        <v>42.24804763858889</v>
      </c>
      <c r="K1820" s="5" t="n">
        <v>96</v>
      </c>
    </row>
    <row r="1821">
      <c r="A1821" s="2" t="n">
        <v>46173.25</v>
      </c>
      <c r="B1821">
        <f>TEXT(A1821,"yyyy-mm")</f>
        <v/>
      </c>
      <c r="C1821" s="3">
        <f>HOUR(A1821)</f>
        <v/>
      </c>
      <c r="D1821" s="4" t="n">
        <v>21.15608143994723</v>
      </c>
      <c r="E1821" s="4" t="n">
        <v>24.31396868711389</v>
      </c>
      <c r="F1821" s="4" t="n">
        <v>26.90653183799445</v>
      </c>
      <c r="G1821" s="4" t="n">
        <v>7</v>
      </c>
      <c r="H1821" s="5" t="n">
        <v>39.71865752218056</v>
      </c>
      <c r="I1821" s="5" t="n">
        <v>35.14992873814722</v>
      </c>
      <c r="J1821" s="5" t="n">
        <v>42.13950381116389</v>
      </c>
      <c r="K1821" s="5" t="n">
        <v>96</v>
      </c>
    </row>
    <row r="1822">
      <c r="A1822" s="2" t="n">
        <v>46173.29166666666</v>
      </c>
      <c r="B1822">
        <f>TEXT(A1822,"yyyy-mm")</f>
        <v/>
      </c>
      <c r="C1822" s="3">
        <f>HOUR(A1822)</f>
        <v/>
      </c>
      <c r="D1822" s="4" t="n">
        <v>22.08613350563056</v>
      </c>
      <c r="E1822" s="4" t="n">
        <v>24.44137429258056</v>
      </c>
      <c r="F1822" s="4" t="n">
        <v>26.90302386153889</v>
      </c>
      <c r="G1822" s="4" t="n">
        <v>8.699999999999999</v>
      </c>
      <c r="H1822" s="5" t="n">
        <v>38.18941918681666</v>
      </c>
      <c r="I1822" s="5" t="n">
        <v>35.01239239598056</v>
      </c>
      <c r="J1822" s="5" t="n">
        <v>42.10419417007778</v>
      </c>
      <c r="K1822" s="5" t="n">
        <v>89</v>
      </c>
    </row>
    <row r="1823">
      <c r="A1823" s="2" t="n">
        <v>46173.33333333334</v>
      </c>
      <c r="B1823">
        <f>TEXT(A1823,"yyyy-mm")</f>
        <v/>
      </c>
      <c r="C1823" s="3">
        <f>HOUR(A1823)</f>
        <v/>
      </c>
      <c r="D1823" s="4" t="n">
        <v>22.62922713202778</v>
      </c>
      <c r="E1823" s="4" t="n">
        <v>24.59667160848889</v>
      </c>
      <c r="F1823" s="4" t="n">
        <v>26.904642803875</v>
      </c>
      <c r="G1823" s="4" t="n">
        <v>10.8</v>
      </c>
      <c r="H1823" s="5" t="n">
        <v>37.03774657261389</v>
      </c>
      <c r="I1823" s="5" t="n">
        <v>35.17394470371944</v>
      </c>
      <c r="J1823" s="5" t="n">
        <v>42.11333364728612</v>
      </c>
      <c r="K1823" s="5" t="n">
        <v>73</v>
      </c>
    </row>
    <row r="1824">
      <c r="A1824" s="2" t="n">
        <v>46173.375</v>
      </c>
      <c r="B1824">
        <f>TEXT(A1824,"yyyy-mm")</f>
        <v/>
      </c>
      <c r="C1824" s="3">
        <f>HOUR(A1824)</f>
        <v/>
      </c>
      <c r="D1824" s="4" t="n">
        <v>23.07620196601389</v>
      </c>
      <c r="E1824" s="4" t="n">
        <v>24.72453856416945</v>
      </c>
      <c r="F1824" s="4" t="n">
        <v>26.91982159968612</v>
      </c>
      <c r="G1824" s="4" t="n">
        <v>12.2</v>
      </c>
      <c r="H1824" s="5" t="n">
        <v>35.90214023305278</v>
      </c>
      <c r="I1824" s="5" t="n">
        <v>35.27310970117778</v>
      </c>
      <c r="J1824" s="5" t="n">
        <v>42.09309106655</v>
      </c>
      <c r="K1824" s="5" t="n">
        <v>65</v>
      </c>
    </row>
    <row r="1825">
      <c r="A1825" s="2" t="n">
        <v>46173.41666666666</v>
      </c>
      <c r="B1825">
        <f>TEXT(A1825,"yyyy-mm")</f>
        <v/>
      </c>
      <c r="C1825" s="3">
        <f>HOUR(A1825)</f>
        <v/>
      </c>
      <c r="D1825" s="4" t="n">
        <v>23.91314030903333</v>
      </c>
      <c r="E1825" s="4" t="n">
        <v>25.01344522219167</v>
      </c>
      <c r="F1825" s="4" t="n">
        <v>26.93091281576945</v>
      </c>
      <c r="G1825" s="4" t="n">
        <v>13.3</v>
      </c>
      <c r="H1825" s="5" t="n">
        <v>33.38687743744445</v>
      </c>
      <c r="I1825" s="5" t="n">
        <v>35.55769088340833</v>
      </c>
      <c r="J1825" s="5" t="n">
        <v>42.09292429341111</v>
      </c>
      <c r="K1825" s="5" t="n">
        <v>58</v>
      </c>
    </row>
    <row r="1826">
      <c r="A1826" s="2" t="n">
        <v>46173.45833333334</v>
      </c>
      <c r="B1826">
        <f>TEXT(A1826,"yyyy-mm")</f>
        <v/>
      </c>
      <c r="C1826" s="3">
        <f>HOUR(A1826)</f>
        <v/>
      </c>
      <c r="D1826" s="4" t="n">
        <v>23.94242016923889</v>
      </c>
      <c r="E1826" s="4" t="n">
        <v>25.08988793794167</v>
      </c>
      <c r="F1826" s="4" t="n">
        <v>26.94643478334444</v>
      </c>
      <c r="G1826" s="4" t="n">
        <v>13.9</v>
      </c>
      <c r="H1826" s="5" t="n">
        <v>32.73205323551667</v>
      </c>
      <c r="I1826" s="5" t="n">
        <v>35.43011233881389</v>
      </c>
      <c r="J1826" s="5" t="n">
        <v>42.03219976394444</v>
      </c>
      <c r="K1826" s="5" t="n">
        <v>53</v>
      </c>
    </row>
    <row r="1827">
      <c r="A1827" s="2" t="n">
        <v>46173.5</v>
      </c>
      <c r="B1827">
        <f>TEXT(A1827,"yyyy-mm")</f>
        <v/>
      </c>
      <c r="C1827" s="3">
        <f>HOUR(A1827)</f>
        <v/>
      </c>
      <c r="D1827" s="4" t="n">
        <v>23.07718871921666</v>
      </c>
      <c r="E1827" s="4" t="n">
        <v>25.29046874570556</v>
      </c>
      <c r="F1827" s="4" t="n">
        <v>26.94805915115</v>
      </c>
      <c r="G1827" s="4" t="n">
        <v>13.8</v>
      </c>
      <c r="H1827" s="5" t="n">
        <v>35.91039694932222</v>
      </c>
      <c r="I1827" s="5" t="n">
        <v>35.23299143379722</v>
      </c>
      <c r="J1827" s="5" t="n">
        <v>41.94752699668889</v>
      </c>
      <c r="K1827" s="5" t="n">
        <v>52</v>
      </c>
    </row>
    <row r="1828">
      <c r="A1828" s="2" t="n">
        <v>46173.54166666666</v>
      </c>
      <c r="B1828">
        <f>TEXT(A1828,"yyyy-mm")</f>
        <v/>
      </c>
      <c r="C1828" s="3">
        <f>HOUR(A1828)</f>
        <v/>
      </c>
      <c r="D1828" s="4" t="n">
        <v>22.53984648329444</v>
      </c>
      <c r="E1828" s="4" t="n">
        <v>25.04946588686667</v>
      </c>
      <c r="F1828" s="4" t="n">
        <v>26.94953003801945</v>
      </c>
      <c r="G1828" s="4" t="n">
        <v>14</v>
      </c>
      <c r="H1828" s="5" t="n">
        <v>38.95493722668611</v>
      </c>
      <c r="I1828" s="5" t="n">
        <v>35.22093975788611</v>
      </c>
      <c r="J1828" s="5" t="n">
        <v>42.07666822026667</v>
      </c>
      <c r="K1828" s="5" t="n">
        <v>51</v>
      </c>
    </row>
    <row r="1829">
      <c r="A1829" s="2" t="n">
        <v>46173.58333333334</v>
      </c>
      <c r="B1829">
        <f>TEXT(A1829,"yyyy-mm")</f>
        <v/>
      </c>
      <c r="C1829" s="3">
        <f>HOUR(A1829)</f>
        <v/>
      </c>
      <c r="D1829" s="4" t="n">
        <v>22.97884150632778</v>
      </c>
      <c r="E1829" s="4" t="n">
        <v>25.27474011613333</v>
      </c>
      <c r="F1829" s="4" t="n">
        <v>26.92347749056667</v>
      </c>
      <c r="G1829" s="4" t="n">
        <v>14.2</v>
      </c>
      <c r="H1829" s="5" t="n">
        <v>38.69312680646112</v>
      </c>
      <c r="I1829" s="5" t="n">
        <v>37.55653677780556</v>
      </c>
      <c r="J1829" s="5" t="n">
        <v>42.43609444361111</v>
      </c>
      <c r="K1829" s="5" t="n">
        <v>54</v>
      </c>
    </row>
    <row r="1830">
      <c r="A1830" s="2" t="n">
        <v>46173.625</v>
      </c>
      <c r="B1830">
        <f>TEXT(A1830,"yyyy-mm")</f>
        <v/>
      </c>
      <c r="C1830" s="3">
        <f>HOUR(A1830)</f>
        <v/>
      </c>
      <c r="D1830" s="4" t="n">
        <v>22.05082602696666</v>
      </c>
      <c r="E1830" s="4" t="n">
        <v>25.62592084690555</v>
      </c>
      <c r="F1830" s="4" t="n">
        <v>26.94216301652222</v>
      </c>
      <c r="G1830" s="4" t="n">
        <v>12.7</v>
      </c>
      <c r="H1830" s="5" t="n">
        <v>37.54176761623612</v>
      </c>
      <c r="I1830" s="5" t="n">
        <v>35.11329539215277</v>
      </c>
      <c r="J1830" s="5" t="n">
        <v>42.43583510458056</v>
      </c>
      <c r="K1830" s="5" t="n">
        <v>65</v>
      </c>
    </row>
    <row r="1831">
      <c r="A1831" s="2" t="n">
        <v>46173.66666666666</v>
      </c>
      <c r="B1831">
        <f>TEXT(A1831,"yyyy-mm")</f>
        <v/>
      </c>
      <c r="C1831" s="3">
        <f>HOUR(A1831)</f>
        <v/>
      </c>
      <c r="D1831" s="4" t="n">
        <v>22.28004937329444</v>
      </c>
      <c r="E1831" s="4" t="n">
        <v>25.48781701800556</v>
      </c>
      <c r="F1831" s="4" t="n">
        <v>26.94183300958055</v>
      </c>
      <c r="G1831" s="4" t="n">
        <v>14.2</v>
      </c>
      <c r="H1831" s="5" t="n">
        <v>37.51008562709723</v>
      </c>
      <c r="I1831" s="5" t="n">
        <v>34.77436672885555</v>
      </c>
      <c r="J1831" s="5" t="n">
        <v>42.25483984627778</v>
      </c>
      <c r="K1831" s="5" t="n">
        <v>61</v>
      </c>
    </row>
    <row r="1832">
      <c r="A1832" s="2" t="n">
        <v>46173.70833333334</v>
      </c>
      <c r="B1832">
        <f>TEXT(A1832,"yyyy-mm")</f>
        <v/>
      </c>
      <c r="C1832" s="3">
        <f>HOUR(A1832)</f>
        <v/>
      </c>
      <c r="D1832" s="4" t="n">
        <v>22.12955347413612</v>
      </c>
      <c r="E1832" s="4" t="n">
        <v>25.70381810627222</v>
      </c>
      <c r="F1832" s="4" t="n">
        <v>26.94988715599445</v>
      </c>
      <c r="G1832" s="4" t="n">
        <v>12.7</v>
      </c>
      <c r="H1832" s="5" t="n">
        <v>35.95030547135833</v>
      </c>
      <c r="I1832" s="5" t="n">
        <v>34.42269818820834</v>
      </c>
      <c r="J1832" s="5" t="n">
        <v>42.16976071653611</v>
      </c>
      <c r="K1832" s="5" t="n">
        <v>70</v>
      </c>
    </row>
    <row r="1833">
      <c r="A1833" s="2" t="n">
        <v>46173.75</v>
      </c>
      <c r="B1833">
        <f>TEXT(A1833,"yyyy-mm")</f>
        <v/>
      </c>
      <c r="C1833" s="3">
        <f>HOUR(A1833)</f>
        <v/>
      </c>
      <c r="D1833" s="4" t="n">
        <v>22.06938167525277</v>
      </c>
      <c r="E1833" s="4" t="n">
        <v>25.65915743267778</v>
      </c>
      <c r="F1833" s="4" t="n">
        <v>26.96423908507778</v>
      </c>
      <c r="G1833" s="4" t="n">
        <v>12.7</v>
      </c>
      <c r="H1833" s="5" t="n">
        <v>37.38968597561111</v>
      </c>
      <c r="I1833" s="5" t="n">
        <v>34.38424828153333</v>
      </c>
      <c r="J1833" s="5" t="n">
        <v>42.03648517704445</v>
      </c>
      <c r="K1833" s="5" t="n">
        <v>67</v>
      </c>
    </row>
    <row r="1834">
      <c r="A1834" s="2" t="n">
        <v>46173.79166666666</v>
      </c>
      <c r="B1834">
        <f>TEXT(A1834,"yyyy-mm")</f>
        <v/>
      </c>
      <c r="C1834" s="3">
        <f>HOUR(A1834)</f>
        <v/>
      </c>
      <c r="D1834" s="4" t="n">
        <v>22.56581765384166</v>
      </c>
      <c r="E1834" s="4" t="n">
        <v>25.44671016799166</v>
      </c>
      <c r="F1834" s="4" t="n">
        <v>26.96175149213333</v>
      </c>
      <c r="G1834" s="4" t="n">
        <v>12.4</v>
      </c>
      <c r="H1834" s="5" t="n">
        <v>37.83484232508334</v>
      </c>
      <c r="I1834" s="5" t="n">
        <v>34.56238020053889</v>
      </c>
      <c r="J1834" s="5" t="n">
        <v>42.04648750430278</v>
      </c>
      <c r="K1834" s="5" t="n">
        <v>68</v>
      </c>
    </row>
    <row r="1835">
      <c r="A1835" s="2" t="n">
        <v>46173.83333333334</v>
      </c>
      <c r="B1835">
        <f>TEXT(A1835,"yyyy-mm")</f>
        <v/>
      </c>
      <c r="C1835" s="3">
        <f>HOUR(A1835)</f>
        <v/>
      </c>
      <c r="D1835" s="4" t="n">
        <v>22.07793750590556</v>
      </c>
      <c r="E1835" s="4" t="n">
        <v>25.09062614548889</v>
      </c>
      <c r="F1835" s="4" t="n">
        <v>26.95671791902222</v>
      </c>
      <c r="G1835" s="4" t="n">
        <v>11.8</v>
      </c>
      <c r="H1835" s="5" t="n">
        <v>38.46982497606111</v>
      </c>
      <c r="I1835" s="5" t="n">
        <v>34.74168011665555</v>
      </c>
      <c r="J1835" s="5" t="n">
        <v>42.08112478888611</v>
      </c>
      <c r="K1835" s="5" t="n">
        <v>75</v>
      </c>
    </row>
    <row r="1836">
      <c r="A1836" s="2" t="n">
        <v>46173.875</v>
      </c>
      <c r="B1836">
        <f>TEXT(A1836,"yyyy-mm")</f>
        <v/>
      </c>
      <c r="C1836" s="3">
        <f>HOUR(A1836)</f>
        <v/>
      </c>
      <c r="D1836" s="4" t="n">
        <v>21.05589608326389</v>
      </c>
      <c r="E1836" s="4" t="n">
        <v>25.12945754019722</v>
      </c>
      <c r="F1836" s="4" t="n">
        <v>26.93423551725278</v>
      </c>
      <c r="G1836" s="4" t="n">
        <v>11</v>
      </c>
      <c r="H1836" s="5" t="n">
        <v>41.70564577104444</v>
      </c>
      <c r="I1836" s="5" t="n">
        <v>35.78475561332777</v>
      </c>
      <c r="J1836" s="5" t="n">
        <v>42.35865446345833</v>
      </c>
      <c r="K1836" s="5" t="n">
        <v>77</v>
      </c>
    </row>
    <row r="1837">
      <c r="A1837" s="2" t="n">
        <v>46173.91666666666</v>
      </c>
      <c r="B1837">
        <f>TEXT(A1837,"yyyy-mm")</f>
        <v/>
      </c>
      <c r="C1837" s="3">
        <f>HOUR(A1837)</f>
        <v/>
      </c>
      <c r="D1837" s="4" t="n">
        <v>20.85882876156667</v>
      </c>
      <c r="E1837" s="4" t="n">
        <v>25.43249413876111</v>
      </c>
      <c r="F1837" s="4" t="n">
        <v>26.92788890200556</v>
      </c>
      <c r="G1837" s="4" t="n">
        <v>10.1</v>
      </c>
      <c r="H1837" s="5" t="n">
        <v>42.42858508616944</v>
      </c>
      <c r="I1837" s="5" t="n">
        <v>35.81323541263333</v>
      </c>
      <c r="J1837" s="5" t="n">
        <v>42.43494050425833</v>
      </c>
      <c r="K1837" s="5" t="n">
        <v>84</v>
      </c>
    </row>
    <row r="1838">
      <c r="A1838" s="2" t="n">
        <v>46173.95833333334</v>
      </c>
      <c r="B1838">
        <f>TEXT(A1838,"yyyy-mm")</f>
        <v/>
      </c>
      <c r="C1838" s="3">
        <f>HOUR(A1838)</f>
        <v/>
      </c>
      <c r="D1838" s="4" t="n">
        <v>22.28398516372222</v>
      </c>
      <c r="E1838" s="4" t="n">
        <v>25.46043599629445</v>
      </c>
      <c r="F1838" s="4" t="n">
        <v>26.93732433639444</v>
      </c>
      <c r="G1838" s="4" t="n">
        <v>9.5</v>
      </c>
      <c r="H1838" s="5" t="n">
        <v>41.75362437578333</v>
      </c>
      <c r="I1838" s="5" t="n">
        <v>37.40241614521944</v>
      </c>
      <c r="J1838" s="5" t="n">
        <v>42.31823809920834</v>
      </c>
      <c r="K1838" s="5" t="n">
        <v>87</v>
      </c>
    </row>
    <row r="1839">
      <c r="A1839" s="2" t="n">
        <v>46174</v>
      </c>
      <c r="B1839">
        <f>TEXT(A1839,"yyyy-mm")</f>
        <v/>
      </c>
      <c r="C1839" s="3">
        <f>HOUR(A1839)</f>
        <v/>
      </c>
      <c r="D1839" s="4" t="n">
        <v>23.98062427611389</v>
      </c>
      <c r="E1839" s="4" t="n">
        <v>26.35552689575</v>
      </c>
      <c r="F1839" s="4" t="n">
        <v>26.96591794159722</v>
      </c>
      <c r="G1839" s="4" t="n">
        <v>8.9</v>
      </c>
      <c r="H1839" s="5" t="n">
        <v>41.45192455809444</v>
      </c>
      <c r="I1839" s="5" t="n">
        <v>37.53069120903333</v>
      </c>
      <c r="J1839" s="5" t="n">
        <v>42.18945084044167</v>
      </c>
      <c r="K1839" s="5" t="n">
        <v>90</v>
      </c>
    </row>
    <row r="1840">
      <c r="A1840" s="2" t="n">
        <v>46174.04166666666</v>
      </c>
      <c r="B1840">
        <f>TEXT(A1840,"yyyy-mm")</f>
        <v/>
      </c>
      <c r="C1840" s="3">
        <f>HOUR(A1840)</f>
        <v/>
      </c>
      <c r="D1840" s="4" t="n">
        <v>24.75072631704722</v>
      </c>
      <c r="E1840" s="4" t="n">
        <v>26.76738421295</v>
      </c>
      <c r="F1840" s="4" t="n">
        <v>27.09958576999166</v>
      </c>
      <c r="G1840" s="4" t="n">
        <v>8.300000000000001</v>
      </c>
      <c r="H1840" s="5" t="n">
        <v>42.66933357931666</v>
      </c>
      <c r="I1840" s="5" t="n">
        <v>39.4159610783</v>
      </c>
      <c r="J1840" s="5" t="n">
        <v>41.95519591816111</v>
      </c>
      <c r="K1840" s="5" t="n">
        <v>92</v>
      </c>
    </row>
    <row r="1841">
      <c r="A1841" s="2" t="n">
        <v>46174.08333333334</v>
      </c>
      <c r="B1841">
        <f>TEXT(A1841,"yyyy-mm")</f>
        <v/>
      </c>
      <c r="C1841" s="3">
        <f>HOUR(A1841)</f>
        <v/>
      </c>
      <c r="D1841" s="4" t="n">
        <v>22.50459797075</v>
      </c>
      <c r="E1841" s="4" t="n">
        <v>26.15178301190556</v>
      </c>
      <c r="F1841" s="4" t="n">
        <v>27.07615570404722</v>
      </c>
      <c r="G1841" s="4" t="n">
        <v>7.9</v>
      </c>
      <c r="H1841" s="5" t="n">
        <v>42.35901354997223</v>
      </c>
      <c r="I1841" s="5" t="n">
        <v>39.05254832608611</v>
      </c>
      <c r="J1841" s="5" t="n">
        <v>42.42675034609445</v>
      </c>
      <c r="K1841" s="5" t="n">
        <v>93</v>
      </c>
    </row>
    <row r="1842">
      <c r="A1842" s="2" t="n">
        <v>46174.125</v>
      </c>
      <c r="B1842">
        <f>TEXT(A1842,"yyyy-mm")</f>
        <v/>
      </c>
      <c r="C1842" s="3">
        <f>HOUR(A1842)</f>
        <v/>
      </c>
      <c r="D1842" s="4" t="n">
        <v>20.350266758325</v>
      </c>
      <c r="E1842" s="4" t="n">
        <v>25.11950685238889</v>
      </c>
      <c r="F1842" s="4" t="n">
        <v>26.98380990967778</v>
      </c>
      <c r="G1842" s="4" t="n">
        <v>7.6</v>
      </c>
      <c r="H1842" s="5" t="n">
        <v>41.52082648978334</v>
      </c>
      <c r="I1842" s="5" t="n">
        <v>34.96389370920277</v>
      </c>
      <c r="J1842" s="5" t="n">
        <v>42.458098616925</v>
      </c>
      <c r="K1842" s="5" t="n">
        <v>93</v>
      </c>
    </row>
    <row r="1843">
      <c r="A1843" s="2" t="n">
        <v>46174.16666666666</v>
      </c>
      <c r="B1843">
        <f>TEXT(A1843,"yyyy-mm")</f>
        <v/>
      </c>
      <c r="C1843" s="3">
        <f>HOUR(A1843)</f>
        <v/>
      </c>
      <c r="D1843" s="4" t="n">
        <v>19.80809208680555</v>
      </c>
      <c r="E1843" s="4" t="n">
        <v>24.56743765521389</v>
      </c>
      <c r="F1843" s="4" t="n">
        <v>26.93289999286389</v>
      </c>
      <c r="G1843" s="4" t="n">
        <v>7.3</v>
      </c>
      <c r="H1843" s="5" t="n">
        <v>41.35681766992221</v>
      </c>
      <c r="I1843" s="5" t="n">
        <v>34.25890422221111</v>
      </c>
      <c r="J1843" s="5" t="n">
        <v>42.223959172725</v>
      </c>
      <c r="K1843" s="5" t="n">
        <v>92</v>
      </c>
    </row>
    <row r="1844">
      <c r="A1844" s="2" t="n">
        <v>46174.20833333334</v>
      </c>
      <c r="B1844">
        <f>TEXT(A1844,"yyyy-mm")</f>
        <v/>
      </c>
      <c r="C1844" s="3">
        <f>HOUR(A1844)</f>
        <v/>
      </c>
      <c r="D1844" s="4" t="n">
        <v>19.88805450145278</v>
      </c>
      <c r="E1844" s="4" t="n">
        <v>24.19514014814166</v>
      </c>
      <c r="F1844" s="4" t="n">
        <v>26.87385622769445</v>
      </c>
      <c r="G1844" s="4" t="n">
        <v>7.2</v>
      </c>
      <c r="H1844" s="5" t="n">
        <v>40.49835769315833</v>
      </c>
      <c r="I1844" s="5" t="n">
        <v>34.15590751502778</v>
      </c>
      <c r="J1844" s="5" t="n">
        <v>42.03737183283889</v>
      </c>
      <c r="K1844" s="5" t="n">
        <v>92</v>
      </c>
    </row>
    <row r="1845">
      <c r="A1845" s="2" t="n">
        <v>46174.25</v>
      </c>
      <c r="B1845">
        <f>TEXT(A1845,"yyyy-mm")</f>
        <v/>
      </c>
      <c r="C1845" s="3">
        <f>HOUR(A1845)</f>
        <v/>
      </c>
      <c r="D1845" s="4" t="n">
        <v>20.66749890896945</v>
      </c>
      <c r="E1845" s="4" t="n">
        <v>24.28079199159444</v>
      </c>
      <c r="F1845" s="4" t="n">
        <v>26.83086846477778</v>
      </c>
      <c r="G1845" s="4" t="n">
        <v>8.1</v>
      </c>
      <c r="H1845" s="5" t="n">
        <v>38.72818643326666</v>
      </c>
      <c r="I1845" s="5" t="n">
        <v>33.89780400508056</v>
      </c>
      <c r="J1845" s="5" t="n">
        <v>41.92230269709167</v>
      </c>
      <c r="K1845" s="5" t="n">
        <v>89</v>
      </c>
    </row>
    <row r="1846">
      <c r="A1846" s="2" t="n">
        <v>46174.29166666666</v>
      </c>
      <c r="B1846">
        <f>TEXT(A1846,"yyyy-mm")</f>
        <v/>
      </c>
      <c r="C1846" s="3">
        <f>HOUR(A1846)</f>
        <v/>
      </c>
      <c r="D1846" s="4" t="n">
        <v>20.74900756006667</v>
      </c>
      <c r="E1846" s="4" t="n">
        <v>24.28020713907778</v>
      </c>
      <c r="F1846" s="4" t="n">
        <v>26.80751437291667</v>
      </c>
      <c r="G1846" s="4" t="n">
        <v>9.6</v>
      </c>
      <c r="H1846" s="5" t="n">
        <v>38.86444120006389</v>
      </c>
      <c r="I1846" s="5" t="n">
        <v>34.08487679173333</v>
      </c>
      <c r="J1846" s="5" t="n">
        <v>41.83650275716945</v>
      </c>
      <c r="K1846" s="5" t="n">
        <v>83</v>
      </c>
    </row>
    <row r="1847">
      <c r="A1847" s="2" t="n">
        <v>46174.33333333334</v>
      </c>
      <c r="B1847">
        <f>TEXT(A1847,"yyyy-mm")</f>
        <v/>
      </c>
      <c r="C1847" s="3">
        <f>HOUR(A1847)</f>
        <v/>
      </c>
      <c r="D1847" s="4" t="n">
        <v>21.62259785310556</v>
      </c>
      <c r="E1847" s="4" t="n">
        <v>24.34950633878333</v>
      </c>
      <c r="F1847" s="4" t="n">
        <v>26.78583316781389</v>
      </c>
      <c r="G1847" s="4" t="n">
        <v>11.7</v>
      </c>
      <c r="H1847" s="5" t="n">
        <v>37.31885825459167</v>
      </c>
      <c r="I1847" s="5" t="n">
        <v>34.141423678</v>
      </c>
      <c r="J1847" s="5" t="n">
        <v>41.78686253571112</v>
      </c>
      <c r="K1847" s="5" t="n">
        <v>76</v>
      </c>
    </row>
    <row r="1848">
      <c r="A1848" s="2" t="n">
        <v>46174.375</v>
      </c>
      <c r="B1848">
        <f>TEXT(A1848,"yyyy-mm")</f>
        <v/>
      </c>
      <c r="C1848" s="3">
        <f>HOUR(A1848)</f>
        <v/>
      </c>
      <c r="D1848" s="4" t="n">
        <v>22.33362360314722</v>
      </c>
      <c r="E1848" s="4" t="n">
        <v>24.33319343269167</v>
      </c>
      <c r="F1848" s="4" t="n">
        <v>26.79195936542777</v>
      </c>
      <c r="G1848" s="4" t="n">
        <v>13.1</v>
      </c>
      <c r="H1848" s="5" t="n">
        <v>36.58182774769444</v>
      </c>
      <c r="I1848" s="5" t="n">
        <v>34.38437615732222</v>
      </c>
      <c r="J1848" s="5" t="n">
        <v>41.78077936032222</v>
      </c>
      <c r="K1848" s="5" t="n">
        <v>70</v>
      </c>
    </row>
    <row r="1849">
      <c r="A1849" s="2" t="n">
        <v>46174.41666666666</v>
      </c>
      <c r="B1849">
        <f>TEXT(A1849,"yyyy-mm")</f>
        <v/>
      </c>
      <c r="C1849" s="3">
        <f>HOUR(A1849)</f>
        <v/>
      </c>
      <c r="D1849" s="4" t="n">
        <v>23.79853329338611</v>
      </c>
      <c r="E1849" s="4" t="n">
        <v>25.06575676434722</v>
      </c>
      <c r="F1849" s="4" t="n">
        <v>26.89546702468056</v>
      </c>
      <c r="G1849" s="4" t="n">
        <v>13.8</v>
      </c>
      <c r="H1849" s="5" t="n">
        <v>37.65887778223611</v>
      </c>
      <c r="I1849" s="5" t="n">
        <v>39.74266240657222</v>
      </c>
      <c r="J1849" s="5" t="n">
        <v>41.73049891585833</v>
      </c>
      <c r="K1849" s="5" t="n">
        <v>63</v>
      </c>
    </row>
    <row r="1850">
      <c r="A1850" s="2" t="n">
        <v>46174.45833333334</v>
      </c>
      <c r="B1850">
        <f>TEXT(A1850,"yyyy-mm")</f>
        <v/>
      </c>
      <c r="C1850" s="3">
        <f>HOUR(A1850)</f>
        <v/>
      </c>
      <c r="D1850" s="4" t="n">
        <v>24.63359210108333</v>
      </c>
      <c r="E1850" s="4" t="n">
        <v>25.80101780721389</v>
      </c>
      <c r="F1850" s="4" t="n">
        <v>26.83869120113889</v>
      </c>
      <c r="G1850" s="4" t="n">
        <v>14.6</v>
      </c>
      <c r="H1850" s="5" t="n">
        <v>39.17709203665556</v>
      </c>
      <c r="I1850" s="5" t="n">
        <v>39.85441374137778</v>
      </c>
      <c r="J1850" s="5" t="n">
        <v>41.97512646059445</v>
      </c>
      <c r="K1850" s="5" t="n">
        <v>56</v>
      </c>
    </row>
    <row r="1851">
      <c r="A1851" s="2" t="n">
        <v>46174.5</v>
      </c>
      <c r="B1851">
        <f>TEXT(A1851,"yyyy-mm")</f>
        <v/>
      </c>
      <c r="C1851" s="3">
        <f>HOUR(A1851)</f>
        <v/>
      </c>
      <c r="D1851" s="4" t="n">
        <v>24.519168717575</v>
      </c>
      <c r="E1851" s="4" t="n">
        <v>25.87767555356945</v>
      </c>
      <c r="F1851" s="4" t="n">
        <v>26.86226902540833</v>
      </c>
      <c r="G1851" s="4" t="n">
        <v>16.5</v>
      </c>
      <c r="H1851" s="5" t="n">
        <v>35.58156229007778</v>
      </c>
      <c r="I1851" s="5" t="n">
        <v>38.70278816429445</v>
      </c>
      <c r="J1851" s="5" t="n">
        <v>42.27994748129444</v>
      </c>
      <c r="K1851" s="5" t="n">
        <v>56</v>
      </c>
    </row>
    <row r="1852">
      <c r="A1852" s="2" t="n">
        <v>46174.54166666666</v>
      </c>
      <c r="B1852">
        <f>TEXT(A1852,"yyyy-mm")</f>
        <v/>
      </c>
      <c r="C1852" s="3">
        <f>HOUR(A1852)</f>
        <v/>
      </c>
      <c r="D1852" s="4" t="n">
        <v>23.89478134420555</v>
      </c>
      <c r="E1852" s="4" t="n">
        <v>25.75756589335833</v>
      </c>
      <c r="F1852" s="4" t="n">
        <v>26.86777802161111</v>
      </c>
      <c r="G1852" s="4" t="n">
        <v>17</v>
      </c>
      <c r="H1852" s="5" t="n">
        <v>36.08634694401111</v>
      </c>
      <c r="I1852" s="5" t="n">
        <v>37.82282820528334</v>
      </c>
      <c r="J1852" s="5" t="n">
        <v>42.27209295861667</v>
      </c>
      <c r="K1852" s="5" t="n">
        <v>52</v>
      </c>
    </row>
    <row r="1853">
      <c r="A1853" s="2" t="n">
        <v>46174.58333333334</v>
      </c>
      <c r="B1853">
        <f>TEXT(A1853,"yyyy-mm")</f>
        <v/>
      </c>
      <c r="C1853" s="3">
        <f>HOUR(A1853)</f>
        <v/>
      </c>
      <c r="D1853" s="4" t="n">
        <v>22.50462278045</v>
      </c>
      <c r="E1853" s="4" t="n">
        <v>25.60327549018056</v>
      </c>
      <c r="F1853" s="4" t="n">
        <v>26.859086752075</v>
      </c>
      <c r="G1853" s="4" t="n">
        <v>15.2</v>
      </c>
      <c r="H1853" s="5" t="n">
        <v>35.77994940009167</v>
      </c>
      <c r="I1853" s="5" t="n">
        <v>35.76879887764722</v>
      </c>
      <c r="J1853" s="5" t="n">
        <v>42.16291458021944</v>
      </c>
      <c r="K1853" s="5" t="n">
        <v>59</v>
      </c>
    </row>
    <row r="1854">
      <c r="A1854" s="2" t="n">
        <v>46174.625</v>
      </c>
      <c r="B1854">
        <f>TEXT(A1854,"yyyy-mm")</f>
        <v/>
      </c>
      <c r="C1854" s="3">
        <f>HOUR(A1854)</f>
        <v/>
      </c>
      <c r="D1854" s="4" t="n">
        <v>22.09719137757778</v>
      </c>
      <c r="E1854" s="4" t="n">
        <v>25.56937467821111</v>
      </c>
      <c r="F1854" s="4" t="n">
        <v>26.84089918273889</v>
      </c>
      <c r="G1854" s="4" t="n">
        <v>14.7</v>
      </c>
      <c r="H1854" s="5" t="n">
        <v>35.60645283941944</v>
      </c>
      <c r="I1854" s="5" t="n">
        <v>32.97211747706111</v>
      </c>
      <c r="J1854" s="5" t="n">
        <v>41.98396493518612</v>
      </c>
      <c r="K1854" s="5" t="n">
        <v>67</v>
      </c>
    </row>
    <row r="1855">
      <c r="A1855" s="2" t="n">
        <v>46174.66666666666</v>
      </c>
      <c r="B1855">
        <f>TEXT(A1855,"yyyy-mm")</f>
        <v/>
      </c>
      <c r="C1855" s="3">
        <f>HOUR(A1855)</f>
        <v/>
      </c>
      <c r="D1855" s="4" t="n">
        <v>22.35934450138333</v>
      </c>
      <c r="E1855" s="4" t="n">
        <v>25.74219232580556</v>
      </c>
      <c r="F1855" s="4" t="n">
        <v>26.835667359575</v>
      </c>
      <c r="G1855" s="4" t="n">
        <v>16.5</v>
      </c>
      <c r="H1855" s="5" t="n">
        <v>38.61405173536389</v>
      </c>
      <c r="I1855" s="5" t="n">
        <v>35.29915319825555</v>
      </c>
      <c r="J1855" s="5" t="n">
        <v>41.91392473300834</v>
      </c>
      <c r="K1855" s="5" t="n">
        <v>57</v>
      </c>
    </row>
    <row r="1856">
      <c r="A1856" s="2" t="n">
        <v>46174.70833333334</v>
      </c>
      <c r="B1856">
        <f>TEXT(A1856,"yyyy-mm")</f>
        <v/>
      </c>
      <c r="C1856" s="3">
        <f>HOUR(A1856)</f>
        <v/>
      </c>
      <c r="D1856" s="4" t="n">
        <v>23.39621783782778</v>
      </c>
      <c r="E1856" s="4" t="n">
        <v>25.82604346693889</v>
      </c>
      <c r="F1856" s="4" t="n">
        <v>26.833219527675</v>
      </c>
      <c r="G1856" s="4" t="n">
        <v>16.7</v>
      </c>
      <c r="H1856" s="5" t="n">
        <v>38.88355257300555</v>
      </c>
      <c r="I1856" s="5" t="n">
        <v>36.41614256588889</v>
      </c>
      <c r="J1856" s="5" t="n">
        <v>42.05252160631944</v>
      </c>
      <c r="K1856" s="5" t="n">
        <v>56</v>
      </c>
    </row>
    <row r="1857">
      <c r="A1857" s="2" t="n">
        <v>46174.75</v>
      </c>
      <c r="B1857">
        <f>TEXT(A1857,"yyyy-mm")</f>
        <v/>
      </c>
      <c r="C1857" s="3">
        <f>HOUR(A1857)</f>
        <v/>
      </c>
      <c r="D1857" s="4" t="n">
        <v>23.21746244944167</v>
      </c>
      <c r="E1857" s="4" t="n">
        <v>25.81471300523333</v>
      </c>
      <c r="F1857" s="4" t="n">
        <v>26.84796862874722</v>
      </c>
      <c r="G1857" s="4" t="n">
        <v>15.8</v>
      </c>
      <c r="H1857" s="5" t="n">
        <v>38.90219364283611</v>
      </c>
      <c r="I1857" s="5" t="n">
        <v>37.01492155044166</v>
      </c>
      <c r="J1857" s="5" t="n">
        <v>42.25440034308056</v>
      </c>
      <c r="K1857" s="5" t="n">
        <v>62</v>
      </c>
    </row>
    <row r="1858">
      <c r="A1858" s="2" t="n">
        <v>46174.79166666666</v>
      </c>
      <c r="B1858">
        <f>TEXT(A1858,"yyyy-mm")</f>
        <v/>
      </c>
      <c r="C1858" s="3">
        <f>HOUR(A1858)</f>
        <v/>
      </c>
      <c r="D1858" s="4" t="n">
        <v>23.09630834093612</v>
      </c>
      <c r="E1858" s="4" t="n">
        <v>25.82624598794722</v>
      </c>
      <c r="F1858" s="4" t="n">
        <v>26.836614429375</v>
      </c>
      <c r="G1858" s="4" t="n">
        <v>13.2</v>
      </c>
      <c r="H1858" s="5" t="n">
        <v>40.31597014583056</v>
      </c>
      <c r="I1858" s="5" t="n">
        <v>37.01883482215</v>
      </c>
      <c r="J1858" s="5" t="n">
        <v>42.45268963278333</v>
      </c>
      <c r="K1858" s="5" t="n">
        <v>79</v>
      </c>
    </row>
    <row r="1859">
      <c r="A1859" s="2" t="n">
        <v>46174.83333333334</v>
      </c>
      <c r="B1859">
        <f>TEXT(A1859,"yyyy-mm")</f>
        <v/>
      </c>
      <c r="C1859" s="3">
        <f>HOUR(A1859)</f>
        <v/>
      </c>
      <c r="D1859" s="4" t="n">
        <v>22.94045162817778</v>
      </c>
      <c r="E1859" s="4" t="n">
        <v>25.75696813497222</v>
      </c>
      <c r="F1859" s="4" t="n">
        <v>26.83422909719167</v>
      </c>
      <c r="G1859" s="4" t="n">
        <v>12.9</v>
      </c>
      <c r="H1859" s="5" t="n">
        <v>41.48634717453056</v>
      </c>
      <c r="I1859" s="5" t="n">
        <v>37.43482841919167</v>
      </c>
      <c r="J1859" s="5" t="n">
        <v>42.61148002046944</v>
      </c>
      <c r="K1859" s="5" t="n">
        <v>84</v>
      </c>
    </row>
    <row r="1860">
      <c r="A1860" s="2" t="n">
        <v>46174.875</v>
      </c>
      <c r="B1860">
        <f>TEXT(A1860,"yyyy-mm")</f>
        <v/>
      </c>
      <c r="C1860" s="3">
        <f>HOUR(A1860)</f>
        <v/>
      </c>
      <c r="D1860" s="4" t="n">
        <v>22.57738322500556</v>
      </c>
      <c r="E1860" s="4" t="n">
        <v>25.74588698492222</v>
      </c>
      <c r="F1860" s="4" t="n">
        <v>26.82604763293333</v>
      </c>
      <c r="G1860" s="4" t="n">
        <v>12.7</v>
      </c>
      <c r="H1860" s="5" t="n">
        <v>42.88480757126388</v>
      </c>
      <c r="I1860" s="5" t="n">
        <v>38.79397887214167</v>
      </c>
      <c r="J1860" s="5" t="n">
        <v>42.80428808137222</v>
      </c>
      <c r="K1860" s="5" t="n">
        <v>87</v>
      </c>
    </row>
    <row r="1861">
      <c r="A1861" s="2" t="n">
        <v>46174.91666666666</v>
      </c>
      <c r="B1861">
        <f>TEXT(A1861,"yyyy-mm")</f>
        <v/>
      </c>
      <c r="C1861" s="3">
        <f>HOUR(A1861)</f>
        <v/>
      </c>
      <c r="D1861" s="4" t="n">
        <v>22.86000802117778</v>
      </c>
      <c r="E1861" s="4" t="n">
        <v>25.72213276768056</v>
      </c>
      <c r="F1861" s="4" t="n">
        <v>26.836861904025</v>
      </c>
      <c r="G1861" s="4" t="n">
        <v>12.1</v>
      </c>
      <c r="H1861" s="5" t="n">
        <v>43.27169984660834</v>
      </c>
      <c r="I1861" s="5" t="n">
        <v>38.79896621089167</v>
      </c>
      <c r="J1861" s="5" t="n">
        <v>42.87491445658333</v>
      </c>
      <c r="K1861" s="5" t="n">
        <v>88</v>
      </c>
    </row>
    <row r="1862">
      <c r="A1862" s="2" t="n">
        <v>46174.95833333334</v>
      </c>
      <c r="B1862">
        <f>TEXT(A1862,"yyyy-mm")</f>
        <v/>
      </c>
      <c r="C1862" s="3">
        <f>HOUR(A1862)</f>
        <v/>
      </c>
      <c r="D1862" s="4" t="n">
        <v>22.99268321556667</v>
      </c>
      <c r="E1862" s="4" t="n">
        <v>25.77332260552778</v>
      </c>
      <c r="F1862" s="4" t="n">
        <v>26.847548917925</v>
      </c>
      <c r="G1862" s="4" t="n">
        <v>11.6</v>
      </c>
      <c r="H1862" s="5" t="n">
        <v>41.53674638169445</v>
      </c>
      <c r="I1862" s="5" t="n">
        <v>39.36106017219445</v>
      </c>
      <c r="J1862" s="5" t="n">
        <v>42.97561151679722</v>
      </c>
      <c r="K1862" s="5" t="n">
        <v>87</v>
      </c>
    </row>
    <row r="1863">
      <c r="A1863" s="2" t="n">
        <v>46175</v>
      </c>
      <c r="B1863">
        <f>TEXT(A1863,"yyyy-mm")</f>
        <v/>
      </c>
      <c r="C1863" s="3">
        <f>HOUR(A1863)</f>
        <v/>
      </c>
      <c r="D1863" s="4" t="n">
        <v>23.10813744421388</v>
      </c>
      <c r="E1863" s="4" t="n">
        <v>25.96303134119722</v>
      </c>
      <c r="F1863" s="4" t="n">
        <v>26.84242339221389</v>
      </c>
      <c r="G1863" s="4" t="n">
        <v>11.2</v>
      </c>
      <c r="H1863" s="5" t="n">
        <v>39.72368458036667</v>
      </c>
      <c r="I1863" s="5" t="n">
        <v>39.77279627795</v>
      </c>
      <c r="J1863" s="5" t="n">
        <v>43.004862654325</v>
      </c>
      <c r="K1863" s="5" t="n">
        <v>87</v>
      </c>
    </row>
    <row r="1864">
      <c r="A1864" s="2" t="n">
        <v>46175.04166666666</v>
      </c>
      <c r="B1864">
        <f>TEXT(A1864,"yyyy-mm")</f>
        <v/>
      </c>
      <c r="C1864" s="3">
        <f>HOUR(A1864)</f>
        <v/>
      </c>
      <c r="D1864" s="4" t="n">
        <v>22.8326761285</v>
      </c>
      <c r="E1864" s="4" t="n">
        <v>25.77573051880556</v>
      </c>
      <c r="F1864" s="4" t="n">
        <v>26.80518311593333</v>
      </c>
      <c r="G1864" s="4" t="n">
        <v>10.8</v>
      </c>
      <c r="H1864" s="5" t="n">
        <v>40.22699046907778</v>
      </c>
      <c r="I1864" s="5" t="n">
        <v>37.81589844047777</v>
      </c>
      <c r="J1864" s="5" t="n">
        <v>43.38662739884444</v>
      </c>
      <c r="K1864" s="5" t="n">
        <v>87</v>
      </c>
    </row>
    <row r="1865">
      <c r="A1865" s="2" t="n">
        <v>46175.08333333334</v>
      </c>
      <c r="B1865">
        <f>TEXT(A1865,"yyyy-mm")</f>
        <v/>
      </c>
      <c r="C1865" s="3">
        <f>HOUR(A1865)</f>
        <v/>
      </c>
      <c r="D1865" s="4" t="n">
        <v>22.42136472900556</v>
      </c>
      <c r="E1865" s="4" t="n">
        <v>25.47598424945278</v>
      </c>
      <c r="F1865" s="4" t="n">
        <v>26.79707628865277</v>
      </c>
      <c r="G1865" s="4" t="n">
        <v>10.3</v>
      </c>
      <c r="H1865" s="5" t="n">
        <v>42.61205359205278</v>
      </c>
      <c r="I1865" s="5" t="n">
        <v>38.80794128835278</v>
      </c>
      <c r="J1865" s="5" t="n">
        <v>43.47737082938611</v>
      </c>
      <c r="K1865" s="5" t="n">
        <v>87</v>
      </c>
    </row>
    <row r="1866">
      <c r="A1866" s="2" t="n">
        <v>46175.125</v>
      </c>
      <c r="B1866">
        <f>TEXT(A1866,"yyyy-mm")</f>
        <v/>
      </c>
      <c r="C1866" s="3">
        <f>HOUR(A1866)</f>
        <v/>
      </c>
      <c r="D1866" s="4" t="n">
        <v>22.08755171518889</v>
      </c>
      <c r="E1866" s="4" t="n">
        <v>25.16762403066667</v>
      </c>
      <c r="F1866" s="4" t="n">
        <v>26.79625318184722</v>
      </c>
      <c r="G1866" s="4" t="n">
        <v>10.2</v>
      </c>
      <c r="H1866" s="5" t="n">
        <v>42.65283856956111</v>
      </c>
      <c r="I1866" s="5" t="n">
        <v>38.23882358197222</v>
      </c>
      <c r="J1866" s="5" t="n">
        <v>43.437582799825</v>
      </c>
      <c r="K1866" s="5" t="n">
        <v>85</v>
      </c>
    </row>
    <row r="1867">
      <c r="A1867" s="2" t="n">
        <v>46175.16666666666</v>
      </c>
      <c r="B1867">
        <f>TEXT(A1867,"yyyy-mm")</f>
        <v/>
      </c>
      <c r="C1867" s="3">
        <f>HOUR(A1867)</f>
        <v/>
      </c>
      <c r="D1867" s="4" t="n">
        <v>21.84245476603056</v>
      </c>
      <c r="E1867" s="4" t="n">
        <v>24.87620683566945</v>
      </c>
      <c r="F1867" s="4" t="n">
        <v>26.76901281808611</v>
      </c>
      <c r="G1867" s="4" t="n">
        <v>9.699999999999999</v>
      </c>
      <c r="H1867" s="5" t="n">
        <v>41.85036795379444</v>
      </c>
      <c r="I1867" s="5" t="n">
        <v>37.58487356076945</v>
      </c>
      <c r="J1867" s="5" t="n">
        <v>43.34357390029444</v>
      </c>
      <c r="K1867" s="5" t="n">
        <v>85</v>
      </c>
    </row>
    <row r="1868">
      <c r="A1868" s="2" t="n">
        <v>46175.20833333334</v>
      </c>
      <c r="B1868">
        <f>TEXT(A1868,"yyyy-mm")</f>
        <v/>
      </c>
      <c r="C1868" s="3">
        <f>HOUR(A1868)</f>
        <v/>
      </c>
      <c r="D1868" s="4" t="n">
        <v>22.50489713882222</v>
      </c>
      <c r="E1868" s="4" t="n">
        <v>24.88351235998889</v>
      </c>
      <c r="F1868" s="4" t="n">
        <v>26.73411719818056</v>
      </c>
      <c r="G1868" s="4" t="n">
        <v>9.300000000000001</v>
      </c>
      <c r="H1868" s="5" t="n">
        <v>40.25856907843611</v>
      </c>
      <c r="I1868" s="5" t="n">
        <v>37.43696925240278</v>
      </c>
      <c r="J1868" s="5" t="n">
        <v>43.27132210552778</v>
      </c>
      <c r="K1868" s="5" t="n">
        <v>85</v>
      </c>
    </row>
    <row r="1869">
      <c r="A1869" s="2" t="n">
        <v>46175.25</v>
      </c>
      <c r="B1869">
        <f>TEXT(A1869,"yyyy-mm")</f>
        <v/>
      </c>
      <c r="C1869" s="3">
        <f>HOUR(A1869)</f>
        <v/>
      </c>
      <c r="D1869" s="4" t="n">
        <v>23.48381003369444</v>
      </c>
      <c r="E1869" s="4" t="n">
        <v>25.30446054610277</v>
      </c>
      <c r="F1869" s="4" t="n">
        <v>26.73275337947778</v>
      </c>
      <c r="G1869" s="4" t="n">
        <v>10.2</v>
      </c>
      <c r="H1869" s="5" t="n">
        <v>38.43865499507223</v>
      </c>
      <c r="I1869" s="5" t="n">
        <v>37.50402705236667</v>
      </c>
      <c r="J1869" s="5" t="n">
        <v>43.22570631436389</v>
      </c>
      <c r="K1869" s="5" t="n">
        <v>82</v>
      </c>
    </row>
    <row r="1870">
      <c r="A1870" s="2" t="n">
        <v>46175.29166666666</v>
      </c>
      <c r="B1870">
        <f>TEXT(A1870,"yyyy-mm")</f>
        <v/>
      </c>
      <c r="C1870" s="3">
        <f>HOUR(A1870)</f>
        <v/>
      </c>
      <c r="D1870" s="4" t="n">
        <v>24.54667374078056</v>
      </c>
      <c r="E1870" s="4" t="n">
        <v>25.89405538663055</v>
      </c>
      <c r="F1870" s="4" t="n">
        <v>26.73712971151389</v>
      </c>
      <c r="G1870" s="4" t="n">
        <v>12.2</v>
      </c>
      <c r="H1870" s="5" t="n">
        <v>37.98005961636111</v>
      </c>
      <c r="I1870" s="5" t="n">
        <v>36.76221688550555</v>
      </c>
      <c r="J1870" s="5" t="n">
        <v>43.25292490164444</v>
      </c>
      <c r="K1870" s="5" t="n">
        <v>77</v>
      </c>
    </row>
    <row r="1871">
      <c r="A1871" s="2" t="n">
        <v>46175.33333333334</v>
      </c>
      <c r="B1871">
        <f>TEXT(A1871,"yyyy-mm")</f>
        <v/>
      </c>
      <c r="C1871" s="3">
        <f>HOUR(A1871)</f>
        <v/>
      </c>
      <c r="D1871" s="4" t="n">
        <v>25.32139607586944</v>
      </c>
      <c r="E1871" s="4" t="n">
        <v>26.52655447101111</v>
      </c>
      <c r="F1871" s="4" t="n">
        <v>26.76601673527222</v>
      </c>
      <c r="G1871" s="4" t="n">
        <v>14.8</v>
      </c>
      <c r="H1871" s="5" t="n">
        <v>37.92681305968333</v>
      </c>
      <c r="I1871" s="5" t="n">
        <v>36.97530491265833</v>
      </c>
      <c r="J1871" s="5" t="n">
        <v>43.25400899422777</v>
      </c>
      <c r="K1871" s="5" t="n">
        <v>68</v>
      </c>
    </row>
    <row r="1872">
      <c r="A1872" s="2" t="n">
        <v>46175.375</v>
      </c>
      <c r="B1872">
        <f>TEXT(A1872,"yyyy-mm")</f>
        <v/>
      </c>
      <c r="C1872" s="3">
        <f>HOUR(A1872)</f>
        <v/>
      </c>
      <c r="D1872" s="4" t="n">
        <v>25.84527954306667</v>
      </c>
      <c r="E1872" s="4" t="n">
        <v>26.89767312534444</v>
      </c>
      <c r="F1872" s="4" t="n">
        <v>26.80201197558611</v>
      </c>
      <c r="G1872" s="4" t="n">
        <v>18</v>
      </c>
      <c r="H1872" s="5" t="n">
        <v>38.01848284852501</v>
      </c>
      <c r="I1872" s="5" t="n">
        <v>37.44900870566111</v>
      </c>
      <c r="J1872" s="5" t="n">
        <v>43.25810165225</v>
      </c>
      <c r="K1872" s="5" t="n">
        <v>56</v>
      </c>
    </row>
    <row r="1873">
      <c r="A1873" s="2" t="n">
        <v>46175.41666666666</v>
      </c>
      <c r="B1873">
        <f>TEXT(A1873,"yyyy-mm")</f>
        <v/>
      </c>
      <c r="C1873" s="3">
        <f>HOUR(A1873)</f>
        <v/>
      </c>
      <c r="D1873" s="4" t="n">
        <v>25.83501886806944</v>
      </c>
      <c r="E1873" s="4" t="n">
        <v>27.09154192264444</v>
      </c>
      <c r="F1873" s="4" t="n">
        <v>26.85759945495</v>
      </c>
      <c r="G1873" s="4" t="n">
        <v>19.9</v>
      </c>
      <c r="H1873" s="5" t="n">
        <v>38.69410613171944</v>
      </c>
      <c r="I1873" s="5" t="n">
        <v>37.52640547380833</v>
      </c>
      <c r="J1873" s="5" t="n">
        <v>43.31047908326389</v>
      </c>
      <c r="K1873" s="5" t="n">
        <v>43</v>
      </c>
    </row>
    <row r="1874">
      <c r="A1874" s="2" t="n">
        <v>46175.45833333334</v>
      </c>
      <c r="B1874">
        <f>TEXT(A1874,"yyyy-mm")</f>
        <v/>
      </c>
      <c r="C1874" s="3">
        <f>HOUR(A1874)</f>
        <v/>
      </c>
      <c r="D1874" s="4" t="n">
        <v>25.84131346025555</v>
      </c>
      <c r="E1874" s="4" t="n">
        <v>27.42487200936111</v>
      </c>
      <c r="F1874" s="4" t="n">
        <v>26.87173285202778</v>
      </c>
      <c r="G1874" s="4" t="n">
        <v>20.8</v>
      </c>
      <c r="H1874" s="5" t="n">
        <v>38.58204702230277</v>
      </c>
      <c r="I1874" s="5" t="n">
        <v>38.26054148732778</v>
      </c>
      <c r="J1874" s="5" t="n">
        <v>43.39342521523333</v>
      </c>
      <c r="K1874" s="5" t="n">
        <v>39</v>
      </c>
    </row>
    <row r="1875">
      <c r="A1875" s="2" t="n">
        <v>46175.5</v>
      </c>
      <c r="B1875">
        <f>TEXT(A1875,"yyyy-mm")</f>
        <v/>
      </c>
      <c r="C1875" s="3">
        <f>HOUR(A1875)</f>
        <v/>
      </c>
      <c r="D1875" s="4" t="n">
        <v>25.81257389454722</v>
      </c>
      <c r="E1875" s="4" t="n">
        <v>27.36922120009444</v>
      </c>
      <c r="F1875" s="4" t="n">
        <v>26.865500221075</v>
      </c>
      <c r="G1875" s="4" t="n">
        <v>21.7</v>
      </c>
      <c r="H1875" s="5" t="n">
        <v>36.98700347616944</v>
      </c>
      <c r="I1875" s="5" t="n">
        <v>34.96380288082778</v>
      </c>
      <c r="J1875" s="5" t="n">
        <v>43.36142649731389</v>
      </c>
      <c r="K1875" s="5" t="n">
        <v>36</v>
      </c>
    </row>
    <row r="1876">
      <c r="A1876" s="2" t="n">
        <v>46175.54166666666</v>
      </c>
      <c r="B1876">
        <f>TEXT(A1876,"yyyy-mm")</f>
        <v/>
      </c>
      <c r="C1876" s="3">
        <f>HOUR(A1876)</f>
        <v/>
      </c>
      <c r="D1876" s="4" t="n">
        <v>25.63528632483889</v>
      </c>
      <c r="E1876" s="4" t="n">
        <v>27.24722018396389</v>
      </c>
      <c r="F1876" s="4" t="n">
        <v>26.87557560250556</v>
      </c>
      <c r="G1876" s="4" t="n">
        <v>22.4</v>
      </c>
      <c r="H1876" s="5" t="n">
        <v>35.58294484095833</v>
      </c>
      <c r="I1876" s="5" t="n">
        <v>36.10177139919444</v>
      </c>
      <c r="J1876" s="5" t="n">
        <v>43.36977805215833</v>
      </c>
      <c r="K1876" s="5" t="n">
        <v>33</v>
      </c>
    </row>
    <row r="1877">
      <c r="A1877" s="2" t="n">
        <v>46175.58333333334</v>
      </c>
      <c r="B1877">
        <f>TEXT(A1877,"yyyy-mm")</f>
        <v/>
      </c>
      <c r="C1877" s="3">
        <f>HOUR(A1877)</f>
        <v/>
      </c>
      <c r="D1877" s="4" t="n">
        <v>25.54674913476667</v>
      </c>
      <c r="E1877" s="4" t="n">
        <v>27.14403261509166</v>
      </c>
      <c r="F1877" s="4" t="n">
        <v>26.86697218230556</v>
      </c>
      <c r="G1877" s="4" t="n">
        <v>22.5</v>
      </c>
      <c r="H1877" s="5" t="n">
        <v>35.63123791296389</v>
      </c>
      <c r="I1877" s="5" t="n">
        <v>35.42191716249722</v>
      </c>
      <c r="J1877" s="5" t="n">
        <v>43.44033320689445</v>
      </c>
      <c r="K1877" s="5" t="n">
        <v>33</v>
      </c>
    </row>
    <row r="1878">
      <c r="A1878" s="2" t="n">
        <v>46175.625</v>
      </c>
      <c r="B1878">
        <f>TEXT(A1878,"yyyy-mm")</f>
        <v/>
      </c>
      <c r="C1878" s="3">
        <f>HOUR(A1878)</f>
        <v/>
      </c>
      <c r="D1878" s="4" t="n">
        <v>25.28152093801667</v>
      </c>
      <c r="E1878" s="4" t="n">
        <v>26.93476607783611</v>
      </c>
      <c r="F1878" s="4" t="n">
        <v>26.86077918358333</v>
      </c>
      <c r="G1878" s="4" t="n">
        <v>22.9</v>
      </c>
      <c r="H1878" s="5" t="n">
        <v>32.71046688665833</v>
      </c>
      <c r="I1878" s="5" t="n">
        <v>31.56070958181389</v>
      </c>
      <c r="J1878" s="5" t="n">
        <v>43.33603634715833</v>
      </c>
      <c r="K1878" s="5" t="n">
        <v>32</v>
      </c>
    </row>
    <row r="1879">
      <c r="A1879" s="2" t="n">
        <v>46175.66666666666</v>
      </c>
      <c r="B1879">
        <f>TEXT(A1879,"yyyy-mm")</f>
        <v/>
      </c>
      <c r="C1879" s="3">
        <f>HOUR(A1879)</f>
        <v/>
      </c>
      <c r="D1879" s="4" t="n">
        <v>24.89338241066945</v>
      </c>
      <c r="E1879" s="4" t="n">
        <v>26.72676687109444</v>
      </c>
      <c r="F1879" s="4" t="n">
        <v>26.86297276671111</v>
      </c>
      <c r="G1879" s="4" t="n">
        <v>23</v>
      </c>
      <c r="H1879" s="5" t="n">
        <v>31.00851901226945</v>
      </c>
      <c r="I1879" s="5" t="n">
        <v>33.00456897459166</v>
      </c>
      <c r="J1879" s="5" t="n">
        <v>43.058765212125</v>
      </c>
      <c r="K1879" s="5" t="n">
        <v>32</v>
      </c>
    </row>
    <row r="1880">
      <c r="A1880" s="2" t="n">
        <v>46175.70833333334</v>
      </c>
      <c r="B1880">
        <f>TEXT(A1880,"yyyy-mm")</f>
        <v/>
      </c>
      <c r="C1880" s="3">
        <f>HOUR(A1880)</f>
        <v/>
      </c>
      <c r="D1880" s="4" t="n">
        <v>24.72169303200833</v>
      </c>
      <c r="E1880" s="4" t="n">
        <v>26.43507434043889</v>
      </c>
      <c r="F1880" s="4" t="n">
        <v>26.83753602201945</v>
      </c>
      <c r="G1880" s="4" t="n">
        <v>22.8</v>
      </c>
      <c r="H1880" s="5" t="n">
        <v>30.32779154276666</v>
      </c>
      <c r="I1880" s="5" t="n">
        <v>30.80296197438611</v>
      </c>
      <c r="J1880" s="5" t="n">
        <v>42.864930286</v>
      </c>
      <c r="K1880" s="5" t="n">
        <v>33</v>
      </c>
    </row>
    <row r="1881">
      <c r="A1881" s="2" t="n">
        <v>46175.75</v>
      </c>
      <c r="B1881">
        <f>TEXT(A1881,"yyyy-mm")</f>
        <v/>
      </c>
      <c r="C1881" s="3">
        <f>HOUR(A1881)</f>
        <v/>
      </c>
      <c r="D1881" s="4" t="n">
        <v>24.56947494180556</v>
      </c>
      <c r="E1881" s="4" t="n">
        <v>26.18791582193889</v>
      </c>
      <c r="F1881" s="4" t="n">
        <v>26.828833707025</v>
      </c>
      <c r="G1881" s="4" t="n">
        <v>22.3</v>
      </c>
      <c r="H1881" s="5" t="n">
        <v>29.71558946417223</v>
      </c>
      <c r="I1881" s="5" t="n">
        <v>30.52842335430833</v>
      </c>
      <c r="J1881" s="5" t="n">
        <v>42.63816791847778</v>
      </c>
      <c r="K1881" s="5" t="n">
        <v>34</v>
      </c>
    </row>
    <row r="1882">
      <c r="A1882" s="2" t="n">
        <v>46175.79166666666</v>
      </c>
      <c r="B1882">
        <f>TEXT(A1882,"yyyy-mm")</f>
        <v/>
      </c>
      <c r="C1882" s="3">
        <f>HOUR(A1882)</f>
        <v/>
      </c>
      <c r="D1882" s="4" t="n">
        <v>23.87624311362778</v>
      </c>
      <c r="E1882" s="4" t="n">
        <v>26.12537078083333</v>
      </c>
      <c r="F1882" s="4" t="n">
        <v>26.80810147406111</v>
      </c>
      <c r="G1882" s="4" t="n">
        <v>21.6</v>
      </c>
      <c r="H1882" s="5" t="n">
        <v>31.36832630517222</v>
      </c>
      <c r="I1882" s="5" t="n">
        <v>31.14796537593333</v>
      </c>
      <c r="J1882" s="5" t="n">
        <v>42.09297362765556</v>
      </c>
      <c r="K1882" s="5" t="n">
        <v>37</v>
      </c>
    </row>
    <row r="1883">
      <c r="A1883" s="2" t="n">
        <v>46175.83333333334</v>
      </c>
      <c r="B1883">
        <f>TEXT(A1883,"yyyy-mm")</f>
        <v/>
      </c>
      <c r="C1883" s="3">
        <f>HOUR(A1883)</f>
        <v/>
      </c>
      <c r="D1883" s="4" t="n">
        <v>23.29218109783611</v>
      </c>
      <c r="E1883" s="4" t="n">
        <v>26.26698754750556</v>
      </c>
      <c r="F1883" s="4" t="n">
        <v>26.29819753411667</v>
      </c>
      <c r="G1883" s="4" t="n">
        <v>20.1</v>
      </c>
      <c r="H1883" s="5" t="n">
        <v>33.16857450101944</v>
      </c>
      <c r="I1883" s="5" t="n">
        <v>31.99217502671666</v>
      </c>
      <c r="J1883" s="5" t="n">
        <v>40.74387410346944</v>
      </c>
      <c r="K1883" s="5" t="n">
        <v>44</v>
      </c>
    </row>
    <row r="1884">
      <c r="A1884" s="2" t="n">
        <v>46175.875</v>
      </c>
      <c r="B1884">
        <f>TEXT(A1884,"yyyy-mm")</f>
        <v/>
      </c>
      <c r="C1884" s="3">
        <f>HOUR(A1884)</f>
        <v/>
      </c>
      <c r="D1884" s="4" t="n">
        <v>22.65749430406667</v>
      </c>
      <c r="E1884" s="4" t="n">
        <v>26.48543497061111</v>
      </c>
      <c r="F1884" s="4" t="n">
        <v>26.00889304401389</v>
      </c>
      <c r="G1884" s="4" t="n">
        <v>18.9</v>
      </c>
      <c r="H1884" s="5" t="n">
        <v>34.72651569430833</v>
      </c>
      <c r="I1884" s="5" t="n">
        <v>32.44956446907222</v>
      </c>
      <c r="J1884" s="5" t="n">
        <v>41.23203982563889</v>
      </c>
      <c r="K1884" s="5" t="n">
        <v>46</v>
      </c>
    </row>
    <row r="1885">
      <c r="A1885" s="2" t="n">
        <v>46175.91666666666</v>
      </c>
      <c r="B1885">
        <f>TEXT(A1885,"yyyy-mm")</f>
        <v/>
      </c>
      <c r="C1885" s="3">
        <f>HOUR(A1885)</f>
        <v/>
      </c>
      <c r="D1885" s="4" t="n">
        <v>22.24824371614167</v>
      </c>
      <c r="E1885" s="4" t="n">
        <v>26.34183571327777</v>
      </c>
      <c r="F1885" s="4" t="n">
        <v>26.10722538086666</v>
      </c>
      <c r="G1885" s="4" t="n">
        <v>17.9</v>
      </c>
      <c r="H1885" s="5" t="n">
        <v>34.46137983819445</v>
      </c>
      <c r="I1885" s="5" t="n">
        <v>31.43318981937222</v>
      </c>
      <c r="J1885" s="5" t="n">
        <v>41.07606725661667</v>
      </c>
      <c r="K1885" s="5" t="n">
        <v>50</v>
      </c>
    </row>
    <row r="1886">
      <c r="A1886" s="2" t="n">
        <v>46175.95833333334</v>
      </c>
      <c r="B1886">
        <f>TEXT(A1886,"yyyy-mm")</f>
        <v/>
      </c>
      <c r="C1886" s="3">
        <f>HOUR(A1886)</f>
        <v/>
      </c>
      <c r="D1886" s="4" t="n">
        <v>21.97033888576945</v>
      </c>
      <c r="E1886" s="4" t="n">
        <v>25.63072644871111</v>
      </c>
      <c r="F1886" s="4" t="n">
        <v>26.42768452899444</v>
      </c>
      <c r="G1886" s="4" t="n">
        <v>16.5</v>
      </c>
      <c r="H1886" s="5" t="n">
        <v>33.97221448846944</v>
      </c>
      <c r="I1886" s="5" t="n">
        <v>30.38585820933611</v>
      </c>
      <c r="J1886" s="5" t="n">
        <v>41.31693512708611</v>
      </c>
      <c r="K1886" s="5" t="n">
        <v>61</v>
      </c>
    </row>
    <row r="1887">
      <c r="A1887" s="2" t="n">
        <v>46176</v>
      </c>
      <c r="B1887">
        <f>TEXT(A1887,"yyyy-mm")</f>
        <v/>
      </c>
      <c r="C1887" s="3">
        <f>HOUR(A1887)</f>
        <v/>
      </c>
      <c r="D1887" s="4" t="n">
        <v>21.49127012505278</v>
      </c>
      <c r="E1887" s="4" t="n">
        <v>25.22646012002778</v>
      </c>
      <c r="F1887" s="4" t="n">
        <v>26.50037219366111</v>
      </c>
      <c r="G1887" s="4" t="n">
        <v>15</v>
      </c>
      <c r="H1887" s="5" t="n">
        <v>36.75884390618055</v>
      </c>
      <c r="I1887" s="5" t="n">
        <v>31.27371514439444</v>
      </c>
      <c r="J1887" s="5" t="n">
        <v>41.34979489988611</v>
      </c>
      <c r="K1887" s="5" t="n">
        <v>70</v>
      </c>
    </row>
    <row r="1888">
      <c r="A1888" s="2" t="n">
        <v>46176.04166666666</v>
      </c>
      <c r="B1888">
        <f>TEXT(A1888,"yyyy-mm")</f>
        <v/>
      </c>
      <c r="C1888" s="3">
        <f>HOUR(A1888)</f>
        <v/>
      </c>
      <c r="D1888" s="4" t="n">
        <v>23.02659631808056</v>
      </c>
      <c r="E1888" s="4" t="n">
        <v>25.40424286406666</v>
      </c>
      <c r="F1888" s="4" t="n">
        <v>26.53105079898889</v>
      </c>
      <c r="G1888" s="4" t="n">
        <v>13.8</v>
      </c>
      <c r="H1888" s="5" t="n">
        <v>38.64199711934445</v>
      </c>
      <c r="I1888" s="5" t="n">
        <v>34.45023609281944</v>
      </c>
      <c r="J1888" s="5" t="n">
        <v>41.67591296449167</v>
      </c>
      <c r="K1888" s="5" t="n">
        <v>76</v>
      </c>
    </row>
    <row r="1889">
      <c r="A1889" s="2" t="n">
        <v>46176.08333333334</v>
      </c>
      <c r="B1889">
        <f>TEXT(A1889,"yyyy-mm")</f>
        <v/>
      </c>
      <c r="C1889" s="3">
        <f>HOUR(A1889)</f>
        <v/>
      </c>
      <c r="D1889" s="4" t="n">
        <v>23.52034801488611</v>
      </c>
      <c r="E1889" s="4" t="n">
        <v>25.08835489424445</v>
      </c>
      <c r="F1889" s="4" t="n">
        <v>26.57623752059166</v>
      </c>
      <c r="G1889" s="4" t="n">
        <v>12.8</v>
      </c>
      <c r="H1889" s="5" t="n">
        <v>36.02022591942778</v>
      </c>
      <c r="I1889" s="5" t="n">
        <v>33.64724652244723</v>
      </c>
      <c r="J1889" s="5" t="n">
        <v>41.78160825051666</v>
      </c>
      <c r="K1889" s="5" t="n">
        <v>81</v>
      </c>
    </row>
    <row r="1890">
      <c r="A1890" s="2" t="n">
        <v>46176.125</v>
      </c>
      <c r="B1890">
        <f>TEXT(A1890,"yyyy-mm")</f>
        <v/>
      </c>
      <c r="C1890" s="3">
        <f>HOUR(A1890)</f>
        <v/>
      </c>
      <c r="D1890" s="4" t="n">
        <v>23.57740416576944</v>
      </c>
      <c r="E1890" s="4" t="n">
        <v>24.95656645558333</v>
      </c>
      <c r="F1890" s="4" t="n">
        <v>26.58308640648612</v>
      </c>
      <c r="G1890" s="4" t="n">
        <v>12.4</v>
      </c>
      <c r="H1890" s="5" t="n">
        <v>35.26930449236666</v>
      </c>
      <c r="I1890" s="5" t="n">
        <v>33.30492719945</v>
      </c>
      <c r="J1890" s="5" t="n">
        <v>41.79196950495555</v>
      </c>
      <c r="K1890" s="5" t="n">
        <v>86</v>
      </c>
    </row>
    <row r="1891">
      <c r="A1891" s="2" t="n">
        <v>46176.16666666666</v>
      </c>
      <c r="B1891">
        <f>TEXT(A1891,"yyyy-mm")</f>
        <v/>
      </c>
      <c r="C1891" s="3">
        <f>HOUR(A1891)</f>
        <v/>
      </c>
      <c r="D1891" s="4" t="n">
        <v>23.57583660764444</v>
      </c>
      <c r="E1891" s="4" t="n">
        <v>24.80229665361945</v>
      </c>
      <c r="F1891" s="4" t="n">
        <v>26.57175014805833</v>
      </c>
      <c r="G1891" s="4" t="n">
        <v>11.6</v>
      </c>
      <c r="H1891" s="5" t="n">
        <v>35.155760489525</v>
      </c>
      <c r="I1891" s="5" t="n">
        <v>33.63685009221945</v>
      </c>
      <c r="J1891" s="5" t="n">
        <v>41.791122208575</v>
      </c>
      <c r="K1891" s="5" t="n">
        <v>88</v>
      </c>
    </row>
    <row r="1892">
      <c r="A1892" s="2" t="n">
        <v>46176.20833333334</v>
      </c>
      <c r="B1892">
        <f>TEXT(A1892,"yyyy-mm")</f>
        <v/>
      </c>
      <c r="C1892" s="3">
        <f>HOUR(A1892)</f>
        <v/>
      </c>
      <c r="D1892" s="4" t="n">
        <v>23.94811136678333</v>
      </c>
      <c r="E1892" s="4" t="n">
        <v>24.91137619071111</v>
      </c>
      <c r="F1892" s="4" t="n">
        <v>26.57460818578611</v>
      </c>
      <c r="G1892" s="4" t="n">
        <v>11.2</v>
      </c>
      <c r="H1892" s="5" t="n">
        <v>34.90676319461389</v>
      </c>
      <c r="I1892" s="5" t="n">
        <v>34.40368918876111</v>
      </c>
      <c r="J1892" s="5" t="n">
        <v>41.86131017155834</v>
      </c>
      <c r="K1892" s="5" t="n">
        <v>90</v>
      </c>
    </row>
    <row r="1893">
      <c r="A1893" s="2" t="n">
        <v>46176.25</v>
      </c>
      <c r="B1893">
        <f>TEXT(A1893,"yyyy-mm")</f>
        <v/>
      </c>
      <c r="C1893" s="3">
        <f>HOUR(A1893)</f>
        <v/>
      </c>
      <c r="D1893" s="4" t="n">
        <v>24.63303933121389</v>
      </c>
      <c r="E1893" s="4" t="n">
        <v>25.33370147693612</v>
      </c>
      <c r="F1893" s="4" t="n">
        <v>26.59393318911667</v>
      </c>
      <c r="G1893" s="4" t="n">
        <v>12.6</v>
      </c>
      <c r="H1893" s="5" t="n">
        <v>34.80722342834722</v>
      </c>
      <c r="I1893" s="5" t="n">
        <v>34.88522650927778</v>
      </c>
      <c r="J1893" s="5" t="n">
        <v>42.02917601364722</v>
      </c>
      <c r="K1893" s="5" t="n">
        <v>81</v>
      </c>
    </row>
    <row r="1894">
      <c r="A1894" s="2" t="n">
        <v>46176.29166666666</v>
      </c>
      <c r="B1894">
        <f>TEXT(A1894,"yyyy-mm")</f>
        <v/>
      </c>
      <c r="C1894" s="3">
        <f>HOUR(A1894)</f>
        <v/>
      </c>
      <c r="D1894" s="4" t="n">
        <v>25.43575729783611</v>
      </c>
      <c r="E1894" s="4" t="n">
        <v>25.98618376446666</v>
      </c>
      <c r="F1894" s="4" t="n">
        <v>26.624380676075</v>
      </c>
      <c r="G1894" s="4" t="n">
        <v>15.5</v>
      </c>
      <c r="H1894" s="5" t="n">
        <v>34.39444171894444</v>
      </c>
      <c r="I1894" s="5" t="n">
        <v>32.870872711275</v>
      </c>
      <c r="J1894" s="5" t="n">
        <v>42.18258141051667</v>
      </c>
      <c r="K1894" s="5" t="n">
        <v>67</v>
      </c>
    </row>
    <row r="1895">
      <c r="A1895" s="2" t="n">
        <v>46176.33333333334</v>
      </c>
      <c r="B1895">
        <f>TEXT(A1895,"yyyy-mm")</f>
        <v/>
      </c>
      <c r="C1895" s="3">
        <f>HOUR(A1895)</f>
        <v/>
      </c>
      <c r="D1895" s="4" t="n">
        <v>25.93326110607222</v>
      </c>
      <c r="E1895" s="4" t="n">
        <v>26.56414039188612</v>
      </c>
      <c r="F1895" s="4" t="n">
        <v>26.66607033292778</v>
      </c>
      <c r="G1895" s="4" t="n">
        <v>18.5</v>
      </c>
      <c r="H1895" s="5" t="n">
        <v>34.09638791375</v>
      </c>
      <c r="I1895" s="5" t="n">
        <v>31.609391850925</v>
      </c>
      <c r="J1895" s="5" t="n">
        <v>42.27664235098333</v>
      </c>
      <c r="K1895" s="5" t="n">
        <v>53</v>
      </c>
    </row>
    <row r="1896">
      <c r="A1896" s="2" t="n">
        <v>46176.375</v>
      </c>
      <c r="B1896">
        <f>TEXT(A1896,"yyyy-mm")</f>
        <v/>
      </c>
      <c r="C1896" s="3">
        <f>HOUR(A1896)</f>
        <v/>
      </c>
      <c r="D1896" s="4" t="n">
        <v>26.13031399841944</v>
      </c>
      <c r="E1896" s="4" t="n">
        <v>26.84063021482222</v>
      </c>
      <c r="F1896" s="4" t="n">
        <v>26.73903393673611</v>
      </c>
      <c r="G1896" s="4" t="n">
        <v>21.7</v>
      </c>
      <c r="H1896" s="5" t="n">
        <v>34.29244222824167</v>
      </c>
      <c r="I1896" s="5" t="n">
        <v>31.57890442968611</v>
      </c>
      <c r="J1896" s="5" t="n">
        <v>42.32315544974444</v>
      </c>
      <c r="K1896" s="5" t="n">
        <v>37</v>
      </c>
    </row>
    <row r="1897">
      <c r="A1897" s="2" t="n">
        <v>46176.41666666666</v>
      </c>
      <c r="B1897">
        <f>TEXT(A1897,"yyyy-mm")</f>
        <v/>
      </c>
      <c r="C1897" s="3">
        <f>HOUR(A1897)</f>
        <v/>
      </c>
      <c r="D1897" s="4" t="n">
        <v>26.34194031003056</v>
      </c>
      <c r="E1897" s="4" t="n">
        <v>27.12658415535556</v>
      </c>
      <c r="F1897" s="4" t="n">
        <v>26.81356722034444</v>
      </c>
      <c r="G1897" s="4" t="n">
        <v>23.1</v>
      </c>
      <c r="H1897" s="5" t="n">
        <v>33.94172259073611</v>
      </c>
      <c r="I1897" s="5" t="n">
        <v>33.12514296688055</v>
      </c>
      <c r="J1897" s="5" t="n">
        <v>42.37577346406111</v>
      </c>
      <c r="K1897" s="5" t="n">
        <v>30</v>
      </c>
    </row>
    <row r="1898">
      <c r="A1898" s="2" t="n">
        <v>46176.45833333334</v>
      </c>
      <c r="B1898">
        <f>TEXT(A1898,"yyyy-mm")</f>
        <v/>
      </c>
      <c r="C1898" s="3">
        <f>HOUR(A1898)</f>
        <v/>
      </c>
      <c r="D1898" s="4" t="n">
        <v>26.31407574680556</v>
      </c>
      <c r="E1898" s="4" t="n">
        <v>27.33756791591389</v>
      </c>
      <c r="F1898" s="4" t="n">
        <v>26.78324994552777</v>
      </c>
      <c r="G1898" s="4" t="n">
        <v>23.9</v>
      </c>
      <c r="H1898" s="5" t="n">
        <v>30.76649813911945</v>
      </c>
      <c r="I1898" s="5" t="n">
        <v>28.781261582175</v>
      </c>
      <c r="J1898" s="5" t="n">
        <v>42.32013199357223</v>
      </c>
      <c r="K1898" s="5" t="n">
        <v>27</v>
      </c>
    </row>
    <row r="1899">
      <c r="A1899" s="2" t="n">
        <v>46176.5</v>
      </c>
      <c r="B1899">
        <f>TEXT(A1899,"yyyy-mm")</f>
        <v/>
      </c>
      <c r="C1899" s="3">
        <f>HOUR(A1899)</f>
        <v/>
      </c>
      <c r="D1899" s="4" t="n">
        <v>25.928542229725</v>
      </c>
      <c r="E1899" s="4" t="n">
        <v>27.22135350855833</v>
      </c>
      <c r="F1899" s="4" t="n">
        <v>26.75504628149722</v>
      </c>
      <c r="G1899" s="4" t="n">
        <v>24.6</v>
      </c>
      <c r="H1899" s="5" t="n">
        <v>27.45082530823889</v>
      </c>
      <c r="I1899" s="5" t="n">
        <v>28.64967437300277</v>
      </c>
      <c r="J1899" s="5" t="n">
        <v>40.86031615088889</v>
      </c>
      <c r="K1899" s="5" t="n">
        <v>25</v>
      </c>
    </row>
    <row r="1900">
      <c r="A1900" s="2" t="n">
        <v>46176.54166666666</v>
      </c>
      <c r="B1900">
        <f>TEXT(A1900,"yyyy-mm")</f>
        <v/>
      </c>
      <c r="C1900" s="3">
        <f>HOUR(A1900)</f>
        <v/>
      </c>
      <c r="D1900" s="4" t="n">
        <v>25.46859188609444</v>
      </c>
      <c r="E1900" s="4" t="n">
        <v>26.78880061475833</v>
      </c>
      <c r="F1900" s="4" t="n">
        <v>26.6366703019</v>
      </c>
      <c r="G1900" s="4" t="n">
        <v>24.3</v>
      </c>
      <c r="H1900" s="5" t="n">
        <v>26.91453948797778</v>
      </c>
      <c r="I1900" s="5" t="n">
        <v>29.52204060933333</v>
      </c>
      <c r="J1900" s="5" t="n">
        <v>39.93028733623333</v>
      </c>
      <c r="K1900" s="5" t="n">
        <v>25</v>
      </c>
    </row>
    <row r="1901">
      <c r="A1901" s="2" t="n">
        <v>46176.58333333334</v>
      </c>
      <c r="B1901">
        <f>TEXT(A1901,"yyyy-mm")</f>
        <v/>
      </c>
      <c r="C1901" s="3">
        <f>HOUR(A1901)</f>
        <v/>
      </c>
      <c r="D1901" s="4" t="n">
        <v>25.23548549845556</v>
      </c>
      <c r="E1901" s="4" t="n">
        <v>26.47334754546111</v>
      </c>
      <c r="F1901" s="4" t="n">
        <v>26.51052834568889</v>
      </c>
      <c r="G1901" s="4" t="n">
        <v>24</v>
      </c>
      <c r="H1901" s="5" t="n">
        <v>26.71185200205278</v>
      </c>
      <c r="I1901" s="5" t="n">
        <v>27.95222496545833</v>
      </c>
      <c r="J1901" s="5" t="n">
        <v>38.80731020465556</v>
      </c>
      <c r="K1901" s="5" t="n">
        <v>26</v>
      </c>
    </row>
    <row r="1902">
      <c r="A1902" s="2" t="n">
        <v>46176.625</v>
      </c>
      <c r="B1902">
        <f>TEXT(A1902,"yyyy-mm")</f>
        <v/>
      </c>
      <c r="C1902" s="3">
        <f>HOUR(A1902)</f>
        <v/>
      </c>
      <c r="D1902" s="4" t="n">
        <v>25.41554771314722</v>
      </c>
      <c r="E1902" s="4" t="n">
        <v>26.30261955227222</v>
      </c>
      <c r="F1902" s="4" t="n">
        <v>26.47434062994445</v>
      </c>
      <c r="G1902" s="4" t="n">
        <v>25.1</v>
      </c>
      <c r="H1902" s="5" t="n">
        <v>26.56259237241112</v>
      </c>
      <c r="I1902" s="5" t="n">
        <v>27.37412758142222</v>
      </c>
      <c r="J1902" s="5" t="n">
        <v>38.49385266100278</v>
      </c>
      <c r="K1902" s="5" t="n">
        <v>24</v>
      </c>
    </row>
    <row r="1903">
      <c r="A1903" s="2" t="n">
        <v>46176.66666666666</v>
      </c>
      <c r="B1903">
        <f>TEXT(A1903,"yyyy-mm")</f>
        <v/>
      </c>
      <c r="C1903" s="3">
        <f>HOUR(A1903)</f>
        <v/>
      </c>
      <c r="D1903" s="4" t="n">
        <v>25.40279984754444</v>
      </c>
      <c r="E1903" s="4" t="n">
        <v>26.37388998623889</v>
      </c>
      <c r="F1903" s="4" t="n">
        <v>26.47770175518889</v>
      </c>
      <c r="G1903" s="4" t="n">
        <v>24.3</v>
      </c>
      <c r="H1903" s="5" t="n">
        <v>28.8475436195</v>
      </c>
      <c r="I1903" s="5" t="n">
        <v>29.39622156630833</v>
      </c>
      <c r="J1903" s="5" t="n">
        <v>39.80375320564722</v>
      </c>
      <c r="K1903" s="5" t="n">
        <v>25</v>
      </c>
    </row>
    <row r="1904">
      <c r="A1904" s="2" t="n">
        <v>46176.70833333334</v>
      </c>
      <c r="B1904">
        <f>TEXT(A1904,"yyyy-mm")</f>
        <v/>
      </c>
      <c r="C1904" s="3">
        <f>HOUR(A1904)</f>
        <v/>
      </c>
      <c r="D1904" s="4" t="n">
        <v>25.39800206931111</v>
      </c>
      <c r="E1904" s="4" t="n">
        <v>26.39915689055</v>
      </c>
      <c r="F1904" s="4" t="n">
        <v>26.41104060755556</v>
      </c>
      <c r="G1904" s="4" t="n">
        <v>24.6</v>
      </c>
      <c r="H1904" s="5" t="n">
        <v>27.85627630176389</v>
      </c>
      <c r="I1904" s="5" t="n">
        <v>28.29751333115</v>
      </c>
      <c r="J1904" s="5" t="n">
        <v>39.94890175062222</v>
      </c>
      <c r="K1904" s="5" t="n">
        <v>25</v>
      </c>
    </row>
    <row r="1905">
      <c r="A1905" s="2" t="n">
        <v>46176.75</v>
      </c>
      <c r="B1905">
        <f>TEXT(A1905,"yyyy-mm")</f>
        <v/>
      </c>
      <c r="C1905" s="3">
        <f>HOUR(A1905)</f>
        <v/>
      </c>
      <c r="D1905" s="4" t="n">
        <v>25.31296546417778</v>
      </c>
      <c r="E1905" s="4" t="n">
        <v>26.55006484678333</v>
      </c>
      <c r="F1905" s="4" t="n">
        <v>26.53043589961944</v>
      </c>
      <c r="G1905" s="4" t="n">
        <v>24.2</v>
      </c>
      <c r="H1905" s="5" t="n">
        <v>29.16786331574722</v>
      </c>
      <c r="I1905" s="5" t="n">
        <v>30.32784917278889</v>
      </c>
      <c r="J1905" s="5" t="n">
        <v>40.16550293726667</v>
      </c>
      <c r="K1905" s="5" t="n">
        <v>26</v>
      </c>
    </row>
    <row r="1906">
      <c r="A1906" s="2" t="n">
        <v>46176.79166666666</v>
      </c>
      <c r="B1906">
        <f>TEXT(A1906,"yyyy-mm")</f>
        <v/>
      </c>
      <c r="C1906" s="3">
        <f>HOUR(A1906)</f>
        <v/>
      </c>
      <c r="D1906" s="4" t="n">
        <v>25.07529091276945</v>
      </c>
      <c r="E1906" s="4" t="n">
        <v>26.54033088451667</v>
      </c>
      <c r="F1906" s="4" t="n">
        <v>26.63935357691389</v>
      </c>
      <c r="G1906" s="4" t="n">
        <v>23.6</v>
      </c>
      <c r="H1906" s="5" t="n">
        <v>29.93290862289444</v>
      </c>
      <c r="I1906" s="5" t="n">
        <v>32.64324645878333</v>
      </c>
      <c r="J1906" s="5" t="n">
        <v>40.63056965907222</v>
      </c>
      <c r="K1906" s="5" t="n">
        <v>29</v>
      </c>
    </row>
    <row r="1907">
      <c r="A1907" s="2" t="n">
        <v>46176.83333333334</v>
      </c>
      <c r="B1907">
        <f>TEXT(A1907,"yyyy-mm")</f>
        <v/>
      </c>
      <c r="C1907" s="3">
        <f>HOUR(A1907)</f>
        <v/>
      </c>
      <c r="D1907" s="4" t="n">
        <v>24.30465439080833</v>
      </c>
      <c r="E1907" s="4" t="n">
        <v>26.22505225034444</v>
      </c>
      <c r="F1907" s="4" t="n">
        <v>26.65837885519445</v>
      </c>
      <c r="G1907" s="4" t="n">
        <v>22.5</v>
      </c>
      <c r="H1907" s="5" t="n">
        <v>32.70523454824166</v>
      </c>
      <c r="I1907" s="5" t="n">
        <v>34.44335245176944</v>
      </c>
      <c r="J1907" s="5" t="n">
        <v>41.05186211690555</v>
      </c>
      <c r="K1907" s="5" t="n">
        <v>35</v>
      </c>
    </row>
    <row r="1908">
      <c r="A1908" s="2" t="n">
        <v>46176.875</v>
      </c>
      <c r="B1908">
        <f>TEXT(A1908,"yyyy-mm")</f>
        <v/>
      </c>
      <c r="C1908" s="3">
        <f>HOUR(A1908)</f>
        <v/>
      </c>
      <c r="D1908" s="4" t="n">
        <v>23.71107458401944</v>
      </c>
      <c r="E1908" s="4" t="n">
        <v>26.01499443190833</v>
      </c>
      <c r="F1908" s="4" t="n">
        <v>26.68804651643889</v>
      </c>
      <c r="G1908" s="4" t="n">
        <v>21.4</v>
      </c>
      <c r="H1908" s="5" t="n">
        <v>35.16388706896667</v>
      </c>
      <c r="I1908" s="5" t="n">
        <v>35.07555747403055</v>
      </c>
      <c r="J1908" s="5" t="n">
        <v>41.18942906315556</v>
      </c>
      <c r="K1908" s="5" t="n">
        <v>40</v>
      </c>
    </row>
    <row r="1909">
      <c r="A1909" s="2" t="n">
        <v>46176.91666666666</v>
      </c>
      <c r="B1909">
        <f>TEXT(A1909,"yyyy-mm")</f>
        <v/>
      </c>
      <c r="C1909" s="3">
        <f>HOUR(A1909)</f>
        <v/>
      </c>
      <c r="D1909" s="4" t="n">
        <v>22.84406805676667</v>
      </c>
      <c r="E1909" s="4" t="n">
        <v>26.82489444872222</v>
      </c>
      <c r="F1909" s="4" t="n">
        <v>26.54705459892778</v>
      </c>
      <c r="G1909" s="4" t="n">
        <v>20.8</v>
      </c>
      <c r="H1909" s="5" t="n">
        <v>38.59729050301389</v>
      </c>
      <c r="I1909" s="5" t="n">
        <v>37.34311627204167</v>
      </c>
      <c r="J1909" s="5" t="n">
        <v>42.72357729830833</v>
      </c>
      <c r="K1909" s="5" t="n">
        <v>42</v>
      </c>
    </row>
    <row r="1910">
      <c r="A1910" s="2" t="n">
        <v>46176.95833333334</v>
      </c>
      <c r="B1910">
        <f>TEXT(A1910,"yyyy-mm")</f>
        <v/>
      </c>
      <c r="C1910" s="3">
        <f>HOUR(A1910)</f>
        <v/>
      </c>
      <c r="D1910" s="4" t="n">
        <v>22.86575119533333</v>
      </c>
      <c r="E1910" s="4" t="n">
        <v>26.40566294345278</v>
      </c>
      <c r="F1910" s="4" t="n">
        <v>26.21512583659722</v>
      </c>
      <c r="G1910" s="4" t="n">
        <v>19.8</v>
      </c>
      <c r="H1910" s="5" t="n">
        <v>39.88735012813056</v>
      </c>
      <c r="I1910" s="5" t="n">
        <v>36.37207378089445</v>
      </c>
      <c r="J1910" s="5" t="n">
        <v>44.90028969544722</v>
      </c>
      <c r="K1910" s="5" t="n">
        <v>46</v>
      </c>
    </row>
    <row r="1911">
      <c r="A1911" s="2" t="n">
        <v>46177</v>
      </c>
      <c r="B1911">
        <f>TEXT(A1911,"yyyy-mm")</f>
        <v/>
      </c>
      <c r="C1911" s="3">
        <f>HOUR(A1911)</f>
        <v/>
      </c>
      <c r="D1911" s="4" t="n">
        <v>24.07449631768611</v>
      </c>
      <c r="E1911" s="4" t="n">
        <v>26.23201166794166</v>
      </c>
      <c r="F1911" s="4" t="n">
        <v>26.383443293475</v>
      </c>
      <c r="G1911" s="4" t="n">
        <v>18.7</v>
      </c>
      <c r="H1911" s="5" t="n">
        <v>41.73589776943889</v>
      </c>
      <c r="I1911" s="5" t="n">
        <v>39.01910367145556</v>
      </c>
      <c r="J1911" s="5" t="n">
        <v>45.48107935773612</v>
      </c>
      <c r="K1911" s="5" t="n">
        <v>51</v>
      </c>
    </row>
    <row r="1912">
      <c r="A1912" s="2" t="n">
        <v>46177.04166666666</v>
      </c>
      <c r="B1912">
        <f>TEXT(A1912,"yyyy-mm")</f>
        <v/>
      </c>
      <c r="C1912" s="3">
        <f>HOUR(A1912)</f>
        <v/>
      </c>
      <c r="D1912" s="4" t="n">
        <v>22.18308540957777</v>
      </c>
      <c r="E1912" s="4" t="n">
        <v>26.04755825751666</v>
      </c>
      <c r="F1912" s="4" t="n">
        <v>26.59398407708889</v>
      </c>
      <c r="G1912" s="4" t="n">
        <v>17.8</v>
      </c>
      <c r="H1912" s="5" t="n">
        <v>39.96197355826667</v>
      </c>
      <c r="I1912" s="5" t="n">
        <v>37.909501832825</v>
      </c>
      <c r="J1912" s="5" t="n">
        <v>44.12906112255556</v>
      </c>
      <c r="K1912" s="5" t="n">
        <v>56</v>
      </c>
    </row>
    <row r="1913">
      <c r="A1913" s="2" t="n">
        <v>46177.08333333334</v>
      </c>
      <c r="B1913">
        <f>TEXT(A1913,"yyyy-mm")</f>
        <v/>
      </c>
      <c r="C1913" s="3">
        <f>HOUR(A1913)</f>
        <v/>
      </c>
      <c r="D1913" s="4" t="n">
        <v>21.40020892607778</v>
      </c>
      <c r="E1913" s="4" t="n">
        <v>25.54848194176389</v>
      </c>
      <c r="F1913" s="4" t="n">
        <v>26.6556085313</v>
      </c>
      <c r="G1913" s="4" t="n">
        <v>17</v>
      </c>
      <c r="H1913" s="5" t="n">
        <v>41.11964574124166</v>
      </c>
      <c r="I1913" s="5" t="n">
        <v>35.06396352345278</v>
      </c>
      <c r="J1913" s="5" t="n">
        <v>43.43276925546945</v>
      </c>
      <c r="K1913" s="5" t="n">
        <v>58</v>
      </c>
    </row>
    <row r="1914">
      <c r="A1914" s="2" t="n">
        <v>46177.125</v>
      </c>
      <c r="B1914">
        <f>TEXT(A1914,"yyyy-mm")</f>
        <v/>
      </c>
      <c r="C1914" s="3">
        <f>HOUR(A1914)</f>
        <v/>
      </c>
      <c r="D1914" s="4" t="n">
        <v>21.04913154681944</v>
      </c>
      <c r="E1914" s="4" t="n">
        <v>24.82254479215278</v>
      </c>
      <c r="F1914" s="4" t="n">
        <v>26.62195163337778</v>
      </c>
      <c r="G1914" s="4" t="n">
        <v>17.9</v>
      </c>
      <c r="H1914" s="5" t="n">
        <v>42.5929688513</v>
      </c>
      <c r="I1914" s="5" t="n">
        <v>35.958663225475</v>
      </c>
      <c r="J1914" s="5" t="n">
        <v>43.15430621953334</v>
      </c>
      <c r="K1914" s="5" t="n">
        <v>55</v>
      </c>
    </row>
    <row r="1915">
      <c r="A1915" s="2" t="n">
        <v>46177.16666666666</v>
      </c>
      <c r="B1915">
        <f>TEXT(A1915,"yyyy-mm")</f>
        <v/>
      </c>
      <c r="C1915" s="3">
        <f>HOUR(A1915)</f>
        <v/>
      </c>
      <c r="D1915" s="4" t="n">
        <v>20.70941699436944</v>
      </c>
      <c r="E1915" s="4" t="n">
        <v>24.47045224448055</v>
      </c>
      <c r="F1915" s="4" t="n">
        <v>26.60742361791666</v>
      </c>
      <c r="G1915" s="4" t="n">
        <v>17.3</v>
      </c>
      <c r="H1915" s="5" t="n">
        <v>44.53763566218611</v>
      </c>
      <c r="I1915" s="5" t="n">
        <v>37.38358752185</v>
      </c>
      <c r="J1915" s="5" t="n">
        <v>43.13643521638889</v>
      </c>
      <c r="K1915" s="5" t="n">
        <v>58</v>
      </c>
    </row>
    <row r="1916">
      <c r="A1916" s="2" t="n">
        <v>46177.20833333334</v>
      </c>
      <c r="B1916">
        <f>TEXT(A1916,"yyyy-mm")</f>
        <v/>
      </c>
      <c r="C1916" s="3">
        <f>HOUR(A1916)</f>
        <v/>
      </c>
      <c r="D1916" s="4" t="n">
        <v>20.31497167556389</v>
      </c>
      <c r="E1916" s="4" t="n">
        <v>24.19261970116944</v>
      </c>
      <c r="F1916" s="4" t="n">
        <v>26.57067373143333</v>
      </c>
      <c r="G1916" s="4" t="n">
        <v>16.5</v>
      </c>
      <c r="H1916" s="5" t="n">
        <v>46.07818144721667</v>
      </c>
      <c r="I1916" s="5" t="n">
        <v>38.06991176564167</v>
      </c>
      <c r="J1916" s="5" t="n">
        <v>43.22460847802778</v>
      </c>
      <c r="K1916" s="5" t="n">
        <v>62</v>
      </c>
    </row>
    <row r="1917">
      <c r="A1917" s="2" t="n">
        <v>46177.25</v>
      </c>
      <c r="B1917">
        <f>TEXT(A1917,"yyyy-mm")</f>
        <v/>
      </c>
      <c r="C1917" s="3">
        <f>HOUR(A1917)</f>
        <v/>
      </c>
      <c r="D1917" s="4" t="n">
        <v>20.15813603211112</v>
      </c>
      <c r="E1917" s="4" t="n">
        <v>24.00010856308333</v>
      </c>
      <c r="F1917" s="4" t="n">
        <v>26.54661775961666</v>
      </c>
      <c r="G1917" s="4" t="n">
        <v>16.4</v>
      </c>
      <c r="H1917" s="5" t="n">
        <v>47.52699979226389</v>
      </c>
      <c r="I1917" s="5" t="n">
        <v>38.93890027155</v>
      </c>
      <c r="J1917" s="5" t="n">
        <v>43.32797771343611</v>
      </c>
      <c r="K1917" s="5" t="n">
        <v>64</v>
      </c>
    </row>
    <row r="1918">
      <c r="A1918" s="2" t="n">
        <v>46177.29166666666</v>
      </c>
      <c r="B1918">
        <f>TEXT(A1918,"yyyy-mm")</f>
        <v/>
      </c>
      <c r="C1918" s="3">
        <f>HOUR(A1918)</f>
        <v/>
      </c>
      <c r="D1918" s="4" t="n">
        <v>20.58778585210278</v>
      </c>
      <c r="E1918" s="4" t="n">
        <v>24.02042166578889</v>
      </c>
      <c r="F1918" s="4" t="n">
        <v>26.55936149882222</v>
      </c>
      <c r="G1918" s="4" t="n">
        <v>16.7</v>
      </c>
      <c r="H1918" s="5" t="n">
        <v>48.66285442119166</v>
      </c>
      <c r="I1918" s="5" t="n">
        <v>40.59901918592778</v>
      </c>
      <c r="J1918" s="5" t="n">
        <v>43.50221763020278</v>
      </c>
      <c r="K1918" s="5" t="n">
        <v>63</v>
      </c>
    </row>
    <row r="1919">
      <c r="A1919" s="2" t="n">
        <v>46177.33333333334</v>
      </c>
      <c r="B1919">
        <f>TEXT(A1919,"yyyy-mm")</f>
        <v/>
      </c>
      <c r="C1919" s="3">
        <f>HOUR(A1919)</f>
        <v/>
      </c>
      <c r="D1919" s="4" t="n">
        <v>21.27848094119445</v>
      </c>
      <c r="E1919" s="4" t="n">
        <v>23.79063485567778</v>
      </c>
      <c r="F1919" s="4" t="n">
        <v>26.59665517058056</v>
      </c>
      <c r="G1919" s="4" t="n">
        <v>17.2</v>
      </c>
      <c r="H1919" s="5" t="n">
        <v>47.47979904352778</v>
      </c>
      <c r="I1919" s="5" t="n">
        <v>41.46805309948611</v>
      </c>
      <c r="J1919" s="5" t="n">
        <v>43.75322594168056</v>
      </c>
      <c r="K1919" s="5" t="n">
        <v>62</v>
      </c>
    </row>
    <row r="1920">
      <c r="A1920" s="2" t="n">
        <v>46177.375</v>
      </c>
      <c r="B1920">
        <f>TEXT(A1920,"yyyy-mm")</f>
        <v/>
      </c>
      <c r="C1920" s="3">
        <f>HOUR(A1920)</f>
        <v/>
      </c>
      <c r="D1920" s="4" t="n">
        <v>21.60451612952222</v>
      </c>
      <c r="E1920" s="4" t="n">
        <v>23.84460643979722</v>
      </c>
      <c r="F1920" s="4" t="n">
        <v>25.900806497525</v>
      </c>
      <c r="G1920" s="4" t="n">
        <v>18</v>
      </c>
      <c r="H1920" s="5" t="n">
        <v>49.27673039177223</v>
      </c>
      <c r="I1920" s="5" t="n">
        <v>43.09650170153889</v>
      </c>
      <c r="J1920" s="5" t="n">
        <v>47.93260716074167</v>
      </c>
      <c r="K1920" s="5" t="n">
        <v>60</v>
      </c>
    </row>
    <row r="1921">
      <c r="A1921" s="2" t="n">
        <v>46177.41666666666</v>
      </c>
      <c r="B1921">
        <f>TEXT(A1921,"yyyy-mm")</f>
        <v/>
      </c>
      <c r="C1921" s="3">
        <f>HOUR(A1921)</f>
        <v/>
      </c>
      <c r="D1921" s="4" t="n">
        <v>22.02275326085833</v>
      </c>
      <c r="E1921" s="4" t="n">
        <v>24.03393649241389</v>
      </c>
      <c r="F1921" s="4" t="n">
        <v>25.356559189975</v>
      </c>
      <c r="G1921" s="4" t="n">
        <v>18.9</v>
      </c>
      <c r="H1921" s="5" t="n">
        <v>47.59786157310555</v>
      </c>
      <c r="I1921" s="5" t="n">
        <v>43.09110775309722</v>
      </c>
      <c r="J1921" s="5" t="n">
        <v>49.89892573172222</v>
      </c>
      <c r="K1921" s="5" t="n">
        <v>56</v>
      </c>
    </row>
    <row r="1922">
      <c r="A1922" s="2" t="n">
        <v>46177.45833333334</v>
      </c>
      <c r="B1922">
        <f>TEXT(A1922,"yyyy-mm")</f>
        <v/>
      </c>
      <c r="C1922" s="3">
        <f>HOUR(A1922)</f>
        <v/>
      </c>
      <c r="D1922" s="4" t="n">
        <v>22.07210639566389</v>
      </c>
      <c r="E1922" s="4" t="n">
        <v>24.382209910575</v>
      </c>
      <c r="F1922" s="4" t="n">
        <v>25.22966094863611</v>
      </c>
      <c r="G1922" s="4" t="n">
        <v>19.7</v>
      </c>
      <c r="H1922" s="5" t="n">
        <v>47.65780751998056</v>
      </c>
      <c r="I1922" s="5" t="n">
        <v>42.69260609203611</v>
      </c>
      <c r="J1922" s="5" t="n">
        <v>50.59532316563334</v>
      </c>
      <c r="K1922" s="5" t="n">
        <v>53</v>
      </c>
    </row>
    <row r="1923">
      <c r="A1923" s="2" t="n">
        <v>46177.5</v>
      </c>
      <c r="B1923">
        <f>TEXT(A1923,"yyyy-mm")</f>
        <v/>
      </c>
      <c r="C1923" s="3">
        <f>HOUR(A1923)</f>
        <v/>
      </c>
      <c r="D1923" s="4" t="n">
        <v>22.48329812663889</v>
      </c>
      <c r="E1923" s="4" t="n">
        <v>24.68591792549723</v>
      </c>
      <c r="F1923" s="4" t="n">
        <v>25.39432168133333</v>
      </c>
      <c r="G1923" s="4" t="n">
        <v>20.7</v>
      </c>
      <c r="H1923" s="5" t="n">
        <v>46.75090078948611</v>
      </c>
      <c r="I1923" s="5" t="n">
        <v>41.67809535525833</v>
      </c>
      <c r="J1923" s="5" t="n">
        <v>49.32309842950278</v>
      </c>
      <c r="K1923" s="5" t="n">
        <v>49</v>
      </c>
    </row>
    <row r="1924">
      <c r="A1924" s="2" t="n">
        <v>46177.54166666666</v>
      </c>
      <c r="B1924">
        <f>TEXT(A1924,"yyyy-mm")</f>
        <v/>
      </c>
      <c r="C1924" s="3">
        <f>HOUR(A1924)</f>
        <v/>
      </c>
      <c r="D1924" s="4" t="n">
        <v>23.06405462686945</v>
      </c>
      <c r="E1924" s="4" t="n">
        <v>24.75825895214167</v>
      </c>
      <c r="F1924" s="4" t="n">
        <v>25.9284671258</v>
      </c>
      <c r="G1924" s="4" t="n">
        <v>22.6</v>
      </c>
      <c r="H1924" s="5" t="n">
        <v>43.84644116086944</v>
      </c>
      <c r="I1924" s="5" t="n">
        <v>40.82639830647778</v>
      </c>
      <c r="J1924" s="5" t="n">
        <v>47.67366092660279</v>
      </c>
      <c r="K1924" s="5" t="n">
        <v>41</v>
      </c>
    </row>
    <row r="1925">
      <c r="A1925" s="2" t="n">
        <v>46177.58333333334</v>
      </c>
      <c r="B1925">
        <f>TEXT(A1925,"yyyy-mm")</f>
        <v/>
      </c>
      <c r="C1925" s="3">
        <f>HOUR(A1925)</f>
        <v/>
      </c>
      <c r="D1925" s="4" t="n">
        <v>22.87499179574166</v>
      </c>
      <c r="E1925" s="4" t="n">
        <v>24.70965481371389</v>
      </c>
      <c r="F1925" s="4" t="n">
        <v>26.10627761974444</v>
      </c>
      <c r="G1925" s="4" t="n">
        <v>20.6</v>
      </c>
      <c r="H1925" s="5" t="n">
        <v>44.68055943935</v>
      </c>
      <c r="I1925" s="5" t="n">
        <v>40.84601941093055</v>
      </c>
      <c r="J1925" s="5" t="n">
        <v>46.96190798056389</v>
      </c>
      <c r="K1925" s="5" t="n">
        <v>48</v>
      </c>
    </row>
    <row r="1926">
      <c r="A1926" s="2" t="n">
        <v>46177.625</v>
      </c>
      <c r="B1926">
        <f>TEXT(A1926,"yyyy-mm")</f>
        <v/>
      </c>
      <c r="C1926" s="3">
        <f>HOUR(A1926)</f>
        <v/>
      </c>
      <c r="D1926" s="4" t="n">
        <v>23.82069825165556</v>
      </c>
      <c r="E1926" s="4" t="n">
        <v>24.81779251579722</v>
      </c>
      <c r="F1926" s="4" t="n">
        <v>25.94652476445278</v>
      </c>
      <c r="G1926" s="4" t="n">
        <v>20.5</v>
      </c>
      <c r="H1926" s="5" t="n">
        <v>43.88221661529167</v>
      </c>
      <c r="I1926" s="5" t="n">
        <v>42.09599992736389</v>
      </c>
      <c r="J1926" s="5" t="n">
        <v>48.80742141008333</v>
      </c>
      <c r="K1926" s="5" t="n">
        <v>54</v>
      </c>
    </row>
    <row r="1927">
      <c r="A1927" s="2" t="n">
        <v>46177.66666666666</v>
      </c>
      <c r="B1927">
        <f>TEXT(A1927,"yyyy-mm")</f>
        <v/>
      </c>
      <c r="C1927" s="3">
        <f>HOUR(A1927)</f>
        <v/>
      </c>
      <c r="D1927" s="4" t="n">
        <v>23.86098256523889</v>
      </c>
      <c r="E1927" s="4" t="n">
        <v>24.97037666701666</v>
      </c>
      <c r="F1927" s="4" t="n">
        <v>25.70438368134167</v>
      </c>
      <c r="G1927" s="4" t="n">
        <v>20.5</v>
      </c>
      <c r="H1927" s="5" t="n">
        <v>45.31780790585834</v>
      </c>
      <c r="I1927" s="5" t="n">
        <v>43.38704825030555</v>
      </c>
      <c r="J1927" s="5" t="n">
        <v>50.18833197051944</v>
      </c>
      <c r="K1927" s="5" t="n">
        <v>56</v>
      </c>
    </row>
    <row r="1928">
      <c r="A1928" s="2" t="n">
        <v>46177.70833333334</v>
      </c>
      <c r="B1928">
        <f>TEXT(A1928,"yyyy-mm")</f>
        <v/>
      </c>
      <c r="C1928" s="3">
        <f>HOUR(A1928)</f>
        <v/>
      </c>
      <c r="D1928" s="4" t="n">
        <v>23.951988749425</v>
      </c>
      <c r="E1928" s="4" t="n">
        <v>24.767252247075</v>
      </c>
      <c r="F1928" s="4" t="n">
        <v>26.11563319638612</v>
      </c>
      <c r="G1928" s="4" t="n">
        <v>20</v>
      </c>
      <c r="H1928" s="5" t="n">
        <v>46.10703543528334</v>
      </c>
      <c r="I1928" s="5" t="n">
        <v>44.64301414635833</v>
      </c>
      <c r="J1928" s="5" t="n">
        <v>48.49167136882778</v>
      </c>
      <c r="K1928" s="5" t="n">
        <v>58</v>
      </c>
    </row>
    <row r="1929">
      <c r="A1929" s="2" t="n">
        <v>46177.75</v>
      </c>
      <c r="B1929">
        <f>TEXT(A1929,"yyyy-mm")</f>
        <v/>
      </c>
      <c r="C1929" s="3">
        <f>HOUR(A1929)</f>
        <v/>
      </c>
      <c r="D1929" s="4" t="n">
        <v>23.57208505861389</v>
      </c>
      <c r="E1929" s="4" t="n">
        <v>24.97145663143334</v>
      </c>
      <c r="F1929" s="4" t="n">
        <v>26.27896892270556</v>
      </c>
      <c r="G1929" s="4" t="n">
        <v>20.1</v>
      </c>
      <c r="H1929" s="5" t="n">
        <v>47.17054699023056</v>
      </c>
      <c r="I1929" s="5" t="n">
        <v>45.02476624295278</v>
      </c>
      <c r="J1929" s="5" t="n">
        <v>48.03356440025556</v>
      </c>
      <c r="K1929" s="5" t="n">
        <v>63</v>
      </c>
    </row>
    <row r="1930">
      <c r="A1930" s="2" t="n">
        <v>46177.79166666666</v>
      </c>
      <c r="B1930">
        <f>TEXT(A1930,"yyyy-mm")</f>
        <v/>
      </c>
      <c r="C1930" s="3">
        <f>HOUR(A1930)</f>
        <v/>
      </c>
      <c r="D1930" s="4" t="n">
        <v>23.30171758561945</v>
      </c>
      <c r="E1930" s="4" t="n">
        <v>24.95266237745556</v>
      </c>
      <c r="F1930" s="4" t="n">
        <v>26.41164820659722</v>
      </c>
      <c r="G1930" s="4" t="n">
        <v>19.3</v>
      </c>
      <c r="H1930" s="5" t="n">
        <v>46.86358192068611</v>
      </c>
      <c r="I1930" s="5" t="n">
        <v>44.14015384173612</v>
      </c>
      <c r="J1930" s="5" t="n">
        <v>47.67601214916944</v>
      </c>
      <c r="K1930" s="5" t="n">
        <v>66</v>
      </c>
    </row>
    <row r="1931">
      <c r="A1931" s="2" t="n">
        <v>46177.83333333334</v>
      </c>
      <c r="B1931">
        <f>TEXT(A1931,"yyyy-mm")</f>
        <v/>
      </c>
      <c r="C1931" s="3">
        <f>HOUR(A1931)</f>
        <v/>
      </c>
      <c r="D1931" s="4" t="n">
        <v>23.63327679846389</v>
      </c>
      <c r="E1931" s="4" t="n">
        <v>24.65380629541945</v>
      </c>
      <c r="F1931" s="4" t="n">
        <v>26.48654097445278</v>
      </c>
      <c r="G1931" s="4" t="n">
        <v>18.4</v>
      </c>
      <c r="H1931" s="5" t="n">
        <v>47.18679410688333</v>
      </c>
      <c r="I1931" s="5" t="n">
        <v>45.05040449067221</v>
      </c>
      <c r="J1931" s="5" t="n">
        <v>47.44294961027222</v>
      </c>
      <c r="K1931" s="5" t="n">
        <v>70</v>
      </c>
    </row>
    <row r="1932">
      <c r="A1932" s="2" t="n">
        <v>46177.875</v>
      </c>
      <c r="B1932">
        <f>TEXT(A1932,"yyyy-mm")</f>
        <v/>
      </c>
      <c r="C1932" s="3">
        <f>HOUR(A1932)</f>
        <v/>
      </c>
      <c r="D1932" s="4" t="n">
        <v>23.04657909990833</v>
      </c>
      <c r="E1932" s="4" t="n">
        <v>24.574537514425</v>
      </c>
      <c r="F1932" s="4" t="n">
        <v>26.60967024650278</v>
      </c>
      <c r="G1932" s="4" t="n">
        <v>18.2</v>
      </c>
      <c r="H1932" s="5" t="n">
        <v>48.04937645489722</v>
      </c>
      <c r="I1932" s="5" t="n">
        <v>45.223131792125</v>
      </c>
      <c r="J1932" s="5" t="n">
        <v>47.2522340354</v>
      </c>
      <c r="K1932" s="5" t="n">
        <v>67</v>
      </c>
    </row>
    <row r="1933">
      <c r="A1933" s="2" t="n">
        <v>46177.91666666666</v>
      </c>
      <c r="B1933">
        <f>TEXT(A1933,"yyyy-mm")</f>
        <v/>
      </c>
      <c r="C1933" s="3">
        <f>HOUR(A1933)</f>
        <v/>
      </c>
      <c r="D1933" s="4" t="n">
        <v>22.69335761816389</v>
      </c>
      <c r="E1933" s="4" t="n">
        <v>24.59124785665</v>
      </c>
      <c r="F1933" s="4" t="n">
        <v>26.64901669933611</v>
      </c>
      <c r="G1933" s="4" t="n">
        <v>18.1</v>
      </c>
      <c r="H1933" s="5" t="n">
        <v>48.07484942249167</v>
      </c>
      <c r="I1933" s="5" t="n">
        <v>44.29967532798056</v>
      </c>
      <c r="J1933" s="5" t="n">
        <v>47.2191260725</v>
      </c>
      <c r="K1933" s="5" t="n">
        <v>68</v>
      </c>
    </row>
    <row r="1934">
      <c r="A1934" s="2" t="n">
        <v>46177.95833333334</v>
      </c>
      <c r="B1934">
        <f>TEXT(A1934,"yyyy-mm")</f>
        <v/>
      </c>
      <c r="C1934" s="3">
        <f>HOUR(A1934)</f>
        <v/>
      </c>
      <c r="D1934" s="4" t="n">
        <v>22.66255062281111</v>
      </c>
      <c r="E1934" s="4" t="n">
        <v>24.27393040150556</v>
      </c>
      <c r="F1934" s="4" t="n">
        <v>26.53071261288056</v>
      </c>
      <c r="G1934" s="4" t="n">
        <v>17.8</v>
      </c>
      <c r="H1934" s="5" t="n">
        <v>46.95357004304167</v>
      </c>
      <c r="I1934" s="5" t="n">
        <v>43.43932609731389</v>
      </c>
      <c r="J1934" s="5" t="n">
        <v>47.24594689121667</v>
      </c>
      <c r="K1934" s="5" t="n">
        <v>68</v>
      </c>
    </row>
    <row r="1935">
      <c r="A1935" s="2" t="n">
        <v>46178</v>
      </c>
      <c r="B1935">
        <f>TEXT(A1935,"yyyy-mm")</f>
        <v/>
      </c>
      <c r="C1935" s="3">
        <f>HOUR(A1935)</f>
        <v/>
      </c>
      <c r="D1935" s="4" t="n">
        <v>23.20449912915556</v>
      </c>
      <c r="E1935" s="4" t="n">
        <v>24.42789748998611</v>
      </c>
      <c r="F1935" s="4" t="n">
        <v>26.49503040737222</v>
      </c>
      <c r="G1935" s="4" t="n">
        <v>17.6</v>
      </c>
      <c r="H1935" s="5" t="n">
        <v>45.25773808382777</v>
      </c>
      <c r="I1935" s="5" t="n">
        <v>42.61913630023611</v>
      </c>
      <c r="J1935" s="5" t="n">
        <v>47.15129220638056</v>
      </c>
      <c r="K1935" s="5" t="n">
        <v>69</v>
      </c>
    </row>
    <row r="1936">
      <c r="A1936" s="2" t="n">
        <v>46178.04166666666</v>
      </c>
      <c r="B1936">
        <f>TEXT(A1936,"yyyy-mm")</f>
        <v/>
      </c>
      <c r="C1936" s="3">
        <f>HOUR(A1936)</f>
        <v/>
      </c>
      <c r="D1936" s="4" t="n">
        <v>23.02743214718333</v>
      </c>
      <c r="E1936" s="4" t="n">
        <v>24.13980618078612</v>
      </c>
      <c r="F1936" s="4" t="n">
        <v>26.47253356982222</v>
      </c>
      <c r="G1936" s="4" t="n">
        <v>16.7</v>
      </c>
      <c r="H1936" s="5" t="n">
        <v>45.61384317875</v>
      </c>
      <c r="I1936" s="5" t="n">
        <v>43.26788291670277</v>
      </c>
      <c r="J1936" s="5" t="n">
        <v>47.07022014811111</v>
      </c>
      <c r="K1936" s="5" t="n">
        <v>73</v>
      </c>
    </row>
    <row r="1937">
      <c r="A1937" s="2" t="n">
        <v>46178.08333333334</v>
      </c>
      <c r="B1937">
        <f>TEXT(A1937,"yyyy-mm")</f>
        <v/>
      </c>
      <c r="C1937" s="3">
        <f>HOUR(A1937)</f>
        <v/>
      </c>
      <c r="D1937" s="4" t="n">
        <v>21.92305487661666</v>
      </c>
      <c r="E1937" s="4" t="n">
        <v>24.05896632500277</v>
      </c>
      <c r="F1937" s="4" t="n">
        <v>26.44167055588611</v>
      </c>
      <c r="G1937" s="4" t="n">
        <v>16</v>
      </c>
      <c r="H1937" s="5" t="n">
        <v>49.13425834439166</v>
      </c>
      <c r="I1937" s="5" t="n">
        <v>43.9624237876</v>
      </c>
      <c r="J1937" s="5" t="n">
        <v>47.15897299904166</v>
      </c>
      <c r="K1937" s="5" t="n">
        <v>76</v>
      </c>
    </row>
    <row r="1938">
      <c r="A1938" s="2" t="n">
        <v>46178.125</v>
      </c>
      <c r="B1938">
        <f>TEXT(A1938,"yyyy-mm")</f>
        <v/>
      </c>
      <c r="C1938" s="3">
        <f>HOUR(A1938)</f>
        <v/>
      </c>
      <c r="D1938" s="4" t="n">
        <v>22.11294502643333</v>
      </c>
      <c r="E1938" s="4" t="n">
        <v>23.79981518248611</v>
      </c>
      <c r="F1938" s="4" t="n">
        <v>26.42289445850278</v>
      </c>
      <c r="G1938" s="4" t="n">
        <v>15.7</v>
      </c>
      <c r="H1938" s="5" t="n">
        <v>49.56428668335</v>
      </c>
      <c r="I1938" s="5" t="n">
        <v>45.08987544886389</v>
      </c>
      <c r="J1938" s="5" t="n">
        <v>47.26108633376945</v>
      </c>
      <c r="K1938" s="5" t="n">
        <v>81</v>
      </c>
    </row>
    <row r="1939">
      <c r="A1939" s="2" t="n">
        <v>46178.16666666666</v>
      </c>
      <c r="B1939">
        <f>TEXT(A1939,"yyyy-mm")</f>
        <v/>
      </c>
      <c r="C1939" s="3">
        <f>HOUR(A1939)</f>
        <v/>
      </c>
      <c r="D1939" s="4" t="n">
        <v>22.41080469039444</v>
      </c>
      <c r="E1939" s="4" t="n">
        <v>23.71269506629444</v>
      </c>
      <c r="F1939" s="4" t="n">
        <v>26.41928307233889</v>
      </c>
      <c r="G1939" s="4" t="n">
        <v>15.5</v>
      </c>
      <c r="H1939" s="5" t="n">
        <v>48.95409159540555</v>
      </c>
      <c r="I1939" s="5" t="n">
        <v>45.4741206289</v>
      </c>
      <c r="J1939" s="5" t="n">
        <v>47.28833615486945</v>
      </c>
      <c r="K1939" s="5" t="n">
        <v>81</v>
      </c>
    </row>
    <row r="1940">
      <c r="A1940" s="2" t="n">
        <v>46178.20833333334</v>
      </c>
      <c r="B1940">
        <f>TEXT(A1940,"yyyy-mm")</f>
        <v/>
      </c>
      <c r="C1940" s="3">
        <f>HOUR(A1940)</f>
        <v/>
      </c>
      <c r="D1940" s="4" t="n">
        <v>22.83847907058056</v>
      </c>
      <c r="E1940" s="4" t="n">
        <v>23.64237148211389</v>
      </c>
      <c r="F1940" s="4" t="n">
        <v>26.39928105511666</v>
      </c>
      <c r="G1940" s="4" t="n">
        <v>15.3</v>
      </c>
      <c r="H1940" s="5" t="n">
        <v>47.73821912613889</v>
      </c>
      <c r="I1940" s="5" t="n">
        <v>45.51234125091944</v>
      </c>
      <c r="J1940" s="5" t="n">
        <v>47.32038172727223</v>
      </c>
      <c r="K1940" s="5" t="n">
        <v>81</v>
      </c>
    </row>
    <row r="1941">
      <c r="A1941" s="2" t="n">
        <v>46178.25</v>
      </c>
      <c r="B1941">
        <f>TEXT(A1941,"yyyy-mm")</f>
        <v/>
      </c>
      <c r="C1941" s="3">
        <f>HOUR(A1941)</f>
        <v/>
      </c>
      <c r="D1941" s="4" t="n">
        <v>23.462238488375</v>
      </c>
      <c r="E1941" s="4" t="n">
        <v>23.88710405006667</v>
      </c>
      <c r="F1941" s="4" t="n">
        <v>26.39052506917222</v>
      </c>
      <c r="G1941" s="4" t="n">
        <v>15.8</v>
      </c>
      <c r="H1941" s="5" t="n">
        <v>45.48002677078333</v>
      </c>
      <c r="I1941" s="5" t="n">
        <v>44.81276845842778</v>
      </c>
      <c r="J1941" s="5" t="n">
        <v>47.36328082721388</v>
      </c>
      <c r="K1941" s="5" t="n">
        <v>78</v>
      </c>
    </row>
    <row r="1942">
      <c r="A1942" s="2" t="n">
        <v>46178.29166666666</v>
      </c>
      <c r="B1942">
        <f>TEXT(A1942,"yyyy-mm")</f>
        <v/>
      </c>
      <c r="C1942" s="3">
        <f>HOUR(A1942)</f>
        <v/>
      </c>
      <c r="D1942" s="4" t="n">
        <v>23.79642304913333</v>
      </c>
      <c r="E1942" s="4" t="n">
        <v>24.30365963964723</v>
      </c>
      <c r="F1942" s="4" t="n">
        <v>26.410468916025</v>
      </c>
      <c r="G1942" s="4" t="n">
        <v>17</v>
      </c>
      <c r="H1942" s="5" t="n">
        <v>44.98318203546111</v>
      </c>
      <c r="I1942" s="5" t="n">
        <v>44.13870025264445</v>
      </c>
      <c r="J1942" s="5" t="n">
        <v>47.38568942790832</v>
      </c>
      <c r="K1942" s="5" t="n">
        <v>71</v>
      </c>
    </row>
    <row r="1943">
      <c r="A1943" s="2" t="n">
        <v>46178.33333333334</v>
      </c>
      <c r="B1943">
        <f>TEXT(A1943,"yyyy-mm")</f>
        <v/>
      </c>
      <c r="C1943" s="3">
        <f>HOUR(A1943)</f>
        <v/>
      </c>
      <c r="D1943" s="4" t="n">
        <v>24.51612010651111</v>
      </c>
      <c r="E1943" s="4" t="n">
        <v>24.503401381475</v>
      </c>
      <c r="F1943" s="4" t="n">
        <v>26.42949593902222</v>
      </c>
      <c r="G1943" s="4" t="n">
        <v>19.2</v>
      </c>
      <c r="H1943" s="5" t="n">
        <v>42.51378197117222</v>
      </c>
      <c r="I1943" s="5" t="n">
        <v>43.26868006116945</v>
      </c>
      <c r="J1943" s="5" t="n">
        <v>47.41422176060001</v>
      </c>
      <c r="K1943" s="5" t="n">
        <v>61</v>
      </c>
    </row>
    <row r="1944">
      <c r="A1944" s="2" t="n">
        <v>46178.375</v>
      </c>
      <c r="B1944">
        <f>TEXT(A1944,"yyyy-mm")</f>
        <v/>
      </c>
      <c r="C1944" s="3">
        <f>HOUR(A1944)</f>
        <v/>
      </c>
      <c r="D1944" s="4" t="n">
        <v>25.74937710622222</v>
      </c>
      <c r="E1944" s="4" t="n">
        <v>25.09970651366111</v>
      </c>
      <c r="F1944" s="4" t="n">
        <v>26.46581997368611</v>
      </c>
      <c r="G1944" s="4" t="n">
        <v>21.6</v>
      </c>
      <c r="H1944" s="5" t="n">
        <v>39.23756701897778</v>
      </c>
      <c r="I1944" s="5" t="n">
        <v>40.88044840993889</v>
      </c>
      <c r="J1944" s="5" t="n">
        <v>47.32904509891667</v>
      </c>
      <c r="K1944" s="5" t="n">
        <v>51</v>
      </c>
    </row>
    <row r="1945">
      <c r="A1945" s="2" t="n">
        <v>46178.41666666666</v>
      </c>
      <c r="B1945">
        <f>TEXT(A1945,"yyyy-mm")</f>
        <v/>
      </c>
      <c r="C1945" s="3">
        <f>HOUR(A1945)</f>
        <v/>
      </c>
      <c r="D1945" s="4" t="n">
        <v>25.51195653712778</v>
      </c>
      <c r="E1945" s="4" t="n">
        <v>25.60553532757778</v>
      </c>
      <c r="F1945" s="4" t="n">
        <v>26.52335798852778</v>
      </c>
      <c r="G1945" s="4" t="n">
        <v>22.3</v>
      </c>
      <c r="H1945" s="5" t="n">
        <v>39.20138632946111</v>
      </c>
      <c r="I1945" s="5" t="n">
        <v>40.14104394475556</v>
      </c>
      <c r="J1945" s="5" t="n">
        <v>47.10075566394445</v>
      </c>
      <c r="K1945" s="5" t="n">
        <v>48</v>
      </c>
    </row>
    <row r="1946">
      <c r="A1946" s="2" t="n">
        <v>46178.45833333334</v>
      </c>
      <c r="B1946">
        <f>TEXT(A1946,"yyyy-mm")</f>
        <v/>
      </c>
      <c r="C1946" s="3">
        <f>HOUR(A1946)</f>
        <v/>
      </c>
      <c r="D1946" s="4" t="n">
        <v>25.58874316351389</v>
      </c>
      <c r="E1946" s="4" t="n">
        <v>26.05451667697778</v>
      </c>
      <c r="F1946" s="4" t="n">
        <v>26.51557294189723</v>
      </c>
      <c r="G1946" s="4" t="n">
        <v>23.1</v>
      </c>
      <c r="H1946" s="5" t="n">
        <v>38.86133405301389</v>
      </c>
      <c r="I1946" s="5" t="n">
        <v>40.73831190085278</v>
      </c>
      <c r="J1946" s="5" t="n">
        <v>47.46864127504722</v>
      </c>
      <c r="K1946" s="5" t="n">
        <v>46</v>
      </c>
    </row>
    <row r="1947">
      <c r="A1947" s="2" t="n">
        <v>46178.5</v>
      </c>
      <c r="B1947">
        <f>TEXT(A1947,"yyyy-mm")</f>
        <v/>
      </c>
      <c r="C1947" s="3">
        <f>HOUR(A1947)</f>
        <v/>
      </c>
      <c r="D1947" s="4" t="n">
        <v>25.56905764936944</v>
      </c>
      <c r="E1947" s="4" t="n">
        <v>26.11686041071944</v>
      </c>
      <c r="F1947" s="4" t="n">
        <v>26.38945211839166</v>
      </c>
      <c r="G1947" s="4" t="n">
        <v>23.8</v>
      </c>
      <c r="H1947" s="5" t="n">
        <v>38.23004300274167</v>
      </c>
      <c r="I1947" s="5" t="n">
        <v>38.76769300626111</v>
      </c>
      <c r="J1947" s="5" t="n">
        <v>48.03251235737778</v>
      </c>
      <c r="K1947" s="5" t="n">
        <v>44</v>
      </c>
    </row>
    <row r="1948">
      <c r="A1948" s="2" t="n">
        <v>46178.54166666666</v>
      </c>
      <c r="B1948">
        <f>TEXT(A1948,"yyyy-mm")</f>
        <v/>
      </c>
      <c r="C1948" s="3">
        <f>HOUR(A1948)</f>
        <v/>
      </c>
      <c r="D1948" s="4" t="n">
        <v>25.59928050815278</v>
      </c>
      <c r="E1948" s="4" t="n">
        <v>26.16349965213056</v>
      </c>
      <c r="F1948" s="4" t="n">
        <v>26.37067492556666</v>
      </c>
      <c r="G1948" s="4" t="n">
        <v>24.2</v>
      </c>
      <c r="H1948" s="5" t="n">
        <v>38.38789584574167</v>
      </c>
      <c r="I1948" s="5" t="n">
        <v>38.55360381978333</v>
      </c>
      <c r="J1948" s="5" t="n">
        <v>47.97893766054722</v>
      </c>
      <c r="K1948" s="5" t="n">
        <v>44</v>
      </c>
    </row>
    <row r="1949">
      <c r="A1949" s="2" t="n">
        <v>46178.58333333334</v>
      </c>
      <c r="B1949">
        <f>TEXT(A1949,"yyyy-mm")</f>
        <v/>
      </c>
      <c r="C1949" s="3">
        <f>HOUR(A1949)</f>
        <v/>
      </c>
      <c r="D1949" s="4" t="n">
        <v>25.62313153392778</v>
      </c>
      <c r="E1949" s="4" t="n">
        <v>26.31538775600277</v>
      </c>
      <c r="F1949" s="4" t="n">
        <v>26.38454762957777</v>
      </c>
      <c r="G1949" s="4" t="n">
        <v>24.7</v>
      </c>
      <c r="H1949" s="5" t="n">
        <v>38.54604990932778</v>
      </c>
      <c r="I1949" s="5" t="n">
        <v>38.66469775875278</v>
      </c>
      <c r="J1949" s="5" t="n">
        <v>48.02506335733333</v>
      </c>
      <c r="K1949" s="5" t="n">
        <v>41</v>
      </c>
    </row>
    <row r="1950">
      <c r="A1950" s="2" t="n">
        <v>46178.625</v>
      </c>
      <c r="B1950">
        <f>TEXT(A1950,"yyyy-mm")</f>
        <v/>
      </c>
      <c r="C1950" s="3">
        <f>HOUR(A1950)</f>
        <v/>
      </c>
      <c r="D1950" s="4" t="n">
        <v>25.68080218668056</v>
      </c>
      <c r="E1950" s="4" t="n">
        <v>26.31907942425278</v>
      </c>
      <c r="F1950" s="4" t="n">
        <v>26.41079222993056</v>
      </c>
      <c r="G1950" s="4" t="n">
        <v>25.6</v>
      </c>
      <c r="H1950" s="5" t="n">
        <v>38.285935827575</v>
      </c>
      <c r="I1950" s="5" t="n">
        <v>38.41089585333612</v>
      </c>
      <c r="J1950" s="5" t="n">
        <v>47.98962163117778</v>
      </c>
      <c r="K1950" s="5" t="n">
        <v>37</v>
      </c>
    </row>
    <row r="1951">
      <c r="A1951" s="2" t="n">
        <v>46178.66666666666</v>
      </c>
      <c r="B1951">
        <f>TEXT(A1951,"yyyy-mm")</f>
        <v/>
      </c>
      <c r="C1951" s="3">
        <f>HOUR(A1951)</f>
        <v/>
      </c>
      <c r="D1951" s="4" t="n">
        <v>25.64065802454166</v>
      </c>
      <c r="E1951" s="4" t="n">
        <v>26.2137227407</v>
      </c>
      <c r="F1951" s="4" t="n">
        <v>26.54625703319445</v>
      </c>
      <c r="G1951" s="4" t="n">
        <v>25.7</v>
      </c>
      <c r="H1951" s="5" t="n">
        <v>38.766784263425</v>
      </c>
      <c r="I1951" s="5" t="n">
        <v>39.19972906549445</v>
      </c>
      <c r="J1951" s="5" t="n">
        <v>47.42619372218056</v>
      </c>
      <c r="K1951" s="5" t="n">
        <v>36</v>
      </c>
    </row>
    <row r="1952">
      <c r="A1952" s="2" t="n">
        <v>46178.70833333334</v>
      </c>
      <c r="B1952">
        <f>TEXT(A1952,"yyyy-mm")</f>
        <v/>
      </c>
      <c r="C1952" s="3">
        <f>HOUR(A1952)</f>
        <v/>
      </c>
      <c r="D1952" s="4" t="n">
        <v>25.678575611775</v>
      </c>
      <c r="E1952" s="4" t="n">
        <v>26.36460985470833</v>
      </c>
      <c r="F1952" s="4" t="n">
        <v>26.63829459578334</v>
      </c>
      <c r="G1952" s="4" t="n">
        <v>25.7</v>
      </c>
      <c r="H1952" s="5" t="n">
        <v>40.27282175543889</v>
      </c>
      <c r="I1952" s="5" t="n">
        <v>39.8457883673</v>
      </c>
      <c r="J1952" s="5" t="n">
        <v>47.10450536669166</v>
      </c>
      <c r="K1952" s="5" t="n">
        <v>36</v>
      </c>
    </row>
    <row r="1953">
      <c r="A1953" s="2" t="n">
        <v>46178.75</v>
      </c>
      <c r="B1953">
        <f>TEXT(A1953,"yyyy-mm")</f>
        <v/>
      </c>
      <c r="C1953" s="3">
        <f>HOUR(A1953)</f>
        <v/>
      </c>
      <c r="D1953" s="4" t="n">
        <v>25.72864002660556</v>
      </c>
      <c r="E1953" s="4" t="n">
        <v>26.20563155108889</v>
      </c>
      <c r="F1953" s="4" t="n">
        <v>26.69207423770556</v>
      </c>
      <c r="G1953" s="4" t="n">
        <v>25.4</v>
      </c>
      <c r="H1953" s="5" t="n">
        <v>40.313107530575</v>
      </c>
      <c r="I1953" s="5" t="n">
        <v>40.12618463208612</v>
      </c>
      <c r="J1953" s="5" t="n">
        <v>46.84995801484167</v>
      </c>
      <c r="K1953" s="5" t="n">
        <v>36</v>
      </c>
    </row>
    <row r="1954">
      <c r="A1954" s="2" t="n">
        <v>46178.79166666666</v>
      </c>
      <c r="B1954">
        <f>TEXT(A1954,"yyyy-mm")</f>
        <v/>
      </c>
      <c r="C1954" s="3">
        <f>HOUR(A1954)</f>
        <v/>
      </c>
      <c r="D1954" s="4" t="n">
        <v>25.90712661908056</v>
      </c>
      <c r="E1954" s="4" t="n">
        <v>26.23593141264167</v>
      </c>
      <c r="F1954" s="4" t="n">
        <v>26.66015584317222</v>
      </c>
      <c r="G1954" s="4" t="n">
        <v>24.7</v>
      </c>
      <c r="H1954" s="5" t="n">
        <v>41.81715627122222</v>
      </c>
      <c r="I1954" s="5" t="n">
        <v>41.95294977630834</v>
      </c>
      <c r="J1954" s="5" t="n">
        <v>49.57108543207222</v>
      </c>
      <c r="K1954" s="5" t="n">
        <v>39</v>
      </c>
    </row>
    <row r="1955">
      <c r="A1955" s="2" t="n">
        <v>46178.83333333334</v>
      </c>
      <c r="B1955">
        <f>TEXT(A1955,"yyyy-mm")</f>
        <v/>
      </c>
      <c r="C1955" s="3">
        <f>HOUR(A1955)</f>
        <v/>
      </c>
      <c r="D1955" s="4" t="n">
        <v>25.50408712794722</v>
      </c>
      <c r="E1955" s="4" t="n">
        <v>26.11551732849722</v>
      </c>
      <c r="F1955" s="4" t="n">
        <v>26.68376004408333</v>
      </c>
      <c r="G1955" s="4" t="n">
        <v>23.2</v>
      </c>
      <c r="H1955" s="5" t="n">
        <v>42.28447540653056</v>
      </c>
      <c r="I1955" s="5" t="n">
        <v>42.15234910109445</v>
      </c>
      <c r="J1955" s="5" t="n">
        <v>49.2227366831</v>
      </c>
      <c r="K1955" s="5" t="n">
        <v>46</v>
      </c>
    </row>
    <row r="1956">
      <c r="A1956" s="2" t="n">
        <v>46178.875</v>
      </c>
      <c r="B1956">
        <f>TEXT(A1956,"yyyy-mm")</f>
        <v/>
      </c>
      <c r="C1956" s="3">
        <f>HOUR(A1956)</f>
        <v/>
      </c>
      <c r="D1956" s="4" t="n">
        <v>25.03806957921666</v>
      </c>
      <c r="E1956" s="4" t="n">
        <v>25.71272174929167</v>
      </c>
      <c r="F1956" s="4" t="n">
        <v>26.78388099895556</v>
      </c>
      <c r="G1956" s="4" t="n">
        <v>22.2</v>
      </c>
      <c r="H1956" s="5" t="n">
        <v>42.212064415875</v>
      </c>
      <c r="I1956" s="5" t="n">
        <v>41.45443865034445</v>
      </c>
      <c r="J1956" s="5" t="n">
        <v>48.01823068758611</v>
      </c>
      <c r="K1956" s="5" t="n">
        <v>49</v>
      </c>
    </row>
    <row r="1957">
      <c r="A1957" s="2" t="n">
        <v>46178.91666666666</v>
      </c>
      <c r="B1957">
        <f>TEXT(A1957,"yyyy-mm")</f>
        <v/>
      </c>
      <c r="C1957" s="3">
        <f>HOUR(A1957)</f>
        <v/>
      </c>
      <c r="D1957" s="4" t="n">
        <v>24.92618105918889</v>
      </c>
      <c r="E1957" s="4" t="n">
        <v>25.57183832352223</v>
      </c>
      <c r="F1957" s="4" t="n">
        <v>27.02194523341944</v>
      </c>
      <c r="G1957" s="4" t="n">
        <v>21.4</v>
      </c>
      <c r="H1957" s="5" t="n">
        <v>42.06759407583333</v>
      </c>
      <c r="I1957" s="5" t="n">
        <v>41.23624468437777</v>
      </c>
      <c r="J1957" s="5" t="n">
        <v>47.21345116975556</v>
      </c>
      <c r="K1957" s="5" t="n">
        <v>52</v>
      </c>
    </row>
    <row r="1958">
      <c r="A1958" s="2" t="n">
        <v>46178.95833333334</v>
      </c>
      <c r="B1958">
        <f>TEXT(A1958,"yyyy-mm")</f>
        <v/>
      </c>
      <c r="C1958" s="3">
        <f>HOUR(A1958)</f>
        <v/>
      </c>
      <c r="D1958" s="4" t="n">
        <v>24.58210587670555</v>
      </c>
      <c r="E1958" s="4" t="n">
        <v>25.70746856138889</v>
      </c>
      <c r="F1958" s="4" t="n">
        <v>27.09711706070833</v>
      </c>
      <c r="G1958" s="4" t="n">
        <v>20.6</v>
      </c>
      <c r="H1958" s="5" t="n">
        <v>43.01680181216944</v>
      </c>
      <c r="I1958" s="5" t="n">
        <v>41.54179893243889</v>
      </c>
      <c r="J1958" s="5" t="n">
        <v>46.86604828339722</v>
      </c>
      <c r="K1958" s="5" t="n">
        <v>54</v>
      </c>
    </row>
    <row r="1959">
      <c r="A1959" s="2" t="n">
        <v>46179</v>
      </c>
      <c r="B1959">
        <f>TEXT(A1959,"yyyy-mm")</f>
        <v/>
      </c>
      <c r="C1959" s="3">
        <f>HOUR(A1959)</f>
        <v/>
      </c>
      <c r="D1959" s="4" t="n">
        <v>24.0851475977</v>
      </c>
      <c r="E1959" s="4" t="n">
        <v>25.73970066374723</v>
      </c>
      <c r="F1959" s="4" t="n">
        <v>26.8761010755</v>
      </c>
      <c r="G1959" s="4" t="n">
        <v>19.5</v>
      </c>
      <c r="H1959" s="5" t="n">
        <v>43.73811526966389</v>
      </c>
      <c r="I1959" s="5" t="n">
        <v>42.85670236971389</v>
      </c>
      <c r="J1959" s="5" t="n">
        <v>47.05641187539722</v>
      </c>
      <c r="K1959" s="5" t="n">
        <v>59</v>
      </c>
    </row>
    <row r="1960">
      <c r="A1960" s="2" t="n">
        <v>46179.04166666666</v>
      </c>
      <c r="B1960">
        <f>TEXT(A1960,"yyyy-mm")</f>
        <v/>
      </c>
      <c r="C1960" s="3">
        <f>HOUR(A1960)</f>
        <v/>
      </c>
      <c r="D1960" s="4" t="n">
        <v>23.76665443112222</v>
      </c>
      <c r="E1960" s="4" t="n">
        <v>25.54029640291667</v>
      </c>
      <c r="F1960" s="4" t="n">
        <v>26.77203243962222</v>
      </c>
      <c r="G1960" s="4" t="n">
        <v>18.9</v>
      </c>
      <c r="H1960" s="5" t="n">
        <v>44.76182399714722</v>
      </c>
      <c r="I1960" s="5" t="n">
        <v>43.59581019468612</v>
      </c>
      <c r="J1960" s="5" t="n">
        <v>47.10033302289167</v>
      </c>
      <c r="K1960" s="5" t="n">
        <v>62</v>
      </c>
    </row>
    <row r="1961">
      <c r="A1961" s="2" t="n">
        <v>46179.08333333334</v>
      </c>
      <c r="B1961">
        <f>TEXT(A1961,"yyyy-mm")</f>
        <v/>
      </c>
      <c r="C1961" s="3">
        <f>HOUR(A1961)</f>
        <v/>
      </c>
      <c r="D1961" s="4" t="n">
        <v>23.17815908713889</v>
      </c>
      <c r="E1961" s="4" t="n">
        <v>25.37008605531667</v>
      </c>
      <c r="F1961" s="4" t="n">
        <v>26.76303047861945</v>
      </c>
      <c r="G1961" s="4" t="n">
        <v>18.1</v>
      </c>
      <c r="H1961" s="5" t="n">
        <v>46.54464413381667</v>
      </c>
      <c r="I1961" s="5" t="n">
        <v>43.19488826585833</v>
      </c>
      <c r="J1961" s="5" t="n">
        <v>47.0768770352</v>
      </c>
      <c r="K1961" s="5" t="n">
        <v>66</v>
      </c>
    </row>
    <row r="1962">
      <c r="A1962" s="2" t="n">
        <v>46179.125</v>
      </c>
      <c r="B1962">
        <f>TEXT(A1962,"yyyy-mm")</f>
        <v/>
      </c>
      <c r="C1962" s="3">
        <f>HOUR(A1962)</f>
        <v/>
      </c>
      <c r="D1962" s="4" t="n">
        <v>22.99163389647778</v>
      </c>
      <c r="E1962" s="4" t="n">
        <v>25.03849588759167</v>
      </c>
      <c r="F1962" s="4" t="n">
        <v>26.73306012158333</v>
      </c>
      <c r="G1962" s="4" t="n">
        <v>17.2</v>
      </c>
      <c r="H1962" s="5" t="n">
        <v>45.51096184539723</v>
      </c>
      <c r="I1962" s="5" t="n">
        <v>41.93517750114444</v>
      </c>
      <c r="J1962" s="5" t="n">
        <v>46.93015352498611</v>
      </c>
      <c r="K1962" s="5" t="n">
        <v>69</v>
      </c>
    </row>
    <row r="1963">
      <c r="A1963" s="2" t="n">
        <v>46179.16666666666</v>
      </c>
      <c r="B1963">
        <f>TEXT(A1963,"yyyy-mm")</f>
        <v/>
      </c>
      <c r="C1963" s="3">
        <f>HOUR(A1963)</f>
        <v/>
      </c>
      <c r="D1963" s="4" t="n">
        <v>22.29206792301666</v>
      </c>
      <c r="E1963" s="4" t="n">
        <v>24.97005520531389</v>
      </c>
      <c r="F1963" s="4" t="n">
        <v>26.70996786857222</v>
      </c>
      <c r="G1963" s="4" t="n">
        <v>16.5</v>
      </c>
      <c r="H1963" s="5" t="n">
        <v>47.49143486766667</v>
      </c>
      <c r="I1963" s="5" t="n">
        <v>42.24211543963889</v>
      </c>
      <c r="J1963" s="5" t="n">
        <v>46.89957240724166</v>
      </c>
      <c r="K1963" s="5" t="n">
        <v>73</v>
      </c>
    </row>
    <row r="1964">
      <c r="A1964" s="2" t="n">
        <v>46179.20833333334</v>
      </c>
      <c r="B1964">
        <f>TEXT(A1964,"yyyy-mm")</f>
        <v/>
      </c>
      <c r="C1964" s="3">
        <f>HOUR(A1964)</f>
        <v/>
      </c>
      <c r="D1964" s="4" t="n">
        <v>22.66495529031389</v>
      </c>
      <c r="E1964" s="4" t="n">
        <v>25.1798413675</v>
      </c>
      <c r="F1964" s="4" t="n">
        <v>26.70787348791111</v>
      </c>
      <c r="G1964" s="4" t="n">
        <v>15.8</v>
      </c>
      <c r="H1964" s="5" t="n">
        <v>47.11222385270001</v>
      </c>
      <c r="I1964" s="5" t="n">
        <v>42.06570629985833</v>
      </c>
      <c r="J1964" s="5" t="n">
        <v>46.86012242731389</v>
      </c>
      <c r="K1964" s="5" t="n">
        <v>77</v>
      </c>
    </row>
    <row r="1965">
      <c r="A1965" s="2" t="n">
        <v>46179.25</v>
      </c>
      <c r="B1965">
        <f>TEXT(A1965,"yyyy-mm")</f>
        <v/>
      </c>
      <c r="C1965" s="3">
        <f>HOUR(A1965)</f>
        <v/>
      </c>
      <c r="D1965" s="4" t="n">
        <v>24.19020697064444</v>
      </c>
      <c r="E1965" s="4" t="n">
        <v>25.80059417456944</v>
      </c>
      <c r="F1965" s="4" t="n">
        <v>26.68082781535277</v>
      </c>
      <c r="G1965" s="4" t="n">
        <v>17.1</v>
      </c>
      <c r="H1965" s="5" t="n">
        <v>43.10036470189166</v>
      </c>
      <c r="I1965" s="5" t="n">
        <v>40.97253685408889</v>
      </c>
      <c r="J1965" s="5" t="n">
        <v>46.83019452868889</v>
      </c>
      <c r="K1965" s="5" t="n">
        <v>71</v>
      </c>
    </row>
    <row r="1966">
      <c r="A1966" s="2" t="n">
        <v>46179.29166666666</v>
      </c>
      <c r="B1966">
        <f>TEXT(A1966,"yyyy-mm")</f>
        <v/>
      </c>
      <c r="C1966" s="3">
        <f>HOUR(A1966)</f>
        <v/>
      </c>
      <c r="D1966" s="4" t="n">
        <v>25.51114329479167</v>
      </c>
      <c r="E1966" s="4" t="n">
        <v>25.97021457585834</v>
      </c>
      <c r="F1966" s="4" t="n">
        <v>26.73518459068889</v>
      </c>
      <c r="G1966" s="4" t="n">
        <v>19.7</v>
      </c>
      <c r="H1966" s="5" t="n">
        <v>40.85659563500834</v>
      </c>
      <c r="I1966" s="5" t="n">
        <v>40.11718232176111</v>
      </c>
      <c r="J1966" s="5" t="n">
        <v>46.61060719434167</v>
      </c>
      <c r="K1966" s="5" t="n">
        <v>60</v>
      </c>
    </row>
    <row r="1967">
      <c r="A1967" s="2" t="n">
        <v>46179.33333333334</v>
      </c>
      <c r="B1967">
        <f>TEXT(A1967,"yyyy-mm")</f>
        <v/>
      </c>
      <c r="C1967" s="3">
        <f>HOUR(A1967)</f>
        <v/>
      </c>
      <c r="D1967" s="4" t="n">
        <v>26.55589741355833</v>
      </c>
      <c r="E1967" s="4" t="n">
        <v>26.8705336238</v>
      </c>
      <c r="F1967" s="4" t="n">
        <v>26.79077544292222</v>
      </c>
      <c r="G1967" s="4" t="n">
        <v>22.3</v>
      </c>
      <c r="H1967" s="5" t="n">
        <v>38.88643806648333</v>
      </c>
      <c r="I1967" s="5" t="n">
        <v>38.12176088092777</v>
      </c>
      <c r="J1967" s="5" t="n">
        <v>46.54755164498334</v>
      </c>
      <c r="K1967" s="5" t="n">
        <v>48</v>
      </c>
    </row>
    <row r="1968">
      <c r="A1968" s="2" t="n">
        <v>46179.375</v>
      </c>
      <c r="B1968">
        <f>TEXT(A1968,"yyyy-mm")</f>
        <v/>
      </c>
      <c r="C1968" s="3">
        <f>HOUR(A1968)</f>
        <v/>
      </c>
      <c r="D1968" s="4" t="n">
        <v>27.55200388583889</v>
      </c>
      <c r="E1968" s="4" t="n">
        <v>27.20340519327777</v>
      </c>
      <c r="F1968" s="4" t="n">
        <v>26.80013916504167</v>
      </c>
      <c r="G1968" s="4" t="n">
        <v>24.3</v>
      </c>
      <c r="H1968" s="5" t="n">
        <v>35.73712848234999</v>
      </c>
      <c r="I1968" s="5" t="n">
        <v>36.21420259544167</v>
      </c>
      <c r="J1968" s="5" t="n">
        <v>46.55901209363889</v>
      </c>
      <c r="K1968" s="5" t="n">
        <v>41</v>
      </c>
    </row>
    <row r="1969">
      <c r="A1969" s="2" t="n">
        <v>46179.41666666666</v>
      </c>
      <c r="B1969">
        <f>TEXT(A1969,"yyyy-mm")</f>
        <v/>
      </c>
      <c r="C1969" s="3">
        <f>HOUR(A1969)</f>
        <v/>
      </c>
      <c r="D1969" s="4" t="n">
        <v>27.03725699132222</v>
      </c>
      <c r="E1969" s="4" t="n">
        <v>27.49202323796944</v>
      </c>
      <c r="F1969" s="4" t="n">
        <v>26.82535902130833</v>
      </c>
      <c r="G1969" s="4" t="n">
        <v>25.6</v>
      </c>
      <c r="H1969" s="5" t="n">
        <v>34.78903696166667</v>
      </c>
      <c r="I1969" s="5" t="n">
        <v>33.87694576846111</v>
      </c>
      <c r="J1969" s="5" t="n">
        <v>46.36600107175</v>
      </c>
      <c r="K1969" s="5" t="n">
        <v>35</v>
      </c>
    </row>
    <row r="1970">
      <c r="A1970" s="2" t="n">
        <v>46179.45833333334</v>
      </c>
      <c r="B1970">
        <f>TEXT(A1970,"yyyy-mm")</f>
        <v/>
      </c>
      <c r="C1970" s="3">
        <f>HOUR(A1970)</f>
        <v/>
      </c>
      <c r="D1970" s="4" t="n">
        <v>26.86749551626389</v>
      </c>
      <c r="E1970" s="4" t="n">
        <v>27.51735133358333</v>
      </c>
      <c r="F1970" s="4" t="n">
        <v>26.85830015601111</v>
      </c>
      <c r="G1970" s="4" t="n">
        <v>26.5</v>
      </c>
      <c r="H1970" s="5" t="n">
        <v>34.314192244975</v>
      </c>
      <c r="I1970" s="5" t="n">
        <v>33.78800747871111</v>
      </c>
      <c r="J1970" s="5" t="n">
        <v>46.14677605339167</v>
      </c>
      <c r="K1970" s="5" t="n">
        <v>32</v>
      </c>
    </row>
    <row r="1971">
      <c r="A1971" s="2" t="n">
        <v>46179.5</v>
      </c>
      <c r="B1971">
        <f>TEXT(A1971,"yyyy-mm")</f>
        <v/>
      </c>
      <c r="C1971" s="3">
        <f>HOUR(A1971)</f>
        <v/>
      </c>
      <c r="D1971" s="4" t="n">
        <v>26.82438781317778</v>
      </c>
      <c r="E1971" s="4" t="n">
        <v>27.50623710403333</v>
      </c>
      <c r="F1971" s="4" t="n">
        <v>26.87335980780833</v>
      </c>
      <c r="G1971" s="4" t="n">
        <v>27.2</v>
      </c>
      <c r="H1971" s="5" t="n">
        <v>35.05024180745556</v>
      </c>
      <c r="I1971" s="5" t="n">
        <v>34.83024739670278</v>
      </c>
      <c r="J1971" s="5" t="n">
        <v>46.04236800493612</v>
      </c>
      <c r="K1971" s="5" t="n">
        <v>30</v>
      </c>
    </row>
    <row r="1972">
      <c r="A1972" s="2" t="n">
        <v>46179.54166666666</v>
      </c>
      <c r="B1972">
        <f>TEXT(A1972,"yyyy-mm")</f>
        <v/>
      </c>
      <c r="C1972" s="3">
        <f>HOUR(A1972)</f>
        <v/>
      </c>
      <c r="D1972" s="4" t="n">
        <v>26.80939484235278</v>
      </c>
      <c r="E1972" s="4" t="n">
        <v>27.40514427947778</v>
      </c>
      <c r="F1972" s="4" t="n">
        <v>26.90971765649445</v>
      </c>
      <c r="G1972" s="4" t="n">
        <v>27.9</v>
      </c>
      <c r="H1972" s="5" t="n">
        <v>34.2129270387361</v>
      </c>
      <c r="I1972" s="5" t="n">
        <v>34.16370952996667</v>
      </c>
      <c r="J1972" s="5" t="n">
        <v>45.99144107247222</v>
      </c>
      <c r="K1972" s="5" t="n">
        <v>28</v>
      </c>
    </row>
    <row r="1973">
      <c r="A1973" s="2" t="n">
        <v>46179.58333333334</v>
      </c>
      <c r="B1973">
        <f>TEXT(A1973,"yyyy-mm")</f>
        <v/>
      </c>
      <c r="C1973" s="3">
        <f>HOUR(A1973)</f>
        <v/>
      </c>
      <c r="D1973" s="4" t="n">
        <v>26.76147674824722</v>
      </c>
      <c r="E1973" s="4" t="n">
        <v>27.27202080656667</v>
      </c>
      <c r="F1973" s="4" t="n">
        <v>26.92405863253056</v>
      </c>
      <c r="G1973" s="4" t="n">
        <v>28.4</v>
      </c>
      <c r="H1973" s="5" t="n">
        <v>34.81086688104444</v>
      </c>
      <c r="I1973" s="5" t="n">
        <v>34.52617074812222</v>
      </c>
      <c r="J1973" s="5" t="n">
        <v>46.053281430075</v>
      </c>
      <c r="K1973" s="5" t="n">
        <v>28</v>
      </c>
    </row>
    <row r="1974">
      <c r="A1974" s="2" t="n">
        <v>46179.625</v>
      </c>
      <c r="B1974">
        <f>TEXT(A1974,"yyyy-mm")</f>
        <v/>
      </c>
      <c r="C1974" s="3">
        <f>HOUR(A1974)</f>
        <v/>
      </c>
      <c r="D1974" s="4" t="n">
        <v>26.56006274111944</v>
      </c>
      <c r="E1974" s="4" t="n">
        <v>27.04531334020277</v>
      </c>
      <c r="F1974" s="4" t="n">
        <v>26.92444469591111</v>
      </c>
      <c r="G1974" s="4" t="n">
        <v>28.7</v>
      </c>
      <c r="H1974" s="5" t="n">
        <v>34.68006253752778</v>
      </c>
      <c r="I1974" s="5" t="n">
        <v>34.2602679174889</v>
      </c>
      <c r="J1974" s="5" t="n">
        <v>45.92518552953612</v>
      </c>
      <c r="K1974" s="5" t="n">
        <v>27</v>
      </c>
    </row>
    <row r="1975">
      <c r="A1975" s="2" t="n">
        <v>46179.66666666666</v>
      </c>
      <c r="B1975">
        <f>TEXT(A1975,"yyyy-mm")</f>
        <v/>
      </c>
      <c r="C1975" s="3">
        <f>HOUR(A1975)</f>
        <v/>
      </c>
      <c r="D1975" s="4" t="n">
        <v>26.48460278204445</v>
      </c>
      <c r="E1975" s="4" t="n">
        <v>26.80696973490556</v>
      </c>
      <c r="F1975" s="4" t="n">
        <v>26.92355502194722</v>
      </c>
      <c r="G1975" s="4" t="n">
        <v>28.6</v>
      </c>
      <c r="H1975" s="5" t="n">
        <v>34.21196233285556</v>
      </c>
      <c r="I1975" s="5" t="n">
        <v>34.33636900121667</v>
      </c>
      <c r="J1975" s="5" t="n">
        <v>45.80190735214723</v>
      </c>
      <c r="K1975" s="5" t="n">
        <v>27</v>
      </c>
    </row>
    <row r="1976">
      <c r="A1976" s="2" t="n">
        <v>46179.70833333334</v>
      </c>
      <c r="B1976">
        <f>TEXT(A1976,"yyyy-mm")</f>
        <v/>
      </c>
      <c r="C1976" s="3">
        <f>HOUR(A1976)</f>
        <v/>
      </c>
      <c r="D1976" s="4" t="n">
        <v>26.51514995990833</v>
      </c>
      <c r="E1976" s="4" t="n">
        <v>26.77386090401944</v>
      </c>
      <c r="F1976" s="4" t="n">
        <v>26.93236115321389</v>
      </c>
      <c r="G1976" s="4" t="n">
        <v>28.4</v>
      </c>
      <c r="H1976" s="5" t="n">
        <v>35.36945661011666</v>
      </c>
      <c r="I1976" s="5" t="n">
        <v>35.35635633360278</v>
      </c>
      <c r="J1976" s="5" t="n">
        <v>45.68086414354722</v>
      </c>
      <c r="K1976" s="5" t="n">
        <v>28</v>
      </c>
    </row>
    <row r="1977">
      <c r="A1977" s="2" t="n">
        <v>46179.75</v>
      </c>
      <c r="B1977">
        <f>TEXT(A1977,"yyyy-mm")</f>
        <v/>
      </c>
      <c r="C1977" s="3">
        <f>HOUR(A1977)</f>
        <v/>
      </c>
      <c r="D1977" s="4" t="n">
        <v>26.49898783541944</v>
      </c>
      <c r="E1977" s="4" t="n">
        <v>26.88303712164722</v>
      </c>
      <c r="F1977" s="4" t="n">
        <v>27.00111372540277</v>
      </c>
      <c r="G1977" s="4" t="n">
        <v>28</v>
      </c>
      <c r="H1977" s="5" t="n">
        <v>37.86352151237222</v>
      </c>
      <c r="I1977" s="5" t="n">
        <v>37.49310582111389</v>
      </c>
      <c r="J1977" s="5" t="n">
        <v>45.83985474119444</v>
      </c>
      <c r="K1977" s="5" t="n">
        <v>28</v>
      </c>
    </row>
    <row r="1978">
      <c r="A1978" s="2" t="n">
        <v>46179.79166666666</v>
      </c>
      <c r="B1978">
        <f>TEXT(A1978,"yyyy-mm")</f>
        <v/>
      </c>
      <c r="C1978" s="3">
        <f>HOUR(A1978)</f>
        <v/>
      </c>
      <c r="D1978" s="4" t="n">
        <v>26.41721104793056</v>
      </c>
      <c r="E1978" s="4" t="n">
        <v>27.01119838666111</v>
      </c>
      <c r="F1978" s="4" t="n">
        <v>27.04211348410278</v>
      </c>
      <c r="G1978" s="4" t="n">
        <v>27</v>
      </c>
      <c r="H1978" s="5" t="n">
        <v>38.89970407751944</v>
      </c>
      <c r="I1978" s="5" t="n">
        <v>40.16821354034445</v>
      </c>
      <c r="J1978" s="5" t="n">
        <v>46.09695341795555</v>
      </c>
      <c r="K1978" s="5" t="n">
        <v>30</v>
      </c>
    </row>
    <row r="1979">
      <c r="A1979" s="2" t="n">
        <v>46179.83333333334</v>
      </c>
      <c r="B1979">
        <f>TEXT(A1979,"yyyy-mm")</f>
        <v/>
      </c>
      <c r="C1979" s="3">
        <f>HOUR(A1979)</f>
        <v/>
      </c>
      <c r="D1979" s="4" t="n">
        <v>26.21086493341112</v>
      </c>
      <c r="E1979" s="4" t="n">
        <v>26.88320108471389</v>
      </c>
      <c r="F1979" s="4" t="n">
        <v>27.04582090735556</v>
      </c>
      <c r="G1979" s="4" t="n">
        <v>26</v>
      </c>
      <c r="H1979" s="5" t="n">
        <v>40.21208085359444</v>
      </c>
      <c r="I1979" s="5" t="n">
        <v>41.61683698091944</v>
      </c>
      <c r="J1979" s="5" t="n">
        <v>46.58353771299445</v>
      </c>
      <c r="K1979" s="5" t="n">
        <v>32</v>
      </c>
    </row>
    <row r="1980">
      <c r="A1980" s="2" t="n">
        <v>46179.875</v>
      </c>
      <c r="B1980">
        <f>TEXT(A1980,"yyyy-mm")</f>
        <v/>
      </c>
      <c r="C1980" s="3">
        <f>HOUR(A1980)</f>
        <v/>
      </c>
      <c r="D1980" s="4" t="n">
        <v>26.03623976480278</v>
      </c>
      <c r="E1980" s="4" t="n">
        <v>26.82116548888056</v>
      </c>
      <c r="F1980" s="4" t="n">
        <v>26.83534135131667</v>
      </c>
      <c r="G1980" s="4" t="n">
        <v>24.9</v>
      </c>
      <c r="H1980" s="5" t="n">
        <v>41.32224826676389</v>
      </c>
      <c r="I1980" s="5" t="n">
        <v>43.03603207786667</v>
      </c>
      <c r="J1980" s="5" t="n">
        <v>50.81684865128611</v>
      </c>
      <c r="K1980" s="5" t="n">
        <v>39</v>
      </c>
    </row>
    <row r="1981">
      <c r="A1981" s="2" t="n">
        <v>46179.91666666666</v>
      </c>
      <c r="B1981">
        <f>TEXT(A1981,"yyyy-mm")</f>
        <v/>
      </c>
      <c r="C1981" s="3">
        <f>HOUR(A1981)</f>
        <v/>
      </c>
      <c r="D1981" s="4" t="n">
        <v>25.69583875128333</v>
      </c>
      <c r="E1981" s="4" t="n">
        <v>26.88297892978889</v>
      </c>
      <c r="F1981" s="4" t="n">
        <v>27.11048045011944</v>
      </c>
      <c r="G1981" s="4" t="n">
        <v>23.7</v>
      </c>
      <c r="H1981" s="5" t="n">
        <v>40.88695178266945</v>
      </c>
      <c r="I1981" s="5" t="n">
        <v>45.83380333652778</v>
      </c>
      <c r="J1981" s="5" t="n">
        <v>48.92806032580555</v>
      </c>
      <c r="K1981" s="5" t="n">
        <v>47</v>
      </c>
    </row>
    <row r="1982">
      <c r="A1982" s="2" t="n">
        <v>46179.95833333334</v>
      </c>
      <c r="B1982">
        <f>TEXT(A1982,"yyyy-mm")</f>
        <v/>
      </c>
      <c r="C1982" s="3">
        <f>HOUR(A1982)</f>
        <v/>
      </c>
      <c r="D1982" s="4" t="n">
        <v>25.54513983976389</v>
      </c>
      <c r="E1982" s="4" t="n">
        <v>26.99920660233056</v>
      </c>
      <c r="F1982" s="4" t="n">
        <v>27.45274822490278</v>
      </c>
      <c r="G1982" s="4" t="n">
        <v>22.9</v>
      </c>
      <c r="H1982" s="5" t="n">
        <v>42.37003843209167</v>
      </c>
      <c r="I1982" s="5" t="n">
        <v>48.94711971431389</v>
      </c>
      <c r="J1982" s="5" t="n">
        <v>48.72220076128889</v>
      </c>
      <c r="K1982" s="5" t="n">
        <v>52</v>
      </c>
    </row>
    <row r="1983">
      <c r="A1983" s="2" t="n">
        <v>46180</v>
      </c>
      <c r="B1983">
        <f>TEXT(A1983,"yyyy-mm")</f>
        <v/>
      </c>
      <c r="C1983" s="3">
        <f>HOUR(A1983)</f>
        <v/>
      </c>
      <c r="D1983" s="4" t="n">
        <v>25.31870830311111</v>
      </c>
      <c r="E1983" s="4" t="n">
        <v>27.02280800004722</v>
      </c>
      <c r="F1983" s="4" t="n">
        <v>27.622801500075</v>
      </c>
      <c r="G1983" s="4" t="n">
        <v>22</v>
      </c>
      <c r="H1983" s="5" t="n">
        <v>42.71594553060277</v>
      </c>
      <c r="I1983" s="5" t="n">
        <v>48.48908830694166</v>
      </c>
      <c r="J1983" s="5" t="n">
        <v>48.20515766535278</v>
      </c>
      <c r="K1983" s="5" t="n">
        <v>54</v>
      </c>
    </row>
    <row r="1984">
      <c r="A1984" s="2" t="n">
        <v>46180.04166666666</v>
      </c>
      <c r="B1984">
        <f>TEXT(A1984,"yyyy-mm")</f>
        <v/>
      </c>
      <c r="C1984" s="3">
        <f>HOUR(A1984)</f>
        <v/>
      </c>
      <c r="D1984" s="4" t="n">
        <v>24.958701300175</v>
      </c>
      <c r="E1984" s="4" t="n">
        <v>26.86952395560556</v>
      </c>
      <c r="F1984" s="4" t="n">
        <v>27.62757154008611</v>
      </c>
      <c r="G1984" s="4" t="n">
        <v>21</v>
      </c>
      <c r="H1984" s="5" t="n">
        <v>44.49834750320556</v>
      </c>
      <c r="I1984" s="5" t="n">
        <v>48.57458966006112</v>
      </c>
      <c r="J1984" s="5" t="n">
        <v>49.84487516178056</v>
      </c>
      <c r="K1984" s="5" t="n">
        <v>58</v>
      </c>
    </row>
    <row r="1985">
      <c r="A1985" s="2" t="n">
        <v>46180.08333333334</v>
      </c>
      <c r="B1985">
        <f>TEXT(A1985,"yyyy-mm")</f>
        <v/>
      </c>
      <c r="C1985" s="3">
        <f>HOUR(A1985)</f>
        <v/>
      </c>
      <c r="D1985" s="4" t="n">
        <v>24.317435952825</v>
      </c>
      <c r="E1985" s="4" t="n">
        <v>26.53427854972778</v>
      </c>
      <c r="F1985" s="4" t="n">
        <v>27.47481483323056</v>
      </c>
      <c r="G1985" s="4" t="n">
        <v>19.9</v>
      </c>
      <c r="H1985" s="5" t="n">
        <v>47.42117498495279</v>
      </c>
      <c r="I1985" s="5" t="n">
        <v>48.53206743338611</v>
      </c>
      <c r="J1985" s="5" t="n">
        <v>50.15611880543333</v>
      </c>
      <c r="K1985" s="5" t="n">
        <v>62</v>
      </c>
    </row>
    <row r="1986">
      <c r="A1986" s="2" t="n">
        <v>46180.125</v>
      </c>
      <c r="B1986">
        <f>TEXT(A1986,"yyyy-mm")</f>
        <v/>
      </c>
      <c r="C1986" s="3">
        <f>HOUR(A1986)</f>
        <v/>
      </c>
      <c r="D1986" s="4" t="n">
        <v>23.90551187152223</v>
      </c>
      <c r="E1986" s="4" t="n">
        <v>26.17118041187222</v>
      </c>
      <c r="F1986" s="4" t="n">
        <v>27.49130246441666</v>
      </c>
      <c r="G1986" s="4" t="n">
        <v>19.2</v>
      </c>
      <c r="H1986" s="5" t="n">
        <v>47.01043781284445</v>
      </c>
      <c r="I1986" s="5" t="n">
        <v>47.52257924558889</v>
      </c>
      <c r="J1986" s="5" t="n">
        <v>49.72928904653889</v>
      </c>
      <c r="K1986" s="5" t="n">
        <v>64</v>
      </c>
    </row>
    <row r="1987">
      <c r="A1987" s="2" t="n">
        <v>46180.16666666666</v>
      </c>
      <c r="B1987">
        <f>TEXT(A1987,"yyyy-mm")</f>
        <v/>
      </c>
      <c r="C1987" s="3">
        <f>HOUR(A1987)</f>
        <v/>
      </c>
      <c r="D1987" s="4" t="n">
        <v>23.62130069801111</v>
      </c>
      <c r="E1987" s="4" t="n">
        <v>26.08957685423611</v>
      </c>
      <c r="F1987" s="4" t="n">
        <v>27.51155689983056</v>
      </c>
      <c r="G1987" s="4" t="n">
        <v>18</v>
      </c>
      <c r="H1987" s="5" t="n">
        <v>45.45924814341667</v>
      </c>
      <c r="I1987" s="5" t="n">
        <v>45.71066190524167</v>
      </c>
      <c r="J1987" s="5" t="n">
        <v>49.36538735343888</v>
      </c>
      <c r="K1987" s="5" t="n">
        <v>70</v>
      </c>
    </row>
    <row r="1988">
      <c r="A1988" s="2" t="n">
        <v>46180.20833333334</v>
      </c>
      <c r="B1988">
        <f>TEXT(A1988,"yyyy-mm")</f>
        <v/>
      </c>
      <c r="C1988" s="3">
        <f>HOUR(A1988)</f>
        <v/>
      </c>
      <c r="D1988" s="4" t="n">
        <v>24.15706111301111</v>
      </c>
      <c r="E1988" s="4" t="n">
        <v>25.98791285987222</v>
      </c>
      <c r="F1988" s="4" t="n">
        <v>27.485090885075</v>
      </c>
      <c r="G1988" s="4" t="n">
        <v>17.5</v>
      </c>
      <c r="H1988" s="5" t="n">
        <v>44.83414177363333</v>
      </c>
      <c r="I1988" s="5" t="n">
        <v>45.02209667361944</v>
      </c>
      <c r="J1988" s="5" t="n">
        <v>48.9253470195</v>
      </c>
      <c r="K1988" s="5" t="n">
        <v>73</v>
      </c>
    </row>
    <row r="1989">
      <c r="A1989" s="2" t="n">
        <v>46180.25</v>
      </c>
      <c r="B1989">
        <f>TEXT(A1989,"yyyy-mm")</f>
        <v/>
      </c>
      <c r="C1989" s="3">
        <f>HOUR(A1989)</f>
        <v/>
      </c>
      <c r="D1989" s="4" t="n">
        <v>25.30667593028611</v>
      </c>
      <c r="E1989" s="4" t="n">
        <v>26.22093554760277</v>
      </c>
      <c r="F1989" s="4" t="n">
        <v>27.40206312148889</v>
      </c>
      <c r="G1989" s="4" t="n">
        <v>18.4</v>
      </c>
      <c r="H1989" s="5" t="n">
        <v>45.05657421561667</v>
      </c>
      <c r="I1989" s="5" t="n">
        <v>44.91598596925556</v>
      </c>
      <c r="J1989" s="5" t="n">
        <v>48.71265287066667</v>
      </c>
      <c r="K1989" s="5" t="n">
        <v>70</v>
      </c>
    </row>
    <row r="1990">
      <c r="A1990" s="2" t="n">
        <v>46180.29166666666</v>
      </c>
      <c r="B1990">
        <f>TEXT(A1990,"yyyy-mm")</f>
        <v/>
      </c>
      <c r="C1990" s="3">
        <f>HOUR(A1990)</f>
        <v/>
      </c>
      <c r="D1990" s="4" t="n">
        <v>26.29660092774445</v>
      </c>
      <c r="E1990" s="4" t="n">
        <v>26.88271418281944</v>
      </c>
      <c r="F1990" s="4" t="n">
        <v>27.36006184237222</v>
      </c>
      <c r="G1990" s="4" t="n">
        <v>20</v>
      </c>
      <c r="H1990" s="5" t="n">
        <v>44.95100340782778</v>
      </c>
      <c r="I1990" s="5" t="n">
        <v>43.32024881946944</v>
      </c>
      <c r="J1990" s="5" t="n">
        <v>48.56064494533612</v>
      </c>
      <c r="K1990" s="5" t="n">
        <v>63</v>
      </c>
    </row>
    <row r="1991">
      <c r="A1991" s="2" t="n">
        <v>46180.33333333334</v>
      </c>
      <c r="B1991">
        <f>TEXT(A1991,"yyyy-mm")</f>
        <v/>
      </c>
      <c r="C1991" s="3">
        <f>HOUR(A1991)</f>
        <v/>
      </c>
      <c r="D1991" s="4" t="n">
        <v>27.19847974703333</v>
      </c>
      <c r="E1991" s="4" t="n">
        <v>27.31541328177222</v>
      </c>
      <c r="F1991" s="4" t="n">
        <v>27.36519007251111</v>
      </c>
      <c r="G1991" s="4" t="n">
        <v>22.3</v>
      </c>
      <c r="H1991" s="5" t="n">
        <v>42.95292596346388</v>
      </c>
      <c r="I1991" s="5" t="n">
        <v>42.27549399685</v>
      </c>
      <c r="J1991" s="5" t="n">
        <v>48.24236550163334</v>
      </c>
      <c r="K1991" s="5" t="n">
        <v>53</v>
      </c>
    </row>
    <row r="1992">
      <c r="A1992" s="2" t="n">
        <v>46180.375</v>
      </c>
      <c r="B1992">
        <f>TEXT(A1992,"yyyy-mm")</f>
        <v/>
      </c>
      <c r="C1992" s="3">
        <f>HOUR(A1992)</f>
        <v/>
      </c>
      <c r="D1992" s="4" t="n">
        <v>28.07155126013889</v>
      </c>
      <c r="E1992" s="4" t="n">
        <v>27.98937277206944</v>
      </c>
      <c r="F1992" s="4" t="n">
        <v>27.4171650563</v>
      </c>
      <c r="G1992" s="4" t="n">
        <v>24.8</v>
      </c>
      <c r="H1992" s="5" t="n">
        <v>39.58627627398889</v>
      </c>
      <c r="I1992" s="5" t="n">
        <v>40.31468457147223</v>
      </c>
      <c r="J1992" s="5" t="n">
        <v>48.03527688791945</v>
      </c>
      <c r="K1992" s="5" t="n">
        <v>45</v>
      </c>
    </row>
    <row r="1993">
      <c r="A1993" s="2" t="n">
        <v>46180.41666666666</v>
      </c>
      <c r="B1993">
        <f>TEXT(A1993,"yyyy-mm")</f>
        <v/>
      </c>
      <c r="C1993" s="3">
        <f>HOUR(A1993)</f>
        <v/>
      </c>
      <c r="D1993" s="4" t="n">
        <v>27.55983183079723</v>
      </c>
      <c r="E1993" s="4" t="n">
        <v>28.00521519048056</v>
      </c>
      <c r="F1993" s="4" t="n">
        <v>27.53891894222778</v>
      </c>
      <c r="G1993" s="4" t="n">
        <v>26.4</v>
      </c>
      <c r="H1993" s="5" t="n">
        <v>38.12861947626111</v>
      </c>
      <c r="I1993" s="5" t="n">
        <v>37.69105901978055</v>
      </c>
      <c r="J1993" s="5" t="n">
        <v>47.88072259702778</v>
      </c>
      <c r="K1993" s="5" t="n">
        <v>39</v>
      </c>
    </row>
    <row r="1994">
      <c r="A1994" s="2" t="n">
        <v>46180.45833333334</v>
      </c>
      <c r="B1994">
        <f>TEXT(A1994,"yyyy-mm")</f>
        <v/>
      </c>
      <c r="C1994" s="3">
        <f>HOUR(A1994)</f>
        <v/>
      </c>
      <c r="D1994" s="4" t="n">
        <v>27.37154399789445</v>
      </c>
      <c r="E1994" s="4" t="n">
        <v>28.1079235544</v>
      </c>
      <c r="F1994" s="4" t="n">
        <v>27.49271238018333</v>
      </c>
      <c r="G1994" s="4" t="n">
        <v>27.3</v>
      </c>
      <c r="H1994" s="5" t="n">
        <v>36.91061494008056</v>
      </c>
      <c r="I1994" s="5" t="n">
        <v>35.68242392586667</v>
      </c>
      <c r="J1994" s="5" t="n">
        <v>47.56168341877222</v>
      </c>
      <c r="K1994" s="5" t="n">
        <v>33</v>
      </c>
    </row>
    <row r="1995">
      <c r="A1995" s="2" t="n">
        <v>46180.5</v>
      </c>
      <c r="B1995">
        <f>TEXT(A1995,"yyyy-mm")</f>
        <v/>
      </c>
      <c r="C1995" s="3">
        <f>HOUR(A1995)</f>
        <v/>
      </c>
      <c r="D1995" s="4" t="n">
        <v>27.22774182315</v>
      </c>
      <c r="E1995" s="4" t="n">
        <v>28.00068531887779</v>
      </c>
      <c r="F1995" s="4" t="n">
        <v>27.5699168264</v>
      </c>
      <c r="G1995" s="4" t="n">
        <v>28</v>
      </c>
      <c r="H1995" s="5" t="n">
        <v>37.31595113843056</v>
      </c>
      <c r="I1995" s="5" t="n">
        <v>37.15808299906111</v>
      </c>
      <c r="J1995" s="5" t="n">
        <v>47.67069191788889</v>
      </c>
      <c r="K1995" s="5" t="n">
        <v>33</v>
      </c>
    </row>
    <row r="1996">
      <c r="A1996" s="2" t="n">
        <v>46180.54166666666</v>
      </c>
      <c r="B1996">
        <f>TEXT(A1996,"yyyy-mm")</f>
        <v/>
      </c>
      <c r="C1996" s="3">
        <f>HOUR(A1996)</f>
        <v/>
      </c>
      <c r="D1996" s="4" t="n">
        <v>27.21854875745278</v>
      </c>
      <c r="E1996" s="4" t="n">
        <v>27.99228813797222</v>
      </c>
      <c r="F1996" s="4" t="n">
        <v>27.59271577170556</v>
      </c>
      <c r="G1996" s="4" t="n">
        <v>28.7</v>
      </c>
      <c r="H1996" s="5" t="n">
        <v>35.82810474748333</v>
      </c>
      <c r="I1996" s="5" t="n">
        <v>35.26213651427222</v>
      </c>
      <c r="J1996" s="5" t="n">
        <v>47.69161212889723</v>
      </c>
      <c r="K1996" s="5" t="n">
        <v>32</v>
      </c>
    </row>
    <row r="1997">
      <c r="A1997" s="2" t="n">
        <v>46180.58333333334</v>
      </c>
      <c r="B1997">
        <f>TEXT(A1997,"yyyy-mm")</f>
        <v/>
      </c>
      <c r="C1997" s="3">
        <f>HOUR(A1997)</f>
        <v/>
      </c>
      <c r="D1997" s="4" t="n">
        <v>27.36434194636389</v>
      </c>
      <c r="E1997" s="4" t="n">
        <v>28.01373276367778</v>
      </c>
      <c r="F1997" s="4" t="n">
        <v>27.52675512205278</v>
      </c>
      <c r="G1997" s="4" t="n">
        <v>28.9</v>
      </c>
      <c r="H1997" s="5" t="n">
        <v>34.6916744692</v>
      </c>
      <c r="I1997" s="5" t="n">
        <v>34.4633266903</v>
      </c>
      <c r="J1997" s="5" t="n">
        <v>46.72156454832778</v>
      </c>
      <c r="K1997" s="5" t="n">
        <v>32</v>
      </c>
    </row>
    <row r="1998">
      <c r="A1998" s="2" t="n">
        <v>46180.625</v>
      </c>
      <c r="B1998">
        <f>TEXT(A1998,"yyyy-mm")</f>
        <v/>
      </c>
      <c r="C1998" s="3">
        <f>HOUR(A1998)</f>
        <v/>
      </c>
      <c r="D1998" s="4" t="n">
        <v>27.30839678026389</v>
      </c>
      <c r="E1998" s="4" t="n">
        <v>27.74546681496389</v>
      </c>
      <c r="F1998" s="4" t="n">
        <v>27.70329923265833</v>
      </c>
      <c r="G1998" s="4" t="n">
        <v>29.5</v>
      </c>
      <c r="H1998" s="5" t="n">
        <v>33.17381756775556</v>
      </c>
      <c r="I1998" s="5" t="n">
        <v>34.08050334490277</v>
      </c>
      <c r="J1998" s="5" t="n">
        <v>46.31897215645278</v>
      </c>
      <c r="K1998" s="5" t="n">
        <v>30</v>
      </c>
    </row>
    <row r="1999">
      <c r="A1999" s="2" t="n">
        <v>46180.66666666666</v>
      </c>
      <c r="B1999">
        <f>TEXT(A1999,"yyyy-mm")</f>
        <v/>
      </c>
      <c r="C1999" s="3">
        <f>HOUR(A1999)</f>
        <v/>
      </c>
      <c r="D1999" s="4" t="n">
        <v>27.59687953248056</v>
      </c>
      <c r="E1999" s="4" t="n">
        <v>27.93828025396111</v>
      </c>
      <c r="F1999" s="4" t="n">
        <v>27.63497194858333</v>
      </c>
      <c r="G1999" s="4" t="n">
        <v>29.1</v>
      </c>
      <c r="H1999" s="5" t="n">
        <v>31.97688473428612</v>
      </c>
      <c r="I1999" s="5" t="n">
        <v>34.05627837086667</v>
      </c>
      <c r="J1999" s="5" t="n">
        <v>46.20318269896944</v>
      </c>
      <c r="K1999" s="5" t="n">
        <v>32</v>
      </c>
    </row>
    <row r="2000">
      <c r="A2000" s="2" t="n">
        <v>46180.70833333334</v>
      </c>
      <c r="B2000">
        <f>TEXT(A2000,"yyyy-mm")</f>
        <v/>
      </c>
      <c r="C2000" s="3">
        <f>HOUR(A2000)</f>
        <v/>
      </c>
      <c r="D2000" s="4" t="n">
        <v>27.56166418314723</v>
      </c>
      <c r="E2000" s="4" t="n">
        <v>28.06524192305278</v>
      </c>
      <c r="F2000" s="4" t="n">
        <v>27.58534703671944</v>
      </c>
      <c r="G2000" s="4" t="n">
        <v>27.2</v>
      </c>
      <c r="H2000" s="5" t="n">
        <v>31.74897210957223</v>
      </c>
      <c r="I2000" s="5" t="n">
        <v>33.44715279153056</v>
      </c>
      <c r="J2000" s="5" t="n">
        <v>46.27884980869445</v>
      </c>
      <c r="K2000" s="5" t="n">
        <v>39</v>
      </c>
    </row>
    <row r="2001">
      <c r="A2001" s="2" t="n">
        <v>46180.75</v>
      </c>
      <c r="B2001">
        <f>TEXT(A2001,"yyyy-mm")</f>
        <v/>
      </c>
      <c r="C2001" s="3">
        <f>HOUR(A2001)</f>
        <v/>
      </c>
      <c r="D2001" s="4" t="n">
        <v>27.33084056164166</v>
      </c>
      <c r="E2001" s="4" t="n">
        <v>28.20977019251111</v>
      </c>
      <c r="F2001" s="4" t="n">
        <v>27.73336810380833</v>
      </c>
      <c r="G2001" s="4" t="n">
        <v>27.2</v>
      </c>
      <c r="H2001" s="5" t="n">
        <v>32.80238189990278</v>
      </c>
      <c r="I2001" s="5" t="n">
        <v>33.62816361369723</v>
      </c>
      <c r="J2001" s="5" t="n">
        <v>45.73826844413889</v>
      </c>
      <c r="K2001" s="5" t="n">
        <v>37</v>
      </c>
    </row>
    <row r="2002">
      <c r="A2002" s="2" t="n">
        <v>46180.79166666666</v>
      </c>
      <c r="B2002">
        <f>TEXT(A2002,"yyyy-mm")</f>
        <v/>
      </c>
      <c r="C2002" s="3">
        <f>HOUR(A2002)</f>
        <v/>
      </c>
      <c r="D2002" s="4" t="n">
        <v>26.97800905915833</v>
      </c>
      <c r="E2002" s="4" t="n">
        <v>28.13556340210556</v>
      </c>
      <c r="F2002" s="4" t="n">
        <v>27.65880007489444</v>
      </c>
      <c r="G2002" s="4" t="n">
        <v>26.7</v>
      </c>
      <c r="H2002" s="5" t="n">
        <v>34.31538705731389</v>
      </c>
      <c r="I2002" s="5" t="n">
        <v>34.55204781496389</v>
      </c>
      <c r="J2002" s="5" t="n">
        <v>45.96006081905</v>
      </c>
      <c r="K2002" s="5" t="n">
        <v>38</v>
      </c>
    </row>
    <row r="2003">
      <c r="A2003" s="2" t="n">
        <v>46180.83333333334</v>
      </c>
      <c r="B2003">
        <f>TEXT(A2003,"yyyy-mm")</f>
        <v/>
      </c>
      <c r="C2003" s="3">
        <f>HOUR(A2003)</f>
        <v/>
      </c>
      <c r="D2003" s="4" t="n">
        <v>26.49023678513055</v>
      </c>
      <c r="E2003" s="4" t="n">
        <v>28.02082654555556</v>
      </c>
      <c r="F2003" s="4" t="n">
        <v>27.74442695454166</v>
      </c>
      <c r="G2003" s="4" t="n">
        <v>25.8</v>
      </c>
      <c r="H2003" s="5" t="n">
        <v>36.33960481827222</v>
      </c>
      <c r="I2003" s="5" t="n">
        <v>35.60065606265555</v>
      </c>
      <c r="J2003" s="5" t="n">
        <v>46.16483519942778</v>
      </c>
      <c r="K2003" s="5" t="n">
        <v>40</v>
      </c>
    </row>
    <row r="2004">
      <c r="A2004" s="2" t="n">
        <v>46180.875</v>
      </c>
      <c r="B2004">
        <f>TEXT(A2004,"yyyy-mm")</f>
        <v/>
      </c>
      <c r="C2004" s="3">
        <f>HOUR(A2004)</f>
        <v/>
      </c>
      <c r="D2004" s="4" t="n">
        <v>25.54336279281112</v>
      </c>
      <c r="E2004" s="4" t="n">
        <v>28.08997823179722</v>
      </c>
      <c r="F2004" s="4" t="n">
        <v>27.55131463138889</v>
      </c>
      <c r="G2004" s="4" t="n">
        <v>24.8</v>
      </c>
      <c r="H2004" s="5" t="n">
        <v>37.20831882731111</v>
      </c>
      <c r="I2004" s="5" t="n">
        <v>34.73950506323612</v>
      </c>
      <c r="J2004" s="5" t="n">
        <v>45.49717026763056</v>
      </c>
      <c r="K2004" s="5" t="n">
        <v>43</v>
      </c>
    </row>
    <row r="2005">
      <c r="A2005" s="2" t="n">
        <v>46180.91666666666</v>
      </c>
      <c r="B2005">
        <f>TEXT(A2005,"yyyy-mm")</f>
        <v/>
      </c>
      <c r="C2005" s="3">
        <f>HOUR(A2005)</f>
        <v/>
      </c>
      <c r="D2005" s="4" t="n">
        <v>25.17894946826667</v>
      </c>
      <c r="E2005" s="4" t="n">
        <v>28.030232177525</v>
      </c>
      <c r="F2005" s="4" t="n">
        <v>27.41780647482777</v>
      </c>
      <c r="G2005" s="4" t="n">
        <v>23.6</v>
      </c>
      <c r="H2005" s="5" t="n">
        <v>37.66447382414722</v>
      </c>
      <c r="I2005" s="5" t="n">
        <v>34.72467013749167</v>
      </c>
      <c r="J2005" s="5" t="n">
        <v>45.08692658744167</v>
      </c>
      <c r="K2005" s="5" t="n">
        <v>47</v>
      </c>
    </row>
    <row r="2006">
      <c r="A2006" s="2" t="n">
        <v>46180.95833333334</v>
      </c>
      <c r="B2006">
        <f>TEXT(A2006,"yyyy-mm")</f>
        <v/>
      </c>
      <c r="C2006" s="3">
        <f>HOUR(A2006)</f>
        <v/>
      </c>
      <c r="D2006" s="4" t="n">
        <v>25.57072814871111</v>
      </c>
      <c r="E2006" s="4" t="n">
        <v>27.86435105697223</v>
      </c>
      <c r="F2006" s="4" t="n">
        <v>27.59828755435833</v>
      </c>
      <c r="G2006" s="4" t="n">
        <v>22.3</v>
      </c>
      <c r="H2006" s="5" t="n">
        <v>38.70043610465</v>
      </c>
      <c r="I2006" s="5" t="n">
        <v>37.43694814861944</v>
      </c>
      <c r="J2006" s="5" t="n">
        <v>46.03949067249167</v>
      </c>
      <c r="K2006" s="5" t="n">
        <v>51</v>
      </c>
    </row>
    <row r="2007">
      <c r="A2007" s="2" t="n">
        <v>46181</v>
      </c>
      <c r="B2007">
        <f>TEXT(A2007,"yyyy-mm")</f>
        <v/>
      </c>
      <c r="C2007" s="3">
        <f>HOUR(A2007)</f>
        <v/>
      </c>
      <c r="D2007" s="4" t="n">
        <v>24.81679860917222</v>
      </c>
      <c r="E2007" s="4" t="n">
        <v>27.67687618684444</v>
      </c>
      <c r="F2007" s="4" t="n">
        <v>27.70534366327778</v>
      </c>
      <c r="G2007" s="4" t="n">
        <v>21.1</v>
      </c>
      <c r="H2007" s="5" t="n">
        <v>39.54442126480278</v>
      </c>
      <c r="I2007" s="5" t="n">
        <v>37.11090530636667</v>
      </c>
      <c r="J2007" s="5" t="n">
        <v>46.09058303507778</v>
      </c>
      <c r="K2007" s="5" t="n">
        <v>53</v>
      </c>
    </row>
    <row r="2008">
      <c r="A2008" s="2" t="n">
        <v>46181.04166666666</v>
      </c>
      <c r="B2008">
        <f>TEXT(A2008,"yyyy-mm")</f>
        <v/>
      </c>
      <c r="C2008" s="3">
        <f>HOUR(A2008)</f>
        <v/>
      </c>
      <c r="D2008" s="4" t="n">
        <v>24.06109331027778</v>
      </c>
      <c r="E2008" s="4" t="n">
        <v>26.9703750463</v>
      </c>
      <c r="F2008" s="4" t="n">
        <v>27.63626293078612</v>
      </c>
      <c r="G2008" s="4" t="n">
        <v>20.3</v>
      </c>
      <c r="H2008" s="5" t="n">
        <v>39.14477352535555</v>
      </c>
      <c r="I2008" s="5" t="n">
        <v>36.70988777986389</v>
      </c>
      <c r="J2008" s="5" t="n">
        <v>46.06931802128889</v>
      </c>
      <c r="K2008" s="5" t="n">
        <v>52</v>
      </c>
    </row>
    <row r="2009">
      <c r="A2009" s="2" t="n">
        <v>46181.08333333334</v>
      </c>
      <c r="B2009">
        <f>TEXT(A2009,"yyyy-mm")</f>
        <v/>
      </c>
      <c r="C2009" s="3">
        <f>HOUR(A2009)</f>
        <v/>
      </c>
      <c r="D2009" s="4" t="n">
        <v>23.95022484166944</v>
      </c>
      <c r="E2009" s="4" t="n">
        <v>26.72945820806111</v>
      </c>
      <c r="F2009" s="4" t="n">
        <v>27.81538503232778</v>
      </c>
      <c r="G2009" s="4" t="n">
        <v>19.8</v>
      </c>
      <c r="H2009" s="5" t="n">
        <v>37.67826587726667</v>
      </c>
      <c r="I2009" s="5" t="n">
        <v>35.27263710816944</v>
      </c>
      <c r="J2009" s="5" t="n">
        <v>45.68977038233611</v>
      </c>
      <c r="K2009" s="5" t="n">
        <v>49</v>
      </c>
    </row>
    <row r="2010">
      <c r="A2010" s="2" t="n">
        <v>46181.125</v>
      </c>
      <c r="B2010">
        <f>TEXT(A2010,"yyyy-mm")</f>
        <v/>
      </c>
      <c r="C2010" s="3">
        <f>HOUR(A2010)</f>
        <v/>
      </c>
      <c r="D2010" s="4" t="n">
        <v>23.18965335950277</v>
      </c>
      <c r="E2010" s="4" t="n">
        <v>26.09498772396389</v>
      </c>
      <c r="F2010" s="4" t="n">
        <v>27.86812226445834</v>
      </c>
      <c r="G2010" s="4" t="n">
        <v>18.6</v>
      </c>
      <c r="H2010" s="5" t="n">
        <v>36.95606208913333</v>
      </c>
      <c r="I2010" s="5" t="n">
        <v>33.84241296472222</v>
      </c>
      <c r="J2010" s="5" t="n">
        <v>45.18841358664444</v>
      </c>
      <c r="K2010" s="5" t="n">
        <v>54</v>
      </c>
    </row>
    <row r="2011">
      <c r="A2011" s="2" t="n">
        <v>46181.16666666666</v>
      </c>
      <c r="B2011">
        <f>TEXT(A2011,"yyyy-mm")</f>
        <v/>
      </c>
      <c r="C2011" s="3">
        <f>HOUR(A2011)</f>
        <v/>
      </c>
      <c r="D2011" s="4" t="n">
        <v>22.72820395376111</v>
      </c>
      <c r="E2011" s="4" t="n">
        <v>25.85044090928611</v>
      </c>
      <c r="F2011" s="4" t="n">
        <v>27.93836289106945</v>
      </c>
      <c r="G2011" s="4" t="n">
        <v>17.8</v>
      </c>
      <c r="H2011" s="5" t="n">
        <v>35.38801740440556</v>
      </c>
      <c r="I2011" s="5" t="n">
        <v>32.233702455525</v>
      </c>
      <c r="J2011" s="5" t="n">
        <v>44.4172972997</v>
      </c>
      <c r="K2011" s="5" t="n">
        <v>56</v>
      </c>
    </row>
    <row r="2012">
      <c r="A2012" s="2" t="n">
        <v>46181.20833333334</v>
      </c>
      <c r="B2012">
        <f>TEXT(A2012,"yyyy-mm")</f>
        <v/>
      </c>
      <c r="C2012" s="3">
        <f>HOUR(A2012)</f>
        <v/>
      </c>
      <c r="D2012" s="4" t="n">
        <v>22.98647788738056</v>
      </c>
      <c r="E2012" s="4" t="n">
        <v>25.76535382324444</v>
      </c>
      <c r="F2012" s="4" t="n">
        <v>27.87100329466667</v>
      </c>
      <c r="G2012" s="4" t="n">
        <v>17.3</v>
      </c>
      <c r="H2012" s="5" t="n">
        <v>34.25646679509722</v>
      </c>
      <c r="I2012" s="5" t="n">
        <v>31.48060917086667</v>
      </c>
      <c r="J2012" s="5" t="n">
        <v>43.89712289548334</v>
      </c>
      <c r="K2012" s="5" t="n">
        <v>58</v>
      </c>
    </row>
    <row r="2013">
      <c r="A2013" s="2" t="n">
        <v>46181.25</v>
      </c>
      <c r="B2013">
        <f>TEXT(A2013,"yyyy-mm")</f>
        <v/>
      </c>
      <c r="C2013" s="3">
        <f>HOUR(A2013)</f>
        <v/>
      </c>
      <c r="D2013" s="4" t="n">
        <v>24.65916198056389</v>
      </c>
      <c r="E2013" s="4" t="n">
        <v>26.40915639226111</v>
      </c>
      <c r="F2013" s="4" t="n">
        <v>27.83222567231667</v>
      </c>
      <c r="G2013" s="4" t="n">
        <v>17.9</v>
      </c>
      <c r="H2013" s="5" t="n">
        <v>32.63073337528333</v>
      </c>
      <c r="I2013" s="5" t="n">
        <v>31.78675275309167</v>
      </c>
      <c r="J2013" s="5" t="n">
        <v>43.62737456308056</v>
      </c>
      <c r="K2013" s="5" t="n">
        <v>56</v>
      </c>
    </row>
    <row r="2014">
      <c r="A2014" s="2" t="n">
        <v>46181.29166666666</v>
      </c>
      <c r="B2014">
        <f>TEXT(A2014,"yyyy-mm")</f>
        <v/>
      </c>
      <c r="C2014" s="3">
        <f>HOUR(A2014)</f>
        <v/>
      </c>
      <c r="D2014" s="4" t="n">
        <v>26.14404602548056</v>
      </c>
      <c r="E2014" s="4" t="n">
        <v>26.95845371638333</v>
      </c>
      <c r="F2014" s="4" t="n">
        <v>27.80000147521945</v>
      </c>
      <c r="G2014" s="4" t="n">
        <v>19.4</v>
      </c>
      <c r="H2014" s="5" t="n">
        <v>31.25451961640556</v>
      </c>
      <c r="I2014" s="5" t="n">
        <v>31.64703174558889</v>
      </c>
      <c r="J2014" s="5" t="n">
        <v>43.54050008638333</v>
      </c>
      <c r="K2014" s="5" t="n">
        <v>50</v>
      </c>
    </row>
    <row r="2015">
      <c r="A2015" s="2" t="n">
        <v>46181.33333333334</v>
      </c>
      <c r="B2015">
        <f>TEXT(A2015,"yyyy-mm")</f>
        <v/>
      </c>
      <c r="C2015" s="3">
        <f>HOUR(A2015)</f>
        <v/>
      </c>
      <c r="D2015" s="4" t="n">
        <v>26.72588898888056</v>
      </c>
      <c r="E2015" s="4" t="n">
        <v>27.51714161446945</v>
      </c>
      <c r="F2015" s="4" t="n">
        <v>27.82627369316666</v>
      </c>
      <c r="G2015" s="4" t="n">
        <v>21.6</v>
      </c>
      <c r="H2015" s="5" t="n">
        <v>30.55854789012778</v>
      </c>
      <c r="I2015" s="5" t="n">
        <v>31.0286151851</v>
      </c>
      <c r="J2015" s="5" t="n">
        <v>43.46087922718333</v>
      </c>
      <c r="K2015" s="5" t="n">
        <v>44</v>
      </c>
    </row>
    <row r="2016">
      <c r="A2016" s="2" t="n">
        <v>46181.375</v>
      </c>
      <c r="B2016">
        <f>TEXT(A2016,"yyyy-mm")</f>
        <v/>
      </c>
      <c r="C2016" s="3">
        <f>HOUR(A2016)</f>
        <v/>
      </c>
      <c r="D2016" s="4" t="n">
        <v>27.35676864683611</v>
      </c>
      <c r="E2016" s="4" t="n">
        <v>27.98348409119722</v>
      </c>
      <c r="F2016" s="4" t="n">
        <v>27.81652989715278</v>
      </c>
      <c r="G2016" s="4" t="n">
        <v>24.4</v>
      </c>
      <c r="H2016" s="5" t="n">
        <v>31.41788796265</v>
      </c>
      <c r="I2016" s="5" t="n">
        <v>31.18329559612222</v>
      </c>
      <c r="J2016" s="5" t="n">
        <v>43.53358941331667</v>
      </c>
      <c r="K2016" s="5" t="n">
        <v>39</v>
      </c>
    </row>
    <row r="2017">
      <c r="A2017" s="2" t="n">
        <v>46181.41666666666</v>
      </c>
      <c r="B2017">
        <f>TEXT(A2017,"yyyy-mm")</f>
        <v/>
      </c>
      <c r="C2017" s="3">
        <f>HOUR(A2017)</f>
        <v/>
      </c>
      <c r="D2017" s="4" t="n">
        <v>27.61149958300833</v>
      </c>
      <c r="E2017" s="4" t="n">
        <v>28.46186910791389</v>
      </c>
      <c r="F2017" s="4" t="n">
        <v>27.81019425908333</v>
      </c>
      <c r="G2017" s="4" t="n">
        <v>26.1</v>
      </c>
      <c r="H2017" s="5" t="n">
        <v>30.34027249538056</v>
      </c>
      <c r="I2017" s="5" t="n">
        <v>30.42700556796112</v>
      </c>
      <c r="J2017" s="5" t="n">
        <v>43.59220869897778</v>
      </c>
      <c r="K2017" s="5" t="n">
        <v>38</v>
      </c>
    </row>
    <row r="2018">
      <c r="A2018" s="2" t="n">
        <v>46181.45833333334</v>
      </c>
      <c r="B2018">
        <f>TEXT(A2018,"yyyy-mm")</f>
        <v/>
      </c>
      <c r="C2018" s="3">
        <f>HOUR(A2018)</f>
        <v/>
      </c>
      <c r="D2018" s="4" t="n">
        <v>27.72537128583055</v>
      </c>
      <c r="E2018" s="4" t="n">
        <v>28.83075703607222</v>
      </c>
      <c r="F2018" s="4" t="n">
        <v>27.86740919360278</v>
      </c>
      <c r="G2018" s="4" t="n">
        <v>27.4</v>
      </c>
      <c r="H2018" s="5" t="n">
        <v>29.01301974615</v>
      </c>
      <c r="I2018" s="5" t="n">
        <v>31.409147417225</v>
      </c>
      <c r="J2018" s="5" t="n">
        <v>43.48432330939722</v>
      </c>
      <c r="K2018" s="5" t="n">
        <v>35</v>
      </c>
    </row>
    <row r="2019">
      <c r="A2019" s="2" t="n">
        <v>46181.5</v>
      </c>
      <c r="B2019">
        <f>TEXT(A2019,"yyyy-mm")</f>
        <v/>
      </c>
      <c r="C2019" s="3">
        <f>HOUR(A2019)</f>
        <v/>
      </c>
      <c r="D2019" s="4" t="n">
        <v>27.77248389549166</v>
      </c>
      <c r="E2019" s="4" t="n">
        <v>28.83031216638611</v>
      </c>
      <c r="F2019" s="4" t="n">
        <v>27.94963076991111</v>
      </c>
      <c r="G2019" s="4" t="n">
        <v>27.9</v>
      </c>
      <c r="H2019" s="5" t="n">
        <v>28.981913218825</v>
      </c>
      <c r="I2019" s="5" t="n">
        <v>29.40691946025833</v>
      </c>
      <c r="J2019" s="5" t="n">
        <v>43.54636846844167</v>
      </c>
      <c r="K2019" s="5" t="n">
        <v>33</v>
      </c>
    </row>
    <row r="2020">
      <c r="A2020" s="2" t="n">
        <v>46181.54166666666</v>
      </c>
      <c r="B2020">
        <f>TEXT(A2020,"yyyy-mm")</f>
        <v/>
      </c>
      <c r="C2020" s="3">
        <f>HOUR(A2020)</f>
        <v/>
      </c>
      <c r="D2020" s="4" t="n">
        <v>27.69741234022222</v>
      </c>
      <c r="E2020" s="4" t="n">
        <v>28.58446606408333</v>
      </c>
      <c r="F2020" s="4" t="n">
        <v>28.01296791455</v>
      </c>
      <c r="G2020" s="4" t="n">
        <v>28.2</v>
      </c>
      <c r="H2020" s="5" t="n">
        <v>29.32481571043889</v>
      </c>
      <c r="I2020" s="5" t="n">
        <v>30.91977010351389</v>
      </c>
      <c r="J2020" s="5" t="n">
        <v>43.77105055928889</v>
      </c>
      <c r="K2020" s="5" t="n">
        <v>34</v>
      </c>
    </row>
    <row r="2021">
      <c r="A2021" s="2" t="n">
        <v>46181.58333333334</v>
      </c>
      <c r="B2021">
        <f>TEXT(A2021,"yyyy-mm")</f>
        <v/>
      </c>
      <c r="C2021" s="3">
        <f>HOUR(A2021)</f>
        <v/>
      </c>
      <c r="D2021" s="4" t="n">
        <v>25.75922585521111</v>
      </c>
      <c r="E2021" s="4" t="n">
        <v>27.71030806989167</v>
      </c>
      <c r="F2021" s="4" t="n">
        <v>27.97939332210278</v>
      </c>
      <c r="G2021" s="4" t="n">
        <v>24.9</v>
      </c>
      <c r="H2021" s="5" t="n">
        <v>32.47707252440555</v>
      </c>
      <c r="I2021" s="5" t="n">
        <v>31.46246155493334</v>
      </c>
      <c r="J2021" s="5" t="n">
        <v>43.10553938469722</v>
      </c>
      <c r="K2021" s="5" t="n">
        <v>49</v>
      </c>
    </row>
    <row r="2022">
      <c r="A2022" s="2" t="n">
        <v>46181.625</v>
      </c>
      <c r="B2022">
        <f>TEXT(A2022,"yyyy-mm")</f>
        <v/>
      </c>
      <c r="C2022" s="3">
        <f>HOUR(A2022)</f>
        <v/>
      </c>
      <c r="D2022" s="4" t="n">
        <v>26.78723046415</v>
      </c>
      <c r="E2022" s="4" t="n">
        <v>28.068118283675</v>
      </c>
      <c r="F2022" s="4" t="n">
        <v>27.984304856625</v>
      </c>
      <c r="G2022" s="4" t="n">
        <v>27.9</v>
      </c>
      <c r="H2022" s="5" t="n">
        <v>40.34298818374167</v>
      </c>
      <c r="I2022" s="5" t="n">
        <v>36.93965925785833</v>
      </c>
      <c r="J2022" s="5" t="n">
        <v>43.39501018461389</v>
      </c>
      <c r="K2022" s="5" t="n">
        <v>35</v>
      </c>
    </row>
    <row r="2023">
      <c r="A2023" s="2" t="n">
        <v>46181.66666666666</v>
      </c>
      <c r="B2023">
        <f>TEXT(A2023,"yyyy-mm")</f>
        <v/>
      </c>
      <c r="C2023" s="3">
        <f>HOUR(A2023)</f>
        <v/>
      </c>
      <c r="D2023" s="4" t="n">
        <v>27.07850633563889</v>
      </c>
      <c r="E2023" s="4" t="n">
        <v>28.27849065561945</v>
      </c>
      <c r="F2023" s="4" t="n">
        <v>28.00844240033055</v>
      </c>
      <c r="G2023" s="4" t="n">
        <v>28.3</v>
      </c>
      <c r="H2023" s="5" t="n">
        <v>42.68930148368611</v>
      </c>
      <c r="I2023" s="5" t="n">
        <v>39.888142025675</v>
      </c>
      <c r="J2023" s="5" t="n">
        <v>44.59542594857778</v>
      </c>
      <c r="K2023" s="5" t="n">
        <v>33</v>
      </c>
    </row>
    <row r="2024">
      <c r="A2024" s="2" t="n">
        <v>46181.70833333334</v>
      </c>
      <c r="B2024">
        <f>TEXT(A2024,"yyyy-mm")</f>
        <v/>
      </c>
      <c r="C2024" s="3">
        <f>HOUR(A2024)</f>
        <v/>
      </c>
      <c r="D2024" s="4" t="n">
        <v>27.210064991025</v>
      </c>
      <c r="E2024" s="4" t="n">
        <v>28.44962776339722</v>
      </c>
      <c r="F2024" s="4" t="n">
        <v>28.00997346859167</v>
      </c>
      <c r="G2024" s="4" t="n">
        <v>28.1</v>
      </c>
      <c r="H2024" s="5" t="n">
        <v>45.88078129604444</v>
      </c>
      <c r="I2024" s="5" t="n">
        <v>43.74871700286389</v>
      </c>
      <c r="J2024" s="5" t="n">
        <v>45.02886880006667</v>
      </c>
      <c r="K2024" s="5" t="n">
        <v>33</v>
      </c>
    </row>
    <row r="2025">
      <c r="A2025" s="2" t="n">
        <v>46181.75</v>
      </c>
      <c r="B2025">
        <f>TEXT(A2025,"yyyy-mm")</f>
        <v/>
      </c>
      <c r="C2025" s="3">
        <f>HOUR(A2025)</f>
        <v/>
      </c>
      <c r="D2025" s="4" t="n">
        <v>26.24511856381111</v>
      </c>
      <c r="E2025" s="4" t="n">
        <v>28.17414210925833</v>
      </c>
      <c r="F2025" s="4" t="n">
        <v>27.99386626582778</v>
      </c>
      <c r="G2025" s="4" t="n">
        <v>26.2</v>
      </c>
      <c r="H2025" s="5" t="n">
        <v>40.674213534675</v>
      </c>
      <c r="I2025" s="5" t="n">
        <v>40.82611755352222</v>
      </c>
      <c r="J2025" s="5" t="n">
        <v>44.91794413163611</v>
      </c>
      <c r="K2025" s="5" t="n">
        <v>43</v>
      </c>
    </row>
    <row r="2026">
      <c r="A2026" s="2" t="n">
        <v>46181.79166666666</v>
      </c>
      <c r="B2026">
        <f>TEXT(A2026,"yyyy-mm")</f>
        <v/>
      </c>
      <c r="C2026" s="3">
        <f>HOUR(A2026)</f>
        <v/>
      </c>
      <c r="D2026" s="4" t="n">
        <v>25.65106553641667</v>
      </c>
      <c r="E2026" s="4" t="n">
        <v>27.92337923139445</v>
      </c>
      <c r="F2026" s="4" t="n">
        <v>27.947974368925</v>
      </c>
      <c r="G2026" s="4" t="n">
        <v>25.3</v>
      </c>
      <c r="H2026" s="5" t="n">
        <v>40.6117035604</v>
      </c>
      <c r="I2026" s="5" t="n">
        <v>39.37490770058056</v>
      </c>
      <c r="J2026" s="5" t="n">
        <v>44.83478259665834</v>
      </c>
      <c r="K2026" s="5" t="n">
        <v>47</v>
      </c>
    </row>
    <row r="2027">
      <c r="A2027" s="2" t="n">
        <v>46181.83333333334</v>
      </c>
      <c r="B2027">
        <f>TEXT(A2027,"yyyy-mm")</f>
        <v/>
      </c>
      <c r="C2027" s="3">
        <f>HOUR(A2027)</f>
        <v/>
      </c>
      <c r="D2027" s="4" t="n">
        <v>26.82675784488889</v>
      </c>
      <c r="E2027" s="4" t="n">
        <v>28.18405157139722</v>
      </c>
      <c r="F2027" s="4" t="n">
        <v>28.30199035621945</v>
      </c>
      <c r="G2027" s="4" t="n">
        <v>24.1</v>
      </c>
      <c r="H2027" s="5" t="n">
        <v>44.30185843261945</v>
      </c>
      <c r="I2027" s="5" t="n">
        <v>42.40725828811667</v>
      </c>
      <c r="J2027" s="5" t="n">
        <v>44.50833929289723</v>
      </c>
      <c r="K2027" s="5" t="n">
        <v>55</v>
      </c>
    </row>
    <row r="2028">
      <c r="A2028" s="2" t="n">
        <v>46181.875</v>
      </c>
      <c r="B2028">
        <f>TEXT(A2028,"yyyy-mm")</f>
        <v/>
      </c>
      <c r="C2028" s="3">
        <f>HOUR(A2028)</f>
        <v/>
      </c>
      <c r="D2028" s="4" t="n">
        <v>26.44737023864722</v>
      </c>
      <c r="E2028" s="4" t="n">
        <v>27.90030354492778</v>
      </c>
      <c r="F2028" s="4" t="n">
        <v>28.35816191875833</v>
      </c>
      <c r="G2028" s="4" t="n">
        <v>22.5</v>
      </c>
      <c r="H2028" s="5" t="n">
        <v>42.30236377296667</v>
      </c>
      <c r="I2028" s="5" t="n">
        <v>43.10885398579168</v>
      </c>
      <c r="J2028" s="5" t="n">
        <v>44.59441016525556</v>
      </c>
      <c r="K2028" s="5" t="n">
        <v>62</v>
      </c>
    </row>
    <row r="2029">
      <c r="A2029" s="2" t="n">
        <v>46181.91666666666</v>
      </c>
      <c r="B2029">
        <f>TEXT(A2029,"yyyy-mm")</f>
        <v/>
      </c>
      <c r="C2029" s="3">
        <f>HOUR(A2029)</f>
        <v/>
      </c>
      <c r="D2029" s="4" t="n">
        <v>25.53725215276389</v>
      </c>
      <c r="E2029" s="4" t="n">
        <v>27.95930855180278</v>
      </c>
      <c r="F2029" s="4" t="n">
        <v>28.41615170371666</v>
      </c>
      <c r="G2029" s="4" t="n">
        <v>21.4</v>
      </c>
      <c r="H2029" s="5" t="n">
        <v>45.35476423795556</v>
      </c>
      <c r="I2029" s="5" t="n">
        <v>42.61133576628889</v>
      </c>
      <c r="J2029" s="5" t="n">
        <v>45.54491640630278</v>
      </c>
      <c r="K2029" s="5" t="n">
        <v>66</v>
      </c>
    </row>
    <row r="2030">
      <c r="A2030" s="2" t="n">
        <v>46181.95833333334</v>
      </c>
      <c r="B2030">
        <f>TEXT(A2030,"yyyy-mm")</f>
        <v/>
      </c>
      <c r="C2030" s="3">
        <f>HOUR(A2030)</f>
        <v/>
      </c>
      <c r="D2030" s="4" t="n">
        <v>25.25063400363611</v>
      </c>
      <c r="E2030" s="4" t="n">
        <v>27.95201353688889</v>
      </c>
      <c r="F2030" s="4" t="n">
        <v>27.86828229662222</v>
      </c>
      <c r="G2030" s="4" t="n">
        <v>20.7</v>
      </c>
      <c r="H2030" s="5" t="n">
        <v>45.58355623721111</v>
      </c>
      <c r="I2030" s="5" t="n">
        <v>42.09335998019722</v>
      </c>
      <c r="J2030" s="5" t="n">
        <v>50.33053798248056</v>
      </c>
      <c r="K2030" s="5" t="n">
        <v>69</v>
      </c>
    </row>
    <row r="2031">
      <c r="A2031" s="2" t="n">
        <v>46182</v>
      </c>
      <c r="B2031">
        <f>TEXT(A2031,"yyyy-mm")</f>
        <v/>
      </c>
      <c r="C2031" s="3">
        <f>HOUR(A2031)</f>
        <v/>
      </c>
      <c r="D2031" s="4" t="n">
        <v>24.81020919454167</v>
      </c>
      <c r="E2031" s="4" t="n">
        <v>27.451561620975</v>
      </c>
      <c r="F2031" s="4" t="n">
        <v>28.27264560591109</v>
      </c>
      <c r="G2031" s="4" t="n">
        <v>20</v>
      </c>
      <c r="H2031" s="5" t="n">
        <v>46.89416578192223</v>
      </c>
      <c r="I2031" s="5" t="n">
        <v>43.07161748319722</v>
      </c>
      <c r="J2031" s="5" t="n">
        <v>48.43969416589229</v>
      </c>
      <c r="K2031" s="5" t="n">
        <v>71</v>
      </c>
    </row>
    <row r="2032">
      <c r="A2032" s="2" t="n">
        <v>46182.04166666666</v>
      </c>
      <c r="B2032">
        <f>TEXT(A2032,"yyyy-mm")</f>
        <v/>
      </c>
      <c r="C2032" s="3">
        <f>HOUR(A2032)</f>
        <v/>
      </c>
      <c r="D2032" s="4" t="n">
        <v>24.39342649310555</v>
      </c>
      <c r="E2032" s="4" t="n">
        <v>27.01057999570556</v>
      </c>
      <c r="F2032" s="4" t="n">
        <v>28.6501510843303</v>
      </c>
      <c r="G2032" s="4" t="n">
        <v>19.1</v>
      </c>
      <c r="H2032" s="5" t="n">
        <v>47.59396063188056</v>
      </c>
      <c r="I2032" s="5" t="n">
        <v>42.91496755800555</v>
      </c>
      <c r="J2032" s="5" t="n">
        <v>48.31623002278202</v>
      </c>
      <c r="K2032" s="5" t="n">
        <v>75</v>
      </c>
    </row>
    <row r="2033">
      <c r="A2033" s="2" t="n">
        <v>46182.08333333334</v>
      </c>
      <c r="B2033">
        <f>TEXT(A2033,"yyyy-mm")</f>
        <v/>
      </c>
      <c r="C2033" s="3">
        <f>HOUR(A2033)</f>
        <v/>
      </c>
      <c r="D2033" s="4" t="n">
        <v>24.06470646544722</v>
      </c>
      <c r="E2033" s="4" t="n">
        <v>26.72990143828056</v>
      </c>
      <c r="F2033" s="4" t="n">
        <v>28.35580273223068</v>
      </c>
      <c r="G2033" s="4" t="n">
        <v>18.3</v>
      </c>
      <c r="H2033" s="5" t="n">
        <v>47.94604147791944</v>
      </c>
      <c r="I2033" s="5" t="n">
        <v>42.58064131566389</v>
      </c>
      <c r="J2033" s="5" t="n">
        <v>47.34429236077091</v>
      </c>
      <c r="K2033" s="5" t="n">
        <v>79</v>
      </c>
    </row>
    <row r="2034">
      <c r="A2034" s="2" t="n">
        <v>46182.125</v>
      </c>
      <c r="B2034">
        <f>TEXT(A2034,"yyyy-mm")</f>
        <v/>
      </c>
      <c r="C2034" s="3">
        <f>HOUR(A2034)</f>
        <v/>
      </c>
      <c r="D2034" s="4" t="n">
        <v>23.77787354547222</v>
      </c>
      <c r="E2034" s="4" t="n">
        <v>26.53169859796111</v>
      </c>
      <c r="F2034" s="4" t="n">
        <v>28.06380607926667</v>
      </c>
      <c r="G2034" s="4" t="n">
        <v>17.1</v>
      </c>
      <c r="H2034" s="5" t="n">
        <v>48.29812119257778</v>
      </c>
      <c r="I2034" s="5" t="n">
        <v>42.43747899681111</v>
      </c>
      <c r="J2034" s="5" t="n">
        <v>47.53103846380834</v>
      </c>
      <c r="K2034" s="5" t="n">
        <v>90</v>
      </c>
    </row>
    <row r="2035">
      <c r="A2035" s="2" t="n">
        <v>46182.16666666666</v>
      </c>
      <c r="B2035">
        <f>TEXT(A2035,"yyyy-mm")</f>
        <v/>
      </c>
      <c r="C2035" s="3">
        <f>HOUR(A2035)</f>
        <v/>
      </c>
      <c r="D2035" s="4" t="n">
        <v>23.78348801408333</v>
      </c>
      <c r="E2035" s="4" t="n">
        <v>26.44017740603611</v>
      </c>
      <c r="F2035" s="4" t="n">
        <v>27.99537717495833</v>
      </c>
      <c r="G2035" s="4" t="n">
        <v>16.2</v>
      </c>
      <c r="H2035" s="5" t="n">
        <v>48.20323391964445</v>
      </c>
      <c r="I2035" s="5" t="n">
        <v>42.31592115308889</v>
      </c>
      <c r="J2035" s="5" t="n">
        <v>47.38212603932222</v>
      </c>
      <c r="K2035" s="5" t="n">
        <v>93</v>
      </c>
    </row>
    <row r="2036">
      <c r="A2036" s="2" t="n">
        <v>46182.20833333334</v>
      </c>
      <c r="B2036">
        <f>TEXT(A2036,"yyyy-mm")</f>
        <v/>
      </c>
      <c r="C2036" s="3">
        <f>HOUR(A2036)</f>
        <v/>
      </c>
      <c r="D2036" s="4" t="n">
        <v>24.11248895268056</v>
      </c>
      <c r="E2036" s="4" t="n">
        <v>26.48546186353889</v>
      </c>
      <c r="F2036" s="4" t="n">
        <v>27.81903601506111</v>
      </c>
      <c r="G2036" s="4" t="n">
        <v>15.9</v>
      </c>
      <c r="H2036" s="5" t="n">
        <v>47.31064809336389</v>
      </c>
      <c r="I2036" s="5" t="n">
        <v>42.23368911369722</v>
      </c>
      <c r="J2036" s="5" t="n">
        <v>47.53527377792222</v>
      </c>
      <c r="K2036" s="5" t="n">
        <v>93</v>
      </c>
    </row>
    <row r="2037">
      <c r="A2037" s="2" t="n">
        <v>46182.25</v>
      </c>
      <c r="B2037">
        <f>TEXT(A2037,"yyyy-mm")</f>
        <v/>
      </c>
      <c r="C2037" s="3">
        <f>HOUR(A2037)</f>
        <v/>
      </c>
      <c r="D2037" s="4" t="n">
        <v>25.31776125185556</v>
      </c>
      <c r="E2037" s="4" t="n">
        <v>26.82638693307223</v>
      </c>
      <c r="F2037" s="4" t="n">
        <v>27.84610528279167</v>
      </c>
      <c r="G2037" s="4" t="n">
        <v>16.7</v>
      </c>
      <c r="H2037" s="5" t="n">
        <v>44.4957547258</v>
      </c>
      <c r="I2037" s="5" t="n">
        <v>42.12591541897778</v>
      </c>
      <c r="J2037" s="5" t="n">
        <v>47.40090675413611</v>
      </c>
      <c r="K2037" s="5" t="n">
        <v>88</v>
      </c>
    </row>
    <row r="2038">
      <c r="A2038" s="2" t="n">
        <v>46182.29166666666</v>
      </c>
      <c r="B2038">
        <f>TEXT(A2038,"yyyy-mm")</f>
        <v/>
      </c>
      <c r="C2038" s="3">
        <f>HOUR(A2038)</f>
        <v/>
      </c>
      <c r="D2038" s="4" t="n">
        <v>26.36976959587222</v>
      </c>
      <c r="E2038" s="4" t="n">
        <v>27.33923164244445</v>
      </c>
      <c r="F2038" s="4" t="n">
        <v>27.93956444278889</v>
      </c>
      <c r="G2038" s="4" t="n">
        <v>18.4</v>
      </c>
      <c r="H2038" s="5" t="n">
        <v>43.247937470275</v>
      </c>
      <c r="I2038" s="5" t="n">
        <v>41.85593763187778</v>
      </c>
      <c r="J2038" s="5" t="n">
        <v>47.17272898754445</v>
      </c>
      <c r="K2038" s="5" t="n">
        <v>79</v>
      </c>
    </row>
    <row r="2039">
      <c r="A2039" s="2" t="n">
        <v>46182.33333333334</v>
      </c>
      <c r="B2039">
        <f>TEXT(A2039,"yyyy-mm")</f>
        <v/>
      </c>
      <c r="C2039" s="3">
        <f>HOUR(A2039)</f>
        <v/>
      </c>
      <c r="D2039" s="4" t="n">
        <v>27.21290030244167</v>
      </c>
      <c r="E2039" s="4" t="n">
        <v>27.64671211846944</v>
      </c>
      <c r="F2039" s="4" t="n">
        <v>28.05671304499445</v>
      </c>
      <c r="G2039" s="4" t="n">
        <v>20.4</v>
      </c>
      <c r="H2039" s="5" t="n">
        <v>42.96459122256667</v>
      </c>
      <c r="I2039" s="5" t="n">
        <v>42.51330648639166</v>
      </c>
      <c r="J2039" s="5" t="n">
        <v>46.92972963546111</v>
      </c>
      <c r="K2039" s="5" t="n">
        <v>69</v>
      </c>
    </row>
    <row r="2040">
      <c r="A2040" s="2" t="n">
        <v>46182.375</v>
      </c>
      <c r="B2040">
        <f>TEXT(A2040,"yyyy-mm")</f>
        <v/>
      </c>
      <c r="C2040" s="3">
        <f>HOUR(A2040)</f>
        <v/>
      </c>
      <c r="D2040" s="4" t="n">
        <v>27.69757656376112</v>
      </c>
      <c r="E2040" s="4" t="n">
        <v>28.13008407300555</v>
      </c>
      <c r="F2040" s="4" t="n">
        <v>28.08654533046111</v>
      </c>
      <c r="G2040" s="4" t="n">
        <v>22.7</v>
      </c>
      <c r="H2040" s="5" t="n">
        <v>43.29128622279723</v>
      </c>
      <c r="I2040" s="5" t="n">
        <v>42.54063436489722</v>
      </c>
      <c r="J2040" s="5" t="n">
        <v>46.98242186346112</v>
      </c>
      <c r="K2040" s="5" t="n">
        <v>60</v>
      </c>
    </row>
    <row r="2041">
      <c r="A2041" s="2" t="n">
        <v>46182.41666666666</v>
      </c>
      <c r="B2041">
        <f>TEXT(A2041,"yyyy-mm")</f>
        <v/>
      </c>
      <c r="C2041" s="3">
        <f>HOUR(A2041)</f>
        <v/>
      </c>
      <c r="D2041" s="4" t="n">
        <v>27.83376443267778</v>
      </c>
      <c r="E2041" s="4" t="n">
        <v>28.34033807294444</v>
      </c>
      <c r="F2041" s="4" t="n">
        <v>27.95458558419167</v>
      </c>
      <c r="G2041" s="4" t="n">
        <v>23.9</v>
      </c>
      <c r="H2041" s="5" t="n">
        <v>43.09094061463333</v>
      </c>
      <c r="I2041" s="5" t="n">
        <v>42.03769443592223</v>
      </c>
      <c r="J2041" s="5" t="n">
        <v>47.34259891121945</v>
      </c>
      <c r="K2041" s="5" t="n">
        <v>56</v>
      </c>
    </row>
    <row r="2042">
      <c r="A2042" s="2" t="n">
        <v>46182.45833333334</v>
      </c>
      <c r="B2042">
        <f>TEXT(A2042,"yyyy-mm")</f>
        <v/>
      </c>
      <c r="C2042" s="3">
        <f>HOUR(A2042)</f>
        <v/>
      </c>
      <c r="D2042" s="4" t="n">
        <v>27.92149437387778</v>
      </c>
      <c r="E2042" s="4" t="n">
        <v>28.63649599949167</v>
      </c>
      <c r="F2042" s="4" t="n">
        <v>27.97616396465556</v>
      </c>
      <c r="G2042" s="4" t="n">
        <v>24.8</v>
      </c>
      <c r="H2042" s="5" t="n">
        <v>43.25618456674167</v>
      </c>
      <c r="I2042" s="5" t="n">
        <v>44.47526356858333</v>
      </c>
      <c r="J2042" s="5" t="n">
        <v>47.45469077685556</v>
      </c>
      <c r="K2042" s="5" t="n">
        <v>54</v>
      </c>
    </row>
    <row r="2043">
      <c r="A2043" s="2" t="n">
        <v>46182.5</v>
      </c>
      <c r="B2043">
        <f>TEXT(A2043,"yyyy-mm")</f>
        <v/>
      </c>
      <c r="C2043" s="3">
        <f>HOUR(A2043)</f>
        <v/>
      </c>
      <c r="D2043" s="4" t="n">
        <v>27.79860733698056</v>
      </c>
      <c r="E2043" s="4" t="n">
        <v>28.83188950699722</v>
      </c>
      <c r="F2043" s="4" t="n">
        <v>27.9926390051</v>
      </c>
      <c r="G2043" s="4" t="n">
        <v>25.5</v>
      </c>
      <c r="H2043" s="5" t="n">
        <v>42.67895374713056</v>
      </c>
      <c r="I2043" s="5" t="n">
        <v>43.06764352837222</v>
      </c>
      <c r="J2043" s="5" t="n">
        <v>47.34445891250556</v>
      </c>
      <c r="K2043" s="5" t="n">
        <v>50</v>
      </c>
    </row>
    <row r="2044">
      <c r="A2044" s="2" t="n">
        <v>46182.54166666666</v>
      </c>
      <c r="B2044">
        <f>TEXT(A2044,"yyyy-mm")</f>
        <v/>
      </c>
      <c r="C2044" s="3">
        <f>HOUR(A2044)</f>
        <v/>
      </c>
      <c r="D2044" s="4" t="n">
        <v>27.75192973109167</v>
      </c>
      <c r="E2044" s="4" t="n">
        <v>28.7523062213</v>
      </c>
      <c r="F2044" s="4" t="n">
        <v>28.01294098284444</v>
      </c>
      <c r="G2044" s="4" t="n">
        <v>26.2</v>
      </c>
      <c r="H2044" s="5" t="n">
        <v>42.78423331395555</v>
      </c>
      <c r="I2044" s="5" t="n">
        <v>42.33206718798333</v>
      </c>
      <c r="J2044" s="5" t="n">
        <v>47.47187639460278</v>
      </c>
      <c r="K2044" s="5" t="n">
        <v>48</v>
      </c>
    </row>
    <row r="2045">
      <c r="A2045" s="2" t="n">
        <v>46182.58333333334</v>
      </c>
      <c r="B2045">
        <f>TEXT(A2045,"yyyy-mm")</f>
        <v/>
      </c>
      <c r="C2045" s="3">
        <f>HOUR(A2045)</f>
        <v/>
      </c>
      <c r="D2045" s="4" t="n">
        <v>27.72772214282778</v>
      </c>
      <c r="E2045" s="4" t="n">
        <v>28.76905896128611</v>
      </c>
      <c r="F2045" s="4" t="n">
        <v>28.0616379634</v>
      </c>
      <c r="G2045" s="4" t="n">
        <v>26.6</v>
      </c>
      <c r="H2045" s="5" t="n">
        <v>42.77626669278334</v>
      </c>
      <c r="I2045" s="5" t="n">
        <v>43.63209291964167</v>
      </c>
      <c r="J2045" s="5" t="n">
        <v>47.942329928375</v>
      </c>
      <c r="K2045" s="5" t="n">
        <v>45</v>
      </c>
    </row>
    <row r="2046">
      <c r="A2046" s="2" t="n">
        <v>46182.625</v>
      </c>
      <c r="B2046">
        <f>TEXT(A2046,"yyyy-mm")</f>
        <v/>
      </c>
      <c r="C2046" s="3">
        <f>HOUR(A2046)</f>
        <v/>
      </c>
      <c r="D2046" s="4" t="n">
        <v>27.81667679389722</v>
      </c>
      <c r="E2046" s="4" t="n">
        <v>28.52557009598889</v>
      </c>
      <c r="F2046" s="4" t="n">
        <v>28.072165924325</v>
      </c>
      <c r="G2046" s="4" t="n">
        <v>26.8</v>
      </c>
      <c r="H2046" s="5" t="n">
        <v>38.86119286508611</v>
      </c>
      <c r="I2046" s="5" t="n">
        <v>41.54606328586389</v>
      </c>
      <c r="J2046" s="5" t="n">
        <v>47.60321251601111</v>
      </c>
      <c r="K2046" s="5" t="n">
        <v>43</v>
      </c>
    </row>
    <row r="2047">
      <c r="A2047" s="2" t="n">
        <v>46182.66666666666</v>
      </c>
      <c r="B2047">
        <f>TEXT(A2047,"yyyy-mm")</f>
        <v/>
      </c>
      <c r="C2047" s="3">
        <f>HOUR(A2047)</f>
        <v/>
      </c>
      <c r="D2047" s="4" t="n">
        <v>27.91695283020277</v>
      </c>
      <c r="E2047" s="4" t="n">
        <v>28.46707848235833</v>
      </c>
      <c r="F2047" s="4" t="n">
        <v>28.08380369620556</v>
      </c>
      <c r="G2047" s="4" t="n">
        <v>26.9</v>
      </c>
      <c r="H2047" s="5" t="n">
        <v>36.78020362073055</v>
      </c>
      <c r="I2047" s="5" t="n">
        <v>39.23373119749722</v>
      </c>
      <c r="J2047" s="5" t="n">
        <v>47.4174902217861</v>
      </c>
      <c r="K2047" s="5" t="n">
        <v>41</v>
      </c>
    </row>
    <row r="2048">
      <c r="A2048" s="2" t="n">
        <v>46182.70833333334</v>
      </c>
      <c r="B2048">
        <f>TEXT(A2048,"yyyy-mm")</f>
        <v/>
      </c>
      <c r="C2048" s="3">
        <f>HOUR(A2048)</f>
        <v/>
      </c>
      <c r="D2048" s="4" t="n">
        <v>27.76229660016666</v>
      </c>
      <c r="E2048" s="4" t="n">
        <v>28.55429229901111</v>
      </c>
      <c r="F2048" s="4" t="n">
        <v>28.50451248552222</v>
      </c>
      <c r="G2048" s="4" t="n">
        <v>26.5</v>
      </c>
      <c r="H2048" s="5" t="n">
        <v>35.89493554746944</v>
      </c>
      <c r="I2048" s="5" t="n">
        <v>37.97850390071667</v>
      </c>
      <c r="J2048" s="5" t="n">
        <v>46.55379628351389</v>
      </c>
      <c r="K2048" s="5" t="n">
        <v>42</v>
      </c>
    </row>
    <row r="2049">
      <c r="A2049" s="2" t="n">
        <v>46182.75</v>
      </c>
      <c r="B2049">
        <f>TEXT(A2049,"yyyy-mm")</f>
        <v/>
      </c>
      <c r="C2049" s="3">
        <f>HOUR(A2049)</f>
        <v/>
      </c>
      <c r="D2049" s="4" t="n">
        <v>27.49643411528334</v>
      </c>
      <c r="E2049" s="4" t="n">
        <v>28.70891052285</v>
      </c>
      <c r="F2049" s="4" t="n"/>
      <c r="G2049" s="4" t="n">
        <v>25.9</v>
      </c>
      <c r="H2049" s="5" t="n">
        <v>36.34190917105001</v>
      </c>
      <c r="I2049" s="5" t="n">
        <v>38.79224118559999</v>
      </c>
      <c r="J2049" s="5" t="n"/>
      <c r="K2049" s="5" t="n">
        <v>44</v>
      </c>
    </row>
    <row r="2050">
      <c r="A2050" s="2" t="n">
        <v>46182.79166666666</v>
      </c>
      <c r="B2050">
        <f>TEXT(A2050,"yyyy-mm")</f>
        <v/>
      </c>
      <c r="C2050" s="3">
        <f>HOUR(A2050)</f>
        <v/>
      </c>
      <c r="D2050" s="4" t="n"/>
      <c r="E2050" s="4" t="n"/>
      <c r="F2050" s="4" t="n"/>
      <c r="G2050" s="4" t="n">
        <v>25.1</v>
      </c>
      <c r="H2050" s="5" t="n"/>
      <c r="I2050" s="5" t="n"/>
      <c r="J2050" s="5" t="n"/>
      <c r="K2050" s="5" t="n">
        <v>45</v>
      </c>
    </row>
    <row r="2051">
      <c r="A2051" s="2" t="n">
        <v>46182.83333333334</v>
      </c>
      <c r="B2051">
        <f>TEXT(A2051,"yyyy-mm")</f>
        <v/>
      </c>
      <c r="C2051" s="3">
        <f>HOUR(A2051)</f>
        <v/>
      </c>
      <c r="D2051" s="4" t="n"/>
      <c r="E2051" s="4" t="n"/>
      <c r="F2051" s="4" t="n"/>
      <c r="G2051" s="4" t="n">
        <v>24</v>
      </c>
      <c r="H2051" s="5" t="n"/>
      <c r="I2051" s="5" t="n"/>
      <c r="J2051" s="5" t="n"/>
      <c r="K2051" s="5" t="n">
        <v>50</v>
      </c>
    </row>
    <row r="2052">
      <c r="A2052" s="2" t="n">
        <v>46182.875</v>
      </c>
      <c r="B2052">
        <f>TEXT(A2052,"yyyy-mm")</f>
        <v/>
      </c>
      <c r="C2052" s="3">
        <f>HOUR(A2052)</f>
        <v/>
      </c>
      <c r="D2052" s="4" t="n"/>
      <c r="E2052" s="4" t="n"/>
      <c r="F2052" s="4" t="n"/>
      <c r="G2052" s="4" t="n">
        <v>23.4</v>
      </c>
      <c r="H2052" s="5" t="n"/>
      <c r="I2052" s="5" t="n"/>
      <c r="J2052" s="5" t="n"/>
      <c r="K2052" s="5" t="n">
        <v>52</v>
      </c>
    </row>
    <row r="2053">
      <c r="A2053" s="2" t="n">
        <v>46182.91666666666</v>
      </c>
      <c r="B2053">
        <f>TEXT(A2053,"yyyy-mm")</f>
        <v/>
      </c>
      <c r="C2053" s="3">
        <f>HOUR(A2053)</f>
        <v/>
      </c>
      <c r="D2053" s="4" t="n">
        <v>26.54584013207243</v>
      </c>
      <c r="E2053" s="4" t="n">
        <v>28.556651110394</v>
      </c>
      <c r="F2053" s="4" t="n"/>
      <c r="G2053" s="4" t="n">
        <v>22.2</v>
      </c>
      <c r="H2053" s="5" t="n">
        <v>40.87264263534438</v>
      </c>
      <c r="I2053" s="5" t="n">
        <v>38.72924683901436</v>
      </c>
      <c r="J2053" s="5" t="n"/>
      <c r="K2053" s="5" t="n">
        <v>56</v>
      </c>
    </row>
    <row r="2054">
      <c r="A2054" s="2" t="n">
        <v>46182.95833333334</v>
      </c>
      <c r="B2054">
        <f>TEXT(A2054,"yyyy-mm")</f>
        <v/>
      </c>
      <c r="C2054" s="3">
        <f>HOUR(A2054)</f>
        <v/>
      </c>
      <c r="D2054" s="4" t="n">
        <v>26.3689710031</v>
      </c>
      <c r="E2054" s="4" t="n">
        <v>28.44376717050833</v>
      </c>
      <c r="F2054" s="4" t="n"/>
      <c r="G2054" s="4" t="n">
        <v>21</v>
      </c>
      <c r="H2054" s="5" t="n">
        <v>41.482362328675</v>
      </c>
      <c r="I2054" s="5" t="n">
        <v>38.915639322</v>
      </c>
      <c r="J2054" s="5" t="n"/>
      <c r="K2054" s="5" t="n">
        <v>61</v>
      </c>
    </row>
    <row r="2055">
      <c r="A2055" s="2" t="n">
        <v>46183</v>
      </c>
      <c r="B2055">
        <f>TEXT(A2055,"yyyy-mm")</f>
        <v/>
      </c>
      <c r="C2055" s="3">
        <f>HOUR(A2055)</f>
        <v/>
      </c>
      <c r="D2055" s="4" t="n"/>
      <c r="E2055" s="4" t="n"/>
      <c r="F2055" s="4" t="n"/>
      <c r="G2055" s="4" t="n">
        <v>20.1</v>
      </c>
      <c r="H2055" s="5" t="n"/>
      <c r="I2055" s="5" t="n"/>
      <c r="J2055" s="5" t="n"/>
      <c r="K2055" s="5" t="n">
        <v>66</v>
      </c>
    </row>
    <row r="2056">
      <c r="A2056" s="2" t="n">
        <v>46183.04166666666</v>
      </c>
      <c r="B2056">
        <f>TEXT(A2056,"yyyy-mm")</f>
        <v/>
      </c>
      <c r="C2056" s="3">
        <f>HOUR(A2056)</f>
        <v/>
      </c>
      <c r="D2056" s="4" t="n"/>
      <c r="E2056" s="4" t="n"/>
      <c r="F2056" s="4" t="n"/>
      <c r="G2056" s="4" t="n">
        <v>19.5</v>
      </c>
      <c r="H2056" s="5" t="n"/>
      <c r="I2056" s="5" t="n"/>
      <c r="J2056" s="5" t="n"/>
      <c r="K2056" s="5" t="n">
        <v>68</v>
      </c>
    </row>
    <row r="2057">
      <c r="A2057" s="2" t="n">
        <v>46183.08333333334</v>
      </c>
      <c r="B2057">
        <f>TEXT(A2057,"yyyy-mm")</f>
        <v/>
      </c>
      <c r="C2057" s="3">
        <f>HOUR(A2057)</f>
        <v/>
      </c>
      <c r="D2057" s="4" t="n"/>
      <c r="E2057" s="4" t="n"/>
      <c r="F2057" s="4" t="n"/>
      <c r="G2057" s="4" t="n">
        <v>18.6</v>
      </c>
      <c r="H2057" s="5" t="n"/>
      <c r="I2057" s="5" t="n"/>
      <c r="J2057" s="5" t="n"/>
      <c r="K2057" s="5" t="n">
        <v>72</v>
      </c>
    </row>
    <row r="2058">
      <c r="A2058" s="2" t="n">
        <v>46183.125</v>
      </c>
      <c r="B2058">
        <f>TEXT(A2058,"yyyy-mm")</f>
        <v/>
      </c>
      <c r="C2058" s="3">
        <f>HOUR(A2058)</f>
        <v/>
      </c>
      <c r="D2058" s="4" t="n"/>
      <c r="E2058" s="4" t="n"/>
      <c r="F2058" s="4" t="n"/>
      <c r="G2058" s="4" t="n">
        <v>17.4</v>
      </c>
      <c r="H2058" s="5" t="n"/>
      <c r="I2058" s="5" t="n"/>
      <c r="J2058" s="5" t="n"/>
      <c r="K2058" s="5" t="n">
        <v>80</v>
      </c>
    </row>
    <row r="2059">
      <c r="A2059" s="2" t="n">
        <v>46183.16666666666</v>
      </c>
      <c r="B2059">
        <f>TEXT(A2059,"yyyy-mm")</f>
        <v/>
      </c>
      <c r="C2059" s="3">
        <f>HOUR(A2059)</f>
        <v/>
      </c>
      <c r="D2059" s="4" t="n"/>
      <c r="E2059" s="4" t="n"/>
      <c r="F2059" s="4" t="n"/>
      <c r="G2059" s="4" t="n">
        <v>16.5</v>
      </c>
      <c r="H2059" s="5" t="n"/>
      <c r="I2059" s="5" t="n"/>
      <c r="J2059" s="5" t="n"/>
      <c r="K2059" s="5" t="n">
        <v>86</v>
      </c>
    </row>
    <row r="2060">
      <c r="A2060" s="2" t="n">
        <v>46183.20833333334</v>
      </c>
      <c r="B2060">
        <f>TEXT(A2060,"yyyy-mm")</f>
        <v/>
      </c>
      <c r="C2060" s="3">
        <f>HOUR(A2060)</f>
        <v/>
      </c>
      <c r="D2060" s="4" t="n"/>
      <c r="E2060" s="4" t="n"/>
      <c r="F2060" s="4" t="n"/>
      <c r="G2060" s="4" t="n">
        <v>16.2</v>
      </c>
      <c r="H2060" s="5" t="n"/>
      <c r="I2060" s="5" t="n"/>
      <c r="J2060" s="5" t="n"/>
      <c r="K2060" s="5" t="n">
        <v>89</v>
      </c>
    </row>
    <row r="2061">
      <c r="A2061" s="2" t="n">
        <v>46183.25</v>
      </c>
      <c r="B2061">
        <f>TEXT(A2061,"yyyy-mm")</f>
        <v/>
      </c>
      <c r="C2061" s="3">
        <f>HOUR(A2061)</f>
        <v/>
      </c>
      <c r="D2061" s="4" t="n"/>
      <c r="E2061" s="4" t="n"/>
      <c r="F2061" s="4" t="n"/>
      <c r="G2061" s="4" t="n">
        <v>16.9</v>
      </c>
      <c r="H2061" s="5" t="n"/>
      <c r="I2061" s="5" t="n"/>
      <c r="J2061" s="5" t="n"/>
      <c r="K2061" s="5" t="n">
        <v>85</v>
      </c>
    </row>
    <row r="2062">
      <c r="A2062" s="2" t="n">
        <v>46183.29166666666</v>
      </c>
      <c r="B2062">
        <f>TEXT(A2062,"yyyy-mm")</f>
        <v/>
      </c>
      <c r="C2062" s="3">
        <f>HOUR(A2062)</f>
        <v/>
      </c>
      <c r="D2062" s="4" t="n"/>
      <c r="E2062" s="4" t="n"/>
      <c r="F2062" s="4" t="n"/>
      <c r="G2062" s="4" t="n">
        <v>18.6</v>
      </c>
      <c r="H2062" s="5" t="n"/>
      <c r="I2062" s="5" t="n"/>
      <c r="J2062" s="5" t="n"/>
      <c r="K2062" s="5" t="n">
        <v>77</v>
      </c>
    </row>
    <row r="2063">
      <c r="A2063" s="2" t="n">
        <v>46183.33333333334</v>
      </c>
      <c r="B2063">
        <f>TEXT(A2063,"yyyy-mm")</f>
        <v/>
      </c>
      <c r="C2063" s="3">
        <f>HOUR(A2063)</f>
        <v/>
      </c>
      <c r="D2063" s="4" t="n"/>
      <c r="E2063" s="4" t="n"/>
      <c r="F2063" s="4" t="n"/>
      <c r="G2063" s="4" t="n">
        <v>20.5</v>
      </c>
      <c r="H2063" s="5" t="n"/>
      <c r="I2063" s="5" t="n"/>
      <c r="J2063" s="5" t="n"/>
      <c r="K2063" s="5" t="n">
        <v>67</v>
      </c>
    </row>
    <row r="2064">
      <c r="A2064" s="2" t="n">
        <v>46183.375</v>
      </c>
      <c r="B2064">
        <f>TEXT(A2064,"yyyy-mm")</f>
        <v/>
      </c>
      <c r="C2064" s="3">
        <f>HOUR(A2064)</f>
        <v/>
      </c>
      <c r="D2064" s="4" t="n"/>
      <c r="E2064" s="4" t="n"/>
      <c r="F2064" s="4" t="n"/>
      <c r="G2064" s="4" t="n">
        <v>22.6</v>
      </c>
      <c r="H2064" s="5" t="n"/>
      <c r="I2064" s="5" t="n"/>
      <c r="J2064" s="5" t="n"/>
      <c r="K2064" s="5" t="n">
        <v>57</v>
      </c>
    </row>
    <row r="2065">
      <c r="A2065" s="2" t="n">
        <v>46183.41666666666</v>
      </c>
      <c r="B2065">
        <f>TEXT(A2065,"yyyy-mm")</f>
        <v/>
      </c>
      <c r="C2065" s="3">
        <f>HOUR(A2065)</f>
        <v/>
      </c>
      <c r="D2065" s="4" t="n"/>
      <c r="E2065" s="4" t="n"/>
      <c r="F2065" s="4" t="n"/>
      <c r="G2065" s="4" t="n">
        <v>23.6</v>
      </c>
      <c r="H2065" s="5" t="n"/>
      <c r="I2065" s="5" t="n"/>
      <c r="J2065" s="5" t="n"/>
      <c r="K2065" s="5" t="n">
        <v>52</v>
      </c>
    </row>
    <row r="2066">
      <c r="A2066" s="2" t="n">
        <v>46183.45833333334</v>
      </c>
      <c r="B2066">
        <f>TEXT(A2066,"yyyy-mm")</f>
        <v/>
      </c>
      <c r="C2066" s="3">
        <f>HOUR(A2066)</f>
        <v/>
      </c>
      <c r="D2066" s="4" t="n"/>
      <c r="E2066" s="4" t="n"/>
      <c r="F2066" s="4" t="n"/>
      <c r="G2066" s="4" t="n">
        <v>24.3</v>
      </c>
      <c r="H2066" s="5" t="n"/>
      <c r="I2066" s="5" t="n"/>
      <c r="J2066" s="5" t="n"/>
      <c r="K2066" s="5" t="n">
        <v>48</v>
      </c>
    </row>
    <row r="2067">
      <c r="A2067" s="2" t="n">
        <v>46183.5</v>
      </c>
      <c r="B2067">
        <f>TEXT(A2067,"yyyy-mm")</f>
        <v/>
      </c>
      <c r="C2067" s="3">
        <f>HOUR(A2067)</f>
        <v/>
      </c>
      <c r="D2067" s="4" t="n"/>
      <c r="E2067" s="4" t="n"/>
      <c r="F2067" s="4" t="n"/>
      <c r="G2067" s="4" t="n">
        <v>25.2</v>
      </c>
      <c r="H2067" s="5" t="n"/>
      <c r="I2067" s="5" t="n"/>
      <c r="J2067" s="5" t="n"/>
      <c r="K2067" s="5" t="n">
        <v>47</v>
      </c>
    </row>
    <row r="2068">
      <c r="A2068" s="2" t="n">
        <v>46183.54166666666</v>
      </c>
      <c r="B2068">
        <f>TEXT(A2068,"yyyy-mm")</f>
        <v/>
      </c>
      <c r="C2068" s="3">
        <f>HOUR(A2068)</f>
        <v/>
      </c>
      <c r="D2068" s="4" t="n"/>
      <c r="E2068" s="4" t="n"/>
      <c r="F2068" s="4" t="n"/>
      <c r="G2068" s="4" t="n">
        <v>26.7</v>
      </c>
      <c r="H2068" s="5" t="n"/>
      <c r="I2068" s="5" t="n"/>
      <c r="J2068" s="5" t="n"/>
      <c r="K2068" s="5" t="n">
        <v>44</v>
      </c>
    </row>
    <row r="2069">
      <c r="A2069" s="2" t="n">
        <v>46183.58333333334</v>
      </c>
      <c r="B2069">
        <f>TEXT(A2069,"yyyy-mm")</f>
        <v/>
      </c>
      <c r="C2069" s="3">
        <f>HOUR(A2069)</f>
        <v/>
      </c>
      <c r="D2069" s="4" t="n"/>
      <c r="E2069" s="4" t="n"/>
      <c r="F2069" s="4" t="n"/>
      <c r="G2069" s="4" t="n">
        <v>27.3</v>
      </c>
      <c r="H2069" s="5" t="n"/>
      <c r="I2069" s="5" t="n"/>
      <c r="J2069" s="5" t="n"/>
      <c r="K2069" s="5" t="n">
        <v>42</v>
      </c>
    </row>
    <row r="2070">
      <c r="A2070" s="2" t="n">
        <v>46183.625</v>
      </c>
      <c r="B2070">
        <f>TEXT(A2070,"yyyy-mm")</f>
        <v/>
      </c>
      <c r="C2070" s="3">
        <f>HOUR(A2070)</f>
        <v/>
      </c>
      <c r="D2070" s="4" t="n">
        <v>26.70151335328905</v>
      </c>
      <c r="E2070" s="4" t="n">
        <v>27.87133627552357</v>
      </c>
      <c r="F2070" s="4" t="n">
        <v>27.81728991693296</v>
      </c>
      <c r="G2070" s="4" t="n">
        <v>27.4</v>
      </c>
      <c r="H2070" s="5" t="n">
        <v>38.16573934037638</v>
      </c>
      <c r="I2070" s="5" t="n">
        <v>36.97345124993</v>
      </c>
      <c r="J2070" s="5" t="n">
        <v>45.264056246807</v>
      </c>
      <c r="K2070" s="5" t="n">
        <v>42</v>
      </c>
    </row>
    <row r="2071">
      <c r="A2071" s="2" t="n">
        <v>46183.66666666666</v>
      </c>
      <c r="B2071">
        <f>TEXT(A2071,"yyyy-mm")</f>
        <v/>
      </c>
      <c r="C2071" s="3">
        <f>HOUR(A2071)</f>
        <v/>
      </c>
      <c r="D2071" s="4" t="n">
        <v>25.44446149245277</v>
      </c>
      <c r="E2071" s="4" t="n">
        <v>27.52853700211945</v>
      </c>
      <c r="F2071" s="4" t="n">
        <v>27.18288780545278</v>
      </c>
      <c r="G2071" s="4" t="n">
        <v>27.6</v>
      </c>
      <c r="H2071" s="5" t="n">
        <v>34.099224347875</v>
      </c>
      <c r="I2071" s="5" t="n">
        <v>32.73028918893333</v>
      </c>
      <c r="J2071" s="5" t="n">
        <v>43.31029834866112</v>
      </c>
      <c r="K2071" s="5" t="n">
        <v>41</v>
      </c>
    </row>
    <row r="2072">
      <c r="A2072" s="2" t="n">
        <v>46183.70833333334</v>
      </c>
      <c r="B2072">
        <f>TEXT(A2072,"yyyy-mm")</f>
        <v/>
      </c>
      <c r="C2072" s="3">
        <f>HOUR(A2072)</f>
        <v/>
      </c>
      <c r="D2072" s="4" t="n">
        <v>26.25443041679722</v>
      </c>
      <c r="E2072" s="4" t="n">
        <v>27.8573924561</v>
      </c>
      <c r="F2072" s="4" t="n">
        <v>27.67725028895278</v>
      </c>
      <c r="G2072" s="4" t="n">
        <v>27.4</v>
      </c>
      <c r="H2072" s="5" t="n">
        <v>37.36659305106944</v>
      </c>
      <c r="I2072" s="5" t="n">
        <v>36.09619714136389</v>
      </c>
      <c r="J2072" s="5" t="n">
        <v>43.41432050633056</v>
      </c>
      <c r="K2072" s="5" t="n">
        <v>41</v>
      </c>
    </row>
    <row r="2073">
      <c r="A2073" s="2" t="n">
        <v>46183.75</v>
      </c>
      <c r="B2073">
        <f>TEXT(A2073,"yyyy-mm")</f>
        <v/>
      </c>
      <c r="C2073" s="3">
        <f>HOUR(A2073)</f>
        <v/>
      </c>
      <c r="D2073" s="4" t="n">
        <v>27.30027694129722</v>
      </c>
      <c r="E2073" s="4" t="n">
        <v>28.32526784231666</v>
      </c>
      <c r="F2073" s="4" t="n">
        <v>28.30593316920873</v>
      </c>
      <c r="G2073" s="4" t="n">
        <v>26.9</v>
      </c>
      <c r="H2073" s="5" t="n">
        <v>41.28898194113334</v>
      </c>
      <c r="I2073" s="5" t="n">
        <v>39.68917152316112</v>
      </c>
      <c r="J2073" s="5" t="n">
        <v>44.30467238832053</v>
      </c>
      <c r="K2073" s="5" t="n">
        <v>43</v>
      </c>
    </row>
    <row r="2074">
      <c r="A2074" s="2" t="n">
        <v>46183.79166666666</v>
      </c>
      <c r="B2074">
        <f>TEXT(A2074,"yyyy-mm")</f>
        <v/>
      </c>
      <c r="C2074" s="3">
        <f>HOUR(A2074)</f>
        <v/>
      </c>
      <c r="D2074" s="4" t="n">
        <v>27.63067308646111</v>
      </c>
      <c r="E2074" s="4" t="n">
        <v>28.23039788035</v>
      </c>
      <c r="F2074" s="4" t="n">
        <v>28.32625023236389</v>
      </c>
      <c r="G2074" s="4" t="n">
        <v>26.3</v>
      </c>
      <c r="H2074" s="5" t="n">
        <v>41.80783199264167</v>
      </c>
      <c r="I2074" s="5" t="n">
        <v>40.49371963434167</v>
      </c>
      <c r="J2074" s="5" t="n">
        <v>45.77285482493611</v>
      </c>
      <c r="K2074" s="5" t="n">
        <v>44</v>
      </c>
    </row>
    <row r="2075">
      <c r="A2075" s="2" t="n">
        <v>46183.83333333334</v>
      </c>
      <c r="B2075">
        <f>TEXT(A2075,"yyyy-mm")</f>
        <v/>
      </c>
      <c r="C2075" s="3">
        <f>HOUR(A2075)</f>
        <v/>
      </c>
      <c r="D2075" s="4" t="n">
        <v>27.7733972909</v>
      </c>
      <c r="E2075" s="4" t="n">
        <v>28.12530565389167</v>
      </c>
      <c r="F2075" s="4" t="n">
        <v>28.43105476133056</v>
      </c>
      <c r="G2075" s="4" t="n">
        <v>24.7</v>
      </c>
      <c r="H2075" s="5" t="n">
        <v>41.61982897438889</v>
      </c>
      <c r="I2075" s="5" t="n">
        <v>40.84438601675556</v>
      </c>
      <c r="J2075" s="5" t="n">
        <v>45.44958513042778</v>
      </c>
      <c r="K2075" s="5" t="n">
        <v>50</v>
      </c>
    </row>
    <row r="2076">
      <c r="A2076" s="2" t="n">
        <v>46183.875</v>
      </c>
      <c r="B2076">
        <f>TEXT(A2076,"yyyy-mm")</f>
        <v/>
      </c>
      <c r="C2076" s="3">
        <f>HOUR(A2076)</f>
        <v/>
      </c>
      <c r="D2076" s="4" t="n">
        <v>27.76659462026667</v>
      </c>
      <c r="E2076" s="4" t="n">
        <v>28.09331587496667</v>
      </c>
      <c r="F2076" s="4" t="n">
        <v>28.4819313221</v>
      </c>
      <c r="G2076" s="4" t="n">
        <v>23.5</v>
      </c>
      <c r="H2076" s="5" t="n">
        <v>41.58624029887222</v>
      </c>
      <c r="I2076" s="5" t="n">
        <v>41.59812286917222</v>
      </c>
      <c r="J2076" s="5" t="n">
        <v>45.45265627661112</v>
      </c>
      <c r="K2076" s="5" t="n">
        <v>58</v>
      </c>
    </row>
    <row r="2077">
      <c r="A2077" s="2" t="n">
        <v>46183.91666666666</v>
      </c>
      <c r="B2077">
        <f>TEXT(A2077,"yyyy-mm")</f>
        <v/>
      </c>
      <c r="C2077" s="3">
        <f>HOUR(A2077)</f>
        <v/>
      </c>
      <c r="D2077" s="4" t="n">
        <v>27.24071416085833</v>
      </c>
      <c r="E2077" s="4" t="n">
        <v>28.29045546699722</v>
      </c>
      <c r="F2077" s="4" t="n">
        <v>28.57459993038612</v>
      </c>
      <c r="G2077" s="4" t="n">
        <v>22.6</v>
      </c>
      <c r="H2077" s="5" t="n">
        <v>42.45337052385278</v>
      </c>
      <c r="I2077" s="5" t="n">
        <v>43.47495038603333</v>
      </c>
      <c r="J2077" s="5" t="n">
        <v>45.83359140565</v>
      </c>
      <c r="K2077" s="5" t="n">
        <v>64</v>
      </c>
    </row>
    <row r="2078">
      <c r="A2078" s="2" t="n">
        <v>46183.95833333334</v>
      </c>
      <c r="B2078">
        <f>TEXT(A2078,"yyyy-mm")</f>
        <v/>
      </c>
      <c r="C2078" s="3">
        <f>HOUR(A2078)</f>
        <v/>
      </c>
      <c r="D2078" s="4" t="n">
        <v>26.6023050584</v>
      </c>
      <c r="E2078" s="4" t="n">
        <v>28.24434487305833</v>
      </c>
      <c r="F2078" s="4" t="n">
        <v>28.75662810425</v>
      </c>
      <c r="G2078" s="4" t="n">
        <v>21.7</v>
      </c>
      <c r="H2078" s="5" t="n">
        <v>44.40034238996667</v>
      </c>
      <c r="I2078" s="5" t="n">
        <v>43.28775111213333</v>
      </c>
      <c r="J2078" s="5" t="n">
        <v>48.95406676251111</v>
      </c>
      <c r="K2078" s="5" t="n">
        <v>70</v>
      </c>
    </row>
    <row r="2079">
      <c r="A2079" s="2" t="n">
        <v>46184</v>
      </c>
      <c r="B2079">
        <f>TEXT(A2079,"yyyy-mm")</f>
        <v/>
      </c>
      <c r="C2079" s="3">
        <f>HOUR(A2079)</f>
        <v/>
      </c>
      <c r="D2079" s="4" t="n">
        <v>26.99645801538611</v>
      </c>
      <c r="E2079" s="4" t="n">
        <v>28.29145813547222</v>
      </c>
      <c r="F2079" s="4" t="n">
        <v>28.26171988793056</v>
      </c>
      <c r="G2079" s="4" t="n">
        <v>20.7</v>
      </c>
      <c r="H2079" s="5" t="n">
        <v>42.81854174414445</v>
      </c>
      <c r="I2079" s="5" t="n">
        <v>41.53146470720278</v>
      </c>
      <c r="J2079" s="5" t="n">
        <v>50.42904500541389</v>
      </c>
      <c r="K2079" s="5" t="n">
        <v>76</v>
      </c>
    </row>
    <row r="2080">
      <c r="A2080" s="2" t="n">
        <v>46184.04166666666</v>
      </c>
      <c r="B2080">
        <f>TEXT(A2080,"yyyy-mm")</f>
        <v/>
      </c>
      <c r="C2080" s="3">
        <f>HOUR(A2080)</f>
        <v/>
      </c>
      <c r="D2080" s="4" t="n">
        <v>25.083737664575</v>
      </c>
      <c r="E2080" s="4" t="n">
        <v>27.40782463671389</v>
      </c>
      <c r="F2080" s="4" t="n">
        <v>28.50752012868334</v>
      </c>
      <c r="G2080" s="4" t="n">
        <v>19.8</v>
      </c>
      <c r="H2080" s="5" t="n">
        <v>42.35511288128056</v>
      </c>
      <c r="I2080" s="5" t="n">
        <v>38.64073070489167</v>
      </c>
      <c r="J2080" s="5" t="n">
        <v>48.28794617235555</v>
      </c>
      <c r="K2080" s="5" t="n">
        <v>81</v>
      </c>
    </row>
    <row r="2081">
      <c r="A2081" s="2" t="n">
        <v>46184.08333333334</v>
      </c>
      <c r="B2081">
        <f>TEXT(A2081,"yyyy-mm")</f>
        <v/>
      </c>
      <c r="C2081" s="3">
        <f>HOUR(A2081)</f>
        <v/>
      </c>
      <c r="D2081" s="4" t="n">
        <v>24.35621737988611</v>
      </c>
      <c r="E2081" s="4" t="n">
        <v>26.81171135280556</v>
      </c>
      <c r="F2081" s="4" t="n">
        <v>28.423379983325</v>
      </c>
      <c r="G2081" s="4" t="n">
        <v>19.3</v>
      </c>
      <c r="H2081" s="5" t="n">
        <v>46.70511206198334</v>
      </c>
      <c r="I2081" s="5" t="n">
        <v>40.24872391750278</v>
      </c>
      <c r="J2081" s="5" t="n">
        <v>47.26321451116667</v>
      </c>
      <c r="K2081" s="5" t="n">
        <v>84</v>
      </c>
    </row>
    <row r="2082">
      <c r="A2082" s="2" t="n">
        <v>46184.125</v>
      </c>
      <c r="B2082">
        <f>TEXT(A2082,"yyyy-mm")</f>
        <v/>
      </c>
      <c r="C2082" s="3">
        <f>HOUR(A2082)</f>
        <v/>
      </c>
      <c r="D2082" s="4" t="n">
        <v>24.33616094495</v>
      </c>
      <c r="E2082" s="4" t="n">
        <v>27.28590130359722</v>
      </c>
      <c r="F2082" s="4" t="n">
        <v>28.47414139381389</v>
      </c>
      <c r="G2082" s="4" t="n">
        <v>18.6</v>
      </c>
      <c r="H2082" s="5" t="n">
        <v>50.53096951707222</v>
      </c>
      <c r="I2082" s="5" t="n">
        <v>43.7405187473</v>
      </c>
      <c r="J2082" s="5" t="n">
        <v>47.56704175289167</v>
      </c>
      <c r="K2082" s="5" t="n">
        <v>82</v>
      </c>
    </row>
    <row r="2083">
      <c r="A2083" s="2" t="n">
        <v>46184.16666666666</v>
      </c>
      <c r="B2083">
        <f>TEXT(A2083,"yyyy-mm")</f>
        <v/>
      </c>
      <c r="C2083" s="3">
        <f>HOUR(A2083)</f>
        <v/>
      </c>
      <c r="D2083" s="4" t="n">
        <v>24.25780814099167</v>
      </c>
      <c r="E2083" s="4" t="n">
        <v>27.29629814056111</v>
      </c>
      <c r="F2083" s="4" t="n">
        <v>28.44281008821389</v>
      </c>
      <c r="G2083" s="4" t="n">
        <v>18.1</v>
      </c>
      <c r="H2083" s="5" t="n">
        <v>51.03107464140834</v>
      </c>
      <c r="I2083" s="5" t="n">
        <v>44.05360615489167</v>
      </c>
      <c r="J2083" s="5" t="n">
        <v>47.73687255788889</v>
      </c>
      <c r="K2083" s="5" t="n">
        <v>85</v>
      </c>
    </row>
    <row r="2084">
      <c r="A2084" s="2" t="n">
        <v>46184.20833333334</v>
      </c>
      <c r="B2084">
        <f>TEXT(A2084,"yyyy-mm")</f>
        <v/>
      </c>
      <c r="C2084" s="3">
        <f>HOUR(A2084)</f>
        <v/>
      </c>
      <c r="D2084" s="4" t="n">
        <v>25.18045453006944</v>
      </c>
      <c r="E2084" s="4" t="n">
        <v>27.40693248140833</v>
      </c>
      <c r="F2084" s="4" t="n">
        <v>28.44819595045556</v>
      </c>
      <c r="G2084" s="4" t="n">
        <v>17.9</v>
      </c>
      <c r="H2084" s="5" t="n">
        <v>48.44038642824166</v>
      </c>
      <c r="I2084" s="5" t="n">
        <v>44.27209467577777</v>
      </c>
      <c r="J2084" s="5" t="n">
        <v>47.72875276463611</v>
      </c>
      <c r="K2084" s="5" t="n">
        <v>85</v>
      </c>
    </row>
    <row r="2085">
      <c r="A2085" s="2" t="n">
        <v>46184.25</v>
      </c>
      <c r="B2085">
        <f>TEXT(A2085,"yyyy-mm")</f>
        <v/>
      </c>
      <c r="C2085" s="3">
        <f>HOUR(A2085)</f>
        <v/>
      </c>
      <c r="D2085" s="4" t="n">
        <v>26.72611873125</v>
      </c>
      <c r="E2085" s="4" t="n">
        <v>27.47258342916111</v>
      </c>
      <c r="F2085" s="4" t="n">
        <v>28.43724105717222</v>
      </c>
      <c r="G2085" s="4" t="n">
        <v>18.8</v>
      </c>
      <c r="H2085" s="5" t="n">
        <v>44.66465707391666</v>
      </c>
      <c r="I2085" s="5" t="n">
        <v>43.69921643065278</v>
      </c>
      <c r="J2085" s="5" t="n">
        <v>47.66703142620833</v>
      </c>
      <c r="K2085" s="5" t="n">
        <v>82</v>
      </c>
    </row>
    <row r="2086">
      <c r="A2086" s="2" t="n">
        <v>46184.29166666666</v>
      </c>
      <c r="B2086">
        <f>TEXT(A2086,"yyyy-mm")</f>
        <v/>
      </c>
      <c r="C2086" s="3">
        <f>HOUR(A2086)</f>
        <v/>
      </c>
      <c r="D2086" s="4" t="n">
        <v>27.74331581103334</v>
      </c>
      <c r="E2086" s="4" t="n">
        <v>28.07379378139722</v>
      </c>
      <c r="F2086" s="4" t="n">
        <v>28.4807119581</v>
      </c>
      <c r="G2086" s="4" t="n">
        <v>20.7</v>
      </c>
      <c r="H2086" s="5" t="n">
        <v>43.52385785057778</v>
      </c>
      <c r="I2086" s="5" t="n">
        <v>42.50622325448333</v>
      </c>
      <c r="J2086" s="5" t="n">
        <v>47.51202609434722</v>
      </c>
      <c r="K2086" s="5" t="n">
        <v>72</v>
      </c>
    </row>
    <row r="2087">
      <c r="A2087" s="2" t="n">
        <v>46184.33333333334</v>
      </c>
      <c r="B2087">
        <f>TEXT(A2087,"yyyy-mm")</f>
        <v/>
      </c>
      <c r="C2087" s="3">
        <f>HOUR(A2087)</f>
        <v/>
      </c>
      <c r="D2087" s="4" t="n">
        <v>28.50276692821944</v>
      </c>
      <c r="E2087" s="4" t="n">
        <v>28.78174897688889</v>
      </c>
      <c r="F2087" s="4" t="n">
        <v>28.55566585928056</v>
      </c>
      <c r="G2087" s="4" t="n">
        <v>23</v>
      </c>
      <c r="H2087" s="5" t="n">
        <v>42.41246318738055</v>
      </c>
      <c r="I2087" s="5" t="n">
        <v>41.47085303929166</v>
      </c>
      <c r="J2087" s="5" t="n">
        <v>47.405248450475</v>
      </c>
      <c r="K2087" s="5" t="n">
        <v>61</v>
      </c>
    </row>
    <row r="2088">
      <c r="A2088" s="2" t="n">
        <v>46184.375</v>
      </c>
      <c r="B2088">
        <f>TEXT(A2088,"yyyy-mm")</f>
        <v/>
      </c>
      <c r="C2088" s="3">
        <f>HOUR(A2088)</f>
        <v/>
      </c>
      <c r="D2088" s="4" t="n">
        <v>29.71145772407223</v>
      </c>
      <c r="E2088" s="4" t="n">
        <v>29.094468987375</v>
      </c>
      <c r="F2088" s="4" t="n">
        <v>28.60155318106111</v>
      </c>
      <c r="G2088" s="4" t="n">
        <v>25.8</v>
      </c>
      <c r="H2088" s="5" t="n">
        <v>38.75415286254167</v>
      </c>
      <c r="I2088" s="5" t="n">
        <v>39.457800881475</v>
      </c>
      <c r="J2088" s="5" t="n">
        <v>47.54037761583889</v>
      </c>
      <c r="K2088" s="5" t="n">
        <v>49</v>
      </c>
    </row>
    <row r="2089">
      <c r="A2089" s="2" t="n">
        <v>46184.41666666666</v>
      </c>
      <c r="B2089">
        <f>TEXT(A2089,"yyyy-mm")</f>
        <v/>
      </c>
      <c r="C2089" s="3">
        <f>HOUR(A2089)</f>
        <v/>
      </c>
      <c r="D2089" s="4" t="n">
        <v>28.81024238128889</v>
      </c>
      <c r="E2089" s="4" t="n">
        <v>29.38331686774444</v>
      </c>
      <c r="F2089" s="4" t="n">
        <v>28.73385692281389</v>
      </c>
      <c r="G2089" s="4" t="n">
        <v>27.2</v>
      </c>
      <c r="H2089" s="5" t="n">
        <v>38.37538869283333</v>
      </c>
      <c r="I2089" s="5" t="n">
        <v>38.14987168976944</v>
      </c>
      <c r="J2089" s="5" t="n">
        <v>47.36936626446666</v>
      </c>
      <c r="K2089" s="5" t="n">
        <v>43</v>
      </c>
    </row>
    <row r="2090">
      <c r="A2090" s="2" t="n">
        <v>46184.45833333334</v>
      </c>
      <c r="B2090">
        <f>TEXT(A2090,"yyyy-mm")</f>
        <v/>
      </c>
      <c r="C2090" s="3">
        <f>HOUR(A2090)</f>
        <v/>
      </c>
      <c r="D2090" s="4" t="n">
        <v>28.27067272229445</v>
      </c>
      <c r="E2090" s="4" t="n">
        <v>29.38478614499722</v>
      </c>
      <c r="F2090" s="4" t="n">
        <v>28.80177381896388</v>
      </c>
      <c r="G2090" s="4" t="n">
        <v>28</v>
      </c>
      <c r="H2090" s="5" t="n">
        <v>37.53830896389445</v>
      </c>
      <c r="I2090" s="5" t="n">
        <v>37.70069509010001</v>
      </c>
      <c r="J2090" s="5" t="n">
        <v>47.80015933053611</v>
      </c>
      <c r="K2090" s="5" t="n">
        <v>39</v>
      </c>
    </row>
    <row r="2091">
      <c r="A2091" s="2" t="n">
        <v>46184.5</v>
      </c>
      <c r="B2091">
        <f>TEXT(A2091,"yyyy-mm")</f>
        <v/>
      </c>
      <c r="C2091" s="3">
        <f>HOUR(A2091)</f>
        <v/>
      </c>
      <c r="D2091" s="4" t="n">
        <v>27.16252240153889</v>
      </c>
      <c r="E2091" s="4" t="n">
        <v>28.74723529897778</v>
      </c>
      <c r="F2091" s="4" t="n">
        <v>28.65937742405833</v>
      </c>
      <c r="G2091" s="4" t="n">
        <v>29</v>
      </c>
      <c r="H2091" s="5" t="n">
        <v>34.36281586439166</v>
      </c>
      <c r="I2091" s="5" t="n">
        <v>34.34158880814444</v>
      </c>
      <c r="J2091" s="5" t="n">
        <v>47.46939180815833</v>
      </c>
      <c r="K2091" s="5" t="n">
        <v>37</v>
      </c>
    </row>
    <row r="2092">
      <c r="A2092" s="2" t="n">
        <v>46184.54166666666</v>
      </c>
      <c r="B2092">
        <f>TEXT(A2092,"yyyy-mm")</f>
        <v/>
      </c>
      <c r="C2092" s="3">
        <f>HOUR(A2092)</f>
        <v/>
      </c>
      <c r="D2092" s="4" t="n">
        <v>25.9443003525</v>
      </c>
      <c r="E2092" s="4" t="n">
        <v>27.79208847016111</v>
      </c>
      <c r="F2092" s="4" t="n">
        <v>28.56944817588055</v>
      </c>
      <c r="G2092" s="4" t="n">
        <v>29.9</v>
      </c>
      <c r="H2092" s="5" t="n">
        <v>33.77691946508611</v>
      </c>
      <c r="I2092" s="5" t="n">
        <v>33.28646623818612</v>
      </c>
      <c r="J2092" s="5" t="n">
        <v>47.14733850655833</v>
      </c>
      <c r="K2092" s="5" t="n">
        <v>34</v>
      </c>
    </row>
    <row r="2093">
      <c r="A2093" s="2" t="n">
        <v>46184.58333333334</v>
      </c>
      <c r="B2093">
        <f>TEXT(A2093,"yyyy-mm")</f>
        <v/>
      </c>
      <c r="C2093" s="3">
        <f>HOUR(A2093)</f>
        <v/>
      </c>
      <c r="D2093" s="4" t="n">
        <v>25.54781535305278</v>
      </c>
      <c r="E2093" s="4" t="n">
        <v>27.54962059714444</v>
      </c>
      <c r="F2093" s="4" t="n">
        <v>28.30344145589444</v>
      </c>
      <c r="G2093" s="4" t="n">
        <v>29.8</v>
      </c>
      <c r="H2093" s="5" t="n">
        <v>33.51622172397778</v>
      </c>
      <c r="I2093" s="5" t="n">
        <v>32.25965602040278</v>
      </c>
      <c r="J2093" s="5" t="n">
        <v>44.66082705862223</v>
      </c>
      <c r="K2093" s="5" t="n">
        <v>34</v>
      </c>
    </row>
    <row r="2094">
      <c r="A2094" s="2" t="n">
        <v>46184.625</v>
      </c>
      <c r="B2094">
        <f>TEXT(A2094,"yyyy-mm")</f>
        <v/>
      </c>
      <c r="C2094" s="3">
        <f>HOUR(A2094)</f>
        <v/>
      </c>
      <c r="D2094" s="4" t="n">
        <v>25.29277889599722</v>
      </c>
      <c r="E2094" s="4" t="n">
        <v>27.27419593255833</v>
      </c>
      <c r="F2094" s="4" t="n">
        <v>28.29451524405278</v>
      </c>
      <c r="G2094" s="4" t="n">
        <v>28.8</v>
      </c>
      <c r="H2094" s="5" t="n">
        <v>33.17125915966667</v>
      </c>
      <c r="I2094" s="5" t="n">
        <v>31.61301893078056</v>
      </c>
      <c r="J2094" s="5" t="n">
        <v>44.30348690901111</v>
      </c>
      <c r="K2094" s="5" t="n">
        <v>37</v>
      </c>
    </row>
    <row r="2095">
      <c r="A2095" s="2" t="n">
        <v>46184.66666666666</v>
      </c>
      <c r="B2095">
        <f>TEXT(A2095,"yyyy-mm")</f>
        <v/>
      </c>
      <c r="C2095" s="3">
        <f>HOUR(A2095)</f>
        <v/>
      </c>
      <c r="D2095" s="4" t="n">
        <v>25.78889226491111</v>
      </c>
      <c r="E2095" s="4" t="n">
        <v>27.53354104764722</v>
      </c>
      <c r="F2095" s="4" t="n">
        <v>28.56772061624167</v>
      </c>
      <c r="G2095" s="4" t="n">
        <v>29.3</v>
      </c>
      <c r="H2095" s="5" t="n">
        <v>37.64559770450001</v>
      </c>
      <c r="I2095" s="5" t="n">
        <v>35.80675179659445</v>
      </c>
      <c r="J2095" s="5" t="n">
        <v>45.11091551460834</v>
      </c>
      <c r="K2095" s="5" t="n">
        <v>34</v>
      </c>
    </row>
    <row r="2096">
      <c r="A2096" s="2" t="n">
        <v>46184.70833333334</v>
      </c>
      <c r="B2096">
        <f>TEXT(A2096,"yyyy-mm")</f>
        <v/>
      </c>
      <c r="C2096" s="3">
        <f>HOUR(A2096)</f>
        <v/>
      </c>
      <c r="D2096" s="4" t="n">
        <v>27.22418292412222</v>
      </c>
      <c r="E2096" s="4" t="n">
        <v>28.03884436379444</v>
      </c>
      <c r="F2096" s="4" t="n">
        <v>28.79835267166944</v>
      </c>
      <c r="G2096" s="4" t="n">
        <v>29.2</v>
      </c>
      <c r="H2096" s="5" t="n">
        <v>45.36524542034444</v>
      </c>
      <c r="I2096" s="5" t="n">
        <v>44.49572595414167</v>
      </c>
      <c r="J2096" s="5" t="n">
        <v>45.79441481493056</v>
      </c>
      <c r="K2096" s="5" t="n">
        <v>32</v>
      </c>
    </row>
    <row r="2097">
      <c r="A2097" s="2" t="n">
        <v>46184.75</v>
      </c>
      <c r="B2097">
        <f>TEXT(A2097,"yyyy-mm")</f>
        <v/>
      </c>
      <c r="C2097" s="3">
        <f>HOUR(A2097)</f>
        <v/>
      </c>
      <c r="D2097" s="4" t="n">
        <v>27.44477587689722</v>
      </c>
      <c r="E2097" s="4" t="n">
        <v>28.17706452100278</v>
      </c>
      <c r="F2097" s="4" t="n">
        <v>29.11191854696667</v>
      </c>
      <c r="G2097" s="4" t="n">
        <v>27.6</v>
      </c>
      <c r="H2097" s="5" t="n">
        <v>47.75638290007222</v>
      </c>
      <c r="I2097" s="5" t="n">
        <v>47.05123543392222</v>
      </c>
      <c r="J2097" s="5" t="n">
        <v>47.77764615740555</v>
      </c>
      <c r="K2097" s="5" t="n">
        <v>37</v>
      </c>
    </row>
    <row r="2098">
      <c r="A2098" s="2" t="n">
        <v>46184.79166666666</v>
      </c>
      <c r="B2098">
        <f>TEXT(A2098,"yyyy-mm")</f>
        <v/>
      </c>
      <c r="C2098" s="3">
        <f>HOUR(A2098)</f>
        <v/>
      </c>
      <c r="D2098" s="4" t="n">
        <v>25.62672299841944</v>
      </c>
      <c r="E2098" s="4" t="n">
        <v>27.34660900635</v>
      </c>
      <c r="F2098" s="4" t="n">
        <v>29.08168597830278</v>
      </c>
      <c r="G2098" s="4" t="n">
        <v>26.2</v>
      </c>
      <c r="H2098" s="5" t="n">
        <v>39.20516120142222</v>
      </c>
      <c r="I2098" s="5" t="n">
        <v>37.75938737081389</v>
      </c>
      <c r="J2098" s="5" t="n">
        <v>47.98616254144167</v>
      </c>
      <c r="K2098" s="5" t="n">
        <v>43</v>
      </c>
    </row>
    <row r="2099">
      <c r="A2099" s="2" t="n">
        <v>46184.83333333334</v>
      </c>
      <c r="B2099">
        <f>TEXT(A2099,"yyyy-mm")</f>
        <v/>
      </c>
      <c r="C2099" s="3">
        <f>HOUR(A2099)</f>
        <v/>
      </c>
      <c r="D2099" s="4" t="n">
        <v>26.03077731276389</v>
      </c>
      <c r="E2099" s="4" t="n">
        <v>27.583808595725</v>
      </c>
      <c r="F2099" s="4" t="n">
        <v>28.73153992664167</v>
      </c>
      <c r="G2099" s="4" t="n">
        <v>25.3</v>
      </c>
      <c r="H2099" s="5" t="n">
        <v>40.70667488495834</v>
      </c>
      <c r="I2099" s="5" t="n">
        <v>38.61811648042222</v>
      </c>
      <c r="J2099" s="5" t="n">
        <v>47.57685250576389</v>
      </c>
      <c r="K2099" s="5" t="n">
        <v>49</v>
      </c>
    </row>
    <row r="2100">
      <c r="A2100" s="2" t="n">
        <v>46184.875</v>
      </c>
      <c r="B2100">
        <f>TEXT(A2100,"yyyy-mm")</f>
        <v/>
      </c>
      <c r="C2100" s="3">
        <f>HOUR(A2100)</f>
        <v/>
      </c>
      <c r="D2100" s="4" t="n">
        <v>27.3475769836</v>
      </c>
      <c r="E2100" s="4" t="n">
        <v>28.35361649789166</v>
      </c>
      <c r="F2100" s="4" t="n">
        <v>28.72804936163333</v>
      </c>
      <c r="G2100" s="4" t="n">
        <v>23.9</v>
      </c>
      <c r="H2100" s="5" t="n">
        <v>44.78870423079723</v>
      </c>
      <c r="I2100" s="5" t="n">
        <v>45.04897831361667</v>
      </c>
      <c r="J2100" s="5" t="n">
        <v>49.76763265930556</v>
      </c>
      <c r="K2100" s="5" t="n">
        <v>55</v>
      </c>
    </row>
    <row r="2101">
      <c r="A2101" s="2" t="n">
        <v>46184.91666666666</v>
      </c>
      <c r="B2101">
        <f>TEXT(A2101,"yyyy-mm")</f>
        <v/>
      </c>
      <c r="C2101" s="3">
        <f>HOUR(A2101)</f>
        <v/>
      </c>
      <c r="D2101" s="4" t="n">
        <v>26.90943275131945</v>
      </c>
      <c r="E2101" s="4" t="n">
        <v>28.08311427816111</v>
      </c>
      <c r="F2101" s="4" t="n">
        <v>28.94741072443611</v>
      </c>
      <c r="G2101" s="4" t="n">
        <v>22.5</v>
      </c>
      <c r="H2101" s="5" t="n">
        <v>43.97423597644166</v>
      </c>
      <c r="I2101" s="5" t="n">
        <v>43.67823331826389</v>
      </c>
      <c r="J2101" s="5" t="n">
        <v>50.51715651210833</v>
      </c>
      <c r="K2101" s="5" t="n">
        <v>64</v>
      </c>
    </row>
    <row r="2102">
      <c r="A2102" s="2" t="n">
        <v>46184.95833333334</v>
      </c>
      <c r="B2102">
        <f>TEXT(A2102,"yyyy-mm")</f>
        <v/>
      </c>
      <c r="C2102" s="3">
        <f>HOUR(A2102)</f>
        <v/>
      </c>
      <c r="D2102" s="4" t="n">
        <v>25.53858357832222</v>
      </c>
      <c r="E2102" s="4" t="n">
        <v>27.263599042275</v>
      </c>
      <c r="F2102" s="4" t="n">
        <v>29.21391770793333</v>
      </c>
      <c r="G2102" s="4" t="n">
        <v>21.5</v>
      </c>
      <c r="H2102" s="5" t="n">
        <v>38.010829606975</v>
      </c>
      <c r="I2102" s="5" t="n">
        <v>36.54533275824444</v>
      </c>
      <c r="J2102" s="5" t="n">
        <v>47.59996336301666</v>
      </c>
      <c r="K2102" s="5" t="n">
        <v>71</v>
      </c>
    </row>
    <row r="2103">
      <c r="A2103" s="2" t="n">
        <v>46185</v>
      </c>
      <c r="B2103">
        <f>TEXT(A2103,"yyyy-mm")</f>
        <v/>
      </c>
      <c r="C2103" s="3">
        <f>HOUR(A2103)</f>
        <v/>
      </c>
      <c r="D2103" s="4" t="n">
        <v>26.53469029576667</v>
      </c>
      <c r="E2103" s="4" t="n">
        <v>28.01024983376389</v>
      </c>
      <c r="F2103" s="4" t="n">
        <v>29.07985485208055</v>
      </c>
      <c r="G2103" s="4" t="n">
        <v>20.8</v>
      </c>
      <c r="H2103" s="5" t="n">
        <v>40.61270707441389</v>
      </c>
      <c r="I2103" s="5" t="n">
        <v>39.49013225398889</v>
      </c>
      <c r="J2103" s="5" t="n">
        <v>47.16303565177222</v>
      </c>
      <c r="K2103" s="5" t="n">
        <v>76</v>
      </c>
    </row>
    <row r="2104">
      <c r="A2104" s="2" t="n">
        <v>46185.04166666666</v>
      </c>
      <c r="B2104">
        <f>TEXT(A2104,"yyyy-mm")</f>
        <v/>
      </c>
      <c r="C2104" s="3">
        <f>HOUR(A2104)</f>
        <v/>
      </c>
      <c r="D2104" s="4" t="n">
        <v>25.2042387656</v>
      </c>
      <c r="E2104" s="4" t="n">
        <v>27.33610306653611</v>
      </c>
      <c r="F2104" s="4" t="n">
        <v>29.02868600847222</v>
      </c>
      <c r="G2104" s="4" t="n">
        <v>20.4</v>
      </c>
      <c r="H2104" s="5" t="n">
        <v>34.48563031988333</v>
      </c>
      <c r="I2104" s="5" t="n">
        <v>33.15872175082222</v>
      </c>
      <c r="J2104" s="5" t="n">
        <v>45.88845257060556</v>
      </c>
      <c r="K2104" s="5" t="n">
        <v>78</v>
      </c>
    </row>
    <row r="2105">
      <c r="A2105" s="2" t="n">
        <v>46185.08333333334</v>
      </c>
      <c r="B2105">
        <f>TEXT(A2105,"yyyy-mm")</f>
        <v/>
      </c>
      <c r="C2105" s="3">
        <f>HOUR(A2105)</f>
        <v/>
      </c>
      <c r="D2105" s="4" t="n">
        <v>24.21939087626111</v>
      </c>
      <c r="E2105" s="4" t="n">
        <v>26.97434352824445</v>
      </c>
      <c r="F2105" s="4" t="n">
        <v>28.98296520963611</v>
      </c>
      <c r="G2105" s="4" t="n">
        <v>20.1</v>
      </c>
      <c r="H2105" s="5" t="n">
        <v>36.70114705885833</v>
      </c>
      <c r="I2105" s="5" t="n">
        <v>33.29714101131945</v>
      </c>
      <c r="J2105" s="5" t="n">
        <v>44.62838602606389</v>
      </c>
      <c r="K2105" s="5" t="n">
        <v>79</v>
      </c>
    </row>
    <row r="2106">
      <c r="A2106" s="2" t="n">
        <v>46185.125</v>
      </c>
      <c r="B2106">
        <f>TEXT(A2106,"yyyy-mm")</f>
        <v/>
      </c>
      <c r="C2106" s="3">
        <f>HOUR(A2106)</f>
        <v/>
      </c>
      <c r="D2106" s="4" t="n">
        <v>26.00248247568056</v>
      </c>
      <c r="E2106" s="4" t="n">
        <v>27.23220309964723</v>
      </c>
      <c r="F2106" s="4" t="n">
        <v>29.05270794461389</v>
      </c>
      <c r="G2106" s="4" t="n">
        <v>19.9</v>
      </c>
      <c r="H2106" s="5" t="n">
        <v>40.15583560580556</v>
      </c>
      <c r="I2106" s="5" t="n">
        <v>37.97109709782778</v>
      </c>
      <c r="J2106" s="5" t="n">
        <v>45.45864493593056</v>
      </c>
      <c r="K2106" s="5" t="n">
        <v>77</v>
      </c>
    </row>
    <row r="2107">
      <c r="A2107" s="2" t="n">
        <v>46185.16666666666</v>
      </c>
      <c r="B2107">
        <f>TEXT(A2107,"yyyy-mm")</f>
        <v/>
      </c>
      <c r="C2107" s="3">
        <f>HOUR(A2107)</f>
        <v/>
      </c>
      <c r="D2107" s="4" t="n">
        <v>25.409599915575</v>
      </c>
      <c r="E2107" s="4" t="n">
        <v>27.44530174693056</v>
      </c>
      <c r="F2107" s="4" t="n">
        <v>29.1600429961</v>
      </c>
      <c r="G2107" s="4" t="n">
        <v>19.4</v>
      </c>
      <c r="H2107" s="5" t="n">
        <v>48.63928586673055</v>
      </c>
      <c r="I2107" s="5" t="n">
        <v>41.78485859085279</v>
      </c>
      <c r="J2107" s="5" t="n">
        <v>45.9530888551</v>
      </c>
      <c r="K2107" s="5" t="n">
        <v>79</v>
      </c>
    </row>
    <row r="2108">
      <c r="A2108" s="2" t="n">
        <v>46185.20833333334</v>
      </c>
      <c r="B2108">
        <f>TEXT(A2108,"yyyy-mm")</f>
        <v/>
      </c>
      <c r="C2108" s="3">
        <f>HOUR(A2108)</f>
        <v/>
      </c>
      <c r="D2108" s="4" t="n">
        <v>25.48986821834722</v>
      </c>
      <c r="E2108" s="4" t="n">
        <v>27.47696976857777</v>
      </c>
      <c r="F2108" s="4" t="n">
        <v>29.155562182525</v>
      </c>
      <c r="G2108" s="4" t="n">
        <v>18.8</v>
      </c>
      <c r="H2108" s="5" t="n">
        <v>50.6570783461861</v>
      </c>
      <c r="I2108" s="5" t="n">
        <v>44.39729520558611</v>
      </c>
      <c r="J2108" s="5" t="n">
        <v>46.47039286389722</v>
      </c>
      <c r="K2108" s="5" t="n">
        <v>81</v>
      </c>
    </row>
    <row r="2109">
      <c r="A2109" s="2" t="n">
        <v>46185.25</v>
      </c>
      <c r="B2109">
        <f>TEXT(A2109,"yyyy-mm")</f>
        <v/>
      </c>
      <c r="C2109" s="3">
        <f>HOUR(A2109)</f>
        <v/>
      </c>
      <c r="D2109" s="4" t="n">
        <v>26.75233224785833</v>
      </c>
      <c r="E2109" s="4" t="n">
        <v>27.84573892125556</v>
      </c>
      <c r="F2109" s="4" t="n">
        <v>29.11025257587222</v>
      </c>
      <c r="G2109" s="4" t="n">
        <v>19.7</v>
      </c>
      <c r="H2109" s="5" t="n">
        <v>47.65602005199444</v>
      </c>
      <c r="I2109" s="5" t="n">
        <v>44.66774033763333</v>
      </c>
      <c r="J2109" s="5" t="n">
        <v>46.70221251878056</v>
      </c>
      <c r="K2109" s="5" t="n">
        <v>77</v>
      </c>
    </row>
    <row r="2110">
      <c r="A2110" s="2" t="n">
        <v>46185.29166666666</v>
      </c>
      <c r="B2110">
        <f>TEXT(A2110,"yyyy-mm")</f>
        <v/>
      </c>
      <c r="C2110" s="3">
        <f>HOUR(A2110)</f>
        <v/>
      </c>
      <c r="D2110" s="4" t="n">
        <v>28.08641993845</v>
      </c>
      <c r="E2110" s="4" t="n">
        <v>28.53545337433889</v>
      </c>
      <c r="F2110" s="4" t="n">
        <v>29.09280925664444</v>
      </c>
      <c r="G2110" s="4" t="n">
        <v>21.4</v>
      </c>
      <c r="H2110" s="5" t="n">
        <v>44.8250444825139</v>
      </c>
      <c r="I2110" s="5" t="n">
        <v>43.94437087376944</v>
      </c>
      <c r="J2110" s="5" t="n">
        <v>46.72831043731944</v>
      </c>
      <c r="K2110" s="5" t="n">
        <v>67</v>
      </c>
    </row>
    <row r="2111">
      <c r="A2111" s="2" t="n">
        <v>46185.33333333334</v>
      </c>
      <c r="B2111">
        <f>TEXT(A2111,"yyyy-mm")</f>
        <v/>
      </c>
      <c r="C2111" s="3">
        <f>HOUR(A2111)</f>
        <v/>
      </c>
      <c r="D2111" s="4" t="n">
        <v>28.99731175966944</v>
      </c>
      <c r="E2111" s="4" t="n">
        <v>29.09583090281111</v>
      </c>
      <c r="F2111" s="4" t="n">
        <v>29.10194092960833</v>
      </c>
      <c r="G2111" s="4" t="n">
        <v>23.7</v>
      </c>
      <c r="H2111" s="5" t="n">
        <v>44.11976823418056</v>
      </c>
      <c r="I2111" s="5" t="n">
        <v>44.11108807759445</v>
      </c>
      <c r="J2111" s="5" t="n">
        <v>46.84610429684722</v>
      </c>
      <c r="K2111" s="5" t="n">
        <v>55</v>
      </c>
    </row>
    <row r="2112">
      <c r="A2112" s="2" t="n">
        <v>46185.375</v>
      </c>
      <c r="B2112">
        <f>TEXT(A2112,"yyyy-mm")</f>
        <v/>
      </c>
      <c r="C2112" s="3">
        <f>HOUR(A2112)</f>
        <v/>
      </c>
      <c r="D2112" s="4" t="n">
        <v>30.17057808117778</v>
      </c>
      <c r="E2112" s="4" t="n">
        <v>29.52138449573611</v>
      </c>
      <c r="F2112" s="4" t="n">
        <v>29.11858099274444</v>
      </c>
      <c r="G2112" s="4" t="n">
        <v>25.7</v>
      </c>
      <c r="H2112" s="5" t="n">
        <v>41.18070904795834</v>
      </c>
      <c r="I2112" s="5" t="n">
        <v>43.31390987720278</v>
      </c>
      <c r="J2112" s="5" t="n">
        <v>47.0792853752861</v>
      </c>
      <c r="K2112" s="5" t="n">
        <v>47</v>
      </c>
    </row>
    <row r="2113">
      <c r="A2113" s="2" t="n">
        <v>46185.41666666666</v>
      </c>
      <c r="B2113">
        <f>TEXT(A2113,"yyyy-mm")</f>
        <v/>
      </c>
      <c r="C2113" s="3">
        <f>HOUR(A2113)</f>
        <v/>
      </c>
      <c r="D2113" s="4" t="n">
        <v>29.2527569713</v>
      </c>
      <c r="E2113" s="4" t="n">
        <v>29.68963913589167</v>
      </c>
      <c r="F2113" s="4" t="n">
        <v>29.162258929825</v>
      </c>
      <c r="G2113" s="4" t="n">
        <v>26.9</v>
      </c>
      <c r="H2113" s="5" t="n">
        <v>43.46889436259445</v>
      </c>
      <c r="I2113" s="5" t="n">
        <v>43.14766677370278</v>
      </c>
      <c r="J2113" s="5" t="n">
        <v>47.65825222880278</v>
      </c>
      <c r="K2113" s="5" t="n">
        <v>43</v>
      </c>
    </row>
    <row r="2114">
      <c r="A2114" s="2" t="n">
        <v>46185.45833333334</v>
      </c>
      <c r="B2114">
        <f>TEXT(A2114,"yyyy-mm")</f>
        <v/>
      </c>
      <c r="C2114" s="3">
        <f>HOUR(A2114)</f>
        <v/>
      </c>
      <c r="D2114" s="4" t="n">
        <v>28.04201923461111</v>
      </c>
      <c r="E2114" s="4" t="n">
        <v>29.33847322569444</v>
      </c>
      <c r="F2114" s="4" t="n">
        <v>29.33390934693889</v>
      </c>
      <c r="G2114" s="4" t="n">
        <v>28</v>
      </c>
      <c r="H2114" s="5" t="n">
        <v>38.73611658747778</v>
      </c>
      <c r="I2114" s="5" t="n">
        <v>39.72897821894723</v>
      </c>
      <c r="J2114" s="5" t="n">
        <v>48.98620921918889</v>
      </c>
      <c r="K2114" s="5" t="n">
        <v>40</v>
      </c>
    </row>
    <row r="2115">
      <c r="A2115" s="2" t="n">
        <v>46185.5</v>
      </c>
      <c r="B2115">
        <f>TEXT(A2115,"yyyy-mm")</f>
        <v/>
      </c>
      <c r="C2115" s="3">
        <f>HOUR(A2115)</f>
        <v/>
      </c>
      <c r="D2115" s="4" t="n">
        <v>26.41790272291389</v>
      </c>
      <c r="E2115" s="4" t="n">
        <v>28.54197075621111</v>
      </c>
      <c r="F2115" s="4" t="n">
        <v>29.11617269353611</v>
      </c>
      <c r="G2115" s="4" t="n">
        <v>28.9</v>
      </c>
      <c r="H2115" s="5" t="n">
        <v>33.02455550880556</v>
      </c>
      <c r="I2115" s="5" t="n">
        <v>32.50392627528333</v>
      </c>
      <c r="J2115" s="5" t="n">
        <v>45.61835250356389</v>
      </c>
      <c r="K2115" s="5" t="n">
        <v>37</v>
      </c>
    </row>
    <row r="2116">
      <c r="A2116" s="2" t="n">
        <v>46185.54166666666</v>
      </c>
      <c r="B2116">
        <f>TEXT(A2116,"yyyy-mm")</f>
        <v/>
      </c>
      <c r="C2116" s="3">
        <f>HOUR(A2116)</f>
        <v/>
      </c>
      <c r="D2116" s="4" t="n">
        <v>25.78960284075277</v>
      </c>
      <c r="E2116" s="4" t="n">
        <v>27.94434939247222</v>
      </c>
      <c r="F2116" s="4" t="n">
        <v>29.15177729886668</v>
      </c>
      <c r="G2116" s="4" t="n">
        <v>29.6</v>
      </c>
      <c r="H2116" s="5" t="n">
        <v>34.25511512685556</v>
      </c>
      <c r="I2116" s="5" t="n">
        <v>32.21532459953055</v>
      </c>
      <c r="J2116" s="5" t="n">
        <v>45.12674769595555</v>
      </c>
      <c r="K2116" s="5" t="n">
        <v>37</v>
      </c>
    </row>
    <row r="2117">
      <c r="A2117" s="2" t="n">
        <v>46185.58333333334</v>
      </c>
      <c r="B2117">
        <f>TEXT(A2117,"yyyy-mm")</f>
        <v/>
      </c>
      <c r="C2117" s="3">
        <f>HOUR(A2117)</f>
        <v/>
      </c>
      <c r="D2117" s="4" t="n">
        <v>25.75098134508611</v>
      </c>
      <c r="E2117" s="4" t="n">
        <v>27.80414549530833</v>
      </c>
      <c r="F2117" s="4" t="n">
        <v>29.15554588010556</v>
      </c>
      <c r="G2117" s="4" t="n">
        <v>29.9</v>
      </c>
      <c r="H2117" s="5" t="n">
        <v>36.46497428451944</v>
      </c>
      <c r="I2117" s="5" t="n">
        <v>34.53212032540278</v>
      </c>
      <c r="J2117" s="5" t="n">
        <v>44.91625453944167</v>
      </c>
      <c r="K2117" s="5" t="n">
        <v>35</v>
      </c>
    </row>
    <row r="2118">
      <c r="A2118" s="2" t="n">
        <v>46185.625</v>
      </c>
      <c r="B2118">
        <f>TEXT(A2118,"yyyy-mm")</f>
        <v/>
      </c>
      <c r="C2118" s="3">
        <f>HOUR(A2118)</f>
        <v/>
      </c>
      <c r="D2118" s="4" t="n">
        <v>25.66464089285833</v>
      </c>
      <c r="E2118" s="4" t="n">
        <v>27.63782339545</v>
      </c>
      <c r="F2118" s="4" t="n">
        <v>29.226160755775</v>
      </c>
      <c r="G2118" s="4" t="n">
        <v>27.6</v>
      </c>
      <c r="H2118" s="5" t="n">
        <v>37.29972158469167</v>
      </c>
      <c r="I2118" s="5" t="n">
        <v>35.46592868004722</v>
      </c>
      <c r="J2118" s="5" t="n">
        <v>45.43627171885279</v>
      </c>
      <c r="K2118" s="5" t="n">
        <v>38</v>
      </c>
    </row>
    <row r="2119">
      <c r="A2119" s="2" t="n">
        <v>46185.66666666666</v>
      </c>
      <c r="B2119">
        <f>TEXT(A2119,"yyyy-mm")</f>
        <v/>
      </c>
      <c r="C2119" s="3">
        <f>HOUR(A2119)</f>
        <v/>
      </c>
      <c r="D2119" s="4" t="n">
        <v>26.65447987938889</v>
      </c>
      <c r="E2119" s="4" t="n">
        <v>28.245348150925</v>
      </c>
      <c r="F2119" s="4" t="n">
        <v>29.26904650093333</v>
      </c>
      <c r="G2119" s="4" t="n">
        <v>27.3</v>
      </c>
      <c r="H2119" s="5" t="n">
        <v>45.612767871475</v>
      </c>
      <c r="I2119" s="5" t="n">
        <v>43.17930311798056</v>
      </c>
      <c r="J2119" s="5" t="n">
        <v>45.95746219158611</v>
      </c>
      <c r="K2119" s="5" t="n">
        <v>42</v>
      </c>
    </row>
    <row r="2120">
      <c r="A2120" s="2" t="n">
        <v>46185.70833333334</v>
      </c>
      <c r="B2120">
        <f>TEXT(A2120,"yyyy-mm")</f>
        <v/>
      </c>
      <c r="C2120" s="3">
        <f>HOUR(A2120)</f>
        <v/>
      </c>
      <c r="D2120" s="4" t="n">
        <v>26.11252192296945</v>
      </c>
      <c r="E2120" s="4" t="n">
        <v>28.05102735036389</v>
      </c>
      <c r="F2120" s="4" t="n">
        <v>29.35735800344722</v>
      </c>
      <c r="G2120" s="4" t="n">
        <v>27.3</v>
      </c>
      <c r="H2120" s="5" t="n">
        <v>40.59865877620555</v>
      </c>
      <c r="I2120" s="5" t="n">
        <v>38.79160046773056</v>
      </c>
      <c r="J2120" s="5" t="n">
        <v>46.04796147941667</v>
      </c>
      <c r="K2120" s="5" t="n">
        <v>42</v>
      </c>
    </row>
    <row r="2121">
      <c r="A2121" s="2" t="n">
        <v>46185.75</v>
      </c>
      <c r="B2121">
        <f>TEXT(A2121,"yyyy-mm")</f>
        <v/>
      </c>
      <c r="C2121" s="3">
        <f>HOUR(A2121)</f>
        <v/>
      </c>
      <c r="D2121" s="4" t="n">
        <v>26.97428676085</v>
      </c>
      <c r="E2121" s="4" t="n">
        <v>28.06499503076389</v>
      </c>
      <c r="F2121" s="4" t="n">
        <v>29.41032375202222</v>
      </c>
      <c r="G2121" s="4" t="n">
        <v>26.9</v>
      </c>
      <c r="H2121" s="5" t="n">
        <v>41.97039780412222</v>
      </c>
      <c r="I2121" s="5" t="n">
        <v>40.15386198779445</v>
      </c>
      <c r="J2121" s="5" t="n">
        <v>46.04784134509723</v>
      </c>
      <c r="K2121" s="5" t="n">
        <v>43</v>
      </c>
    </row>
    <row r="2122">
      <c r="A2122" s="2" t="n">
        <v>46185.79166666666</v>
      </c>
      <c r="B2122">
        <f>TEXT(A2122,"yyyy-mm")</f>
        <v/>
      </c>
      <c r="C2122" s="3">
        <f>HOUR(A2122)</f>
        <v/>
      </c>
      <c r="D2122" s="4" t="n">
        <v>27.04473336730556</v>
      </c>
      <c r="E2122" s="4" t="n">
        <v>28.00816429706945</v>
      </c>
      <c r="F2122" s="4" t="n">
        <v>29.47008107108333</v>
      </c>
      <c r="G2122" s="4" t="n">
        <v>26.7</v>
      </c>
      <c r="H2122" s="5" t="n">
        <v>44.65809357878334</v>
      </c>
      <c r="I2122" s="5" t="n">
        <v>42.84971199843333</v>
      </c>
      <c r="J2122" s="5" t="n">
        <v>46.83413776989722</v>
      </c>
      <c r="K2122" s="5" t="n">
        <v>43</v>
      </c>
    </row>
    <row r="2123">
      <c r="A2123" s="2" t="n">
        <v>46185.83333333334</v>
      </c>
      <c r="B2123">
        <f>TEXT(A2123,"yyyy-mm")</f>
        <v/>
      </c>
      <c r="C2123" s="3">
        <f>HOUR(A2123)</f>
        <v/>
      </c>
      <c r="D2123" s="4" t="n">
        <v>26.52969264607222</v>
      </c>
      <c r="E2123" s="4" t="n">
        <v>27.53302942014166</v>
      </c>
      <c r="F2123" s="4" t="n">
        <v>29.57238999770277</v>
      </c>
      <c r="G2123" s="4" t="n">
        <v>25.9</v>
      </c>
      <c r="H2123" s="5" t="n">
        <v>45.29275252996111</v>
      </c>
      <c r="I2123" s="5" t="n">
        <v>43.46451269604167</v>
      </c>
      <c r="J2123" s="5" t="n">
        <v>47.57769957553334</v>
      </c>
      <c r="K2123" s="5" t="n">
        <v>46</v>
      </c>
    </row>
    <row r="2124">
      <c r="A2124" s="2" t="n">
        <v>46185.875</v>
      </c>
      <c r="B2124">
        <f>TEXT(A2124,"yyyy-mm")</f>
        <v/>
      </c>
      <c r="C2124" s="3">
        <f>HOUR(A2124)</f>
        <v/>
      </c>
      <c r="D2124" s="4" t="n">
        <v>25.30149047295833</v>
      </c>
      <c r="E2124" s="4" t="n">
        <v>27.07927986544166</v>
      </c>
      <c r="F2124" s="4" t="n">
        <v>29.51546031226944</v>
      </c>
      <c r="G2124" s="4" t="n">
        <v>24.4</v>
      </c>
      <c r="H2124" s="5" t="n">
        <v>47.08044259015278</v>
      </c>
      <c r="I2124" s="5" t="n">
        <v>43.66485383124999</v>
      </c>
      <c r="J2124" s="5" t="n">
        <v>47.7245146792111</v>
      </c>
      <c r="K2124" s="5" t="n">
        <v>53</v>
      </c>
    </row>
    <row r="2125">
      <c r="A2125" s="2" t="n">
        <v>46185.91666666666</v>
      </c>
      <c r="B2125">
        <f>TEXT(A2125,"yyyy-mm")</f>
        <v/>
      </c>
      <c r="C2125" s="3">
        <f>HOUR(A2125)</f>
        <v/>
      </c>
      <c r="D2125" s="4" t="n">
        <v>25.42695641003333</v>
      </c>
      <c r="E2125" s="4" t="n">
        <v>27.30099724707222</v>
      </c>
      <c r="F2125" s="4" t="n">
        <v>29.44321250046111</v>
      </c>
      <c r="G2125" s="4" t="n">
        <v>23.5</v>
      </c>
      <c r="H2125" s="5" t="n">
        <v>44.54677381723611</v>
      </c>
      <c r="I2125" s="5" t="n">
        <v>42.55276427337778</v>
      </c>
      <c r="J2125" s="5" t="n">
        <v>47.42614506009166</v>
      </c>
      <c r="K2125" s="5" t="n">
        <v>62</v>
      </c>
    </row>
    <row r="2126">
      <c r="A2126" s="2" t="n">
        <v>46185.95833333334</v>
      </c>
      <c r="B2126">
        <f>TEXT(A2126,"yyyy-mm")</f>
        <v/>
      </c>
      <c r="C2126" s="3">
        <f>HOUR(A2126)</f>
        <v/>
      </c>
      <c r="D2126" s="4" t="n">
        <v>25.77802402237777</v>
      </c>
      <c r="E2126" s="4" t="n">
        <v>27.75002999011944</v>
      </c>
      <c r="F2126" s="4" t="n">
        <v>29.47823862946666</v>
      </c>
      <c r="G2126" s="4" t="n">
        <v>22.6</v>
      </c>
      <c r="H2126" s="5" t="n">
        <v>45.079309806175</v>
      </c>
      <c r="I2126" s="5" t="n">
        <v>43.02973158902778</v>
      </c>
      <c r="J2126" s="5" t="n">
        <v>47.38054605952778</v>
      </c>
      <c r="K2126" s="5" t="n">
        <v>64</v>
      </c>
    </row>
    <row r="2127">
      <c r="A2127" s="2" t="n">
        <v>46186</v>
      </c>
      <c r="B2127">
        <f>TEXT(A2127,"yyyy-mm")</f>
        <v/>
      </c>
      <c r="C2127" s="3">
        <f>HOUR(A2127)</f>
        <v/>
      </c>
      <c r="D2127" s="4" t="n">
        <v>25.75987829420833</v>
      </c>
      <c r="E2127" s="4" t="n">
        <v>27.852626002</v>
      </c>
      <c r="F2127" s="4" t="n">
        <v>29.54646630038889</v>
      </c>
      <c r="G2127" s="4" t="n">
        <v>21.8</v>
      </c>
      <c r="H2127" s="5" t="n">
        <v>45.91802436726667</v>
      </c>
      <c r="I2127" s="5" t="n">
        <v>42.67940581922222</v>
      </c>
      <c r="J2127" s="5" t="n">
        <v>47.29962164010278</v>
      </c>
      <c r="K2127" s="5" t="n">
        <v>67</v>
      </c>
    </row>
    <row r="2128">
      <c r="A2128" s="2" t="n">
        <v>46186.04166666666</v>
      </c>
      <c r="B2128">
        <f>TEXT(A2128,"yyyy-mm")</f>
        <v/>
      </c>
      <c r="C2128" s="3">
        <f>HOUR(A2128)</f>
        <v/>
      </c>
      <c r="D2128" s="4" t="n">
        <v>25.83664731853611</v>
      </c>
      <c r="E2128" s="4" t="n">
        <v>28.14263679918611</v>
      </c>
      <c r="F2128" s="4" t="n">
        <v>29.640764815575</v>
      </c>
      <c r="G2128" s="4" t="n">
        <v>21</v>
      </c>
      <c r="H2128" s="5" t="n">
        <v>47.3143814417</v>
      </c>
      <c r="I2128" s="5" t="n">
        <v>44.22177823138056</v>
      </c>
      <c r="J2128" s="5" t="n">
        <v>47.30521747156389</v>
      </c>
      <c r="K2128" s="5" t="n">
        <v>71</v>
      </c>
    </row>
    <row r="2129">
      <c r="A2129" s="2" t="n">
        <v>46186.08333333334</v>
      </c>
      <c r="B2129">
        <f>TEXT(A2129,"yyyy-mm")</f>
        <v/>
      </c>
      <c r="C2129" s="3">
        <f>HOUR(A2129)</f>
        <v/>
      </c>
      <c r="D2129" s="4" t="n">
        <v>25.15838760709722</v>
      </c>
      <c r="E2129" s="4" t="n">
        <v>28.08399148656389</v>
      </c>
      <c r="F2129" s="4" t="n">
        <v>29.69566521693333</v>
      </c>
      <c r="G2129" s="4" t="n">
        <v>20.6</v>
      </c>
      <c r="H2129" s="5" t="n">
        <v>48.86477861682778</v>
      </c>
      <c r="I2129" s="5" t="n">
        <v>44.51023841086944</v>
      </c>
      <c r="J2129" s="5" t="n">
        <v>47.65754484065555</v>
      </c>
      <c r="K2129" s="5" t="n">
        <v>77</v>
      </c>
    </row>
    <row r="2130">
      <c r="A2130" s="2" t="n">
        <v>46186.125</v>
      </c>
      <c r="B2130">
        <f>TEXT(A2130,"yyyy-mm")</f>
        <v/>
      </c>
      <c r="C2130" s="3">
        <f>HOUR(A2130)</f>
        <v/>
      </c>
      <c r="D2130" s="4" t="n">
        <v>24.16768767647222</v>
      </c>
      <c r="E2130" s="4" t="n">
        <v>27.38099510069445</v>
      </c>
      <c r="F2130" s="4" t="n">
        <v>29.68964602104722</v>
      </c>
      <c r="G2130" s="4" t="n">
        <v>18.7</v>
      </c>
      <c r="H2130" s="5" t="n">
        <v>50.72252871761945</v>
      </c>
      <c r="I2130" s="5" t="n">
        <v>44.19184414808333</v>
      </c>
      <c r="J2130" s="5" t="n">
        <v>47.56396554790555</v>
      </c>
      <c r="K2130" s="5" t="n">
        <v>88</v>
      </c>
    </row>
    <row r="2131">
      <c r="A2131" s="2" t="n">
        <v>46186.16666666666</v>
      </c>
      <c r="B2131">
        <f>TEXT(A2131,"yyyy-mm")</f>
        <v/>
      </c>
      <c r="C2131" s="3">
        <f>HOUR(A2131)</f>
        <v/>
      </c>
      <c r="D2131" s="4" t="n">
        <v>23.44450538430833</v>
      </c>
      <c r="E2131" s="4" t="n">
        <v>27.3081488717</v>
      </c>
      <c r="F2131" s="4" t="n">
        <v>29.56490741970833</v>
      </c>
      <c r="G2131" s="4" t="n">
        <v>18.2</v>
      </c>
      <c r="H2131" s="5" t="n">
        <v>52.12088659026389</v>
      </c>
      <c r="I2131" s="5" t="n">
        <v>43.73779633880556</v>
      </c>
      <c r="J2131" s="5" t="n">
        <v>47.49111864257778</v>
      </c>
      <c r="K2131" s="5" t="n">
        <v>89</v>
      </c>
    </row>
    <row r="2132">
      <c r="A2132" s="2" t="n">
        <v>46186.20833333334</v>
      </c>
      <c r="B2132">
        <f>TEXT(A2132,"yyyy-mm")</f>
        <v/>
      </c>
      <c r="C2132" s="3">
        <f>HOUR(A2132)</f>
        <v/>
      </c>
      <c r="D2132" s="4" t="n">
        <v>23.99808338875</v>
      </c>
      <c r="E2132" s="4" t="n">
        <v>27.28192540009444</v>
      </c>
      <c r="F2132" s="4" t="n">
        <v>29.44150791533333</v>
      </c>
      <c r="G2132" s="4" t="n">
        <v>18</v>
      </c>
      <c r="H2132" s="5" t="n">
        <v>50.86272790461666</v>
      </c>
      <c r="I2132" s="5" t="n">
        <v>43.71959789655278</v>
      </c>
      <c r="J2132" s="5" t="n">
        <v>47.401311646575</v>
      </c>
      <c r="K2132" s="5" t="n">
        <v>90</v>
      </c>
    </row>
    <row r="2133">
      <c r="A2133" s="2" t="n">
        <v>46186.25</v>
      </c>
      <c r="B2133">
        <f>TEXT(A2133,"yyyy-mm")</f>
        <v/>
      </c>
      <c r="C2133" s="3">
        <f>HOUR(A2133)</f>
        <v/>
      </c>
      <c r="D2133" s="4" t="n">
        <v>25.82347785993635</v>
      </c>
      <c r="E2133" s="4" t="n">
        <v>27.41862575534325</v>
      </c>
      <c r="F2133" s="4" t="n">
        <v>29.33587582438216</v>
      </c>
      <c r="G2133" s="4" t="n">
        <v>19</v>
      </c>
      <c r="H2133" s="5" t="n">
        <v>47.2001886003984</v>
      </c>
      <c r="I2133" s="5" t="n">
        <v>44.83457039221469</v>
      </c>
      <c r="J2133" s="5" t="n">
        <v>47.49942723037175</v>
      </c>
      <c r="K2133" s="5" t="n">
        <v>86</v>
      </c>
    </row>
    <row r="2134">
      <c r="A2134" s="2" t="n">
        <v>46186.29166666666</v>
      </c>
      <c r="B2134">
        <f>TEXT(A2134,"yyyy-mm")</f>
        <v/>
      </c>
      <c r="C2134" s="3">
        <f>HOUR(A2134)</f>
        <v/>
      </c>
      <c r="D2134" s="4" t="n">
        <v>26.56671130481667</v>
      </c>
      <c r="E2134" s="4" t="n">
        <v>27.61516321318334</v>
      </c>
      <c r="F2134" s="4" t="n">
        <v>29.19379848228611</v>
      </c>
      <c r="G2134" s="4" t="n">
        <v>21.1</v>
      </c>
      <c r="H2134" s="5" t="n">
        <v>46.43245474334723</v>
      </c>
      <c r="I2134" s="5" t="n">
        <v>44.63900658156945</v>
      </c>
      <c r="J2134" s="5" t="n">
        <v>47.77301260752222</v>
      </c>
      <c r="K2134" s="5" t="n">
        <v>78</v>
      </c>
    </row>
    <row r="2135">
      <c r="A2135" s="2" t="n">
        <v>46186.33333333334</v>
      </c>
      <c r="B2135">
        <f>TEXT(A2135,"yyyy-mm")</f>
        <v/>
      </c>
      <c r="C2135" s="3">
        <f>HOUR(A2135)</f>
        <v/>
      </c>
      <c r="D2135" s="4" t="n">
        <v>27.36728555138611</v>
      </c>
      <c r="E2135" s="4" t="n">
        <v>27.77562797062778</v>
      </c>
      <c r="F2135" s="4" t="n">
        <v>29.063490991325</v>
      </c>
      <c r="G2135" s="4" t="n">
        <v>23.1</v>
      </c>
      <c r="H2135" s="5" t="n">
        <v>45.47246233900833</v>
      </c>
      <c r="I2135" s="5" t="n">
        <v>44.93387930109722</v>
      </c>
      <c r="J2135" s="5" t="n">
        <v>47.98694189922222</v>
      </c>
      <c r="K2135" s="5" t="n">
        <v>68</v>
      </c>
    </row>
    <row r="2136">
      <c r="A2136" s="2" t="n">
        <v>46186.375</v>
      </c>
      <c r="B2136">
        <f>TEXT(A2136,"yyyy-mm")</f>
        <v/>
      </c>
      <c r="C2136" s="3">
        <f>HOUR(A2136)</f>
        <v/>
      </c>
      <c r="D2136" s="4" t="n">
        <v>29.07304873872778</v>
      </c>
      <c r="E2136" s="4" t="n">
        <v>28.37420759438889</v>
      </c>
      <c r="F2136" s="4" t="n">
        <v>28.99564132185</v>
      </c>
      <c r="G2136" s="4" t="n">
        <v>24</v>
      </c>
      <c r="H2136" s="5" t="n">
        <v>42.91699221390832</v>
      </c>
      <c r="I2136" s="5" t="n">
        <v>45.33753161535833</v>
      </c>
      <c r="J2136" s="5" t="n">
        <v>47.77487804760278</v>
      </c>
      <c r="K2136" s="5" t="n">
        <v>59</v>
      </c>
    </row>
    <row r="2137">
      <c r="A2137" s="2" t="n">
        <v>46186.41666666666</v>
      </c>
      <c r="B2137">
        <f>TEXT(A2137,"yyyy-mm")</f>
        <v/>
      </c>
      <c r="C2137" s="3">
        <f>HOUR(A2137)</f>
        <v/>
      </c>
      <c r="D2137" s="4" t="n">
        <v>28.37464796834444</v>
      </c>
      <c r="E2137" s="4" t="n">
        <v>28.49258219425556</v>
      </c>
      <c r="F2137" s="4" t="n">
        <v>28.97091755677778</v>
      </c>
      <c r="G2137" s="4" t="n">
        <v>24.4</v>
      </c>
      <c r="H2137" s="5" t="n">
        <v>44.71627056303333</v>
      </c>
      <c r="I2137" s="5" t="n">
        <v>45.39542277695556</v>
      </c>
      <c r="J2137" s="5" t="n">
        <v>47.718279845</v>
      </c>
      <c r="K2137" s="5" t="n">
        <v>60</v>
      </c>
    </row>
    <row r="2138">
      <c r="A2138" s="2" t="n">
        <v>46186.45833333334</v>
      </c>
      <c r="B2138">
        <f>TEXT(A2138,"yyyy-mm")</f>
        <v/>
      </c>
      <c r="C2138" s="3">
        <f>HOUR(A2138)</f>
        <v/>
      </c>
      <c r="D2138" s="4" t="n"/>
      <c r="E2138" s="4" t="n"/>
      <c r="F2138" s="4" t="n"/>
      <c r="G2138" s="4" t="n">
        <v>25.1</v>
      </c>
      <c r="H2138" s="5" t="n"/>
      <c r="I2138" s="5" t="n"/>
      <c r="J2138" s="5" t="n"/>
      <c r="K2138" s="5" t="n">
        <v>59</v>
      </c>
    </row>
    <row r="2139">
      <c r="A2139" s="2" t="n">
        <v>46186.5</v>
      </c>
      <c r="B2139">
        <f>TEXT(A2139,"yyyy-mm")</f>
        <v/>
      </c>
      <c r="C2139" s="3">
        <f>HOUR(A2139)</f>
        <v/>
      </c>
      <c r="D2139" s="4" t="n"/>
      <c r="E2139" s="4" t="n"/>
      <c r="F2139" s="4" t="n"/>
      <c r="G2139" s="4" t="n">
        <v>22.4</v>
      </c>
      <c r="H2139" s="5" t="n"/>
      <c r="I2139" s="5" t="n"/>
      <c r="J2139" s="5" t="n"/>
      <c r="K2139" s="5" t="n">
        <v>74</v>
      </c>
    </row>
    <row r="2140">
      <c r="A2140" s="2" t="n">
        <v>46186.54166666666</v>
      </c>
      <c r="B2140">
        <f>TEXT(A2140,"yyyy-mm")</f>
        <v/>
      </c>
      <c r="C2140" s="3">
        <f>HOUR(A2140)</f>
        <v/>
      </c>
      <c r="D2140" s="4" t="n"/>
      <c r="E2140" s="4" t="n"/>
      <c r="F2140" s="4" t="n"/>
      <c r="G2140" s="4" t="n">
        <v>24</v>
      </c>
      <c r="H2140" s="5" t="n"/>
      <c r="I2140" s="5" t="n"/>
      <c r="J2140" s="5" t="n"/>
      <c r="K2140" s="5" t="n">
        <v>68</v>
      </c>
    </row>
    <row r="2141">
      <c r="A2141" s="2" t="n">
        <v>46186.58333333334</v>
      </c>
      <c r="B2141">
        <f>TEXT(A2141,"yyyy-mm")</f>
        <v/>
      </c>
      <c r="C2141" s="3">
        <f>HOUR(A2141)</f>
        <v/>
      </c>
      <c r="D2141" s="4" t="n"/>
      <c r="E2141" s="4" t="n"/>
      <c r="F2141" s="4" t="n"/>
      <c r="G2141" s="4" t="n">
        <v>19.8</v>
      </c>
      <c r="H2141" s="5" t="n"/>
      <c r="I2141" s="5" t="n"/>
      <c r="J2141" s="5" t="n"/>
      <c r="K2141" s="5" t="n">
        <v>87</v>
      </c>
    </row>
    <row r="2142">
      <c r="A2142" s="2" t="n">
        <v>46186.625</v>
      </c>
      <c r="B2142">
        <f>TEXT(A2142,"yyyy-mm")</f>
        <v/>
      </c>
      <c r="C2142" s="3">
        <f>HOUR(A2142)</f>
        <v/>
      </c>
      <c r="D2142" s="4" t="n"/>
      <c r="E2142" s="4" t="n"/>
      <c r="F2142" s="4" t="n"/>
      <c r="G2142" s="4" t="n">
        <v>23.1</v>
      </c>
      <c r="H2142" s="5" t="n"/>
      <c r="I2142" s="5" t="n"/>
      <c r="J2142" s="5" t="n"/>
      <c r="K2142" s="5" t="n">
        <v>66</v>
      </c>
    </row>
    <row r="2143">
      <c r="A2143" s="2" t="n">
        <v>46186.66666666666</v>
      </c>
      <c r="B2143">
        <f>TEXT(A2143,"yyyy-mm")</f>
        <v/>
      </c>
      <c r="C2143" s="3">
        <f>HOUR(A2143)</f>
        <v/>
      </c>
      <c r="D2143" s="4" t="n"/>
      <c r="E2143" s="4" t="n"/>
      <c r="F2143" s="4" t="n"/>
      <c r="G2143" s="4" t="n">
        <v>21.3</v>
      </c>
      <c r="H2143" s="5" t="n"/>
      <c r="I2143" s="5" t="n"/>
      <c r="J2143" s="5" t="n"/>
      <c r="K2143" s="5" t="n">
        <v>78</v>
      </c>
    </row>
    <row r="2144">
      <c r="A2144" s="2" t="n">
        <v>46186.70833333334</v>
      </c>
      <c r="B2144">
        <f>TEXT(A2144,"yyyy-mm")</f>
        <v/>
      </c>
      <c r="C2144" s="3">
        <f>HOUR(A2144)</f>
        <v/>
      </c>
      <c r="D2144" s="4" t="n"/>
      <c r="E2144" s="4" t="n"/>
      <c r="F2144" s="4" t="n"/>
      <c r="G2144" s="4" t="n">
        <v>20.1</v>
      </c>
      <c r="H2144" s="5" t="n"/>
      <c r="I2144" s="5" t="n"/>
      <c r="J2144" s="5" t="n"/>
      <c r="K2144" s="5" t="n">
        <v>87</v>
      </c>
    </row>
    <row r="2145">
      <c r="A2145" s="2" t="n">
        <v>46186.75</v>
      </c>
      <c r="B2145">
        <f>TEXT(A2145,"yyyy-mm")</f>
        <v/>
      </c>
      <c r="C2145" s="3">
        <f>HOUR(A2145)</f>
        <v/>
      </c>
      <c r="D2145" s="4" t="n"/>
      <c r="E2145" s="4" t="n"/>
      <c r="F2145" s="4" t="n"/>
      <c r="G2145" s="4" t="n">
        <v>20.2</v>
      </c>
      <c r="H2145" s="5" t="n"/>
      <c r="I2145" s="5" t="n"/>
      <c r="J2145" s="5" t="n"/>
      <c r="K2145" s="5" t="n">
        <v>85</v>
      </c>
    </row>
    <row r="2146">
      <c r="A2146" s="2" t="n">
        <v>46186.79166666666</v>
      </c>
      <c r="B2146">
        <f>TEXT(A2146,"yyyy-mm")</f>
        <v/>
      </c>
      <c r="C2146" s="3">
        <f>HOUR(A2146)</f>
        <v/>
      </c>
      <c r="D2146" s="4" t="n">
        <v>26.23439522311405</v>
      </c>
      <c r="E2146" s="4" t="n">
        <v>27.84438602116668</v>
      </c>
      <c r="F2146" s="4" t="n">
        <v>28.61988304630101</v>
      </c>
      <c r="G2146" s="4" t="n">
        <v>19.6</v>
      </c>
      <c r="H2146" s="5" t="n">
        <v>47.3212706678396</v>
      </c>
      <c r="I2146" s="5" t="n">
        <v>45.64346464541682</v>
      </c>
      <c r="J2146" s="5" t="n">
        <v>52.74082477521319</v>
      </c>
      <c r="K2146" s="5" t="n">
        <v>88</v>
      </c>
    </row>
    <row r="2147">
      <c r="A2147" s="2" t="n">
        <v>46186.83333333334</v>
      </c>
      <c r="B2147">
        <f>TEXT(A2147,"yyyy-mm")</f>
        <v/>
      </c>
      <c r="C2147" s="3">
        <f>HOUR(A2147)</f>
        <v/>
      </c>
      <c r="D2147" s="4" t="n">
        <v>25.90564159585</v>
      </c>
      <c r="E2147" s="4" t="n">
        <v>27.88408286004167</v>
      </c>
      <c r="F2147" s="4" t="n">
        <v>28.89188788879722</v>
      </c>
      <c r="G2147" s="4" t="n">
        <v>19.4</v>
      </c>
      <c r="H2147" s="5" t="n">
        <v>46.825069916925</v>
      </c>
      <c r="I2147" s="5" t="n">
        <v>44.54831972678056</v>
      </c>
      <c r="J2147" s="5" t="n">
        <v>51.56687862008889</v>
      </c>
      <c r="K2147" s="5" t="n">
        <v>85</v>
      </c>
    </row>
    <row r="2148">
      <c r="A2148" s="2" t="n">
        <v>46186.875</v>
      </c>
      <c r="B2148">
        <f>TEXT(A2148,"yyyy-mm")</f>
        <v/>
      </c>
      <c r="C2148" s="3">
        <f>HOUR(A2148)</f>
        <v/>
      </c>
      <c r="D2148" s="4" t="n">
        <v>25.00346002858889</v>
      </c>
      <c r="E2148" s="4" t="n">
        <v>27.60988498886389</v>
      </c>
      <c r="F2148" s="4" t="n">
        <v>28.98802745546945</v>
      </c>
      <c r="G2148" s="4" t="n">
        <v>18.1</v>
      </c>
      <c r="H2148" s="5" t="n">
        <v>47.73149737875278</v>
      </c>
      <c r="I2148" s="5" t="n">
        <v>44.64921768301945</v>
      </c>
      <c r="J2148" s="5" t="n">
        <v>51.47675935356667</v>
      </c>
      <c r="K2148" s="5" t="n">
        <v>77</v>
      </c>
    </row>
    <row r="2149">
      <c r="A2149" s="2" t="n">
        <v>46186.91666666666</v>
      </c>
      <c r="B2149">
        <f>TEXT(A2149,"yyyy-mm")</f>
        <v/>
      </c>
      <c r="C2149" s="3">
        <f>HOUR(A2149)</f>
        <v/>
      </c>
      <c r="D2149" s="4" t="n">
        <v>24.0679550159</v>
      </c>
      <c r="E2149" s="4" t="n">
        <v>27.12167071194444</v>
      </c>
      <c r="F2149" s="4" t="n">
        <v>29.25743050545278</v>
      </c>
      <c r="G2149" s="4" t="n">
        <v>17.5</v>
      </c>
      <c r="H2149" s="5" t="n">
        <v>47.77346058145278</v>
      </c>
      <c r="I2149" s="5" t="n">
        <v>42.78929492534445</v>
      </c>
      <c r="J2149" s="5" t="n">
        <v>50.45540073154167</v>
      </c>
      <c r="K2149" s="5" t="n">
        <v>76</v>
      </c>
    </row>
    <row r="2150">
      <c r="A2150" s="2" t="n">
        <v>46186.95833333334</v>
      </c>
      <c r="B2150">
        <f>TEXT(A2150,"yyyy-mm")</f>
        <v/>
      </c>
      <c r="C2150" s="3">
        <f>HOUR(A2150)</f>
        <v/>
      </c>
      <c r="D2150" s="4" t="n">
        <v>24.76632312805</v>
      </c>
      <c r="E2150" s="4" t="n">
        <v>27.29654115304444</v>
      </c>
      <c r="F2150" s="4" t="n">
        <v>29.31239413055</v>
      </c>
      <c r="G2150" s="4" t="n">
        <v>17.3</v>
      </c>
      <c r="H2150" s="5" t="n">
        <v>45.37558923789722</v>
      </c>
      <c r="I2150" s="5" t="n">
        <v>42.54258784930278</v>
      </c>
      <c r="J2150" s="5" t="n">
        <v>49.77693096274445</v>
      </c>
      <c r="K2150" s="5" t="n">
        <v>74</v>
      </c>
    </row>
    <row r="2151">
      <c r="A2151" s="2" t="n">
        <v>46187</v>
      </c>
      <c r="B2151">
        <f>TEXT(A2151,"yyyy-mm")</f>
        <v/>
      </c>
      <c r="C2151" s="3">
        <f>HOUR(A2151)</f>
        <v/>
      </c>
      <c r="D2151" s="4" t="n">
        <v>24.88007858218333</v>
      </c>
      <c r="E2151" s="4" t="n">
        <v>27.40422423648889</v>
      </c>
      <c r="F2151" s="4" t="n">
        <v>29.27665366101945</v>
      </c>
      <c r="G2151" s="4" t="n">
        <v>17.1</v>
      </c>
      <c r="H2151" s="5" t="n">
        <v>44.05873409648611</v>
      </c>
      <c r="I2151" s="5" t="n">
        <v>41.63138695368889</v>
      </c>
      <c r="J2151" s="5" t="n">
        <v>49.17853563025278</v>
      </c>
      <c r="K2151" s="5" t="n">
        <v>74</v>
      </c>
    </row>
    <row r="2152">
      <c r="A2152" s="2" t="n">
        <v>46187.04166666666</v>
      </c>
      <c r="B2152">
        <f>TEXT(A2152,"yyyy-mm")</f>
        <v/>
      </c>
      <c r="C2152" s="3">
        <f>HOUR(A2152)</f>
        <v/>
      </c>
      <c r="D2152" s="4" t="n">
        <v>24.31721051238334</v>
      </c>
      <c r="E2152" s="4" t="n">
        <v>27.22472211538611</v>
      </c>
      <c r="F2152" s="4" t="n">
        <v>29.27640313296667</v>
      </c>
      <c r="G2152" s="4" t="n">
        <v>16.8</v>
      </c>
      <c r="H2152" s="5" t="n">
        <v>43.84660691547222</v>
      </c>
      <c r="I2152" s="5" t="n">
        <v>40.43263857903889</v>
      </c>
      <c r="J2152" s="5" t="n">
        <v>48.36846823166112</v>
      </c>
      <c r="K2152" s="5" t="n">
        <v>74</v>
      </c>
    </row>
    <row r="2153">
      <c r="A2153" s="2" t="n">
        <v>46187.08333333334</v>
      </c>
      <c r="B2153">
        <f>TEXT(A2153,"yyyy-mm")</f>
        <v/>
      </c>
      <c r="C2153" s="3">
        <f>HOUR(A2153)</f>
        <v/>
      </c>
      <c r="D2153" s="4" t="n">
        <v>24.0840749826</v>
      </c>
      <c r="E2153" s="4" t="n">
        <v>26.89690652687777</v>
      </c>
      <c r="F2153" s="4" t="n">
        <v>29.40676339933889</v>
      </c>
      <c r="G2153" s="4" t="n">
        <v>16.7</v>
      </c>
      <c r="H2153" s="5" t="n">
        <v>43.87682219493612</v>
      </c>
      <c r="I2153" s="5" t="n">
        <v>39.86341105196389</v>
      </c>
      <c r="J2153" s="5" t="n">
        <v>48.13009314862222</v>
      </c>
      <c r="K2153" s="5" t="n">
        <v>74</v>
      </c>
    </row>
    <row r="2154">
      <c r="A2154" s="2" t="n">
        <v>46187.125</v>
      </c>
      <c r="B2154">
        <f>TEXT(A2154,"yyyy-mm")</f>
        <v/>
      </c>
      <c r="C2154" s="3">
        <f>HOUR(A2154)</f>
        <v/>
      </c>
      <c r="D2154" s="4" t="n">
        <v>22.75391994211944</v>
      </c>
      <c r="E2154" s="4" t="n">
        <v>26.75403578475833</v>
      </c>
      <c r="F2154" s="4" t="n">
        <v>29.48932935565833</v>
      </c>
      <c r="G2154" s="4" t="n">
        <v>15.8</v>
      </c>
      <c r="H2154" s="5" t="n">
        <v>47.05790448226112</v>
      </c>
      <c r="I2154" s="5" t="n">
        <v>40.53564296874722</v>
      </c>
      <c r="J2154" s="5" t="n">
        <v>47.79536705744444</v>
      </c>
      <c r="K2154" s="5" t="n">
        <v>77</v>
      </c>
    </row>
    <row r="2155">
      <c r="A2155" s="2" t="n">
        <v>46187.16666666666</v>
      </c>
      <c r="B2155">
        <f>TEXT(A2155,"yyyy-mm")</f>
        <v/>
      </c>
      <c r="C2155" s="3">
        <f>HOUR(A2155)</f>
        <v/>
      </c>
      <c r="D2155" s="4" t="n">
        <v>22.04718460710833</v>
      </c>
      <c r="E2155" s="4" t="n">
        <v>26.46806085079444</v>
      </c>
      <c r="F2155" s="4" t="n">
        <v>29.54477882444445</v>
      </c>
      <c r="G2155" s="4" t="n">
        <v>15.4</v>
      </c>
      <c r="H2155" s="5" t="n">
        <v>48.20222061604166</v>
      </c>
      <c r="I2155" s="5" t="n">
        <v>39.67874181916389</v>
      </c>
      <c r="J2155" s="5" t="n">
        <v>47.39076825389167</v>
      </c>
      <c r="K2155" s="5" t="n">
        <v>78</v>
      </c>
    </row>
    <row r="2156">
      <c r="A2156" s="2" t="n">
        <v>46187.20833333334</v>
      </c>
      <c r="B2156">
        <f>TEXT(A2156,"yyyy-mm")</f>
        <v/>
      </c>
      <c r="C2156" s="3">
        <f>HOUR(A2156)</f>
        <v/>
      </c>
      <c r="D2156" s="4" t="n">
        <v>22.10216648917222</v>
      </c>
      <c r="E2156" s="4" t="n">
        <v>26.35791968098889</v>
      </c>
      <c r="F2156" s="4" t="n">
        <v>29.56606560058889</v>
      </c>
      <c r="G2156" s="4" t="n">
        <v>15</v>
      </c>
      <c r="H2156" s="5" t="n">
        <v>47.51741567836945</v>
      </c>
      <c r="I2156" s="5" t="n">
        <v>39.14978953330556</v>
      </c>
      <c r="J2156" s="5" t="n">
        <v>47.02415026166389</v>
      </c>
      <c r="K2156" s="5" t="n">
        <v>80</v>
      </c>
    </row>
    <row r="2157">
      <c r="A2157" s="2" t="n">
        <v>46187.25</v>
      </c>
      <c r="B2157">
        <f>TEXT(A2157,"yyyy-mm")</f>
        <v/>
      </c>
      <c r="C2157" s="3">
        <f>HOUR(A2157)</f>
        <v/>
      </c>
      <c r="D2157" s="4" t="n">
        <v>23.72112735166945</v>
      </c>
      <c r="E2157" s="4" t="n">
        <v>26.69540720520278</v>
      </c>
      <c r="F2157" s="4" t="n">
        <v>29.49743192213056</v>
      </c>
      <c r="G2157" s="4" t="n">
        <v>14.9</v>
      </c>
      <c r="H2157" s="5" t="n">
        <v>43.07729767821112</v>
      </c>
      <c r="I2157" s="5" t="n">
        <v>38.73653534578056</v>
      </c>
      <c r="J2157" s="5" t="n">
        <v>46.81153435377778</v>
      </c>
      <c r="K2157" s="5" t="n">
        <v>80</v>
      </c>
    </row>
    <row r="2158">
      <c r="A2158" s="2" t="n">
        <v>46187.29166666666</v>
      </c>
      <c r="B2158">
        <f>TEXT(A2158,"yyyy-mm")</f>
        <v/>
      </c>
      <c r="C2158" s="3">
        <f>HOUR(A2158)</f>
        <v/>
      </c>
      <c r="D2158" s="4" t="n">
        <v>24.95466500499167</v>
      </c>
      <c r="E2158" s="4" t="n">
        <v>27.14205370551112</v>
      </c>
      <c r="F2158" s="4" t="n">
        <v>29.45403822553333</v>
      </c>
      <c r="G2158" s="4" t="n">
        <v>15</v>
      </c>
      <c r="H2158" s="5" t="n">
        <v>39.40878337748889</v>
      </c>
      <c r="I2158" s="5" t="n">
        <v>37.95053882228056</v>
      </c>
      <c r="J2158" s="5" t="n">
        <v>46.64339159280556</v>
      </c>
      <c r="K2158" s="5" t="n">
        <v>79</v>
      </c>
    </row>
    <row r="2159">
      <c r="A2159" s="2" t="n">
        <v>46187.33333333334</v>
      </c>
      <c r="B2159">
        <f>TEXT(A2159,"yyyy-mm")</f>
        <v/>
      </c>
      <c r="C2159" s="3">
        <f>HOUR(A2159)</f>
        <v/>
      </c>
      <c r="D2159" s="4" t="n">
        <v>25.82699087506944</v>
      </c>
      <c r="E2159" s="4" t="n">
        <v>27.60622444617778</v>
      </c>
      <c r="F2159" s="4" t="n">
        <v>29.43115523215</v>
      </c>
      <c r="G2159" s="4" t="n">
        <v>15.4</v>
      </c>
      <c r="H2159" s="5" t="n">
        <v>36.03016952665001</v>
      </c>
      <c r="I2159" s="5" t="n">
        <v>36.58290959717778</v>
      </c>
      <c r="J2159" s="5" t="n">
        <v>46.51884137545278</v>
      </c>
      <c r="K2159" s="5" t="n">
        <v>75</v>
      </c>
    </row>
    <row r="2160">
      <c r="A2160" s="2" t="n">
        <v>46187.375</v>
      </c>
      <c r="B2160">
        <f>TEXT(A2160,"yyyy-mm")</f>
        <v/>
      </c>
      <c r="C2160" s="3">
        <f>HOUR(A2160)</f>
        <v/>
      </c>
      <c r="D2160" s="4" t="n">
        <v>26.25586998501112</v>
      </c>
      <c r="E2160" s="4" t="n">
        <v>27.78627182350555</v>
      </c>
      <c r="F2160" s="4" t="n">
        <v>29.42307204865278</v>
      </c>
      <c r="G2160" s="4" t="n">
        <v>17</v>
      </c>
      <c r="H2160" s="5" t="n">
        <v>34.57722549790833</v>
      </c>
      <c r="I2160" s="5" t="n">
        <v>35.66654529613055</v>
      </c>
      <c r="J2160" s="5" t="n">
        <v>46.47683356893612</v>
      </c>
      <c r="K2160" s="5" t="n">
        <v>68</v>
      </c>
    </row>
    <row r="2161">
      <c r="A2161" s="2" t="n">
        <v>46187.41666666666</v>
      </c>
      <c r="B2161">
        <f>TEXT(A2161,"yyyy-mm")</f>
        <v/>
      </c>
      <c r="C2161" s="3">
        <f>HOUR(A2161)</f>
        <v/>
      </c>
      <c r="D2161" s="4" t="n">
        <v>26.38462724335833</v>
      </c>
      <c r="E2161" s="4" t="n">
        <v>27.75982750431111</v>
      </c>
      <c r="F2161" s="4" t="n">
        <v>29.420455837525</v>
      </c>
      <c r="G2161" s="4" t="n">
        <v>18.5</v>
      </c>
      <c r="H2161" s="5" t="n">
        <v>33.86347810700556</v>
      </c>
      <c r="I2161" s="5" t="n">
        <v>35.25505544225833</v>
      </c>
      <c r="J2161" s="5" t="n">
        <v>46.395580710325</v>
      </c>
      <c r="K2161" s="5" t="n">
        <v>60</v>
      </c>
    </row>
    <row r="2162">
      <c r="A2162" s="2" t="n">
        <v>46187.45833333334</v>
      </c>
      <c r="B2162">
        <f>TEXT(A2162,"yyyy-mm")</f>
        <v/>
      </c>
      <c r="C2162" s="3">
        <f>HOUR(A2162)</f>
        <v/>
      </c>
      <c r="D2162" s="4" t="n">
        <v>26.69436999745833</v>
      </c>
      <c r="E2162" s="4" t="n">
        <v>27.89199897516945</v>
      </c>
      <c r="F2162" s="4" t="n">
        <v>29.46961100291389</v>
      </c>
      <c r="G2162" s="4" t="n">
        <v>19.4</v>
      </c>
      <c r="H2162" s="5" t="n">
        <v>32.17352484745833</v>
      </c>
      <c r="I2162" s="5" t="n">
        <v>35.64729694500833</v>
      </c>
      <c r="J2162" s="5" t="n">
        <v>46.18736332272223</v>
      </c>
      <c r="K2162" s="5" t="n">
        <v>55</v>
      </c>
    </row>
    <row r="2163">
      <c r="A2163" s="2" t="n">
        <v>46187.5</v>
      </c>
      <c r="B2163">
        <f>TEXT(A2163,"yyyy-mm")</f>
        <v/>
      </c>
      <c r="C2163" s="3">
        <f>HOUR(A2163)</f>
        <v/>
      </c>
      <c r="D2163" s="4" t="n">
        <v>26.64084934613889</v>
      </c>
      <c r="E2163" s="4" t="n">
        <v>28.26714896358333</v>
      </c>
      <c r="F2163" s="4" t="n">
        <v>29.40828900315833</v>
      </c>
      <c r="G2163" s="4" t="n">
        <v>20.4</v>
      </c>
      <c r="H2163" s="5" t="n">
        <v>32.03139519359723</v>
      </c>
      <c r="I2163" s="5" t="n">
        <v>35.87457029950278</v>
      </c>
      <c r="J2163" s="5" t="n">
        <v>46.02222732735556</v>
      </c>
      <c r="K2163" s="5" t="n">
        <v>49</v>
      </c>
    </row>
    <row r="2164">
      <c r="A2164" s="2" t="n">
        <v>46187.54166666666</v>
      </c>
      <c r="B2164">
        <f>TEXT(A2164,"yyyy-mm")</f>
        <v/>
      </c>
      <c r="C2164" s="3">
        <f>HOUR(A2164)</f>
        <v/>
      </c>
      <c r="D2164" s="4" t="n">
        <v>26.557811056125</v>
      </c>
      <c r="E2164" s="4" t="n">
        <v>28.1481362938</v>
      </c>
      <c r="F2164" s="4" t="n">
        <v>29.49493670008333</v>
      </c>
      <c r="G2164" s="4" t="n">
        <v>20.8</v>
      </c>
      <c r="H2164" s="5" t="n">
        <v>31.46887421616944</v>
      </c>
      <c r="I2164" s="5" t="n">
        <v>34.44388466749167</v>
      </c>
      <c r="J2164" s="5" t="n">
        <v>45.70595261073056</v>
      </c>
      <c r="K2164" s="5" t="n">
        <v>47</v>
      </c>
    </row>
    <row r="2165">
      <c r="A2165" s="2" t="n">
        <v>46187.58333333334</v>
      </c>
      <c r="B2165">
        <f>TEXT(A2165,"yyyy-mm")</f>
        <v/>
      </c>
      <c r="C2165" s="3">
        <f>HOUR(A2165)</f>
        <v/>
      </c>
      <c r="D2165" s="4" t="n">
        <v>26.35859017534722</v>
      </c>
      <c r="E2165" s="4" t="n">
        <v>27.84320753471667</v>
      </c>
      <c r="F2165" s="4" t="n">
        <v>29.60192431837778</v>
      </c>
      <c r="G2165" s="4" t="n">
        <v>21.5</v>
      </c>
      <c r="H2165" s="5" t="n">
        <v>31.13533545123056</v>
      </c>
      <c r="I2165" s="5" t="n">
        <v>34.17355515110833</v>
      </c>
      <c r="J2165" s="5" t="n">
        <v>45.04885266658611</v>
      </c>
      <c r="K2165" s="5" t="n">
        <v>45</v>
      </c>
    </row>
    <row r="2166">
      <c r="A2166" s="2" t="n">
        <v>46187.625</v>
      </c>
      <c r="B2166">
        <f>TEXT(A2166,"yyyy-mm")</f>
        <v/>
      </c>
      <c r="C2166" s="3">
        <f>HOUR(A2166)</f>
        <v/>
      </c>
      <c r="D2166" s="4" t="n">
        <v>26.27933835049167</v>
      </c>
      <c r="E2166" s="4" t="n">
        <v>27.754423273525</v>
      </c>
      <c r="F2166" s="4" t="n">
        <v>29.70580129063333</v>
      </c>
      <c r="G2166" s="4" t="n">
        <v>22.3</v>
      </c>
      <c r="H2166" s="5" t="n">
        <v>31.05563615618611</v>
      </c>
      <c r="I2166" s="5" t="n">
        <v>33.09389953656389</v>
      </c>
      <c r="J2166" s="5" t="n">
        <v>45.05139582196111</v>
      </c>
      <c r="K2166" s="5" t="n">
        <v>47</v>
      </c>
    </row>
    <row r="2167">
      <c r="A2167" s="2" t="n">
        <v>46187.66666666666</v>
      </c>
      <c r="B2167">
        <f>TEXT(A2167,"yyyy-mm")</f>
        <v/>
      </c>
      <c r="C2167" s="3">
        <f>HOUR(A2167)</f>
        <v/>
      </c>
      <c r="D2167" s="4" t="n">
        <v>26.48421543015</v>
      </c>
      <c r="E2167" s="4" t="n">
        <v>27.46217061929444</v>
      </c>
      <c r="F2167" s="4" t="n">
        <v>29.7185933491</v>
      </c>
      <c r="G2167" s="4" t="n">
        <v>22.4</v>
      </c>
      <c r="H2167" s="5" t="n">
        <v>31.09378742844167</v>
      </c>
      <c r="I2167" s="5" t="n">
        <v>33.263677394825</v>
      </c>
      <c r="J2167" s="5" t="n">
        <v>44.83652808613056</v>
      </c>
      <c r="K2167" s="5" t="n">
        <v>45</v>
      </c>
    </row>
    <row r="2168">
      <c r="A2168" s="2" t="n">
        <v>46187.70833333334</v>
      </c>
      <c r="B2168">
        <f>TEXT(A2168,"yyyy-mm")</f>
        <v/>
      </c>
      <c r="C2168" s="3">
        <f>HOUR(A2168)</f>
        <v/>
      </c>
      <c r="D2168" s="4" t="n">
        <v>26.57191425626388</v>
      </c>
      <c r="E2168" s="4" t="n">
        <v>27.387929189275</v>
      </c>
      <c r="F2168" s="4" t="n">
        <v>29.65869800708611</v>
      </c>
      <c r="G2168" s="4" t="n">
        <v>22.4</v>
      </c>
      <c r="H2168" s="5" t="n">
        <v>30.960430298675</v>
      </c>
      <c r="I2168" s="5" t="n">
        <v>32.74098188734722</v>
      </c>
      <c r="J2168" s="5" t="n">
        <v>44.64777938834444</v>
      </c>
      <c r="K2168" s="5" t="n">
        <v>45</v>
      </c>
    </row>
    <row r="2169">
      <c r="A2169" s="2" t="n">
        <v>46187.75</v>
      </c>
      <c r="B2169">
        <f>TEXT(A2169,"yyyy-mm")</f>
        <v/>
      </c>
      <c r="C2169" s="3">
        <f>HOUR(A2169)</f>
        <v/>
      </c>
      <c r="D2169" s="4" t="n">
        <v>26.65541860466111</v>
      </c>
      <c r="E2169" s="4" t="n">
        <v>27.45589455695277</v>
      </c>
      <c r="F2169" s="4" t="n">
        <v>29.58795946998612</v>
      </c>
      <c r="G2169" s="4" t="n">
        <v>22.1</v>
      </c>
      <c r="H2169" s="5" t="n">
        <v>30.36629177769167</v>
      </c>
      <c r="I2169" s="5" t="n">
        <v>33.02687324741111</v>
      </c>
      <c r="J2169" s="5" t="n">
        <v>44.43715567680556</v>
      </c>
      <c r="K2169" s="5" t="n">
        <v>46</v>
      </c>
    </row>
    <row r="2170">
      <c r="A2170" s="2" t="n">
        <v>46187.79166666666</v>
      </c>
      <c r="B2170">
        <f>TEXT(A2170,"yyyy-mm")</f>
        <v/>
      </c>
      <c r="C2170" s="3">
        <f>HOUR(A2170)</f>
        <v/>
      </c>
      <c r="D2170" s="4" t="n">
        <v>26.70532778563056</v>
      </c>
      <c r="E2170" s="4" t="n">
        <v>27.46747135009167</v>
      </c>
      <c r="F2170" s="4" t="n">
        <v>29.47454839216944</v>
      </c>
      <c r="G2170" s="4" t="n">
        <v>21.6</v>
      </c>
      <c r="H2170" s="5" t="n">
        <v>31.23013210898611</v>
      </c>
      <c r="I2170" s="5" t="n">
        <v>33.27314340906389</v>
      </c>
      <c r="J2170" s="5" t="n">
        <v>43.29822871284167</v>
      </c>
      <c r="K2170" s="5" t="n">
        <v>49</v>
      </c>
    </row>
    <row r="2171">
      <c r="A2171" s="2" t="n">
        <v>46187.83333333334</v>
      </c>
      <c r="B2171">
        <f>TEXT(A2171,"yyyy-mm")</f>
        <v/>
      </c>
      <c r="C2171" s="3">
        <f>HOUR(A2171)</f>
        <v/>
      </c>
      <c r="D2171" s="4" t="n">
        <v>26.258997651725</v>
      </c>
      <c r="E2171" s="4" t="n">
        <v>27.353637294</v>
      </c>
      <c r="F2171" s="4" t="n">
        <v>29.58855164071944</v>
      </c>
      <c r="G2171" s="4" t="n">
        <v>20.5</v>
      </c>
      <c r="H2171" s="5" t="n">
        <v>32.82822017184444</v>
      </c>
      <c r="I2171" s="5" t="n">
        <v>34.59691428078056</v>
      </c>
      <c r="J2171" s="5" t="n">
        <v>43.63574813865555</v>
      </c>
      <c r="K2171" s="5" t="n">
        <v>62</v>
      </c>
    </row>
    <row r="2172">
      <c r="A2172" s="2" t="n">
        <v>46187.875</v>
      </c>
      <c r="B2172">
        <f>TEXT(A2172,"yyyy-mm")</f>
        <v/>
      </c>
      <c r="C2172" s="3">
        <f>HOUR(A2172)</f>
        <v/>
      </c>
      <c r="D2172" s="4" t="n">
        <v>25.59517534538611</v>
      </c>
      <c r="E2172" s="4" t="n">
        <v>27.18768981879722</v>
      </c>
      <c r="F2172" s="4" t="n">
        <v>29.56937613926389</v>
      </c>
      <c r="G2172" s="4" t="n">
        <v>19.7</v>
      </c>
      <c r="H2172" s="5" t="n">
        <v>34.29522023058889</v>
      </c>
      <c r="I2172" s="5" t="n">
        <v>34.50590401020833</v>
      </c>
      <c r="J2172" s="5" t="n">
        <v>43.67109168382223</v>
      </c>
      <c r="K2172" s="5" t="n">
        <v>61</v>
      </c>
    </row>
    <row r="2173">
      <c r="A2173" s="2" t="n">
        <v>46187.91666666666</v>
      </c>
      <c r="B2173">
        <f>TEXT(A2173,"yyyy-mm")</f>
        <v/>
      </c>
      <c r="C2173" s="3">
        <f>HOUR(A2173)</f>
        <v/>
      </c>
      <c r="D2173" s="4" t="n">
        <v>25.43010141320556</v>
      </c>
      <c r="E2173" s="4" t="n">
        <v>27.26958875449445</v>
      </c>
      <c r="F2173" s="4" t="n">
        <v>29.44046297301389</v>
      </c>
      <c r="G2173" s="4" t="n">
        <v>18.9</v>
      </c>
      <c r="H2173" s="5" t="n">
        <v>34.67629220955833</v>
      </c>
      <c r="I2173" s="5" t="n">
        <v>34.44173819056667</v>
      </c>
      <c r="J2173" s="5" t="n">
        <v>43.10575905027222</v>
      </c>
      <c r="K2173" s="5" t="n">
        <v>65</v>
      </c>
    </row>
    <row r="2174">
      <c r="A2174" s="2" t="n">
        <v>46187.95833333334</v>
      </c>
      <c r="B2174">
        <f>TEXT(A2174,"yyyy-mm")</f>
        <v/>
      </c>
      <c r="C2174" s="3">
        <f>HOUR(A2174)</f>
        <v/>
      </c>
      <c r="D2174" s="4" t="n">
        <v>25.49174047384444</v>
      </c>
      <c r="E2174" s="4" t="n">
        <v>27.42060278285278</v>
      </c>
      <c r="F2174" s="4" t="n">
        <v>29.41557196299444</v>
      </c>
      <c r="G2174" s="4" t="n">
        <v>17.8</v>
      </c>
      <c r="H2174" s="5" t="n">
        <v>35.675888305275</v>
      </c>
      <c r="I2174" s="5" t="n">
        <v>34.96661417132778</v>
      </c>
      <c r="J2174" s="5" t="n">
        <v>43.34500222173333</v>
      </c>
      <c r="K2174" s="5" t="n">
        <v>69</v>
      </c>
    </row>
    <row r="2175">
      <c r="A2175" s="2" t="n">
        <v>46188</v>
      </c>
      <c r="B2175">
        <f>TEXT(A2175,"yyyy-mm")</f>
        <v/>
      </c>
      <c r="C2175" s="3">
        <f>HOUR(A2175)</f>
        <v/>
      </c>
      <c r="D2175" s="4" t="n">
        <v>25.31449388994722</v>
      </c>
      <c r="E2175" s="4" t="n">
        <v>27.34648145860833</v>
      </c>
      <c r="F2175" s="4" t="n">
        <v>29.40207193807223</v>
      </c>
      <c r="G2175" s="4" t="n">
        <v>17</v>
      </c>
      <c r="H2175" s="5" t="n">
        <v>35.20703402119722</v>
      </c>
      <c r="I2175" s="5" t="n">
        <v>34.44270985386667</v>
      </c>
      <c r="J2175" s="5" t="n">
        <v>43.4303916926639</v>
      </c>
      <c r="K2175" s="5" t="n">
        <v>71</v>
      </c>
    </row>
    <row r="2176">
      <c r="A2176" s="2" t="n">
        <v>46188.04166666666</v>
      </c>
      <c r="B2176">
        <f>TEXT(A2176,"yyyy-mm")</f>
        <v/>
      </c>
      <c r="C2176" s="3">
        <f>HOUR(A2176)</f>
        <v/>
      </c>
      <c r="D2176" s="4" t="n">
        <v>25.19688692097223</v>
      </c>
      <c r="E2176" s="4" t="n">
        <v>27.29529870500556</v>
      </c>
      <c r="F2176" s="4" t="n">
        <v>29.084194379225</v>
      </c>
      <c r="G2176" s="4" t="n">
        <v>16.4</v>
      </c>
      <c r="H2176" s="5" t="n">
        <v>35.59578769729166</v>
      </c>
      <c r="I2176" s="5" t="n">
        <v>34.107803970275</v>
      </c>
      <c r="J2176" s="5" t="n">
        <v>42.60795775445</v>
      </c>
      <c r="K2176" s="5" t="n">
        <v>74</v>
      </c>
    </row>
    <row r="2177">
      <c r="A2177" s="2" t="n">
        <v>46188.08333333334</v>
      </c>
      <c r="B2177">
        <f>TEXT(A2177,"yyyy-mm")</f>
        <v/>
      </c>
      <c r="C2177" s="3">
        <f>HOUR(A2177)</f>
        <v/>
      </c>
      <c r="D2177" s="4" t="n">
        <v>24.22239541000556</v>
      </c>
      <c r="E2177" s="4" t="n">
        <v>26.892970808475</v>
      </c>
      <c r="F2177" s="4" t="n">
        <v>29.12139989008333</v>
      </c>
      <c r="G2177" s="4" t="n">
        <v>15.7</v>
      </c>
      <c r="H2177" s="5" t="n">
        <v>38.67955271433889</v>
      </c>
      <c r="I2177" s="5" t="n">
        <v>36.34058970215833</v>
      </c>
      <c r="J2177" s="5" t="n">
        <v>42.93144326839445</v>
      </c>
      <c r="K2177" s="5" t="n">
        <v>77</v>
      </c>
    </row>
    <row r="2178">
      <c r="A2178" s="2" t="n">
        <v>46188.125</v>
      </c>
      <c r="B2178">
        <f>TEXT(A2178,"yyyy-mm")</f>
        <v/>
      </c>
      <c r="C2178" s="3">
        <f>HOUR(A2178)</f>
        <v/>
      </c>
      <c r="D2178" s="4" t="n">
        <v>24.31397246923611</v>
      </c>
      <c r="E2178" s="4" t="n">
        <v>26.65424794456389</v>
      </c>
      <c r="F2178" s="4" t="n">
        <v>29.2014507926</v>
      </c>
      <c r="G2178" s="4" t="n">
        <v>15.4</v>
      </c>
      <c r="H2178" s="5" t="n">
        <v>39.12018499135</v>
      </c>
      <c r="I2178" s="5" t="n">
        <v>36.93965628401389</v>
      </c>
      <c r="J2178" s="5" t="n">
        <v>43.22784428526389</v>
      </c>
      <c r="K2178" s="5" t="n">
        <v>79</v>
      </c>
    </row>
    <row r="2179">
      <c r="A2179" s="2" t="n">
        <v>46188.16666666666</v>
      </c>
      <c r="B2179">
        <f>TEXT(A2179,"yyyy-mm")</f>
        <v/>
      </c>
      <c r="C2179" s="3">
        <f>HOUR(A2179)</f>
        <v/>
      </c>
      <c r="D2179" s="4" t="n">
        <v>23.79049029501111</v>
      </c>
      <c r="E2179" s="4" t="n">
        <v>26.55790115873056</v>
      </c>
      <c r="F2179" s="4" t="n">
        <v>29.21333343244723</v>
      </c>
      <c r="G2179" s="4" t="n">
        <v>14.9</v>
      </c>
      <c r="H2179" s="5" t="n">
        <v>40.89861318860277</v>
      </c>
      <c r="I2179" s="5" t="n">
        <v>37.52775992854166</v>
      </c>
      <c r="J2179" s="5" t="n">
        <v>43.38771082835</v>
      </c>
      <c r="K2179" s="5" t="n">
        <v>81</v>
      </c>
    </row>
    <row r="2180">
      <c r="A2180" s="2" t="n">
        <v>46188.20833333334</v>
      </c>
      <c r="B2180">
        <f>TEXT(A2180,"yyyy-mm")</f>
        <v/>
      </c>
      <c r="C2180" s="3">
        <f>HOUR(A2180)</f>
        <v/>
      </c>
      <c r="D2180" s="4" t="n">
        <v>23.7570163202571</v>
      </c>
      <c r="E2180" s="4" t="n">
        <v>26.48903466091389</v>
      </c>
      <c r="F2180" s="4" t="n">
        <v>29.20736274576389</v>
      </c>
      <c r="G2180" s="4" t="n">
        <v>14.6</v>
      </c>
      <c r="H2180" s="5" t="n">
        <v>42.05085131842007</v>
      </c>
      <c r="I2180" s="5" t="n">
        <v>38.00203288115555</v>
      </c>
      <c r="J2180" s="5" t="n">
        <v>43.518023546525</v>
      </c>
      <c r="K2180" s="5" t="n">
        <v>84</v>
      </c>
    </row>
    <row r="2181">
      <c r="A2181" s="2" t="n">
        <v>46188.25</v>
      </c>
      <c r="B2181">
        <f>TEXT(A2181,"yyyy-mm")</f>
        <v/>
      </c>
      <c r="C2181" s="3">
        <f>HOUR(A2181)</f>
        <v/>
      </c>
      <c r="D2181" s="4" t="n">
        <v>24.21297686409167</v>
      </c>
      <c r="E2181" s="4" t="n">
        <v>26.50682406808889</v>
      </c>
      <c r="F2181" s="4" t="n">
        <v>29.20159974300278</v>
      </c>
      <c r="G2181" s="4" t="n">
        <v>15.2</v>
      </c>
      <c r="H2181" s="5" t="n">
        <v>43.22785183076667</v>
      </c>
      <c r="I2181" s="5" t="n">
        <v>39.15428907080833</v>
      </c>
      <c r="J2181" s="5" t="n">
        <v>43.75744796468889</v>
      </c>
      <c r="K2181" s="5" t="n">
        <v>86</v>
      </c>
    </row>
    <row r="2182">
      <c r="A2182" s="2" t="n">
        <v>46188.29166666666</v>
      </c>
      <c r="B2182">
        <f>TEXT(A2182,"yyyy-mm")</f>
        <v/>
      </c>
      <c r="C2182" s="3">
        <f>HOUR(A2182)</f>
        <v/>
      </c>
      <c r="D2182" s="4" t="n">
        <v>25.58900255382778</v>
      </c>
      <c r="E2182" s="4" t="n">
        <v>26.83382773640833</v>
      </c>
      <c r="F2182" s="4" t="n">
        <v>29.22054572110278</v>
      </c>
      <c r="G2182" s="4" t="n">
        <v>16.3</v>
      </c>
      <c r="H2182" s="5" t="n">
        <v>41.03481005494167</v>
      </c>
      <c r="I2182" s="5" t="n">
        <v>39.42109804616944</v>
      </c>
      <c r="J2182" s="5" t="n">
        <v>44.00476831098889</v>
      </c>
      <c r="K2182" s="5" t="n">
        <v>81</v>
      </c>
    </row>
    <row r="2183">
      <c r="A2183" s="2" t="n">
        <v>46188.33333333334</v>
      </c>
      <c r="B2183">
        <f>TEXT(A2183,"yyyy-mm")</f>
        <v/>
      </c>
      <c r="C2183" s="3">
        <f>HOUR(A2183)</f>
        <v/>
      </c>
      <c r="D2183" s="4" t="n">
        <v>26.75207922799444</v>
      </c>
      <c r="E2183" s="4" t="n">
        <v>27.43336929008333</v>
      </c>
      <c r="F2183" s="4" t="n">
        <v>29.27092983476945</v>
      </c>
      <c r="G2183" s="4" t="n">
        <v>18</v>
      </c>
      <c r="H2183" s="5" t="n">
        <v>39.95026935473612</v>
      </c>
      <c r="I2183" s="5" t="n">
        <v>39.15410822251111</v>
      </c>
      <c r="J2183" s="5" t="n">
        <v>44.18526702314444</v>
      </c>
      <c r="K2183" s="5" t="n">
        <v>74</v>
      </c>
    </row>
    <row r="2184">
      <c r="A2184" s="2" t="n">
        <v>46188.375</v>
      </c>
      <c r="B2184">
        <f>TEXT(A2184,"yyyy-mm")</f>
        <v/>
      </c>
      <c r="C2184" s="3">
        <f>HOUR(A2184)</f>
        <v/>
      </c>
      <c r="D2184" s="4" t="n">
        <v>27.256633801675</v>
      </c>
      <c r="E2184" s="4" t="n">
        <v>27.7398437894</v>
      </c>
      <c r="F2184" s="4" t="n">
        <v>29.31054596808333</v>
      </c>
      <c r="G2184" s="4" t="n">
        <v>19.6</v>
      </c>
      <c r="H2184" s="5" t="n">
        <v>39.30064654351666</v>
      </c>
      <c r="I2184" s="5" t="n">
        <v>39.36216622413611</v>
      </c>
      <c r="J2184" s="5" t="n">
        <v>44.34080932663611</v>
      </c>
      <c r="K2184" s="5" t="n">
        <v>69</v>
      </c>
    </row>
    <row r="2185">
      <c r="A2185" s="2" t="n">
        <v>46188.41666666666</v>
      </c>
      <c r="B2185">
        <f>TEXT(A2185,"yyyy-mm")</f>
        <v/>
      </c>
      <c r="C2185" s="3">
        <f>HOUR(A2185)</f>
        <v/>
      </c>
      <c r="D2185" s="4" t="n">
        <v>26.57857686820833</v>
      </c>
      <c r="E2185" s="4" t="n">
        <v>27.75173524712222</v>
      </c>
      <c r="F2185" s="4" t="n">
        <v>29.34170600998889</v>
      </c>
      <c r="G2185" s="4" t="n">
        <v>20.5</v>
      </c>
      <c r="H2185" s="5" t="n">
        <v>40.95455349109167</v>
      </c>
      <c r="I2185" s="5" t="n">
        <v>40.29763876481389</v>
      </c>
      <c r="J2185" s="5" t="n">
        <v>44.45581602415555</v>
      </c>
      <c r="K2185" s="5" t="n">
        <v>63</v>
      </c>
    </row>
    <row r="2186">
      <c r="A2186" s="2" t="n">
        <v>46188.45833333334</v>
      </c>
      <c r="B2186">
        <f>TEXT(A2186,"yyyy-mm")</f>
        <v/>
      </c>
      <c r="C2186" s="3">
        <f>HOUR(A2186)</f>
        <v/>
      </c>
      <c r="D2186" s="4" t="n">
        <v>26.02177058633611</v>
      </c>
      <c r="E2186" s="4" t="n">
        <v>27.16053487849445</v>
      </c>
      <c r="F2186" s="4" t="n">
        <v>29.35084950346111</v>
      </c>
      <c r="G2186" s="4" t="n">
        <v>21.6</v>
      </c>
      <c r="H2186" s="5" t="n">
        <v>41.66322278288055</v>
      </c>
      <c r="I2186" s="5" t="n">
        <v>40.13835382445833</v>
      </c>
      <c r="J2186" s="5" t="n">
        <v>44.54813099488612</v>
      </c>
      <c r="K2186" s="5" t="n">
        <v>59</v>
      </c>
    </row>
    <row r="2187">
      <c r="A2187" s="2" t="n">
        <v>46188.5</v>
      </c>
      <c r="B2187">
        <f>TEXT(A2187,"yyyy-mm")</f>
        <v/>
      </c>
      <c r="C2187" s="3">
        <f>HOUR(A2187)</f>
        <v/>
      </c>
      <c r="D2187" s="4" t="n">
        <v>25.53908840776666</v>
      </c>
      <c r="E2187" s="4" t="n">
        <v>26.67069501648334</v>
      </c>
      <c r="F2187" s="4" t="n">
        <v>29.31892616006112</v>
      </c>
      <c r="G2187" s="4" t="n">
        <v>22.5</v>
      </c>
      <c r="H2187" s="5" t="n">
        <v>46.47886563016389</v>
      </c>
      <c r="I2187" s="5" t="n">
        <v>43.63720890960278</v>
      </c>
      <c r="J2187" s="5" t="n">
        <v>44.86528994164444</v>
      </c>
      <c r="K2187" s="5" t="n">
        <v>54</v>
      </c>
    </row>
    <row r="2188">
      <c r="A2188" s="2" t="n">
        <v>46188.54166666666</v>
      </c>
      <c r="B2188">
        <f>TEXT(A2188,"yyyy-mm")</f>
        <v/>
      </c>
      <c r="C2188" s="3">
        <f>HOUR(A2188)</f>
        <v/>
      </c>
      <c r="D2188" s="4" t="n">
        <v>25.28855321473611</v>
      </c>
      <c r="E2188" s="4" t="n">
        <v>26.71681800401112</v>
      </c>
      <c r="F2188" s="4" t="n">
        <v>29.29432185127222</v>
      </c>
      <c r="G2188" s="4" t="n">
        <v>21.8</v>
      </c>
      <c r="H2188" s="5" t="n">
        <v>48.38303173553334</v>
      </c>
      <c r="I2188" s="5" t="n">
        <v>45.07843120805278</v>
      </c>
      <c r="J2188" s="5" t="n">
        <v>45.33398086667222</v>
      </c>
      <c r="K2188" s="5" t="n">
        <v>55</v>
      </c>
    </row>
    <row r="2189">
      <c r="A2189" s="2" t="n">
        <v>46188.58333333334</v>
      </c>
      <c r="B2189">
        <f>TEXT(A2189,"yyyy-mm")</f>
        <v/>
      </c>
      <c r="C2189" s="3">
        <f>HOUR(A2189)</f>
        <v/>
      </c>
      <c r="D2189" s="4" t="n">
        <v>25.01026744806667</v>
      </c>
      <c r="E2189" s="4" t="n">
        <v>26.88010633005834</v>
      </c>
      <c r="F2189" s="4" t="n">
        <v>29.28272768056945</v>
      </c>
      <c r="G2189" s="4" t="n">
        <v>18.5</v>
      </c>
      <c r="H2189" s="5" t="n">
        <v>46.48333615949722</v>
      </c>
      <c r="I2189" s="5" t="n">
        <v>43.14983805811111</v>
      </c>
      <c r="J2189" s="5" t="n">
        <v>45.54837861973333</v>
      </c>
      <c r="K2189" s="5" t="n">
        <v>71</v>
      </c>
    </row>
    <row r="2190">
      <c r="A2190" s="2" t="n">
        <v>46188.625</v>
      </c>
      <c r="B2190">
        <f>TEXT(A2190,"yyyy-mm")</f>
        <v/>
      </c>
      <c r="C2190" s="3">
        <f>HOUR(A2190)</f>
        <v/>
      </c>
      <c r="D2190" s="4" t="n">
        <v>25.23637510288055</v>
      </c>
      <c r="E2190" s="4" t="n">
        <v>27.19649479278611</v>
      </c>
      <c r="F2190" s="4" t="n">
        <v>29.273361164075</v>
      </c>
      <c r="G2190" s="4" t="n">
        <v>19.6</v>
      </c>
      <c r="H2190" s="5" t="n">
        <v>42.21326470997778</v>
      </c>
      <c r="I2190" s="5" t="n">
        <v>40.50794078537501</v>
      </c>
      <c r="J2190" s="5" t="n">
        <v>45.49426488999444</v>
      </c>
      <c r="K2190" s="5" t="n">
        <v>67</v>
      </c>
    </row>
    <row r="2191">
      <c r="A2191" s="2" t="n">
        <v>46188.66666666666</v>
      </c>
      <c r="B2191">
        <f>TEXT(A2191,"yyyy-mm")</f>
        <v/>
      </c>
      <c r="C2191" s="3">
        <f>HOUR(A2191)</f>
        <v/>
      </c>
      <c r="D2191" s="4" t="n">
        <v>25.25906465636666</v>
      </c>
      <c r="E2191" s="4" t="n">
        <v>27.08461663279722</v>
      </c>
      <c r="F2191" s="4" t="n">
        <v>29.25525470194445</v>
      </c>
      <c r="G2191" s="4" t="n">
        <v>20</v>
      </c>
      <c r="H2191" s="5" t="n">
        <v>37.23122803146944</v>
      </c>
      <c r="I2191" s="5" t="n">
        <v>37.59318043256666</v>
      </c>
      <c r="J2191" s="5" t="n">
        <v>45.14699110477778</v>
      </c>
      <c r="K2191" s="5" t="n">
        <v>57</v>
      </c>
    </row>
    <row r="2192">
      <c r="A2192" s="2" t="n">
        <v>46188.70833333334</v>
      </c>
      <c r="B2192">
        <f>TEXT(A2192,"yyyy-mm")</f>
        <v/>
      </c>
      <c r="C2192" s="3">
        <f>HOUR(A2192)</f>
        <v/>
      </c>
      <c r="D2192" s="4" t="n">
        <v>24.99118371854444</v>
      </c>
      <c r="E2192" s="4" t="n">
        <v>27.01031292731389</v>
      </c>
      <c r="F2192" s="4" t="n">
        <v>29.22125392045833</v>
      </c>
      <c r="G2192" s="4" t="n">
        <v>20.2</v>
      </c>
      <c r="H2192" s="5" t="n">
        <v>35.47423803254444</v>
      </c>
      <c r="I2192" s="5" t="n">
        <v>36.03946381719445</v>
      </c>
      <c r="J2192" s="5" t="n">
        <v>44.57617679769999</v>
      </c>
      <c r="K2192" s="5" t="n">
        <v>53</v>
      </c>
    </row>
    <row r="2193">
      <c r="A2193" s="2" t="n">
        <v>46188.75</v>
      </c>
      <c r="B2193">
        <f>TEXT(A2193,"yyyy-mm")</f>
        <v/>
      </c>
      <c r="C2193" s="3">
        <f>HOUR(A2193)</f>
        <v/>
      </c>
      <c r="D2193" s="4" t="n">
        <v>25.42090995664167</v>
      </c>
      <c r="E2193" s="4" t="n">
        <v>27.53213114426944</v>
      </c>
      <c r="F2193" s="4" t="n">
        <v>28.84819261971666</v>
      </c>
      <c r="G2193" s="4" t="n">
        <v>20</v>
      </c>
      <c r="H2193" s="5" t="n">
        <v>36.72284964512222</v>
      </c>
      <c r="I2193" s="5" t="n">
        <v>37.62589038964444</v>
      </c>
      <c r="J2193" s="5" t="n">
        <v>44.24812705534445</v>
      </c>
      <c r="K2193" s="5" t="n">
        <v>51</v>
      </c>
    </row>
    <row r="2194">
      <c r="A2194" s="2" t="n">
        <v>46188.79166666666</v>
      </c>
      <c r="B2194">
        <f>TEXT(A2194,"yyyy-mm")</f>
        <v/>
      </c>
      <c r="C2194" s="3">
        <f>HOUR(A2194)</f>
        <v/>
      </c>
      <c r="D2194" s="4" t="n">
        <v>25.58303043628889</v>
      </c>
      <c r="E2194" s="4" t="n">
        <v>27.612909473025</v>
      </c>
      <c r="F2194" s="4" t="n">
        <v>28.7980494531</v>
      </c>
      <c r="G2194" s="4" t="n">
        <v>19.7</v>
      </c>
      <c r="H2194" s="5" t="n">
        <v>35.45182057136667</v>
      </c>
      <c r="I2194" s="5" t="n">
        <v>36.5731658075</v>
      </c>
      <c r="J2194" s="5" t="n">
        <v>44.82566816349166</v>
      </c>
      <c r="K2194" s="5" t="n">
        <v>49</v>
      </c>
    </row>
    <row r="2195">
      <c r="A2195" s="2" t="n">
        <v>46188.83333333334</v>
      </c>
      <c r="B2195">
        <f>TEXT(A2195,"yyyy-mm")</f>
        <v/>
      </c>
      <c r="C2195" s="3">
        <f>HOUR(A2195)</f>
        <v/>
      </c>
      <c r="D2195" s="4" t="n">
        <v>24.77556748976111</v>
      </c>
      <c r="E2195" s="4" t="n">
        <v>27.63660822455278</v>
      </c>
      <c r="F2195" s="4" t="n">
        <v>29.03447438083333</v>
      </c>
      <c r="G2195" s="4" t="n">
        <v>18.9</v>
      </c>
      <c r="H2195" s="5" t="n">
        <v>35.59823943533056</v>
      </c>
      <c r="I2195" s="5" t="n">
        <v>32.76669429783889</v>
      </c>
      <c r="J2195" s="5" t="n">
        <v>44.23284159939723</v>
      </c>
      <c r="K2195" s="5" t="n">
        <v>53</v>
      </c>
    </row>
    <row r="2196">
      <c r="A2196" s="2" t="n">
        <v>46188.875</v>
      </c>
      <c r="B2196">
        <f>TEXT(A2196,"yyyy-mm")</f>
        <v/>
      </c>
      <c r="C2196" s="3">
        <f>HOUR(A2196)</f>
        <v/>
      </c>
      <c r="D2196" s="4" t="n">
        <v>24.1344478984</v>
      </c>
      <c r="E2196" s="4" t="n">
        <v>27.78443868911112</v>
      </c>
      <c r="F2196" s="4" t="n">
        <v>29.07889875787222</v>
      </c>
      <c r="G2196" s="4" t="n">
        <v>17.5</v>
      </c>
      <c r="H2196" s="5" t="n">
        <v>39.82402128701389</v>
      </c>
      <c r="I2196" s="5" t="n">
        <v>36.14105763961389</v>
      </c>
      <c r="J2196" s="5" t="n">
        <v>43.92751188227778</v>
      </c>
      <c r="K2196" s="5" t="n">
        <v>60</v>
      </c>
    </row>
    <row r="2197">
      <c r="A2197" s="2" t="n">
        <v>46188.91666666666</v>
      </c>
      <c r="B2197">
        <f>TEXT(A2197,"yyyy-mm")</f>
        <v/>
      </c>
      <c r="C2197" s="3">
        <f>HOUR(A2197)</f>
        <v/>
      </c>
      <c r="D2197" s="4" t="n">
        <v>23.50060477961945</v>
      </c>
      <c r="E2197" s="4" t="n">
        <v>27.62948527367222</v>
      </c>
      <c r="F2197" s="4" t="n">
        <v>29.11651166723611</v>
      </c>
      <c r="G2197" s="4" t="n">
        <v>16.4</v>
      </c>
      <c r="H2197" s="5" t="n">
        <v>43.00279432642222</v>
      </c>
      <c r="I2197" s="5" t="n">
        <v>40.375884476425</v>
      </c>
      <c r="J2197" s="5" t="n">
        <v>44.14571311964166</v>
      </c>
      <c r="K2197" s="5" t="n">
        <v>68</v>
      </c>
    </row>
    <row r="2198">
      <c r="A2198" s="2" t="n">
        <v>46188.95833333334</v>
      </c>
      <c r="B2198">
        <f>TEXT(A2198,"yyyy-mm")</f>
        <v/>
      </c>
      <c r="C2198" s="3">
        <f>HOUR(A2198)</f>
        <v/>
      </c>
      <c r="D2198" s="4" t="n">
        <v>23.37521273675833</v>
      </c>
      <c r="E2198" s="4" t="n">
        <v>26.87819258578889</v>
      </c>
      <c r="F2198" s="4" t="n">
        <v>29.107381708425</v>
      </c>
      <c r="G2198" s="4" t="n">
        <v>15.8</v>
      </c>
      <c r="H2198" s="5" t="n">
        <v>41.0239441143</v>
      </c>
      <c r="I2198" s="5" t="n">
        <v>36.72567947373333</v>
      </c>
      <c r="J2198" s="5" t="n">
        <v>44.02281983695833</v>
      </c>
      <c r="K2198" s="5" t="n">
        <v>72</v>
      </c>
    </row>
    <row r="2199">
      <c r="A2199" s="2" t="n">
        <v>46189</v>
      </c>
      <c r="B2199">
        <f>TEXT(A2199,"yyyy-mm")</f>
        <v/>
      </c>
      <c r="C2199" s="3">
        <f>HOUR(A2199)</f>
        <v/>
      </c>
      <c r="D2199" s="4" t="n">
        <v>23.20812506905278</v>
      </c>
      <c r="E2199" s="4" t="n">
        <v>26.61906075713333</v>
      </c>
      <c r="F2199" s="4" t="n">
        <v>29.08821521951111</v>
      </c>
      <c r="G2199" s="4" t="n">
        <v>15.2</v>
      </c>
      <c r="H2199" s="5" t="n">
        <v>41.64147963536389</v>
      </c>
      <c r="I2199" s="5" t="n">
        <v>37.03012201048333</v>
      </c>
      <c r="J2199" s="5" t="n">
        <v>43.91618976558333</v>
      </c>
      <c r="K2199" s="5" t="n">
        <v>73</v>
      </c>
    </row>
    <row r="2200">
      <c r="A2200" s="2" t="n">
        <v>46189.04166666666</v>
      </c>
      <c r="B2200">
        <f>TEXT(A2200,"yyyy-mm")</f>
        <v/>
      </c>
      <c r="C2200" s="3">
        <f>HOUR(A2200)</f>
        <v/>
      </c>
      <c r="D2200" s="4" t="n">
        <v>22.54283401354445</v>
      </c>
      <c r="E2200" s="4" t="n">
        <v>26.34324394559445</v>
      </c>
      <c r="F2200" s="4" t="n">
        <v>29.040770882225</v>
      </c>
      <c r="G2200" s="4" t="n">
        <v>14.3</v>
      </c>
      <c r="H2200" s="5" t="n">
        <v>43.03589226393056</v>
      </c>
      <c r="I2200" s="5" t="n">
        <v>36.89228519490555</v>
      </c>
      <c r="J2200" s="5" t="n">
        <v>43.84595084382222</v>
      </c>
      <c r="K2200" s="5" t="n">
        <v>76</v>
      </c>
    </row>
    <row r="2201">
      <c r="A2201" s="2" t="n">
        <v>46189.08333333334</v>
      </c>
      <c r="B2201">
        <f>TEXT(A2201,"yyyy-mm")</f>
        <v/>
      </c>
      <c r="C2201" s="3">
        <f>HOUR(A2201)</f>
        <v/>
      </c>
      <c r="D2201" s="4" t="n">
        <v>22.35840911063056</v>
      </c>
      <c r="E2201" s="4" t="n">
        <v>25.71285365809722</v>
      </c>
      <c r="F2201" s="4" t="n">
        <v>28.99827995459722</v>
      </c>
      <c r="G2201" s="4" t="n">
        <v>13.8</v>
      </c>
      <c r="H2201" s="5" t="n">
        <v>43.11321771509722</v>
      </c>
      <c r="I2201" s="5" t="n">
        <v>37.60309532411389</v>
      </c>
      <c r="J2201" s="5" t="n">
        <v>43.6936869724</v>
      </c>
      <c r="K2201" s="5" t="n">
        <v>78</v>
      </c>
    </row>
    <row r="2202">
      <c r="A2202" s="2" t="n">
        <v>46189.125</v>
      </c>
      <c r="B2202">
        <f>TEXT(A2202,"yyyy-mm")</f>
        <v/>
      </c>
      <c r="C2202" s="3">
        <f>HOUR(A2202)</f>
        <v/>
      </c>
      <c r="D2202" s="4" t="n">
        <v>21.53765036138612</v>
      </c>
      <c r="E2202" s="4" t="n">
        <v>25.35655686062778</v>
      </c>
      <c r="F2202" s="4" t="n">
        <v>28.94568746273333</v>
      </c>
      <c r="G2202" s="4" t="n">
        <v>13.8</v>
      </c>
      <c r="H2202" s="5" t="n">
        <v>46.35923071756944</v>
      </c>
      <c r="I2202" s="5" t="n">
        <v>38.75531707176111</v>
      </c>
      <c r="J2202" s="5" t="n">
        <v>43.65497837610278</v>
      </c>
      <c r="K2202" s="5" t="n">
        <v>73</v>
      </c>
    </row>
    <row r="2203">
      <c r="A2203" s="2" t="n">
        <v>46189.16666666666</v>
      </c>
      <c r="B2203">
        <f>TEXT(A2203,"yyyy-mm")</f>
        <v/>
      </c>
      <c r="C2203" s="3">
        <f>HOUR(A2203)</f>
        <v/>
      </c>
      <c r="D2203" s="4" t="n">
        <v>20.45442371626074</v>
      </c>
      <c r="E2203" s="4" t="n">
        <v>25.12622504838333</v>
      </c>
      <c r="F2203" s="4" t="n">
        <v>28.91449784045</v>
      </c>
      <c r="G2203" s="4" t="n">
        <v>12.9</v>
      </c>
      <c r="H2203" s="5" t="n">
        <v>49.00069882765367</v>
      </c>
      <c r="I2203" s="5" t="n">
        <v>38.66539196603889</v>
      </c>
      <c r="J2203" s="5" t="n">
        <v>43.61319208925833</v>
      </c>
      <c r="K2203" s="5" t="n">
        <v>77</v>
      </c>
    </row>
    <row r="2204">
      <c r="A2204" s="2" t="n">
        <v>46189.20833333334</v>
      </c>
      <c r="B2204">
        <f>TEXT(A2204,"yyyy-mm")</f>
        <v/>
      </c>
      <c r="C2204" s="3">
        <f>HOUR(A2204)</f>
        <v/>
      </c>
      <c r="D2204" s="4" t="n">
        <v>21.36344813915555</v>
      </c>
      <c r="E2204" s="4" t="n">
        <v>25.067017759575</v>
      </c>
      <c r="F2204" s="4" t="n">
        <v>28.86625452606112</v>
      </c>
      <c r="G2204" s="4" t="n">
        <v>12.6</v>
      </c>
      <c r="H2204" s="5" t="n">
        <v>45.17161815575833</v>
      </c>
      <c r="I2204" s="5" t="n">
        <v>38.05581486535556</v>
      </c>
      <c r="J2204" s="5" t="n">
        <v>43.53616636590277</v>
      </c>
      <c r="K2204" s="5" t="n">
        <v>78</v>
      </c>
    </row>
    <row r="2205">
      <c r="A2205" s="2" t="n">
        <v>46189.25</v>
      </c>
      <c r="B2205">
        <f>TEXT(A2205,"yyyy-mm")</f>
        <v/>
      </c>
      <c r="C2205" s="3">
        <f>HOUR(A2205)</f>
        <v/>
      </c>
      <c r="D2205" s="4" t="n">
        <v>23.101507235</v>
      </c>
      <c r="E2205" s="4" t="n">
        <v>25.49061786489445</v>
      </c>
      <c r="F2205" s="4" t="n">
        <v>28.86753492797778</v>
      </c>
      <c r="G2205" s="4" t="n">
        <v>13.5</v>
      </c>
      <c r="H2205" s="5" t="n">
        <v>40.20287842463889</v>
      </c>
      <c r="I2205" s="5" t="n">
        <v>37.35296673626112</v>
      </c>
      <c r="J2205" s="5" t="n">
        <v>43.43272124004167</v>
      </c>
      <c r="K2205" s="5" t="n">
        <v>76</v>
      </c>
    </row>
    <row r="2206">
      <c r="A2206" s="2" t="n">
        <v>46189.29166666666</v>
      </c>
      <c r="B2206">
        <f>TEXT(A2206,"yyyy-mm")</f>
        <v/>
      </c>
      <c r="C2206" s="3">
        <f>HOUR(A2206)</f>
        <v/>
      </c>
      <c r="D2206" s="4" t="n">
        <v>24.23447909482222</v>
      </c>
      <c r="E2206" s="4" t="n">
        <v>26.136622204</v>
      </c>
      <c r="F2206" s="4" t="n">
        <v>28.90808602365556</v>
      </c>
      <c r="G2206" s="4" t="n">
        <v>15</v>
      </c>
      <c r="H2206" s="5" t="n">
        <v>38.63762496221667</v>
      </c>
      <c r="I2206" s="5" t="n">
        <v>37.39428198390834</v>
      </c>
      <c r="J2206" s="5" t="n">
        <v>43.42843814501389</v>
      </c>
      <c r="K2206" s="5" t="n">
        <v>71</v>
      </c>
    </row>
    <row r="2207">
      <c r="A2207" s="2" t="n">
        <v>46189.33333333334</v>
      </c>
      <c r="B2207">
        <f>TEXT(A2207,"yyyy-mm")</f>
        <v/>
      </c>
      <c r="C2207" s="3">
        <f>HOUR(A2207)</f>
        <v/>
      </c>
      <c r="D2207" s="4" t="n">
        <v>25.20266925994444</v>
      </c>
      <c r="E2207" s="4" t="n">
        <v>26.7833258484</v>
      </c>
      <c r="F2207" s="4" t="n">
        <v>28.95974100213333</v>
      </c>
      <c r="G2207" s="4" t="n">
        <v>16.8</v>
      </c>
      <c r="H2207" s="5" t="n">
        <v>36.41675213632778</v>
      </c>
      <c r="I2207" s="5" t="n">
        <v>36.0534109676</v>
      </c>
      <c r="J2207" s="5" t="n">
        <v>43.50297942555556</v>
      </c>
      <c r="K2207" s="5" t="n">
        <v>64</v>
      </c>
    </row>
    <row r="2208">
      <c r="A2208" s="2" t="n">
        <v>46189.375</v>
      </c>
      <c r="B2208">
        <f>TEXT(A2208,"yyyy-mm")</f>
        <v/>
      </c>
      <c r="C2208" s="3">
        <f>HOUR(A2208)</f>
        <v/>
      </c>
      <c r="D2208" s="4" t="n">
        <v>25.81458809125833</v>
      </c>
      <c r="E2208" s="4" t="n">
        <v>27.04183527458889</v>
      </c>
      <c r="F2208" s="4" t="n">
        <v>28.99857426316944</v>
      </c>
      <c r="G2208" s="4" t="n">
        <v>18.6</v>
      </c>
      <c r="H2208" s="5" t="n">
        <v>33.6442103</v>
      </c>
      <c r="I2208" s="5" t="n">
        <v>35.09867975202778</v>
      </c>
      <c r="J2208" s="5" t="n">
        <v>43.52844715172222</v>
      </c>
      <c r="K2208" s="5" t="n">
        <v>57</v>
      </c>
    </row>
    <row r="2209">
      <c r="A2209" s="2" t="n">
        <v>46189.41666666666</v>
      </c>
      <c r="B2209">
        <f>TEXT(A2209,"yyyy-mm")</f>
        <v/>
      </c>
      <c r="C2209" s="3">
        <f>HOUR(A2209)</f>
        <v/>
      </c>
      <c r="D2209" s="4" t="n">
        <v>26.09840070621945</v>
      </c>
      <c r="E2209" s="4" t="n">
        <v>27.58474954818333</v>
      </c>
      <c r="F2209" s="4" t="n">
        <v>29.03514599956666</v>
      </c>
      <c r="G2209" s="4" t="n">
        <v>19.6</v>
      </c>
      <c r="H2209" s="5" t="n">
        <v>31.47256250630278</v>
      </c>
      <c r="I2209" s="5" t="n">
        <v>36.30351386563611</v>
      </c>
      <c r="J2209" s="5" t="n">
        <v>43.54515067788889</v>
      </c>
      <c r="K2209" s="5" t="n">
        <v>50</v>
      </c>
    </row>
    <row r="2210">
      <c r="A2210" s="2" t="n">
        <v>46189.45833333334</v>
      </c>
      <c r="B2210">
        <f>TEXT(A2210,"yyyy-mm")</f>
        <v/>
      </c>
      <c r="C2210" s="3">
        <f>HOUR(A2210)</f>
        <v/>
      </c>
      <c r="D2210" s="4" t="n">
        <v>25.89649295628611</v>
      </c>
      <c r="E2210" s="4" t="n">
        <v>27.35758386476389</v>
      </c>
      <c r="F2210" s="4" t="n">
        <v>29.05945614784167</v>
      </c>
      <c r="G2210" s="4" t="n">
        <v>20.3</v>
      </c>
      <c r="H2210" s="5" t="n">
        <v>30.40125707729445</v>
      </c>
      <c r="I2210" s="5" t="n">
        <v>33.93966291076111</v>
      </c>
      <c r="J2210" s="5" t="n">
        <v>43.54154546674167</v>
      </c>
      <c r="K2210" s="5" t="n">
        <v>46</v>
      </c>
    </row>
    <row r="2211">
      <c r="A2211" s="2" t="n">
        <v>46189.5</v>
      </c>
      <c r="B2211">
        <f>TEXT(A2211,"yyyy-mm")</f>
        <v/>
      </c>
      <c r="C2211" s="3">
        <f>HOUR(A2211)</f>
        <v/>
      </c>
      <c r="D2211" s="4" t="n">
        <v>25.84041903829722</v>
      </c>
      <c r="E2211" s="4" t="n">
        <v>27.42863581810556</v>
      </c>
      <c r="F2211" s="4" t="n">
        <v>29.05237714573612</v>
      </c>
      <c r="G2211" s="4" t="n">
        <v>20.9</v>
      </c>
      <c r="H2211" s="5" t="n">
        <v>31.04116529447777</v>
      </c>
      <c r="I2211" s="5" t="n">
        <v>33.195869056325</v>
      </c>
      <c r="J2211" s="5" t="n">
        <v>43.43500487982777</v>
      </c>
      <c r="K2211" s="5" t="n">
        <v>47</v>
      </c>
    </row>
    <row r="2212">
      <c r="A2212" s="2" t="n">
        <v>46189.54166666666</v>
      </c>
      <c r="B2212">
        <f>TEXT(A2212,"yyyy-mm")</f>
        <v/>
      </c>
      <c r="C2212" s="3">
        <f>HOUR(A2212)</f>
        <v/>
      </c>
      <c r="D2212" s="4" t="n">
        <v>25.78333644398333</v>
      </c>
      <c r="E2212" s="4" t="n">
        <v>27.30491753883055</v>
      </c>
      <c r="F2212" s="4" t="n">
        <v>29.04783329491667</v>
      </c>
      <c r="G2212" s="4" t="n">
        <v>21.7</v>
      </c>
      <c r="H2212" s="5" t="n">
        <v>31.49727370081667</v>
      </c>
      <c r="I2212" s="5" t="n">
        <v>32.28018597883889</v>
      </c>
      <c r="J2212" s="5" t="n">
        <v>43.34001015730278</v>
      </c>
      <c r="K2212" s="5" t="n">
        <v>45</v>
      </c>
    </row>
    <row r="2213">
      <c r="A2213" s="2" t="n">
        <v>46189.58333333334</v>
      </c>
      <c r="B2213">
        <f>TEXT(A2213,"yyyy-mm")</f>
        <v/>
      </c>
      <c r="C2213" s="3">
        <f>HOUR(A2213)</f>
        <v/>
      </c>
      <c r="D2213" s="4" t="n">
        <v>25.32844330428611</v>
      </c>
      <c r="E2213" s="4" t="n">
        <v>27.0235626161</v>
      </c>
      <c r="F2213" s="4" t="n">
        <v>29.03440895151667</v>
      </c>
      <c r="G2213" s="4" t="n">
        <v>21.7</v>
      </c>
      <c r="H2213" s="5" t="n">
        <v>33.77812365034444</v>
      </c>
      <c r="I2213" s="5" t="n">
        <v>33.06991469830556</v>
      </c>
      <c r="J2213" s="5" t="n">
        <v>43.16548924250278</v>
      </c>
      <c r="K2213" s="5" t="n">
        <v>45</v>
      </c>
    </row>
    <row r="2214">
      <c r="A2214" s="2" t="n">
        <v>46189.625</v>
      </c>
      <c r="B2214">
        <f>TEXT(A2214,"yyyy-mm")</f>
        <v/>
      </c>
      <c r="C2214" s="3">
        <f>HOUR(A2214)</f>
        <v/>
      </c>
      <c r="D2214" s="4" t="n">
        <v>24.72142641695556</v>
      </c>
      <c r="E2214" s="4" t="n">
        <v>26.82770960135833</v>
      </c>
      <c r="F2214" s="4" t="n">
        <v>28.620927624375</v>
      </c>
      <c r="G2214" s="4" t="n">
        <v>20.9</v>
      </c>
      <c r="H2214" s="5" t="n">
        <v>36.10449632183611</v>
      </c>
      <c r="I2214" s="5" t="n">
        <v>35.68643204987778</v>
      </c>
      <c r="J2214" s="5" t="n">
        <v>41.72769180886389</v>
      </c>
      <c r="K2214" s="5" t="n">
        <v>46</v>
      </c>
    </row>
    <row r="2215">
      <c r="A2215" s="2" t="n">
        <v>46189.66666666666</v>
      </c>
      <c r="B2215">
        <f>TEXT(A2215,"yyyy-mm")</f>
        <v/>
      </c>
      <c r="C2215" s="3">
        <f>HOUR(A2215)</f>
        <v/>
      </c>
      <c r="D2215" s="4" t="n">
        <v>24.60322858056111</v>
      </c>
      <c r="E2215" s="4" t="n">
        <v>26.38826096153333</v>
      </c>
      <c r="F2215" s="4" t="n">
        <v>28.94053662793056</v>
      </c>
      <c r="G2215" s="4" t="n">
        <v>19.2</v>
      </c>
      <c r="H2215" s="5" t="n">
        <v>36.32524292285278</v>
      </c>
      <c r="I2215" s="5" t="n">
        <v>39.54210138855</v>
      </c>
      <c r="J2215" s="5" t="n">
        <v>42.77804956522778</v>
      </c>
      <c r="K2215" s="5" t="n">
        <v>57</v>
      </c>
    </row>
    <row r="2216">
      <c r="A2216" s="2" t="n">
        <v>46189.70833333334</v>
      </c>
      <c r="B2216">
        <f>TEXT(A2216,"yyyy-mm")</f>
        <v/>
      </c>
      <c r="C2216" s="3">
        <f>HOUR(A2216)</f>
        <v/>
      </c>
      <c r="D2216" s="4" t="n">
        <v>24.77858397207222</v>
      </c>
      <c r="E2216" s="4" t="n">
        <v>26.24084427455556</v>
      </c>
      <c r="F2216" s="4" t="n">
        <v>29.13262575388333</v>
      </c>
      <c r="G2216" s="4" t="n">
        <v>21</v>
      </c>
      <c r="H2216" s="5" t="n">
        <v>35.44747270905555</v>
      </c>
      <c r="I2216" s="5" t="n">
        <v>38.67587290869444</v>
      </c>
      <c r="J2216" s="5" t="n">
        <v>43.1054028099</v>
      </c>
      <c r="K2216" s="5" t="n">
        <v>43</v>
      </c>
    </row>
    <row r="2217">
      <c r="A2217" s="2" t="n">
        <v>46189.75</v>
      </c>
      <c r="B2217">
        <f>TEXT(A2217,"yyyy-mm")</f>
        <v/>
      </c>
      <c r="C2217" s="3">
        <f>HOUR(A2217)</f>
        <v/>
      </c>
      <c r="D2217" s="4" t="n">
        <v>24.827049412725</v>
      </c>
      <c r="E2217" s="4" t="n">
        <v>26.45102411596111</v>
      </c>
      <c r="F2217" s="4" t="n">
        <v>29.23939599075556</v>
      </c>
      <c r="G2217" s="4" t="n">
        <v>21.1</v>
      </c>
      <c r="H2217" s="5" t="n">
        <v>37.16968190815</v>
      </c>
      <c r="I2217" s="5" t="n">
        <v>39.49183581539722</v>
      </c>
      <c r="J2217" s="5" t="n">
        <v>43.23036763225278</v>
      </c>
      <c r="K2217" s="5" t="n">
        <v>41</v>
      </c>
    </row>
    <row r="2218">
      <c r="A2218" s="2" t="n">
        <v>46189.79166666666</v>
      </c>
      <c r="B2218">
        <f>TEXT(A2218,"yyyy-mm")</f>
        <v/>
      </c>
      <c r="C2218" s="3">
        <f>HOUR(A2218)</f>
        <v/>
      </c>
      <c r="D2218" s="4" t="n">
        <v>24.71510994198889</v>
      </c>
      <c r="E2218" s="4" t="n">
        <v>26.36056572106666</v>
      </c>
      <c r="F2218" s="4" t="n">
        <v>29.32688439450277</v>
      </c>
      <c r="G2218" s="4" t="n">
        <v>20.6</v>
      </c>
      <c r="H2218" s="5" t="n">
        <v>40.37041945697222</v>
      </c>
      <c r="I2218" s="5" t="n">
        <v>40.47460407070833</v>
      </c>
      <c r="J2218" s="5" t="n">
        <v>43.39749046162223</v>
      </c>
      <c r="K2218" s="5" t="n">
        <v>43</v>
      </c>
    </row>
    <row r="2219">
      <c r="A2219" s="2" t="n">
        <v>46189.83333333334</v>
      </c>
      <c r="B2219">
        <f>TEXT(A2219,"yyyy-mm")</f>
        <v/>
      </c>
      <c r="C2219" s="3">
        <f>HOUR(A2219)</f>
        <v/>
      </c>
      <c r="D2219" s="4" t="n">
        <v>24.3831672396</v>
      </c>
      <c r="E2219" s="4" t="n">
        <v>26.38975354787778</v>
      </c>
      <c r="F2219" s="4" t="n">
        <v>29.39063482949166</v>
      </c>
      <c r="G2219" s="4" t="n">
        <v>19.5</v>
      </c>
      <c r="H2219" s="5" t="n">
        <v>46.64913196204722</v>
      </c>
      <c r="I2219" s="5" t="n">
        <v>43.50787008192222</v>
      </c>
      <c r="J2219" s="5" t="n">
        <v>44.02553472906112</v>
      </c>
      <c r="K2219" s="5" t="n">
        <v>50</v>
      </c>
    </row>
    <row r="2220">
      <c r="A2220" s="2" t="n">
        <v>46189.875</v>
      </c>
      <c r="B2220">
        <f>TEXT(A2220,"yyyy-mm")</f>
        <v/>
      </c>
      <c r="C2220" s="3">
        <f>HOUR(A2220)</f>
        <v/>
      </c>
      <c r="D2220" s="4" t="n">
        <v>23.88163259809722</v>
      </c>
      <c r="E2220" s="4" t="n">
        <v>26.36136669211667</v>
      </c>
      <c r="F2220" s="4" t="n">
        <v>29.37622272929444</v>
      </c>
      <c r="G2220" s="4" t="n">
        <v>18.1</v>
      </c>
      <c r="H2220" s="5" t="n">
        <v>46.12611590880277</v>
      </c>
      <c r="I2220" s="5" t="n">
        <v>42.83609839673889</v>
      </c>
      <c r="J2220" s="5" t="n">
        <v>44.59340519322223</v>
      </c>
      <c r="K2220" s="5" t="n">
        <v>56</v>
      </c>
    </row>
    <row r="2221">
      <c r="A2221" s="2" t="n">
        <v>46189.91666666666</v>
      </c>
      <c r="B2221">
        <f>TEXT(A2221,"yyyy-mm")</f>
        <v/>
      </c>
      <c r="C2221" s="3">
        <f>HOUR(A2221)</f>
        <v/>
      </c>
      <c r="D2221" s="4" t="n">
        <v>23.64154740150278</v>
      </c>
      <c r="E2221" s="4" t="n">
        <v>26.27379293839445</v>
      </c>
      <c r="F2221" s="4" t="n">
        <v>29.36171408413056</v>
      </c>
      <c r="G2221" s="4" t="n">
        <v>17.2</v>
      </c>
      <c r="H2221" s="5" t="n">
        <v>44.61803332861945</v>
      </c>
      <c r="I2221" s="5" t="n">
        <v>41.50212388578888</v>
      </c>
      <c r="J2221" s="5" t="n">
        <v>44.80867533983056</v>
      </c>
      <c r="K2221" s="5" t="n">
        <v>60</v>
      </c>
    </row>
    <row r="2222">
      <c r="A2222" s="2" t="n">
        <v>46189.95833333334</v>
      </c>
      <c r="B2222">
        <f>TEXT(A2222,"yyyy-mm")</f>
        <v/>
      </c>
      <c r="C2222" s="3">
        <f>HOUR(A2222)</f>
        <v/>
      </c>
      <c r="D2222" s="4" t="n">
        <v>24.57150609873889</v>
      </c>
      <c r="E2222" s="4" t="n">
        <v>26.19336064065834</v>
      </c>
      <c r="F2222" s="4" t="n">
        <v>29.39572983558056</v>
      </c>
      <c r="G2222" s="4" t="n">
        <v>16.2</v>
      </c>
      <c r="H2222" s="5" t="n">
        <v>45.95143597480278</v>
      </c>
      <c r="I2222" s="5" t="n">
        <v>43.452578115575</v>
      </c>
      <c r="J2222" s="5" t="n">
        <v>44.94545611762499</v>
      </c>
      <c r="K2222" s="5" t="n">
        <v>65</v>
      </c>
    </row>
    <row r="2223">
      <c r="A2223" s="2" t="n">
        <v>46190</v>
      </c>
      <c r="B2223">
        <f>TEXT(A2223,"yyyy-mm")</f>
        <v/>
      </c>
      <c r="C2223" s="3">
        <f>HOUR(A2223)</f>
        <v/>
      </c>
      <c r="D2223" s="4" t="n">
        <v>25.19127499412778</v>
      </c>
      <c r="E2223" s="4" t="n">
        <v>26.49179981058889</v>
      </c>
      <c r="F2223" s="4" t="n">
        <v>29.39341689008333</v>
      </c>
      <c r="G2223" s="4" t="n">
        <v>15.3</v>
      </c>
      <c r="H2223" s="5" t="n">
        <v>44.41353836888055</v>
      </c>
      <c r="I2223" s="5" t="n">
        <v>43.97123082348611</v>
      </c>
      <c r="J2223" s="5" t="n">
        <v>45.02461345198056</v>
      </c>
      <c r="K2223" s="5" t="n">
        <v>70</v>
      </c>
    </row>
    <row r="2224">
      <c r="A2224" s="2" t="n">
        <v>46190.04166666666</v>
      </c>
      <c r="B2224">
        <f>TEXT(A2224,"yyyy-mm")</f>
        <v/>
      </c>
      <c r="C2224" s="3">
        <f>HOUR(A2224)</f>
        <v/>
      </c>
      <c r="D2224" s="4" t="n">
        <v>25.21408007064722</v>
      </c>
      <c r="E2224" s="4" t="n">
        <v>26.28485951676667</v>
      </c>
      <c r="F2224" s="4" t="n">
        <v>29.37652747515278</v>
      </c>
      <c r="G2224" s="4" t="n">
        <v>14.6</v>
      </c>
      <c r="H2224" s="5" t="n">
        <v>43.18884076689722</v>
      </c>
      <c r="I2224" s="5" t="n">
        <v>43.09910283206667</v>
      </c>
      <c r="J2224" s="5" t="n">
        <v>45.06798919986667</v>
      </c>
      <c r="K2224" s="5" t="n">
        <v>73</v>
      </c>
    </row>
    <row r="2225">
      <c r="A2225" s="2" t="n">
        <v>46190.08333333334</v>
      </c>
      <c r="B2225">
        <f>TEXT(A2225,"yyyy-mm")</f>
        <v/>
      </c>
      <c r="C2225" s="3">
        <f>HOUR(A2225)</f>
        <v/>
      </c>
      <c r="D2225" s="4" t="n">
        <v>25.22381706795833</v>
      </c>
      <c r="E2225" s="4" t="n">
        <v>25.90584872073333</v>
      </c>
      <c r="F2225" s="4" t="n">
        <v>29.38157526865556</v>
      </c>
      <c r="G2225" s="4" t="n">
        <v>14.2</v>
      </c>
      <c r="H2225" s="5" t="n">
        <v>41.13686294002501</v>
      </c>
      <c r="I2225" s="5" t="n">
        <v>42.35584767249722</v>
      </c>
      <c r="J2225" s="5" t="n">
        <v>44.75000479301945</v>
      </c>
      <c r="K2225" s="5" t="n">
        <v>73</v>
      </c>
    </row>
    <row r="2226">
      <c r="A2226" s="2" t="n">
        <v>46190.125</v>
      </c>
      <c r="B2226">
        <f>TEXT(A2226,"yyyy-mm")</f>
        <v/>
      </c>
      <c r="C2226" s="3">
        <f>HOUR(A2226)</f>
        <v/>
      </c>
      <c r="D2226" s="4" t="n">
        <v>25.07649677804167</v>
      </c>
      <c r="E2226" s="4" t="n">
        <v>25.63284169325833</v>
      </c>
      <c r="F2226" s="4" t="n">
        <v>29.43579402848055</v>
      </c>
      <c r="G2226" s="4" t="n">
        <v>13.3</v>
      </c>
      <c r="H2226" s="5" t="n">
        <v>39.98335738834722</v>
      </c>
      <c r="I2226" s="5" t="n">
        <v>41.05425540464722</v>
      </c>
      <c r="J2226" s="5" t="n">
        <v>44.26819520271945</v>
      </c>
      <c r="K2226" s="5" t="n">
        <v>71</v>
      </c>
    </row>
    <row r="2227">
      <c r="A2227" s="2" t="n">
        <v>46190.16666666666</v>
      </c>
      <c r="B2227">
        <f>TEXT(A2227,"yyyy-mm")</f>
        <v/>
      </c>
      <c r="C2227" s="3">
        <f>HOUR(A2227)</f>
        <v/>
      </c>
      <c r="D2227" s="4" t="n">
        <v>24.9127119368</v>
      </c>
      <c r="E2227" s="4" t="n">
        <v>25.36265511665556</v>
      </c>
      <c r="F2227" s="4" t="n">
        <v>29.32856761811111</v>
      </c>
      <c r="G2227" s="4" t="n">
        <v>12.6</v>
      </c>
      <c r="H2227" s="5" t="n">
        <v>39.10547915558889</v>
      </c>
      <c r="I2227" s="5" t="n">
        <v>39.97498357056944</v>
      </c>
      <c r="J2227" s="5" t="n">
        <v>43.92506471725556</v>
      </c>
      <c r="K2227" s="5" t="n">
        <v>77</v>
      </c>
    </row>
    <row r="2228">
      <c r="A2228" s="2" t="n">
        <v>46190.20833333334</v>
      </c>
      <c r="B2228">
        <f>TEXT(A2228,"yyyy-mm")</f>
        <v/>
      </c>
      <c r="C2228" s="3">
        <f>HOUR(A2228)</f>
        <v/>
      </c>
      <c r="D2228" s="4" t="n">
        <v>24.94766962424722</v>
      </c>
      <c r="E2228" s="4" t="n">
        <v>25.40484621936945</v>
      </c>
      <c r="F2228" s="4" t="n">
        <v>29.29422201986111</v>
      </c>
      <c r="G2228" s="4" t="n">
        <v>12.3</v>
      </c>
      <c r="H2228" s="5" t="n">
        <v>38.67066059537501</v>
      </c>
      <c r="I2228" s="5" t="n">
        <v>39.76653766026389</v>
      </c>
      <c r="J2228" s="5" t="n">
        <v>43.59004379113611</v>
      </c>
      <c r="K2228" s="5" t="n">
        <v>80</v>
      </c>
    </row>
    <row r="2229">
      <c r="A2229" s="2" t="n">
        <v>46190.25</v>
      </c>
      <c r="B2229">
        <f>TEXT(A2229,"yyyy-mm")</f>
        <v/>
      </c>
      <c r="C2229" s="3">
        <f>HOUR(A2229)</f>
        <v/>
      </c>
      <c r="D2229" s="4" t="n">
        <v>25.502395650025</v>
      </c>
      <c r="E2229" s="4" t="n">
        <v>25.76949047927222</v>
      </c>
      <c r="F2229" s="4" t="n">
        <v>29.29094836795555</v>
      </c>
      <c r="G2229" s="4" t="n">
        <v>13.1</v>
      </c>
      <c r="H2229" s="5" t="n">
        <v>38.03029941855</v>
      </c>
      <c r="I2229" s="5" t="n">
        <v>40.32660323475277</v>
      </c>
      <c r="J2229" s="5" t="n">
        <v>43.72536892838056</v>
      </c>
      <c r="K2229" s="5" t="n">
        <v>78</v>
      </c>
    </row>
    <row r="2230">
      <c r="A2230" s="2" t="n">
        <v>46190.29166666666</v>
      </c>
      <c r="B2230">
        <f>TEXT(A2230,"yyyy-mm")</f>
        <v/>
      </c>
      <c r="C2230" s="3">
        <f>HOUR(A2230)</f>
        <v/>
      </c>
      <c r="D2230" s="4" t="n">
        <v>26.14981651778056</v>
      </c>
      <c r="E2230" s="4" t="n">
        <v>26.37908821837222</v>
      </c>
      <c r="F2230" s="4" t="n">
        <v>29.28775004356666</v>
      </c>
      <c r="G2230" s="4" t="n">
        <v>14.3</v>
      </c>
      <c r="H2230" s="5" t="n">
        <v>37.71118788318056</v>
      </c>
      <c r="I2230" s="5" t="n">
        <v>38.84029350252778</v>
      </c>
      <c r="J2230" s="5" t="n">
        <v>43.71459899685834</v>
      </c>
      <c r="K2230" s="5" t="n">
        <v>73</v>
      </c>
    </row>
    <row r="2231">
      <c r="A2231" s="2" t="n">
        <v>46190.33333333334</v>
      </c>
      <c r="B2231">
        <f>TEXT(A2231,"yyyy-mm")</f>
        <v/>
      </c>
      <c r="C2231" s="3">
        <f>HOUR(A2231)</f>
        <v/>
      </c>
      <c r="D2231" s="4" t="n">
        <v>26.93541316956111</v>
      </c>
      <c r="E2231" s="4" t="n">
        <v>26.84045032723889</v>
      </c>
      <c r="F2231" s="4" t="n">
        <v>29.28106751445278</v>
      </c>
      <c r="G2231" s="4" t="n">
        <v>15.9</v>
      </c>
      <c r="H2231" s="5" t="n">
        <v>36.81390448441667</v>
      </c>
      <c r="I2231" s="5" t="n">
        <v>38.68116589968333</v>
      </c>
      <c r="J2231" s="5" t="n">
        <v>43.74629793514445</v>
      </c>
      <c r="K2231" s="5" t="n">
        <v>68</v>
      </c>
    </row>
    <row r="2232">
      <c r="A2232" s="2" t="n">
        <v>46190.375</v>
      </c>
      <c r="B2232">
        <f>TEXT(A2232,"yyyy-mm")</f>
        <v/>
      </c>
      <c r="C2232" s="3">
        <f>HOUR(A2232)</f>
        <v/>
      </c>
      <c r="D2232" s="4" t="n">
        <v>27.3375221183</v>
      </c>
      <c r="E2232" s="4" t="n">
        <v>27.27656282985833</v>
      </c>
      <c r="F2232" s="4" t="n">
        <v>29.3111150578</v>
      </c>
      <c r="G2232" s="4" t="n">
        <v>17.6</v>
      </c>
      <c r="H2232" s="5" t="n">
        <v>36.79939945401112</v>
      </c>
      <c r="I2232" s="5" t="n">
        <v>38.28667874458055</v>
      </c>
      <c r="J2232" s="5" t="n">
        <v>43.77238916655833</v>
      </c>
      <c r="K2232" s="5" t="n">
        <v>61</v>
      </c>
    </row>
    <row r="2233">
      <c r="A2233" s="2" t="n">
        <v>46190.41666666666</v>
      </c>
      <c r="B2233">
        <f>TEXT(A2233,"yyyy-mm")</f>
        <v/>
      </c>
      <c r="C2233" s="3">
        <f>HOUR(A2233)</f>
        <v/>
      </c>
      <c r="D2233" s="4" t="n">
        <v>27.14744279860833</v>
      </c>
      <c r="E2233" s="4" t="n">
        <v>27.42284892364445</v>
      </c>
      <c r="F2233" s="4" t="n">
        <v>29.30680133065833</v>
      </c>
      <c r="G2233" s="4" t="n">
        <v>19</v>
      </c>
      <c r="H2233" s="5" t="n">
        <v>35.19913460450834</v>
      </c>
      <c r="I2233" s="5" t="n">
        <v>37.87536796445</v>
      </c>
      <c r="J2233" s="5" t="n">
        <v>43.837702744725</v>
      </c>
      <c r="K2233" s="5" t="n">
        <v>53</v>
      </c>
    </row>
    <row r="2234">
      <c r="A2234" s="2" t="n">
        <v>46190.45833333334</v>
      </c>
      <c r="B2234">
        <f>TEXT(A2234,"yyyy-mm")</f>
        <v/>
      </c>
      <c r="C2234" s="3">
        <f>HOUR(A2234)</f>
        <v/>
      </c>
      <c r="D2234" s="4" t="n">
        <v>26.44016151347778</v>
      </c>
      <c r="E2234" s="4" t="n">
        <v>27.51218783507223</v>
      </c>
      <c r="F2234" s="4" t="n">
        <v>28.66806466715833</v>
      </c>
      <c r="G2234" s="4" t="n">
        <v>20.1</v>
      </c>
      <c r="H2234" s="5" t="n">
        <v>32.53268603073334</v>
      </c>
      <c r="I2234" s="5" t="n">
        <v>36.47403347347223</v>
      </c>
      <c r="J2234" s="5" t="n">
        <v>42.67695716424722</v>
      </c>
      <c r="K2234" s="5" t="n">
        <v>47</v>
      </c>
    </row>
    <row r="2235">
      <c r="A2235" s="2" t="n">
        <v>46190.5</v>
      </c>
      <c r="B2235">
        <f>TEXT(A2235,"yyyy-mm")</f>
        <v/>
      </c>
      <c r="C2235" s="3">
        <f>HOUR(A2235)</f>
        <v/>
      </c>
      <c r="D2235" s="4" t="n">
        <v>26.222421076825</v>
      </c>
      <c r="E2235" s="4" t="n">
        <v>27.44875519271945</v>
      </c>
      <c r="F2235" s="4" t="n">
        <v>28.34596621732778</v>
      </c>
      <c r="G2235" s="4" t="n">
        <v>21</v>
      </c>
      <c r="H2235" s="5" t="n">
        <v>31.88511289536667</v>
      </c>
      <c r="I2235" s="5" t="n">
        <v>34.55195367951666</v>
      </c>
      <c r="J2235" s="5" t="n">
        <v>42.21878751524167</v>
      </c>
      <c r="K2235" s="5" t="n">
        <v>42</v>
      </c>
    </row>
    <row r="2236">
      <c r="A2236" s="2" t="n">
        <v>46190.54166666666</v>
      </c>
      <c r="B2236">
        <f>TEXT(A2236,"yyyy-mm")</f>
        <v/>
      </c>
      <c r="C2236" s="3">
        <f>HOUR(A2236)</f>
        <v/>
      </c>
      <c r="D2236" s="4" t="n">
        <v>25.86080719118056</v>
      </c>
      <c r="E2236" s="4" t="n">
        <v>27.23050636278611</v>
      </c>
      <c r="F2236" s="4" t="n">
        <v>28.89145803874166</v>
      </c>
      <c r="G2236" s="4" t="n">
        <v>21.8</v>
      </c>
      <c r="H2236" s="5" t="n">
        <v>30.06283825040556</v>
      </c>
      <c r="I2236" s="5" t="n">
        <v>32.40107145098055</v>
      </c>
      <c r="J2236" s="5" t="n">
        <v>42.101635406075</v>
      </c>
      <c r="K2236" s="5" t="n">
        <v>40</v>
      </c>
    </row>
    <row r="2237">
      <c r="A2237" s="2" t="n">
        <v>46190.58333333334</v>
      </c>
      <c r="B2237">
        <f>TEXT(A2237,"yyyy-mm")</f>
        <v/>
      </c>
      <c r="C2237" s="3">
        <f>HOUR(A2237)</f>
        <v/>
      </c>
      <c r="D2237" s="4" t="n">
        <v>25.06433124969723</v>
      </c>
      <c r="E2237" s="4" t="n">
        <v>27.08010711879444</v>
      </c>
      <c r="F2237" s="4" t="n">
        <v>29.01814188245278</v>
      </c>
      <c r="G2237" s="4" t="n">
        <v>22</v>
      </c>
      <c r="H2237" s="5" t="n">
        <v>34.03626737145</v>
      </c>
      <c r="I2237" s="5" t="n">
        <v>32.94564451233889</v>
      </c>
      <c r="J2237" s="5" t="n">
        <v>41.49421043239722</v>
      </c>
      <c r="K2237" s="5" t="n">
        <v>40</v>
      </c>
    </row>
    <row r="2238">
      <c r="A2238" s="2" t="n">
        <v>46190.625</v>
      </c>
      <c r="B2238">
        <f>TEXT(A2238,"yyyy-mm")</f>
        <v/>
      </c>
      <c r="C2238" s="3">
        <f>HOUR(A2238)</f>
        <v/>
      </c>
      <c r="D2238" s="4" t="n">
        <v>23.8903747515</v>
      </c>
      <c r="E2238" s="4" t="n">
        <v>26.71770738691111</v>
      </c>
      <c r="F2238" s="4" t="n">
        <v>29.06535122541666</v>
      </c>
      <c r="G2238" s="4" t="n">
        <v>20.3</v>
      </c>
      <c r="H2238" s="5" t="n">
        <v>42.37790351587778</v>
      </c>
      <c r="I2238" s="5" t="n">
        <v>38.05742367735278</v>
      </c>
      <c r="J2238" s="5" t="n">
        <v>42.51813905576945</v>
      </c>
      <c r="K2238" s="5" t="n">
        <v>49</v>
      </c>
    </row>
    <row r="2239">
      <c r="A2239" s="2" t="n">
        <v>46190.66666666666</v>
      </c>
      <c r="B2239">
        <f>TEXT(A2239,"yyyy-mm")</f>
        <v/>
      </c>
      <c r="C2239" s="3">
        <f>HOUR(A2239)</f>
        <v/>
      </c>
      <c r="D2239" s="4" t="n">
        <v>23.70612385218056</v>
      </c>
      <c r="E2239" s="4" t="n">
        <v>26.65027673169445</v>
      </c>
      <c r="F2239" s="4" t="n">
        <v>29.20098639291945</v>
      </c>
      <c r="G2239" s="4" t="n">
        <v>18.5</v>
      </c>
      <c r="H2239" s="5" t="n">
        <v>42.443611052975</v>
      </c>
      <c r="I2239" s="5" t="n">
        <v>39.30090717025833</v>
      </c>
      <c r="J2239" s="5" t="n">
        <v>42.82658907743056</v>
      </c>
      <c r="K2239" s="5" t="n">
        <v>60</v>
      </c>
    </row>
    <row r="2240">
      <c r="A2240" s="2" t="n">
        <v>46190.70833333334</v>
      </c>
      <c r="B2240">
        <f>TEXT(A2240,"yyyy-mm")</f>
        <v/>
      </c>
      <c r="C2240" s="3">
        <f>HOUR(A2240)</f>
        <v/>
      </c>
      <c r="D2240" s="4" t="n">
        <v>24.66859040946945</v>
      </c>
      <c r="E2240" s="4" t="n">
        <v>27.07823682615</v>
      </c>
      <c r="F2240" s="4" t="n">
        <v>28.32696613935</v>
      </c>
      <c r="G2240" s="4" t="n">
        <v>19.9</v>
      </c>
      <c r="H2240" s="5" t="n">
        <v>40.642161712825</v>
      </c>
      <c r="I2240" s="5" t="n">
        <v>39.39543172966944</v>
      </c>
      <c r="J2240" s="5" t="n">
        <v>44.56590067631944</v>
      </c>
      <c r="K2240" s="5" t="n">
        <v>56</v>
      </c>
    </row>
    <row r="2241">
      <c r="A2241" s="2" t="n">
        <v>46190.75</v>
      </c>
      <c r="B2241">
        <f>TEXT(A2241,"yyyy-mm")</f>
        <v/>
      </c>
      <c r="C2241" s="3">
        <f>HOUR(A2241)</f>
        <v/>
      </c>
      <c r="D2241" s="4" t="n">
        <v>24.72369271459722</v>
      </c>
      <c r="E2241" s="4" t="n">
        <v>26.84286422503889</v>
      </c>
      <c r="F2241" s="4" t="n">
        <v>27.78666301020555</v>
      </c>
      <c r="G2241" s="4" t="n">
        <v>19.9</v>
      </c>
      <c r="H2241" s="5" t="n">
        <v>39.34314036415</v>
      </c>
      <c r="I2241" s="5" t="n">
        <v>39.20256683409166</v>
      </c>
      <c r="J2241" s="5" t="n">
        <v>45.00276912258611</v>
      </c>
      <c r="K2241" s="5" t="n">
        <v>56</v>
      </c>
    </row>
    <row r="2242">
      <c r="A2242" s="2" t="n">
        <v>46190.79166666666</v>
      </c>
      <c r="B2242">
        <f>TEXT(A2242,"yyyy-mm")</f>
        <v/>
      </c>
      <c r="C2242" s="3">
        <f>HOUR(A2242)</f>
        <v/>
      </c>
      <c r="D2242" s="4" t="n">
        <v>24.44744092721945</v>
      </c>
      <c r="E2242" s="4" t="n">
        <v>26.57859706446945</v>
      </c>
      <c r="F2242" s="4" t="n">
        <v>27.47370115470278</v>
      </c>
      <c r="G2242" s="4" t="n">
        <v>19.4</v>
      </c>
      <c r="H2242" s="5" t="n">
        <v>40.36448477073611</v>
      </c>
      <c r="I2242" s="5" t="n">
        <v>39.65509835755</v>
      </c>
      <c r="J2242" s="5" t="n">
        <v>45.77990110975555</v>
      </c>
      <c r="K2242" s="5" t="n">
        <v>61</v>
      </c>
    </row>
    <row r="2243">
      <c r="A2243" s="2" t="n">
        <v>46190.83333333334</v>
      </c>
      <c r="B2243">
        <f>TEXT(A2243,"yyyy-mm")</f>
        <v/>
      </c>
      <c r="C2243" s="3">
        <f>HOUR(A2243)</f>
        <v/>
      </c>
      <c r="D2243" s="4" t="n">
        <v>24.05867413814167</v>
      </c>
      <c r="E2243" s="4" t="n">
        <v>26.58171841327778</v>
      </c>
      <c r="F2243" s="4" t="n">
        <v>27.74763691253611</v>
      </c>
      <c r="G2243" s="4" t="n">
        <v>18.1</v>
      </c>
      <c r="H2243" s="5" t="n">
        <v>41.94587364775001</v>
      </c>
      <c r="I2243" s="5" t="n">
        <v>40.14527535263333</v>
      </c>
      <c r="J2243" s="5" t="n">
        <v>46.237758375625</v>
      </c>
      <c r="K2243" s="5" t="n">
        <v>72</v>
      </c>
    </row>
    <row r="2244">
      <c r="A2244" s="2" t="n">
        <v>46190.875</v>
      </c>
      <c r="B2244">
        <f>TEXT(A2244,"yyyy-mm")</f>
        <v/>
      </c>
      <c r="C2244" s="3">
        <f>HOUR(A2244)</f>
        <v/>
      </c>
      <c r="D2244" s="4" t="n">
        <v>23.95037080704445</v>
      </c>
      <c r="E2244" s="4" t="n">
        <v>26.44350952207778</v>
      </c>
      <c r="F2244" s="4" t="n">
        <v>28.3637991608</v>
      </c>
      <c r="G2244" s="4" t="n">
        <v>17.2</v>
      </c>
      <c r="H2244" s="5" t="n">
        <v>42.7303939732</v>
      </c>
      <c r="I2244" s="5" t="n">
        <v>40.49889487259444</v>
      </c>
      <c r="J2244" s="5" t="n">
        <v>45.06520839555834</v>
      </c>
      <c r="K2244" s="5" t="n">
        <v>77</v>
      </c>
    </row>
    <row r="2245">
      <c r="A2245" s="2" t="n">
        <v>46190.91666666666</v>
      </c>
      <c r="B2245">
        <f>TEXT(A2245,"yyyy-mm")</f>
        <v/>
      </c>
      <c r="C2245" s="3">
        <f>HOUR(A2245)</f>
        <v/>
      </c>
      <c r="D2245" s="4" t="n">
        <v>24.01130991955278</v>
      </c>
      <c r="E2245" s="4" t="n">
        <v>26.67184483343055</v>
      </c>
      <c r="F2245" s="4" t="n">
        <v>28.60314101582778</v>
      </c>
      <c r="G2245" s="4" t="n">
        <v>17</v>
      </c>
      <c r="H2245" s="5" t="n">
        <v>43.00955838206389</v>
      </c>
      <c r="I2245" s="5" t="n">
        <v>40.61240533487222</v>
      </c>
      <c r="J2245" s="5" t="n">
        <v>44.64802445253611</v>
      </c>
      <c r="K2245" s="5" t="n">
        <v>79</v>
      </c>
    </row>
    <row r="2246">
      <c r="A2246" s="2" t="n">
        <v>46190.95833333334</v>
      </c>
      <c r="B2246">
        <f>TEXT(A2246,"yyyy-mm")</f>
        <v/>
      </c>
      <c r="C2246" s="3">
        <f>HOUR(A2246)</f>
        <v/>
      </c>
      <c r="D2246" s="4" t="n">
        <v>23.75953948394723</v>
      </c>
      <c r="E2246" s="4" t="n">
        <v>26.50023078956111</v>
      </c>
      <c r="F2246" s="4" t="n">
        <v>28.70692156266389</v>
      </c>
      <c r="G2246" s="4" t="n">
        <v>16.4</v>
      </c>
      <c r="H2246" s="5" t="n">
        <v>44.99936069536389</v>
      </c>
      <c r="I2246" s="5" t="n">
        <v>41.31150929098889</v>
      </c>
      <c r="J2246" s="5" t="n">
        <v>44.64927627017222</v>
      </c>
      <c r="K2246" s="5" t="n">
        <v>81</v>
      </c>
    </row>
    <row r="2247">
      <c r="A2247" s="2" t="n">
        <v>46191</v>
      </c>
      <c r="B2247">
        <f>TEXT(A2247,"yyyy-mm")</f>
        <v/>
      </c>
      <c r="C2247" s="3">
        <f>HOUR(A2247)</f>
        <v/>
      </c>
      <c r="D2247" s="4" t="n">
        <v>23.954621389625</v>
      </c>
      <c r="E2247" s="4" t="n">
        <v>26.13348460964722</v>
      </c>
      <c r="F2247" s="4" t="n">
        <v>28.70511477765278</v>
      </c>
      <c r="G2247" s="4" t="n">
        <v>15.8</v>
      </c>
      <c r="H2247" s="5" t="n">
        <v>45.00678092060556</v>
      </c>
      <c r="I2247" s="5" t="n">
        <v>41.93364415324167</v>
      </c>
      <c r="J2247" s="5" t="n">
        <v>44.72947802499445</v>
      </c>
      <c r="K2247" s="5" t="n">
        <v>85</v>
      </c>
    </row>
    <row r="2248">
      <c r="A2248" s="2" t="n">
        <v>46191.04166666666</v>
      </c>
      <c r="B2248">
        <f>TEXT(A2248,"yyyy-mm")</f>
        <v/>
      </c>
      <c r="C2248" s="3">
        <f>HOUR(A2248)</f>
        <v/>
      </c>
      <c r="D2248" s="4" t="n">
        <v>23.41763444270556</v>
      </c>
      <c r="E2248" s="4" t="n">
        <v>25.71062508517222</v>
      </c>
      <c r="F2248" s="4" t="n">
        <v>28.68011705088056</v>
      </c>
      <c r="G2248" s="4" t="n">
        <v>15.2</v>
      </c>
      <c r="H2248" s="5" t="n">
        <v>47.57078381783888</v>
      </c>
      <c r="I2248" s="5" t="n">
        <v>43.41018857195834</v>
      </c>
      <c r="J2248" s="5" t="n">
        <v>44.9165908921</v>
      </c>
      <c r="K2248" s="5" t="n">
        <v>89</v>
      </c>
    </row>
    <row r="2249">
      <c r="A2249" s="2" t="n">
        <v>46191.08333333334</v>
      </c>
      <c r="B2249">
        <f>TEXT(A2249,"yyyy-mm")</f>
        <v/>
      </c>
      <c r="C2249" s="3">
        <f>HOUR(A2249)</f>
        <v/>
      </c>
      <c r="D2249" s="4" t="n">
        <v>22.65656140631529</v>
      </c>
      <c r="E2249" s="4" t="n">
        <v>25.51613551374167</v>
      </c>
      <c r="F2249" s="4" t="n">
        <v>28.64584046779444</v>
      </c>
      <c r="G2249" s="4" t="n">
        <v>14.7</v>
      </c>
      <c r="H2249" s="5" t="n">
        <v>49.7957506196393</v>
      </c>
      <c r="I2249" s="5" t="n">
        <v>43.61827391782779</v>
      </c>
      <c r="J2249" s="5" t="n">
        <v>45.12974839626389</v>
      </c>
      <c r="K2249" s="5" t="n">
        <v>92</v>
      </c>
    </row>
    <row r="2250">
      <c r="A2250" s="2" t="n">
        <v>46191.125</v>
      </c>
      <c r="B2250">
        <f>TEXT(A2250,"yyyy-mm")</f>
        <v/>
      </c>
      <c r="C2250" s="3">
        <f>HOUR(A2250)</f>
        <v/>
      </c>
      <c r="D2250" s="4" t="n">
        <v>21.40540144390885</v>
      </c>
      <c r="E2250" s="4" t="n">
        <v>25.42077101620833</v>
      </c>
      <c r="F2250" s="4" t="n">
        <v>28.60934043848611</v>
      </c>
      <c r="G2250" s="4" t="n">
        <v>14.3</v>
      </c>
      <c r="H2250" s="5" t="n">
        <v>53.16108385601106</v>
      </c>
      <c r="I2250" s="5" t="n">
        <v>43.49967677328612</v>
      </c>
      <c r="J2250" s="5" t="n">
        <v>45.23391495729167</v>
      </c>
      <c r="K2250" s="5" t="n">
        <v>90</v>
      </c>
    </row>
    <row r="2251">
      <c r="A2251" s="2" t="n">
        <v>46191.16666666666</v>
      </c>
      <c r="B2251">
        <f>TEXT(A2251,"yyyy-mm")</f>
        <v/>
      </c>
      <c r="C2251" s="3">
        <f>HOUR(A2251)</f>
        <v/>
      </c>
      <c r="D2251" s="4" t="n">
        <v>21.51666666666667</v>
      </c>
      <c r="E2251" s="4" t="n">
        <v>25.14011043725278</v>
      </c>
      <c r="F2251" s="4" t="n">
        <v>28.57280920520278</v>
      </c>
      <c r="G2251" s="4" t="n">
        <v>13.9</v>
      </c>
      <c r="H2251" s="5" t="n">
        <v>52.87666666666667</v>
      </c>
      <c r="I2251" s="5" t="n">
        <v>43.92319176241111</v>
      </c>
      <c r="J2251" s="5" t="n">
        <v>45.34050325176944</v>
      </c>
      <c r="K2251" s="5" t="n">
        <v>91</v>
      </c>
    </row>
    <row r="2252">
      <c r="A2252" s="2" t="n">
        <v>46191.20833333334</v>
      </c>
      <c r="B2252">
        <f>TEXT(A2252,"yyyy-mm")</f>
        <v/>
      </c>
      <c r="C2252" s="3">
        <f>HOUR(A2252)</f>
        <v/>
      </c>
      <c r="D2252" s="4" t="n">
        <v>21.28863483500297</v>
      </c>
      <c r="E2252" s="4" t="n">
        <v>25.08303446176667</v>
      </c>
      <c r="F2252" s="4" t="n">
        <v>28.55769315321945</v>
      </c>
      <c r="G2252" s="4" t="n">
        <v>13.8</v>
      </c>
      <c r="H2252" s="5" t="n">
        <v>53.41723353911605</v>
      </c>
      <c r="I2252" s="5" t="n">
        <v>43.97140338759445</v>
      </c>
      <c r="J2252" s="5" t="n">
        <v>45.37740463981945</v>
      </c>
      <c r="K2252" s="5" t="n">
        <v>92</v>
      </c>
    </row>
    <row r="2253">
      <c r="A2253" s="2" t="n">
        <v>46191.25</v>
      </c>
      <c r="B2253">
        <f>TEXT(A2253,"yyyy-mm")</f>
        <v/>
      </c>
      <c r="C2253" s="3">
        <f>HOUR(A2253)</f>
        <v/>
      </c>
      <c r="D2253" s="4" t="n">
        <v>23.19520320158574</v>
      </c>
      <c r="E2253" s="4" t="n">
        <v>25.43035039842778</v>
      </c>
      <c r="F2253" s="4" t="n">
        <v>28.56353639816389</v>
      </c>
      <c r="G2253" s="4" t="n">
        <v>14.6</v>
      </c>
      <c r="H2253" s="5" t="n">
        <v>48.16743505051284</v>
      </c>
      <c r="I2253" s="5" t="n">
        <v>43.78118476455556</v>
      </c>
      <c r="J2253" s="5" t="n">
        <v>45.33579241550834</v>
      </c>
      <c r="K2253" s="5" t="n">
        <v>89</v>
      </c>
    </row>
    <row r="2254">
      <c r="A2254" s="2" t="n">
        <v>46191.29166666666</v>
      </c>
      <c r="B2254">
        <f>TEXT(A2254,"yyyy-mm")</f>
        <v/>
      </c>
      <c r="C2254" s="3">
        <f>HOUR(A2254)</f>
        <v/>
      </c>
      <c r="D2254" s="4" t="n">
        <v>24.59795626695556</v>
      </c>
      <c r="E2254" s="4" t="n">
        <v>25.97863816492223</v>
      </c>
      <c r="F2254" s="4" t="n">
        <v>28.61076725940278</v>
      </c>
      <c r="G2254" s="4" t="n">
        <v>16.2</v>
      </c>
      <c r="H2254" s="5" t="n">
        <v>45.05638290445278</v>
      </c>
      <c r="I2254" s="5" t="n">
        <v>43.32753470212779</v>
      </c>
      <c r="J2254" s="5" t="n">
        <v>45.27701555171112</v>
      </c>
      <c r="K2254" s="5" t="n">
        <v>83</v>
      </c>
    </row>
    <row r="2255">
      <c r="A2255" s="2" t="n">
        <v>46191.33333333334</v>
      </c>
      <c r="B2255">
        <f>TEXT(A2255,"yyyy-mm")</f>
        <v/>
      </c>
      <c r="C2255" s="3">
        <f>HOUR(A2255)</f>
        <v/>
      </c>
      <c r="D2255" s="4" t="n">
        <v>25.7870661045861</v>
      </c>
      <c r="E2255" s="4" t="n">
        <v>26.54658479088056</v>
      </c>
      <c r="F2255" s="4" t="n">
        <v>28.66646517502778</v>
      </c>
      <c r="G2255" s="4" t="n">
        <v>18.3</v>
      </c>
      <c r="H2255" s="5" t="n">
        <v>42.35855571156389</v>
      </c>
      <c r="I2255" s="5" t="n">
        <v>41.76320678710834</v>
      </c>
      <c r="J2255" s="5" t="n">
        <v>45.27059163384167</v>
      </c>
      <c r="K2255" s="5" t="n">
        <v>73</v>
      </c>
    </row>
    <row r="2256">
      <c r="A2256" s="2" t="n">
        <v>46191.375</v>
      </c>
      <c r="B2256">
        <f>TEXT(A2256,"yyyy-mm")</f>
        <v/>
      </c>
      <c r="C2256" s="3">
        <f>HOUR(A2256)</f>
        <v/>
      </c>
      <c r="D2256" s="4" t="n">
        <v>26.70964338064167</v>
      </c>
      <c r="E2256" s="4" t="n">
        <v>26.97542948623611</v>
      </c>
      <c r="F2256" s="4" t="n">
        <v>28.73736285817778</v>
      </c>
      <c r="G2256" s="4" t="n">
        <v>20.3</v>
      </c>
      <c r="H2256" s="5" t="n">
        <v>41.83341806552222</v>
      </c>
      <c r="I2256" s="5" t="n">
        <v>41.50215279874723</v>
      </c>
      <c r="J2256" s="5" t="n">
        <v>45.26724127229167</v>
      </c>
      <c r="K2256" s="5" t="n">
        <v>60</v>
      </c>
    </row>
    <row r="2257">
      <c r="A2257" s="2" t="n">
        <v>46191.41666666666</v>
      </c>
      <c r="B2257">
        <f>TEXT(A2257,"yyyy-mm")</f>
        <v/>
      </c>
      <c r="C2257" s="3">
        <f>HOUR(A2257)</f>
        <v/>
      </c>
      <c r="D2257" s="4" t="n">
        <v>26.8679818522</v>
      </c>
      <c r="E2257" s="4" t="n">
        <v>27.50189772633333</v>
      </c>
      <c r="F2257" s="4" t="n">
        <v>28.74858328668889</v>
      </c>
      <c r="G2257" s="4" t="n">
        <v>21.1</v>
      </c>
      <c r="H2257" s="5" t="n">
        <v>40.39104358355834</v>
      </c>
      <c r="I2257" s="5" t="n">
        <v>43.75812875656111</v>
      </c>
      <c r="J2257" s="5" t="n">
        <v>45.8985086442861</v>
      </c>
      <c r="K2257" s="5" t="n">
        <v>55</v>
      </c>
    </row>
    <row r="2258">
      <c r="A2258" s="2" t="n">
        <v>46191.45833333334</v>
      </c>
      <c r="B2258">
        <f>TEXT(A2258,"yyyy-mm")</f>
        <v/>
      </c>
      <c r="C2258" s="3">
        <f>HOUR(A2258)</f>
        <v/>
      </c>
      <c r="D2258" s="4" t="n">
        <v>26.60044402383333</v>
      </c>
      <c r="E2258" s="4" t="n">
        <v>27.70386540742777</v>
      </c>
      <c r="F2258" s="4" t="n">
        <v>28.33130678503889</v>
      </c>
      <c r="G2258" s="4" t="n">
        <v>21.8</v>
      </c>
      <c r="H2258" s="5" t="n">
        <v>36.55727659107778</v>
      </c>
      <c r="I2258" s="5" t="n">
        <v>40.02682817716944</v>
      </c>
      <c r="J2258" s="5" t="n">
        <v>46.84412056938888</v>
      </c>
      <c r="K2258" s="5" t="n">
        <v>48</v>
      </c>
    </row>
    <row r="2259">
      <c r="A2259" s="2" t="n">
        <v>46191.5</v>
      </c>
      <c r="B2259">
        <f>TEXT(A2259,"yyyy-mm")</f>
        <v/>
      </c>
      <c r="C2259" s="3">
        <f>HOUR(A2259)</f>
        <v/>
      </c>
      <c r="D2259" s="4" t="n">
        <v>26.49032157020833</v>
      </c>
      <c r="E2259" s="4" t="n">
        <v>27.69877390978611</v>
      </c>
      <c r="F2259" s="4" t="n">
        <v>28.24519176049445</v>
      </c>
      <c r="G2259" s="4" t="n">
        <v>22.2</v>
      </c>
      <c r="H2259" s="5" t="n">
        <v>34.14805824223889</v>
      </c>
      <c r="I2259" s="5" t="n">
        <v>36.75137738958056</v>
      </c>
      <c r="J2259" s="5" t="n">
        <v>45.08987795645834</v>
      </c>
      <c r="K2259" s="5" t="n">
        <v>45</v>
      </c>
    </row>
    <row r="2260">
      <c r="A2260" s="2" t="n">
        <v>46191.54166666666</v>
      </c>
      <c r="B2260">
        <f>TEXT(A2260,"yyyy-mm")</f>
        <v/>
      </c>
      <c r="C2260" s="3">
        <f>HOUR(A2260)</f>
        <v/>
      </c>
      <c r="D2260" s="4" t="n">
        <v>26.39723548911111</v>
      </c>
      <c r="E2260" s="4" t="n">
        <v>27.33372946995</v>
      </c>
      <c r="F2260" s="4" t="n">
        <v>28.674150009175</v>
      </c>
      <c r="G2260" s="4" t="n">
        <v>22.4</v>
      </c>
      <c r="H2260" s="5" t="n">
        <v>34.12720968048333</v>
      </c>
      <c r="I2260" s="5" t="n">
        <v>37.21504699846944</v>
      </c>
      <c r="J2260" s="5" t="n">
        <v>45.12480500575278</v>
      </c>
      <c r="K2260" s="5" t="n">
        <v>42</v>
      </c>
    </row>
    <row r="2261">
      <c r="A2261" s="2" t="n">
        <v>46191.58333333334</v>
      </c>
      <c r="B2261">
        <f>TEXT(A2261,"yyyy-mm")</f>
        <v/>
      </c>
      <c r="C2261" s="3">
        <f>HOUR(A2261)</f>
        <v/>
      </c>
      <c r="D2261" s="4" t="n">
        <v>26.45333784997779</v>
      </c>
      <c r="E2261" s="4" t="n">
        <v>27.24345775081666</v>
      </c>
      <c r="F2261" s="4" t="n">
        <v>28.85674201058889</v>
      </c>
      <c r="G2261" s="4" t="n">
        <v>22.9</v>
      </c>
      <c r="H2261" s="5" t="n">
        <v>33.50513171993334</v>
      </c>
      <c r="I2261" s="5" t="n">
        <v>36.8631165104611</v>
      </c>
      <c r="J2261" s="5" t="n">
        <v>44.88477984769168</v>
      </c>
      <c r="K2261" s="5" t="n">
        <v>40</v>
      </c>
    </row>
    <row r="2262">
      <c r="A2262" s="2" t="n">
        <v>46191.625</v>
      </c>
      <c r="B2262">
        <f>TEXT(A2262,"yyyy-mm")</f>
        <v/>
      </c>
      <c r="C2262" s="3">
        <f>HOUR(A2262)</f>
        <v/>
      </c>
      <c r="D2262" s="4" t="n">
        <v>26.63113151502778</v>
      </c>
      <c r="E2262" s="4" t="n">
        <v>27.49808608666389</v>
      </c>
      <c r="F2262" s="4" t="n">
        <v>28.96429550734166</v>
      </c>
      <c r="G2262" s="4" t="n">
        <v>23.4</v>
      </c>
      <c r="H2262" s="5" t="n">
        <v>32.64039765612778</v>
      </c>
      <c r="I2262" s="5" t="n">
        <v>35.96733343046667</v>
      </c>
      <c r="J2262" s="5" t="n">
        <v>44.81342126013334</v>
      </c>
      <c r="K2262" s="5" t="n">
        <v>43</v>
      </c>
    </row>
    <row r="2263">
      <c r="A2263" s="2" t="n">
        <v>46191.66666666666</v>
      </c>
      <c r="B2263">
        <f>TEXT(A2263,"yyyy-mm")</f>
        <v/>
      </c>
      <c r="C2263" s="3">
        <f>HOUR(A2263)</f>
        <v/>
      </c>
      <c r="D2263" s="4" t="n">
        <v>26.48097615976944</v>
      </c>
      <c r="E2263" s="4" t="n">
        <v>27.17309597595</v>
      </c>
      <c r="F2263" s="4" t="n">
        <v>28.9465792847</v>
      </c>
      <c r="G2263" s="4" t="n">
        <v>23.8</v>
      </c>
      <c r="H2263" s="5" t="n">
        <v>35.7545480358</v>
      </c>
      <c r="I2263" s="5" t="n">
        <v>36.57738364234167</v>
      </c>
      <c r="J2263" s="5" t="n">
        <v>44.56860610641667</v>
      </c>
      <c r="K2263" s="5" t="n">
        <v>40</v>
      </c>
    </row>
    <row r="2264">
      <c r="A2264" s="2" t="n">
        <v>46191.70833333334</v>
      </c>
      <c r="B2264">
        <f>TEXT(A2264,"yyyy-mm")</f>
        <v/>
      </c>
      <c r="C2264" s="3">
        <f>HOUR(A2264)</f>
        <v/>
      </c>
      <c r="D2264" s="4" t="n">
        <v>26.34435811487222</v>
      </c>
      <c r="E2264" s="4" t="n">
        <v>27.27340653988056</v>
      </c>
      <c r="F2264" s="4" t="n">
        <v>28.36217887711111</v>
      </c>
      <c r="G2264" s="4" t="n">
        <v>23.4</v>
      </c>
      <c r="H2264" s="5" t="n">
        <v>37.82369566629166</v>
      </c>
      <c r="I2264" s="5" t="n">
        <v>37.7583350523</v>
      </c>
      <c r="J2264" s="5" t="n">
        <v>45.25168670099166</v>
      </c>
      <c r="K2264" s="5" t="n">
        <v>39</v>
      </c>
    </row>
    <row r="2265">
      <c r="A2265" s="2" t="n">
        <v>46191.75</v>
      </c>
      <c r="B2265">
        <f>TEXT(A2265,"yyyy-mm")</f>
        <v/>
      </c>
      <c r="C2265" s="3">
        <f>HOUR(A2265)</f>
        <v/>
      </c>
      <c r="D2265" s="4" t="n">
        <v>26.41009885465</v>
      </c>
      <c r="E2265" s="4" t="n">
        <v>27.34169954835556</v>
      </c>
      <c r="F2265" s="4" t="n">
        <v>28.74867764681112</v>
      </c>
      <c r="G2265" s="4" t="n">
        <v>22.9</v>
      </c>
      <c r="H2265" s="5" t="n">
        <v>34.88194307282777</v>
      </c>
      <c r="I2265" s="5" t="n">
        <v>37.29920385255556</v>
      </c>
      <c r="J2265" s="5" t="n">
        <v>44.96536739866666</v>
      </c>
      <c r="K2265" s="5" t="n">
        <v>38</v>
      </c>
    </row>
    <row r="2266">
      <c r="A2266" s="2" t="n">
        <v>46191.79166666666</v>
      </c>
      <c r="B2266">
        <f>TEXT(A2266,"yyyy-mm")</f>
        <v/>
      </c>
      <c r="C2266" s="3">
        <f>HOUR(A2266)</f>
        <v/>
      </c>
      <c r="D2266" s="4" t="n">
        <v>26.17730335612778</v>
      </c>
      <c r="E2266" s="4" t="n">
        <v>27.48142058198056</v>
      </c>
      <c r="F2266" s="4" t="n">
        <v>28.90073034576666</v>
      </c>
      <c r="G2266" s="4" t="n">
        <v>22.4</v>
      </c>
      <c r="H2266" s="5" t="n">
        <v>30.64154599097778</v>
      </c>
      <c r="I2266" s="5" t="n">
        <v>35.90650495014722</v>
      </c>
      <c r="J2266" s="5" t="n">
        <v>44.25643919498055</v>
      </c>
      <c r="K2266" s="5" t="n">
        <v>39</v>
      </c>
    </row>
    <row r="2267">
      <c r="A2267" s="2" t="n">
        <v>46191.83333333334</v>
      </c>
      <c r="B2267">
        <f>TEXT(A2267,"yyyy-mm")</f>
        <v/>
      </c>
      <c r="C2267" s="3">
        <f>HOUR(A2267)</f>
        <v/>
      </c>
      <c r="D2267" s="4" t="n">
        <v>25.38496396588333</v>
      </c>
      <c r="E2267" s="4" t="n">
        <v>27.15862439163611</v>
      </c>
      <c r="F2267" s="4" t="n">
        <v>29.02370323234166</v>
      </c>
      <c r="G2267" s="4" t="n">
        <v>21.1</v>
      </c>
      <c r="H2267" s="5" t="n">
        <v>31.5956204486</v>
      </c>
      <c r="I2267" s="5" t="n">
        <v>36.48252558338889</v>
      </c>
      <c r="J2267" s="5" t="n">
        <v>43.92608356879444</v>
      </c>
      <c r="K2267" s="5" t="n">
        <v>46</v>
      </c>
    </row>
    <row r="2268">
      <c r="A2268" s="2" t="n">
        <v>46191.875</v>
      </c>
      <c r="B2268">
        <f>TEXT(A2268,"yyyy-mm")</f>
        <v/>
      </c>
      <c r="C2268" s="3">
        <f>HOUR(A2268)</f>
        <v/>
      </c>
      <c r="D2268" s="4" t="n">
        <v>24.45636674408055</v>
      </c>
      <c r="E2268" s="4" t="n">
        <v>26.91741424148333</v>
      </c>
      <c r="F2268" s="4" t="n">
        <v>29.073946620575</v>
      </c>
      <c r="G2268" s="4" t="n">
        <v>19.9</v>
      </c>
      <c r="H2268" s="5" t="n">
        <v>35.71819210322221</v>
      </c>
      <c r="I2268" s="5" t="n">
        <v>35.84164527436666</v>
      </c>
      <c r="J2268" s="5" t="n">
        <v>43.43501772661112</v>
      </c>
      <c r="K2268" s="5" t="n">
        <v>53</v>
      </c>
    </row>
    <row r="2269">
      <c r="A2269" s="2" t="n">
        <v>46191.91666666666</v>
      </c>
      <c r="B2269">
        <f>TEXT(A2269,"yyyy-mm")</f>
        <v/>
      </c>
      <c r="C2269" s="3">
        <f>HOUR(A2269)</f>
        <v/>
      </c>
      <c r="D2269" s="4" t="n">
        <v>25.58466103321944</v>
      </c>
      <c r="E2269" s="4" t="n">
        <v>26.87919110052778</v>
      </c>
      <c r="F2269" s="4" t="n">
        <v>29.04362759826944</v>
      </c>
      <c r="G2269" s="4" t="n">
        <v>18.9</v>
      </c>
      <c r="H2269" s="5" t="n">
        <v>39.38434846309445</v>
      </c>
      <c r="I2269" s="5" t="n">
        <v>39.21091905797778</v>
      </c>
      <c r="J2269" s="5" t="n">
        <v>43.91047932859166</v>
      </c>
      <c r="K2269" s="5" t="n">
        <v>58</v>
      </c>
    </row>
    <row r="2270">
      <c r="A2270" s="2" t="n">
        <v>46191.95833333334</v>
      </c>
      <c r="B2270">
        <f>TEXT(A2270,"yyyy-mm")</f>
        <v/>
      </c>
      <c r="C2270" s="3">
        <f>HOUR(A2270)</f>
        <v/>
      </c>
      <c r="D2270" s="4" t="n">
        <v>26.12415787008056</v>
      </c>
      <c r="E2270" s="4" t="n">
        <v>27.035206299475</v>
      </c>
      <c r="F2270" s="4" t="n">
        <v>29.03799620469722</v>
      </c>
      <c r="G2270" s="4" t="n">
        <v>17.9</v>
      </c>
      <c r="H2270" s="5" t="n">
        <v>39.4132452739</v>
      </c>
      <c r="I2270" s="5" t="n">
        <v>39.23473279743333</v>
      </c>
      <c r="J2270" s="5" t="n">
        <v>44.35499903272778</v>
      </c>
      <c r="K2270" s="5" t="n">
        <v>63</v>
      </c>
    </row>
    <row r="2271">
      <c r="A2271" s="2" t="n">
        <v>46192</v>
      </c>
      <c r="B2271">
        <f>TEXT(A2271,"yyyy-mm")</f>
        <v/>
      </c>
      <c r="C2271" s="3">
        <f>HOUR(A2271)</f>
        <v/>
      </c>
      <c r="D2271" s="4" t="n">
        <v>26.25934815607778</v>
      </c>
      <c r="E2271" s="4" t="n">
        <v>27.33608855669722</v>
      </c>
      <c r="F2271" s="4" t="n">
        <v>29.09926902404445</v>
      </c>
      <c r="G2271" s="4" t="n">
        <v>16.7</v>
      </c>
      <c r="H2271" s="5" t="n">
        <v>38.43953414818055</v>
      </c>
      <c r="I2271" s="5" t="n">
        <v>37.86397816661111</v>
      </c>
      <c r="J2271" s="5" t="n">
        <v>44.26004756516667</v>
      </c>
      <c r="K2271" s="5" t="n">
        <v>67</v>
      </c>
    </row>
    <row r="2272">
      <c r="A2272" s="2" t="n">
        <v>46192.04166666666</v>
      </c>
      <c r="B2272">
        <f>TEXT(A2272,"yyyy-mm")</f>
        <v/>
      </c>
      <c r="C2272" s="3">
        <f>HOUR(A2272)</f>
        <v/>
      </c>
      <c r="D2272" s="4" t="n">
        <v>25.81877083772222</v>
      </c>
      <c r="E2272" s="4" t="n">
        <v>27.21690989175833</v>
      </c>
      <c r="F2272" s="4" t="n">
        <v>29.04284313535278</v>
      </c>
      <c r="G2272" s="4" t="n">
        <v>15.4</v>
      </c>
      <c r="H2272" s="5" t="n">
        <v>38.9748451857</v>
      </c>
      <c r="I2272" s="5" t="n">
        <v>39.48872746508889</v>
      </c>
      <c r="J2272" s="5" t="n">
        <v>44.269833009625</v>
      </c>
      <c r="K2272" s="5" t="n">
        <v>66</v>
      </c>
    </row>
    <row r="2273">
      <c r="A2273" s="2" t="n">
        <v>46192.08333333334</v>
      </c>
      <c r="B2273">
        <f>TEXT(A2273,"yyyy-mm")</f>
        <v/>
      </c>
      <c r="C2273" s="3">
        <f>HOUR(A2273)</f>
        <v/>
      </c>
      <c r="D2273" s="4" t="n">
        <v>22.72830562266944</v>
      </c>
      <c r="E2273" s="4" t="n">
        <v>26.36742235265278</v>
      </c>
      <c r="F2273" s="4" t="n">
        <v>28.96306845336389</v>
      </c>
      <c r="G2273" s="4" t="n">
        <v>14.7</v>
      </c>
      <c r="H2273" s="5" t="n">
        <v>44.09614972365278</v>
      </c>
      <c r="I2273" s="5" t="n">
        <v>38.52878660757778</v>
      </c>
      <c r="J2273" s="5" t="n">
        <v>44.15154080231389</v>
      </c>
      <c r="K2273" s="5" t="n">
        <v>65</v>
      </c>
    </row>
    <row r="2274">
      <c r="A2274" s="2" t="n">
        <v>46192.125</v>
      </c>
      <c r="B2274">
        <f>TEXT(A2274,"yyyy-mm")</f>
        <v/>
      </c>
      <c r="C2274" s="3">
        <f>HOUR(A2274)</f>
        <v/>
      </c>
      <c r="D2274" s="4" t="n">
        <v>21.83003205817787</v>
      </c>
      <c r="E2274" s="4" t="n">
        <v>26.0305763658</v>
      </c>
      <c r="F2274" s="4" t="n">
        <v>28.86256122776945</v>
      </c>
      <c r="G2274" s="4" t="n">
        <v>14.4</v>
      </c>
      <c r="H2274" s="5" t="n">
        <v>45.85405637383604</v>
      </c>
      <c r="I2274" s="5" t="n">
        <v>37.95917691367222</v>
      </c>
      <c r="J2274" s="5" t="n">
        <v>43.98773623703334</v>
      </c>
      <c r="K2274" s="5" t="n">
        <v>72</v>
      </c>
    </row>
    <row r="2275">
      <c r="A2275" s="2" t="n">
        <v>46192.16666666666</v>
      </c>
      <c r="B2275">
        <f>TEXT(A2275,"yyyy-mm")</f>
        <v/>
      </c>
      <c r="C2275" s="3">
        <f>HOUR(A2275)</f>
        <v/>
      </c>
      <c r="D2275" s="4" t="n"/>
      <c r="E2275" s="4" t="n">
        <v>25.65631036230833</v>
      </c>
      <c r="F2275" s="4" t="n">
        <v>28.76726370591111</v>
      </c>
      <c r="G2275" s="4" t="n">
        <v>13.7</v>
      </c>
      <c r="H2275" s="5" t="n"/>
      <c r="I2275" s="5" t="n">
        <v>37.85619319243333</v>
      </c>
      <c r="J2275" s="5" t="n">
        <v>43.78713953300278</v>
      </c>
      <c r="K2275" s="5" t="n">
        <v>75</v>
      </c>
    </row>
    <row r="2276">
      <c r="A2276" s="2" t="n">
        <v>46192.20833333334</v>
      </c>
      <c r="B2276">
        <f>TEXT(A2276,"yyyy-mm")</f>
        <v/>
      </c>
      <c r="C2276" s="3">
        <f>HOUR(A2276)</f>
        <v/>
      </c>
      <c r="D2276" s="4" t="n">
        <v>23.16358136791144</v>
      </c>
      <c r="E2276" s="4" t="n">
        <v>25.74026628230834</v>
      </c>
      <c r="F2276" s="4" t="n">
        <v>28.71414056746389</v>
      </c>
      <c r="G2276" s="4" t="n">
        <v>13.9</v>
      </c>
      <c r="H2276" s="5" t="n">
        <v>41.96877686380864</v>
      </c>
      <c r="I2276" s="5" t="n">
        <v>37.63223519519166</v>
      </c>
      <c r="J2276" s="5" t="n">
        <v>43.64050044085834</v>
      </c>
      <c r="K2276" s="5" t="n">
        <v>74</v>
      </c>
    </row>
    <row r="2277">
      <c r="A2277" s="2" t="n">
        <v>46192.25</v>
      </c>
      <c r="B2277">
        <f>TEXT(A2277,"yyyy-mm")</f>
        <v/>
      </c>
      <c r="C2277" s="3">
        <f>HOUR(A2277)</f>
        <v/>
      </c>
      <c r="D2277" s="4" t="n">
        <v>24.20193367450833</v>
      </c>
      <c r="E2277" s="4" t="n">
        <v>25.99866496986944</v>
      </c>
      <c r="F2277" s="4" t="n">
        <v>28.73491284609166</v>
      </c>
      <c r="G2277" s="4" t="n">
        <v>14.9</v>
      </c>
      <c r="H2277" s="5" t="n">
        <v>39.23445528978612</v>
      </c>
      <c r="I2277" s="5" t="n">
        <v>37.94233351855834</v>
      </c>
      <c r="J2277" s="5" t="n">
        <v>43.64237802667501</v>
      </c>
      <c r="K2277" s="5" t="n">
        <v>71</v>
      </c>
    </row>
    <row r="2278">
      <c r="A2278" s="2" t="n">
        <v>46192.29166666666</v>
      </c>
      <c r="B2278">
        <f>TEXT(A2278,"yyyy-mm")</f>
        <v/>
      </c>
      <c r="C2278" s="3">
        <f>HOUR(A2278)</f>
        <v/>
      </c>
      <c r="D2278" s="4" t="n">
        <v>25.08597247000555</v>
      </c>
      <c r="E2278" s="4" t="n">
        <v>26.20572850556111</v>
      </c>
      <c r="F2278" s="4" t="n">
        <v>28.73648776947778</v>
      </c>
      <c r="G2278" s="4" t="n">
        <v>16.6</v>
      </c>
      <c r="H2278" s="5" t="n">
        <v>37.40901108753055</v>
      </c>
      <c r="I2278" s="5" t="n">
        <v>37.55692873378611</v>
      </c>
      <c r="J2278" s="5" t="n">
        <v>43.60907685948889</v>
      </c>
      <c r="K2278" s="5" t="n">
        <v>66</v>
      </c>
    </row>
    <row r="2279">
      <c r="A2279" s="2" t="n">
        <v>46192.33333333334</v>
      </c>
      <c r="B2279">
        <f>TEXT(A2279,"yyyy-mm")</f>
        <v/>
      </c>
      <c r="C2279" s="3">
        <f>HOUR(A2279)</f>
        <v/>
      </c>
      <c r="D2279" s="4" t="n">
        <v>24.64294561289445</v>
      </c>
      <c r="E2279" s="4" t="n">
        <v>26.19659430087222</v>
      </c>
      <c r="F2279" s="4" t="n">
        <v>28.73712361825555</v>
      </c>
      <c r="G2279" s="4" t="n">
        <v>18.3</v>
      </c>
      <c r="H2279" s="5" t="n">
        <v>38.20813339193889</v>
      </c>
      <c r="I2279" s="5" t="n">
        <v>37.68472518965833</v>
      </c>
      <c r="J2279" s="5" t="n">
        <v>43.58851445784166</v>
      </c>
      <c r="K2279" s="5" t="n">
        <v>58</v>
      </c>
    </row>
    <row r="2280">
      <c r="A2280" s="2" t="n">
        <v>46192.375</v>
      </c>
      <c r="B2280">
        <f>TEXT(A2280,"yyyy-mm")</f>
        <v/>
      </c>
      <c r="C2280" s="3">
        <f>HOUR(A2280)</f>
        <v/>
      </c>
      <c r="D2280" s="4" t="n">
        <v>25.13481066859723</v>
      </c>
      <c r="E2280" s="4" t="n">
        <v>26.31451158345278</v>
      </c>
      <c r="F2280" s="4" t="n">
        <v>28.73258096508056</v>
      </c>
      <c r="G2280" s="4" t="n">
        <v>20</v>
      </c>
      <c r="H2280" s="5" t="n">
        <v>37.61473365840001</v>
      </c>
      <c r="I2280" s="5" t="n">
        <v>37.92525930800277</v>
      </c>
      <c r="J2280" s="5" t="n">
        <v>43.58128883695278</v>
      </c>
      <c r="K2280" s="5" t="n">
        <v>50</v>
      </c>
    </row>
    <row r="2281">
      <c r="A2281" s="2" t="n">
        <v>46192.41666666666</v>
      </c>
      <c r="B2281">
        <f>TEXT(A2281,"yyyy-mm")</f>
        <v/>
      </c>
      <c r="C2281" s="3">
        <f>HOUR(A2281)</f>
        <v/>
      </c>
      <c r="D2281" s="4" t="n">
        <v>25.78035075673889</v>
      </c>
      <c r="E2281" s="4" t="n">
        <v>26.65163484804722</v>
      </c>
      <c r="F2281" s="4" t="n">
        <v>28.75160826928889</v>
      </c>
      <c r="G2281" s="4" t="n">
        <v>20.9</v>
      </c>
      <c r="H2281" s="5" t="n">
        <v>36.90344298001667</v>
      </c>
      <c r="I2281" s="5" t="n">
        <v>39.48516027256944</v>
      </c>
      <c r="J2281" s="5" t="n">
        <v>43.61357688468889</v>
      </c>
      <c r="K2281" s="5" t="n">
        <v>46</v>
      </c>
    </row>
    <row r="2282">
      <c r="A2282" s="2" t="n">
        <v>46192.45833333334</v>
      </c>
      <c r="B2282">
        <f>TEXT(A2282,"yyyy-mm")</f>
        <v/>
      </c>
      <c r="C2282" s="3">
        <f>HOUR(A2282)</f>
        <v/>
      </c>
      <c r="D2282" s="4" t="n">
        <v>25.96679250322778</v>
      </c>
      <c r="E2282" s="4" t="n">
        <v>26.84926279880555</v>
      </c>
      <c r="F2282" s="4" t="n">
        <v>28.77002536336667</v>
      </c>
      <c r="G2282" s="4" t="n">
        <v>22.6</v>
      </c>
      <c r="H2282" s="5" t="n">
        <v>36.52196846123611</v>
      </c>
      <c r="I2282" s="5" t="n">
        <v>40.21350281669445</v>
      </c>
      <c r="J2282" s="5" t="n">
        <v>43.65771520817222</v>
      </c>
      <c r="K2282" s="5" t="n">
        <v>41</v>
      </c>
    </row>
    <row r="2283">
      <c r="A2283" s="2" t="n">
        <v>46192.5</v>
      </c>
      <c r="B2283">
        <f>TEXT(A2283,"yyyy-mm")</f>
        <v/>
      </c>
      <c r="C2283" s="3">
        <f>HOUR(A2283)</f>
        <v/>
      </c>
      <c r="D2283" s="4" t="n">
        <v>25.94942592752778</v>
      </c>
      <c r="E2283" s="4" t="n">
        <v>26.68516657601666</v>
      </c>
      <c r="F2283" s="4" t="n">
        <v>28.78796996916111</v>
      </c>
      <c r="G2283" s="4" t="n">
        <v>22.6</v>
      </c>
      <c r="H2283" s="5" t="n">
        <v>36.16211288098055</v>
      </c>
      <c r="I2283" s="5" t="n">
        <v>38.33091224813889</v>
      </c>
      <c r="J2283" s="5" t="n">
        <v>43.67900988699167</v>
      </c>
      <c r="K2283" s="5" t="n">
        <v>42</v>
      </c>
    </row>
    <row r="2284">
      <c r="A2284" s="2" t="n">
        <v>46192.54166666666</v>
      </c>
      <c r="B2284">
        <f>TEXT(A2284,"yyyy-mm")</f>
        <v/>
      </c>
      <c r="C2284" s="3">
        <f>HOUR(A2284)</f>
        <v/>
      </c>
      <c r="D2284" s="4" t="n">
        <v>26.14049788516667</v>
      </c>
      <c r="E2284" s="4" t="n">
        <v>26.61486152173333</v>
      </c>
      <c r="F2284" s="4" t="n">
        <v>28.78434848215</v>
      </c>
      <c r="G2284" s="4" t="n">
        <v>22.5</v>
      </c>
      <c r="H2284" s="5" t="n">
        <v>35.46530266371111</v>
      </c>
      <c r="I2284" s="5" t="n">
        <v>37.12857531206389</v>
      </c>
      <c r="J2284" s="5" t="n">
        <v>43.66444082871944</v>
      </c>
      <c r="K2284" s="5" t="n">
        <v>42</v>
      </c>
    </row>
    <row r="2285">
      <c r="A2285" s="2" t="n">
        <v>46192.58333333334</v>
      </c>
      <c r="B2285">
        <f>TEXT(A2285,"yyyy-mm")</f>
        <v/>
      </c>
      <c r="C2285" s="3">
        <f>HOUR(A2285)</f>
        <v/>
      </c>
      <c r="D2285" s="4" t="n">
        <v>26.43492073518334</v>
      </c>
      <c r="E2285" s="4" t="n">
        <v>26.80734862707778</v>
      </c>
      <c r="F2285" s="4" t="n">
        <v>28.86729911057222</v>
      </c>
      <c r="G2285" s="4" t="n">
        <v>23</v>
      </c>
      <c r="H2285" s="5" t="n">
        <v>33.47012504623889</v>
      </c>
      <c r="I2285" s="5" t="n">
        <v>36.34739962886667</v>
      </c>
      <c r="J2285" s="5" t="n">
        <v>43.62584460885833</v>
      </c>
      <c r="K2285" s="5" t="n">
        <v>41</v>
      </c>
    </row>
    <row r="2286">
      <c r="A2286" s="2" t="n">
        <v>46192.625</v>
      </c>
      <c r="B2286">
        <f>TEXT(A2286,"yyyy-mm")</f>
        <v/>
      </c>
      <c r="C2286" s="3">
        <f>HOUR(A2286)</f>
        <v/>
      </c>
      <c r="D2286" s="4" t="n">
        <v>26.24093922514444</v>
      </c>
      <c r="E2286" s="4" t="n">
        <v>27.049762500175</v>
      </c>
      <c r="F2286" s="4" t="n">
        <v>28.85340374199722</v>
      </c>
      <c r="G2286" s="4" t="n">
        <v>23.6</v>
      </c>
      <c r="H2286" s="5" t="n">
        <v>34.67200123405</v>
      </c>
      <c r="I2286" s="5" t="n">
        <v>37.00434315395</v>
      </c>
      <c r="J2286" s="5" t="n">
        <v>43.73574810097778</v>
      </c>
      <c r="K2286" s="5" t="n">
        <v>41</v>
      </c>
    </row>
    <row r="2287">
      <c r="A2287" s="2" t="n">
        <v>46192.66666666666</v>
      </c>
      <c r="B2287">
        <f>TEXT(A2287,"yyyy-mm")</f>
        <v/>
      </c>
      <c r="C2287" s="3">
        <f>HOUR(A2287)</f>
        <v/>
      </c>
      <c r="D2287" s="4" t="n">
        <v>25.93042170647222</v>
      </c>
      <c r="E2287" s="4" t="n">
        <v>27.39698415521389</v>
      </c>
      <c r="F2287" s="4" t="n">
        <v>29.02012131300277</v>
      </c>
      <c r="G2287" s="4" t="n">
        <v>23.4</v>
      </c>
      <c r="H2287" s="5" t="n">
        <v>35.55080028202778</v>
      </c>
      <c r="I2287" s="5" t="n">
        <v>39.674768523625</v>
      </c>
      <c r="J2287" s="5" t="n">
        <v>43.57069933282778</v>
      </c>
      <c r="K2287" s="5" t="n">
        <v>41</v>
      </c>
    </row>
    <row r="2288">
      <c r="A2288" s="2" t="n">
        <v>46192.70833333334</v>
      </c>
      <c r="B2288">
        <f>TEXT(A2288,"yyyy-mm")</f>
        <v/>
      </c>
      <c r="C2288" s="3">
        <f>HOUR(A2288)</f>
        <v/>
      </c>
      <c r="D2288" s="4" t="n">
        <v>26.21218808728611</v>
      </c>
      <c r="E2288" s="4" t="n">
        <v>27.60831951790833</v>
      </c>
      <c r="F2288" s="4" t="n">
        <v>29.10695515621389</v>
      </c>
      <c r="G2288" s="4" t="n">
        <v>23.6</v>
      </c>
      <c r="H2288" s="5" t="n">
        <v>34.63582156723334</v>
      </c>
      <c r="I2288" s="5" t="n">
        <v>38.35315773219444</v>
      </c>
      <c r="J2288" s="5" t="n">
        <v>43.49860291220833</v>
      </c>
      <c r="K2288" s="5" t="n">
        <v>40</v>
      </c>
    </row>
    <row r="2289">
      <c r="A2289" s="2" t="n">
        <v>46192.75</v>
      </c>
      <c r="B2289">
        <f>TEXT(A2289,"yyyy-mm")</f>
        <v/>
      </c>
      <c r="C2289" s="3">
        <f>HOUR(A2289)</f>
        <v/>
      </c>
      <c r="D2289" s="4" t="n">
        <v>26.16865996412222</v>
      </c>
      <c r="E2289" s="4" t="n">
        <v>27.51973221113333</v>
      </c>
      <c r="F2289" s="4" t="n">
        <v>29.21564021492778</v>
      </c>
      <c r="G2289" s="4" t="n">
        <v>23.7</v>
      </c>
      <c r="H2289" s="5" t="n">
        <v>34.50262965744167</v>
      </c>
      <c r="I2289" s="5" t="n">
        <v>36.15864514386666</v>
      </c>
      <c r="J2289" s="5" t="n">
        <v>43.29165963598333</v>
      </c>
      <c r="K2289" s="5" t="n">
        <v>39</v>
      </c>
    </row>
    <row r="2290">
      <c r="A2290" s="2" t="n">
        <v>46192.79166666666</v>
      </c>
      <c r="B2290">
        <f>TEXT(A2290,"yyyy-mm")</f>
        <v/>
      </c>
      <c r="C2290" s="3">
        <f>HOUR(A2290)</f>
        <v/>
      </c>
      <c r="D2290" s="4" t="n">
        <v>26.05457567926111</v>
      </c>
      <c r="E2290" s="4" t="n">
        <v>27.15998730464722</v>
      </c>
      <c r="F2290" s="4" t="n">
        <v>29.23819237119167</v>
      </c>
      <c r="G2290" s="4" t="n">
        <v>23.5</v>
      </c>
      <c r="H2290" s="5" t="n">
        <v>34.92740952428888</v>
      </c>
      <c r="I2290" s="5" t="n">
        <v>38.01250111216945</v>
      </c>
      <c r="J2290" s="5" t="n">
        <v>43.20775766773334</v>
      </c>
      <c r="K2290" s="5" t="n">
        <v>39</v>
      </c>
    </row>
    <row r="2291">
      <c r="A2291" s="2" t="n">
        <v>46192.83333333334</v>
      </c>
      <c r="B2291">
        <f>TEXT(A2291,"yyyy-mm")</f>
        <v/>
      </c>
      <c r="C2291" s="3">
        <f>HOUR(A2291)</f>
        <v/>
      </c>
      <c r="D2291" s="4" t="n">
        <v>25.56226229238333</v>
      </c>
      <c r="E2291" s="4" t="n">
        <v>26.80046508312222</v>
      </c>
      <c r="F2291" s="4" t="n">
        <v>29.13361369635556</v>
      </c>
      <c r="G2291" s="4" t="n">
        <v>22.8</v>
      </c>
      <c r="H2291" s="5" t="n">
        <v>36.64657558365834</v>
      </c>
      <c r="I2291" s="5" t="n">
        <v>37.13457498395</v>
      </c>
      <c r="J2291" s="5" t="n">
        <v>43.05316996992222</v>
      </c>
      <c r="K2291" s="5" t="n">
        <v>44</v>
      </c>
    </row>
    <row r="2292">
      <c r="A2292" s="2" t="n">
        <v>46192.875</v>
      </c>
      <c r="B2292">
        <f>TEXT(A2292,"yyyy-mm")</f>
        <v/>
      </c>
      <c r="C2292" s="3">
        <f>HOUR(A2292)</f>
        <v/>
      </c>
      <c r="D2292" s="4" t="n">
        <v>25.143894689875</v>
      </c>
      <c r="E2292" s="4" t="n">
        <v>26.55750060651112</v>
      </c>
      <c r="F2292" s="4" t="n">
        <v>29.03002605453889</v>
      </c>
      <c r="G2292" s="4" t="n">
        <v>21.1</v>
      </c>
      <c r="H2292" s="5" t="n">
        <v>37.57075676525</v>
      </c>
      <c r="I2292" s="5" t="n">
        <v>37.39721685059167</v>
      </c>
      <c r="J2292" s="5" t="n">
        <v>43.08113023693611</v>
      </c>
      <c r="K2292" s="5" t="n">
        <v>50</v>
      </c>
    </row>
    <row r="2293">
      <c r="A2293" s="2" t="n">
        <v>46192.91666666666</v>
      </c>
      <c r="B2293">
        <f>TEXT(A2293,"yyyy-mm")</f>
        <v/>
      </c>
      <c r="C2293" s="3">
        <f>HOUR(A2293)</f>
        <v/>
      </c>
      <c r="D2293" s="4" t="n">
        <v>24.76342540835</v>
      </c>
      <c r="E2293" s="4" t="n">
        <v>26.28595823092222</v>
      </c>
      <c r="F2293" s="4" t="n">
        <v>28.94992763574722</v>
      </c>
      <c r="G2293" s="4" t="n">
        <v>19.9</v>
      </c>
      <c r="H2293" s="5" t="n">
        <v>38.69783492628611</v>
      </c>
      <c r="I2293" s="5" t="n">
        <v>37.97644584891111</v>
      </c>
      <c r="J2293" s="5" t="n">
        <v>43.0775903832</v>
      </c>
      <c r="K2293" s="5" t="n">
        <v>54</v>
      </c>
    </row>
    <row r="2294">
      <c r="A2294" s="2" t="n">
        <v>46192.95833333334</v>
      </c>
      <c r="B2294">
        <f>TEXT(A2294,"yyyy-mm")</f>
        <v/>
      </c>
      <c r="C2294" s="3">
        <f>HOUR(A2294)</f>
        <v/>
      </c>
      <c r="D2294" s="4" t="n">
        <v>24.03563382558889</v>
      </c>
      <c r="E2294" s="4" t="n">
        <v>26.74730428875833</v>
      </c>
      <c r="F2294" s="4" t="n">
        <v>28.85604680165556</v>
      </c>
      <c r="G2294" s="4" t="n">
        <v>18.9</v>
      </c>
      <c r="H2294" s="5" t="n">
        <v>41.80411506976944</v>
      </c>
      <c r="I2294" s="5" t="n">
        <v>40.35520863393889</v>
      </c>
      <c r="J2294" s="5" t="n">
        <v>43.3414248176361</v>
      </c>
      <c r="K2294" s="5" t="n">
        <v>61</v>
      </c>
    </row>
    <row r="2295">
      <c r="A2295" s="2" t="n">
        <v>46193</v>
      </c>
      <c r="B2295">
        <f>TEXT(A2295,"yyyy-mm")</f>
        <v/>
      </c>
      <c r="C2295" s="3">
        <f>HOUR(A2295)</f>
        <v/>
      </c>
      <c r="D2295" s="4" t="n">
        <v>23.44390100319722</v>
      </c>
      <c r="E2295" s="4" t="n">
        <v>27.05339263676666</v>
      </c>
      <c r="F2295" s="4" t="n">
        <v>28.88063606575</v>
      </c>
      <c r="G2295" s="4" t="n">
        <v>18.2</v>
      </c>
      <c r="H2295" s="5" t="n">
        <v>43.40701958240277</v>
      </c>
      <c r="I2295" s="5" t="n">
        <v>39.75804557432777</v>
      </c>
      <c r="J2295" s="5" t="n">
        <v>43.42456060956111</v>
      </c>
      <c r="K2295" s="5" t="n">
        <v>67</v>
      </c>
    </row>
    <row r="2296">
      <c r="A2296" s="2" t="n">
        <v>46193.04166666666</v>
      </c>
      <c r="B2296">
        <f>TEXT(A2296,"yyyy-mm")</f>
        <v/>
      </c>
      <c r="C2296" s="3">
        <f>HOUR(A2296)</f>
        <v/>
      </c>
      <c r="D2296" s="4" t="n">
        <v>23.50325927607778</v>
      </c>
      <c r="E2296" s="4" t="n">
        <v>26.90242577670278</v>
      </c>
      <c r="F2296" s="4" t="n">
        <v>28.86650560587778</v>
      </c>
      <c r="G2296" s="4" t="n">
        <v>17.7</v>
      </c>
      <c r="H2296" s="5" t="n">
        <v>43.50353013469445</v>
      </c>
      <c r="I2296" s="5" t="n">
        <v>39.82996283998612</v>
      </c>
      <c r="J2296" s="5" t="n">
        <v>43.52603630204445</v>
      </c>
      <c r="K2296" s="5" t="n">
        <v>69</v>
      </c>
    </row>
    <row r="2297">
      <c r="A2297" s="2" t="n">
        <v>46193.08333333334</v>
      </c>
      <c r="B2297">
        <f>TEXT(A2297,"yyyy-mm")</f>
        <v/>
      </c>
      <c r="C2297" s="3">
        <f>HOUR(A2297)</f>
        <v/>
      </c>
      <c r="D2297" s="4" t="n">
        <v>22.97286474796667</v>
      </c>
      <c r="E2297" s="4" t="n">
        <v>26.43892090021111</v>
      </c>
      <c r="F2297" s="4" t="n">
        <v>28.82314212496111</v>
      </c>
      <c r="G2297" s="4" t="n">
        <v>16.7</v>
      </c>
      <c r="H2297" s="5" t="n">
        <v>45.60824649690556</v>
      </c>
      <c r="I2297" s="5" t="n">
        <v>40.16877443771389</v>
      </c>
      <c r="J2297" s="5" t="n">
        <v>43.87685648974722</v>
      </c>
      <c r="K2297" s="5" t="n">
        <v>72</v>
      </c>
    </row>
    <row r="2298">
      <c r="A2298" s="2" t="n">
        <v>46193.125</v>
      </c>
      <c r="B2298">
        <f>TEXT(A2298,"yyyy-mm")</f>
        <v/>
      </c>
      <c r="C2298" s="3">
        <f>HOUR(A2298)</f>
        <v/>
      </c>
      <c r="D2298" s="4" t="n">
        <v>22.73056400010278</v>
      </c>
      <c r="E2298" s="4" t="n">
        <v>26.14496162418056</v>
      </c>
      <c r="F2298" s="4" t="n">
        <v>28.85885010314722</v>
      </c>
      <c r="G2298" s="4" t="n">
        <v>16</v>
      </c>
      <c r="H2298" s="5" t="n">
        <v>46.57291945808333</v>
      </c>
      <c r="I2298" s="5" t="n">
        <v>39.91947277402223</v>
      </c>
      <c r="J2298" s="5" t="n">
        <v>44.00670913850556</v>
      </c>
      <c r="K2298" s="5" t="n">
        <v>76</v>
      </c>
    </row>
    <row r="2299">
      <c r="A2299" s="2" t="n">
        <v>46193.16666666666</v>
      </c>
      <c r="B2299">
        <f>TEXT(A2299,"yyyy-mm")</f>
        <v/>
      </c>
      <c r="C2299" s="3">
        <f>HOUR(A2299)</f>
        <v/>
      </c>
      <c r="D2299" s="4" t="n">
        <v>22.42806210995278</v>
      </c>
      <c r="E2299" s="4" t="n">
        <v>25.92961632687222</v>
      </c>
      <c r="F2299" s="4" t="n">
        <v>28.92978260614167</v>
      </c>
      <c r="G2299" s="4" t="n">
        <v>15.2</v>
      </c>
      <c r="H2299" s="5" t="n">
        <v>47.88121332168888</v>
      </c>
      <c r="I2299" s="5" t="n">
        <v>40.73567477543055</v>
      </c>
      <c r="J2299" s="5" t="n">
        <v>44.14766559453056</v>
      </c>
      <c r="K2299" s="5" t="n">
        <v>79</v>
      </c>
    </row>
    <row r="2300">
      <c r="A2300" s="2" t="n">
        <v>46193.20833333334</v>
      </c>
      <c r="B2300">
        <f>TEXT(A2300,"yyyy-mm")</f>
        <v/>
      </c>
      <c r="C2300" s="3">
        <f>HOUR(A2300)</f>
        <v/>
      </c>
      <c r="D2300" s="4" t="n">
        <v>22.70981808198611</v>
      </c>
      <c r="E2300" s="4" t="n">
        <v>25.87213214820833</v>
      </c>
      <c r="F2300" s="4" t="n">
        <v>28.97969907637778</v>
      </c>
      <c r="G2300" s="4" t="n">
        <v>14.9</v>
      </c>
      <c r="H2300" s="5" t="n">
        <v>46.39543833536111</v>
      </c>
      <c r="I2300" s="5" t="n">
        <v>40.2752501814639</v>
      </c>
      <c r="J2300" s="5" t="n">
        <v>44.11829062948333</v>
      </c>
      <c r="K2300" s="5" t="n">
        <v>79</v>
      </c>
    </row>
    <row r="2301">
      <c r="A2301" s="2" t="n">
        <v>46193.25</v>
      </c>
      <c r="B2301">
        <f>TEXT(A2301,"yyyy-mm")</f>
        <v/>
      </c>
      <c r="C2301" s="3">
        <f>HOUR(A2301)</f>
        <v/>
      </c>
      <c r="D2301" s="4" t="n">
        <v>24.41637391044445</v>
      </c>
      <c r="E2301" s="4" t="n">
        <v>26.23638607455834</v>
      </c>
      <c r="F2301" s="4" t="n">
        <v>29.04192666204166</v>
      </c>
      <c r="G2301" s="4" t="n">
        <v>16.3</v>
      </c>
      <c r="H2301" s="5" t="n">
        <v>41.53471879925</v>
      </c>
      <c r="I2301" s="5" t="n">
        <v>40.46827318319166</v>
      </c>
      <c r="J2301" s="5" t="n">
        <v>44.08548202920833</v>
      </c>
      <c r="K2301" s="5" t="n">
        <v>68</v>
      </c>
    </row>
    <row r="2302">
      <c r="A2302" s="2" t="n">
        <v>46193.29166666666</v>
      </c>
      <c r="B2302">
        <f>TEXT(A2302,"yyyy-mm")</f>
        <v/>
      </c>
      <c r="C2302" s="3">
        <f>HOUR(A2302)</f>
        <v/>
      </c>
      <c r="D2302" s="4" t="n">
        <v>25.60515020554167</v>
      </c>
      <c r="E2302" s="4" t="n">
        <v>26.81396721287222</v>
      </c>
      <c r="F2302" s="4" t="n">
        <v>29.03869716358333</v>
      </c>
      <c r="G2302" s="4" t="n">
        <v>18.6</v>
      </c>
      <c r="H2302" s="5" t="n">
        <v>38.03922871200833</v>
      </c>
      <c r="I2302" s="5" t="n">
        <v>38.21738888958889</v>
      </c>
      <c r="J2302" s="5" t="n">
        <v>43.92043634194167</v>
      </c>
      <c r="K2302" s="5" t="n">
        <v>57</v>
      </c>
    </row>
    <row r="2303">
      <c r="A2303" s="2" t="n">
        <v>46193.33333333334</v>
      </c>
      <c r="B2303">
        <f>TEXT(A2303,"yyyy-mm")</f>
        <v/>
      </c>
      <c r="C2303" s="3">
        <f>HOUR(A2303)</f>
        <v/>
      </c>
      <c r="D2303" s="4" t="n">
        <v>26.17171668732778</v>
      </c>
      <c r="E2303" s="4" t="n">
        <v>27.23259036376389</v>
      </c>
      <c r="F2303" s="4" t="n">
        <v>29.04371187156944</v>
      </c>
      <c r="G2303" s="4" t="n">
        <v>21.1</v>
      </c>
      <c r="H2303" s="5" t="n">
        <v>37.497088118475</v>
      </c>
      <c r="I2303" s="5" t="n">
        <v>37.85929357813888</v>
      </c>
      <c r="J2303" s="5" t="n">
        <v>43.82523061066944</v>
      </c>
      <c r="K2303" s="5" t="n">
        <v>47</v>
      </c>
    </row>
    <row r="2304">
      <c r="A2304" s="2" t="n">
        <v>46193.375</v>
      </c>
      <c r="B2304">
        <f>TEXT(A2304,"yyyy-mm")</f>
        <v/>
      </c>
      <c r="C2304" s="3">
        <f>HOUR(A2304)</f>
        <v/>
      </c>
      <c r="D2304" s="4" t="n">
        <v>26.55320337754166</v>
      </c>
      <c r="E2304" s="4" t="n">
        <v>27.29600433940556</v>
      </c>
      <c r="F2304" s="4" t="n">
        <v>29.01483602908889</v>
      </c>
      <c r="G2304" s="4" t="n">
        <v>23.5</v>
      </c>
      <c r="H2304" s="5" t="n">
        <v>38.59654592712222</v>
      </c>
      <c r="I2304" s="5" t="n">
        <v>37.88219609823612</v>
      </c>
      <c r="J2304" s="5" t="n">
        <v>43.83590841073889</v>
      </c>
      <c r="K2304" s="5" t="n">
        <v>40</v>
      </c>
    </row>
    <row r="2305">
      <c r="A2305" s="2" t="n">
        <v>46193.41666666666</v>
      </c>
      <c r="B2305">
        <f>TEXT(A2305,"yyyy-mm")</f>
        <v/>
      </c>
      <c r="C2305" s="3">
        <f>HOUR(A2305)</f>
        <v/>
      </c>
      <c r="D2305" s="4" t="n">
        <v>26.71194306421667</v>
      </c>
      <c r="E2305" s="4" t="n">
        <v>27.35816134262222</v>
      </c>
      <c r="F2305" s="4" t="n">
        <v>28.98982108581389</v>
      </c>
      <c r="G2305" s="4" t="n">
        <v>24.4</v>
      </c>
      <c r="H2305" s="5" t="n">
        <v>37.7219437627</v>
      </c>
      <c r="I2305" s="5" t="n">
        <v>37.93650084634722</v>
      </c>
      <c r="J2305" s="5" t="n">
        <v>43.90037240857222</v>
      </c>
      <c r="K2305" s="5" t="n">
        <v>39</v>
      </c>
    </row>
    <row r="2306">
      <c r="A2306" s="2" t="n">
        <v>46193.45833333334</v>
      </c>
      <c r="B2306">
        <f>TEXT(A2306,"yyyy-mm")</f>
        <v/>
      </c>
      <c r="C2306" s="3">
        <f>HOUR(A2306)</f>
        <v/>
      </c>
      <c r="D2306" s="4" t="n">
        <v>26.87705855153056</v>
      </c>
      <c r="E2306" s="4" t="n">
        <v>27.52782913571389</v>
      </c>
      <c r="F2306" s="4" t="n">
        <v>28.98215259979166</v>
      </c>
      <c r="G2306" s="4" t="n">
        <v>25.3</v>
      </c>
      <c r="H2306" s="5" t="n">
        <v>37.06043206400278</v>
      </c>
      <c r="I2306" s="5" t="n">
        <v>36.99250276809445</v>
      </c>
      <c r="J2306" s="5" t="n">
        <v>43.90307743764166</v>
      </c>
      <c r="K2306" s="5" t="n">
        <v>35</v>
      </c>
    </row>
    <row r="2307">
      <c r="A2307" s="2" t="n">
        <v>46193.5</v>
      </c>
      <c r="B2307">
        <f>TEXT(A2307,"yyyy-mm")</f>
        <v/>
      </c>
      <c r="C2307" s="3">
        <f>HOUR(A2307)</f>
        <v/>
      </c>
      <c r="D2307" s="4" t="n">
        <v>26.81678872019444</v>
      </c>
      <c r="E2307" s="4" t="n">
        <v>27.54040470328055</v>
      </c>
      <c r="F2307" s="4" t="n">
        <v>28.96500316003333</v>
      </c>
      <c r="G2307" s="4" t="n">
        <v>25.6</v>
      </c>
      <c r="H2307" s="5" t="n">
        <v>35.25338098576111</v>
      </c>
      <c r="I2307" s="5" t="n">
        <v>37.51318774253889</v>
      </c>
      <c r="J2307" s="5" t="n">
        <v>43.92184631910556</v>
      </c>
      <c r="K2307" s="5" t="n">
        <v>34</v>
      </c>
    </row>
    <row r="2308">
      <c r="A2308" s="2" t="n">
        <v>46193.54166666666</v>
      </c>
      <c r="B2308">
        <f>TEXT(A2308,"yyyy-mm")</f>
        <v/>
      </c>
      <c r="C2308" s="3">
        <f>HOUR(A2308)</f>
        <v/>
      </c>
      <c r="D2308" s="4" t="n">
        <v>26.76477895944722</v>
      </c>
      <c r="E2308" s="4" t="n">
        <v>27.91957716734444</v>
      </c>
      <c r="F2308" s="4" t="n">
        <v>28.77783540926111</v>
      </c>
      <c r="G2308" s="4" t="n">
        <v>25.6</v>
      </c>
      <c r="H2308" s="5" t="n">
        <v>34.97007512587222</v>
      </c>
      <c r="I2308" s="5" t="n">
        <v>38.24813697995555</v>
      </c>
      <c r="J2308" s="5" t="n">
        <v>44.67487777233333</v>
      </c>
      <c r="K2308" s="5" t="n">
        <v>36</v>
      </c>
    </row>
    <row r="2309">
      <c r="A2309" s="2" t="n">
        <v>46193.58333333334</v>
      </c>
      <c r="B2309">
        <f>TEXT(A2309,"yyyy-mm")</f>
        <v/>
      </c>
      <c r="C2309" s="3">
        <f>HOUR(A2309)</f>
        <v/>
      </c>
      <c r="D2309" s="4" t="n">
        <v>26.72434127559444</v>
      </c>
      <c r="E2309" s="4" t="n">
        <v>27.97537375927222</v>
      </c>
      <c r="F2309" s="4" t="n">
        <v>28.35541124223611</v>
      </c>
      <c r="G2309" s="4" t="n">
        <v>25.7</v>
      </c>
      <c r="H2309" s="5" t="n">
        <v>35.48256739028611</v>
      </c>
      <c r="I2309" s="5" t="n">
        <v>38.57503256433611</v>
      </c>
      <c r="J2309" s="5" t="n">
        <v>45.56304000437501</v>
      </c>
      <c r="K2309" s="5" t="n">
        <v>37</v>
      </c>
    </row>
    <row r="2310">
      <c r="A2310" s="2" t="n">
        <v>46193.625</v>
      </c>
      <c r="B2310">
        <f>TEXT(A2310,"yyyy-mm")</f>
        <v/>
      </c>
      <c r="C2310" s="3">
        <f>HOUR(A2310)</f>
        <v/>
      </c>
      <c r="D2310" s="4" t="n">
        <v>26.77930888452778</v>
      </c>
      <c r="E2310" s="4" t="n">
        <v>27.61400816058611</v>
      </c>
      <c r="F2310" s="4" t="n">
        <v>28.53435807370278</v>
      </c>
      <c r="G2310" s="4" t="n">
        <v>26</v>
      </c>
      <c r="H2310" s="5" t="n">
        <v>34.93539649290278</v>
      </c>
      <c r="I2310" s="5" t="n">
        <v>38.14524358423056</v>
      </c>
      <c r="J2310" s="5" t="n">
        <v>45.52351557744999</v>
      </c>
      <c r="K2310" s="5" t="n">
        <v>38</v>
      </c>
    </row>
    <row r="2311">
      <c r="A2311" s="2" t="n">
        <v>46193.66666666666</v>
      </c>
      <c r="B2311">
        <f>TEXT(A2311,"yyyy-mm")</f>
        <v/>
      </c>
      <c r="C2311" s="3">
        <f>HOUR(A2311)</f>
        <v/>
      </c>
      <c r="D2311" s="4" t="n">
        <v>26.87034757256667</v>
      </c>
      <c r="E2311" s="4" t="n">
        <v>27.81385341588055</v>
      </c>
      <c r="F2311" s="4" t="n">
        <v>28.65782958961667</v>
      </c>
      <c r="G2311" s="4" t="n">
        <v>25.9</v>
      </c>
      <c r="H2311" s="5" t="n">
        <v>33.53770315529722</v>
      </c>
      <c r="I2311" s="5" t="n">
        <v>37.43358851806111</v>
      </c>
      <c r="J2311" s="5" t="n">
        <v>46.36617042544722</v>
      </c>
      <c r="K2311" s="5" t="n">
        <v>36</v>
      </c>
    </row>
    <row r="2312">
      <c r="A2312" s="2" t="n">
        <v>46193.70833333334</v>
      </c>
      <c r="B2312">
        <f>TEXT(A2312,"yyyy-mm")</f>
        <v/>
      </c>
      <c r="C2312" s="3">
        <f>HOUR(A2312)</f>
        <v/>
      </c>
      <c r="D2312" s="4" t="n">
        <v>26.94189755256389</v>
      </c>
      <c r="E2312" s="4" t="n">
        <v>28.02499343066667</v>
      </c>
      <c r="F2312" s="4" t="n">
        <v>28.69565465399722</v>
      </c>
      <c r="G2312" s="4" t="n">
        <v>25.8</v>
      </c>
      <c r="H2312" s="5" t="n">
        <v>34.76968250746389</v>
      </c>
      <c r="I2312" s="5" t="n">
        <v>37.44962044333056</v>
      </c>
      <c r="J2312" s="5" t="n">
        <v>46.75954532810278</v>
      </c>
      <c r="K2312" s="5" t="n">
        <v>35</v>
      </c>
    </row>
    <row r="2313">
      <c r="A2313" s="2" t="n">
        <v>46193.75</v>
      </c>
      <c r="B2313">
        <f>TEXT(A2313,"yyyy-mm")</f>
        <v/>
      </c>
      <c r="C2313" s="3">
        <f>HOUR(A2313)</f>
        <v/>
      </c>
      <c r="D2313" s="4" t="n">
        <v>26.72722277376389</v>
      </c>
      <c r="E2313" s="4" t="n">
        <v>28.092126514375</v>
      </c>
      <c r="F2313" s="4" t="n">
        <v>28.92115486185277</v>
      </c>
      <c r="G2313" s="4" t="n">
        <v>25.2</v>
      </c>
      <c r="H2313" s="5" t="n">
        <v>35.37198863208611</v>
      </c>
      <c r="I2313" s="5" t="n">
        <v>37.44944679411667</v>
      </c>
      <c r="J2313" s="5" t="n">
        <v>45.71879151094166</v>
      </c>
      <c r="K2313" s="5" t="n">
        <v>37</v>
      </c>
    </row>
    <row r="2314">
      <c r="A2314" s="2" t="n">
        <v>46193.79166666666</v>
      </c>
      <c r="B2314">
        <f>TEXT(A2314,"yyyy-mm")</f>
        <v/>
      </c>
      <c r="C2314" s="3">
        <f>HOUR(A2314)</f>
        <v/>
      </c>
      <c r="D2314" s="4" t="n">
        <v>26.57160232730833</v>
      </c>
      <c r="E2314" s="4" t="n">
        <v>28.12579017110278</v>
      </c>
      <c r="F2314" s="4" t="n">
        <v>28.70782290437222</v>
      </c>
      <c r="G2314" s="4" t="n">
        <v>24.5</v>
      </c>
      <c r="H2314" s="5" t="n">
        <v>36.46576609826945</v>
      </c>
      <c r="I2314" s="5" t="n">
        <v>37.95469785373889</v>
      </c>
      <c r="J2314" s="5" t="n">
        <v>45.58971548808611</v>
      </c>
      <c r="K2314" s="5" t="n">
        <v>39</v>
      </c>
    </row>
    <row r="2315">
      <c r="A2315" s="2" t="n">
        <v>46193.83333333334</v>
      </c>
      <c r="B2315">
        <f>TEXT(A2315,"yyyy-mm")</f>
        <v/>
      </c>
      <c r="C2315" s="3">
        <f>HOUR(A2315)</f>
        <v/>
      </c>
      <c r="D2315" s="4" t="n">
        <v>25.99897558448889</v>
      </c>
      <c r="E2315" s="4" t="n">
        <v>28.14254009926111</v>
      </c>
      <c r="F2315" s="4" t="n">
        <v>28.55494802184445</v>
      </c>
      <c r="G2315" s="4" t="n">
        <v>23.4</v>
      </c>
      <c r="H2315" s="5" t="n">
        <v>38.14641884845</v>
      </c>
      <c r="I2315" s="5" t="n">
        <v>38.02940485418611</v>
      </c>
      <c r="J2315" s="5" t="n">
        <v>45.42103473916389</v>
      </c>
      <c r="K2315" s="5" t="n">
        <v>43</v>
      </c>
    </row>
    <row r="2316">
      <c r="A2316" s="2" t="n">
        <v>46193.875</v>
      </c>
      <c r="B2316">
        <f>TEXT(A2316,"yyyy-mm")</f>
        <v/>
      </c>
      <c r="C2316" s="3">
        <f>HOUR(A2316)</f>
        <v/>
      </c>
      <c r="D2316" s="4" t="n">
        <v>25.51737802374722</v>
      </c>
      <c r="E2316" s="4" t="n">
        <v>28.18270645001389</v>
      </c>
      <c r="F2316" s="4" t="n">
        <v>28.53094841420556</v>
      </c>
      <c r="G2316" s="4" t="n">
        <v>22.2</v>
      </c>
      <c r="H2316" s="5" t="n">
        <v>39.76515059145556</v>
      </c>
      <c r="I2316" s="5" t="n">
        <v>39.40621235368611</v>
      </c>
      <c r="J2316" s="5" t="n">
        <v>45.61568158277501</v>
      </c>
      <c r="K2316" s="5" t="n">
        <v>48</v>
      </c>
    </row>
    <row r="2317">
      <c r="A2317" s="2" t="n">
        <v>46193.91666666666</v>
      </c>
      <c r="B2317">
        <f>TEXT(A2317,"yyyy-mm")</f>
        <v/>
      </c>
      <c r="C2317" s="3">
        <f>HOUR(A2317)</f>
        <v/>
      </c>
      <c r="D2317" s="4" t="n">
        <v>25.13326080341945</v>
      </c>
      <c r="E2317" s="4" t="n">
        <v>28.053884289375</v>
      </c>
      <c r="F2317" s="4" t="n">
        <v>28.72583633185</v>
      </c>
      <c r="G2317" s="4" t="n">
        <v>21.1</v>
      </c>
      <c r="H2317" s="5" t="n">
        <v>40.62439738541666</v>
      </c>
      <c r="I2317" s="5" t="n">
        <v>39.84897129623333</v>
      </c>
      <c r="J2317" s="5" t="n">
        <v>45.54528482747778</v>
      </c>
      <c r="K2317" s="5" t="n">
        <v>52</v>
      </c>
    </row>
    <row r="2318">
      <c r="A2318" s="2" t="n">
        <v>46193.95833333334</v>
      </c>
      <c r="B2318">
        <f>TEXT(A2318,"yyyy-mm")</f>
        <v/>
      </c>
      <c r="C2318" s="3">
        <f>HOUR(A2318)</f>
        <v/>
      </c>
      <c r="D2318" s="4" t="n">
        <v>24.83878953218333</v>
      </c>
      <c r="E2318" s="4" t="n">
        <v>27.97419590585278</v>
      </c>
      <c r="F2318" s="4" t="n">
        <v>28.83243715929167</v>
      </c>
      <c r="G2318" s="4" t="n">
        <v>20.1</v>
      </c>
      <c r="H2318" s="5" t="n">
        <v>40.47990297011111</v>
      </c>
      <c r="I2318" s="5" t="n">
        <v>40.77932408083611</v>
      </c>
      <c r="J2318" s="5" t="n">
        <v>45.28473317561944</v>
      </c>
      <c r="K2318" s="5" t="n">
        <v>55</v>
      </c>
    </row>
    <row r="2319">
      <c r="A2319" s="2" t="n">
        <v>46194</v>
      </c>
      <c r="B2319">
        <f>TEXT(A2319,"yyyy-mm")</f>
        <v/>
      </c>
      <c r="C2319" s="3">
        <f>HOUR(A2319)</f>
        <v/>
      </c>
      <c r="D2319" s="4" t="n">
        <v>24.49343473788056</v>
      </c>
      <c r="E2319" s="4" t="n">
        <v>27.62832844139167</v>
      </c>
      <c r="F2319" s="4" t="n">
        <v>28.85976300024722</v>
      </c>
      <c r="G2319" s="4" t="n">
        <v>19.4</v>
      </c>
      <c r="H2319" s="5" t="n">
        <v>41.17787770969444</v>
      </c>
      <c r="I2319" s="5" t="n">
        <v>40.11953779958889</v>
      </c>
      <c r="J2319" s="5" t="n">
        <v>45.101092508425</v>
      </c>
      <c r="K2319" s="5" t="n">
        <v>56</v>
      </c>
    </row>
    <row r="2320">
      <c r="A2320" s="2" t="n">
        <v>46194.04166666666</v>
      </c>
      <c r="B2320">
        <f>TEXT(A2320,"yyyy-mm")</f>
        <v/>
      </c>
      <c r="C2320" s="3">
        <f>HOUR(A2320)</f>
        <v/>
      </c>
      <c r="D2320" s="4" t="n">
        <v>24.14630807804722</v>
      </c>
      <c r="E2320" s="4" t="n">
        <v>27.54223156438333</v>
      </c>
      <c r="F2320" s="4" t="n">
        <v>28.86355802984167</v>
      </c>
      <c r="G2320" s="4" t="n">
        <v>18.4</v>
      </c>
      <c r="H2320" s="5" t="n">
        <v>42.17977653304722</v>
      </c>
      <c r="I2320" s="5" t="n">
        <v>40.12921216848056</v>
      </c>
      <c r="J2320" s="5" t="n">
        <v>44.98085566982778</v>
      </c>
      <c r="K2320" s="5" t="n">
        <v>60</v>
      </c>
    </row>
    <row r="2321">
      <c r="A2321" s="2" t="n">
        <v>46194.08333333334</v>
      </c>
      <c r="B2321">
        <f>TEXT(A2321,"yyyy-mm")</f>
        <v/>
      </c>
      <c r="C2321" s="3">
        <f>HOUR(A2321)</f>
        <v/>
      </c>
      <c r="D2321" s="4" t="n">
        <v>23.70439532634444</v>
      </c>
      <c r="E2321" s="4" t="n">
        <v>27.48661568170555</v>
      </c>
      <c r="F2321" s="4" t="n">
        <v>28.858942149325</v>
      </c>
      <c r="G2321" s="4" t="n">
        <v>17.6</v>
      </c>
      <c r="H2321" s="5" t="n">
        <v>42.54809767445833</v>
      </c>
      <c r="I2321" s="5" t="n">
        <v>38.26999144036945</v>
      </c>
      <c r="J2321" s="5" t="n">
        <v>44.88184849935556</v>
      </c>
      <c r="K2321" s="5" t="n">
        <v>64</v>
      </c>
    </row>
    <row r="2322">
      <c r="A2322" s="2" t="n">
        <v>46194.125</v>
      </c>
      <c r="B2322">
        <f>TEXT(A2322,"yyyy-mm")</f>
        <v/>
      </c>
      <c r="C2322" s="3">
        <f>HOUR(A2322)</f>
        <v/>
      </c>
      <c r="D2322" s="4" t="n">
        <v>23.20531335369722</v>
      </c>
      <c r="E2322" s="4" t="n">
        <v>27.291439117725</v>
      </c>
      <c r="F2322" s="4" t="n">
        <v>28.85148929328055</v>
      </c>
      <c r="G2322" s="4" t="n">
        <v>16.5</v>
      </c>
      <c r="H2322" s="5" t="n">
        <v>42.85174194046667</v>
      </c>
      <c r="I2322" s="5" t="n">
        <v>37.08102024936389</v>
      </c>
      <c r="J2322" s="5" t="n">
        <v>44.71507847300556</v>
      </c>
      <c r="K2322" s="5" t="n">
        <v>66</v>
      </c>
    </row>
    <row r="2323">
      <c r="A2323" s="2" t="n">
        <v>46194.16666666666</v>
      </c>
      <c r="B2323">
        <f>TEXT(A2323,"yyyy-mm")</f>
        <v/>
      </c>
      <c r="C2323" s="3">
        <f>HOUR(A2323)</f>
        <v/>
      </c>
      <c r="D2323" s="4" t="n">
        <v>22.92250269670703</v>
      </c>
      <c r="E2323" s="4" t="n">
        <v>26.68576237540278</v>
      </c>
      <c r="F2323" s="4" t="n">
        <v>28.80553455026389</v>
      </c>
      <c r="G2323" s="4" t="n">
        <v>15.7</v>
      </c>
      <c r="H2323" s="5" t="n">
        <v>43.47524670772134</v>
      </c>
      <c r="I2323" s="5" t="n">
        <v>36.67523446213889</v>
      </c>
      <c r="J2323" s="5" t="n">
        <v>44.55408341482778</v>
      </c>
      <c r="K2323" s="5" t="n">
        <v>68</v>
      </c>
    </row>
    <row r="2324">
      <c r="A2324" s="2" t="n">
        <v>46194.20833333334</v>
      </c>
      <c r="B2324">
        <f>TEXT(A2324,"yyyy-mm")</f>
        <v/>
      </c>
      <c r="C2324" s="3">
        <f>HOUR(A2324)</f>
        <v/>
      </c>
      <c r="D2324" s="4" t="n">
        <v>23.67688524390432</v>
      </c>
      <c r="E2324" s="4" t="n">
        <v>26.46636892064167</v>
      </c>
      <c r="F2324" s="4" t="n">
        <v>28.76697423812778</v>
      </c>
      <c r="G2324" s="4" t="n">
        <v>15.3</v>
      </c>
      <c r="H2324" s="5" t="n">
        <v>41.08671424498286</v>
      </c>
      <c r="I2324" s="5" t="n">
        <v>36.69107816591666</v>
      </c>
      <c r="J2324" s="5" t="n">
        <v>44.39745992467223</v>
      </c>
      <c r="K2324" s="5" t="n">
        <v>68</v>
      </c>
    </row>
    <row r="2325">
      <c r="A2325" s="2" t="n">
        <v>46194.25</v>
      </c>
      <c r="B2325">
        <f>TEXT(A2325,"yyyy-mm")</f>
        <v/>
      </c>
      <c r="C2325" s="3">
        <f>HOUR(A2325)</f>
        <v/>
      </c>
      <c r="D2325" s="4" t="n">
        <v>24.59205205406389</v>
      </c>
      <c r="E2325" s="4" t="n">
        <v>26.77969878726667</v>
      </c>
      <c r="F2325" s="4" t="n">
        <v>28.77613711879445</v>
      </c>
      <c r="G2325" s="4" t="n">
        <v>16</v>
      </c>
      <c r="H2325" s="5" t="n">
        <v>38.78664371577778</v>
      </c>
      <c r="I2325" s="5" t="n">
        <v>36.48592000633611</v>
      </c>
      <c r="J2325" s="5" t="n">
        <v>44.28365254234444</v>
      </c>
      <c r="K2325" s="5" t="n">
        <v>66</v>
      </c>
    </row>
    <row r="2326">
      <c r="A2326" s="2" t="n">
        <v>46194.29166666666</v>
      </c>
      <c r="B2326">
        <f>TEXT(A2326,"yyyy-mm")</f>
        <v/>
      </c>
      <c r="C2326" s="3">
        <f>HOUR(A2326)</f>
        <v/>
      </c>
      <c r="D2326" s="4" t="n">
        <v>26.02819298873056</v>
      </c>
      <c r="E2326" s="4" t="n">
        <v>27.09094900746111</v>
      </c>
      <c r="F2326" s="4" t="n">
        <v>28.79523135416389</v>
      </c>
      <c r="G2326" s="4" t="n">
        <v>17.4</v>
      </c>
      <c r="H2326" s="5" t="n">
        <v>36.27615983921388</v>
      </c>
      <c r="I2326" s="5" t="n">
        <v>35.66039959874167</v>
      </c>
      <c r="J2326" s="5" t="n">
        <v>44.20262419908611</v>
      </c>
      <c r="K2326" s="5" t="n">
        <v>61</v>
      </c>
    </row>
    <row r="2327">
      <c r="A2327" s="2" t="n">
        <v>46194.33333333334</v>
      </c>
      <c r="B2327">
        <f>TEXT(A2327,"yyyy-mm")</f>
        <v/>
      </c>
      <c r="C2327" s="3">
        <f>HOUR(A2327)</f>
        <v/>
      </c>
      <c r="D2327" s="4" t="n">
        <v>27.220627062925</v>
      </c>
      <c r="E2327" s="4" t="n">
        <v>27.46976025578612</v>
      </c>
      <c r="F2327" s="4" t="n">
        <v>28.81676287576667</v>
      </c>
      <c r="G2327" s="4" t="n">
        <v>19.2</v>
      </c>
      <c r="H2327" s="5" t="n">
        <v>34.41594316255</v>
      </c>
      <c r="I2327" s="5" t="n">
        <v>35.34930873496111</v>
      </c>
      <c r="J2327" s="5" t="n">
        <v>44.13236545367221</v>
      </c>
      <c r="K2327" s="5" t="n">
        <v>55</v>
      </c>
    </row>
    <row r="2328">
      <c r="A2328" s="2" t="n">
        <v>46194.375</v>
      </c>
      <c r="B2328">
        <f>TEXT(A2328,"yyyy-mm")</f>
        <v/>
      </c>
      <c r="C2328" s="3">
        <f>HOUR(A2328)</f>
        <v/>
      </c>
      <c r="D2328" s="4" t="n">
        <v>28.53014441180555</v>
      </c>
      <c r="E2328" s="4" t="n">
        <v>27.78187318380833</v>
      </c>
      <c r="F2328" s="4" t="n">
        <v>28.84162365780278</v>
      </c>
      <c r="G2328" s="4" t="n">
        <v>21.4</v>
      </c>
      <c r="H2328" s="5" t="n">
        <v>31.30574778692778</v>
      </c>
      <c r="I2328" s="5" t="n">
        <v>34.93999085483611</v>
      </c>
      <c r="J2328" s="5" t="n">
        <v>44.10549915647778</v>
      </c>
      <c r="K2328" s="5" t="n">
        <v>46</v>
      </c>
    </row>
    <row r="2329">
      <c r="A2329" s="2" t="n">
        <v>46194.41666666666</v>
      </c>
      <c r="B2329">
        <f>TEXT(A2329,"yyyy-mm")</f>
        <v/>
      </c>
      <c r="C2329" s="3">
        <f>HOUR(A2329)</f>
        <v/>
      </c>
      <c r="D2329" s="4" t="n">
        <v>27.46461105748889</v>
      </c>
      <c r="E2329" s="4" t="n">
        <v>27.73442166023056</v>
      </c>
      <c r="F2329" s="4" t="n">
        <v>28.85992939031389</v>
      </c>
      <c r="G2329" s="4" t="n">
        <v>22.7</v>
      </c>
      <c r="H2329" s="5" t="n">
        <v>32.79200903091667</v>
      </c>
      <c r="I2329" s="5" t="n">
        <v>34.27156071626388</v>
      </c>
      <c r="J2329" s="5" t="n">
        <v>44.04298472951666</v>
      </c>
      <c r="K2329" s="5" t="n">
        <v>41</v>
      </c>
    </row>
    <row r="2330">
      <c r="A2330" s="2" t="n">
        <v>46194.45833333334</v>
      </c>
      <c r="B2330">
        <f>TEXT(A2330,"yyyy-mm")</f>
        <v/>
      </c>
      <c r="C2330" s="3">
        <f>HOUR(A2330)</f>
        <v/>
      </c>
      <c r="D2330" s="4" t="n">
        <v>27.23842488247778</v>
      </c>
      <c r="E2330" s="4" t="n">
        <v>27.54702923493889</v>
      </c>
      <c r="F2330" s="4" t="n">
        <v>28.86183535993333</v>
      </c>
      <c r="G2330" s="4" t="n">
        <v>23.5</v>
      </c>
      <c r="H2330" s="5" t="n">
        <v>32.36906911115555</v>
      </c>
      <c r="I2330" s="5" t="n">
        <v>34.05061237702778</v>
      </c>
      <c r="J2330" s="5" t="n">
        <v>43.94409587748333</v>
      </c>
      <c r="K2330" s="5" t="n">
        <v>35</v>
      </c>
    </row>
    <row r="2331">
      <c r="A2331" s="2" t="n">
        <v>46194.5</v>
      </c>
      <c r="B2331">
        <f>TEXT(A2331,"yyyy-mm")</f>
        <v/>
      </c>
      <c r="C2331" s="3">
        <f>HOUR(A2331)</f>
        <v/>
      </c>
      <c r="D2331" s="4" t="n">
        <v>26.88223018236389</v>
      </c>
      <c r="E2331" s="4" t="n">
        <v>27.53758272721944</v>
      </c>
      <c r="F2331" s="4" t="n">
        <v>28.85909807465555</v>
      </c>
      <c r="G2331" s="4" t="n">
        <v>24.5</v>
      </c>
      <c r="H2331" s="5" t="n">
        <v>30.94285833313612</v>
      </c>
      <c r="I2331" s="5" t="n">
        <v>33.94949482117778</v>
      </c>
      <c r="J2331" s="5" t="n">
        <v>43.84341015230556</v>
      </c>
      <c r="K2331" s="5" t="n">
        <v>31</v>
      </c>
    </row>
    <row r="2332">
      <c r="A2332" s="2" t="n">
        <v>46194.54166666666</v>
      </c>
      <c r="B2332">
        <f>TEXT(A2332,"yyyy-mm")</f>
        <v/>
      </c>
      <c r="C2332" s="3">
        <f>HOUR(A2332)</f>
        <v/>
      </c>
      <c r="D2332" s="4" t="n">
        <v>26.79330942513333</v>
      </c>
      <c r="E2332" s="4" t="n">
        <v>27.61361583101389</v>
      </c>
      <c r="F2332" s="4" t="n">
        <v>28.85419456653056</v>
      </c>
      <c r="G2332" s="4" t="n">
        <v>25.1</v>
      </c>
      <c r="H2332" s="5" t="n">
        <v>30.95680315833889</v>
      </c>
      <c r="I2332" s="5" t="n">
        <v>33.24568697055833</v>
      </c>
      <c r="J2332" s="5" t="n">
        <v>43.71860446307222</v>
      </c>
      <c r="K2332" s="5" t="n">
        <v>28</v>
      </c>
    </row>
    <row r="2333">
      <c r="A2333" s="2" t="n">
        <v>46194.58333333334</v>
      </c>
      <c r="B2333">
        <f>TEXT(A2333,"yyyy-mm")</f>
        <v/>
      </c>
      <c r="C2333" s="3">
        <f>HOUR(A2333)</f>
        <v/>
      </c>
      <c r="D2333" s="4" t="n">
        <v>26.80688424050833</v>
      </c>
      <c r="E2333" s="4" t="n">
        <v>27.70202518168056</v>
      </c>
      <c r="F2333" s="4" t="n">
        <v>28.5074564529</v>
      </c>
      <c r="G2333" s="4" t="n">
        <v>25.7</v>
      </c>
      <c r="H2333" s="5" t="n">
        <v>31.38026834371111</v>
      </c>
      <c r="I2333" s="5" t="n">
        <v>33.13271457381666</v>
      </c>
      <c r="J2333" s="5" t="n">
        <v>42.86321907653889</v>
      </c>
      <c r="K2333" s="5" t="n">
        <v>26</v>
      </c>
    </row>
    <row r="2334">
      <c r="A2334" s="2" t="n">
        <v>46194.625</v>
      </c>
      <c r="B2334">
        <f>TEXT(A2334,"yyyy-mm")</f>
        <v/>
      </c>
      <c r="C2334" s="3">
        <f>HOUR(A2334)</f>
        <v/>
      </c>
      <c r="D2334" s="4" t="n">
        <v>26.85134768581389</v>
      </c>
      <c r="E2334" s="4" t="n">
        <v>27.90721890855556</v>
      </c>
      <c r="F2334" s="4" t="n">
        <v>28.64508945753889</v>
      </c>
      <c r="G2334" s="4" t="n">
        <v>25.2</v>
      </c>
      <c r="H2334" s="5" t="n">
        <v>30.15403297761666</v>
      </c>
      <c r="I2334" s="5" t="n">
        <v>33.40614391413611</v>
      </c>
      <c r="J2334" s="5" t="n">
        <v>43.13998746600277</v>
      </c>
      <c r="K2334" s="5" t="n">
        <v>32</v>
      </c>
    </row>
    <row r="2335">
      <c r="A2335" s="2" t="n">
        <v>46194.66666666666</v>
      </c>
      <c r="B2335">
        <f>TEXT(A2335,"yyyy-mm")</f>
        <v/>
      </c>
      <c r="C2335" s="3">
        <f>HOUR(A2335)</f>
        <v/>
      </c>
      <c r="D2335" s="4" t="n">
        <v>27.00239436305833</v>
      </c>
      <c r="E2335" s="4" t="n">
        <v>28.05743938299722</v>
      </c>
      <c r="F2335" s="4" t="n">
        <v>28.88793214916389</v>
      </c>
      <c r="G2335" s="4" t="n">
        <v>24.8</v>
      </c>
      <c r="H2335" s="5" t="n">
        <v>30.00130685600556</v>
      </c>
      <c r="I2335" s="5" t="n">
        <v>32.84659506161945</v>
      </c>
      <c r="J2335" s="5" t="n">
        <v>43.237476203425</v>
      </c>
      <c r="K2335" s="5" t="n">
        <v>34</v>
      </c>
    </row>
    <row r="2336">
      <c r="A2336" s="2" t="n">
        <v>46194.70833333334</v>
      </c>
      <c r="B2336">
        <f>TEXT(A2336,"yyyy-mm")</f>
        <v/>
      </c>
      <c r="C2336" s="3">
        <f>HOUR(A2336)</f>
        <v/>
      </c>
      <c r="D2336" s="4" t="n">
        <v>26.96521830195833</v>
      </c>
      <c r="E2336" s="4" t="n">
        <v>27.33460890446666</v>
      </c>
      <c r="F2336" s="4" t="n">
        <v>28.948192272725</v>
      </c>
      <c r="G2336" s="4" t="n">
        <v>24.7</v>
      </c>
      <c r="H2336" s="5" t="n">
        <v>30.13856879595</v>
      </c>
      <c r="I2336" s="5" t="n">
        <v>32.12102424886667</v>
      </c>
      <c r="J2336" s="5" t="n">
        <v>43.11221251390555</v>
      </c>
      <c r="K2336" s="5" t="n">
        <v>35</v>
      </c>
    </row>
    <row r="2337">
      <c r="A2337" s="2" t="n">
        <v>46194.75</v>
      </c>
      <c r="B2337">
        <f>TEXT(A2337,"yyyy-mm")</f>
        <v/>
      </c>
      <c r="C2337" s="3">
        <f>HOUR(A2337)</f>
        <v/>
      </c>
      <c r="D2337" s="4" t="n">
        <v>26.93558355916112</v>
      </c>
      <c r="E2337" s="4" t="n">
        <v>27.49839460541111</v>
      </c>
      <c r="F2337" s="4" t="n">
        <v>28.94350163362222</v>
      </c>
      <c r="G2337" s="4" t="n">
        <v>24.3</v>
      </c>
      <c r="H2337" s="5" t="n">
        <v>30.7539573205</v>
      </c>
      <c r="I2337" s="5" t="n">
        <v>32.97468265299167</v>
      </c>
      <c r="J2337" s="5" t="n">
        <v>43.09439828889722</v>
      </c>
      <c r="K2337" s="5" t="n">
        <v>36</v>
      </c>
    </row>
    <row r="2338">
      <c r="A2338" s="2" t="n">
        <v>46194.79166666666</v>
      </c>
      <c r="B2338">
        <f>TEXT(A2338,"yyyy-mm")</f>
        <v/>
      </c>
      <c r="C2338" s="3">
        <f>HOUR(A2338)</f>
        <v/>
      </c>
      <c r="D2338" s="4" t="n">
        <v>26.9845232105</v>
      </c>
      <c r="E2338" s="4" t="n">
        <v>27.67914342908056</v>
      </c>
      <c r="F2338" s="4" t="n">
        <v>28.80599432459167</v>
      </c>
      <c r="G2338" s="4" t="n">
        <v>23.8</v>
      </c>
      <c r="H2338" s="5" t="n">
        <v>31.3455281263611</v>
      </c>
      <c r="I2338" s="5" t="n">
        <v>33.30470248555</v>
      </c>
      <c r="J2338" s="5" t="n">
        <v>42.29529616608889</v>
      </c>
      <c r="K2338" s="5" t="n">
        <v>38</v>
      </c>
    </row>
    <row r="2339">
      <c r="A2339" s="2" t="n">
        <v>46194.83333333334</v>
      </c>
      <c r="B2339">
        <f>TEXT(A2339,"yyyy-mm")</f>
        <v/>
      </c>
      <c r="C2339" s="3">
        <f>HOUR(A2339)</f>
        <v/>
      </c>
      <c r="D2339" s="4" t="n">
        <v>26.48030095070833</v>
      </c>
      <c r="E2339" s="4" t="n">
        <v>27.43081766766112</v>
      </c>
      <c r="F2339" s="4" t="n">
        <v>28.88820176901111</v>
      </c>
      <c r="G2339" s="4" t="n">
        <v>22.9</v>
      </c>
      <c r="H2339" s="5" t="n">
        <v>32.876880905375</v>
      </c>
      <c r="I2339" s="5" t="n">
        <v>34.57336976918611</v>
      </c>
      <c r="J2339" s="5" t="n">
        <v>42.81762661926667</v>
      </c>
      <c r="K2339" s="5" t="n">
        <v>42</v>
      </c>
    </row>
    <row r="2340">
      <c r="A2340" s="2" t="n">
        <v>46194.875</v>
      </c>
      <c r="B2340">
        <f>TEXT(A2340,"yyyy-mm")</f>
        <v/>
      </c>
      <c r="C2340" s="3">
        <f>HOUR(A2340)</f>
        <v/>
      </c>
      <c r="D2340" s="4" t="n">
        <v>26.28493229818333</v>
      </c>
      <c r="E2340" s="4" t="n">
        <v>27.52539619470278</v>
      </c>
      <c r="F2340" s="4" t="n">
        <v>28.83244907308056</v>
      </c>
      <c r="G2340" s="4" t="n">
        <v>21.9</v>
      </c>
      <c r="H2340" s="5" t="n">
        <v>35.639361553825</v>
      </c>
      <c r="I2340" s="5" t="n">
        <v>36.35229465078056</v>
      </c>
      <c r="J2340" s="5" t="n">
        <v>43.3744697592</v>
      </c>
      <c r="K2340" s="5" t="n">
        <v>47</v>
      </c>
    </row>
    <row r="2341">
      <c r="A2341" s="2" t="n">
        <v>46194.91666666666</v>
      </c>
      <c r="B2341">
        <f>TEXT(A2341,"yyyy-mm")</f>
        <v/>
      </c>
      <c r="C2341" s="3">
        <f>HOUR(A2341)</f>
        <v/>
      </c>
      <c r="D2341" s="4" t="n">
        <v>26.01497887479722</v>
      </c>
      <c r="E2341" s="4" t="n">
        <v>27.7089055203</v>
      </c>
      <c r="F2341" s="4" t="n">
        <v>28.62592516876389</v>
      </c>
      <c r="G2341" s="4" t="n">
        <v>21.1</v>
      </c>
      <c r="H2341" s="5" t="n">
        <v>35.6197120051</v>
      </c>
      <c r="I2341" s="5" t="n">
        <v>37.78293303981389</v>
      </c>
      <c r="J2341" s="5" t="n">
        <v>44.0333627701111</v>
      </c>
      <c r="K2341" s="5" t="n">
        <v>50</v>
      </c>
    </row>
    <row r="2342">
      <c r="A2342" s="2" t="n">
        <v>46194.95833333334</v>
      </c>
      <c r="B2342">
        <f>TEXT(A2342,"yyyy-mm")</f>
        <v/>
      </c>
      <c r="C2342" s="3">
        <f>HOUR(A2342)</f>
        <v/>
      </c>
      <c r="D2342" s="4" t="n">
        <v>25.48879590357222</v>
      </c>
      <c r="E2342" s="4" t="n">
        <v>27.81504552181111</v>
      </c>
      <c r="F2342" s="4" t="n">
        <v>28.88040861664444</v>
      </c>
      <c r="G2342" s="4" t="n">
        <v>20.3</v>
      </c>
      <c r="H2342" s="5" t="n">
        <v>35.67619472423889</v>
      </c>
      <c r="I2342" s="5" t="n">
        <v>37.10960018498056</v>
      </c>
      <c r="J2342" s="5" t="n">
        <v>43.68585527084167</v>
      </c>
      <c r="K2342" s="5" t="n">
        <v>54</v>
      </c>
    </row>
    <row r="2343">
      <c r="A2343" s="2" t="n">
        <v>46195</v>
      </c>
      <c r="B2343">
        <f>TEXT(A2343,"yyyy-mm")</f>
        <v/>
      </c>
      <c r="C2343" s="3">
        <f>HOUR(A2343)</f>
        <v/>
      </c>
      <c r="D2343" s="4" t="n">
        <v>25.23402285775833</v>
      </c>
      <c r="E2343" s="4" t="n">
        <v>27.84188107599722</v>
      </c>
      <c r="F2343" s="4" t="n">
        <v>28.877309405825</v>
      </c>
      <c r="G2343" s="4" t="n">
        <v>19.5</v>
      </c>
      <c r="H2343" s="5" t="n">
        <v>37.09791534129445</v>
      </c>
      <c r="I2343" s="5" t="n">
        <v>36.34176335819444</v>
      </c>
      <c r="J2343" s="5" t="n">
        <v>43.43578570385834</v>
      </c>
      <c r="K2343" s="5" t="n">
        <v>57</v>
      </c>
    </row>
    <row r="2344">
      <c r="A2344" s="2" t="n">
        <v>46195.04166666666</v>
      </c>
      <c r="B2344">
        <f>TEXT(A2344,"yyyy-mm")</f>
        <v/>
      </c>
      <c r="C2344" s="3">
        <f>HOUR(A2344)</f>
        <v/>
      </c>
      <c r="D2344" s="4" t="n">
        <v>24.73450801825556</v>
      </c>
      <c r="E2344" s="4" t="n">
        <v>27.71910739500278</v>
      </c>
      <c r="F2344" s="4" t="n">
        <v>28.83552593948333</v>
      </c>
      <c r="G2344" s="4" t="n">
        <v>18.7</v>
      </c>
      <c r="H2344" s="5" t="n">
        <v>39.46581988057778</v>
      </c>
      <c r="I2344" s="5" t="n">
        <v>36.58880914199167</v>
      </c>
      <c r="J2344" s="5" t="n">
        <v>43.44528950733334</v>
      </c>
      <c r="K2344" s="5" t="n">
        <v>60</v>
      </c>
    </row>
    <row r="2345">
      <c r="A2345" s="2" t="n">
        <v>46195.08333333334</v>
      </c>
      <c r="B2345">
        <f>TEXT(A2345,"yyyy-mm")</f>
        <v/>
      </c>
      <c r="C2345" s="3">
        <f>HOUR(A2345)</f>
        <v/>
      </c>
      <c r="D2345" s="4" t="n">
        <v>23.77429153952778</v>
      </c>
      <c r="E2345" s="4" t="n">
        <v>27.33434103653889</v>
      </c>
      <c r="F2345" s="4" t="n">
        <v>28.46047341012222</v>
      </c>
      <c r="G2345" s="4" t="n">
        <v>18.2</v>
      </c>
      <c r="H2345" s="5" t="n">
        <v>42.09317826609722</v>
      </c>
      <c r="I2345" s="5" t="n">
        <v>36.81500821865556</v>
      </c>
      <c r="J2345" s="5" t="n">
        <v>43.99933481973056</v>
      </c>
      <c r="K2345" s="5" t="n">
        <v>62</v>
      </c>
    </row>
    <row r="2346">
      <c r="A2346" s="2" t="n">
        <v>46195.125</v>
      </c>
      <c r="B2346">
        <f>TEXT(A2346,"yyyy-mm")</f>
        <v/>
      </c>
      <c r="C2346" s="3">
        <f>HOUR(A2346)</f>
        <v/>
      </c>
      <c r="D2346" s="4" t="n">
        <v>23.149402309825</v>
      </c>
      <c r="E2346" s="4" t="n">
        <v>26.87589854339444</v>
      </c>
      <c r="F2346" s="4" t="n">
        <v>28.78015903125556</v>
      </c>
      <c r="G2346" s="4" t="n">
        <v>17.6</v>
      </c>
      <c r="H2346" s="5" t="n">
        <v>44.29092945057778</v>
      </c>
      <c r="I2346" s="5" t="n">
        <v>37.78210989346667</v>
      </c>
      <c r="J2346" s="5" t="n">
        <v>43.75043421949722</v>
      </c>
      <c r="K2346" s="5" t="n">
        <v>65</v>
      </c>
    </row>
    <row r="2347">
      <c r="A2347" s="2" t="n">
        <v>46195.16666666666</v>
      </c>
      <c r="B2347">
        <f>TEXT(A2347,"yyyy-mm")</f>
        <v/>
      </c>
      <c r="C2347" s="3">
        <f>HOUR(A2347)</f>
        <v/>
      </c>
      <c r="D2347" s="4" t="n">
        <v>23.00370089275238</v>
      </c>
      <c r="E2347" s="4" t="n">
        <v>26.64338079611112</v>
      </c>
      <c r="F2347" s="4" t="n">
        <v>28.79090592503611</v>
      </c>
      <c r="G2347" s="4" t="n">
        <v>17.2</v>
      </c>
      <c r="H2347" s="5" t="n">
        <v>44.8836040333</v>
      </c>
      <c r="I2347" s="5" t="n">
        <v>38.28914212158889</v>
      </c>
      <c r="J2347" s="5" t="n">
        <v>43.76643836878056</v>
      </c>
      <c r="K2347" s="5" t="n">
        <v>68</v>
      </c>
    </row>
    <row r="2348">
      <c r="A2348" s="2" t="n">
        <v>46195.20833333334</v>
      </c>
      <c r="B2348">
        <f>TEXT(A2348,"yyyy-mm")</f>
        <v/>
      </c>
      <c r="C2348" s="3">
        <f>HOUR(A2348)</f>
        <v/>
      </c>
      <c r="D2348" s="4" t="n">
        <v>24.17375119145989</v>
      </c>
      <c r="E2348" s="4" t="n">
        <v>26.55835361435833</v>
      </c>
      <c r="F2348" s="4" t="n">
        <v>28.77594423257779</v>
      </c>
      <c r="G2348" s="4" t="n">
        <v>16.9</v>
      </c>
      <c r="H2348" s="5" t="n">
        <v>43.17759583014608</v>
      </c>
      <c r="I2348" s="5" t="n">
        <v>39.15964561214167</v>
      </c>
      <c r="J2348" s="5" t="n">
        <v>43.84624819994722</v>
      </c>
      <c r="K2348" s="5" t="n">
        <v>70</v>
      </c>
    </row>
    <row r="2349">
      <c r="A2349" s="2" t="n">
        <v>46195.25</v>
      </c>
      <c r="B2349">
        <f>TEXT(A2349,"yyyy-mm")</f>
        <v/>
      </c>
      <c r="C2349" s="3">
        <f>HOUR(A2349)</f>
        <v/>
      </c>
      <c r="D2349" s="4" t="n">
        <v>25.33918425740555</v>
      </c>
      <c r="E2349" s="4" t="n">
        <v>26.93380300017222</v>
      </c>
      <c r="F2349" s="4" t="n">
        <v>28.80432932350834</v>
      </c>
      <c r="G2349" s="4" t="n">
        <v>17.8</v>
      </c>
      <c r="H2349" s="5" t="n">
        <v>40.22969075462222</v>
      </c>
      <c r="I2349" s="5" t="n">
        <v>38.93278532494444</v>
      </c>
      <c r="J2349" s="5" t="n">
        <v>43.88555774854444</v>
      </c>
      <c r="K2349" s="5" t="n">
        <v>67</v>
      </c>
    </row>
    <row r="2350">
      <c r="A2350" s="2" t="n">
        <v>46195.29166666666</v>
      </c>
      <c r="B2350">
        <f>TEXT(A2350,"yyyy-mm")</f>
        <v/>
      </c>
      <c r="C2350" s="3">
        <f>HOUR(A2350)</f>
        <v/>
      </c>
      <c r="D2350" s="4" t="n">
        <v>26.62802106606945</v>
      </c>
      <c r="E2350" s="4" t="n">
        <v>27.54152997298611</v>
      </c>
      <c r="F2350" s="4" t="n">
        <v>28.84692574265833</v>
      </c>
      <c r="G2350" s="4" t="n">
        <v>19.4</v>
      </c>
      <c r="H2350" s="5" t="n">
        <v>37.83660440033611</v>
      </c>
      <c r="I2350" s="5" t="n">
        <v>37.44345211023056</v>
      </c>
      <c r="J2350" s="5" t="n">
        <v>43.88701301215278</v>
      </c>
      <c r="K2350" s="5" t="n">
        <v>62</v>
      </c>
    </row>
    <row r="2351">
      <c r="A2351" s="2" t="n">
        <v>46195.33333333334</v>
      </c>
      <c r="B2351">
        <f>TEXT(A2351,"yyyy-mm")</f>
        <v/>
      </c>
      <c r="C2351" s="3">
        <f>HOUR(A2351)</f>
        <v/>
      </c>
      <c r="D2351" s="4" t="n">
        <v>27.87145010509167</v>
      </c>
      <c r="E2351" s="4" t="n">
        <v>28.164409805775</v>
      </c>
      <c r="F2351" s="4" t="n">
        <v>28.89814832425278</v>
      </c>
      <c r="G2351" s="4" t="n">
        <v>21.7</v>
      </c>
      <c r="H2351" s="5" t="n">
        <v>36.62071568088333</v>
      </c>
      <c r="I2351" s="5" t="n">
        <v>36.52335856975</v>
      </c>
      <c r="J2351" s="5" t="n">
        <v>43.891749680575</v>
      </c>
      <c r="K2351" s="5" t="n">
        <v>55</v>
      </c>
    </row>
    <row r="2352">
      <c r="A2352" s="2" t="n">
        <v>46195.375</v>
      </c>
      <c r="B2352">
        <f>TEXT(A2352,"yyyy-mm")</f>
        <v/>
      </c>
      <c r="C2352" s="3">
        <f>HOUR(A2352)</f>
        <v/>
      </c>
      <c r="D2352" s="4" t="n">
        <v>29.37097377587222</v>
      </c>
      <c r="E2352" s="4" t="n">
        <v>28.76120606349167</v>
      </c>
      <c r="F2352" s="4" t="n">
        <v>28.99283530104167</v>
      </c>
      <c r="G2352" s="4" t="n">
        <v>24.7</v>
      </c>
      <c r="H2352" s="5" t="n">
        <v>33.7022981101</v>
      </c>
      <c r="I2352" s="5" t="n">
        <v>36.82979723082499</v>
      </c>
      <c r="J2352" s="5" t="n">
        <v>44.27604121203056</v>
      </c>
      <c r="K2352" s="5" t="n">
        <v>45</v>
      </c>
    </row>
    <row r="2353">
      <c r="A2353" s="2" t="n">
        <v>46195.41666666666</v>
      </c>
      <c r="B2353">
        <f>TEXT(A2353,"yyyy-mm")</f>
        <v/>
      </c>
      <c r="C2353" s="3">
        <f>HOUR(A2353)</f>
        <v/>
      </c>
      <c r="D2353" s="4" t="n">
        <v>28.42823919613056</v>
      </c>
      <c r="E2353" s="4" t="n">
        <v>29.22848825332778</v>
      </c>
      <c r="F2353" s="4" t="n">
        <v>29.09142041558055</v>
      </c>
      <c r="G2353" s="4" t="n">
        <v>26.4</v>
      </c>
      <c r="H2353" s="5" t="n">
        <v>35.64061309068611</v>
      </c>
      <c r="I2353" s="5" t="n">
        <v>37.11230618068333</v>
      </c>
      <c r="J2353" s="5" t="n">
        <v>44.71862106166666</v>
      </c>
      <c r="K2353" s="5" t="n">
        <v>38</v>
      </c>
    </row>
    <row r="2354">
      <c r="A2354" s="2" t="n">
        <v>46195.45833333334</v>
      </c>
      <c r="B2354">
        <f>TEXT(A2354,"yyyy-mm")</f>
        <v/>
      </c>
      <c r="C2354" s="3">
        <f>HOUR(A2354)</f>
        <v/>
      </c>
      <c r="D2354" s="4" t="n">
        <v>26.42537650200278</v>
      </c>
      <c r="E2354" s="4" t="n">
        <v>28.45978884038334</v>
      </c>
      <c r="F2354" s="4" t="n">
        <v>29.07110715203611</v>
      </c>
      <c r="G2354" s="4" t="n">
        <v>27.1</v>
      </c>
      <c r="H2354" s="5" t="n">
        <v>32.75716141018056</v>
      </c>
      <c r="I2354" s="5" t="n">
        <v>33.33546186698889</v>
      </c>
      <c r="J2354" s="5" t="n">
        <v>43.67308992608611</v>
      </c>
      <c r="K2354" s="5" t="n">
        <v>37</v>
      </c>
    </row>
    <row r="2355">
      <c r="A2355" s="2" t="n">
        <v>46195.5</v>
      </c>
      <c r="B2355">
        <f>TEXT(A2355,"yyyy-mm")</f>
        <v/>
      </c>
      <c r="C2355" s="3">
        <f>HOUR(A2355)</f>
        <v/>
      </c>
      <c r="D2355" s="4" t="n">
        <v>27.09092674478612</v>
      </c>
      <c r="E2355" s="4" t="n">
        <v>28.82223932946944</v>
      </c>
      <c r="F2355" s="4" t="n">
        <v>29.07299250909722</v>
      </c>
      <c r="G2355" s="4" t="n">
        <v>27.8</v>
      </c>
      <c r="H2355" s="5" t="n">
        <v>36.68249165184167</v>
      </c>
      <c r="I2355" s="5" t="n">
        <v>35.09573588178333</v>
      </c>
      <c r="J2355" s="5" t="n">
        <v>43.87269493506944</v>
      </c>
      <c r="K2355" s="5" t="n">
        <v>37</v>
      </c>
    </row>
    <row r="2356">
      <c r="A2356" s="2" t="n">
        <v>46195.54166666666</v>
      </c>
      <c r="B2356">
        <f>TEXT(A2356,"yyyy-mm")</f>
        <v/>
      </c>
      <c r="C2356" s="3">
        <f>HOUR(A2356)</f>
        <v/>
      </c>
      <c r="D2356" s="4" t="n">
        <v>25.82244243225277</v>
      </c>
      <c r="E2356" s="4" t="n">
        <v>27.82383095316111</v>
      </c>
      <c r="F2356" s="4" t="n">
        <v>29.10793373270833</v>
      </c>
      <c r="G2356" s="4" t="n">
        <v>28.6</v>
      </c>
      <c r="H2356" s="5" t="n">
        <v>33.78209843291667</v>
      </c>
      <c r="I2356" s="5" t="n">
        <v>33.22790244948056</v>
      </c>
      <c r="J2356" s="5" t="n">
        <v>43.73362892816389</v>
      </c>
      <c r="K2356" s="5" t="n">
        <v>36</v>
      </c>
    </row>
    <row r="2357">
      <c r="A2357" s="2" t="n">
        <v>46195.58333333334</v>
      </c>
      <c r="B2357">
        <f>TEXT(A2357,"yyyy-mm")</f>
        <v/>
      </c>
      <c r="C2357" s="3">
        <f>HOUR(A2357)</f>
        <v/>
      </c>
      <c r="D2357" s="4" t="n">
        <v>26.35299803408611</v>
      </c>
      <c r="E2357" s="4" t="n">
        <v>27.97049356293056</v>
      </c>
      <c r="F2357" s="4" t="n">
        <v>29.07653664191666</v>
      </c>
      <c r="G2357" s="4" t="n">
        <v>29.3</v>
      </c>
      <c r="H2357" s="5" t="n">
        <v>35.82883453158889</v>
      </c>
      <c r="I2357" s="5" t="n">
        <v>34.48284446159166</v>
      </c>
      <c r="J2357" s="5" t="n">
        <v>42.88404310899444</v>
      </c>
      <c r="K2357" s="5" t="n">
        <v>36</v>
      </c>
    </row>
    <row r="2358">
      <c r="A2358" s="2" t="n">
        <v>46195.625</v>
      </c>
      <c r="B2358">
        <f>TEXT(A2358,"yyyy-mm")</f>
        <v/>
      </c>
      <c r="C2358" s="3">
        <f>HOUR(A2358)</f>
        <v/>
      </c>
      <c r="D2358" s="4" t="n">
        <v>27.34044802626111</v>
      </c>
      <c r="E2358" s="4" t="n">
        <v>28.27714699452222</v>
      </c>
      <c r="F2358" s="4" t="n">
        <v>29.22244526480278</v>
      </c>
      <c r="G2358" s="4" t="n">
        <v>29.5</v>
      </c>
      <c r="H2358" s="5" t="n">
        <v>38.36528376985833</v>
      </c>
      <c r="I2358" s="5" t="n">
        <v>37.33133330568889</v>
      </c>
      <c r="J2358" s="5" t="n">
        <v>43.98933710855277</v>
      </c>
      <c r="K2358" s="5" t="n">
        <v>36</v>
      </c>
    </row>
    <row r="2359">
      <c r="A2359" s="2" t="n">
        <v>46195.66666666666</v>
      </c>
      <c r="B2359">
        <f>TEXT(A2359,"yyyy-mm")</f>
        <v/>
      </c>
      <c r="C2359" s="3">
        <f>HOUR(A2359)</f>
        <v/>
      </c>
      <c r="D2359" s="4" t="n">
        <v>27.76473035122778</v>
      </c>
      <c r="E2359" s="4" t="n">
        <v>28.62452219906111</v>
      </c>
      <c r="F2359" s="4" t="n">
        <v>29.31062273306389</v>
      </c>
      <c r="G2359" s="4" t="n">
        <v>23.7</v>
      </c>
      <c r="H2359" s="5" t="n">
        <v>40.05316468480278</v>
      </c>
      <c r="I2359" s="5" t="n">
        <v>40.08353528746388</v>
      </c>
      <c r="J2359" s="5" t="n">
        <v>45.62061717676666</v>
      </c>
      <c r="K2359" s="5" t="n">
        <v>65</v>
      </c>
    </row>
    <row r="2360">
      <c r="A2360" s="2" t="n">
        <v>46195.70833333334</v>
      </c>
      <c r="B2360">
        <f>TEXT(A2360,"yyyy-mm")</f>
        <v/>
      </c>
      <c r="C2360" s="3">
        <f>HOUR(A2360)</f>
        <v/>
      </c>
      <c r="D2360" s="4" t="n">
        <v>27.18998112215555</v>
      </c>
      <c r="E2360" s="4" t="n">
        <v>28.544818028925</v>
      </c>
      <c r="F2360" s="4" t="n">
        <v>29.24778118700278</v>
      </c>
      <c r="G2360" s="4" t="n">
        <v>26</v>
      </c>
      <c r="H2360" s="5" t="n">
        <v>41.66492025555834</v>
      </c>
      <c r="I2360" s="5" t="n">
        <v>43.05872352891667</v>
      </c>
      <c r="J2360" s="5" t="n">
        <v>46.93482171755556</v>
      </c>
      <c r="K2360" s="5" t="n">
        <v>52</v>
      </c>
    </row>
    <row r="2361">
      <c r="A2361" s="2" t="n">
        <v>46195.75</v>
      </c>
      <c r="B2361">
        <f>TEXT(A2361,"yyyy-mm")</f>
        <v/>
      </c>
      <c r="C2361" s="3">
        <f>HOUR(A2361)</f>
        <v/>
      </c>
      <c r="D2361" s="4" t="n">
        <v>26.09224155938611</v>
      </c>
      <c r="E2361" s="4" t="n">
        <v>27.993620056525</v>
      </c>
      <c r="F2361" s="4" t="n">
        <v>29.27497587295</v>
      </c>
      <c r="G2361" s="4" t="n">
        <v>26.4</v>
      </c>
      <c r="H2361" s="5" t="n">
        <v>37.24497883180833</v>
      </c>
      <c r="I2361" s="5" t="n">
        <v>36.18298066638334</v>
      </c>
      <c r="J2361" s="5" t="n">
        <v>45.41528467273889</v>
      </c>
      <c r="K2361" s="5" t="n">
        <v>52</v>
      </c>
    </row>
    <row r="2362">
      <c r="A2362" s="2" t="n">
        <v>46195.79166666666</v>
      </c>
      <c r="B2362">
        <f>TEXT(A2362,"yyyy-mm")</f>
        <v/>
      </c>
      <c r="C2362" s="3">
        <f>HOUR(A2362)</f>
        <v/>
      </c>
      <c r="D2362" s="4" t="n">
        <v>25.3493890063</v>
      </c>
      <c r="E2362" s="4" t="n">
        <v>27.55916592711389</v>
      </c>
      <c r="F2362" s="4" t="n">
        <v>29.20627307624721</v>
      </c>
      <c r="G2362" s="4" t="n">
        <v>25.5</v>
      </c>
      <c r="H2362" s="5" t="n">
        <v>34.09568961367778</v>
      </c>
      <c r="I2362" s="5" t="n">
        <v>32.92098596309167</v>
      </c>
      <c r="J2362" s="5" t="n">
        <v>44.33822314290277</v>
      </c>
      <c r="K2362" s="5" t="n">
        <v>58</v>
      </c>
    </row>
    <row r="2363">
      <c r="A2363" s="2" t="n">
        <v>46195.83333333334</v>
      </c>
      <c r="B2363">
        <f>TEXT(A2363,"yyyy-mm")</f>
        <v/>
      </c>
      <c r="C2363" s="3">
        <f>HOUR(A2363)</f>
        <v/>
      </c>
      <c r="D2363" s="4" t="n">
        <v>25.68863544373056</v>
      </c>
      <c r="E2363" s="4" t="n">
        <v>27.60748646664445</v>
      </c>
      <c r="F2363" s="4" t="n">
        <v>29.14290525391666</v>
      </c>
      <c r="G2363" s="4" t="n">
        <v>22.1</v>
      </c>
      <c r="H2363" s="5" t="n">
        <v>35.04241576268333</v>
      </c>
      <c r="I2363" s="5" t="n">
        <v>34.70669039456667</v>
      </c>
      <c r="J2363" s="5" t="n">
        <v>43.84959556398334</v>
      </c>
      <c r="K2363" s="5" t="n">
        <v>76</v>
      </c>
    </row>
    <row r="2364">
      <c r="A2364" s="2" t="n">
        <v>46195.875</v>
      </c>
      <c r="B2364">
        <f>TEXT(A2364,"yyyy-mm")</f>
        <v/>
      </c>
      <c r="C2364" s="3">
        <f>HOUR(A2364)</f>
        <v/>
      </c>
      <c r="D2364" s="4" t="n">
        <v>25.64049418238056</v>
      </c>
      <c r="E2364" s="4" t="n">
        <v>27.49619539963333</v>
      </c>
      <c r="F2364" s="4" t="n">
        <v>29.08289043235</v>
      </c>
      <c r="G2364" s="4" t="n">
        <v>21.9</v>
      </c>
      <c r="H2364" s="5" t="n">
        <v>35.11321109821944</v>
      </c>
      <c r="I2364" s="5" t="n">
        <v>33.84806186792223</v>
      </c>
      <c r="J2364" s="5" t="n">
        <v>43.48149730148889</v>
      </c>
      <c r="K2364" s="5" t="n">
        <v>78</v>
      </c>
    </row>
    <row r="2365">
      <c r="A2365" s="2" t="n">
        <v>46195.91666666666</v>
      </c>
      <c r="B2365">
        <f>TEXT(A2365,"yyyy-mm")</f>
        <v/>
      </c>
      <c r="C2365" s="3">
        <f>HOUR(A2365)</f>
        <v/>
      </c>
      <c r="D2365" s="4" t="n">
        <v>26.83992745791389</v>
      </c>
      <c r="E2365" s="4" t="n">
        <v>28.19487722698889</v>
      </c>
      <c r="F2365" s="4" t="n">
        <v>29.16033013746944</v>
      </c>
      <c r="G2365" s="4" t="n">
        <v>21.1</v>
      </c>
      <c r="H2365" s="5" t="n">
        <v>40.96147167712223</v>
      </c>
      <c r="I2365" s="5" t="n">
        <v>41.26542629360834</v>
      </c>
      <c r="J2365" s="5" t="n">
        <v>44.37532963791111</v>
      </c>
      <c r="K2365" s="5" t="n">
        <v>83</v>
      </c>
    </row>
    <row r="2366">
      <c r="A2366" s="2" t="n">
        <v>46195.95833333334</v>
      </c>
      <c r="B2366">
        <f>TEXT(A2366,"yyyy-mm")</f>
        <v/>
      </c>
      <c r="C2366" s="3">
        <f>HOUR(A2366)</f>
        <v/>
      </c>
      <c r="D2366" s="4" t="n">
        <v>27.15028402295</v>
      </c>
      <c r="E2366" s="4" t="n">
        <v>28.47148921004444</v>
      </c>
      <c r="F2366" s="4" t="n">
        <v>29.08647886421112</v>
      </c>
      <c r="G2366" s="4" t="n">
        <v>20.3</v>
      </c>
      <c r="H2366" s="5" t="n">
        <v>44.03342350864167</v>
      </c>
      <c r="I2366" s="5" t="n">
        <v>44.169498465875</v>
      </c>
      <c r="J2366" s="5" t="n">
        <v>47.59495766953333</v>
      </c>
      <c r="K2366" s="5" t="n">
        <v>84</v>
      </c>
    </row>
    <row r="2367">
      <c r="A2367" s="2" t="n">
        <v>46196</v>
      </c>
      <c r="B2367">
        <f>TEXT(A2367,"yyyy-mm")</f>
        <v/>
      </c>
      <c r="C2367" s="3">
        <f>HOUR(A2367)</f>
        <v/>
      </c>
      <c r="D2367" s="4" t="n">
        <v>27.16812913243611</v>
      </c>
      <c r="E2367" s="4" t="n">
        <v>28.14336508675555</v>
      </c>
      <c r="F2367" s="4" t="n">
        <v>29.29587384825</v>
      </c>
      <c r="G2367" s="4" t="n">
        <v>19.9</v>
      </c>
      <c r="H2367" s="5" t="n">
        <v>45.23327330613333</v>
      </c>
      <c r="I2367" s="5" t="n">
        <v>44.24979294461389</v>
      </c>
      <c r="J2367" s="5" t="n">
        <v>46.48596728186389</v>
      </c>
      <c r="K2367" s="5" t="n">
        <v>84</v>
      </c>
    </row>
    <row r="2368">
      <c r="A2368" s="2" t="n">
        <v>46196.04166666666</v>
      </c>
      <c r="B2368">
        <f>TEXT(A2368,"yyyy-mm")</f>
        <v/>
      </c>
      <c r="C2368" s="3">
        <f>HOUR(A2368)</f>
        <v/>
      </c>
      <c r="D2368" s="4" t="n">
        <v>26.61550178296111</v>
      </c>
      <c r="E2368" s="4" t="n">
        <v>27.93521040295278</v>
      </c>
      <c r="F2368" s="4" t="n">
        <v>29.33948016979722</v>
      </c>
      <c r="G2368" s="4" t="n">
        <v>19.7</v>
      </c>
      <c r="H2368" s="5" t="n">
        <v>46.80296316141389</v>
      </c>
      <c r="I2368" s="5" t="n">
        <v>44.42101412355834</v>
      </c>
      <c r="J2368" s="5" t="n">
        <v>48.36926835247223</v>
      </c>
      <c r="K2368" s="5" t="n">
        <v>85</v>
      </c>
    </row>
    <row r="2369">
      <c r="A2369" s="2" t="n">
        <v>46196.08333333334</v>
      </c>
      <c r="B2369">
        <f>TEXT(A2369,"yyyy-mm")</f>
        <v/>
      </c>
      <c r="C2369" s="3">
        <f>HOUR(A2369)</f>
        <v/>
      </c>
      <c r="D2369" s="4" t="n">
        <v>25.66742253242778</v>
      </c>
      <c r="E2369" s="4" t="n">
        <v>27.75565224747222</v>
      </c>
      <c r="F2369" s="4" t="n">
        <v>29.26547827005833</v>
      </c>
      <c r="G2369" s="4" t="n">
        <v>19.4</v>
      </c>
      <c r="H2369" s="5" t="n">
        <v>49.86439272910832</v>
      </c>
      <c r="I2369" s="5" t="n">
        <v>44.66633665260556</v>
      </c>
      <c r="J2369" s="5" t="n">
        <v>47.38952322359166</v>
      </c>
      <c r="K2369" s="5" t="n">
        <v>87</v>
      </c>
    </row>
    <row r="2370">
      <c r="A2370" s="2" t="n">
        <v>46196.125</v>
      </c>
      <c r="B2370">
        <f>TEXT(A2370,"yyyy-mm")</f>
        <v/>
      </c>
      <c r="C2370" s="3">
        <f>HOUR(A2370)</f>
        <v/>
      </c>
      <c r="D2370" s="4" t="n">
        <v>25.21018694006111</v>
      </c>
      <c r="E2370" s="4" t="n">
        <v>27.47844681486111</v>
      </c>
      <c r="F2370" s="4" t="n">
        <v>29.20812882695278</v>
      </c>
      <c r="G2370" s="4" t="n">
        <v>18.6</v>
      </c>
      <c r="H2370" s="5" t="n">
        <v>50.51476468875</v>
      </c>
      <c r="I2370" s="5" t="n">
        <v>44.78836452834167</v>
      </c>
      <c r="J2370" s="5" t="n">
        <v>47.3256548866</v>
      </c>
      <c r="K2370" s="5" t="n">
        <v>91</v>
      </c>
    </row>
    <row r="2371">
      <c r="A2371" s="2" t="n">
        <v>46196.16666666666</v>
      </c>
      <c r="B2371">
        <f>TEXT(A2371,"yyyy-mm")</f>
        <v/>
      </c>
      <c r="C2371" s="3">
        <f>HOUR(A2371)</f>
        <v/>
      </c>
      <c r="D2371" s="4" t="n">
        <v>24.82947773489167</v>
      </c>
      <c r="E2371" s="4" t="n">
        <v>27.33384765501111</v>
      </c>
      <c r="F2371" s="4" t="n">
        <v>29.15171178006389</v>
      </c>
      <c r="G2371" s="4" t="n">
        <v>18</v>
      </c>
      <c r="H2371" s="5" t="n">
        <v>51.46800136846667</v>
      </c>
      <c r="I2371" s="5" t="n">
        <v>44.77139098206388</v>
      </c>
      <c r="J2371" s="5" t="n">
        <v>47.35005401515556</v>
      </c>
      <c r="K2371" s="5" t="n">
        <v>93</v>
      </c>
    </row>
    <row r="2372">
      <c r="A2372" s="2" t="n">
        <v>46196.20833333334</v>
      </c>
      <c r="B2372">
        <f>TEXT(A2372,"yyyy-mm")</f>
        <v/>
      </c>
      <c r="C2372" s="3">
        <f>HOUR(A2372)</f>
        <v/>
      </c>
      <c r="D2372" s="4" t="n">
        <v>25.22993186294444</v>
      </c>
      <c r="E2372" s="4" t="n">
        <v>27.36071526658056</v>
      </c>
      <c r="F2372" s="4" t="n">
        <v>29.11487559345</v>
      </c>
      <c r="G2372" s="4" t="n">
        <v>17.6</v>
      </c>
      <c r="H2372" s="5" t="n">
        <v>50.69278308118333</v>
      </c>
      <c r="I2372" s="5" t="n">
        <v>45.23255754876945</v>
      </c>
      <c r="J2372" s="5" t="n">
        <v>47.40759817461944</v>
      </c>
      <c r="K2372" s="5" t="n">
        <v>94</v>
      </c>
    </row>
    <row r="2373">
      <c r="A2373" s="2" t="n">
        <v>46196.25</v>
      </c>
      <c r="B2373">
        <f>TEXT(A2373,"yyyy-mm")</f>
        <v/>
      </c>
      <c r="C2373" s="3">
        <f>HOUR(A2373)</f>
        <v/>
      </c>
      <c r="D2373" s="4" t="n">
        <v>26.22833141019722</v>
      </c>
      <c r="E2373" s="4" t="n">
        <v>27.43670072070556</v>
      </c>
      <c r="F2373" s="4" t="n">
        <v>29.12110771532222</v>
      </c>
      <c r="G2373" s="4" t="n">
        <v>18.4</v>
      </c>
      <c r="H2373" s="5" t="n">
        <v>48.03889750808611</v>
      </c>
      <c r="I2373" s="5" t="n">
        <v>45.37430140263611</v>
      </c>
      <c r="J2373" s="5" t="n">
        <v>47.22875900879166</v>
      </c>
      <c r="K2373" s="5" t="n">
        <v>89</v>
      </c>
    </row>
    <row r="2374">
      <c r="A2374" s="2" t="n">
        <v>46196.29166666666</v>
      </c>
      <c r="B2374">
        <f>TEXT(A2374,"yyyy-mm")</f>
        <v/>
      </c>
      <c r="C2374" s="3">
        <f>HOUR(A2374)</f>
        <v/>
      </c>
      <c r="D2374" s="4" t="n">
        <v>27.32463432536112</v>
      </c>
      <c r="E2374" s="4" t="n">
        <v>28.04251994325833</v>
      </c>
      <c r="F2374" s="4" t="n">
        <v>29.17171928340555</v>
      </c>
      <c r="G2374" s="4" t="n">
        <v>19.9</v>
      </c>
      <c r="H2374" s="5" t="n">
        <v>45.86505566999167</v>
      </c>
      <c r="I2374" s="5" t="n">
        <v>44.44282401906944</v>
      </c>
      <c r="J2374" s="5" t="n">
        <v>46.94008016189445</v>
      </c>
      <c r="K2374" s="5" t="n">
        <v>82</v>
      </c>
    </row>
    <row r="2375">
      <c r="A2375" s="2" t="n">
        <v>46196.33333333334</v>
      </c>
      <c r="B2375">
        <f>TEXT(A2375,"yyyy-mm")</f>
        <v/>
      </c>
      <c r="C2375" s="3">
        <f>HOUR(A2375)</f>
        <v/>
      </c>
      <c r="D2375" s="4" t="n">
        <v>27.99581295966389</v>
      </c>
      <c r="E2375" s="4" t="n">
        <v>28.62747661925278</v>
      </c>
      <c r="F2375" s="4" t="n">
        <v>29.19195758016389</v>
      </c>
      <c r="G2375" s="4" t="n">
        <v>21.6</v>
      </c>
      <c r="H2375" s="5" t="n">
        <v>43.61449264769445</v>
      </c>
      <c r="I2375" s="5" t="n">
        <v>43.89088817248611</v>
      </c>
      <c r="J2375" s="5" t="n">
        <v>46.71534644965833</v>
      </c>
      <c r="K2375" s="5" t="n">
        <v>71</v>
      </c>
    </row>
    <row r="2376">
      <c r="A2376" s="2" t="n">
        <v>46196.375</v>
      </c>
      <c r="B2376">
        <f>TEXT(A2376,"yyyy-mm")</f>
        <v/>
      </c>
      <c r="C2376" s="3">
        <f>HOUR(A2376)</f>
        <v/>
      </c>
      <c r="D2376" s="4" t="n">
        <v>26.36704807750556</v>
      </c>
      <c r="E2376" s="4" t="n">
        <v>28.33524758453056</v>
      </c>
      <c r="F2376" s="4" t="n">
        <v>29.18360022833056</v>
      </c>
      <c r="G2376" s="4" t="n">
        <v>22.4</v>
      </c>
      <c r="H2376" s="5" t="n">
        <v>36.54177181352778</v>
      </c>
      <c r="I2376" s="5" t="n">
        <v>36.37908440053889</v>
      </c>
      <c r="J2376" s="5" t="n">
        <v>46.34868030149166</v>
      </c>
      <c r="K2376" s="5" t="n">
        <v>67</v>
      </c>
    </row>
    <row r="2377">
      <c r="A2377" s="2" t="n">
        <v>46196.41666666666</v>
      </c>
      <c r="B2377">
        <f>TEXT(A2377,"yyyy-mm")</f>
        <v/>
      </c>
      <c r="C2377" s="3">
        <f>HOUR(A2377)</f>
        <v/>
      </c>
      <c r="D2377" s="4" t="n">
        <v>25.98630937254723</v>
      </c>
      <c r="E2377" s="4" t="n">
        <v>27.83938168312222</v>
      </c>
      <c r="F2377" s="4" t="n">
        <v>29.1257526329</v>
      </c>
      <c r="G2377" s="4" t="n">
        <v>23.2</v>
      </c>
      <c r="H2377" s="5" t="n">
        <v>36.00229549001389</v>
      </c>
      <c r="I2377" s="5" t="n">
        <v>34.76083951254722</v>
      </c>
      <c r="J2377" s="5" t="n">
        <v>45.80560712104167</v>
      </c>
      <c r="K2377" s="5" t="n">
        <v>63</v>
      </c>
    </row>
    <row r="2378">
      <c r="A2378" s="2" t="n">
        <v>46196.45833333334</v>
      </c>
      <c r="B2378">
        <f>TEXT(A2378,"yyyy-mm")</f>
        <v/>
      </c>
      <c r="C2378" s="3">
        <f>HOUR(A2378)</f>
        <v/>
      </c>
      <c r="D2378" s="4" t="n">
        <v>26.06537102815556</v>
      </c>
      <c r="E2378" s="4" t="n">
        <v>27.95854163861945</v>
      </c>
      <c r="F2378" s="4" t="n">
        <v>29.084159430275</v>
      </c>
      <c r="G2378" s="4" t="n">
        <v>24.8</v>
      </c>
      <c r="H2378" s="5" t="n">
        <v>38.24324164037778</v>
      </c>
      <c r="I2378" s="5" t="n">
        <v>36.53012803410834</v>
      </c>
      <c r="J2378" s="5" t="n">
        <v>45.54749756113056</v>
      </c>
      <c r="K2378" s="5" t="n">
        <v>57</v>
      </c>
    </row>
    <row r="2379">
      <c r="A2379" s="2" t="n">
        <v>46196.5</v>
      </c>
      <c r="B2379">
        <f>TEXT(A2379,"yyyy-mm")</f>
        <v/>
      </c>
      <c r="C2379" s="3">
        <f>HOUR(A2379)</f>
        <v/>
      </c>
      <c r="D2379" s="4" t="n">
        <v>26.02193125631944</v>
      </c>
      <c r="E2379" s="4" t="n">
        <v>27.7516236335</v>
      </c>
      <c r="F2379" s="4" t="n">
        <v>29.01537309276667</v>
      </c>
      <c r="G2379" s="4" t="n">
        <v>25.9</v>
      </c>
      <c r="H2379" s="5" t="n">
        <v>41.40776202268055</v>
      </c>
      <c r="I2379" s="5" t="n">
        <v>38.11425610133056</v>
      </c>
      <c r="J2379" s="5" t="n">
        <v>45.92470115241667</v>
      </c>
      <c r="K2379" s="5" t="n">
        <v>51</v>
      </c>
    </row>
    <row r="2380">
      <c r="A2380" s="2" t="n">
        <v>46196.54166666666</v>
      </c>
      <c r="B2380">
        <f>TEXT(A2380,"yyyy-mm")</f>
        <v/>
      </c>
      <c r="C2380" s="3">
        <f>HOUR(A2380)</f>
        <v/>
      </c>
      <c r="D2380" s="4" t="n">
        <v>27.10994645420834</v>
      </c>
      <c r="E2380" s="4" t="n">
        <v>27.94805698736389</v>
      </c>
      <c r="F2380" s="4" t="n">
        <v>29.18934498847223</v>
      </c>
      <c r="G2380" s="4" t="n">
        <v>26.8</v>
      </c>
      <c r="H2380" s="5" t="n">
        <v>45.78907371277777</v>
      </c>
      <c r="I2380" s="5" t="n">
        <v>43.14913109896111</v>
      </c>
      <c r="J2380" s="5" t="n">
        <v>46.52860556283056</v>
      </c>
      <c r="K2380" s="5" t="n">
        <v>48</v>
      </c>
    </row>
    <row r="2381">
      <c r="A2381" s="2" t="n">
        <v>46196.58333333334</v>
      </c>
      <c r="B2381">
        <f>TEXT(A2381,"yyyy-mm")</f>
        <v/>
      </c>
      <c r="C2381" s="3">
        <f>HOUR(A2381)</f>
        <v/>
      </c>
      <c r="D2381" s="4" t="n">
        <v>26.72498954765833</v>
      </c>
      <c r="E2381" s="4" t="n">
        <v>27.89997705012778</v>
      </c>
      <c r="F2381" s="4" t="n">
        <v>29.21796135020556</v>
      </c>
      <c r="G2381" s="4" t="n">
        <v>27.4</v>
      </c>
      <c r="H2381" s="5" t="n">
        <v>44.39984857466112</v>
      </c>
      <c r="I2381" s="5" t="n">
        <v>41.83158208354723</v>
      </c>
      <c r="J2381" s="5" t="n">
        <v>47.23500008023056</v>
      </c>
      <c r="K2381" s="5" t="n">
        <v>44</v>
      </c>
    </row>
    <row r="2382">
      <c r="A2382" s="2" t="n">
        <v>46196.625</v>
      </c>
      <c r="B2382">
        <f>TEXT(A2382,"yyyy-mm")</f>
        <v/>
      </c>
      <c r="C2382" s="3">
        <f>HOUR(A2382)</f>
        <v/>
      </c>
      <c r="D2382" s="4" t="n">
        <v>26.04064199669444</v>
      </c>
      <c r="E2382" s="4" t="n">
        <v>27.67013354541389</v>
      </c>
      <c r="F2382" s="4" t="n">
        <v>28.89836252821667</v>
      </c>
      <c r="G2382" s="4" t="n">
        <v>28</v>
      </c>
      <c r="H2382" s="5" t="n">
        <v>39.48519438743889</v>
      </c>
      <c r="I2382" s="5" t="n">
        <v>37.48068814471666</v>
      </c>
      <c r="J2382" s="5" t="n">
        <v>45.56963298309722</v>
      </c>
      <c r="K2382" s="5" t="n">
        <v>42</v>
      </c>
    </row>
    <row r="2383">
      <c r="A2383" s="2" t="n">
        <v>46196.66666666666</v>
      </c>
      <c r="B2383">
        <f>TEXT(A2383,"yyyy-mm")</f>
        <v/>
      </c>
      <c r="C2383" s="3">
        <f>HOUR(A2383)</f>
        <v/>
      </c>
      <c r="D2383" s="4" t="n">
        <v>27.23773639631667</v>
      </c>
      <c r="E2383" s="4" t="n">
        <v>28.12355122753889</v>
      </c>
      <c r="F2383" s="4" t="n">
        <v>29.20955248609444</v>
      </c>
      <c r="G2383" s="4" t="n">
        <v>28.1</v>
      </c>
      <c r="H2383" s="5" t="n">
        <v>41.63120323157778</v>
      </c>
      <c r="I2383" s="5" t="n">
        <v>39.66354976549445</v>
      </c>
      <c r="J2383" s="5" t="n">
        <v>45.8296694058611</v>
      </c>
      <c r="K2383" s="5" t="n">
        <v>40</v>
      </c>
    </row>
    <row r="2384">
      <c r="A2384" s="2" t="n">
        <v>46196.70833333334</v>
      </c>
      <c r="B2384">
        <f>TEXT(A2384,"yyyy-mm")</f>
        <v/>
      </c>
      <c r="C2384" s="3">
        <f>HOUR(A2384)</f>
        <v/>
      </c>
      <c r="D2384" s="4" t="n">
        <v>26.10342495093889</v>
      </c>
      <c r="E2384" s="4" t="n">
        <v>27.80736904998334</v>
      </c>
      <c r="F2384" s="4" t="n">
        <v>29.32384908814444</v>
      </c>
      <c r="G2384" s="4" t="n">
        <v>28</v>
      </c>
      <c r="H2384" s="5" t="n">
        <v>36.88674992719722</v>
      </c>
      <c r="I2384" s="5" t="n">
        <v>36.02910637880833</v>
      </c>
      <c r="J2384" s="5" t="n">
        <v>45.49250693495555</v>
      </c>
      <c r="K2384" s="5" t="n">
        <v>39</v>
      </c>
    </row>
    <row r="2385">
      <c r="A2385" s="2" t="n">
        <v>46196.75</v>
      </c>
      <c r="B2385">
        <f>TEXT(A2385,"yyyy-mm")</f>
        <v/>
      </c>
      <c r="C2385" s="3">
        <f>HOUR(A2385)</f>
        <v/>
      </c>
      <c r="D2385" s="4" t="n">
        <v>26.70925074787777</v>
      </c>
      <c r="E2385" s="4" t="n">
        <v>27.74630256704167</v>
      </c>
      <c r="F2385" s="4" t="n">
        <v>29.29460954169167</v>
      </c>
      <c r="G2385" s="4" t="n">
        <v>27.6</v>
      </c>
      <c r="H2385" s="5" t="n">
        <v>36.99307793456944</v>
      </c>
      <c r="I2385" s="5" t="n">
        <v>36.02712369931667</v>
      </c>
      <c r="J2385" s="5" t="n">
        <v>44.96607155178612</v>
      </c>
      <c r="K2385" s="5" t="n">
        <v>41</v>
      </c>
    </row>
    <row r="2386">
      <c r="A2386" s="2" t="n">
        <v>46196.79166666666</v>
      </c>
      <c r="B2386">
        <f>TEXT(A2386,"yyyy-mm")</f>
        <v/>
      </c>
      <c r="C2386" s="3">
        <f>HOUR(A2386)</f>
        <v/>
      </c>
      <c r="D2386" s="4" t="n">
        <v>26.64036027069167</v>
      </c>
      <c r="E2386" s="4" t="n">
        <v>27.88677282314167</v>
      </c>
      <c r="F2386" s="4" t="n">
        <v>29.27217100638333</v>
      </c>
      <c r="G2386" s="4" t="n">
        <v>26.6</v>
      </c>
      <c r="H2386" s="5" t="n">
        <v>37.46700033512778</v>
      </c>
      <c r="I2386" s="5" t="n">
        <v>37.648312230475</v>
      </c>
      <c r="J2386" s="5" t="n">
        <v>45.02831056985556</v>
      </c>
      <c r="K2386" s="5" t="n">
        <v>44</v>
      </c>
    </row>
    <row r="2387">
      <c r="A2387" s="2" t="n">
        <v>46196.83333333334</v>
      </c>
      <c r="B2387">
        <f>TEXT(A2387,"yyyy-mm")</f>
        <v/>
      </c>
      <c r="C2387" s="3">
        <f>HOUR(A2387)</f>
        <v/>
      </c>
      <c r="D2387" s="4" t="n">
        <v>24.90267260790278</v>
      </c>
      <c r="E2387" s="4" t="n">
        <v>26.992728378975</v>
      </c>
      <c r="F2387" s="4" t="n">
        <v>29.00663977250555</v>
      </c>
      <c r="G2387" s="4" t="n">
        <v>25.6</v>
      </c>
      <c r="H2387" s="5" t="n">
        <v>34.95363174856667</v>
      </c>
      <c r="I2387" s="5" t="n">
        <v>33.28381607873334</v>
      </c>
      <c r="J2387" s="5" t="n">
        <v>43.11625360748056</v>
      </c>
      <c r="K2387" s="5" t="n">
        <v>49</v>
      </c>
    </row>
    <row r="2388">
      <c r="A2388" s="2" t="n">
        <v>46196.875</v>
      </c>
      <c r="B2388">
        <f>TEXT(A2388,"yyyy-mm")</f>
        <v/>
      </c>
      <c r="C2388" s="3">
        <f>HOUR(A2388)</f>
        <v/>
      </c>
      <c r="D2388" s="4" t="n">
        <v>26.24607895893056</v>
      </c>
      <c r="E2388" s="4" t="n">
        <v>27.10247800181111</v>
      </c>
      <c r="F2388" s="4" t="n">
        <v>29.13149084589167</v>
      </c>
      <c r="G2388" s="4" t="n">
        <v>24.6</v>
      </c>
      <c r="H2388" s="5" t="n">
        <v>38.96431736125</v>
      </c>
      <c r="I2388" s="5" t="n">
        <v>37.70707709566111</v>
      </c>
      <c r="J2388" s="5" t="n">
        <v>43.65513646270278</v>
      </c>
      <c r="K2388" s="5" t="n">
        <v>54</v>
      </c>
    </row>
    <row r="2389">
      <c r="A2389" s="2" t="n">
        <v>46196.91666666666</v>
      </c>
      <c r="B2389">
        <f>TEXT(A2389,"yyyy-mm")</f>
        <v/>
      </c>
      <c r="C2389" s="3">
        <f>HOUR(A2389)</f>
        <v/>
      </c>
      <c r="D2389" s="4" t="n">
        <v>25.93283747193611</v>
      </c>
      <c r="E2389" s="4" t="n">
        <v>27.22913652422778</v>
      </c>
      <c r="F2389" s="4" t="n">
        <v>29.121285614925</v>
      </c>
      <c r="G2389" s="4" t="n">
        <v>23.8</v>
      </c>
      <c r="H2389" s="5" t="n">
        <v>39.05189577863333</v>
      </c>
      <c r="I2389" s="5" t="n">
        <v>37.63832004115833</v>
      </c>
      <c r="J2389" s="5" t="n">
        <v>43.83600111725278</v>
      </c>
      <c r="K2389" s="5" t="n">
        <v>58</v>
      </c>
    </row>
    <row r="2390">
      <c r="A2390" s="2" t="n">
        <v>46196.95833333334</v>
      </c>
      <c r="B2390">
        <f>TEXT(A2390,"yyyy-mm")</f>
        <v/>
      </c>
      <c r="C2390" s="3">
        <f>HOUR(A2390)</f>
        <v/>
      </c>
      <c r="D2390" s="4" t="n">
        <v>25.41215237194444</v>
      </c>
      <c r="E2390" s="4" t="n">
        <v>27.14712943816667</v>
      </c>
      <c r="F2390" s="4" t="n">
        <v>28.23673553268889</v>
      </c>
      <c r="G2390" s="4" t="n">
        <v>22.7</v>
      </c>
      <c r="H2390" s="5" t="n">
        <v>37.34407192360556</v>
      </c>
      <c r="I2390" s="5" t="n">
        <v>36.59445288214167</v>
      </c>
      <c r="J2390" s="5" t="n">
        <v>42.62440427026667</v>
      </c>
      <c r="K2390" s="5" t="n">
        <v>61</v>
      </c>
    </row>
    <row r="2391">
      <c r="A2391" s="2" t="n">
        <v>46197</v>
      </c>
      <c r="B2391">
        <f>TEXT(A2391,"yyyy-mm")</f>
        <v/>
      </c>
      <c r="C2391" s="3">
        <f>HOUR(A2391)</f>
        <v/>
      </c>
      <c r="D2391" s="4" t="n">
        <v>25.39268311178333</v>
      </c>
      <c r="E2391" s="4" t="n">
        <v>26.75200962778889</v>
      </c>
      <c r="F2391" s="4" t="n">
        <v>28.70181550628333</v>
      </c>
      <c r="G2391" s="4" t="n">
        <v>22</v>
      </c>
      <c r="H2391" s="5" t="n">
        <v>37.92445086093333</v>
      </c>
      <c r="I2391" s="5" t="n">
        <v>37.32757909468334</v>
      </c>
      <c r="J2391" s="5" t="n">
        <v>43.80347521084722</v>
      </c>
      <c r="K2391" s="5" t="n">
        <v>61</v>
      </c>
    </row>
    <row r="2392">
      <c r="A2392" s="2" t="n">
        <v>46197.04166666666</v>
      </c>
      <c r="B2392">
        <f>TEXT(A2392,"yyyy-mm")</f>
        <v/>
      </c>
      <c r="C2392" s="3">
        <f>HOUR(A2392)</f>
        <v/>
      </c>
      <c r="D2392" s="4" t="n">
        <v>24.51388518841944</v>
      </c>
      <c r="E2392" s="4" t="n">
        <v>26.35760654077778</v>
      </c>
      <c r="F2392" s="4" t="n">
        <v>28.84291358226389</v>
      </c>
      <c r="G2392" s="4" t="n">
        <v>21.2</v>
      </c>
      <c r="H2392" s="5" t="n">
        <v>34.93283790828334</v>
      </c>
      <c r="I2392" s="5" t="n">
        <v>33.60339172488611</v>
      </c>
      <c r="J2392" s="5" t="n">
        <v>42.86575376923611</v>
      </c>
      <c r="K2392" s="5" t="n">
        <v>58</v>
      </c>
    </row>
    <row r="2393">
      <c r="A2393" s="2" t="n">
        <v>46197.08333333334</v>
      </c>
      <c r="B2393">
        <f>TEXT(A2393,"yyyy-mm")</f>
        <v/>
      </c>
      <c r="C2393" s="3">
        <f>HOUR(A2393)</f>
        <v/>
      </c>
      <c r="D2393" s="4" t="n">
        <v>25.90336493038333</v>
      </c>
      <c r="E2393" s="4" t="n">
        <v>26.72834771300278</v>
      </c>
      <c r="F2393" s="4" t="n">
        <v>29.03347839358333</v>
      </c>
      <c r="G2393" s="4" t="n">
        <v>20.2</v>
      </c>
      <c r="H2393" s="5" t="n">
        <v>38.58672298669444</v>
      </c>
      <c r="I2393" s="5" t="n">
        <v>37.23998158022778</v>
      </c>
      <c r="J2393" s="5" t="n">
        <v>43.29322881883611</v>
      </c>
      <c r="K2393" s="5" t="n">
        <v>53</v>
      </c>
    </row>
    <row r="2394">
      <c r="A2394" s="2" t="n">
        <v>46197.125</v>
      </c>
      <c r="B2394">
        <f>TEXT(A2394,"yyyy-mm")</f>
        <v/>
      </c>
      <c r="C2394" s="3">
        <f>HOUR(A2394)</f>
        <v/>
      </c>
      <c r="D2394" s="4" t="n">
        <v>26.36349552013889</v>
      </c>
      <c r="E2394" s="4" t="n">
        <v>26.91087905194444</v>
      </c>
      <c r="F2394" s="4" t="n">
        <v>29.08910979436389</v>
      </c>
      <c r="G2394" s="4" t="n">
        <v>18.9</v>
      </c>
      <c r="H2394" s="5" t="n">
        <v>37.58577378252222</v>
      </c>
      <c r="I2394" s="5" t="n">
        <v>37.31447524942222</v>
      </c>
      <c r="J2394" s="5" t="n">
        <v>43.53370203840834</v>
      </c>
      <c r="K2394" s="5" t="n">
        <v>56</v>
      </c>
    </row>
    <row r="2395">
      <c r="A2395" s="2" t="n">
        <v>46197.16666666666</v>
      </c>
      <c r="B2395">
        <f>TEXT(A2395,"yyyy-mm")</f>
        <v/>
      </c>
      <c r="C2395" s="3">
        <f>HOUR(A2395)</f>
        <v/>
      </c>
      <c r="D2395" s="4" t="n">
        <v>26.42054248928889</v>
      </c>
      <c r="E2395" s="4" t="n">
        <v>26.91911308672778</v>
      </c>
      <c r="F2395" s="4" t="n">
        <v>29.10119215324167</v>
      </c>
      <c r="G2395" s="4" t="n">
        <v>18</v>
      </c>
      <c r="H2395" s="5" t="n">
        <v>36.10489457416389</v>
      </c>
      <c r="I2395" s="5" t="n">
        <v>36.61889227381111</v>
      </c>
      <c r="J2395" s="5" t="n">
        <v>43.59053522022222</v>
      </c>
      <c r="K2395" s="5" t="n">
        <v>56</v>
      </c>
    </row>
    <row r="2396">
      <c r="A2396" s="2" t="n">
        <v>46197.20833333334</v>
      </c>
      <c r="B2396">
        <f>TEXT(A2396,"yyyy-mm")</f>
        <v/>
      </c>
      <c r="C2396" s="3">
        <f>HOUR(A2396)</f>
        <v/>
      </c>
      <c r="D2396" s="4" t="n">
        <v>26.57909415892222</v>
      </c>
      <c r="E2396" s="4" t="n">
        <v>27.093147069425</v>
      </c>
      <c r="F2396" s="4" t="n">
        <v>29.105346770325</v>
      </c>
      <c r="G2396" s="4" t="n">
        <v>17.3</v>
      </c>
      <c r="H2396" s="5" t="n">
        <v>35.52022094011944</v>
      </c>
      <c r="I2396" s="5" t="n">
        <v>36.36821040927222</v>
      </c>
      <c r="J2396" s="5" t="n">
        <v>43.67396747501667</v>
      </c>
      <c r="K2396" s="5" t="n">
        <v>57</v>
      </c>
    </row>
    <row r="2397">
      <c r="A2397" s="2" t="n">
        <v>46197.25</v>
      </c>
      <c r="B2397">
        <f>TEXT(A2397,"yyyy-mm")</f>
        <v/>
      </c>
      <c r="C2397" s="3">
        <f>HOUR(A2397)</f>
        <v/>
      </c>
      <c r="D2397" s="4" t="n">
        <v>27.06483682543612</v>
      </c>
      <c r="E2397" s="4" t="n">
        <v>27.44666844748056</v>
      </c>
      <c r="F2397" s="4" t="n">
        <v>29.13299903488333</v>
      </c>
      <c r="G2397" s="4" t="n">
        <v>18</v>
      </c>
      <c r="H2397" s="5" t="n">
        <v>34.86445282185556</v>
      </c>
      <c r="I2397" s="5" t="n">
        <v>36.19734110369723</v>
      </c>
      <c r="J2397" s="5" t="n">
        <v>43.72245835123889</v>
      </c>
      <c r="K2397" s="5" t="n">
        <v>55</v>
      </c>
    </row>
    <row r="2398">
      <c r="A2398" s="2" t="n">
        <v>46197.29166666666</v>
      </c>
      <c r="B2398">
        <f>TEXT(A2398,"yyyy-mm")</f>
        <v/>
      </c>
      <c r="C2398" s="3">
        <f>HOUR(A2398)</f>
        <v/>
      </c>
      <c r="D2398" s="4" t="n">
        <v>27.66949450058333</v>
      </c>
      <c r="E2398" s="4" t="n">
        <v>28.22418876366944</v>
      </c>
      <c r="F2398" s="4" t="n">
        <v>29.16319136551944</v>
      </c>
      <c r="G2398" s="4" t="n">
        <v>19.4</v>
      </c>
      <c r="H2398" s="5" t="n">
        <v>34.11340804062223</v>
      </c>
      <c r="I2398" s="5" t="n">
        <v>34.78047773845278</v>
      </c>
      <c r="J2398" s="5" t="n">
        <v>43.70259650660833</v>
      </c>
      <c r="K2398" s="5" t="n">
        <v>50</v>
      </c>
    </row>
    <row r="2399">
      <c r="A2399" s="2" t="n">
        <v>46197.33333333334</v>
      </c>
      <c r="B2399">
        <f>TEXT(A2399,"yyyy-mm")</f>
        <v/>
      </c>
      <c r="C2399" s="3">
        <f>HOUR(A2399)</f>
        <v/>
      </c>
      <c r="D2399" s="4" t="n">
        <v>28.44861273600834</v>
      </c>
      <c r="E2399" s="4" t="n">
        <v>28.79850814451945</v>
      </c>
      <c r="F2399" s="4" t="n">
        <v>29.21764972936389</v>
      </c>
      <c r="G2399" s="4" t="n">
        <v>21.6</v>
      </c>
      <c r="H2399" s="5" t="n">
        <v>34.20008374141111</v>
      </c>
      <c r="I2399" s="5" t="n">
        <v>33.397539696675</v>
      </c>
      <c r="J2399" s="5" t="n">
        <v>43.76428717994167</v>
      </c>
      <c r="K2399" s="5" t="n">
        <v>41</v>
      </c>
    </row>
    <row r="2400">
      <c r="A2400" s="2" t="n">
        <v>46197.375</v>
      </c>
      <c r="B2400">
        <f>TEXT(A2400,"yyyy-mm")</f>
        <v/>
      </c>
      <c r="C2400" s="3">
        <f>HOUR(A2400)</f>
        <v/>
      </c>
      <c r="D2400" s="4" t="n">
        <v>29.51061889048333</v>
      </c>
      <c r="E2400" s="4" t="n">
        <v>29.13800863525278</v>
      </c>
      <c r="F2400" s="4" t="n">
        <v>29.28189773573056</v>
      </c>
      <c r="G2400" s="4" t="n">
        <v>23.9</v>
      </c>
      <c r="H2400" s="5" t="n">
        <v>32.70007846956389</v>
      </c>
      <c r="I2400" s="5" t="n">
        <v>32.23602568048334</v>
      </c>
      <c r="J2400" s="5" t="n">
        <v>43.80633449661945</v>
      </c>
      <c r="K2400" s="5" t="n">
        <v>33</v>
      </c>
    </row>
    <row r="2401">
      <c r="A2401" s="2" t="n">
        <v>46197.41666666666</v>
      </c>
      <c r="B2401">
        <f>TEXT(A2401,"yyyy-mm")</f>
        <v/>
      </c>
      <c r="C2401" s="3">
        <f>HOUR(A2401)</f>
        <v/>
      </c>
      <c r="D2401" s="4" t="n">
        <v>28.76797075502222</v>
      </c>
      <c r="E2401" s="4" t="n">
        <v>29.35472177673333</v>
      </c>
      <c r="F2401" s="4" t="n">
        <v>29.31848535128056</v>
      </c>
      <c r="G2401" s="4" t="n">
        <v>25.2</v>
      </c>
      <c r="H2401" s="5" t="n">
        <v>33.90270210140556</v>
      </c>
      <c r="I2401" s="5" t="n">
        <v>31.50601355219722</v>
      </c>
      <c r="J2401" s="5" t="n">
        <v>43.83009479713333</v>
      </c>
      <c r="K2401" s="5" t="n">
        <v>30</v>
      </c>
    </row>
    <row r="2402">
      <c r="A2402" s="2" t="n">
        <v>46197.45833333334</v>
      </c>
      <c r="B2402">
        <f>TEXT(A2402,"yyyy-mm")</f>
        <v/>
      </c>
      <c r="C2402" s="3">
        <f>HOUR(A2402)</f>
        <v/>
      </c>
      <c r="D2402" s="4" t="n">
        <v>27.32519725486389</v>
      </c>
      <c r="E2402" s="4" t="n">
        <v>28.95361224223056</v>
      </c>
      <c r="F2402" s="4" t="n">
        <v>29.31372493000278</v>
      </c>
      <c r="G2402" s="4" t="n">
        <v>26.2</v>
      </c>
      <c r="H2402" s="5" t="n">
        <v>31.50187389149166</v>
      </c>
      <c r="I2402" s="5" t="n">
        <v>31.07945627772222</v>
      </c>
      <c r="J2402" s="5" t="n">
        <v>43.47830413472778</v>
      </c>
      <c r="K2402" s="5" t="n">
        <v>29</v>
      </c>
    </row>
    <row r="2403">
      <c r="A2403" s="2" t="n">
        <v>46197.5</v>
      </c>
      <c r="B2403">
        <f>TEXT(A2403,"yyyy-mm")</f>
        <v/>
      </c>
      <c r="C2403" s="3">
        <f>HOUR(A2403)</f>
        <v/>
      </c>
      <c r="D2403" s="4" t="n">
        <v>26.54551553335</v>
      </c>
      <c r="E2403" s="4" t="n">
        <v>28.68746000998055</v>
      </c>
      <c r="F2403" s="4" t="n">
        <v>29.25552880893611</v>
      </c>
      <c r="G2403" s="4" t="n">
        <v>27</v>
      </c>
      <c r="H2403" s="5" t="n">
        <v>31.29955666693611</v>
      </c>
      <c r="I2403" s="5" t="n">
        <v>29.24504116086666</v>
      </c>
      <c r="J2403" s="5" t="n">
        <v>43.04084276588333</v>
      </c>
      <c r="K2403" s="5" t="n">
        <v>28</v>
      </c>
    </row>
    <row r="2404">
      <c r="A2404" s="2" t="n">
        <v>46197.54166666666</v>
      </c>
      <c r="B2404">
        <f>TEXT(A2404,"yyyy-mm")</f>
        <v/>
      </c>
      <c r="C2404" s="3">
        <f>HOUR(A2404)</f>
        <v/>
      </c>
      <c r="D2404" s="4" t="n">
        <v>27.58183904137222</v>
      </c>
      <c r="E2404" s="4" t="n">
        <v>28.86648522211111</v>
      </c>
      <c r="F2404" s="4" t="n">
        <v>29.27759718762222</v>
      </c>
      <c r="G2404" s="4" t="n">
        <v>27</v>
      </c>
      <c r="H2404" s="5" t="n">
        <v>35.32410284083333</v>
      </c>
      <c r="I2404" s="5" t="n">
        <v>34.04700322469722</v>
      </c>
      <c r="J2404" s="5" t="n">
        <v>43.33381536076944</v>
      </c>
      <c r="K2404" s="5" t="n">
        <v>29</v>
      </c>
    </row>
    <row r="2405">
      <c r="A2405" s="2" t="n">
        <v>46197.58333333334</v>
      </c>
      <c r="B2405">
        <f>TEXT(A2405,"yyyy-mm")</f>
        <v/>
      </c>
      <c r="C2405" s="3">
        <f>HOUR(A2405)</f>
        <v/>
      </c>
      <c r="D2405" s="4" t="n">
        <v>27.16149410886666</v>
      </c>
      <c r="E2405" s="4" t="n">
        <v>28.45183649443056</v>
      </c>
      <c r="F2405" s="4" t="n">
        <v>29.29976482601667</v>
      </c>
      <c r="G2405" s="4" t="n">
        <v>26.8</v>
      </c>
      <c r="H2405" s="5" t="n">
        <v>34.10203597695</v>
      </c>
      <c r="I2405" s="5" t="n">
        <v>33.29987119205</v>
      </c>
      <c r="J2405" s="5" t="n">
        <v>43.459910112725</v>
      </c>
      <c r="K2405" s="5" t="n">
        <v>30</v>
      </c>
    </row>
    <row r="2406">
      <c r="A2406" s="2" t="n">
        <v>46197.625</v>
      </c>
      <c r="B2406">
        <f>TEXT(A2406,"yyyy-mm")</f>
        <v/>
      </c>
      <c r="C2406" s="3">
        <f>HOUR(A2406)</f>
        <v/>
      </c>
      <c r="D2406" s="4" t="n">
        <v>25.35091535901389</v>
      </c>
      <c r="E2406" s="4" t="n">
        <v>27.82399620887778</v>
      </c>
      <c r="F2406" s="4" t="n">
        <v>28.89826409000278</v>
      </c>
      <c r="G2406" s="4" t="n">
        <v>27.5</v>
      </c>
      <c r="H2406" s="5" t="n">
        <v>32.52837361869445</v>
      </c>
      <c r="I2406" s="5" t="n">
        <v>31.04498136094444</v>
      </c>
      <c r="J2406" s="5" t="n">
        <v>41.56308370021666</v>
      </c>
      <c r="K2406" s="5" t="n">
        <v>29</v>
      </c>
    </row>
    <row r="2407">
      <c r="A2407" s="2" t="n">
        <v>46197.66666666666</v>
      </c>
      <c r="B2407">
        <f>TEXT(A2407,"yyyy-mm")</f>
        <v/>
      </c>
      <c r="C2407" s="3">
        <f>HOUR(A2407)</f>
        <v/>
      </c>
      <c r="D2407" s="4" t="n">
        <v>25.48414622136389</v>
      </c>
      <c r="E2407" s="4" t="n">
        <v>27.88441549929166</v>
      </c>
      <c r="F2407" s="4" t="n">
        <v>28.99690666452777</v>
      </c>
      <c r="G2407" s="4" t="n">
        <v>27.5</v>
      </c>
      <c r="H2407" s="5" t="n">
        <v>33.70882755570833</v>
      </c>
      <c r="I2407" s="5" t="n">
        <v>31.81748490326666</v>
      </c>
      <c r="J2407" s="5" t="n">
        <v>41.72697488431389</v>
      </c>
      <c r="K2407" s="5" t="n">
        <v>29</v>
      </c>
    </row>
    <row r="2408">
      <c r="A2408" s="2" t="n">
        <v>46197.70833333334</v>
      </c>
      <c r="B2408">
        <f>TEXT(A2408,"yyyy-mm")</f>
        <v/>
      </c>
      <c r="C2408" s="3">
        <f>HOUR(A2408)</f>
        <v/>
      </c>
      <c r="D2408" s="4" t="n">
        <v>25.74798342217778</v>
      </c>
      <c r="E2408" s="4" t="n">
        <v>27.88427697573889</v>
      </c>
      <c r="F2408" s="4" t="n">
        <v>29.15277919929722</v>
      </c>
      <c r="G2408" s="4" t="n">
        <v>27.3</v>
      </c>
      <c r="H2408" s="5" t="n">
        <v>33.69800407799444</v>
      </c>
      <c r="I2408" s="5" t="n">
        <v>32.15472037021389</v>
      </c>
      <c r="J2408" s="5" t="n">
        <v>41.25563629826667</v>
      </c>
      <c r="K2408" s="5" t="n">
        <v>30</v>
      </c>
    </row>
    <row r="2409">
      <c r="A2409" s="2" t="n">
        <v>46197.75</v>
      </c>
      <c r="B2409">
        <f>TEXT(A2409,"yyyy-mm")</f>
        <v/>
      </c>
      <c r="C2409" s="3">
        <f>HOUR(A2409)</f>
        <v/>
      </c>
      <c r="D2409" s="4" t="n">
        <v>26.063975892275</v>
      </c>
      <c r="E2409" s="4" t="n">
        <v>27.70175313009722</v>
      </c>
      <c r="F2409" s="4" t="n">
        <v>29.10550811114167</v>
      </c>
      <c r="G2409" s="4" t="n">
        <v>27</v>
      </c>
      <c r="H2409" s="5" t="n">
        <v>34.71956556259445</v>
      </c>
      <c r="I2409" s="5" t="n">
        <v>33.81016468070833</v>
      </c>
      <c r="J2409" s="5" t="n">
        <v>41.50583354206389</v>
      </c>
      <c r="K2409" s="5" t="n">
        <v>30</v>
      </c>
    </row>
    <row r="2410">
      <c r="A2410" s="2" t="n">
        <v>46197.79166666666</v>
      </c>
      <c r="B2410">
        <f>TEXT(A2410,"yyyy-mm")</f>
        <v/>
      </c>
      <c r="C2410" s="3">
        <f>HOUR(A2410)</f>
        <v/>
      </c>
      <c r="D2410" s="4" t="n">
        <v>25.96379444633889</v>
      </c>
      <c r="E2410" s="4" t="n">
        <v>27.46841994303611</v>
      </c>
      <c r="F2410" s="4" t="n">
        <v>29.14240642363889</v>
      </c>
      <c r="G2410" s="4" t="n">
        <v>26.5</v>
      </c>
      <c r="H2410" s="5" t="n">
        <v>37.98230042434722</v>
      </c>
      <c r="I2410" s="5" t="n">
        <v>35.97055526689445</v>
      </c>
      <c r="J2410" s="5" t="n">
        <v>41.88006039746666</v>
      </c>
      <c r="K2410" s="5" t="n">
        <v>32</v>
      </c>
    </row>
    <row r="2411">
      <c r="A2411" s="2" t="n">
        <v>46197.83333333334</v>
      </c>
      <c r="B2411">
        <f>TEXT(A2411,"yyyy-mm")</f>
        <v/>
      </c>
      <c r="C2411" s="3">
        <f>HOUR(A2411)</f>
        <v/>
      </c>
      <c r="D2411" s="4" t="n">
        <v>25.39942876176667</v>
      </c>
      <c r="E2411" s="4" t="n">
        <v>27.36948857754167</v>
      </c>
      <c r="F2411" s="4" t="n">
        <v>29.25191040046111</v>
      </c>
      <c r="G2411" s="4" t="n">
        <v>25.9</v>
      </c>
      <c r="H2411" s="5" t="n">
        <v>38.26177203835555</v>
      </c>
      <c r="I2411" s="5" t="n">
        <v>37.02277254834166</v>
      </c>
      <c r="J2411" s="5" t="n">
        <v>43.36872664416666</v>
      </c>
      <c r="K2411" s="5" t="n">
        <v>34</v>
      </c>
    </row>
    <row r="2412">
      <c r="A2412" s="2" t="n">
        <v>46197.875</v>
      </c>
      <c r="B2412">
        <f>TEXT(A2412,"yyyy-mm")</f>
        <v/>
      </c>
      <c r="C2412" s="3">
        <f>HOUR(A2412)</f>
        <v/>
      </c>
      <c r="D2412" s="4" t="n">
        <v>25.28693302335</v>
      </c>
      <c r="E2412" s="4" t="n">
        <v>27.12140462625556</v>
      </c>
      <c r="F2412" s="4" t="n">
        <v>29.14582797415833</v>
      </c>
      <c r="G2412" s="4" t="n">
        <v>25.1</v>
      </c>
      <c r="H2412" s="5" t="n">
        <v>39.56549274259167</v>
      </c>
      <c r="I2412" s="5" t="n">
        <v>38.07485657083611</v>
      </c>
      <c r="J2412" s="5" t="n">
        <v>42.53548546496666</v>
      </c>
      <c r="K2412" s="5" t="n">
        <v>35</v>
      </c>
    </row>
    <row r="2413">
      <c r="A2413" s="2" t="n">
        <v>46197.91666666666</v>
      </c>
      <c r="B2413">
        <f>TEXT(A2413,"yyyy-mm")</f>
        <v/>
      </c>
      <c r="C2413" s="3">
        <f>HOUR(A2413)</f>
        <v/>
      </c>
      <c r="D2413" s="4" t="n">
        <v>26.63294434688333</v>
      </c>
      <c r="E2413" s="4" t="n">
        <v>27.74388765782778</v>
      </c>
      <c r="F2413" s="4" t="n">
        <v>29.17282542005833</v>
      </c>
      <c r="G2413" s="4" t="n">
        <v>24.6</v>
      </c>
      <c r="H2413" s="5" t="n">
        <v>42.32885152216389</v>
      </c>
      <c r="I2413" s="5" t="n">
        <v>41.118408367325</v>
      </c>
      <c r="J2413" s="5" t="n">
        <v>44.27803232525277</v>
      </c>
      <c r="K2413" s="5" t="n">
        <v>43</v>
      </c>
    </row>
    <row r="2414">
      <c r="A2414" s="2" t="n">
        <v>46197.95833333334</v>
      </c>
      <c r="B2414">
        <f>TEXT(A2414,"yyyy-mm")</f>
        <v/>
      </c>
      <c r="C2414" s="3">
        <f>HOUR(A2414)</f>
        <v/>
      </c>
      <c r="D2414" s="4" t="n">
        <v>27.038335288075</v>
      </c>
      <c r="E2414" s="4" t="n">
        <v>27.70035839467777</v>
      </c>
      <c r="F2414" s="4" t="n">
        <v>29.19928370509166</v>
      </c>
      <c r="G2414" s="4" t="n">
        <v>24.1</v>
      </c>
      <c r="H2414" s="5" t="n">
        <v>43.26877637966388</v>
      </c>
      <c r="I2414" s="5" t="n">
        <v>43.1662116185889</v>
      </c>
      <c r="J2414" s="5" t="n">
        <v>44.82091356034445</v>
      </c>
      <c r="K2414" s="5" t="n">
        <v>42</v>
      </c>
    </row>
    <row r="2415">
      <c r="A2415" s="2" t="n">
        <v>46198</v>
      </c>
      <c r="B2415">
        <f>TEXT(A2415,"yyyy-mm")</f>
        <v/>
      </c>
      <c r="C2415" s="3">
        <f>HOUR(A2415)</f>
        <v/>
      </c>
      <c r="D2415" s="4" t="n">
        <v>27.12233710073333</v>
      </c>
      <c r="E2415" s="4" t="n">
        <v>27.64138246883333</v>
      </c>
      <c r="F2415" s="4" t="n">
        <v>29.33642551660278</v>
      </c>
      <c r="G2415" s="4" t="n">
        <v>23.2</v>
      </c>
      <c r="H2415" s="5" t="n">
        <v>42.72408217150001</v>
      </c>
      <c r="I2415" s="5" t="n">
        <v>43.83175102875</v>
      </c>
      <c r="J2415" s="5" t="n">
        <v>44.48457827280277</v>
      </c>
      <c r="K2415" s="5" t="n">
        <v>44</v>
      </c>
    </row>
    <row r="2416">
      <c r="A2416" s="2" t="n">
        <v>46198.04166666666</v>
      </c>
      <c r="B2416">
        <f>TEXT(A2416,"yyyy-mm")</f>
        <v/>
      </c>
      <c r="C2416" s="3">
        <f>HOUR(A2416)</f>
        <v/>
      </c>
      <c r="D2416" s="4" t="n">
        <v>26.94400663458055</v>
      </c>
      <c r="E2416" s="4" t="n">
        <v>27.83434693373333</v>
      </c>
      <c r="F2416" s="4" t="n">
        <v>29.30985018145556</v>
      </c>
      <c r="G2416" s="4" t="n">
        <v>21.9</v>
      </c>
      <c r="H2416" s="5" t="n">
        <v>41.48322346705277</v>
      </c>
      <c r="I2416" s="5" t="n">
        <v>42.29869564006389</v>
      </c>
      <c r="J2416" s="5" t="n">
        <v>44.53528331821667</v>
      </c>
      <c r="K2416" s="5" t="n">
        <v>46</v>
      </c>
    </row>
    <row r="2417">
      <c r="A2417" s="2" t="n">
        <v>46198.08333333334</v>
      </c>
      <c r="B2417">
        <f>TEXT(A2417,"yyyy-mm")</f>
        <v/>
      </c>
      <c r="C2417" s="3">
        <f>HOUR(A2417)</f>
        <v/>
      </c>
      <c r="D2417" s="4" t="n">
        <v>25.35490846693333</v>
      </c>
      <c r="E2417" s="4" t="n">
        <v>27.512813991725</v>
      </c>
      <c r="F2417" s="4" t="n">
        <v>29.28065346280278</v>
      </c>
      <c r="G2417" s="4" t="n">
        <v>21.1</v>
      </c>
      <c r="H2417" s="5" t="n">
        <v>44.13544189568889</v>
      </c>
      <c r="I2417" s="5" t="n">
        <v>41.53887508995277</v>
      </c>
      <c r="J2417" s="5" t="n">
        <v>44.61253548882501</v>
      </c>
      <c r="K2417" s="5" t="n">
        <v>49</v>
      </c>
    </row>
    <row r="2418">
      <c r="A2418" s="2" t="n">
        <v>46198.125</v>
      </c>
      <c r="B2418">
        <f>TEXT(A2418,"yyyy-mm")</f>
        <v/>
      </c>
      <c r="C2418" s="3">
        <f>HOUR(A2418)</f>
        <v/>
      </c>
      <c r="D2418" s="4" t="n">
        <v>24.3315345379</v>
      </c>
      <c r="E2418" s="4" t="n">
        <v>27.16229606117778</v>
      </c>
      <c r="F2418" s="4" t="n">
        <v>29.26762619811667</v>
      </c>
      <c r="G2418" s="4" t="n">
        <v>20.8</v>
      </c>
      <c r="H2418" s="5" t="n">
        <v>51.38816557345834</v>
      </c>
      <c r="I2418" s="5" t="n">
        <v>44.148740795225</v>
      </c>
      <c r="J2418" s="5" t="n">
        <v>44.94942040766944</v>
      </c>
      <c r="K2418" s="5" t="n">
        <v>56</v>
      </c>
    </row>
    <row r="2419">
      <c r="A2419" s="2" t="n">
        <v>46198.16666666666</v>
      </c>
      <c r="B2419">
        <f>TEXT(A2419,"yyyy-mm")</f>
        <v/>
      </c>
      <c r="C2419" s="3">
        <f>HOUR(A2419)</f>
        <v/>
      </c>
      <c r="D2419" s="4" t="n">
        <v>24.07806045786944</v>
      </c>
      <c r="E2419" s="4" t="n">
        <v>27.03444501764444</v>
      </c>
      <c r="F2419" s="4" t="n">
        <v>29.23887482748055</v>
      </c>
      <c r="G2419" s="4" t="n">
        <v>20.2</v>
      </c>
      <c r="H2419" s="5" t="n">
        <v>53.25274359270555</v>
      </c>
      <c r="I2419" s="5" t="n">
        <v>45.26142850718333</v>
      </c>
      <c r="J2419" s="5" t="n">
        <v>45.56343331513889</v>
      </c>
      <c r="K2419" s="5" t="n">
        <v>58</v>
      </c>
    </row>
    <row r="2420">
      <c r="A2420" s="2" t="n">
        <v>46198.20833333334</v>
      </c>
      <c r="B2420">
        <f>TEXT(A2420,"yyyy-mm")</f>
        <v/>
      </c>
      <c r="C2420" s="3">
        <f>HOUR(A2420)</f>
        <v/>
      </c>
      <c r="D2420" s="4" t="n">
        <v>24.18548232270556</v>
      </c>
      <c r="E2420" s="4" t="n">
        <v>26.90522955824444</v>
      </c>
      <c r="F2420" s="4" t="n">
        <v>29.22763862250556</v>
      </c>
      <c r="G2420" s="4" t="n">
        <v>19.2</v>
      </c>
      <c r="H2420" s="5" t="n">
        <v>54.34266979788888</v>
      </c>
      <c r="I2420" s="5" t="n">
        <v>46.17666174141667</v>
      </c>
      <c r="J2420" s="5" t="n">
        <v>45.89773106173612</v>
      </c>
      <c r="K2420" s="5" t="n">
        <v>63</v>
      </c>
    </row>
    <row r="2421">
      <c r="A2421" s="2" t="n">
        <v>46198.25</v>
      </c>
      <c r="B2421">
        <f>TEXT(A2421,"yyyy-mm")</f>
        <v/>
      </c>
      <c r="C2421" s="3">
        <f>HOUR(A2421)</f>
        <v/>
      </c>
      <c r="D2421" s="4" t="n">
        <v>24.19326098875834</v>
      </c>
      <c r="E2421" s="4" t="n">
        <v>26.871858460375</v>
      </c>
      <c r="F2421" s="4" t="n">
        <v>29.24763905062778</v>
      </c>
      <c r="G2421" s="4" t="n">
        <v>19.6</v>
      </c>
      <c r="H2421" s="5" t="n">
        <v>55.70662258313889</v>
      </c>
      <c r="I2421" s="5" t="n">
        <v>47.32823038775278</v>
      </c>
      <c r="J2421" s="5" t="n">
        <v>46.12602772373889</v>
      </c>
      <c r="K2421" s="5" t="n">
        <v>63</v>
      </c>
    </row>
    <row r="2422">
      <c r="A2422" s="2" t="n">
        <v>46198.29166666666</v>
      </c>
      <c r="B2422">
        <f>TEXT(A2422,"yyyy-mm")</f>
        <v/>
      </c>
      <c r="C2422" s="3">
        <f>HOUR(A2422)</f>
        <v/>
      </c>
      <c r="D2422" s="4" t="n">
        <v>24.34998293553056</v>
      </c>
      <c r="E2422" s="4" t="n">
        <v>27.01846766549166</v>
      </c>
      <c r="F2422" s="4" t="n">
        <v>29.23749980313889</v>
      </c>
      <c r="G2422" s="4" t="n">
        <v>20.2</v>
      </c>
      <c r="H2422" s="5" t="n">
        <v>54.90685335804167</v>
      </c>
      <c r="I2422" s="5" t="n">
        <v>47.12693441559444</v>
      </c>
      <c r="J2422" s="5" t="n">
        <v>46.44198482234168</v>
      </c>
      <c r="K2422" s="5" t="n">
        <v>61</v>
      </c>
    </row>
    <row r="2423">
      <c r="A2423" s="2" t="n">
        <v>46198.33333333334</v>
      </c>
      <c r="B2423">
        <f>TEXT(A2423,"yyyy-mm")</f>
        <v/>
      </c>
      <c r="C2423" s="3">
        <f>HOUR(A2423)</f>
        <v/>
      </c>
      <c r="D2423" s="4" t="n">
        <v>24.49472096543333</v>
      </c>
      <c r="E2423" s="4" t="n">
        <v>27.24558335886389</v>
      </c>
      <c r="F2423" s="4" t="n">
        <v>29.22391776276667</v>
      </c>
      <c r="G2423" s="4" t="n">
        <v>20</v>
      </c>
      <c r="H2423" s="5" t="n">
        <v>49.69362047164722</v>
      </c>
      <c r="I2423" s="5" t="n">
        <v>43.8942135809861</v>
      </c>
      <c r="J2423" s="5" t="n">
        <v>46.34074301270277</v>
      </c>
      <c r="K2423" s="5" t="n">
        <v>63</v>
      </c>
    </row>
    <row r="2424">
      <c r="A2424" s="2" t="n">
        <v>46198.375</v>
      </c>
      <c r="B2424">
        <f>TEXT(A2424,"yyyy-mm")</f>
        <v/>
      </c>
      <c r="C2424" s="3">
        <f>HOUR(A2424)</f>
        <v/>
      </c>
      <c r="D2424" s="4" t="n">
        <v>24.89530135039166</v>
      </c>
      <c r="E2424" s="4" t="n">
        <v>27.1214972289</v>
      </c>
      <c r="F2424" s="4" t="n">
        <v>29.22765264662777</v>
      </c>
      <c r="G2424" s="4" t="n">
        <v>21.8</v>
      </c>
      <c r="H2424" s="5" t="n">
        <v>48.23553493017778</v>
      </c>
      <c r="I2424" s="5" t="n">
        <v>43.65045035942777</v>
      </c>
      <c r="J2424" s="5" t="n">
        <v>46.02957852743333</v>
      </c>
      <c r="K2424" s="5" t="n">
        <v>56</v>
      </c>
    </row>
    <row r="2425">
      <c r="A2425" s="2" t="n">
        <v>46198.41666666666</v>
      </c>
      <c r="B2425">
        <f>TEXT(A2425,"yyyy-mm")</f>
        <v/>
      </c>
      <c r="C2425" s="3">
        <f>HOUR(A2425)</f>
        <v/>
      </c>
      <c r="D2425" s="4" t="n">
        <v>25.24321129086666</v>
      </c>
      <c r="E2425" s="4" t="n">
        <v>27.19220917405</v>
      </c>
      <c r="F2425" s="4" t="n">
        <v>29.22031951341944</v>
      </c>
      <c r="G2425" s="4" t="n">
        <v>23.4</v>
      </c>
      <c r="H2425" s="5" t="n">
        <v>46.20215483898056</v>
      </c>
      <c r="I2425" s="5" t="n">
        <v>42.83453048696112</v>
      </c>
      <c r="J2425" s="5" t="n">
        <v>45.87611495966389</v>
      </c>
      <c r="K2425" s="5" t="n">
        <v>48</v>
      </c>
    </row>
    <row r="2426">
      <c r="A2426" s="2" t="n">
        <v>46198.45833333334</v>
      </c>
      <c r="B2426">
        <f>TEXT(A2426,"yyyy-mm")</f>
        <v/>
      </c>
      <c r="C2426" s="3">
        <f>HOUR(A2426)</f>
        <v/>
      </c>
      <c r="D2426" s="4" t="n">
        <v>26.17923052915833</v>
      </c>
      <c r="E2426" s="4" t="n">
        <v>27.81965944548333</v>
      </c>
      <c r="F2426" s="4" t="n">
        <v>29.22802656487778</v>
      </c>
      <c r="G2426" s="4" t="n">
        <v>21.5</v>
      </c>
      <c r="H2426" s="5" t="n">
        <v>43.65776348048612</v>
      </c>
      <c r="I2426" s="5" t="n">
        <v>42.39862217979722</v>
      </c>
      <c r="J2426" s="5" t="n">
        <v>45.81358535750834</v>
      </c>
      <c r="K2426" s="5" t="n">
        <v>52</v>
      </c>
    </row>
    <row r="2427">
      <c r="A2427" s="2" t="n">
        <v>46198.5</v>
      </c>
      <c r="B2427">
        <f>TEXT(A2427,"yyyy-mm")</f>
        <v/>
      </c>
      <c r="C2427" s="3">
        <f>HOUR(A2427)</f>
        <v/>
      </c>
      <c r="D2427" s="4" t="n">
        <v>26.831751513975</v>
      </c>
      <c r="E2427" s="4" t="n">
        <v>28.09831004865</v>
      </c>
      <c r="F2427" s="4" t="n">
        <v>29.24694444303333</v>
      </c>
      <c r="G2427" s="4" t="n">
        <v>23.9</v>
      </c>
      <c r="H2427" s="5" t="n">
        <v>40.93250256163889</v>
      </c>
      <c r="I2427" s="5" t="n">
        <v>41.38022442149722</v>
      </c>
      <c r="J2427" s="5" t="n">
        <v>45.81814695253612</v>
      </c>
      <c r="K2427" s="5" t="n">
        <v>41</v>
      </c>
    </row>
    <row r="2428">
      <c r="A2428" s="2" t="n">
        <v>46198.54166666666</v>
      </c>
      <c r="B2428">
        <f>TEXT(A2428,"yyyy-mm")</f>
        <v/>
      </c>
      <c r="C2428" s="3">
        <f>HOUR(A2428)</f>
        <v/>
      </c>
      <c r="D2428" s="4" t="n">
        <v>27.02225951489167</v>
      </c>
      <c r="E2428" s="4" t="n">
        <v>28.15849730303333</v>
      </c>
      <c r="F2428" s="4" t="n">
        <v>29.26611112625</v>
      </c>
      <c r="G2428" s="4" t="n">
        <v>23.7</v>
      </c>
      <c r="H2428" s="5" t="n">
        <v>38.22607155591945</v>
      </c>
      <c r="I2428" s="5" t="n">
        <v>40.23501890535</v>
      </c>
      <c r="J2428" s="5" t="n">
        <v>45.74978612459722</v>
      </c>
      <c r="K2428" s="5" t="n">
        <v>44</v>
      </c>
    </row>
    <row r="2429">
      <c r="A2429" s="2" t="n">
        <v>46198.58333333334</v>
      </c>
      <c r="B2429">
        <f>TEXT(A2429,"yyyy-mm")</f>
        <v/>
      </c>
      <c r="C2429" s="3">
        <f>HOUR(A2429)</f>
        <v/>
      </c>
      <c r="D2429" s="4" t="n">
        <v>26.95589331709167</v>
      </c>
      <c r="E2429" s="4" t="n">
        <v>28.14944722177778</v>
      </c>
      <c r="F2429" s="4" t="n">
        <v>29.25949229548889</v>
      </c>
      <c r="G2429" s="4" t="n">
        <v>24.5</v>
      </c>
      <c r="H2429" s="5" t="n">
        <v>34.60140005156111</v>
      </c>
      <c r="I2429" s="5" t="n">
        <v>38.12034431771666</v>
      </c>
      <c r="J2429" s="5" t="n">
        <v>45.32082225493611</v>
      </c>
      <c r="K2429" s="5" t="n">
        <v>44</v>
      </c>
    </row>
    <row r="2430">
      <c r="A2430" s="2" t="n">
        <v>46198.625</v>
      </c>
      <c r="B2430">
        <f>TEXT(A2430,"yyyy-mm")</f>
        <v/>
      </c>
      <c r="C2430" s="3">
        <f>HOUR(A2430)</f>
        <v/>
      </c>
      <c r="D2430" s="4" t="n">
        <v>27.03627402919444</v>
      </c>
      <c r="E2430" s="4" t="n">
        <v>28.3424946892</v>
      </c>
      <c r="F2430" s="4" t="n">
        <v>29.206768129075</v>
      </c>
      <c r="G2430" s="4" t="n">
        <v>24.9</v>
      </c>
      <c r="H2430" s="5" t="n">
        <v>33.51087463526111</v>
      </c>
      <c r="I2430" s="5" t="n">
        <v>38.13430962432501</v>
      </c>
      <c r="J2430" s="5" t="n">
        <v>44.50171068588611</v>
      </c>
      <c r="K2430" s="5" t="n">
        <v>43</v>
      </c>
    </row>
    <row r="2431">
      <c r="A2431" s="2" t="n">
        <v>46198.66666666666</v>
      </c>
      <c r="B2431">
        <f>TEXT(A2431,"yyyy-mm")</f>
        <v/>
      </c>
      <c r="C2431" s="3">
        <f>HOUR(A2431)</f>
        <v/>
      </c>
      <c r="D2431" s="4" t="n">
        <v>27.15605917396111</v>
      </c>
      <c r="E2431" s="4" t="n">
        <v>28.362034811825</v>
      </c>
      <c r="F2431" s="4" t="n">
        <v>29.32033406945278</v>
      </c>
      <c r="G2431" s="4" t="n">
        <v>25</v>
      </c>
      <c r="H2431" s="5" t="n">
        <v>32.62570439845833</v>
      </c>
      <c r="I2431" s="5" t="n">
        <v>36.70329214105</v>
      </c>
      <c r="J2431" s="5" t="n">
        <v>44.23124577189722</v>
      </c>
      <c r="K2431" s="5" t="n">
        <v>40</v>
      </c>
    </row>
    <row r="2432">
      <c r="A2432" s="2" t="n">
        <v>46198.70833333334</v>
      </c>
      <c r="B2432">
        <f>TEXT(A2432,"yyyy-mm")</f>
        <v/>
      </c>
      <c r="C2432" s="3">
        <f>HOUR(A2432)</f>
        <v/>
      </c>
      <c r="D2432" s="4" t="n">
        <v>27.21794757532222</v>
      </c>
      <c r="E2432" s="4" t="n">
        <v>28.47560773453889</v>
      </c>
      <c r="F2432" s="4" t="n">
        <v>29.34674943643612</v>
      </c>
      <c r="G2432" s="4" t="n">
        <v>25.3</v>
      </c>
      <c r="H2432" s="5" t="n">
        <v>33.08224528990556</v>
      </c>
      <c r="I2432" s="5" t="n">
        <v>36.58519310515833</v>
      </c>
      <c r="J2432" s="5" t="n">
        <v>44.17034883545555</v>
      </c>
      <c r="K2432" s="5" t="n">
        <v>35</v>
      </c>
    </row>
    <row r="2433">
      <c r="A2433" s="2" t="n">
        <v>46198.75</v>
      </c>
      <c r="B2433">
        <f>TEXT(A2433,"yyyy-mm")</f>
        <v/>
      </c>
      <c r="C2433" s="3">
        <f>HOUR(A2433)</f>
        <v/>
      </c>
      <c r="D2433" s="4" t="n">
        <v>27.03741682711111</v>
      </c>
      <c r="E2433" s="4" t="n">
        <v>28.50500278169167</v>
      </c>
      <c r="F2433" s="4" t="n">
        <v>29.04175395922778</v>
      </c>
      <c r="G2433" s="4" t="n">
        <v>24.9</v>
      </c>
      <c r="H2433" s="5" t="n">
        <v>34.562725122675</v>
      </c>
      <c r="I2433" s="5" t="n">
        <v>36.11817811507778</v>
      </c>
      <c r="J2433" s="5" t="n">
        <v>43.75660429759167</v>
      </c>
      <c r="K2433" s="5" t="n">
        <v>35</v>
      </c>
    </row>
    <row r="2434">
      <c r="A2434" s="2" t="n">
        <v>46198.79166666666</v>
      </c>
      <c r="B2434">
        <f>TEXT(A2434,"yyyy-mm")</f>
        <v/>
      </c>
      <c r="C2434" s="3">
        <f>HOUR(A2434)</f>
        <v/>
      </c>
      <c r="D2434" s="4" t="n">
        <v>27.22588570630833</v>
      </c>
      <c r="E2434" s="4" t="n">
        <v>28.58818478629166</v>
      </c>
      <c r="F2434" s="4" t="n">
        <v>28.87323649433333</v>
      </c>
      <c r="G2434" s="4" t="n">
        <v>24</v>
      </c>
      <c r="H2434" s="5" t="n">
        <v>37.16307879305834</v>
      </c>
      <c r="I2434" s="5" t="n">
        <v>38.80003235462223</v>
      </c>
      <c r="J2434" s="5" t="n">
        <v>45.32293059527501</v>
      </c>
      <c r="K2434" s="5" t="n">
        <v>38</v>
      </c>
    </row>
    <row r="2435">
      <c r="A2435" s="2" t="n">
        <v>46198.83333333334</v>
      </c>
      <c r="B2435">
        <f>TEXT(A2435,"yyyy-mm")</f>
        <v/>
      </c>
      <c r="C2435" s="3">
        <f>HOUR(A2435)</f>
        <v/>
      </c>
      <c r="D2435" s="4" t="n">
        <v>26.98681832802778</v>
      </c>
      <c r="E2435" s="4" t="n">
        <v>28.623481836725</v>
      </c>
      <c r="F2435" s="4" t="n">
        <v>28.83858458543333</v>
      </c>
      <c r="G2435" s="4" t="n">
        <v>23.1</v>
      </c>
      <c r="H2435" s="5" t="n">
        <v>39.09060995275278</v>
      </c>
      <c r="I2435" s="5" t="n">
        <v>40.45204022611944</v>
      </c>
      <c r="J2435" s="5" t="n">
        <v>46.29571139537501</v>
      </c>
      <c r="K2435" s="5" t="n">
        <v>41</v>
      </c>
    </row>
    <row r="2436">
      <c r="A2436" s="2" t="n">
        <v>46198.875</v>
      </c>
      <c r="B2436">
        <f>TEXT(A2436,"yyyy-mm")</f>
        <v/>
      </c>
      <c r="C2436" s="3">
        <f>HOUR(A2436)</f>
        <v/>
      </c>
      <c r="D2436" s="4" t="n">
        <v>26.72176984641944</v>
      </c>
      <c r="E2436" s="4" t="n">
        <v>28.645118932</v>
      </c>
      <c r="F2436" s="4" t="n">
        <v>29.02150337399722</v>
      </c>
      <c r="G2436" s="4" t="n">
        <v>22.5</v>
      </c>
      <c r="H2436" s="5" t="n">
        <v>40.70481045706389</v>
      </c>
      <c r="I2436" s="5" t="n">
        <v>41.16288241571667</v>
      </c>
      <c r="J2436" s="5" t="n">
        <v>46.60943980721945</v>
      </c>
      <c r="K2436" s="5" t="n">
        <v>45</v>
      </c>
    </row>
    <row r="2437">
      <c r="A2437" s="2" t="n">
        <v>46198.91666666666</v>
      </c>
      <c r="B2437">
        <f>TEXT(A2437,"yyyy-mm")</f>
        <v/>
      </c>
      <c r="C2437" s="3">
        <f>HOUR(A2437)</f>
        <v/>
      </c>
      <c r="D2437" s="4" t="n">
        <v>26.777045882025</v>
      </c>
      <c r="E2437" s="4" t="n"/>
      <c r="F2437" s="4" t="n">
        <v>29.16008057718889</v>
      </c>
      <c r="G2437" s="4" t="n">
        <v>21.8</v>
      </c>
      <c r="H2437" s="5" t="n">
        <v>41.40954035855555</v>
      </c>
      <c r="I2437" s="5" t="n"/>
      <c r="J2437" s="5" t="n">
        <v>46.01925372775556</v>
      </c>
      <c r="K2437" s="5" t="n">
        <v>49</v>
      </c>
    </row>
    <row r="2438">
      <c r="A2438" s="2" t="n">
        <v>46198.95833333334</v>
      </c>
      <c r="B2438">
        <f>TEXT(A2438,"yyyy-mm")</f>
        <v/>
      </c>
      <c r="C2438" s="3">
        <f>HOUR(A2438)</f>
        <v/>
      </c>
      <c r="D2438" s="4" t="n">
        <v>26.68849110465555</v>
      </c>
      <c r="E2438" s="4" t="n"/>
      <c r="F2438" s="4" t="n">
        <v>29.222054533825</v>
      </c>
      <c r="G2438" s="4" t="n">
        <v>20.8</v>
      </c>
      <c r="H2438" s="5" t="n">
        <v>43.80961931883889</v>
      </c>
      <c r="I2438" s="5" t="n"/>
      <c r="J2438" s="5" t="n">
        <v>46.03647077305833</v>
      </c>
      <c r="K2438" s="5" t="n">
        <v>53</v>
      </c>
    </row>
    <row r="2439">
      <c r="A2439" s="2" t="n">
        <v>46199</v>
      </c>
      <c r="B2439">
        <f>TEXT(A2439,"yyyy-mm")</f>
        <v/>
      </c>
      <c r="C2439" s="3">
        <f>HOUR(A2439)</f>
        <v/>
      </c>
      <c r="D2439" s="4" t="n">
        <v>26.45171757601944</v>
      </c>
      <c r="E2439" s="4" t="n"/>
      <c r="F2439" s="4" t="n">
        <v>29.24812610125555</v>
      </c>
      <c r="G2439" s="4" t="n">
        <v>19.9</v>
      </c>
      <c r="H2439" s="5" t="n">
        <v>43.94368148861389</v>
      </c>
      <c r="I2439" s="5" t="n"/>
      <c r="J2439" s="5" t="n">
        <v>47.0221787754</v>
      </c>
      <c r="K2439" s="5" t="n">
        <v>58</v>
      </c>
    </row>
    <row r="2440">
      <c r="A2440" s="2" t="n">
        <v>46199.04166666666</v>
      </c>
      <c r="B2440">
        <f>TEXT(A2440,"yyyy-mm")</f>
        <v/>
      </c>
      <c r="C2440" s="3">
        <f>HOUR(A2440)</f>
        <v/>
      </c>
      <c r="D2440" s="4" t="n">
        <v>25.55736551858056</v>
      </c>
      <c r="E2440" s="4" t="n"/>
      <c r="F2440" s="4" t="n">
        <v>29.28503764538333</v>
      </c>
      <c r="G2440" s="4" t="n">
        <v>19</v>
      </c>
      <c r="H2440" s="5" t="n">
        <v>47.202164391525</v>
      </c>
      <c r="I2440" s="5" t="n"/>
      <c r="J2440" s="5" t="n">
        <v>48.05303441859721</v>
      </c>
      <c r="K2440" s="5" t="n">
        <v>63</v>
      </c>
    </row>
    <row r="2441">
      <c r="A2441" s="2" t="n">
        <v>46199.08333333334</v>
      </c>
      <c r="B2441">
        <f>TEXT(A2441,"yyyy-mm")</f>
        <v/>
      </c>
      <c r="C2441" s="3">
        <f>HOUR(A2441)</f>
        <v/>
      </c>
      <c r="D2441" s="4" t="n">
        <v>24.25083135031389</v>
      </c>
      <c r="E2441" s="4" t="n"/>
      <c r="F2441" s="4" t="n">
        <v>29.35419424549444</v>
      </c>
      <c r="G2441" s="4" t="n">
        <v>17.9</v>
      </c>
      <c r="H2441" s="5" t="n">
        <v>49.96046765465</v>
      </c>
      <c r="I2441" s="5" t="n"/>
      <c r="J2441" s="5" t="n">
        <v>47.33736386348889</v>
      </c>
      <c r="K2441" s="5" t="n">
        <v>70</v>
      </c>
    </row>
    <row r="2442">
      <c r="A2442" s="2" t="n">
        <v>46199.125</v>
      </c>
      <c r="B2442">
        <f>TEXT(A2442,"yyyy-mm")</f>
        <v/>
      </c>
      <c r="C2442" s="3">
        <f>HOUR(A2442)</f>
        <v/>
      </c>
      <c r="D2442" s="4" t="n">
        <v>23.89349731151944</v>
      </c>
      <c r="E2442" s="4" t="n"/>
      <c r="F2442" s="4" t="n">
        <v>29.32611214335833</v>
      </c>
      <c r="G2442" s="4" t="n">
        <v>16.5</v>
      </c>
      <c r="H2442" s="5" t="n">
        <v>50.25304779897501</v>
      </c>
      <c r="I2442" s="5" t="n"/>
      <c r="J2442" s="5" t="n">
        <v>46.90995237703888</v>
      </c>
      <c r="K2442" s="5" t="n">
        <v>80</v>
      </c>
    </row>
    <row r="2443">
      <c r="A2443" s="2" t="n">
        <v>46199.16666666666</v>
      </c>
      <c r="B2443">
        <f>TEXT(A2443,"yyyy-mm")</f>
        <v/>
      </c>
      <c r="C2443" s="3">
        <f>HOUR(A2443)</f>
        <v/>
      </c>
      <c r="D2443" s="4" t="n">
        <v>23.68816601973056</v>
      </c>
      <c r="E2443" s="4" t="n"/>
      <c r="F2443" s="4" t="n">
        <v>29.31191682381389</v>
      </c>
      <c r="G2443" s="4" t="n">
        <v>16</v>
      </c>
      <c r="H2443" s="5" t="n">
        <v>50.36471848949166</v>
      </c>
      <c r="I2443" s="5" t="n"/>
      <c r="J2443" s="5" t="n">
        <v>46.65388334405</v>
      </c>
      <c r="K2443" s="5" t="n">
        <v>85</v>
      </c>
    </row>
    <row r="2444">
      <c r="A2444" s="2" t="n">
        <v>46199.20833333334</v>
      </c>
      <c r="B2444">
        <f>TEXT(A2444,"yyyy-mm")</f>
        <v/>
      </c>
      <c r="C2444" s="3">
        <f>HOUR(A2444)</f>
        <v/>
      </c>
      <c r="D2444" s="4" t="n">
        <v>24.29908173835278</v>
      </c>
      <c r="E2444" s="4" t="n"/>
      <c r="F2444" s="4" t="n">
        <v>29.3003051155</v>
      </c>
      <c r="G2444" s="4" t="n">
        <v>15.5</v>
      </c>
      <c r="H2444" s="5" t="n">
        <v>48.72231303362222</v>
      </c>
      <c r="I2444" s="5" t="n"/>
      <c r="J2444" s="5" t="n">
        <v>46.42451790970834</v>
      </c>
      <c r="K2444" s="5" t="n">
        <v>87</v>
      </c>
    </row>
    <row r="2445">
      <c r="A2445" s="2" t="n">
        <v>46199.25</v>
      </c>
      <c r="B2445">
        <f>TEXT(A2445,"yyyy-mm")</f>
        <v/>
      </c>
      <c r="C2445" s="3">
        <f>HOUR(A2445)</f>
        <v/>
      </c>
      <c r="D2445" s="4" t="n">
        <v>25.85236403135555</v>
      </c>
      <c r="E2445" s="4" t="n"/>
      <c r="F2445" s="4" t="n">
        <v>29.30686041948056</v>
      </c>
      <c r="G2445" s="4" t="n">
        <v>16.1</v>
      </c>
      <c r="H2445" s="5" t="n">
        <v>45.21248021277501</v>
      </c>
      <c r="I2445" s="5" t="n"/>
      <c r="J2445" s="5" t="n">
        <v>46.22118750141667</v>
      </c>
      <c r="K2445" s="5" t="n">
        <v>83</v>
      </c>
    </row>
    <row r="2446">
      <c r="A2446" s="2" t="n">
        <v>46199.29166666666</v>
      </c>
      <c r="B2446">
        <f>TEXT(A2446,"yyyy-mm")</f>
        <v/>
      </c>
      <c r="C2446" s="3">
        <f>HOUR(A2446)</f>
        <v/>
      </c>
      <c r="D2446" s="4" t="n">
        <v>26.71499099007222</v>
      </c>
      <c r="E2446" s="4" t="n"/>
      <c r="F2446" s="4" t="n">
        <v>29.31850030087778</v>
      </c>
      <c r="G2446" s="4" t="n">
        <v>17.3</v>
      </c>
      <c r="H2446" s="5" t="n">
        <v>43.49564651717778</v>
      </c>
      <c r="I2446" s="5" t="n"/>
      <c r="J2446" s="5" t="n">
        <v>46.07973847949444</v>
      </c>
      <c r="K2446" s="5" t="n">
        <v>76</v>
      </c>
    </row>
    <row r="2447">
      <c r="A2447" s="2" t="n">
        <v>46199.33333333334</v>
      </c>
      <c r="B2447">
        <f>TEXT(A2447,"yyyy-mm")</f>
        <v/>
      </c>
      <c r="C2447" s="3">
        <f>HOUR(A2447)</f>
        <v/>
      </c>
      <c r="D2447" s="4" t="n">
        <v>27.11604538305278</v>
      </c>
      <c r="E2447" s="4" t="n"/>
      <c r="F2447" s="4" t="n">
        <v>29.33542782556111</v>
      </c>
      <c r="G2447" s="4" t="n">
        <v>18.9</v>
      </c>
      <c r="H2447" s="5" t="n">
        <v>43.03107792178611</v>
      </c>
      <c r="I2447" s="5" t="n"/>
      <c r="J2447" s="5" t="n">
        <v>45.988836122025</v>
      </c>
      <c r="K2447" s="5" t="n">
        <v>67</v>
      </c>
    </row>
    <row r="2448">
      <c r="A2448" s="2" t="n">
        <v>46199.375</v>
      </c>
      <c r="B2448">
        <f>TEXT(A2448,"yyyy-mm")</f>
        <v/>
      </c>
      <c r="C2448" s="3">
        <f>HOUR(A2448)</f>
        <v/>
      </c>
      <c r="D2448" s="4" t="n">
        <v>27.419239692925</v>
      </c>
      <c r="E2448" s="4" t="n"/>
      <c r="F2448" s="4" t="n">
        <v>29.358152743025</v>
      </c>
      <c r="G2448" s="4" t="n">
        <v>20.4</v>
      </c>
      <c r="H2448" s="5" t="n">
        <v>41.59812014706111</v>
      </c>
      <c r="I2448" s="5" t="n"/>
      <c r="J2448" s="5" t="n">
        <v>45.84156035815834</v>
      </c>
      <c r="K2448" s="5" t="n">
        <v>59</v>
      </c>
    </row>
    <row r="2449">
      <c r="A2449" s="2" t="n">
        <v>46199.41666666666</v>
      </c>
      <c r="B2449">
        <f>TEXT(A2449,"yyyy-mm")</f>
        <v/>
      </c>
      <c r="C2449" s="3">
        <f>HOUR(A2449)</f>
        <v/>
      </c>
      <c r="D2449" s="4" t="n">
        <v>27.85949064766112</v>
      </c>
      <c r="E2449" s="4" t="n"/>
      <c r="F2449" s="4" t="n">
        <v>29.36947201936389</v>
      </c>
      <c r="G2449" s="4" t="n">
        <v>20.9</v>
      </c>
      <c r="H2449" s="5" t="n">
        <v>40.05207753613333</v>
      </c>
      <c r="I2449" s="5" t="n"/>
      <c r="J2449" s="5" t="n">
        <v>45.71173758678333</v>
      </c>
      <c r="K2449" s="5" t="n">
        <v>56</v>
      </c>
    </row>
    <row r="2450">
      <c r="A2450" s="2" t="n">
        <v>46199.45833333334</v>
      </c>
      <c r="B2450">
        <f>TEXT(A2450,"yyyy-mm")</f>
        <v/>
      </c>
      <c r="C2450" s="3">
        <f>HOUR(A2450)</f>
        <v/>
      </c>
      <c r="D2450" s="4" t="n">
        <v>27.92092544300556</v>
      </c>
      <c r="E2450" s="4" t="n"/>
      <c r="F2450" s="4" t="n">
        <v>29.38930477279166</v>
      </c>
      <c r="G2450" s="4" t="n">
        <v>22</v>
      </c>
      <c r="H2450" s="5" t="n">
        <v>38.26648559435</v>
      </c>
      <c r="I2450" s="5" t="n"/>
      <c r="J2450" s="5" t="n">
        <v>45.62533578798334</v>
      </c>
      <c r="K2450" s="5" t="n">
        <v>52</v>
      </c>
    </row>
    <row r="2451">
      <c r="A2451" s="2" t="n">
        <v>46199.5</v>
      </c>
      <c r="B2451">
        <f>TEXT(A2451,"yyyy-mm")</f>
        <v/>
      </c>
      <c r="C2451" s="3">
        <f>HOUR(A2451)</f>
        <v/>
      </c>
      <c r="D2451" s="4" t="n">
        <v>27.96822161211111</v>
      </c>
      <c r="E2451" s="4" t="n"/>
      <c r="F2451" s="4" t="n">
        <v>29.41501264747778</v>
      </c>
      <c r="G2451" s="4" t="n">
        <v>22.7</v>
      </c>
      <c r="H2451" s="5" t="n">
        <v>38.01510489276389</v>
      </c>
      <c r="I2451" s="5" t="n"/>
      <c r="J2451" s="5" t="n">
        <v>45.88597031826666</v>
      </c>
      <c r="K2451" s="5" t="n">
        <v>49</v>
      </c>
    </row>
    <row r="2452">
      <c r="A2452" s="2" t="n">
        <v>46199.54166666666</v>
      </c>
      <c r="B2452">
        <f>TEXT(A2452,"yyyy-mm")</f>
        <v/>
      </c>
      <c r="C2452" s="3">
        <f>HOUR(A2452)</f>
        <v/>
      </c>
      <c r="D2452" s="4" t="n">
        <v>27.76218160101389</v>
      </c>
      <c r="E2452" s="4" t="n"/>
      <c r="F2452" s="4" t="n">
        <v>29.48684484149722</v>
      </c>
      <c r="G2452" s="4" t="n">
        <v>23.2</v>
      </c>
      <c r="H2452" s="5" t="n">
        <v>37.98572740003333</v>
      </c>
      <c r="I2452" s="5" t="n"/>
      <c r="J2452" s="5" t="n">
        <v>46.71682625830555</v>
      </c>
      <c r="K2452" s="5" t="n">
        <v>47</v>
      </c>
    </row>
    <row r="2453">
      <c r="A2453" s="2" t="n">
        <v>46199.58333333334</v>
      </c>
      <c r="B2453">
        <f>TEXT(A2453,"yyyy-mm")</f>
        <v/>
      </c>
      <c r="C2453" s="3">
        <f>HOUR(A2453)</f>
        <v/>
      </c>
      <c r="D2453" s="4" t="n">
        <v>27.49286491274166</v>
      </c>
      <c r="E2453" s="4" t="n"/>
      <c r="F2453" s="4" t="n">
        <v>29.5777060174</v>
      </c>
      <c r="G2453" s="4" t="n">
        <v>23.3</v>
      </c>
      <c r="H2453" s="5" t="n">
        <v>38.29518743443611</v>
      </c>
      <c r="I2453" s="5" t="n"/>
      <c r="J2453" s="5" t="n">
        <v>46.19198222553889</v>
      </c>
      <c r="K2453" s="5" t="n">
        <v>45</v>
      </c>
    </row>
    <row r="2454">
      <c r="A2454" s="2" t="n">
        <v>46199.625</v>
      </c>
      <c r="B2454">
        <f>TEXT(A2454,"yyyy-mm")</f>
        <v/>
      </c>
      <c r="C2454" s="3">
        <f>HOUR(A2454)</f>
        <v/>
      </c>
      <c r="D2454" s="4" t="n">
        <v>25.94985600917778</v>
      </c>
      <c r="E2454" s="4" t="n"/>
      <c r="F2454" s="4" t="n">
        <v>29.60644603013334</v>
      </c>
      <c r="G2454" s="4" t="n">
        <v>23.2</v>
      </c>
      <c r="H2454" s="5" t="n">
        <v>35.77806160149722</v>
      </c>
      <c r="I2454" s="5" t="n"/>
      <c r="J2454" s="5" t="n">
        <v>45.64761191576111</v>
      </c>
      <c r="K2454" s="5" t="n">
        <v>45</v>
      </c>
    </row>
    <row r="2455">
      <c r="A2455" s="2" t="n">
        <v>46199.66666666666</v>
      </c>
      <c r="B2455">
        <f>TEXT(A2455,"yyyy-mm")</f>
        <v/>
      </c>
      <c r="C2455" s="3">
        <f>HOUR(A2455)</f>
        <v/>
      </c>
      <c r="D2455" s="4" t="n">
        <v>26.49398144138889</v>
      </c>
      <c r="E2455" s="4" t="n"/>
      <c r="F2455" s="4" t="n">
        <v>29.43740331960834</v>
      </c>
      <c r="G2455" s="4" t="n">
        <v>22.9</v>
      </c>
      <c r="H2455" s="5" t="n">
        <v>38.17835966492778</v>
      </c>
      <c r="I2455" s="5" t="n"/>
      <c r="J2455" s="5" t="n">
        <v>44.56340030549444</v>
      </c>
      <c r="K2455" s="5" t="n">
        <v>45</v>
      </c>
    </row>
    <row r="2456">
      <c r="A2456" s="2" t="n">
        <v>46199.70833333334</v>
      </c>
      <c r="B2456">
        <f>TEXT(A2456,"yyyy-mm")</f>
        <v/>
      </c>
      <c r="C2456" s="3">
        <f>HOUR(A2456)</f>
        <v/>
      </c>
      <c r="D2456" s="4" t="n">
        <v>26.44019204615833</v>
      </c>
      <c r="E2456" s="4" t="n"/>
      <c r="F2456" s="4" t="n">
        <v>29.59312390243056</v>
      </c>
      <c r="G2456" s="4" t="n">
        <v>22.7</v>
      </c>
      <c r="H2456" s="5" t="n">
        <v>38.24158065281944</v>
      </c>
      <c r="I2456" s="5" t="n"/>
      <c r="J2456" s="5" t="n">
        <v>44.95657062626389</v>
      </c>
      <c r="K2456" s="5" t="n">
        <v>41</v>
      </c>
    </row>
    <row r="2457">
      <c r="A2457" s="2" t="n">
        <v>46199.75</v>
      </c>
      <c r="B2457">
        <f>TEXT(A2457,"yyyy-mm")</f>
        <v/>
      </c>
      <c r="C2457" s="3">
        <f>HOUR(A2457)</f>
        <v/>
      </c>
      <c r="D2457" s="4" t="n">
        <v>26.89283243859167</v>
      </c>
      <c r="E2457" s="4" t="n"/>
      <c r="F2457" s="4" t="n">
        <v>29.68940122749167</v>
      </c>
      <c r="G2457" s="4" t="n">
        <v>22.4</v>
      </c>
      <c r="H2457" s="5" t="n">
        <v>36.35510852578056</v>
      </c>
      <c r="I2457" s="5" t="n"/>
      <c r="J2457" s="5" t="n">
        <v>44.91027494851667</v>
      </c>
      <c r="K2457" s="5" t="n">
        <v>40</v>
      </c>
    </row>
    <row r="2458">
      <c r="A2458" s="2" t="n">
        <v>46199.79166666666</v>
      </c>
      <c r="B2458">
        <f>TEXT(A2458,"yyyy-mm")</f>
        <v/>
      </c>
      <c r="C2458" s="3">
        <f>HOUR(A2458)</f>
        <v/>
      </c>
      <c r="D2458" s="4" t="n">
        <v>26.35236532421667</v>
      </c>
      <c r="E2458" s="4" t="n"/>
      <c r="F2458" s="4" t="n">
        <v>29.73006965366945</v>
      </c>
      <c r="G2458" s="4" t="n">
        <v>21.9</v>
      </c>
      <c r="H2458" s="5" t="n">
        <v>36.46039327729722</v>
      </c>
      <c r="I2458" s="5" t="n"/>
      <c r="J2458" s="5" t="n">
        <v>44.44849843298889</v>
      </c>
      <c r="K2458" s="5" t="n">
        <v>40</v>
      </c>
    </row>
    <row r="2459">
      <c r="A2459" s="2" t="n">
        <v>46199.83333333334</v>
      </c>
      <c r="B2459">
        <f>TEXT(A2459,"yyyy-mm")</f>
        <v/>
      </c>
      <c r="C2459" s="3">
        <f>HOUR(A2459)</f>
        <v/>
      </c>
      <c r="D2459" s="4" t="n">
        <v>25.53516745859444</v>
      </c>
      <c r="E2459" s="4" t="n"/>
      <c r="F2459" s="4" t="n">
        <v>29.70954184735556</v>
      </c>
      <c r="G2459" s="4" t="n">
        <v>21.2</v>
      </c>
      <c r="H2459" s="5" t="n">
        <v>37.88473780873333</v>
      </c>
      <c r="I2459" s="5" t="n"/>
      <c r="J2459" s="5" t="n">
        <v>44.35530585455833</v>
      </c>
      <c r="K2459" s="5" t="n">
        <v>42</v>
      </c>
    </row>
    <row r="2460">
      <c r="A2460" s="2" t="n">
        <v>46199.875</v>
      </c>
      <c r="B2460">
        <f>TEXT(A2460,"yyyy-mm")</f>
        <v/>
      </c>
      <c r="C2460" s="3">
        <f>HOUR(A2460)</f>
        <v/>
      </c>
      <c r="D2460" s="4" t="n">
        <v>25.92020731272222</v>
      </c>
      <c r="E2460" s="4" t="n"/>
      <c r="F2460" s="4" t="n">
        <v>29.65225099304167</v>
      </c>
      <c r="G2460" s="4" t="n">
        <v>20.1</v>
      </c>
      <c r="H2460" s="5" t="n">
        <v>38.18595062747778</v>
      </c>
      <c r="I2460" s="5" t="n"/>
      <c r="J2460" s="5" t="n">
        <v>44.31084579178889</v>
      </c>
      <c r="K2460" s="5" t="n">
        <v>46</v>
      </c>
    </row>
    <row r="2461">
      <c r="A2461" s="2" t="n">
        <v>46199.91666666666</v>
      </c>
      <c r="B2461">
        <f>TEXT(A2461,"yyyy-mm")</f>
        <v/>
      </c>
      <c r="C2461" s="3">
        <f>HOUR(A2461)</f>
        <v/>
      </c>
      <c r="D2461" s="4" t="n">
        <v>25.24829771283889</v>
      </c>
      <c r="E2461" s="4" t="n"/>
      <c r="F2461" s="4" t="n">
        <v>29.44079473151944</v>
      </c>
      <c r="G2461" s="4" t="n">
        <v>19.4</v>
      </c>
      <c r="H2461" s="5" t="n">
        <v>36.49446269614167</v>
      </c>
      <c r="I2461" s="5" t="n"/>
      <c r="J2461" s="5" t="n">
        <v>43.10017353860277</v>
      </c>
      <c r="K2461" s="5" t="n">
        <v>48</v>
      </c>
    </row>
    <row r="2462">
      <c r="A2462" s="2" t="n">
        <v>46199.95833333334</v>
      </c>
      <c r="B2462">
        <f>TEXT(A2462,"yyyy-mm")</f>
        <v/>
      </c>
      <c r="C2462" s="3">
        <f>HOUR(A2462)</f>
        <v/>
      </c>
      <c r="D2462" s="4" t="n">
        <v>24.6324667259</v>
      </c>
      <c r="E2462" s="4" t="n"/>
      <c r="F2462" s="4" t="n">
        <v>29.5317878577</v>
      </c>
      <c r="G2462" s="4" t="n">
        <v>18.3</v>
      </c>
      <c r="H2462" s="5" t="n">
        <v>36.15150308473888</v>
      </c>
      <c r="I2462" s="5" t="n"/>
      <c r="J2462" s="5" t="n">
        <v>43.23592574816389</v>
      </c>
      <c r="K2462" s="5" t="n">
        <v>53</v>
      </c>
    </row>
    <row r="2463">
      <c r="A2463" s="2" t="n">
        <v>46200</v>
      </c>
      <c r="B2463">
        <f>TEXT(A2463,"yyyy-mm")</f>
        <v/>
      </c>
      <c r="C2463" s="3">
        <f>HOUR(A2463)</f>
        <v/>
      </c>
      <c r="D2463" s="4" t="n">
        <v>24.375278785075</v>
      </c>
      <c r="E2463" s="4" t="n"/>
      <c r="F2463" s="4" t="n">
        <v>29.58162164061111</v>
      </c>
      <c r="G2463" s="4" t="n">
        <v>17.6</v>
      </c>
      <c r="H2463" s="5" t="n">
        <v>36.68682972185278</v>
      </c>
      <c r="I2463" s="5" t="n"/>
      <c r="J2463" s="5" t="n">
        <v>42.78956424008889</v>
      </c>
      <c r="K2463" s="5" t="n">
        <v>56</v>
      </c>
    </row>
    <row r="2464">
      <c r="A2464" s="2" t="n">
        <v>46200.04166666666</v>
      </c>
      <c r="B2464">
        <f>TEXT(A2464,"yyyy-mm")</f>
        <v/>
      </c>
      <c r="C2464" s="3">
        <f>HOUR(A2464)</f>
        <v/>
      </c>
      <c r="D2464" s="4" t="n">
        <v>23.795560101525</v>
      </c>
      <c r="E2464" s="4" t="n"/>
      <c r="F2464" s="4" t="n">
        <v>29.17582564560277</v>
      </c>
      <c r="G2464" s="4" t="n">
        <v>17</v>
      </c>
      <c r="H2464" s="5" t="n">
        <v>38.84445128664722</v>
      </c>
      <c r="I2464" s="5" t="n"/>
      <c r="J2464" s="5" t="n">
        <v>41.78673519152501</v>
      </c>
      <c r="K2464" s="5" t="n">
        <v>57</v>
      </c>
    </row>
    <row r="2465">
      <c r="A2465" s="2" t="n">
        <v>46200.08333333334</v>
      </c>
      <c r="B2465">
        <f>TEXT(A2465,"yyyy-mm")</f>
        <v/>
      </c>
      <c r="C2465" s="3">
        <f>HOUR(A2465)</f>
        <v/>
      </c>
      <c r="D2465" s="4" t="n">
        <v>23.12616827554167</v>
      </c>
      <c r="E2465" s="4" t="n"/>
      <c r="F2465" s="4" t="n">
        <v>29.48619406731111</v>
      </c>
      <c r="G2465" s="4" t="n">
        <v>16.4</v>
      </c>
      <c r="H2465" s="5" t="n">
        <v>39.02909783228611</v>
      </c>
      <c r="I2465" s="5" t="n"/>
      <c r="J2465" s="5" t="n">
        <v>42.37152611275</v>
      </c>
      <c r="K2465" s="5" t="n">
        <v>60</v>
      </c>
    </row>
    <row r="2466">
      <c r="A2466" s="2" t="n">
        <v>46200.125</v>
      </c>
      <c r="B2466">
        <f>TEXT(A2466,"yyyy-mm")</f>
        <v/>
      </c>
      <c r="C2466" s="3">
        <f>HOUR(A2466)</f>
        <v/>
      </c>
      <c r="D2466" s="4" t="n">
        <v>22.78630978255833</v>
      </c>
      <c r="E2466" s="4" t="n"/>
      <c r="F2466" s="4" t="n">
        <v>29.45070758482223</v>
      </c>
      <c r="G2466" s="4" t="n">
        <v>15.3</v>
      </c>
      <c r="H2466" s="5" t="n">
        <v>39.72363555426112</v>
      </c>
      <c r="I2466" s="5" t="n"/>
      <c r="J2466" s="5" t="n">
        <v>42.10687513953611</v>
      </c>
      <c r="K2466" s="5" t="n">
        <v>65</v>
      </c>
    </row>
    <row r="2467">
      <c r="A2467" s="2" t="n">
        <v>46200.16666666666</v>
      </c>
      <c r="B2467">
        <f>TEXT(A2467,"yyyy-mm")</f>
        <v/>
      </c>
      <c r="C2467" s="3">
        <f>HOUR(A2467)</f>
        <v/>
      </c>
      <c r="D2467" s="4" t="n">
        <v>22.4709992178962</v>
      </c>
      <c r="E2467" s="4" t="n"/>
      <c r="F2467" s="4" t="n">
        <v>29.37426534286389</v>
      </c>
      <c r="G2467" s="4" t="n">
        <v>14.7</v>
      </c>
      <c r="H2467" s="5" t="n">
        <v>40.34845969662604</v>
      </c>
      <c r="I2467" s="5" t="n"/>
      <c r="J2467" s="5" t="n">
        <v>41.87653494017223</v>
      </c>
      <c r="K2467" s="5" t="n">
        <v>69</v>
      </c>
    </row>
    <row r="2468">
      <c r="A2468" s="2" t="n">
        <v>46200.20833333334</v>
      </c>
      <c r="B2468">
        <f>TEXT(A2468,"yyyy-mm")</f>
        <v/>
      </c>
      <c r="C2468" s="3">
        <f>HOUR(A2468)</f>
        <v/>
      </c>
      <c r="D2468" s="4" t="n">
        <v>23.63204878939739</v>
      </c>
      <c r="E2468" s="4" t="n"/>
      <c r="F2468" s="4" t="n">
        <v>29.33393059414444</v>
      </c>
      <c r="G2468" s="4" t="n">
        <v>14.4</v>
      </c>
      <c r="H2468" s="5" t="n">
        <v>38.6164581138361</v>
      </c>
      <c r="I2468" s="5" t="n"/>
      <c r="J2468" s="5" t="n">
        <v>41.84456230404444</v>
      </c>
      <c r="K2468" s="5" t="n">
        <v>70</v>
      </c>
    </row>
    <row r="2469">
      <c r="A2469" s="2" t="n">
        <v>46200.25</v>
      </c>
      <c r="B2469">
        <f>TEXT(A2469,"yyyy-mm")</f>
        <v/>
      </c>
      <c r="C2469" s="3">
        <f>HOUR(A2469)</f>
        <v/>
      </c>
      <c r="D2469" s="4" t="n">
        <v>24.24022188306111</v>
      </c>
      <c r="E2469" s="4" t="n"/>
      <c r="F2469" s="4" t="n">
        <v>29.33104301960556</v>
      </c>
      <c r="G2469" s="4" t="n">
        <v>15.3</v>
      </c>
      <c r="H2469" s="5" t="n">
        <v>37.68753790164723</v>
      </c>
      <c r="I2469" s="5" t="n"/>
      <c r="J2469" s="5" t="n">
        <v>42.00063008666389</v>
      </c>
      <c r="K2469" s="5" t="n">
        <v>68</v>
      </c>
    </row>
    <row r="2470">
      <c r="A2470" s="2" t="n">
        <v>46200.29166666666</v>
      </c>
      <c r="B2470">
        <f>TEXT(A2470,"yyyy-mm")</f>
        <v/>
      </c>
      <c r="C2470" s="3">
        <f>HOUR(A2470)</f>
        <v/>
      </c>
      <c r="D2470" s="4" t="n">
        <v>25.70155684456667</v>
      </c>
      <c r="E2470" s="4" t="n"/>
      <c r="F2470" s="4" t="n">
        <v>29.33576330818333</v>
      </c>
      <c r="G2470" s="4" t="n">
        <v>17</v>
      </c>
      <c r="H2470" s="5" t="n">
        <v>35.62892327604167</v>
      </c>
      <c r="I2470" s="5" t="n"/>
      <c r="J2470" s="5" t="n">
        <v>42.18434419478334</v>
      </c>
      <c r="K2470" s="5" t="n">
        <v>62</v>
      </c>
    </row>
    <row r="2471">
      <c r="A2471" s="2" t="n">
        <v>46200.33333333334</v>
      </c>
      <c r="B2471">
        <f>TEXT(A2471,"yyyy-mm")</f>
        <v/>
      </c>
      <c r="C2471" s="3">
        <f>HOUR(A2471)</f>
        <v/>
      </c>
      <c r="D2471" s="4" t="n">
        <v>27.32426224634722</v>
      </c>
      <c r="E2471" s="4" t="n"/>
      <c r="F2471" s="4" t="n">
        <v>29.37434694129445</v>
      </c>
      <c r="G2471" s="4" t="n">
        <v>19.5</v>
      </c>
      <c r="H2471" s="5" t="n">
        <v>34.08871596019444</v>
      </c>
      <c r="I2471" s="5" t="n"/>
      <c r="J2471" s="5" t="n">
        <v>42.39976174753056</v>
      </c>
      <c r="K2471" s="5" t="n">
        <v>52</v>
      </c>
    </row>
    <row r="2472">
      <c r="A2472" s="2" t="n">
        <v>46200.375</v>
      </c>
      <c r="B2472">
        <f>TEXT(A2472,"yyyy-mm")</f>
        <v/>
      </c>
      <c r="C2472" s="3">
        <f>HOUR(A2472)</f>
        <v/>
      </c>
      <c r="D2472" s="4" t="n">
        <v>27.85305249039445</v>
      </c>
      <c r="E2472" s="4" t="n"/>
      <c r="F2472" s="4" t="n">
        <v>29.41654117388056</v>
      </c>
      <c r="G2472" s="4" t="n">
        <v>21.7</v>
      </c>
      <c r="H2472" s="5" t="n">
        <v>33.06350511351667</v>
      </c>
      <c r="I2472" s="5" t="n"/>
      <c r="J2472" s="5" t="n">
        <v>42.59373646216945</v>
      </c>
      <c r="K2472" s="5" t="n">
        <v>42</v>
      </c>
    </row>
    <row r="2473">
      <c r="A2473" s="2" t="n">
        <v>46200.41666666666</v>
      </c>
      <c r="B2473">
        <f>TEXT(A2473,"yyyy-mm")</f>
        <v/>
      </c>
      <c r="C2473" s="3">
        <f>HOUR(A2473)</f>
        <v/>
      </c>
      <c r="D2473" s="4" t="n">
        <v>27.69622911756666</v>
      </c>
      <c r="E2473" s="4" t="n"/>
      <c r="F2473" s="4" t="n">
        <v>29.43895819690833</v>
      </c>
      <c r="G2473" s="4" t="n">
        <v>22.6</v>
      </c>
      <c r="H2473" s="5" t="n">
        <v>32.27841355133889</v>
      </c>
      <c r="I2473" s="5" t="n"/>
      <c r="J2473" s="5" t="n">
        <v>42.84462307676667</v>
      </c>
      <c r="K2473" s="5" t="n">
        <v>40</v>
      </c>
    </row>
    <row r="2474">
      <c r="A2474" s="2" t="n">
        <v>46200.45833333334</v>
      </c>
      <c r="B2474">
        <f>TEXT(A2474,"yyyy-mm")</f>
        <v/>
      </c>
      <c r="C2474" s="3">
        <f>HOUR(A2474)</f>
        <v/>
      </c>
      <c r="D2474" s="4" t="n">
        <v>27.54623202413889</v>
      </c>
      <c r="E2474" s="4" t="n"/>
      <c r="F2474" s="4" t="n">
        <v>29.44395785983333</v>
      </c>
      <c r="G2474" s="4" t="n">
        <v>23</v>
      </c>
      <c r="H2474" s="5" t="n">
        <v>33.20598409735</v>
      </c>
      <c r="I2474" s="5" t="n"/>
      <c r="J2474" s="5" t="n">
        <v>42.95030552139722</v>
      </c>
      <c r="K2474" s="5" t="n">
        <v>39</v>
      </c>
    </row>
    <row r="2475">
      <c r="A2475" s="2" t="n">
        <v>46200.5</v>
      </c>
      <c r="B2475">
        <f>TEXT(A2475,"yyyy-mm")</f>
        <v/>
      </c>
      <c r="C2475" s="3">
        <f>HOUR(A2475)</f>
        <v/>
      </c>
      <c r="D2475" s="4" t="n">
        <v>27.46535440078889</v>
      </c>
      <c r="E2475" s="4" t="n"/>
      <c r="F2475" s="4" t="n">
        <v>29.45306946841389</v>
      </c>
      <c r="G2475" s="4" t="n">
        <v>23.8</v>
      </c>
      <c r="H2475" s="5" t="n">
        <v>33.00569460025833</v>
      </c>
      <c r="I2475" s="5" t="n"/>
      <c r="J2475" s="5" t="n">
        <v>43.00180524362222</v>
      </c>
      <c r="K2475" s="5" t="n">
        <v>39</v>
      </c>
    </row>
    <row r="2476">
      <c r="A2476" s="2" t="n">
        <v>46200.54166666666</v>
      </c>
      <c r="B2476">
        <f>TEXT(A2476,"yyyy-mm")</f>
        <v/>
      </c>
      <c r="C2476" s="3">
        <f>HOUR(A2476)</f>
        <v/>
      </c>
      <c r="D2476" s="4" t="n">
        <v>27.66527541553056</v>
      </c>
      <c r="E2476" s="4" t="n"/>
      <c r="F2476" s="4" t="n">
        <v>29.46062489384722</v>
      </c>
      <c r="G2476" s="4" t="n">
        <v>25.1</v>
      </c>
      <c r="H2476" s="5" t="n">
        <v>32.71533389172222</v>
      </c>
      <c r="I2476" s="5" t="n"/>
      <c r="J2476" s="5" t="n">
        <v>43.07106911874722</v>
      </c>
      <c r="K2476" s="5" t="n">
        <v>37</v>
      </c>
    </row>
    <row r="2477">
      <c r="A2477" s="2" t="n">
        <v>46200.58333333334</v>
      </c>
      <c r="B2477">
        <f>TEXT(A2477,"yyyy-mm")</f>
        <v/>
      </c>
      <c r="C2477" s="3">
        <f>HOUR(A2477)</f>
        <v/>
      </c>
      <c r="D2477" s="4" t="n">
        <v>27.93680487648333</v>
      </c>
      <c r="E2477" s="4" t="n"/>
      <c r="F2477" s="4" t="n">
        <v>29.46520820537778</v>
      </c>
      <c r="G2477" s="4" t="n">
        <v>25.5</v>
      </c>
      <c r="H2477" s="5" t="n">
        <v>33.44476956529444</v>
      </c>
      <c r="I2477" s="5" t="n"/>
      <c r="J2477" s="5" t="n">
        <v>43.16578742031111</v>
      </c>
      <c r="K2477" s="5" t="n">
        <v>37</v>
      </c>
    </row>
    <row r="2478">
      <c r="A2478" s="2" t="n">
        <v>46200.625</v>
      </c>
      <c r="B2478">
        <f>TEXT(A2478,"yyyy-mm")</f>
        <v/>
      </c>
      <c r="C2478" s="3">
        <f>HOUR(A2478)</f>
        <v/>
      </c>
      <c r="D2478" s="4" t="n">
        <v>28.12451539243333</v>
      </c>
      <c r="E2478" s="4" t="n"/>
      <c r="F2478" s="4" t="n">
        <v>29.47974951348889</v>
      </c>
      <c r="G2478" s="4" t="n">
        <v>25.2</v>
      </c>
      <c r="H2478" s="5" t="n">
        <v>33.55389408175834</v>
      </c>
      <c r="I2478" s="5" t="n"/>
      <c r="J2478" s="5" t="n">
        <v>44.35334841610833</v>
      </c>
      <c r="K2478" s="5" t="n">
        <v>41</v>
      </c>
    </row>
    <row r="2479">
      <c r="A2479" s="2" t="n">
        <v>46200.66666666666</v>
      </c>
      <c r="B2479">
        <f>TEXT(A2479,"yyyy-mm")</f>
        <v/>
      </c>
      <c r="C2479" s="3">
        <f>HOUR(A2479)</f>
        <v/>
      </c>
      <c r="D2479" s="4" t="n">
        <v>27.04478039075556</v>
      </c>
      <c r="E2479" s="4" t="n"/>
      <c r="F2479" s="4" t="n">
        <v>29.51068023737778</v>
      </c>
      <c r="G2479" s="4" t="n">
        <v>25.2</v>
      </c>
      <c r="H2479" s="5" t="n">
        <v>39.49781452428333</v>
      </c>
      <c r="I2479" s="5" t="n"/>
      <c r="J2479" s="5" t="n">
        <v>44.53537991411111</v>
      </c>
      <c r="K2479" s="5" t="n">
        <v>41</v>
      </c>
    </row>
    <row r="2480">
      <c r="A2480" s="2" t="n">
        <v>46200.70833333334</v>
      </c>
      <c r="B2480">
        <f>TEXT(A2480,"yyyy-mm")</f>
        <v/>
      </c>
      <c r="C2480" s="3">
        <f>HOUR(A2480)</f>
        <v/>
      </c>
      <c r="D2480" s="4" t="n">
        <v>26.29462843220556</v>
      </c>
      <c r="E2480" s="4" t="n"/>
      <c r="F2480" s="4" t="n">
        <v>29.49797259728889</v>
      </c>
      <c r="G2480" s="4" t="n">
        <v>24</v>
      </c>
      <c r="H2480" s="5" t="n">
        <v>44.75988575218056</v>
      </c>
      <c r="I2480" s="5" t="n"/>
      <c r="J2480" s="5" t="n">
        <v>44.36134544089444</v>
      </c>
      <c r="K2480" s="5" t="n">
        <v>45</v>
      </c>
    </row>
    <row r="2481">
      <c r="A2481" s="2" t="n">
        <v>46200.75</v>
      </c>
      <c r="B2481">
        <f>TEXT(A2481,"yyyy-mm")</f>
        <v/>
      </c>
      <c r="C2481" s="3">
        <f>HOUR(A2481)</f>
        <v/>
      </c>
      <c r="D2481" s="4" t="n">
        <v>26.56461240956667</v>
      </c>
      <c r="E2481" s="4" t="n"/>
      <c r="F2481" s="4" t="n">
        <v>29.48277774439722</v>
      </c>
      <c r="G2481" s="4" t="n">
        <v>23.6</v>
      </c>
      <c r="H2481" s="5" t="n">
        <v>43.71713691186111</v>
      </c>
      <c r="I2481" s="5" t="n"/>
      <c r="J2481" s="5" t="n">
        <v>44.57685942088889</v>
      </c>
      <c r="K2481" s="5" t="n">
        <v>47</v>
      </c>
    </row>
    <row r="2482">
      <c r="A2482" s="2" t="n">
        <v>46200.79166666666</v>
      </c>
      <c r="B2482">
        <f>TEXT(A2482,"yyyy-mm")</f>
        <v/>
      </c>
      <c r="C2482" s="3">
        <f>HOUR(A2482)</f>
        <v/>
      </c>
      <c r="D2482" s="4" t="n">
        <v>26.237931975025</v>
      </c>
      <c r="E2482" s="4" t="n"/>
      <c r="F2482" s="4" t="n">
        <v>29.47247182593055</v>
      </c>
      <c r="G2482" s="4" t="n">
        <v>22.5</v>
      </c>
      <c r="H2482" s="5" t="n">
        <v>46.82500086173056</v>
      </c>
      <c r="I2482" s="5" t="n"/>
      <c r="J2482" s="5" t="n">
        <v>44.75220399360556</v>
      </c>
      <c r="K2482" s="5" t="n">
        <v>57</v>
      </c>
    </row>
    <row r="2483">
      <c r="A2483" s="2" t="n">
        <v>46200.83333333334</v>
      </c>
      <c r="B2483">
        <f>TEXT(A2483,"yyyy-mm")</f>
        <v/>
      </c>
      <c r="C2483" s="3">
        <f>HOUR(A2483)</f>
        <v/>
      </c>
      <c r="D2483" s="4" t="n">
        <v>26.05176161248056</v>
      </c>
      <c r="E2483" s="4" t="n"/>
      <c r="F2483" s="4" t="n">
        <v>29.46761115837778</v>
      </c>
      <c r="G2483" s="4" t="n">
        <v>21.6</v>
      </c>
      <c r="H2483" s="5" t="n">
        <v>48.01262223495834</v>
      </c>
      <c r="I2483" s="5" t="n"/>
      <c r="J2483" s="5" t="n">
        <v>45.04475100943055</v>
      </c>
      <c r="K2483" s="5" t="n">
        <v>63</v>
      </c>
    </row>
    <row r="2484">
      <c r="A2484" s="2" t="n">
        <v>46200.875</v>
      </c>
      <c r="B2484">
        <f>TEXT(A2484,"yyyy-mm")</f>
        <v/>
      </c>
      <c r="C2484" s="3">
        <f>HOUR(A2484)</f>
        <v/>
      </c>
      <c r="D2484" s="4" t="n">
        <v>26.05992725978611</v>
      </c>
      <c r="E2484" s="4" t="n"/>
      <c r="F2484" s="4" t="n">
        <v>29.464347074325</v>
      </c>
      <c r="G2484" s="4" t="n">
        <v>21</v>
      </c>
      <c r="H2484" s="5" t="n">
        <v>48.15226950977777</v>
      </c>
      <c r="I2484" s="5" t="n"/>
      <c r="J2484" s="5" t="n">
        <v>45.35328907944166</v>
      </c>
      <c r="K2484" s="5" t="n">
        <v>70</v>
      </c>
    </row>
    <row r="2485">
      <c r="A2485" s="2" t="n">
        <v>46200.91666666666</v>
      </c>
      <c r="B2485">
        <f>TEXT(A2485,"yyyy-mm")</f>
        <v/>
      </c>
      <c r="C2485" s="3">
        <f>HOUR(A2485)</f>
        <v/>
      </c>
      <c r="D2485" s="4" t="n">
        <v>25.70091212671944</v>
      </c>
      <c r="E2485" s="4" t="n"/>
      <c r="F2485" s="4" t="n">
        <v>29.46041640013889</v>
      </c>
      <c r="G2485" s="4" t="n">
        <v>20.4</v>
      </c>
      <c r="H2485" s="5" t="n">
        <v>49.45304319808889</v>
      </c>
      <c r="I2485" s="5" t="n"/>
      <c r="J2485" s="5" t="n">
        <v>45.5837520836611</v>
      </c>
      <c r="K2485" s="5" t="n">
        <v>74</v>
      </c>
    </row>
    <row r="2486">
      <c r="A2486" s="2" t="n">
        <v>46200.95833333334</v>
      </c>
      <c r="B2486">
        <f>TEXT(A2486,"yyyy-mm")</f>
        <v/>
      </c>
      <c r="C2486" s="3">
        <f>HOUR(A2486)</f>
        <v/>
      </c>
      <c r="D2486" s="4" t="n">
        <v>25.77652825400556</v>
      </c>
      <c r="E2486" s="4" t="n"/>
      <c r="F2486" s="4" t="n">
        <v>29.46987553548611</v>
      </c>
      <c r="G2486" s="4" t="n">
        <v>19.9</v>
      </c>
      <c r="H2486" s="5" t="n">
        <v>49.43638381569166</v>
      </c>
      <c r="I2486" s="5" t="n"/>
      <c r="J2486" s="5" t="n">
        <v>45.79034284853611</v>
      </c>
      <c r="K2486" s="5" t="n">
        <v>77</v>
      </c>
    </row>
    <row r="2487">
      <c r="A2487" s="2" t="n">
        <v>46201</v>
      </c>
      <c r="B2487">
        <f>TEXT(A2487,"yyyy-mm")</f>
        <v/>
      </c>
      <c r="C2487" s="3">
        <f>HOUR(A2487)</f>
        <v/>
      </c>
      <c r="D2487" s="4" t="n">
        <v>25.56374519759722</v>
      </c>
      <c r="E2487" s="4" t="n"/>
      <c r="F2487" s="4" t="n">
        <v>29.46451557289444</v>
      </c>
      <c r="G2487" s="4" t="n">
        <v>19.2</v>
      </c>
      <c r="H2487" s="5" t="n">
        <v>50.0143143928</v>
      </c>
      <c r="I2487" s="5" t="n"/>
      <c r="J2487" s="5" t="n">
        <v>45.97386450466944</v>
      </c>
      <c r="K2487" s="5" t="n">
        <v>81</v>
      </c>
    </row>
    <row r="2488">
      <c r="A2488" s="2" t="n">
        <v>46201.04166666666</v>
      </c>
      <c r="B2488">
        <f>TEXT(A2488,"yyyy-mm")</f>
        <v/>
      </c>
      <c r="C2488" s="3">
        <f>HOUR(A2488)</f>
        <v/>
      </c>
      <c r="D2488" s="4" t="n">
        <v>24.75347199881389</v>
      </c>
      <c r="E2488" s="4" t="n"/>
      <c r="F2488" s="4" t="n">
        <v>29.45826404609445</v>
      </c>
      <c r="G2488" s="4" t="n">
        <v>18.9</v>
      </c>
      <c r="H2488" s="5" t="n">
        <v>52.15824471313888</v>
      </c>
      <c r="I2488" s="5" t="n"/>
      <c r="J2488" s="5" t="n">
        <v>46.14550216155278</v>
      </c>
      <c r="K2488" s="5" t="n">
        <v>84</v>
      </c>
    </row>
    <row r="2489">
      <c r="A2489" s="2" t="n">
        <v>46201.08333333334</v>
      </c>
      <c r="B2489">
        <f>TEXT(A2489,"yyyy-mm")</f>
        <v/>
      </c>
      <c r="C2489" s="3">
        <f>HOUR(A2489)</f>
        <v/>
      </c>
      <c r="D2489" s="4" t="n">
        <v>24.63715508028056</v>
      </c>
      <c r="E2489" s="4" t="n"/>
      <c r="F2489" s="4" t="n">
        <v>29.42956950469167</v>
      </c>
      <c r="G2489" s="4" t="n">
        <v>18.9</v>
      </c>
      <c r="H2489" s="5" t="n">
        <v>51.23625194055278</v>
      </c>
      <c r="I2489" s="5" t="n"/>
      <c r="J2489" s="5" t="n">
        <v>46.33112263941945</v>
      </c>
      <c r="K2489" s="5" t="n">
        <v>82</v>
      </c>
    </row>
    <row r="2490">
      <c r="A2490" s="2" t="n">
        <v>46201.125</v>
      </c>
      <c r="B2490">
        <f>TEXT(A2490,"yyyy-mm")</f>
        <v/>
      </c>
      <c r="C2490" s="3">
        <f>HOUR(A2490)</f>
        <v/>
      </c>
      <c r="D2490" s="4" t="n">
        <v>24.30000896155</v>
      </c>
      <c r="E2490" s="4" t="n"/>
      <c r="F2490" s="4" t="n">
        <v>29.391861358525</v>
      </c>
      <c r="G2490" s="4" t="n">
        <v>18.4</v>
      </c>
      <c r="H2490" s="5" t="n">
        <v>51.31691738945833</v>
      </c>
      <c r="I2490" s="5" t="n"/>
      <c r="J2490" s="5" t="n">
        <v>46.41090196375277</v>
      </c>
      <c r="K2490" s="5" t="n">
        <v>83</v>
      </c>
    </row>
    <row r="2491">
      <c r="A2491" s="2" t="n">
        <v>46201.16666666666</v>
      </c>
      <c r="B2491">
        <f>TEXT(A2491,"yyyy-mm")</f>
        <v/>
      </c>
      <c r="C2491" s="3">
        <f>HOUR(A2491)</f>
        <v/>
      </c>
      <c r="D2491" s="4" t="n">
        <v>24.24382750146944</v>
      </c>
      <c r="E2491" s="4" t="n"/>
      <c r="F2491" s="4" t="n">
        <v>29.38148444801945</v>
      </c>
      <c r="G2491" s="4" t="n">
        <v>18.2</v>
      </c>
      <c r="H2491" s="5" t="n">
        <v>49.01968775750834</v>
      </c>
      <c r="I2491" s="5" t="n"/>
      <c r="J2491" s="5" t="n">
        <v>46.28111091189445</v>
      </c>
      <c r="K2491" s="5" t="n">
        <v>82</v>
      </c>
    </row>
    <row r="2492">
      <c r="A2492" s="2" t="n">
        <v>46201.20833333334</v>
      </c>
      <c r="B2492">
        <f>TEXT(A2492,"yyyy-mm")</f>
        <v/>
      </c>
      <c r="C2492" s="3">
        <f>HOUR(A2492)</f>
        <v/>
      </c>
      <c r="D2492" s="4" t="n">
        <v>24.29260362542222</v>
      </c>
      <c r="E2492" s="4" t="n"/>
      <c r="F2492" s="4" t="n">
        <v>29.325861069625</v>
      </c>
      <c r="G2492" s="4" t="n">
        <v>18.1</v>
      </c>
      <c r="H2492" s="5" t="n">
        <v>48.47481502580833</v>
      </c>
      <c r="I2492" s="5" t="n"/>
      <c r="J2492" s="5" t="n">
        <v>46.17136100280833</v>
      </c>
      <c r="K2492" s="5" t="n">
        <v>78</v>
      </c>
    </row>
    <row r="2493">
      <c r="A2493" s="2" t="n">
        <v>46201.25</v>
      </c>
      <c r="B2493">
        <f>TEXT(A2493,"yyyy-mm")</f>
        <v/>
      </c>
      <c r="C2493" s="3">
        <f>HOUR(A2493)</f>
        <v/>
      </c>
      <c r="D2493" s="4" t="n">
        <v>24.90990358195833</v>
      </c>
      <c r="E2493" s="4" t="n"/>
      <c r="F2493" s="4" t="n">
        <v>29.30933343738889</v>
      </c>
      <c r="G2493" s="4" t="n">
        <v>18.3</v>
      </c>
      <c r="H2493" s="5" t="n">
        <v>47.10495810692222</v>
      </c>
      <c r="I2493" s="5" t="n"/>
      <c r="J2493" s="5" t="n">
        <v>46.12363753695556</v>
      </c>
      <c r="K2493" s="5" t="n">
        <v>77</v>
      </c>
    </row>
    <row r="2494">
      <c r="A2494" s="2" t="n">
        <v>46201.29166666666</v>
      </c>
      <c r="B2494">
        <f>TEXT(A2494,"yyyy-mm")</f>
        <v/>
      </c>
      <c r="C2494" s="3">
        <f>HOUR(A2494)</f>
        <v/>
      </c>
      <c r="D2494" s="4" t="n">
        <v>26.44165375710833</v>
      </c>
      <c r="E2494" s="4" t="n"/>
      <c r="F2494" s="4" t="n">
        <v>29.32277794178611</v>
      </c>
      <c r="G2494" s="4" t="n">
        <v>19.3</v>
      </c>
      <c r="H2494" s="5" t="n">
        <v>43.53508941408612</v>
      </c>
      <c r="I2494" s="5" t="n"/>
      <c r="J2494" s="5" t="n">
        <v>46.0435825416611</v>
      </c>
      <c r="K2494" s="5" t="n">
        <v>72</v>
      </c>
    </row>
    <row r="2495">
      <c r="A2495" s="2" t="n">
        <v>46201.33333333334</v>
      </c>
      <c r="B2495">
        <f>TEXT(A2495,"yyyy-mm")</f>
        <v/>
      </c>
      <c r="C2495" s="3">
        <f>HOUR(A2495)</f>
        <v/>
      </c>
      <c r="D2495" s="4" t="n">
        <v>26.97156893677777</v>
      </c>
      <c r="E2495" s="4" t="n"/>
      <c r="F2495" s="4" t="n">
        <v>29.34216670645</v>
      </c>
      <c r="G2495" s="4" t="n">
        <v>20.4</v>
      </c>
      <c r="H2495" s="5" t="n">
        <v>42.81916987270833</v>
      </c>
      <c r="I2495" s="5" t="n"/>
      <c r="J2495" s="5" t="n">
        <v>45.93647225662778</v>
      </c>
      <c r="K2495" s="5" t="n">
        <v>67</v>
      </c>
    </row>
    <row r="2496">
      <c r="A2496" s="2" t="n">
        <v>46201.375</v>
      </c>
      <c r="B2496">
        <f>TEXT(A2496,"yyyy-mm")</f>
        <v/>
      </c>
      <c r="C2496" s="3">
        <f>HOUR(A2496)</f>
        <v/>
      </c>
      <c r="D2496" s="4" t="n">
        <v>27.478492448675</v>
      </c>
      <c r="E2496" s="4" t="n"/>
      <c r="F2496" s="4" t="n">
        <v>29.37066656418889</v>
      </c>
      <c r="G2496" s="4" t="n">
        <v>21.5</v>
      </c>
      <c r="H2496" s="5" t="n">
        <v>40.98730077676945</v>
      </c>
      <c r="I2496" s="5" t="n"/>
      <c r="J2496" s="5" t="n">
        <v>45.80287480396944</v>
      </c>
      <c r="K2496" s="5" t="n">
        <v>61</v>
      </c>
    </row>
    <row r="2497">
      <c r="A2497" s="2" t="n">
        <v>46201.41666666666</v>
      </c>
      <c r="B2497">
        <f>TEXT(A2497,"yyyy-mm")</f>
        <v/>
      </c>
      <c r="C2497" s="3">
        <f>HOUR(A2497)</f>
        <v/>
      </c>
      <c r="D2497" s="4" t="n">
        <v>27.04869234063333</v>
      </c>
      <c r="E2497" s="4" t="n"/>
      <c r="F2497" s="4" t="n">
        <v>29.390069897775</v>
      </c>
      <c r="G2497" s="4" t="n">
        <v>22.7</v>
      </c>
      <c r="H2497" s="5" t="n">
        <v>41.22964267128611</v>
      </c>
      <c r="I2497" s="5" t="n"/>
      <c r="J2497" s="5" t="n">
        <v>45.75451635296389</v>
      </c>
      <c r="K2497" s="5" t="n">
        <v>53</v>
      </c>
    </row>
    <row r="2498">
      <c r="A2498" s="2" t="n">
        <v>46201.45833333334</v>
      </c>
      <c r="B2498">
        <f>TEXT(A2498,"yyyy-mm")</f>
        <v/>
      </c>
      <c r="C2498" s="3">
        <f>HOUR(A2498)</f>
        <v/>
      </c>
      <c r="D2498" s="4" t="n">
        <v>26.99111143994445</v>
      </c>
      <c r="E2498" s="4" t="n"/>
      <c r="F2498" s="4" t="n">
        <v>29.42122049784166</v>
      </c>
      <c r="G2498" s="4" t="n">
        <v>23.9</v>
      </c>
      <c r="H2498" s="5" t="n">
        <v>40.82825719552778</v>
      </c>
      <c r="I2498" s="5" t="n"/>
      <c r="J2498" s="5" t="n">
        <v>45.59952306867499</v>
      </c>
      <c r="K2498" s="5" t="n">
        <v>47</v>
      </c>
    </row>
    <row r="2499">
      <c r="A2499" s="2" t="n">
        <v>46201.5</v>
      </c>
      <c r="B2499">
        <f>TEXT(A2499,"yyyy-mm")</f>
        <v/>
      </c>
      <c r="C2499" s="3">
        <f>HOUR(A2499)</f>
        <v/>
      </c>
      <c r="D2499" s="4" t="n">
        <v>27.13048474900833</v>
      </c>
      <c r="E2499" s="4" t="n"/>
      <c r="F2499" s="4" t="n">
        <v>29.38655532867778</v>
      </c>
      <c r="G2499" s="4" t="n">
        <v>24.8</v>
      </c>
      <c r="H2499" s="5" t="n">
        <v>39.52459486006945</v>
      </c>
      <c r="I2499" s="5" t="n"/>
      <c r="J2499" s="5" t="n">
        <v>45.55039211631667</v>
      </c>
      <c r="K2499" s="5" t="n">
        <v>43</v>
      </c>
    </row>
    <row r="2500">
      <c r="A2500" s="2" t="n">
        <v>46201.54166666666</v>
      </c>
      <c r="B2500">
        <f>TEXT(A2500,"yyyy-mm")</f>
        <v/>
      </c>
      <c r="C2500" s="3">
        <f>HOUR(A2500)</f>
        <v/>
      </c>
      <c r="D2500" s="4" t="n">
        <v>27.36959356068611</v>
      </c>
      <c r="E2500" s="4" t="n"/>
      <c r="F2500" s="4" t="n">
        <v>29.17672394979445</v>
      </c>
      <c r="G2500" s="4" t="n">
        <v>25.9</v>
      </c>
      <c r="H2500" s="5" t="n">
        <v>38.08750063483611</v>
      </c>
      <c r="I2500" s="5" t="n"/>
      <c r="J2500" s="5" t="n">
        <v>46.79011320225555</v>
      </c>
      <c r="K2500" s="5" t="n">
        <v>37</v>
      </c>
    </row>
    <row r="2501">
      <c r="A2501" s="2" t="n">
        <v>46201.58333333334</v>
      </c>
      <c r="B2501">
        <f>TEXT(A2501,"yyyy-mm")</f>
        <v/>
      </c>
      <c r="C2501" s="3">
        <f>HOUR(A2501)</f>
        <v/>
      </c>
      <c r="D2501" s="4" t="n">
        <v>27.44872709197222</v>
      </c>
      <c r="E2501" s="4" t="n"/>
      <c r="F2501" s="4" t="n">
        <v>29.31591736419722</v>
      </c>
      <c r="G2501" s="4" t="n">
        <v>26</v>
      </c>
      <c r="H2501" s="5" t="n">
        <v>37.927240349475</v>
      </c>
      <c r="I2501" s="5" t="n"/>
      <c r="J2501" s="5" t="n">
        <v>46.45616734421666</v>
      </c>
      <c r="K2501" s="5" t="n">
        <v>37</v>
      </c>
    </row>
    <row r="2502">
      <c r="A2502" s="2" t="n">
        <v>46201.625</v>
      </c>
      <c r="B2502">
        <f>TEXT(A2502,"yyyy-mm")</f>
        <v/>
      </c>
      <c r="C2502" s="3">
        <f>HOUR(A2502)</f>
        <v/>
      </c>
      <c r="D2502" s="4" t="n">
        <v>27.7573941118</v>
      </c>
      <c r="E2502" s="4" t="n"/>
      <c r="F2502" s="4" t="n">
        <v>29.4137778319</v>
      </c>
      <c r="G2502" s="4" t="n">
        <v>26.1</v>
      </c>
      <c r="H2502" s="5" t="n">
        <v>36.4784412827</v>
      </c>
      <c r="I2502" s="5" t="n"/>
      <c r="J2502" s="5" t="n">
        <v>46.71457609906111</v>
      </c>
      <c r="K2502" s="5" t="n">
        <v>37</v>
      </c>
    </row>
    <row r="2503">
      <c r="A2503" s="2" t="n">
        <v>46201.66666666666</v>
      </c>
      <c r="B2503">
        <f>TEXT(A2503,"yyyy-mm")</f>
        <v/>
      </c>
      <c r="C2503" s="3">
        <f>HOUR(A2503)</f>
        <v/>
      </c>
      <c r="D2503" s="4" t="n">
        <v>27.96182178601389</v>
      </c>
      <c r="E2503" s="4" t="n"/>
      <c r="F2503" s="4" t="n">
        <v>29.530431260725</v>
      </c>
      <c r="G2503" s="4" t="n">
        <v>26</v>
      </c>
      <c r="H2503" s="5" t="n">
        <v>35.48393671223889</v>
      </c>
      <c r="I2503" s="5" t="n"/>
      <c r="J2503" s="5" t="n">
        <v>46.27628863220278</v>
      </c>
      <c r="K2503" s="5" t="n">
        <v>40</v>
      </c>
    </row>
    <row r="2504">
      <c r="A2504" s="2" t="n">
        <v>46201.70833333334</v>
      </c>
      <c r="B2504">
        <f>TEXT(A2504,"yyyy-mm")</f>
        <v/>
      </c>
      <c r="C2504" s="3">
        <f>HOUR(A2504)</f>
        <v/>
      </c>
      <c r="D2504" s="4" t="n">
        <v>27.66495006538056</v>
      </c>
      <c r="E2504" s="4" t="n"/>
      <c r="F2504" s="4" t="n">
        <v>29.58047082803333</v>
      </c>
      <c r="G2504" s="4" t="n">
        <v>25.8</v>
      </c>
      <c r="H2504" s="5" t="n">
        <v>39.11174886464445</v>
      </c>
      <c r="I2504" s="5" t="n"/>
      <c r="J2504" s="5" t="n">
        <v>46.66526420741667</v>
      </c>
      <c r="K2504" s="5" t="n">
        <v>40</v>
      </c>
    </row>
    <row r="2505">
      <c r="A2505" s="2" t="n">
        <v>46201.75</v>
      </c>
      <c r="B2505">
        <f>TEXT(A2505,"yyyy-mm")</f>
        <v/>
      </c>
      <c r="C2505" s="3">
        <f>HOUR(A2505)</f>
        <v/>
      </c>
      <c r="D2505" s="4" t="n">
        <v>27.45409376919167</v>
      </c>
      <c r="E2505" s="4" t="n"/>
      <c r="F2505" s="4" t="n">
        <v>29.1443436687</v>
      </c>
      <c r="G2505" s="4" t="n">
        <v>25.4</v>
      </c>
      <c r="H2505" s="5" t="n">
        <v>38.496204856825</v>
      </c>
      <c r="I2505" s="5" t="n"/>
      <c r="J2505" s="5" t="n">
        <v>48.03274134911667</v>
      </c>
      <c r="K2505" s="5" t="n">
        <v>41</v>
      </c>
    </row>
    <row r="2506">
      <c r="A2506" s="2" t="n">
        <v>46201.79166666666</v>
      </c>
      <c r="B2506">
        <f>TEXT(A2506,"yyyy-mm")</f>
        <v/>
      </c>
      <c r="C2506" s="3">
        <f>HOUR(A2506)</f>
        <v/>
      </c>
      <c r="D2506" s="4" t="n">
        <v>26.94439651899445</v>
      </c>
      <c r="E2506" s="4" t="n"/>
      <c r="F2506" s="4" t="n">
        <v>28.83804330496111</v>
      </c>
      <c r="G2506" s="4" t="n">
        <v>24.5</v>
      </c>
      <c r="H2506" s="5" t="n">
        <v>37.69150748711944</v>
      </c>
      <c r="I2506" s="5" t="n"/>
      <c r="J2506" s="5" t="n">
        <v>46.05544962668889</v>
      </c>
      <c r="K2506" s="5" t="n">
        <v>45</v>
      </c>
    </row>
    <row r="2507">
      <c r="A2507" s="2" t="n">
        <v>46201.83333333334</v>
      </c>
      <c r="B2507">
        <f>TEXT(A2507,"yyyy-mm")</f>
        <v/>
      </c>
      <c r="C2507" s="3">
        <f>HOUR(A2507)</f>
        <v/>
      </c>
      <c r="D2507" s="4" t="n">
        <v>26.47915039328056</v>
      </c>
      <c r="E2507" s="4" t="n"/>
      <c r="F2507" s="4" t="n">
        <v>28.56477763002778</v>
      </c>
      <c r="G2507" s="4" t="n">
        <v>23.7</v>
      </c>
      <c r="H2507" s="5" t="n">
        <v>39.23158288610278</v>
      </c>
      <c r="I2507" s="5" t="n"/>
      <c r="J2507" s="5" t="n">
        <v>46.33513002351944</v>
      </c>
      <c r="K2507" s="5" t="n">
        <v>48</v>
      </c>
    </row>
    <row r="2508">
      <c r="A2508" s="2" t="n">
        <v>46201.875</v>
      </c>
      <c r="B2508">
        <f>TEXT(A2508,"yyyy-mm")</f>
        <v/>
      </c>
      <c r="C2508" s="3">
        <f>HOUR(A2508)</f>
        <v/>
      </c>
      <c r="D2508" s="4" t="n">
        <v>26.12358483517501</v>
      </c>
      <c r="E2508" s="4" t="n"/>
      <c r="F2508" s="4" t="n">
        <v>28.45182192648056</v>
      </c>
      <c r="G2508" s="4" t="n">
        <v>22.8</v>
      </c>
      <c r="H2508" s="5" t="n">
        <v>40.64936758822778</v>
      </c>
      <c r="I2508" s="5" t="n"/>
      <c r="J2508" s="5" t="n">
        <v>47.11046570759999</v>
      </c>
      <c r="K2508" s="5" t="n">
        <v>52</v>
      </c>
    </row>
    <row r="2509">
      <c r="A2509" s="2" t="n">
        <v>46201.91666666666</v>
      </c>
      <c r="B2509">
        <f>TEXT(A2509,"yyyy-mm")</f>
        <v/>
      </c>
      <c r="C2509" s="3">
        <f>HOUR(A2509)</f>
        <v/>
      </c>
      <c r="D2509" s="4" t="n">
        <v>25.81967875948611</v>
      </c>
      <c r="E2509" s="4" t="n"/>
      <c r="F2509" s="4" t="n">
        <v>28.77585021087778</v>
      </c>
      <c r="G2509" s="4" t="n">
        <v>22.2</v>
      </c>
      <c r="H2509" s="5" t="n">
        <v>41.79001144070278</v>
      </c>
      <c r="I2509" s="5" t="n"/>
      <c r="J2509" s="5" t="n">
        <v>46.72271620480556</v>
      </c>
      <c r="K2509" s="5" t="n">
        <v>55</v>
      </c>
    </row>
    <row r="2510">
      <c r="A2510" s="2" t="n">
        <v>46201.95833333334</v>
      </c>
      <c r="B2510">
        <f>TEXT(A2510,"yyyy-mm")</f>
        <v/>
      </c>
      <c r="C2510" s="3">
        <f>HOUR(A2510)</f>
        <v/>
      </c>
      <c r="D2510" s="4" t="n">
        <v>25.5760854747</v>
      </c>
      <c r="E2510" s="4" t="n"/>
      <c r="F2510" s="4" t="n">
        <v>28.9898915724</v>
      </c>
      <c r="G2510" s="4" t="n">
        <v>21.2</v>
      </c>
      <c r="H2510" s="5" t="n">
        <v>42.30928397862778</v>
      </c>
      <c r="I2510" s="5" t="n"/>
      <c r="J2510" s="5" t="n">
        <v>46.49620413778612</v>
      </c>
      <c r="K2510" s="5" t="n">
        <v>59</v>
      </c>
    </row>
    <row r="2511">
      <c r="A2511" s="2" t="n">
        <v>46202</v>
      </c>
      <c r="B2511">
        <f>TEXT(A2511,"yyyy-mm")</f>
        <v/>
      </c>
      <c r="C2511" s="3">
        <f>HOUR(A2511)</f>
        <v/>
      </c>
      <c r="D2511" s="4" t="n">
        <v>25.146980884375</v>
      </c>
      <c r="E2511" s="4" t="n"/>
      <c r="F2511" s="4" t="n">
        <v>29.20679403974166</v>
      </c>
      <c r="G2511" s="4" t="n">
        <v>20.4</v>
      </c>
      <c r="H2511" s="5" t="n">
        <v>43.13459109358889</v>
      </c>
      <c r="I2511" s="5" t="n"/>
      <c r="J2511" s="5" t="n">
        <v>46.33060667548056</v>
      </c>
      <c r="K2511" s="5" t="n">
        <v>61</v>
      </c>
    </row>
    <row r="2512">
      <c r="A2512" s="2" t="n">
        <v>46202.04166666666</v>
      </c>
      <c r="B2512">
        <f>TEXT(A2512,"yyyy-mm")</f>
        <v/>
      </c>
      <c r="C2512" s="3">
        <f>HOUR(A2512)</f>
        <v/>
      </c>
      <c r="D2512" s="4" t="n">
        <v>24.763708162625</v>
      </c>
      <c r="E2512" s="4" t="n"/>
      <c r="F2512" s="4" t="n">
        <v>29.32282085548333</v>
      </c>
      <c r="G2512" s="4" t="n">
        <v>19.6</v>
      </c>
      <c r="H2512" s="5" t="n">
        <v>43.54767252894722</v>
      </c>
      <c r="I2512" s="5" t="n"/>
      <c r="J2512" s="5" t="n">
        <v>46.09119115684167</v>
      </c>
      <c r="K2512" s="5" t="n">
        <v>65</v>
      </c>
    </row>
    <row r="2513">
      <c r="A2513" s="2" t="n">
        <v>46202.08333333334</v>
      </c>
      <c r="B2513">
        <f>TEXT(A2513,"yyyy-mm")</f>
        <v/>
      </c>
      <c r="C2513" s="3">
        <f>HOUR(A2513)</f>
        <v/>
      </c>
      <c r="D2513" s="4" t="n">
        <v>24.33867178048612</v>
      </c>
      <c r="E2513" s="4" t="n"/>
      <c r="F2513" s="4" t="n">
        <v>29.32863888235833</v>
      </c>
      <c r="G2513" s="4" t="n">
        <v>18.7</v>
      </c>
      <c r="H2513" s="5" t="n">
        <v>44.11869762827222</v>
      </c>
      <c r="I2513" s="5" t="n"/>
      <c r="J2513" s="5" t="n">
        <v>45.8173283904</v>
      </c>
      <c r="K2513" s="5" t="n">
        <v>69</v>
      </c>
    </row>
    <row r="2514">
      <c r="A2514" s="2" t="n">
        <v>46202.125</v>
      </c>
      <c r="B2514">
        <f>TEXT(A2514,"yyyy-mm")</f>
        <v/>
      </c>
      <c r="C2514" s="3">
        <f>HOUR(A2514)</f>
        <v/>
      </c>
      <c r="D2514" s="4" t="n">
        <v>23.96107116018333</v>
      </c>
      <c r="E2514" s="4" t="n"/>
      <c r="F2514" s="4" t="n">
        <v>29.29416615165</v>
      </c>
      <c r="G2514" s="4" t="n">
        <v>17.2</v>
      </c>
      <c r="H2514" s="5" t="n">
        <v>44.61273677105834</v>
      </c>
      <c r="I2514" s="5" t="n"/>
      <c r="J2514" s="5" t="n">
        <v>45.55067595589444</v>
      </c>
      <c r="K2514" s="5" t="n">
        <v>77</v>
      </c>
    </row>
    <row r="2515">
      <c r="A2515" s="2" t="n">
        <v>46202.16666666666</v>
      </c>
      <c r="B2515">
        <f>TEXT(A2515,"yyyy-mm")</f>
        <v/>
      </c>
      <c r="C2515" s="3">
        <f>HOUR(A2515)</f>
        <v/>
      </c>
      <c r="D2515" s="4" t="n">
        <v>23.64187300834723</v>
      </c>
      <c r="E2515" s="4" t="n"/>
      <c r="F2515" s="4" t="n">
        <v>29.24363757113611</v>
      </c>
      <c r="G2515" s="4" t="n">
        <v>16.4</v>
      </c>
      <c r="H2515" s="5" t="n">
        <v>45.01555922222222</v>
      </c>
      <c r="I2515" s="5" t="n"/>
      <c r="J2515" s="5" t="n">
        <v>45.3662775500139</v>
      </c>
      <c r="K2515" s="5" t="n">
        <v>82</v>
      </c>
    </row>
    <row r="2516">
      <c r="A2516" s="2" t="n">
        <v>46202.20833333334</v>
      </c>
      <c r="B2516">
        <f>TEXT(A2516,"yyyy-mm")</f>
        <v/>
      </c>
      <c r="C2516" s="3">
        <f>HOUR(A2516)</f>
        <v/>
      </c>
      <c r="D2516" s="4" t="n">
        <v>24.49560930121111</v>
      </c>
      <c r="E2516" s="4" t="n"/>
      <c r="F2516" s="4" t="n">
        <v>29.21054094673333</v>
      </c>
      <c r="G2516" s="4" t="n">
        <v>16</v>
      </c>
      <c r="H2516" s="5" t="n">
        <v>43.34526279001111</v>
      </c>
      <c r="I2516" s="5" t="n"/>
      <c r="J2516" s="5" t="n">
        <v>45.23729047041112</v>
      </c>
      <c r="K2516" s="5" t="n">
        <v>83</v>
      </c>
    </row>
    <row r="2517">
      <c r="A2517" s="2" t="n">
        <v>46202.25</v>
      </c>
      <c r="B2517">
        <f>TEXT(A2517,"yyyy-mm")</f>
        <v/>
      </c>
      <c r="C2517" s="3">
        <f>HOUR(A2517)</f>
        <v/>
      </c>
      <c r="D2517" s="4" t="n">
        <v>26.03445743527222</v>
      </c>
      <c r="E2517" s="4" t="n"/>
      <c r="F2517" s="4" t="n">
        <v>29.20505599741111</v>
      </c>
      <c r="G2517" s="4" t="n">
        <v>16.7</v>
      </c>
      <c r="H2517" s="5" t="n">
        <v>40.44455217498056</v>
      </c>
      <c r="I2517" s="5" t="n"/>
      <c r="J2517" s="5" t="n">
        <v>45.19367972500277</v>
      </c>
      <c r="K2517" s="5" t="n">
        <v>79</v>
      </c>
    </row>
    <row r="2518">
      <c r="A2518" s="2" t="n">
        <v>46202.29166666666</v>
      </c>
      <c r="B2518">
        <f>TEXT(A2518,"yyyy-mm")</f>
        <v/>
      </c>
      <c r="C2518" s="3">
        <f>HOUR(A2518)</f>
        <v/>
      </c>
      <c r="D2518" s="4" t="n">
        <v>27.08459459089444</v>
      </c>
      <c r="E2518" s="4" t="n"/>
      <c r="F2518" s="4" t="n">
        <v>29.22008384336945</v>
      </c>
      <c r="G2518" s="4" t="n">
        <v>18.2</v>
      </c>
      <c r="H2518" s="5" t="n">
        <v>38.77691420797778</v>
      </c>
      <c r="I2518" s="5" t="n"/>
      <c r="J2518" s="5" t="n">
        <v>45.18722238189722</v>
      </c>
      <c r="K2518" s="5" t="n">
        <v>71</v>
      </c>
    </row>
    <row r="2519">
      <c r="A2519" s="2" t="n">
        <v>46202.33333333334</v>
      </c>
      <c r="B2519">
        <f>TEXT(A2519,"yyyy-mm")</f>
        <v/>
      </c>
      <c r="C2519" s="3">
        <f>HOUR(A2519)</f>
        <v/>
      </c>
      <c r="D2519" s="4" t="n">
        <v>28.18196495040833</v>
      </c>
      <c r="E2519" s="4" t="n"/>
      <c r="F2519" s="4" t="n">
        <v>29.24141750774722</v>
      </c>
      <c r="G2519" s="4" t="n">
        <v>20.2</v>
      </c>
      <c r="H2519" s="5" t="n">
        <v>37.30323417528889</v>
      </c>
      <c r="I2519" s="5" t="n"/>
      <c r="J2519" s="5" t="n">
        <v>45.19209731006389</v>
      </c>
      <c r="K2519" s="5" t="n">
        <v>61</v>
      </c>
    </row>
    <row r="2520">
      <c r="A2520" s="2" t="n">
        <v>46202.375</v>
      </c>
      <c r="B2520">
        <f>TEXT(A2520,"yyyy-mm")</f>
        <v/>
      </c>
      <c r="C2520" s="3">
        <f>HOUR(A2520)</f>
        <v/>
      </c>
      <c r="D2520" s="4" t="n">
        <v>28.78185312</v>
      </c>
      <c r="E2520" s="4" t="n"/>
      <c r="F2520" s="4" t="n">
        <v>29.27201450680556</v>
      </c>
      <c r="G2520" s="4" t="n">
        <v>22.4</v>
      </c>
      <c r="H2520" s="5" t="n">
        <v>35.40177969098333</v>
      </c>
      <c r="I2520" s="5" t="n"/>
      <c r="J2520" s="5" t="n">
        <v>45.17313782428611</v>
      </c>
      <c r="K2520" s="5" t="n">
        <v>50</v>
      </c>
    </row>
    <row r="2521">
      <c r="A2521" s="2" t="n">
        <v>46202.41666666666</v>
      </c>
      <c r="B2521">
        <f>TEXT(A2521,"yyyy-mm")</f>
        <v/>
      </c>
      <c r="C2521" s="3">
        <f>HOUR(A2521)</f>
        <v/>
      </c>
      <c r="D2521" s="4" t="n">
        <v>28.79812231114167</v>
      </c>
      <c r="E2521" s="4" t="n"/>
      <c r="F2521" s="4" t="n">
        <v>29.31640379965</v>
      </c>
      <c r="G2521" s="4" t="n">
        <v>23.7</v>
      </c>
      <c r="H2521" s="5" t="n">
        <v>34.84743825800555</v>
      </c>
      <c r="I2521" s="5" t="n"/>
      <c r="J2521" s="5" t="n">
        <v>45.21932539208056</v>
      </c>
      <c r="K2521" s="5" t="n">
        <v>44</v>
      </c>
    </row>
    <row r="2522">
      <c r="A2522" s="2" t="n">
        <v>46202.45833333334</v>
      </c>
      <c r="B2522">
        <f>TEXT(A2522,"yyyy-mm")</f>
        <v/>
      </c>
      <c r="C2522" s="3">
        <f>HOUR(A2522)</f>
        <v/>
      </c>
      <c r="D2522" s="4" t="n">
        <v>28.762826955525</v>
      </c>
      <c r="E2522" s="4" t="n"/>
      <c r="F2522" s="4" t="n">
        <v>29.42336339046389</v>
      </c>
      <c r="G2522" s="4" t="n">
        <v>25.2</v>
      </c>
      <c r="H2522" s="5" t="n">
        <v>33.61634097952778</v>
      </c>
      <c r="I2522" s="5" t="n"/>
      <c r="J2522" s="5" t="n">
        <v>45.48108037163333</v>
      </c>
      <c r="K2522" s="5" t="n">
        <v>38</v>
      </c>
    </row>
    <row r="2523">
      <c r="A2523" s="2" t="n">
        <v>46202.5</v>
      </c>
      <c r="B2523">
        <f>TEXT(A2523,"yyyy-mm")</f>
        <v/>
      </c>
      <c r="C2523" s="3">
        <f>HOUR(A2523)</f>
        <v/>
      </c>
      <c r="D2523" s="4" t="n">
        <v>28.67081521711667</v>
      </c>
      <c r="E2523" s="4" t="n"/>
      <c r="F2523" s="4" t="n">
        <v>29.578781096725</v>
      </c>
      <c r="G2523" s="4" t="n">
        <v>26.2</v>
      </c>
      <c r="H2523" s="5" t="n">
        <v>33.59355737520556</v>
      </c>
      <c r="I2523" s="5" t="n"/>
      <c r="J2523" s="5" t="n">
        <v>45.33065002645</v>
      </c>
      <c r="K2523" s="5" t="n">
        <v>35</v>
      </c>
    </row>
    <row r="2524">
      <c r="A2524" s="2" t="n">
        <v>46202.54166666666</v>
      </c>
      <c r="B2524">
        <f>TEXT(A2524,"yyyy-mm")</f>
        <v/>
      </c>
      <c r="C2524" s="3">
        <f>HOUR(A2524)</f>
        <v/>
      </c>
      <c r="D2524" s="4" t="n">
        <v>28.54783804617222</v>
      </c>
      <c r="E2524" s="4" t="n"/>
      <c r="F2524" s="4" t="n">
        <v>29.675931627925</v>
      </c>
      <c r="G2524" s="4" t="n">
        <v>26.4</v>
      </c>
      <c r="H2524" s="5" t="n">
        <v>33.46639946039166</v>
      </c>
      <c r="I2524" s="5" t="n"/>
      <c r="J2524" s="5" t="n">
        <v>45.26652670843611</v>
      </c>
      <c r="K2524" s="5" t="n">
        <v>37</v>
      </c>
    </row>
    <row r="2525">
      <c r="A2525" s="2" t="n">
        <v>46202.58333333334</v>
      </c>
      <c r="B2525">
        <f>TEXT(A2525,"yyyy-mm")</f>
        <v/>
      </c>
      <c r="C2525" s="3">
        <f>HOUR(A2525)</f>
        <v/>
      </c>
      <c r="D2525" s="4" t="n">
        <v>28.47354488106389</v>
      </c>
      <c r="E2525" s="4" t="n"/>
      <c r="F2525" s="4" t="n">
        <v>29.68433266305833</v>
      </c>
      <c r="G2525" s="4" t="n">
        <v>26.6</v>
      </c>
      <c r="H2525" s="5" t="n">
        <v>33.09935021838611</v>
      </c>
      <c r="I2525" s="5" t="n"/>
      <c r="J2525" s="5" t="n">
        <v>45.05082778021667</v>
      </c>
      <c r="K2525" s="5" t="n">
        <v>38</v>
      </c>
    </row>
    <row r="2526">
      <c r="A2526" s="2" t="n">
        <v>46202.625</v>
      </c>
      <c r="B2526">
        <f>TEXT(A2526,"yyyy-mm")</f>
        <v/>
      </c>
      <c r="C2526" s="3">
        <f>HOUR(A2526)</f>
        <v/>
      </c>
      <c r="D2526" s="4" t="n">
        <v>28.36486331885556</v>
      </c>
      <c r="E2526" s="4" t="n"/>
      <c r="F2526" s="4" t="n">
        <v>29.63866617073056</v>
      </c>
      <c r="G2526" s="4" t="n">
        <v>27</v>
      </c>
      <c r="H2526" s="5" t="n">
        <v>33.30635557661389</v>
      </c>
      <c r="I2526" s="5" t="n"/>
      <c r="J2526" s="5" t="n">
        <v>44.91071931480833</v>
      </c>
      <c r="K2526" s="5" t="n">
        <v>38</v>
      </c>
    </row>
    <row r="2527">
      <c r="A2527" s="2" t="n">
        <v>46202.66666666666</v>
      </c>
      <c r="B2527">
        <f>TEXT(A2527,"yyyy-mm")</f>
        <v/>
      </c>
      <c r="C2527" s="3">
        <f>HOUR(A2527)</f>
        <v/>
      </c>
      <c r="D2527" s="4" t="n">
        <v>28.37660978435278</v>
      </c>
      <c r="E2527" s="4" t="n"/>
      <c r="F2527" s="4" t="n">
        <v>29.45632380469445</v>
      </c>
      <c r="G2527" s="4" t="n">
        <v>27.2</v>
      </c>
      <c r="H2527" s="5" t="n">
        <v>36.01810344372777</v>
      </c>
      <c r="I2527" s="5" t="n"/>
      <c r="J2527" s="5" t="n">
        <v>45.77557144062501</v>
      </c>
      <c r="K2527" s="5" t="n">
        <v>39</v>
      </c>
    </row>
    <row r="2528">
      <c r="A2528" s="2" t="n">
        <v>46202.70833333334</v>
      </c>
      <c r="B2528">
        <f>TEXT(A2528,"yyyy-mm")</f>
        <v/>
      </c>
      <c r="C2528" s="3">
        <f>HOUR(A2528)</f>
        <v/>
      </c>
      <c r="D2528" s="4" t="n">
        <v>28.37842636395834</v>
      </c>
      <c r="E2528" s="4" t="n"/>
      <c r="F2528" s="4" t="n">
        <v>29.25951678903333</v>
      </c>
      <c r="G2528" s="4" t="n">
        <v>27.1</v>
      </c>
      <c r="H2528" s="5" t="n">
        <v>34.86723306851945</v>
      </c>
      <c r="I2528" s="5" t="n"/>
      <c r="J2528" s="5" t="n">
        <v>45.99235629518889</v>
      </c>
      <c r="K2528" s="5" t="n">
        <v>40</v>
      </c>
    </row>
    <row r="2529">
      <c r="A2529" s="2" t="n">
        <v>46202.75</v>
      </c>
      <c r="B2529">
        <f>TEXT(A2529,"yyyy-mm")</f>
        <v/>
      </c>
      <c r="C2529" s="3">
        <f>HOUR(A2529)</f>
        <v/>
      </c>
      <c r="D2529" s="4" t="n">
        <v>28.22335995815833</v>
      </c>
      <c r="E2529" s="4" t="n"/>
      <c r="F2529" s="4" t="n">
        <v>29.44782300916667</v>
      </c>
      <c r="G2529" s="4" t="n">
        <v>26.7</v>
      </c>
      <c r="H2529" s="5" t="n">
        <v>35.99516423128611</v>
      </c>
      <c r="I2529" s="5" t="n"/>
      <c r="J2529" s="5" t="n">
        <v>45.46030057128333</v>
      </c>
      <c r="K2529" s="5" t="n">
        <v>41</v>
      </c>
    </row>
    <row r="2530">
      <c r="A2530" s="2" t="n">
        <v>46202.79166666666</v>
      </c>
      <c r="B2530">
        <f>TEXT(A2530,"yyyy-mm")</f>
        <v/>
      </c>
      <c r="C2530" s="3">
        <f>HOUR(A2530)</f>
        <v/>
      </c>
      <c r="D2530" s="4" t="n">
        <v>28.10502679873055</v>
      </c>
      <c r="E2530" s="4" t="n"/>
      <c r="F2530" s="4" t="n">
        <v>29.51352799520278</v>
      </c>
      <c r="G2530" s="4" t="n">
        <v>26.1</v>
      </c>
      <c r="H2530" s="5" t="n">
        <v>36.63171763604723</v>
      </c>
      <c r="I2530" s="5" t="n"/>
      <c r="J2530" s="5" t="n">
        <v>45.34241525125833</v>
      </c>
      <c r="K2530" s="5" t="n">
        <v>42</v>
      </c>
    </row>
    <row r="2531">
      <c r="A2531" s="2" t="n">
        <v>46202.83333333334</v>
      </c>
      <c r="B2531">
        <f>TEXT(A2531,"yyyy-mm")</f>
        <v/>
      </c>
      <c r="C2531" s="3">
        <f>HOUR(A2531)</f>
        <v/>
      </c>
      <c r="D2531" s="4" t="n">
        <v>27.77829461117222</v>
      </c>
      <c r="E2531" s="4" t="n"/>
      <c r="F2531" s="4" t="n">
        <v>29.37402143483056</v>
      </c>
      <c r="G2531" s="4" t="n">
        <v>25.4</v>
      </c>
      <c r="H2531" s="5" t="n">
        <v>38.7162735955</v>
      </c>
      <c r="I2531" s="5" t="n"/>
      <c r="J2531" s="5" t="n">
        <v>46.12160028123889</v>
      </c>
      <c r="K2531" s="5" t="n">
        <v>45</v>
      </c>
    </row>
    <row r="2532">
      <c r="A2532" s="2" t="n">
        <v>46202.875</v>
      </c>
      <c r="B2532">
        <f>TEXT(A2532,"yyyy-mm")</f>
        <v/>
      </c>
      <c r="C2532" s="3">
        <f>HOUR(A2532)</f>
        <v/>
      </c>
      <c r="D2532" s="4" t="n">
        <v>27.55630653716389</v>
      </c>
      <c r="E2532" s="4" t="n"/>
      <c r="F2532" s="4" t="n">
        <v>29.28065917848056</v>
      </c>
      <c r="G2532" s="4" t="n">
        <v>24.9</v>
      </c>
      <c r="H2532" s="5" t="n">
        <v>39.20773874021389</v>
      </c>
      <c r="I2532" s="5" t="n"/>
      <c r="J2532" s="5" t="n">
        <v>47.03223117076666</v>
      </c>
      <c r="K2532" s="5" t="n">
        <v>48</v>
      </c>
    </row>
    <row r="2533">
      <c r="A2533" s="2" t="n">
        <v>46202.91666666666</v>
      </c>
      <c r="B2533">
        <f>TEXT(A2533,"yyyy-mm")</f>
        <v/>
      </c>
      <c r="C2533" s="3">
        <f>HOUR(A2533)</f>
        <v/>
      </c>
      <c r="D2533" s="4" t="n">
        <v>26.36294179103056</v>
      </c>
      <c r="E2533" s="4" t="n"/>
      <c r="F2533" s="4" t="n">
        <v>29.48640532751111</v>
      </c>
      <c r="G2533" s="4" t="n">
        <v>24</v>
      </c>
      <c r="H2533" s="5" t="n">
        <v>42.20632819467777</v>
      </c>
      <c r="I2533" s="5" t="n"/>
      <c r="J2533" s="5" t="n">
        <v>46.304306811225</v>
      </c>
      <c r="K2533" s="5" t="n">
        <v>53</v>
      </c>
    </row>
    <row r="2534">
      <c r="A2534" s="2" t="n">
        <v>46202.95833333334</v>
      </c>
      <c r="B2534">
        <f>TEXT(A2534,"yyyy-mm")</f>
        <v/>
      </c>
      <c r="C2534" s="3">
        <f>HOUR(A2534)</f>
        <v/>
      </c>
      <c r="D2534" s="4" t="n">
        <v>25.45506240878055</v>
      </c>
      <c r="E2534" s="4" t="n"/>
      <c r="F2534" s="4" t="n">
        <v>29.011226766425</v>
      </c>
      <c r="G2534" s="4" t="n">
        <v>23.2</v>
      </c>
      <c r="H2534" s="5" t="n">
        <v>46.91181823393612</v>
      </c>
      <c r="I2534" s="5" t="n"/>
      <c r="J2534" s="5" t="n">
        <v>48.63134255610834</v>
      </c>
      <c r="K2534" s="5" t="n">
        <v>56</v>
      </c>
    </row>
    <row r="2535">
      <c r="A2535" s="2" t="n">
        <v>46203</v>
      </c>
      <c r="B2535">
        <f>TEXT(A2535,"yyyy-mm")</f>
        <v/>
      </c>
      <c r="C2535" s="3">
        <f>HOUR(A2535)</f>
        <v/>
      </c>
      <c r="D2535" s="4" t="n">
        <v>26.34929776167777</v>
      </c>
      <c r="E2535" s="4" t="n"/>
      <c r="F2535" s="4" t="n">
        <v>28.6980508665</v>
      </c>
      <c r="G2535" s="4" t="n">
        <v>22.1</v>
      </c>
      <c r="H2535" s="5" t="n">
        <v>46.19764944725279</v>
      </c>
      <c r="I2535" s="5" t="n"/>
      <c r="J2535" s="5" t="n">
        <v>50.05434624396944</v>
      </c>
      <c r="K2535" s="5" t="n">
        <v>61</v>
      </c>
    </row>
    <row r="2536">
      <c r="A2536" s="2" t="n">
        <v>46203.04166666666</v>
      </c>
      <c r="B2536">
        <f>TEXT(A2536,"yyyy-mm")</f>
        <v/>
      </c>
      <c r="C2536" s="3">
        <f>HOUR(A2536)</f>
        <v/>
      </c>
      <c r="D2536" s="4" t="n">
        <v>26.45897389441389</v>
      </c>
      <c r="E2536" s="4" t="n"/>
      <c r="F2536" s="4" t="n">
        <v>29.20011919891667</v>
      </c>
      <c r="G2536" s="4" t="n">
        <v>21.2</v>
      </c>
      <c r="H2536" s="5" t="n">
        <v>45.63698108823611</v>
      </c>
      <c r="I2536" s="5" t="n"/>
      <c r="J2536" s="5" t="n">
        <v>48.33650589158333</v>
      </c>
      <c r="K2536" s="5" t="n">
        <v>65</v>
      </c>
    </row>
    <row r="2537">
      <c r="A2537" s="2" t="n">
        <v>46203.08333333334</v>
      </c>
      <c r="B2537">
        <f>TEXT(A2537,"yyyy-mm")</f>
        <v/>
      </c>
      <c r="C2537" s="3">
        <f>HOUR(A2537)</f>
        <v/>
      </c>
      <c r="D2537" s="4" t="n">
        <v>26.23067166048889</v>
      </c>
      <c r="E2537" s="4" t="n"/>
      <c r="F2537" s="4" t="n">
        <v>29.39604646774444</v>
      </c>
      <c r="G2537" s="4" t="n">
        <v>20.4</v>
      </c>
      <c r="H2537" s="5" t="n">
        <v>44.88873396618889</v>
      </c>
      <c r="I2537" s="5" t="n"/>
      <c r="J2537" s="5" t="n">
        <v>47.71551487826111</v>
      </c>
      <c r="K2537" s="5" t="n">
        <v>69</v>
      </c>
    </row>
    <row r="2538">
      <c r="A2538" s="2" t="n">
        <v>46203.125</v>
      </c>
      <c r="B2538">
        <f>TEXT(A2538,"yyyy-mm")</f>
        <v/>
      </c>
      <c r="C2538" s="3">
        <f>HOUR(A2538)</f>
        <v/>
      </c>
      <c r="D2538" s="4" t="n">
        <v>24.1495476854</v>
      </c>
      <c r="E2538" s="4" t="n"/>
      <c r="F2538" s="4" t="n">
        <v>29.51308504128611</v>
      </c>
      <c r="G2538" s="4" t="n">
        <v>19.7</v>
      </c>
      <c r="H2538" s="5" t="n">
        <v>52.74549205473611</v>
      </c>
      <c r="I2538" s="5" t="n"/>
      <c r="J2538" s="5" t="n">
        <v>47.48292078782222</v>
      </c>
      <c r="K2538" s="5" t="n">
        <v>73</v>
      </c>
    </row>
    <row r="2539">
      <c r="A2539" s="2" t="n">
        <v>46203.16666666666</v>
      </c>
      <c r="B2539">
        <f>TEXT(A2539,"yyyy-mm")</f>
        <v/>
      </c>
      <c r="C2539" s="3">
        <f>HOUR(A2539)</f>
        <v/>
      </c>
      <c r="D2539" s="4" t="n">
        <v>22.816949342625</v>
      </c>
      <c r="E2539" s="4" t="n"/>
      <c r="F2539" s="4" t="n">
        <v>29.49287215973056</v>
      </c>
      <c r="G2539" s="4" t="n">
        <v>19.3</v>
      </c>
      <c r="H2539" s="5" t="n">
        <v>55.09338633927501</v>
      </c>
      <c r="I2539" s="5" t="n"/>
      <c r="J2539" s="5" t="n">
        <v>47.57787971756111</v>
      </c>
      <c r="K2539" s="5" t="n">
        <v>77</v>
      </c>
    </row>
    <row r="2540">
      <c r="A2540" s="2" t="n">
        <v>46203.20833333334</v>
      </c>
      <c r="B2540">
        <f>TEXT(A2540,"yyyy-mm")</f>
        <v/>
      </c>
      <c r="C2540" s="3">
        <f>HOUR(A2540)</f>
        <v/>
      </c>
      <c r="D2540" s="4" t="n">
        <v>23.34172277816389</v>
      </c>
      <c r="E2540" s="4" t="n"/>
      <c r="F2540" s="4" t="n">
        <v>29.40713707190278</v>
      </c>
      <c r="G2540" s="4" t="n">
        <v>19</v>
      </c>
      <c r="H2540" s="5" t="n">
        <v>52.73701720711389</v>
      </c>
      <c r="I2540" s="5" t="n"/>
      <c r="J2540" s="5" t="n">
        <v>47.27292348303333</v>
      </c>
      <c r="K2540" s="5" t="n">
        <v>80</v>
      </c>
    </row>
    <row r="2541">
      <c r="A2541" s="2" t="n">
        <v>46203.25</v>
      </c>
      <c r="B2541">
        <f>TEXT(A2541,"yyyy-mm")</f>
        <v/>
      </c>
      <c r="C2541" s="3">
        <f>HOUR(A2541)</f>
        <v/>
      </c>
      <c r="D2541" s="4" t="n">
        <v>24.49638938839166</v>
      </c>
      <c r="E2541" s="4" t="n"/>
      <c r="F2541" s="4" t="n">
        <v>29.36803924849722</v>
      </c>
      <c r="G2541" s="4" t="n">
        <v>19</v>
      </c>
      <c r="H2541" s="5" t="n">
        <v>49.83882325973056</v>
      </c>
      <c r="I2541" s="5" t="n"/>
      <c r="J2541" s="5" t="n">
        <v>47.10723785106389</v>
      </c>
      <c r="K2541" s="5" t="n">
        <v>77</v>
      </c>
    </row>
    <row r="2542">
      <c r="A2542" s="2" t="n">
        <v>46203.29166666666</v>
      </c>
      <c r="B2542">
        <f>TEXT(A2542,"yyyy-mm")</f>
        <v/>
      </c>
      <c r="C2542" s="3">
        <f>HOUR(A2542)</f>
        <v/>
      </c>
      <c r="D2542" s="4" t="n">
        <v>25.83053197634445</v>
      </c>
      <c r="E2542" s="4" t="n"/>
      <c r="F2542" s="4" t="n">
        <v>29.34351358705834</v>
      </c>
      <c r="G2542" s="4" t="n">
        <v>19.8</v>
      </c>
      <c r="H2542" s="5" t="n">
        <v>47.04050225344444</v>
      </c>
      <c r="I2542" s="5" t="n"/>
      <c r="J2542" s="5" t="n">
        <v>47.11955634117222</v>
      </c>
      <c r="K2542" s="5" t="n">
        <v>72</v>
      </c>
    </row>
    <row r="2543">
      <c r="A2543" s="2" t="n">
        <v>46203.33333333334</v>
      </c>
      <c r="B2543">
        <f>TEXT(A2543,"yyyy-mm")</f>
        <v/>
      </c>
      <c r="C2543" s="3">
        <f>HOUR(A2543)</f>
        <v/>
      </c>
      <c r="D2543" s="4" t="n">
        <v>26.81537158455278</v>
      </c>
      <c r="E2543" s="4" t="n"/>
      <c r="F2543" s="4" t="n">
        <v>29.34811182286944</v>
      </c>
      <c r="G2543" s="4" t="n">
        <v>21.4</v>
      </c>
      <c r="H2543" s="5" t="n">
        <v>45.86432345785834</v>
      </c>
      <c r="I2543" s="5" t="n"/>
      <c r="J2543" s="5" t="n">
        <v>47.24400461274445</v>
      </c>
      <c r="K2543" s="5" t="n">
        <v>65</v>
      </c>
    </row>
    <row r="2544">
      <c r="A2544" s="2" t="n">
        <v>46203.375</v>
      </c>
      <c r="B2544">
        <f>TEXT(A2544,"yyyy-mm")</f>
        <v/>
      </c>
      <c r="C2544" s="3">
        <f>HOUR(A2544)</f>
        <v/>
      </c>
      <c r="D2544" s="4" t="n">
        <v>27.29766336827222</v>
      </c>
      <c r="E2544" s="4" t="n"/>
      <c r="F2544" s="4" t="n">
        <v>29.33918025838055</v>
      </c>
      <c r="G2544" s="4" t="n">
        <v>23.2</v>
      </c>
      <c r="H2544" s="5" t="n">
        <v>44.03406525615834</v>
      </c>
      <c r="I2544" s="5" t="n"/>
      <c r="J2544" s="5" t="n">
        <v>47.87965909922778</v>
      </c>
      <c r="K2544" s="5" t="n">
        <v>59</v>
      </c>
    </row>
    <row r="2545">
      <c r="A2545" s="2" t="n">
        <v>46203.41666666666</v>
      </c>
      <c r="B2545">
        <f>TEXT(A2545,"yyyy-mm")</f>
        <v/>
      </c>
      <c r="C2545" s="3">
        <f>HOUR(A2545)</f>
        <v/>
      </c>
      <c r="D2545" s="4" t="n">
        <v>27.76174405986111</v>
      </c>
      <c r="E2545" s="4" t="n"/>
      <c r="F2545" s="4" t="n">
        <v>29.36447323</v>
      </c>
      <c r="G2545" s="4" t="n">
        <v>24.9</v>
      </c>
      <c r="H2545" s="5" t="n">
        <v>42.48688594194444</v>
      </c>
      <c r="I2545" s="5" t="n"/>
      <c r="J2545" s="5" t="n">
        <v>47.86953329445</v>
      </c>
      <c r="K2545" s="5" t="n">
        <v>54</v>
      </c>
    </row>
    <row r="2546">
      <c r="A2546" s="2" t="n">
        <v>46203.45833333334</v>
      </c>
      <c r="B2546">
        <f>TEXT(A2546,"yyyy-mm")</f>
        <v/>
      </c>
      <c r="C2546" s="3">
        <f>HOUR(A2546)</f>
        <v/>
      </c>
      <c r="D2546" s="4" t="n">
        <v>27.97481046210556</v>
      </c>
      <c r="E2546" s="4" t="n"/>
      <c r="F2546" s="4" t="n">
        <v>29.40490349471389</v>
      </c>
      <c r="G2546" s="4" t="n">
        <v>26.6</v>
      </c>
      <c r="H2546" s="5" t="n">
        <v>42.75185732963055</v>
      </c>
      <c r="I2546" s="5" t="n"/>
      <c r="J2546" s="5" t="n">
        <v>47.78479528605278</v>
      </c>
      <c r="K2546" s="5" t="n">
        <v>49</v>
      </c>
    </row>
    <row r="2547">
      <c r="A2547" s="2" t="n">
        <v>46203.5</v>
      </c>
      <c r="B2547">
        <f>TEXT(A2547,"yyyy-mm")</f>
        <v/>
      </c>
      <c r="C2547" s="3">
        <f>HOUR(A2547)</f>
        <v/>
      </c>
      <c r="D2547" s="4" t="n">
        <v>27.99635954875</v>
      </c>
      <c r="E2547" s="4" t="n"/>
      <c r="F2547" s="4" t="n">
        <v>29.42766734973334</v>
      </c>
      <c r="G2547" s="4" t="n">
        <v>28.1</v>
      </c>
      <c r="H2547" s="5" t="n">
        <v>42.413358479925</v>
      </c>
      <c r="I2547" s="5" t="n"/>
      <c r="J2547" s="5" t="n">
        <v>47.93090226391389</v>
      </c>
      <c r="K2547" s="5" t="n">
        <v>45</v>
      </c>
    </row>
    <row r="2548">
      <c r="A2548" s="2" t="n">
        <v>46203.54166666666</v>
      </c>
      <c r="B2548">
        <f>TEXT(A2548,"yyyy-mm")</f>
        <v/>
      </c>
      <c r="C2548" s="3">
        <f>HOUR(A2548)</f>
        <v/>
      </c>
      <c r="D2548" s="4" t="n">
        <v>28.07552275129167</v>
      </c>
      <c r="E2548" s="4" t="n"/>
      <c r="F2548" s="4" t="n">
        <v>29.44344268115</v>
      </c>
      <c r="G2548" s="4" t="n">
        <v>27.1</v>
      </c>
      <c r="H2548" s="5" t="n">
        <v>43.79997018364722</v>
      </c>
      <c r="I2548" s="5" t="n"/>
      <c r="J2548" s="5" t="n">
        <v>47.94692875440833</v>
      </c>
      <c r="K2548" s="5" t="n">
        <v>48</v>
      </c>
    </row>
    <row r="2549">
      <c r="A2549" s="2" t="n">
        <v>46203.58333333334</v>
      </c>
      <c r="B2549">
        <f>TEXT(A2549,"yyyy-mm")</f>
        <v/>
      </c>
      <c r="C2549" s="3">
        <f>HOUR(A2549)</f>
        <v/>
      </c>
      <c r="D2549" s="4" t="n">
        <v>28.08560744649445</v>
      </c>
      <c r="E2549" s="4" t="n"/>
      <c r="F2549" s="4" t="n">
        <v>29.44954178290278</v>
      </c>
      <c r="G2549" s="4" t="n">
        <v>27.4</v>
      </c>
      <c r="H2549" s="5" t="n">
        <v>43.536866460875</v>
      </c>
      <c r="I2549" s="5" t="n"/>
      <c r="J2549" s="5" t="n">
        <v>47.84749610928055</v>
      </c>
      <c r="K2549" s="5" t="n">
        <v>47</v>
      </c>
    </row>
    <row r="2550">
      <c r="A2550" s="2" t="n">
        <v>46203.625</v>
      </c>
      <c r="B2550">
        <f>TEXT(A2550,"yyyy-mm")</f>
        <v/>
      </c>
      <c r="C2550" s="3">
        <f>HOUR(A2550)</f>
        <v/>
      </c>
      <c r="D2550" s="4" t="n">
        <v>28.23980110321111</v>
      </c>
      <c r="E2550" s="4" t="n"/>
      <c r="F2550" s="4" t="n">
        <v>29.45088857625833</v>
      </c>
      <c r="G2550" s="4" t="n">
        <v>28.4</v>
      </c>
      <c r="H2550" s="5" t="n">
        <v>43.06928911089722</v>
      </c>
      <c r="I2550" s="5" t="n"/>
      <c r="J2550" s="5" t="n">
        <v>47.59890616596667</v>
      </c>
      <c r="K2550" s="5" t="n">
        <v>44</v>
      </c>
    </row>
    <row r="2551">
      <c r="A2551" s="2" t="n">
        <v>46203.66666666666</v>
      </c>
      <c r="B2551">
        <f>TEXT(A2551,"yyyy-mm")</f>
        <v/>
      </c>
      <c r="C2551" s="3">
        <f>HOUR(A2551)</f>
        <v/>
      </c>
      <c r="D2551" s="4" t="n">
        <v>27.718447952725</v>
      </c>
      <c r="E2551" s="4" t="n"/>
      <c r="F2551" s="4" t="n">
        <v>29.46041612319722</v>
      </c>
      <c r="G2551" s="4" t="n">
        <v>28.2</v>
      </c>
      <c r="H2551" s="5" t="n">
        <v>41.07363924061666</v>
      </c>
      <c r="I2551" s="5" t="n"/>
      <c r="J2551" s="5" t="n">
        <v>47.31494687652778</v>
      </c>
      <c r="K2551" s="5" t="n">
        <v>45</v>
      </c>
    </row>
    <row r="2552">
      <c r="A2552" s="2" t="n">
        <v>46203.70833333334</v>
      </c>
      <c r="B2552">
        <f>TEXT(A2552,"yyyy-mm")</f>
        <v/>
      </c>
      <c r="C2552" s="3">
        <f>HOUR(A2552)</f>
        <v/>
      </c>
      <c r="D2552" s="4" t="n">
        <v>27.70228996315834</v>
      </c>
      <c r="E2552" s="4" t="n"/>
      <c r="F2552" s="4" t="n">
        <v>29.44476357280834</v>
      </c>
      <c r="G2552" s="4" t="n">
        <v>27.6</v>
      </c>
      <c r="H2552" s="5" t="n">
        <v>40.52007487927778</v>
      </c>
      <c r="I2552" s="5" t="n"/>
      <c r="J2552" s="5" t="n">
        <v>46.95733763474166</v>
      </c>
      <c r="K2552" s="5" t="n">
        <v>46</v>
      </c>
    </row>
    <row r="2553">
      <c r="A2553" s="2" t="n">
        <v>46203.75</v>
      </c>
      <c r="B2553">
        <f>TEXT(A2553,"yyyy-mm")</f>
        <v/>
      </c>
      <c r="C2553" s="3">
        <f>HOUR(A2553)</f>
        <v/>
      </c>
      <c r="D2553" s="4" t="n">
        <v>28.38513410164444</v>
      </c>
      <c r="E2553" s="4" t="n"/>
      <c r="F2553" s="4" t="n">
        <v>29.45544560653889</v>
      </c>
      <c r="G2553" s="4" t="n">
        <v>27.3</v>
      </c>
      <c r="H2553" s="5" t="n">
        <v>42.41013837519167</v>
      </c>
      <c r="I2553" s="5" t="n"/>
      <c r="J2553" s="5" t="n">
        <v>46.83832982672778</v>
      </c>
      <c r="K2553" s="5" t="n">
        <v>46</v>
      </c>
    </row>
    <row r="2554">
      <c r="A2554" s="2" t="n">
        <v>46203.79166666666</v>
      </c>
      <c r="B2554">
        <f>TEXT(A2554,"yyyy-mm")</f>
        <v/>
      </c>
      <c r="C2554" s="3">
        <f>HOUR(A2554)</f>
        <v/>
      </c>
      <c r="D2554" s="4" t="n">
        <v>28.640332504525</v>
      </c>
      <c r="E2554" s="4" t="n"/>
      <c r="F2554" s="4" t="n">
        <v>29.47330599272222</v>
      </c>
      <c r="G2554" s="4" t="n">
        <v>26.7</v>
      </c>
      <c r="H2554" s="5" t="n">
        <v>44.22755726864444</v>
      </c>
      <c r="I2554" s="5" t="n"/>
      <c r="J2554" s="5" t="n">
        <v>46.74408223000555</v>
      </c>
      <c r="K2554" s="5" t="n">
        <v>47</v>
      </c>
    </row>
    <row r="2555">
      <c r="A2555" s="2" t="n">
        <v>46203.83333333334</v>
      </c>
      <c r="B2555">
        <f>TEXT(A2555,"yyyy-mm")</f>
        <v/>
      </c>
      <c r="C2555" s="3">
        <f>HOUR(A2555)</f>
        <v/>
      </c>
      <c r="D2555" s="4" t="n">
        <v>28.48944283888889</v>
      </c>
      <c r="E2555" s="4" t="n"/>
      <c r="F2555" s="4" t="n">
        <v>29.48061102661389</v>
      </c>
      <c r="G2555" s="4" t="n">
        <v>26</v>
      </c>
      <c r="H2555" s="5" t="n">
        <v>43.631198378375</v>
      </c>
      <c r="I2555" s="5" t="n"/>
      <c r="J2555" s="5" t="n">
        <v>46.73019452113888</v>
      </c>
      <c r="K2555" s="5" t="n">
        <v>49</v>
      </c>
    </row>
    <row r="2556">
      <c r="A2556" s="2" t="n">
        <v>46203.875</v>
      </c>
      <c r="B2556">
        <f>TEXT(A2556,"yyyy-mm")</f>
        <v/>
      </c>
      <c r="C2556" s="3">
        <f>HOUR(A2556)</f>
        <v/>
      </c>
      <c r="D2556" s="4" t="n">
        <v>26.78355344411666</v>
      </c>
      <c r="E2556" s="4" t="n"/>
      <c r="F2556" s="4" t="n">
        <v>29.44328656492222</v>
      </c>
      <c r="G2556" s="4" t="n">
        <v>25.1</v>
      </c>
      <c r="H2556" s="5" t="n">
        <v>40.09971413885834</v>
      </c>
      <c r="I2556" s="5" t="n"/>
      <c r="J2556" s="5" t="n">
        <v>46.46203403999444</v>
      </c>
      <c r="K2556" s="5" t="n">
        <v>52</v>
      </c>
    </row>
    <row r="2557">
      <c r="A2557" s="2" t="n">
        <v>46203.91666666666</v>
      </c>
      <c r="B2557">
        <f>TEXT(A2557,"yyyy-mm")</f>
        <v/>
      </c>
      <c r="C2557" s="3">
        <f>HOUR(A2557)</f>
        <v/>
      </c>
      <c r="D2557" s="4" t="n">
        <v>24.86892785208333</v>
      </c>
      <c r="E2557" s="4" t="n"/>
      <c r="F2557" s="4" t="n">
        <v>29.05190963206111</v>
      </c>
      <c r="G2557" s="4" t="n">
        <v>23.8</v>
      </c>
      <c r="H2557" s="5" t="n">
        <v>36.64881369730833</v>
      </c>
      <c r="I2557" s="5" t="n"/>
      <c r="J2557" s="5" t="n">
        <v>44.06865157028611</v>
      </c>
      <c r="K2557" s="5" t="n">
        <v>58</v>
      </c>
    </row>
    <row r="2558">
      <c r="A2558" s="2" t="n">
        <v>46203.95833333334</v>
      </c>
      <c r="B2558">
        <f>TEXT(A2558,"yyyy-mm")</f>
        <v/>
      </c>
      <c r="C2558" s="3">
        <f>HOUR(A2558)</f>
        <v/>
      </c>
      <c r="D2558" s="4" t="n">
        <v>24.38348809897222</v>
      </c>
      <c r="E2558" s="4" t="n"/>
      <c r="F2558" s="4" t="n">
        <v>28.979735381175</v>
      </c>
      <c r="G2558" s="4" t="n">
        <v>22.7</v>
      </c>
      <c r="H2558" s="5" t="n">
        <v>38.02554254322778</v>
      </c>
      <c r="I2558" s="5" t="n"/>
      <c r="J2558" s="5" t="n">
        <v>43.61439110781112</v>
      </c>
      <c r="K2558" s="5" t="n">
        <v>63</v>
      </c>
    </row>
    <row r="2559">
      <c r="A2559" s="2" t="n">
        <v>46204</v>
      </c>
      <c r="B2559">
        <f>TEXT(A2559,"yyyy-mm")</f>
        <v/>
      </c>
      <c r="C2559" s="3">
        <f>HOUR(A2559)</f>
        <v/>
      </c>
      <c r="D2559" s="4" t="n">
        <v>23.97143442486111</v>
      </c>
      <c r="E2559" s="4" t="n"/>
      <c r="F2559" s="4" t="n">
        <v>29.09777476606111</v>
      </c>
      <c r="G2559" s="4" t="n">
        <v>21.9</v>
      </c>
      <c r="H2559" s="5" t="n">
        <v>38.66576457206389</v>
      </c>
      <c r="I2559" s="5" t="n"/>
      <c r="J2559" s="5" t="n">
        <v>43.79509943146112</v>
      </c>
      <c r="K2559" s="5" t="n">
        <v>64</v>
      </c>
    </row>
    <row r="2560">
      <c r="A2560" s="2" t="n">
        <v>46204.04166666666</v>
      </c>
      <c r="B2560">
        <f>TEXT(A2560,"yyyy-mm")</f>
        <v/>
      </c>
      <c r="C2560" s="3">
        <f>HOUR(A2560)</f>
        <v/>
      </c>
      <c r="D2560" s="4" t="n">
        <v>25.70864861196111</v>
      </c>
      <c r="E2560" s="4" t="n"/>
      <c r="F2560" s="4" t="n">
        <v>29.16374363832223</v>
      </c>
      <c r="G2560" s="4" t="n">
        <v>21.2</v>
      </c>
      <c r="H2560" s="5" t="n">
        <v>43.97867777354722</v>
      </c>
      <c r="I2560" s="5" t="n"/>
      <c r="J2560" s="5" t="n">
        <v>44.08646050438056</v>
      </c>
      <c r="K2560" s="5" t="n">
        <v>64</v>
      </c>
    </row>
    <row r="2561">
      <c r="A2561" s="2" t="n">
        <v>46204.08333333334</v>
      </c>
      <c r="B2561">
        <f>TEXT(A2561,"yyyy-mm")</f>
        <v/>
      </c>
      <c r="C2561" s="3">
        <f>HOUR(A2561)</f>
        <v/>
      </c>
      <c r="D2561" s="4" t="n">
        <v>26.522854820025</v>
      </c>
      <c r="E2561" s="4" t="n"/>
      <c r="F2561" s="4" t="n">
        <v>29.32975359610555</v>
      </c>
      <c r="G2561" s="4" t="n">
        <v>20.6</v>
      </c>
      <c r="H2561" s="5" t="n">
        <v>46.73714912400556</v>
      </c>
      <c r="I2561" s="5" t="n"/>
      <c r="J2561" s="5" t="n">
        <v>45.30135910167778</v>
      </c>
      <c r="K2561" s="5" t="n">
        <v>64</v>
      </c>
    </row>
    <row r="2562">
      <c r="A2562" s="2" t="n">
        <v>46204.125</v>
      </c>
      <c r="B2562">
        <f>TEXT(A2562,"yyyy-mm")</f>
        <v/>
      </c>
      <c r="C2562" s="3">
        <f>HOUR(A2562)</f>
        <v/>
      </c>
      <c r="D2562" s="4" t="n">
        <v>26.65263786201945</v>
      </c>
      <c r="E2562" s="4" t="n"/>
      <c r="F2562" s="4" t="n">
        <v>29.44553067683333</v>
      </c>
      <c r="G2562" s="4" t="n">
        <v>19.3</v>
      </c>
      <c r="H2562" s="5" t="n">
        <v>46.63169903410833</v>
      </c>
      <c r="I2562" s="5" t="n"/>
      <c r="J2562" s="5" t="n">
        <v>45.91673707848333</v>
      </c>
      <c r="K2562" s="5" t="n">
        <v>72</v>
      </c>
    </row>
    <row r="2563">
      <c r="A2563" s="2" t="n">
        <v>46204.16666666666</v>
      </c>
      <c r="B2563">
        <f>TEXT(A2563,"yyyy-mm")</f>
        <v/>
      </c>
      <c r="C2563" s="3">
        <f>HOUR(A2563)</f>
        <v/>
      </c>
      <c r="D2563" s="4" t="n">
        <v>26.65708668798611</v>
      </c>
      <c r="E2563" s="4" t="n"/>
      <c r="F2563" s="4" t="n">
        <v>29.472861439925</v>
      </c>
      <c r="G2563" s="4" t="n">
        <v>18.6</v>
      </c>
      <c r="H2563" s="5" t="n">
        <v>46.26974839545833</v>
      </c>
      <c r="I2563" s="5" t="n"/>
      <c r="J2563" s="5" t="n">
        <v>46.10035244745833</v>
      </c>
      <c r="K2563" s="5" t="n">
        <v>76</v>
      </c>
    </row>
    <row r="2564">
      <c r="A2564" s="2" t="n">
        <v>46204.20833333334</v>
      </c>
      <c r="B2564">
        <f>TEXT(A2564,"yyyy-mm")</f>
        <v/>
      </c>
      <c r="C2564" s="3">
        <f>HOUR(A2564)</f>
        <v/>
      </c>
      <c r="D2564" s="4" t="n">
        <v>26.83097411013334</v>
      </c>
      <c r="E2564" s="4" t="n"/>
      <c r="F2564" s="4" t="n">
        <v>29.46024913590833</v>
      </c>
      <c r="G2564" s="4" t="n">
        <v>18.2</v>
      </c>
      <c r="H2564" s="5" t="n">
        <v>45.993689651575</v>
      </c>
      <c r="I2564" s="5" t="n"/>
      <c r="J2564" s="5" t="n">
        <v>46.165083449875</v>
      </c>
      <c r="K2564" s="5" t="n">
        <v>77</v>
      </c>
    </row>
    <row r="2565">
      <c r="A2565" s="2" t="n">
        <v>46204.25</v>
      </c>
      <c r="B2565">
        <f>TEXT(A2565,"yyyy-mm")</f>
        <v/>
      </c>
      <c r="C2565" s="3">
        <f>HOUR(A2565)</f>
        <v/>
      </c>
      <c r="D2565" s="4" t="n">
        <v>27.37950504453612</v>
      </c>
      <c r="E2565" s="4" t="n"/>
      <c r="F2565" s="4" t="n">
        <v>29.44534677017223</v>
      </c>
      <c r="G2565" s="4" t="n">
        <v>18.9</v>
      </c>
      <c r="H2565" s="5" t="n">
        <v>45.50353411049445</v>
      </c>
      <c r="I2565" s="5" t="n"/>
      <c r="J2565" s="5" t="n">
        <v>46.15374835773056</v>
      </c>
      <c r="K2565" s="5" t="n">
        <v>75</v>
      </c>
    </row>
    <row r="2566">
      <c r="A2566" s="2" t="n">
        <v>46204.29166666666</v>
      </c>
      <c r="B2566">
        <f>TEXT(A2566,"yyyy-mm")</f>
        <v/>
      </c>
      <c r="C2566" s="3">
        <f>HOUR(A2566)</f>
        <v/>
      </c>
      <c r="D2566" s="4" t="n">
        <v>28.01540139610277</v>
      </c>
      <c r="E2566" s="4" t="n"/>
      <c r="F2566" s="4" t="n">
        <v>29.44213864302223</v>
      </c>
      <c r="G2566" s="4" t="n">
        <v>20.4</v>
      </c>
      <c r="H2566" s="5" t="n">
        <v>45.07864668895834</v>
      </c>
      <c r="I2566" s="5" t="n"/>
      <c r="J2566" s="5" t="n">
        <v>46.11729015524167</v>
      </c>
      <c r="K2566" s="5" t="n">
        <v>70</v>
      </c>
    </row>
    <row r="2567">
      <c r="A2567" s="2" t="n">
        <v>46204.33333333334</v>
      </c>
      <c r="B2567">
        <f>TEXT(A2567,"yyyy-mm")</f>
        <v/>
      </c>
      <c r="C2567" s="3">
        <f>HOUR(A2567)</f>
        <v/>
      </c>
      <c r="D2567" s="4" t="n">
        <v>28.68312555380278</v>
      </c>
      <c r="E2567" s="4" t="n"/>
      <c r="F2567" s="4" t="n">
        <v>29.45587672523333</v>
      </c>
      <c r="G2567" s="4" t="n">
        <v>22.5</v>
      </c>
      <c r="H2567" s="5" t="n">
        <v>44.45300645626112</v>
      </c>
      <c r="I2567" s="5" t="n"/>
      <c r="J2567" s="5" t="n">
        <v>46.12453234975556</v>
      </c>
      <c r="K2567" s="5" t="n">
        <v>62</v>
      </c>
    </row>
    <row r="2568">
      <c r="A2568" s="2" t="n">
        <v>46204.375</v>
      </c>
      <c r="B2568">
        <f>TEXT(A2568,"yyyy-mm")</f>
        <v/>
      </c>
      <c r="C2568" s="3">
        <f>HOUR(A2568)</f>
        <v/>
      </c>
      <c r="D2568" s="4" t="n">
        <v>29.18278192668056</v>
      </c>
      <c r="E2568" s="4" t="n"/>
      <c r="F2568" s="4" t="n">
        <v>29.49697406136667</v>
      </c>
      <c r="G2568" s="4" t="n">
        <v>25.1</v>
      </c>
      <c r="H2568" s="5" t="n">
        <v>43.90181763</v>
      </c>
      <c r="I2568" s="5" t="n"/>
      <c r="J2568" s="5" t="n">
        <v>46.21141597920001</v>
      </c>
      <c r="K2568" s="5" t="n">
        <v>53</v>
      </c>
    </row>
    <row r="2569">
      <c r="A2569" s="2" t="n">
        <v>46204.41666666666</v>
      </c>
      <c r="B2569">
        <f>TEXT(A2569,"yyyy-mm")</f>
        <v/>
      </c>
      <c r="C2569" s="3">
        <f>HOUR(A2569)</f>
        <v/>
      </c>
      <c r="D2569" s="4" t="n">
        <v>28.315884656475</v>
      </c>
      <c r="E2569" s="4" t="n"/>
      <c r="F2569" s="4" t="n">
        <v>29.62710285627222</v>
      </c>
      <c r="G2569" s="4" t="n">
        <v>26.4</v>
      </c>
      <c r="H2569" s="5" t="n">
        <v>38.31382347813612</v>
      </c>
      <c r="I2569" s="5" t="n"/>
      <c r="J2569" s="5" t="n">
        <v>48.01023738981388</v>
      </c>
      <c r="K2569" s="5" t="n">
        <v>47</v>
      </c>
    </row>
    <row r="2570">
      <c r="A2570" s="2" t="n">
        <v>46204.45833333334</v>
      </c>
      <c r="B2570">
        <f>TEXT(A2570,"yyyy-mm")</f>
        <v/>
      </c>
      <c r="C2570" s="3">
        <f>HOUR(A2570)</f>
        <v/>
      </c>
      <c r="D2570" s="4" t="n">
        <v>26.52959967138056</v>
      </c>
      <c r="E2570" s="4" t="n"/>
      <c r="F2570" s="4" t="n">
        <v>29.62647537742222</v>
      </c>
      <c r="G2570" s="4" t="n">
        <v>27.5</v>
      </c>
      <c r="H2570" s="5" t="n">
        <v>34.57094841480278</v>
      </c>
      <c r="I2570" s="5" t="n"/>
      <c r="J2570" s="5" t="n">
        <v>45.89912960824444</v>
      </c>
      <c r="K2570" s="5" t="n">
        <v>42</v>
      </c>
    </row>
    <row r="2571">
      <c r="A2571" s="2" t="n">
        <v>46204.5</v>
      </c>
      <c r="B2571">
        <f>TEXT(A2571,"yyyy-mm")</f>
        <v/>
      </c>
      <c r="C2571" s="3">
        <f>HOUR(A2571)</f>
        <v/>
      </c>
      <c r="D2571" s="4" t="n">
        <v>25.89114583481389</v>
      </c>
      <c r="E2571" s="4" t="n"/>
      <c r="F2571" s="4" t="n">
        <v>29.66204221521667</v>
      </c>
      <c r="G2571" s="4" t="n">
        <v>28.4</v>
      </c>
      <c r="H2571" s="5" t="n">
        <v>34.93742547034722</v>
      </c>
      <c r="I2571" s="5" t="n"/>
      <c r="J2571" s="5" t="n">
        <v>45.12968467205278</v>
      </c>
      <c r="K2571" s="5" t="n">
        <v>39</v>
      </c>
    </row>
    <row r="2572">
      <c r="A2572" s="2" t="n">
        <v>46204.54166666666</v>
      </c>
      <c r="B2572">
        <f>TEXT(A2572,"yyyy-mm")</f>
        <v/>
      </c>
      <c r="C2572" s="3">
        <f>HOUR(A2572)</f>
        <v/>
      </c>
      <c r="D2572" s="4" t="n">
        <v>25.95214725489722</v>
      </c>
      <c r="E2572" s="4" t="n"/>
      <c r="F2572" s="4" t="n">
        <v>29.55907728898889</v>
      </c>
      <c r="G2572" s="4" t="n">
        <v>29.2</v>
      </c>
      <c r="H2572" s="5" t="n">
        <v>37.17881052731666</v>
      </c>
      <c r="I2572" s="5" t="n"/>
      <c r="J2572" s="5" t="n">
        <v>44.45336188667222</v>
      </c>
      <c r="K2572" s="5" t="n">
        <v>36</v>
      </c>
    </row>
    <row r="2573">
      <c r="A2573" s="2" t="n">
        <v>46204.58333333334</v>
      </c>
      <c r="B2573">
        <f>TEXT(A2573,"yyyy-mm")</f>
        <v/>
      </c>
      <c r="C2573" s="3">
        <f>HOUR(A2573)</f>
        <v/>
      </c>
      <c r="D2573" s="4" t="n">
        <v>26.14468972924166</v>
      </c>
      <c r="E2573" s="4" t="n"/>
      <c r="F2573" s="4" t="n">
        <v>28.99450765541944</v>
      </c>
      <c r="G2573" s="4" t="n">
        <v>29.8</v>
      </c>
      <c r="H2573" s="5" t="n">
        <v>40.67238026294167</v>
      </c>
      <c r="I2573" s="5" t="n"/>
      <c r="J2573" s="5" t="n">
        <v>45.80280838766944</v>
      </c>
      <c r="K2573" s="5" t="n">
        <v>34</v>
      </c>
    </row>
    <row r="2574">
      <c r="A2574" s="2" t="n">
        <v>46204.625</v>
      </c>
      <c r="B2574">
        <f>TEXT(A2574,"yyyy-mm")</f>
        <v/>
      </c>
      <c r="C2574" s="3">
        <f>HOUR(A2574)</f>
        <v/>
      </c>
      <c r="D2574" s="4" t="n">
        <v>26.08164819851666</v>
      </c>
      <c r="E2574" s="4" t="n"/>
      <c r="F2574" s="4" t="n">
        <v>28.30166236011112</v>
      </c>
      <c r="G2574" s="4" t="n">
        <v>30.5</v>
      </c>
      <c r="H2574" s="5" t="n">
        <v>39.14668653323056</v>
      </c>
      <c r="I2574" s="5" t="n"/>
      <c r="J2574" s="5" t="n">
        <v>45.91967289721389</v>
      </c>
      <c r="K2574" s="5" t="n">
        <v>33</v>
      </c>
    </row>
    <row r="2575">
      <c r="A2575" s="2" t="n">
        <v>46204.66666666666</v>
      </c>
      <c r="B2575">
        <f>TEXT(A2575,"yyyy-mm")</f>
        <v/>
      </c>
      <c r="C2575" s="3">
        <f>HOUR(A2575)</f>
        <v/>
      </c>
      <c r="D2575" s="4" t="n">
        <v>25.99127937300278</v>
      </c>
      <c r="E2575" s="4" t="n"/>
      <c r="F2575" s="4" t="n">
        <v>28.17641670680833</v>
      </c>
      <c r="G2575" s="4" t="n">
        <v>30.5</v>
      </c>
      <c r="H2575" s="5" t="n">
        <v>41.40717227635277</v>
      </c>
      <c r="I2575" s="5" t="n"/>
      <c r="J2575" s="5" t="n">
        <v>48.04870223859445</v>
      </c>
      <c r="K2575" s="5" t="n">
        <v>32</v>
      </c>
    </row>
    <row r="2576">
      <c r="A2576" s="2" t="n">
        <v>46204.70833333334</v>
      </c>
      <c r="B2576">
        <f>TEXT(A2576,"yyyy-mm")</f>
        <v/>
      </c>
      <c r="C2576" s="3">
        <f>HOUR(A2576)</f>
        <v/>
      </c>
      <c r="D2576" s="4" t="n">
        <v>26.042794913675</v>
      </c>
      <c r="E2576" s="4" t="n"/>
      <c r="F2576" s="4" t="n">
        <v>28.03567530731112</v>
      </c>
      <c r="G2576" s="4" t="n">
        <v>30.2</v>
      </c>
      <c r="H2576" s="5" t="n">
        <v>41.82638671358611</v>
      </c>
      <c r="I2576" s="5" t="n"/>
      <c r="J2576" s="5" t="n">
        <v>48.8974290982139</v>
      </c>
      <c r="K2576" s="5" t="n">
        <v>34</v>
      </c>
    </row>
    <row r="2577">
      <c r="A2577" s="2" t="n">
        <v>46204.75</v>
      </c>
      <c r="B2577">
        <f>TEXT(A2577,"yyyy-mm")</f>
        <v/>
      </c>
      <c r="C2577" s="3">
        <f>HOUR(A2577)</f>
        <v/>
      </c>
      <c r="D2577" s="4" t="n">
        <v>25.87792761177223</v>
      </c>
      <c r="E2577" s="4" t="n"/>
      <c r="F2577" s="4" t="n">
        <v>28.43141533438056</v>
      </c>
      <c r="G2577" s="4" t="n">
        <v>29.8</v>
      </c>
      <c r="H2577" s="5" t="n">
        <v>41.45712076378612</v>
      </c>
      <c r="I2577" s="5" t="n"/>
      <c r="J2577" s="5" t="n">
        <v>47.44752539363889</v>
      </c>
      <c r="K2577" s="5" t="n">
        <v>35</v>
      </c>
    </row>
    <row r="2578">
      <c r="A2578" s="2" t="n">
        <v>46204.79166666666</v>
      </c>
      <c r="B2578">
        <f>TEXT(A2578,"yyyy-mm")</f>
        <v/>
      </c>
      <c r="C2578" s="3">
        <f>HOUR(A2578)</f>
        <v/>
      </c>
      <c r="D2578" s="4" t="n">
        <v>24.92330718940278</v>
      </c>
      <c r="E2578" s="4" t="n"/>
      <c r="F2578" s="4" t="n">
        <v>28.85967744301945</v>
      </c>
      <c r="G2578" s="4" t="n">
        <v>29.4</v>
      </c>
      <c r="H2578" s="5" t="n">
        <v>37.03149801524167</v>
      </c>
      <c r="I2578" s="5" t="n"/>
      <c r="J2578" s="5" t="n">
        <v>46.3170111035</v>
      </c>
      <c r="K2578" s="5" t="n">
        <v>36</v>
      </c>
    </row>
    <row r="2579">
      <c r="A2579" s="2" t="n">
        <v>46204.83333333334</v>
      </c>
      <c r="B2579">
        <f>TEXT(A2579,"yyyy-mm")</f>
        <v/>
      </c>
      <c r="C2579" s="3">
        <f>HOUR(A2579)</f>
        <v/>
      </c>
      <c r="D2579" s="4" t="n">
        <v>25.03651641766666</v>
      </c>
      <c r="E2579" s="4" t="n"/>
      <c r="F2579" s="4" t="n">
        <v>29.01289655556944</v>
      </c>
      <c r="G2579" s="4" t="n">
        <v>28.7</v>
      </c>
      <c r="H2579" s="5" t="n">
        <v>43.95324948228055</v>
      </c>
      <c r="I2579" s="5" t="n"/>
      <c r="J2579" s="5" t="n">
        <v>46.01856808269167</v>
      </c>
      <c r="K2579" s="5" t="n">
        <v>38</v>
      </c>
    </row>
    <row r="2580">
      <c r="A2580" s="2" t="n">
        <v>46204.875</v>
      </c>
      <c r="B2580">
        <f>TEXT(A2580,"yyyy-mm")</f>
        <v/>
      </c>
      <c r="C2580" s="3">
        <f>HOUR(A2580)</f>
        <v/>
      </c>
      <c r="D2580" s="4" t="n">
        <v>25.82876162825277</v>
      </c>
      <c r="E2580" s="4" t="n"/>
      <c r="F2580" s="4" t="n">
        <v>29.11073917315833</v>
      </c>
      <c r="G2580" s="4" t="n">
        <v>27.6</v>
      </c>
      <c r="H2580" s="5" t="n">
        <v>46.92504959738888</v>
      </c>
      <c r="I2580" s="5" t="n"/>
      <c r="J2580" s="5" t="n">
        <v>46.17772764878888</v>
      </c>
      <c r="K2580" s="5" t="n">
        <v>41</v>
      </c>
    </row>
    <row r="2581">
      <c r="A2581" s="2" t="n">
        <v>46204.91666666666</v>
      </c>
      <c r="B2581">
        <f>TEXT(A2581,"yyyy-mm")</f>
        <v/>
      </c>
      <c r="C2581" s="3">
        <f>HOUR(A2581)</f>
        <v/>
      </c>
      <c r="D2581" s="4" t="n">
        <v>26.79176392387222</v>
      </c>
      <c r="E2581" s="4" t="n"/>
      <c r="F2581" s="4" t="n">
        <v>29.02928538066945</v>
      </c>
      <c r="G2581" s="4" t="n">
        <v>26.7</v>
      </c>
      <c r="H2581" s="5" t="n">
        <v>46.75455522160834</v>
      </c>
      <c r="I2581" s="5" t="n"/>
      <c r="J2581" s="5" t="n">
        <v>49.74440039271945</v>
      </c>
      <c r="K2581" s="5" t="n">
        <v>45</v>
      </c>
    </row>
    <row r="2582">
      <c r="A2582" s="2" t="n">
        <v>46204.95833333334</v>
      </c>
      <c r="B2582">
        <f>TEXT(A2582,"yyyy-mm")</f>
        <v/>
      </c>
      <c r="C2582" s="3">
        <f>HOUR(A2582)</f>
        <v/>
      </c>
      <c r="D2582" s="4" t="n">
        <v>24.78402045432778</v>
      </c>
      <c r="E2582" s="4" t="n"/>
      <c r="F2582" s="4" t="n">
        <v>27.74999204647222</v>
      </c>
      <c r="G2582" s="4" t="n">
        <v>25.6</v>
      </c>
      <c r="H2582" s="5" t="n">
        <v>39.65693707149445</v>
      </c>
      <c r="I2582" s="5" t="n"/>
      <c r="J2582" s="5" t="n">
        <v>45.62741552579723</v>
      </c>
      <c r="K2582" s="5" t="n">
        <v>51</v>
      </c>
    </row>
    <row r="2583">
      <c r="A2583" s="2" t="n">
        <v>46205</v>
      </c>
      <c r="B2583">
        <f>TEXT(A2583,"yyyy-mm")</f>
        <v/>
      </c>
      <c r="C2583" s="3">
        <f>HOUR(A2583)</f>
        <v/>
      </c>
      <c r="D2583" s="4" t="n">
        <v>24.30667352493333</v>
      </c>
      <c r="E2583" s="4" t="n"/>
      <c r="F2583" s="4" t="n">
        <v>28.28473199236112</v>
      </c>
      <c r="G2583" s="4" t="n">
        <v>24.1</v>
      </c>
      <c r="H2583" s="5" t="n">
        <v>38.25641735843889</v>
      </c>
      <c r="I2583" s="5" t="n"/>
      <c r="J2583" s="5" t="n">
        <v>45.10166062245278</v>
      </c>
      <c r="K2583" s="5" t="n">
        <v>60</v>
      </c>
    </row>
    <row r="2584">
      <c r="A2584" s="2" t="n">
        <v>46205.04166666666</v>
      </c>
      <c r="B2584">
        <f>TEXT(A2584,"yyyy-mm")</f>
        <v/>
      </c>
      <c r="C2584" s="3">
        <f>HOUR(A2584)</f>
        <v/>
      </c>
      <c r="D2584" s="4" t="n">
        <v>24.86322713718889</v>
      </c>
      <c r="E2584" s="4" t="n"/>
      <c r="F2584" s="4" t="n">
        <v>28.67206989280277</v>
      </c>
      <c r="G2584" s="4" t="n">
        <v>23.2</v>
      </c>
      <c r="H2584" s="5" t="n">
        <v>40.34471952265277</v>
      </c>
      <c r="I2584" s="5" t="n"/>
      <c r="J2584" s="5" t="n">
        <v>44.8369752792</v>
      </c>
      <c r="K2584" s="5" t="n">
        <v>64</v>
      </c>
    </row>
    <row r="2585">
      <c r="A2585" s="2" t="n">
        <v>46205.08333333334</v>
      </c>
      <c r="B2585">
        <f>TEXT(A2585,"yyyy-mm")</f>
        <v/>
      </c>
      <c r="C2585" s="3">
        <f>HOUR(A2585)</f>
        <v/>
      </c>
      <c r="D2585" s="4" t="n">
        <v>26.36503855846945</v>
      </c>
      <c r="E2585" s="4" t="n"/>
      <c r="F2585" s="4" t="n">
        <v>28.87462204740833</v>
      </c>
      <c r="G2585" s="4" t="n">
        <v>22.6</v>
      </c>
      <c r="H2585" s="5" t="n">
        <v>46.21810712193334</v>
      </c>
      <c r="I2585" s="5" t="n"/>
      <c r="J2585" s="5" t="n">
        <v>45.52923286206666</v>
      </c>
      <c r="K2585" s="5" t="n">
        <v>64</v>
      </c>
    </row>
    <row r="2586">
      <c r="A2586" s="2" t="n">
        <v>46205.125</v>
      </c>
      <c r="B2586">
        <f>TEXT(A2586,"yyyy-mm")</f>
        <v/>
      </c>
      <c r="C2586" s="3">
        <f>HOUR(A2586)</f>
        <v/>
      </c>
      <c r="D2586" s="4" t="n">
        <v>26.78332721368889</v>
      </c>
      <c r="E2586" s="4" t="n"/>
      <c r="F2586" s="4" t="n">
        <v>29.01869981401389</v>
      </c>
      <c r="G2586" s="4" t="n">
        <v>21.6</v>
      </c>
      <c r="H2586" s="5" t="n">
        <v>45.94534955926944</v>
      </c>
      <c r="I2586" s="5" t="n"/>
      <c r="J2586" s="5" t="n">
        <v>46.24121345593611</v>
      </c>
      <c r="K2586" s="5" t="n">
        <v>70</v>
      </c>
    </row>
    <row r="2587">
      <c r="A2587" s="2" t="n">
        <v>46205.16666666666</v>
      </c>
      <c r="B2587">
        <f>TEXT(A2587,"yyyy-mm")</f>
        <v/>
      </c>
      <c r="C2587" s="3">
        <f>HOUR(A2587)</f>
        <v/>
      </c>
      <c r="D2587" s="4" t="n">
        <v>26.99982934899722</v>
      </c>
      <c r="E2587" s="4" t="n"/>
      <c r="F2587" s="4" t="n">
        <v>29.09849034463056</v>
      </c>
      <c r="G2587" s="4" t="n">
        <v>21</v>
      </c>
      <c r="H2587" s="5" t="n">
        <v>45.59851522386112</v>
      </c>
      <c r="I2587" s="5" t="n"/>
      <c r="J2587" s="5" t="n">
        <v>46.60466456990556</v>
      </c>
      <c r="K2587" s="5" t="n">
        <v>70</v>
      </c>
    </row>
    <row r="2588">
      <c r="A2588" s="2" t="n">
        <v>46205.20833333334</v>
      </c>
      <c r="B2588">
        <f>TEXT(A2588,"yyyy-mm")</f>
        <v/>
      </c>
      <c r="C2588" s="3">
        <f>HOUR(A2588)</f>
        <v/>
      </c>
      <c r="D2588" s="4" t="n">
        <v>27.20078636530833</v>
      </c>
      <c r="E2588" s="4" t="n"/>
      <c r="F2588" s="4" t="n">
        <v>29.15697589532222</v>
      </c>
      <c r="G2588" s="4" t="n">
        <v>20.5</v>
      </c>
      <c r="H2588" s="5" t="n">
        <v>45.29796925442221</v>
      </c>
      <c r="I2588" s="5" t="n"/>
      <c r="J2588" s="5" t="n">
        <v>46.72665936659723</v>
      </c>
      <c r="K2588" s="5" t="n">
        <v>71</v>
      </c>
    </row>
    <row r="2589">
      <c r="A2589" s="2" t="n">
        <v>46205.25</v>
      </c>
      <c r="B2589">
        <f>TEXT(A2589,"yyyy-mm")</f>
        <v/>
      </c>
      <c r="C2589" s="3">
        <f>HOUR(A2589)</f>
        <v/>
      </c>
      <c r="D2589" s="4" t="n">
        <v>27.54379905160556</v>
      </c>
      <c r="E2589" s="4" t="n"/>
      <c r="F2589" s="4" t="n">
        <v>29.21141919566389</v>
      </c>
      <c r="G2589" s="4" t="n">
        <v>21.2</v>
      </c>
      <c r="H2589" s="5" t="n">
        <v>45.79427811359167</v>
      </c>
      <c r="I2589" s="5" t="n"/>
      <c r="J2589" s="5" t="n">
        <v>46.80090932457778</v>
      </c>
      <c r="K2589" s="5" t="n">
        <v>69</v>
      </c>
    </row>
    <row r="2590">
      <c r="A2590" s="2" t="n">
        <v>46205.29166666666</v>
      </c>
      <c r="B2590">
        <f>TEXT(A2590,"yyyy-mm")</f>
        <v/>
      </c>
      <c r="C2590" s="3">
        <f>HOUR(A2590)</f>
        <v/>
      </c>
      <c r="D2590" s="4" t="n">
        <v>27.97138076151389</v>
      </c>
      <c r="E2590" s="4" t="n"/>
      <c r="F2590" s="4" t="n">
        <v>29.26282365851666</v>
      </c>
      <c r="G2590" s="4" t="n">
        <v>22.9</v>
      </c>
      <c r="H2590" s="5" t="n">
        <v>46.15522658358889</v>
      </c>
      <c r="I2590" s="5" t="n"/>
      <c r="J2590" s="5" t="n">
        <v>47.04292434150278</v>
      </c>
      <c r="K2590" s="5" t="n">
        <v>62</v>
      </c>
    </row>
    <row r="2591">
      <c r="A2591" s="2" t="n">
        <v>46205.33333333334</v>
      </c>
      <c r="B2591">
        <f>TEXT(A2591,"yyyy-mm")</f>
        <v/>
      </c>
      <c r="C2591" s="3">
        <f>HOUR(A2591)</f>
        <v/>
      </c>
      <c r="D2591" s="4" t="n">
        <v>27.59380169561389</v>
      </c>
      <c r="E2591" s="4" t="n"/>
      <c r="F2591" s="4" t="n">
        <v>29.31646055393889</v>
      </c>
      <c r="G2591" s="4" t="n">
        <v>25.5</v>
      </c>
      <c r="H2591" s="5" t="n">
        <v>42.75293952507223</v>
      </c>
      <c r="I2591" s="5" t="n"/>
      <c r="J2591" s="5" t="n">
        <v>47.25989430261111</v>
      </c>
      <c r="K2591" s="5" t="n">
        <v>51</v>
      </c>
    </row>
    <row r="2592">
      <c r="A2592" s="2" t="n">
        <v>46205.375</v>
      </c>
      <c r="B2592">
        <f>TEXT(A2592,"yyyy-mm")</f>
        <v/>
      </c>
      <c r="C2592" s="3">
        <f>HOUR(A2592)</f>
        <v/>
      </c>
      <c r="D2592" s="4" t="n">
        <v>25.99193250730555</v>
      </c>
      <c r="E2592" s="4" t="n"/>
      <c r="F2592" s="4" t="n">
        <v>29.31383113569167</v>
      </c>
      <c r="G2592" s="4" t="n">
        <v>28.1</v>
      </c>
      <c r="H2592" s="5" t="n">
        <v>35.22249096480834</v>
      </c>
      <c r="I2592" s="5" t="n"/>
      <c r="J2592" s="5" t="n">
        <v>46.47177962059445</v>
      </c>
      <c r="K2592" s="5" t="n">
        <v>43</v>
      </c>
    </row>
    <row r="2593">
      <c r="A2593" s="2" t="n">
        <v>46205.41666666666</v>
      </c>
      <c r="B2593">
        <f>TEXT(A2593,"yyyy-mm")</f>
        <v/>
      </c>
      <c r="C2593" s="3">
        <f>HOUR(A2593)</f>
        <v/>
      </c>
      <c r="D2593" s="4" t="n">
        <v>25.43992211728612</v>
      </c>
      <c r="E2593" s="4" t="n"/>
      <c r="F2593" s="4" t="n">
        <v>29.27977531075556</v>
      </c>
      <c r="G2593" s="4" t="n">
        <v>29.5</v>
      </c>
      <c r="H2593" s="5" t="n">
        <v>33.8196419221</v>
      </c>
      <c r="I2593" s="5" t="n"/>
      <c r="J2593" s="5" t="n">
        <v>45.30594630927222</v>
      </c>
      <c r="K2593" s="5" t="n">
        <v>37</v>
      </c>
    </row>
    <row r="2594">
      <c r="A2594" s="2" t="n">
        <v>46205.45833333334</v>
      </c>
      <c r="B2594">
        <f>TEXT(A2594,"yyyy-mm")</f>
        <v/>
      </c>
      <c r="C2594" s="3">
        <f>HOUR(A2594)</f>
        <v/>
      </c>
      <c r="D2594" s="4" t="n">
        <v>25.13374059486111</v>
      </c>
      <c r="E2594" s="4" t="n"/>
      <c r="F2594" s="4" t="n">
        <v>29.239762830775</v>
      </c>
      <c r="G2594" s="4" t="n">
        <v>30.4</v>
      </c>
      <c r="H2594" s="5" t="n">
        <v>33.578200333375</v>
      </c>
      <c r="I2594" s="5" t="n"/>
      <c r="J2594" s="5" t="n">
        <v>44.41548971673611</v>
      </c>
      <c r="K2594" s="5" t="n">
        <v>34</v>
      </c>
    </row>
    <row r="2595">
      <c r="A2595" s="2" t="n">
        <v>46205.5</v>
      </c>
      <c r="B2595">
        <f>TEXT(A2595,"yyyy-mm")</f>
        <v/>
      </c>
      <c r="C2595" s="3">
        <f>HOUR(A2595)</f>
        <v/>
      </c>
      <c r="D2595" s="4" t="n">
        <v>25.07133345902222</v>
      </c>
      <c r="E2595" s="4" t="n"/>
      <c r="F2595" s="4" t="n">
        <v>29.21919467888333</v>
      </c>
      <c r="G2595" s="4" t="n">
        <v>31.1</v>
      </c>
      <c r="H2595" s="5" t="n">
        <v>34.07112379721111</v>
      </c>
      <c r="I2595" s="5" t="n"/>
      <c r="J2595" s="5" t="n">
        <v>43.84427491190278</v>
      </c>
      <c r="K2595" s="5" t="n">
        <v>33</v>
      </c>
    </row>
    <row r="2596">
      <c r="A2596" s="2" t="n">
        <v>46205.54166666666</v>
      </c>
      <c r="B2596">
        <f>TEXT(A2596,"yyyy-mm")</f>
        <v/>
      </c>
      <c r="C2596" s="3">
        <f>HOUR(A2596)</f>
        <v/>
      </c>
      <c r="D2596" s="4" t="n">
        <v>25.16024184241667</v>
      </c>
      <c r="E2596" s="4" t="n"/>
      <c r="F2596" s="4" t="n">
        <v>28.43048685620278</v>
      </c>
      <c r="G2596" s="4" t="n">
        <v>32.1</v>
      </c>
      <c r="H2596" s="5" t="n">
        <v>35.69094724826945</v>
      </c>
      <c r="I2596" s="5" t="n"/>
      <c r="J2596" s="5" t="n">
        <v>42.03551933884722</v>
      </c>
      <c r="K2596" s="5" t="n">
        <v>30</v>
      </c>
    </row>
    <row r="2597">
      <c r="A2597" s="2" t="n">
        <v>46205.58333333334</v>
      </c>
      <c r="B2597">
        <f>TEXT(A2597,"yyyy-mm")</f>
        <v/>
      </c>
      <c r="C2597" s="3">
        <f>HOUR(A2597)</f>
        <v/>
      </c>
      <c r="D2597" s="4" t="n">
        <v>25.64518973980556</v>
      </c>
      <c r="E2597" s="4" t="n"/>
      <c r="F2597" s="4" t="n">
        <v>27.94868180804444</v>
      </c>
      <c r="G2597" s="4" t="n">
        <v>32.6</v>
      </c>
      <c r="H2597" s="5" t="n">
        <v>39.54069509626945</v>
      </c>
      <c r="I2597" s="5" t="n"/>
      <c r="J2597" s="5" t="n">
        <v>44.84156643721389</v>
      </c>
      <c r="K2597" s="5" t="n">
        <v>28</v>
      </c>
    </row>
    <row r="2598">
      <c r="A2598" s="2" t="n">
        <v>46205.625</v>
      </c>
      <c r="B2598">
        <f>TEXT(A2598,"yyyy-mm")</f>
        <v/>
      </c>
      <c r="C2598" s="3">
        <f>HOUR(A2598)</f>
        <v/>
      </c>
      <c r="D2598" s="4" t="n">
        <v>25.79623325689722</v>
      </c>
      <c r="E2598" s="4" t="n"/>
      <c r="F2598" s="4" t="n">
        <v>27.87641613617778</v>
      </c>
      <c r="G2598" s="4" t="n">
        <v>33.5</v>
      </c>
      <c r="H2598" s="5" t="n">
        <v>38.81395110579722</v>
      </c>
      <c r="I2598" s="5" t="n"/>
      <c r="J2598" s="5" t="n">
        <v>45.57390655247222</v>
      </c>
      <c r="K2598" s="5" t="n">
        <v>27</v>
      </c>
    </row>
    <row r="2599">
      <c r="A2599" s="2" t="n">
        <v>46205.66666666666</v>
      </c>
      <c r="B2599">
        <f>TEXT(A2599,"yyyy-mm")</f>
        <v/>
      </c>
      <c r="C2599" s="3">
        <f>HOUR(A2599)</f>
        <v/>
      </c>
      <c r="D2599" s="4" t="n">
        <v>25.89539821767778</v>
      </c>
      <c r="E2599" s="4" t="n"/>
      <c r="F2599" s="4" t="n">
        <v>27.83468782836667</v>
      </c>
      <c r="G2599" s="4" t="n">
        <v>33.5</v>
      </c>
      <c r="H2599" s="5" t="n">
        <v>40.120040395575</v>
      </c>
      <c r="I2599" s="5" t="n"/>
      <c r="J2599" s="5" t="n">
        <v>46.11339824778611</v>
      </c>
      <c r="K2599" s="5" t="n">
        <v>27</v>
      </c>
    </row>
    <row r="2600">
      <c r="A2600" s="2" t="n">
        <v>46205.70833333334</v>
      </c>
      <c r="B2600">
        <f>TEXT(A2600,"yyyy-mm")</f>
        <v/>
      </c>
      <c r="C2600" s="3">
        <f>HOUR(A2600)</f>
        <v/>
      </c>
      <c r="D2600" s="4" t="n">
        <v>25.82774205991667</v>
      </c>
      <c r="E2600" s="4" t="n"/>
      <c r="F2600" s="4" t="n">
        <v>27.82192167579167</v>
      </c>
      <c r="G2600" s="4" t="n">
        <v>32.8</v>
      </c>
      <c r="H2600" s="5" t="n">
        <v>38.93271028361389</v>
      </c>
      <c r="I2600" s="5" t="n"/>
      <c r="J2600" s="5" t="n">
        <v>45.85271857923056</v>
      </c>
      <c r="K2600" s="5" t="n">
        <v>30</v>
      </c>
    </row>
    <row r="2601">
      <c r="A2601" s="2" t="n">
        <v>46205.75</v>
      </c>
      <c r="B2601">
        <f>TEXT(A2601,"yyyy-mm")</f>
        <v/>
      </c>
      <c r="C2601" s="3">
        <f>HOUR(A2601)</f>
        <v/>
      </c>
      <c r="D2601" s="4" t="n">
        <v>25.922934304325</v>
      </c>
      <c r="E2601" s="4" t="n"/>
      <c r="F2601" s="4" t="n">
        <v>27.84193886035834</v>
      </c>
      <c r="G2601" s="4" t="n">
        <v>31.8</v>
      </c>
      <c r="H2601" s="5" t="n">
        <v>40.87509839162222</v>
      </c>
      <c r="I2601" s="5" t="n"/>
      <c r="J2601" s="5" t="n">
        <v>46.61188965335</v>
      </c>
      <c r="K2601" s="5" t="n">
        <v>32</v>
      </c>
    </row>
    <row r="2602">
      <c r="A2602" s="2" t="n">
        <v>46205.79166666666</v>
      </c>
      <c r="B2602">
        <f>TEXT(A2602,"yyyy-mm")</f>
        <v/>
      </c>
      <c r="C2602" s="3">
        <f>HOUR(A2602)</f>
        <v/>
      </c>
      <c r="D2602" s="4" t="n">
        <v>25.62196868059722</v>
      </c>
      <c r="E2602" s="4" t="n"/>
      <c r="F2602" s="4" t="n">
        <v>28.25041719950278</v>
      </c>
      <c r="G2602" s="4" t="n">
        <v>31.5</v>
      </c>
      <c r="H2602" s="5" t="n">
        <v>39.04286516535833</v>
      </c>
      <c r="I2602" s="5" t="n"/>
      <c r="J2602" s="5" t="n">
        <v>46.49157843280278</v>
      </c>
      <c r="K2602" s="5" t="n">
        <v>31</v>
      </c>
    </row>
    <row r="2603">
      <c r="A2603" s="2" t="n">
        <v>46205.83333333334</v>
      </c>
      <c r="B2603">
        <f>TEXT(A2603,"yyyy-mm")</f>
        <v/>
      </c>
      <c r="C2603" s="3">
        <f>HOUR(A2603)</f>
        <v/>
      </c>
      <c r="D2603" s="4" t="n">
        <v>26.14542029771944</v>
      </c>
      <c r="E2603" s="4" t="n"/>
      <c r="F2603" s="4" t="n">
        <v>28.58925278010833</v>
      </c>
      <c r="G2603" s="4" t="n">
        <v>31</v>
      </c>
      <c r="H2603" s="5" t="n">
        <v>42.48217480193333</v>
      </c>
      <c r="I2603" s="5" t="n"/>
      <c r="J2603" s="5" t="n">
        <v>45.57614103688611</v>
      </c>
      <c r="K2603" s="5" t="n">
        <v>30</v>
      </c>
    </row>
    <row r="2604">
      <c r="A2604" s="2" t="n">
        <v>46205.875</v>
      </c>
      <c r="B2604">
        <f>TEXT(A2604,"yyyy-mm")</f>
        <v/>
      </c>
      <c r="C2604" s="3">
        <f>HOUR(A2604)</f>
        <v/>
      </c>
      <c r="D2604" s="4" t="n">
        <v>27.22183593538056</v>
      </c>
      <c r="E2604" s="4" t="n"/>
      <c r="F2604" s="4" t="n">
        <v>28.79324963948333</v>
      </c>
      <c r="G2604" s="4" t="n">
        <v>30</v>
      </c>
      <c r="H2604" s="5" t="n">
        <v>43.66547859153334</v>
      </c>
      <c r="I2604" s="5" t="n"/>
      <c r="J2604" s="5" t="n">
        <v>45.70612132156389</v>
      </c>
      <c r="K2604" s="5" t="n">
        <v>33</v>
      </c>
    </row>
    <row r="2605">
      <c r="A2605" s="2" t="n">
        <v>46205.91666666666</v>
      </c>
      <c r="B2605">
        <f>TEXT(A2605,"yyyy-mm")</f>
        <v/>
      </c>
      <c r="C2605" s="3">
        <f>HOUR(A2605)</f>
        <v/>
      </c>
      <c r="D2605" s="4" t="n">
        <v>25.88222067959167</v>
      </c>
      <c r="E2605" s="4" t="n"/>
      <c r="F2605" s="4" t="n">
        <v>28.928687560875</v>
      </c>
      <c r="G2605" s="4" t="n">
        <v>29</v>
      </c>
      <c r="H2605" s="5" t="n">
        <v>40.83361486561111</v>
      </c>
      <c r="I2605" s="5" t="n"/>
      <c r="J2605" s="5" t="n">
        <v>45.76203955821944</v>
      </c>
      <c r="K2605" s="5" t="n">
        <v>37</v>
      </c>
    </row>
    <row r="2606">
      <c r="A2606" s="2" t="n">
        <v>46205.95833333334</v>
      </c>
      <c r="B2606">
        <f>TEXT(A2606,"yyyy-mm")</f>
        <v/>
      </c>
      <c r="C2606" s="3">
        <f>HOUR(A2606)</f>
        <v/>
      </c>
      <c r="D2606" s="4" t="n">
        <v>25.99560118692777</v>
      </c>
      <c r="E2606" s="4" t="n"/>
      <c r="F2606" s="4" t="n">
        <v>28.94087801792778</v>
      </c>
      <c r="G2606" s="4" t="n">
        <v>28</v>
      </c>
      <c r="H2606" s="5" t="n">
        <v>42.21115784924445</v>
      </c>
      <c r="I2606" s="5" t="n"/>
      <c r="J2606" s="5" t="n">
        <v>45.28727366038056</v>
      </c>
      <c r="K2606" s="5" t="n">
        <v>41</v>
      </c>
    </row>
    <row r="2607">
      <c r="A2607" s="2" t="n">
        <v>46206</v>
      </c>
      <c r="B2607">
        <f>TEXT(A2607,"yyyy-mm")</f>
        <v/>
      </c>
      <c r="C2607" s="3">
        <f>HOUR(A2607)</f>
        <v/>
      </c>
      <c r="D2607" s="4" t="n">
        <v>25.71835936176944</v>
      </c>
      <c r="E2607" s="4" t="n"/>
      <c r="F2607" s="4" t="n">
        <v>29.02451782927778</v>
      </c>
      <c r="G2607" s="4" t="n">
        <v>27.1</v>
      </c>
      <c r="H2607" s="5" t="n">
        <v>36.29152922461945</v>
      </c>
      <c r="I2607" s="5" t="n"/>
      <c r="J2607" s="5" t="n">
        <v>45.19825193466389</v>
      </c>
      <c r="K2607" s="5" t="n">
        <v>43</v>
      </c>
    </row>
    <row r="2608">
      <c r="A2608" s="2" t="n">
        <v>46206.04166666666</v>
      </c>
      <c r="B2608">
        <f>TEXT(A2608,"yyyy-mm")</f>
        <v/>
      </c>
      <c r="C2608" s="3">
        <f>HOUR(A2608)</f>
        <v/>
      </c>
      <c r="D2608" s="4" t="n">
        <v>25.23907823692777</v>
      </c>
      <c r="E2608" s="4" t="n"/>
      <c r="F2608" s="4" t="n">
        <v>29.04834803680556</v>
      </c>
      <c r="G2608" s="4" t="n">
        <v>26.3</v>
      </c>
      <c r="H2608" s="5" t="n">
        <v>36.52044967328333</v>
      </c>
      <c r="I2608" s="5" t="n"/>
      <c r="J2608" s="5" t="n">
        <v>44.56120453701944</v>
      </c>
      <c r="K2608" s="5" t="n">
        <v>47</v>
      </c>
    </row>
    <row r="2609">
      <c r="A2609" s="2" t="n">
        <v>46206.08333333334</v>
      </c>
      <c r="B2609">
        <f>TEXT(A2609,"yyyy-mm")</f>
        <v/>
      </c>
      <c r="C2609" s="3">
        <f>HOUR(A2609)</f>
        <v/>
      </c>
      <c r="D2609" s="4" t="n">
        <v>25.277086278525</v>
      </c>
      <c r="E2609" s="4" t="n"/>
      <c r="F2609" s="4" t="n">
        <v>29.05790384366111</v>
      </c>
      <c r="G2609" s="4" t="n">
        <v>25.4</v>
      </c>
      <c r="H2609" s="5" t="n">
        <v>37.48387887690556</v>
      </c>
      <c r="I2609" s="5" t="n"/>
      <c r="J2609" s="5" t="n">
        <v>44.28812085628889</v>
      </c>
      <c r="K2609" s="5" t="n">
        <v>51</v>
      </c>
    </row>
    <row r="2610">
      <c r="A2610" s="2" t="n">
        <v>46206.125</v>
      </c>
      <c r="B2610">
        <f>TEXT(A2610,"yyyy-mm")</f>
        <v/>
      </c>
      <c r="C2610" s="3">
        <f>HOUR(A2610)</f>
        <v/>
      </c>
      <c r="D2610" s="4" t="n">
        <v>26.70904341271667</v>
      </c>
      <c r="E2610" s="4" t="n"/>
      <c r="F2610" s="4" t="n">
        <v>29.09183624644166</v>
      </c>
      <c r="G2610" s="4" t="n">
        <v>23.9</v>
      </c>
      <c r="H2610" s="5" t="n">
        <v>40.78233238325277</v>
      </c>
      <c r="I2610" s="5" t="n"/>
      <c r="J2610" s="5" t="n">
        <v>44.35281256480278</v>
      </c>
      <c r="K2610" s="5" t="n">
        <v>57</v>
      </c>
    </row>
    <row r="2611">
      <c r="A2611" s="2" t="n">
        <v>46206.16666666666</v>
      </c>
      <c r="B2611">
        <f>TEXT(A2611,"yyyy-mm")</f>
        <v/>
      </c>
      <c r="C2611" s="3">
        <f>HOUR(A2611)</f>
        <v/>
      </c>
      <c r="D2611" s="4" t="n">
        <v>27.31876418085833</v>
      </c>
      <c r="E2611" s="4" t="n"/>
      <c r="F2611" s="4" t="n">
        <v>29.15122738410278</v>
      </c>
      <c r="G2611" s="4" t="n">
        <v>23.2</v>
      </c>
      <c r="H2611" s="5" t="n">
        <v>43.89096542265833</v>
      </c>
      <c r="I2611" s="5" t="n"/>
      <c r="J2611" s="5" t="n">
        <v>44.99151560601667</v>
      </c>
      <c r="K2611" s="5" t="n">
        <v>62</v>
      </c>
    </row>
    <row r="2612">
      <c r="A2612" s="2" t="n">
        <v>46206.20833333334</v>
      </c>
      <c r="B2612">
        <f>TEXT(A2612,"yyyy-mm")</f>
        <v/>
      </c>
      <c r="C2612" s="3">
        <f>HOUR(A2612)</f>
        <v/>
      </c>
      <c r="D2612" s="4" t="n">
        <v>27.72172197700556</v>
      </c>
      <c r="E2612" s="4" t="n"/>
      <c r="F2612" s="4" t="n">
        <v>29.19898879225555</v>
      </c>
      <c r="G2612" s="4" t="n">
        <v>22.5</v>
      </c>
      <c r="H2612" s="5" t="n">
        <v>44.92158481490555</v>
      </c>
      <c r="I2612" s="5" t="n"/>
      <c r="J2612" s="5" t="n">
        <v>45.54712363728056</v>
      </c>
      <c r="K2612" s="5" t="n">
        <v>66</v>
      </c>
    </row>
    <row r="2613">
      <c r="A2613" s="2" t="n">
        <v>46206.25</v>
      </c>
      <c r="B2613">
        <f>TEXT(A2613,"yyyy-mm")</f>
        <v/>
      </c>
      <c r="C2613" s="3">
        <f>HOUR(A2613)</f>
        <v/>
      </c>
      <c r="D2613" s="4" t="n">
        <v>27.97628642648611</v>
      </c>
      <c r="E2613" s="4" t="n"/>
      <c r="F2613" s="4" t="n">
        <v>29.24655865961389</v>
      </c>
      <c r="G2613" s="4" t="n">
        <v>23</v>
      </c>
      <c r="H2613" s="5" t="n">
        <v>44.666564300225</v>
      </c>
      <c r="I2613" s="5" t="n"/>
      <c r="J2613" s="5" t="n">
        <v>45.87993256478612</v>
      </c>
      <c r="K2613" s="5" t="n">
        <v>65</v>
      </c>
    </row>
    <row r="2614">
      <c r="A2614" s="2" t="n">
        <v>46206.29166666666</v>
      </c>
      <c r="B2614">
        <f>TEXT(A2614,"yyyy-mm")</f>
        <v/>
      </c>
      <c r="C2614" s="3">
        <f>HOUR(A2614)</f>
        <v/>
      </c>
      <c r="D2614" s="4" t="n">
        <v>28.48206896283333</v>
      </c>
      <c r="E2614" s="4" t="n"/>
      <c r="F2614" s="4" t="n">
        <v>29.28725346303056</v>
      </c>
      <c r="G2614" s="4" t="n">
        <v>24.6</v>
      </c>
      <c r="H2614" s="5" t="n">
        <v>44.63113626851944</v>
      </c>
      <c r="I2614" s="5" t="n"/>
      <c r="J2614" s="5" t="n">
        <v>46.22247469139722</v>
      </c>
      <c r="K2614" s="5" t="n">
        <v>59</v>
      </c>
    </row>
    <row r="2615">
      <c r="A2615" s="2" t="n">
        <v>46206.33333333334</v>
      </c>
      <c r="B2615">
        <f>TEXT(A2615,"yyyy-mm")</f>
        <v/>
      </c>
      <c r="C2615" s="3">
        <f>HOUR(A2615)</f>
        <v/>
      </c>
      <c r="D2615" s="4" t="n">
        <v>28.82969571996389</v>
      </c>
      <c r="E2615" s="4" t="n"/>
      <c r="F2615" s="4" t="n">
        <v>29.34247722833333</v>
      </c>
      <c r="G2615" s="4" t="n">
        <v>26.8</v>
      </c>
      <c r="H2615" s="5" t="n">
        <v>42.74084767656667</v>
      </c>
      <c r="I2615" s="5" t="n"/>
      <c r="J2615" s="5" t="n">
        <v>46.54072276312223</v>
      </c>
      <c r="K2615" s="5" t="n">
        <v>51</v>
      </c>
    </row>
    <row r="2616">
      <c r="A2616" s="2" t="n">
        <v>46206.375</v>
      </c>
      <c r="B2616">
        <f>TEXT(A2616,"yyyy-mm")</f>
        <v/>
      </c>
      <c r="C2616" s="3">
        <f>HOUR(A2616)</f>
        <v/>
      </c>
      <c r="D2616" s="4" t="n">
        <v>27.29719070108333</v>
      </c>
      <c r="E2616" s="4" t="n"/>
      <c r="F2616" s="4" t="n">
        <v>29.36112255990833</v>
      </c>
      <c r="G2616" s="4" t="n">
        <v>29.1</v>
      </c>
      <c r="H2616" s="5" t="n">
        <v>33.4239450076</v>
      </c>
      <c r="I2616" s="5" t="n"/>
      <c r="J2616" s="5" t="n">
        <v>46.00948558846389</v>
      </c>
      <c r="K2616" s="5" t="n">
        <v>43</v>
      </c>
    </row>
    <row r="2617">
      <c r="A2617" s="2" t="n">
        <v>46206.41666666666</v>
      </c>
      <c r="B2617">
        <f>TEXT(A2617,"yyyy-mm")</f>
        <v/>
      </c>
      <c r="C2617" s="3">
        <f>HOUR(A2617)</f>
        <v/>
      </c>
      <c r="D2617" s="4" t="n">
        <v>26.74954945821666</v>
      </c>
      <c r="E2617" s="4" t="n"/>
      <c r="F2617" s="4" t="n">
        <v>29.33349706938333</v>
      </c>
      <c r="G2617" s="4" t="n">
        <v>31.2</v>
      </c>
      <c r="H2617" s="5" t="n">
        <v>33.54741540502223</v>
      </c>
      <c r="I2617" s="5" t="n"/>
      <c r="J2617" s="5" t="n">
        <v>45.04688149880278</v>
      </c>
      <c r="K2617" s="5" t="n">
        <v>34</v>
      </c>
    </row>
    <row r="2618">
      <c r="A2618" s="2" t="n">
        <v>46206.45833333334</v>
      </c>
      <c r="B2618">
        <f>TEXT(A2618,"yyyy-mm")</f>
        <v/>
      </c>
      <c r="C2618" s="3">
        <f>HOUR(A2618)</f>
        <v/>
      </c>
      <c r="D2618" s="4" t="n">
        <v>28.31557065156112</v>
      </c>
      <c r="E2618" s="4" t="n"/>
      <c r="F2618" s="4" t="n">
        <v>29.35064367247778</v>
      </c>
      <c r="G2618" s="4" t="n">
        <v>32.1</v>
      </c>
      <c r="H2618" s="5" t="n">
        <v>37.94859263047778</v>
      </c>
      <c r="I2618" s="5" t="n"/>
      <c r="J2618" s="5" t="n">
        <v>45.00243947322778</v>
      </c>
      <c r="K2618" s="5" t="n">
        <v>28</v>
      </c>
    </row>
    <row r="2619">
      <c r="A2619" s="2" t="n">
        <v>46206.5</v>
      </c>
      <c r="B2619">
        <f>TEXT(A2619,"yyyy-mm")</f>
        <v/>
      </c>
      <c r="C2619" s="3">
        <f>HOUR(A2619)</f>
        <v/>
      </c>
      <c r="D2619" s="4" t="n">
        <v>28.85636952979166</v>
      </c>
      <c r="E2619" s="4" t="n"/>
      <c r="F2619" s="4" t="n">
        <v>29.41672688816389</v>
      </c>
      <c r="G2619" s="4" t="n">
        <v>32.4</v>
      </c>
      <c r="H2619" s="5" t="n">
        <v>38.04735816095833</v>
      </c>
      <c r="I2619" s="5" t="n"/>
      <c r="J2619" s="5" t="n">
        <v>45.59384807106944</v>
      </c>
      <c r="K2619" s="5" t="n">
        <v>28</v>
      </c>
    </row>
    <row r="2620">
      <c r="A2620" s="2" t="n">
        <v>46206.54166666666</v>
      </c>
      <c r="B2620">
        <f>TEXT(A2620,"yyyy-mm")</f>
        <v/>
      </c>
      <c r="C2620" s="3">
        <f>HOUR(A2620)</f>
        <v/>
      </c>
      <c r="D2620" s="4" t="n">
        <v>26.97349875809722</v>
      </c>
      <c r="E2620" s="4" t="n"/>
      <c r="F2620" s="4" t="n">
        <v>29.43990195416667</v>
      </c>
      <c r="G2620" s="4" t="n">
        <v>33.1</v>
      </c>
      <c r="H2620" s="5" t="n">
        <v>32.95252332839722</v>
      </c>
      <c r="I2620" s="5" t="n"/>
      <c r="J2620" s="5" t="n">
        <v>45.30213254918056</v>
      </c>
      <c r="K2620" s="5" t="n">
        <v>26</v>
      </c>
    </row>
    <row r="2621">
      <c r="A2621" s="2" t="n">
        <v>46206.58333333334</v>
      </c>
      <c r="B2621">
        <f>TEXT(A2621,"yyyy-mm")</f>
        <v/>
      </c>
      <c r="C2621" s="3">
        <f>HOUR(A2621)</f>
        <v/>
      </c>
      <c r="D2621" s="4" t="n">
        <v>26.16823714424167</v>
      </c>
      <c r="E2621" s="4" t="n"/>
      <c r="F2621" s="4" t="n">
        <v>29.41415041504445</v>
      </c>
      <c r="G2621" s="4" t="n">
        <v>33.8</v>
      </c>
      <c r="H2621" s="5" t="n">
        <v>32.70435085614722</v>
      </c>
      <c r="I2621" s="5" t="n"/>
      <c r="J2621" s="5" t="n">
        <v>44.56438608208612</v>
      </c>
      <c r="K2621" s="5" t="n">
        <v>25</v>
      </c>
    </row>
    <row r="2622">
      <c r="A2622" s="2" t="n">
        <v>46206.625</v>
      </c>
      <c r="B2622">
        <f>TEXT(A2622,"yyyy-mm")</f>
        <v/>
      </c>
      <c r="C2622" s="3">
        <f>HOUR(A2622)</f>
        <v/>
      </c>
      <c r="D2622" s="4" t="n">
        <v>26.34983859684167</v>
      </c>
      <c r="E2622" s="4" t="n"/>
      <c r="F2622" s="4" t="n">
        <v>29.40144451317778</v>
      </c>
      <c r="G2622" s="4" t="n">
        <v>33.7</v>
      </c>
      <c r="H2622" s="5" t="n">
        <v>34.68631846707778</v>
      </c>
      <c r="I2622" s="5" t="n"/>
      <c r="J2622" s="5" t="n">
        <v>44.25964994937223</v>
      </c>
      <c r="K2622" s="5" t="n">
        <v>25</v>
      </c>
    </row>
    <row r="2623">
      <c r="A2623" s="2" t="n">
        <v>46206.66666666666</v>
      </c>
      <c r="B2623">
        <f>TEXT(A2623,"yyyy-mm")</f>
        <v/>
      </c>
      <c r="C2623" s="3">
        <f>HOUR(A2623)</f>
        <v/>
      </c>
      <c r="D2623" s="4" t="n">
        <v>26.34710775631389</v>
      </c>
      <c r="E2623" s="4" t="n"/>
      <c r="F2623" s="4" t="n">
        <v>29.39762429283889</v>
      </c>
      <c r="G2623" s="4" t="n">
        <v>33.3</v>
      </c>
      <c r="H2623" s="5" t="n">
        <v>34.89854234187778</v>
      </c>
      <c r="I2623" s="5" t="n"/>
      <c r="J2623" s="5" t="n">
        <v>44.05163620611668</v>
      </c>
      <c r="K2623" s="5" t="n">
        <v>26</v>
      </c>
    </row>
    <row r="2624">
      <c r="A2624" s="2" t="n">
        <v>46206.70833333334</v>
      </c>
      <c r="B2624">
        <f>TEXT(A2624,"yyyy-mm")</f>
        <v/>
      </c>
      <c r="C2624" s="3">
        <f>HOUR(A2624)</f>
        <v/>
      </c>
      <c r="D2624" s="4" t="n">
        <v>26.20655105472778</v>
      </c>
      <c r="E2624" s="4" t="n"/>
      <c r="F2624" s="4" t="n">
        <v>29.38994446295555</v>
      </c>
      <c r="G2624" s="4" t="n">
        <v>33</v>
      </c>
      <c r="H2624" s="5" t="n">
        <v>35.74187752451667</v>
      </c>
      <c r="I2624" s="5" t="n"/>
      <c r="J2624" s="5" t="n">
        <v>43.76602532746944</v>
      </c>
      <c r="K2624" s="5" t="n">
        <v>26</v>
      </c>
    </row>
    <row r="2625">
      <c r="A2625" s="2" t="n">
        <v>46206.75</v>
      </c>
      <c r="B2625">
        <f>TEXT(A2625,"yyyy-mm")</f>
        <v/>
      </c>
      <c r="C2625" s="3">
        <f>HOUR(A2625)</f>
        <v/>
      </c>
      <c r="D2625" s="4" t="n">
        <v>26.09545631889167</v>
      </c>
      <c r="E2625" s="4" t="n"/>
      <c r="F2625" s="4" t="n">
        <v>29.394279623375</v>
      </c>
      <c r="G2625" s="4" t="n">
        <v>32.3</v>
      </c>
      <c r="H2625" s="5" t="n">
        <v>35.62974263696111</v>
      </c>
      <c r="I2625" s="5" t="n"/>
      <c r="J2625" s="5" t="n">
        <v>43.74690747703611</v>
      </c>
      <c r="K2625" s="5" t="n">
        <v>27</v>
      </c>
    </row>
    <row r="2626">
      <c r="A2626" s="2" t="n">
        <v>46206.79166666666</v>
      </c>
      <c r="B2626">
        <f>TEXT(A2626,"yyyy-mm")</f>
        <v/>
      </c>
      <c r="C2626" s="3">
        <f>HOUR(A2626)</f>
        <v/>
      </c>
      <c r="D2626" s="4" t="n">
        <v>25.777692623775</v>
      </c>
      <c r="E2626" s="4" t="n"/>
      <c r="F2626" s="4" t="n">
        <v>29.40538958171944</v>
      </c>
      <c r="G2626" s="4" t="n">
        <v>31.9</v>
      </c>
      <c r="H2626" s="5" t="n">
        <v>35.72103071643055</v>
      </c>
      <c r="I2626" s="5" t="n"/>
      <c r="J2626" s="5" t="n">
        <v>43.57488720561944</v>
      </c>
      <c r="K2626" s="5" t="n">
        <v>27</v>
      </c>
    </row>
    <row r="2627">
      <c r="A2627" s="2" t="n">
        <v>46206.83333333334</v>
      </c>
      <c r="B2627">
        <f>TEXT(A2627,"yyyy-mm")</f>
        <v/>
      </c>
      <c r="C2627" s="3">
        <f>HOUR(A2627)</f>
        <v/>
      </c>
      <c r="D2627" s="4" t="n">
        <v>26.10524700550833</v>
      </c>
      <c r="E2627" s="4" t="n"/>
      <c r="F2627" s="4" t="n">
        <v>29.42047878457777</v>
      </c>
      <c r="G2627" s="4" t="n">
        <v>31.3</v>
      </c>
      <c r="H2627" s="5" t="n">
        <v>39.03050521471111</v>
      </c>
      <c r="I2627" s="5" t="n"/>
      <c r="J2627" s="5" t="n">
        <v>43.61441189646666</v>
      </c>
      <c r="K2627" s="5" t="n">
        <v>28</v>
      </c>
    </row>
    <row r="2628">
      <c r="A2628" s="2" t="n">
        <v>46206.875</v>
      </c>
      <c r="B2628">
        <f>TEXT(A2628,"yyyy-mm")</f>
        <v/>
      </c>
      <c r="C2628" s="3">
        <f>HOUR(A2628)</f>
        <v/>
      </c>
      <c r="D2628" s="4" t="n">
        <v>25.83442287877778</v>
      </c>
      <c r="E2628" s="4" t="n"/>
      <c r="F2628" s="4" t="n">
        <v>29.42188873432778</v>
      </c>
      <c r="G2628" s="4" t="n">
        <v>30.8</v>
      </c>
      <c r="H2628" s="5" t="n">
        <v>33.87786122028056</v>
      </c>
      <c r="I2628" s="5" t="n"/>
      <c r="J2628" s="5" t="n">
        <v>43.45886936143055</v>
      </c>
      <c r="K2628" s="5" t="n">
        <v>30</v>
      </c>
    </row>
    <row r="2629">
      <c r="A2629" s="2" t="n">
        <v>46206.91666666666</v>
      </c>
      <c r="B2629">
        <f>TEXT(A2629,"yyyy-mm")</f>
        <v/>
      </c>
      <c r="C2629" s="3">
        <f>HOUR(A2629)</f>
        <v/>
      </c>
      <c r="D2629" s="4" t="n">
        <v>25.74579079572222</v>
      </c>
      <c r="E2629" s="4" t="n"/>
      <c r="F2629" s="4" t="n">
        <v>29.41639258453889</v>
      </c>
      <c r="G2629" s="4" t="n">
        <v>30.2</v>
      </c>
      <c r="H2629" s="5" t="n">
        <v>34.18554519282778</v>
      </c>
      <c r="I2629" s="5" t="n"/>
      <c r="J2629" s="5" t="n">
        <v>43.1096948237</v>
      </c>
      <c r="K2629" s="5" t="n">
        <v>29</v>
      </c>
    </row>
    <row r="2630">
      <c r="A2630" s="2" t="n">
        <v>46206.95833333334</v>
      </c>
      <c r="B2630">
        <f>TEXT(A2630,"yyyy-mm")</f>
        <v/>
      </c>
      <c r="C2630" s="3">
        <f>HOUR(A2630)</f>
        <v/>
      </c>
      <c r="D2630" s="4" t="n">
        <v>26.80864526985</v>
      </c>
      <c r="E2630" s="4" t="n"/>
      <c r="F2630" s="4" t="n">
        <v>29.42571188673889</v>
      </c>
      <c r="G2630" s="4" t="n">
        <v>28.9</v>
      </c>
      <c r="H2630" s="5" t="n">
        <v>38.12060401127778</v>
      </c>
      <c r="I2630" s="5" t="n"/>
      <c r="J2630" s="5" t="n">
        <v>43.08991412772778</v>
      </c>
      <c r="K2630" s="5" t="n">
        <v>32</v>
      </c>
    </row>
    <row r="2631">
      <c r="A2631" s="2" t="n">
        <v>46207</v>
      </c>
      <c r="B2631">
        <f>TEXT(A2631,"yyyy-mm")</f>
        <v/>
      </c>
      <c r="C2631" s="3">
        <f>HOUR(A2631)</f>
        <v/>
      </c>
      <c r="D2631" s="4" t="n">
        <v>27.28869651360555</v>
      </c>
      <c r="E2631" s="4" t="n"/>
      <c r="F2631" s="4" t="n">
        <v>29.470066304775</v>
      </c>
      <c r="G2631" s="4" t="n">
        <v>27.6</v>
      </c>
      <c r="H2631" s="5" t="n">
        <v>39.72892506594722</v>
      </c>
      <c r="I2631" s="5" t="n"/>
      <c r="J2631" s="5" t="n">
        <v>43.69211885128056</v>
      </c>
      <c r="K2631" s="5" t="n">
        <v>36</v>
      </c>
    </row>
    <row r="2632">
      <c r="A2632" s="2" t="n">
        <v>46207.04166666666</v>
      </c>
      <c r="B2632">
        <f>TEXT(A2632,"yyyy-mm")</f>
        <v/>
      </c>
      <c r="C2632" s="3">
        <f>HOUR(A2632)</f>
        <v/>
      </c>
      <c r="D2632" s="4" t="n">
        <v>27.16134631431945</v>
      </c>
      <c r="E2632" s="4" t="n"/>
      <c r="F2632" s="4" t="n">
        <v>29.52595907670278</v>
      </c>
      <c r="G2632" s="4" t="n">
        <v>26.2</v>
      </c>
      <c r="H2632" s="5" t="n">
        <v>40.08048786420279</v>
      </c>
      <c r="I2632" s="5" t="n"/>
      <c r="J2632" s="5" t="n">
        <v>44.54383249527223</v>
      </c>
      <c r="K2632" s="5" t="n">
        <v>41</v>
      </c>
    </row>
    <row r="2633">
      <c r="A2633" s="2" t="n">
        <v>46207.08333333334</v>
      </c>
      <c r="B2633">
        <f>TEXT(A2633,"yyyy-mm")</f>
        <v/>
      </c>
      <c r="C2633" s="3">
        <f>HOUR(A2633)</f>
        <v/>
      </c>
      <c r="D2633" s="4" t="n">
        <v>27.14760818286667</v>
      </c>
      <c r="E2633" s="4" t="n"/>
      <c r="F2633" s="4" t="n">
        <v>29.53721575318889</v>
      </c>
      <c r="G2633" s="4" t="n">
        <v>25.4</v>
      </c>
      <c r="H2633" s="5" t="n">
        <v>40.91854178852222</v>
      </c>
      <c r="I2633" s="5" t="n"/>
      <c r="J2633" s="5" t="n">
        <v>44.95170137330833</v>
      </c>
      <c r="K2633" s="5" t="n">
        <v>45</v>
      </c>
    </row>
    <row r="2634">
      <c r="A2634" s="2" t="n">
        <v>46207.125</v>
      </c>
      <c r="B2634">
        <f>TEXT(A2634,"yyyy-mm")</f>
        <v/>
      </c>
      <c r="C2634" s="3">
        <f>HOUR(A2634)</f>
        <v/>
      </c>
      <c r="D2634" s="4" t="n">
        <v>27.01500944011111</v>
      </c>
      <c r="E2634" s="4" t="n"/>
      <c r="F2634" s="4" t="n">
        <v>29.54613555593611</v>
      </c>
      <c r="G2634" s="4" t="n">
        <v>24</v>
      </c>
      <c r="H2634" s="5" t="n">
        <v>40.7769702637</v>
      </c>
      <c r="I2634" s="5" t="n"/>
      <c r="J2634" s="5" t="n">
        <v>45.04322971901945</v>
      </c>
      <c r="K2634" s="5" t="n">
        <v>52</v>
      </c>
    </row>
    <row r="2635">
      <c r="A2635" s="2" t="n">
        <v>46207.16666666666</v>
      </c>
      <c r="B2635">
        <f>TEXT(A2635,"yyyy-mm")</f>
        <v/>
      </c>
      <c r="C2635" s="3">
        <f>HOUR(A2635)</f>
        <v/>
      </c>
      <c r="D2635" s="4" t="n">
        <v>26.68079163896111</v>
      </c>
      <c r="E2635" s="4" t="n"/>
      <c r="F2635" s="4" t="n">
        <v>29.54791336308888</v>
      </c>
      <c r="G2635" s="4" t="n">
        <v>23.1</v>
      </c>
      <c r="H2635" s="5" t="n">
        <v>43.25362953138056</v>
      </c>
      <c r="I2635" s="5" t="n"/>
      <c r="J2635" s="5" t="n">
        <v>45.03563693428056</v>
      </c>
      <c r="K2635" s="5" t="n">
        <v>55</v>
      </c>
    </row>
    <row r="2636">
      <c r="A2636" s="2" t="n">
        <v>46207.20833333334</v>
      </c>
      <c r="B2636">
        <f>TEXT(A2636,"yyyy-mm")</f>
        <v/>
      </c>
      <c r="C2636" s="3">
        <f>HOUR(A2636)</f>
        <v/>
      </c>
      <c r="D2636" s="4" t="n">
        <v>25.89647832825</v>
      </c>
      <c r="E2636" s="4" t="n"/>
      <c r="F2636" s="4" t="n">
        <v>29.56116666279722</v>
      </c>
      <c r="G2636" s="4" t="n">
        <v>22.8</v>
      </c>
      <c r="H2636" s="5" t="n">
        <v>49.53432856592222</v>
      </c>
      <c r="I2636" s="5" t="n"/>
      <c r="J2636" s="5" t="n">
        <v>45.308614174425</v>
      </c>
      <c r="K2636" s="5" t="n">
        <v>58</v>
      </c>
    </row>
    <row r="2637">
      <c r="A2637" s="2" t="n">
        <v>46207.25</v>
      </c>
      <c r="B2637">
        <f>TEXT(A2637,"yyyy-mm")</f>
        <v/>
      </c>
      <c r="C2637" s="3">
        <f>HOUR(A2637)</f>
        <v/>
      </c>
      <c r="D2637" s="4" t="n">
        <v>25.50821316326389</v>
      </c>
      <c r="E2637" s="4" t="n"/>
      <c r="F2637" s="4" t="n">
        <v>29.57046560389722</v>
      </c>
      <c r="G2637" s="4" t="n">
        <v>23.4</v>
      </c>
      <c r="H2637" s="5" t="n">
        <v>51.87789626255278</v>
      </c>
      <c r="I2637" s="5" t="n"/>
      <c r="J2637" s="5" t="n">
        <v>45.58547063956389</v>
      </c>
      <c r="K2637" s="5" t="n">
        <v>55</v>
      </c>
    </row>
    <row r="2638">
      <c r="A2638" s="2" t="n">
        <v>46207.29166666666</v>
      </c>
      <c r="B2638">
        <f>TEXT(A2638,"yyyy-mm")</f>
        <v/>
      </c>
      <c r="C2638" s="3">
        <f>HOUR(A2638)</f>
        <v/>
      </c>
      <c r="D2638" s="4" t="n">
        <v>26.30670920983333</v>
      </c>
      <c r="E2638" s="4" t="n"/>
      <c r="F2638" s="4" t="n">
        <v>29.58146857644167</v>
      </c>
      <c r="G2638" s="4" t="n">
        <v>24.6</v>
      </c>
      <c r="H2638" s="5" t="n">
        <v>50.29010467275833</v>
      </c>
      <c r="I2638" s="5" t="n"/>
      <c r="J2638" s="5" t="n">
        <v>45.69434795586667</v>
      </c>
      <c r="K2638" s="5" t="n">
        <v>51</v>
      </c>
    </row>
    <row r="2639">
      <c r="A2639" s="2" t="n">
        <v>46207.33333333334</v>
      </c>
      <c r="B2639">
        <f>TEXT(A2639,"yyyy-mm")</f>
        <v/>
      </c>
      <c r="C2639" s="3">
        <f>HOUR(A2639)</f>
        <v/>
      </c>
      <c r="D2639" s="4" t="n">
        <v>27.03322395676389</v>
      </c>
      <c r="E2639" s="4" t="n"/>
      <c r="F2639" s="4" t="n">
        <v>29.60570889042778</v>
      </c>
      <c r="G2639" s="4" t="n">
        <v>25.1</v>
      </c>
      <c r="H2639" s="5" t="n">
        <v>48.79040862584444</v>
      </c>
      <c r="I2639" s="5" t="n"/>
      <c r="J2639" s="5" t="n">
        <v>45.98517168483056</v>
      </c>
      <c r="K2639" s="5" t="n">
        <v>52</v>
      </c>
    </row>
    <row r="2640">
      <c r="A2640" s="2" t="n">
        <v>46207.375</v>
      </c>
      <c r="B2640">
        <f>TEXT(A2640,"yyyy-mm")</f>
        <v/>
      </c>
      <c r="C2640" s="3">
        <f>HOUR(A2640)</f>
        <v/>
      </c>
      <c r="D2640" s="4" t="n">
        <v>27.90770393051111</v>
      </c>
      <c r="E2640" s="4" t="n"/>
      <c r="F2640" s="4" t="n">
        <v>29.62249961949166</v>
      </c>
      <c r="G2640" s="4" t="n">
        <v>24.3</v>
      </c>
      <c r="H2640" s="5" t="n">
        <v>45.86422985610556</v>
      </c>
      <c r="I2640" s="5" t="n"/>
      <c r="J2640" s="5" t="n">
        <v>46.03738740703889</v>
      </c>
      <c r="K2640" s="5" t="n">
        <v>60</v>
      </c>
    </row>
    <row r="2641">
      <c r="A2641" s="2" t="n">
        <v>46207.41666666666</v>
      </c>
      <c r="B2641">
        <f>TEXT(A2641,"yyyy-mm")</f>
        <v/>
      </c>
      <c r="C2641" s="3">
        <f>HOUR(A2641)</f>
        <v/>
      </c>
      <c r="D2641" s="4" t="n">
        <v>28.28100970787777</v>
      </c>
      <c r="E2641" s="4" t="n"/>
      <c r="F2641" s="4" t="n">
        <v>29.64832027824444</v>
      </c>
      <c r="G2641" s="4" t="n">
        <v>24.7</v>
      </c>
      <c r="H2641" s="5" t="n">
        <v>43.82144236811666</v>
      </c>
      <c r="I2641" s="5" t="n"/>
      <c r="J2641" s="5" t="n">
        <v>46.04414484633889</v>
      </c>
      <c r="K2641" s="5" t="n">
        <v>59</v>
      </c>
    </row>
    <row r="2642">
      <c r="A2642" s="2" t="n">
        <v>46207.45833333334</v>
      </c>
      <c r="B2642">
        <f>TEXT(A2642,"yyyy-mm")</f>
        <v/>
      </c>
      <c r="C2642" s="3">
        <f>HOUR(A2642)</f>
        <v/>
      </c>
      <c r="D2642" s="4" t="n">
        <v>28.54463227093611</v>
      </c>
      <c r="E2642" s="4" t="n"/>
      <c r="F2642" s="4" t="n">
        <v>29.68596236539445</v>
      </c>
      <c r="G2642" s="4" t="n">
        <v>26.6</v>
      </c>
      <c r="H2642" s="5" t="n">
        <v>43.881676408</v>
      </c>
      <c r="I2642" s="5" t="n"/>
      <c r="J2642" s="5" t="n">
        <v>46.28557227379722</v>
      </c>
      <c r="K2642" s="5" t="n">
        <v>49</v>
      </c>
    </row>
    <row r="2643">
      <c r="A2643" s="2" t="n">
        <v>46207.5</v>
      </c>
      <c r="B2643">
        <f>TEXT(A2643,"yyyy-mm")</f>
        <v/>
      </c>
      <c r="C2643" s="3">
        <f>HOUR(A2643)</f>
        <v/>
      </c>
      <c r="D2643" s="4" t="n">
        <v>28.52012700506389</v>
      </c>
      <c r="E2643" s="4" t="n"/>
      <c r="F2643" s="4" t="n">
        <v>29.77852925928333</v>
      </c>
      <c r="G2643" s="4" t="n">
        <v>26.5</v>
      </c>
      <c r="H2643" s="5" t="n">
        <v>45.98882795339444</v>
      </c>
      <c r="I2643" s="5" t="n"/>
      <c r="J2643" s="5" t="n">
        <v>49.59005654529722</v>
      </c>
      <c r="K2643" s="5" t="n">
        <v>52</v>
      </c>
    </row>
    <row r="2644">
      <c r="A2644" s="2" t="n">
        <v>46207.54166666666</v>
      </c>
      <c r="B2644">
        <f>TEXT(A2644,"yyyy-mm")</f>
        <v/>
      </c>
      <c r="C2644" s="3">
        <f>HOUR(A2644)</f>
        <v/>
      </c>
      <c r="D2644" s="4" t="n">
        <v>28.00418464665833</v>
      </c>
      <c r="E2644" s="4" t="n"/>
      <c r="F2644" s="4" t="n">
        <v>29.76838836102777</v>
      </c>
      <c r="G2644" s="4" t="n">
        <v>27.4</v>
      </c>
      <c r="H2644" s="5" t="n">
        <v>49.32725674390556</v>
      </c>
      <c r="I2644" s="5" t="n"/>
      <c r="J2644" s="5" t="n">
        <v>52.12758257446389</v>
      </c>
      <c r="K2644" s="5" t="n">
        <v>50</v>
      </c>
    </row>
    <row r="2645">
      <c r="A2645" s="2" t="n">
        <v>46207.58333333334</v>
      </c>
      <c r="B2645">
        <f>TEXT(A2645,"yyyy-mm")</f>
        <v/>
      </c>
      <c r="C2645" s="3">
        <f>HOUR(A2645)</f>
        <v/>
      </c>
      <c r="D2645" s="4" t="n">
        <v>27.699305059525</v>
      </c>
      <c r="E2645" s="4" t="n"/>
      <c r="F2645" s="4" t="n">
        <v>29.79823646156944</v>
      </c>
      <c r="G2645" s="4" t="n">
        <v>26.8</v>
      </c>
      <c r="H2645" s="5" t="n">
        <v>48.09067191406666</v>
      </c>
      <c r="I2645" s="5" t="n"/>
      <c r="J2645" s="5" t="n">
        <v>49.85368072688333</v>
      </c>
      <c r="K2645" s="5" t="n">
        <v>52</v>
      </c>
    </row>
    <row r="2646">
      <c r="A2646" s="2" t="n">
        <v>46207.625</v>
      </c>
      <c r="B2646">
        <f>TEXT(A2646,"yyyy-mm")</f>
        <v/>
      </c>
      <c r="C2646" s="3">
        <f>HOUR(A2646)</f>
        <v/>
      </c>
      <c r="D2646" s="4" t="n">
        <v>27.46050803911389</v>
      </c>
      <c r="E2646" s="4" t="n"/>
      <c r="F2646" s="4" t="n">
        <v>29.81884844891111</v>
      </c>
      <c r="G2646" s="4" t="n">
        <v>24.2</v>
      </c>
      <c r="H2646" s="5" t="n">
        <v>50.39559164449445</v>
      </c>
      <c r="I2646" s="5" t="n"/>
      <c r="J2646" s="5" t="n">
        <v>49.93062329118334</v>
      </c>
      <c r="K2646" s="5" t="n">
        <v>63</v>
      </c>
    </row>
    <row r="2647">
      <c r="A2647" s="2" t="n">
        <v>46207.66666666666</v>
      </c>
      <c r="B2647">
        <f>TEXT(A2647,"yyyy-mm")</f>
        <v/>
      </c>
      <c r="C2647" s="3">
        <f>HOUR(A2647)</f>
        <v/>
      </c>
      <c r="D2647" s="4" t="n">
        <v>27.58019692571111</v>
      </c>
      <c r="E2647" s="4" t="n"/>
      <c r="F2647" s="4" t="n">
        <v>29.84803441533889</v>
      </c>
      <c r="G2647" s="4" t="n">
        <v>21.7</v>
      </c>
      <c r="H2647" s="5" t="n">
        <v>49.35981277528055</v>
      </c>
      <c r="I2647" s="5" t="n"/>
      <c r="J2647" s="5" t="n">
        <v>50.56186052948056</v>
      </c>
      <c r="K2647" s="5" t="n">
        <v>75</v>
      </c>
    </row>
    <row r="2648">
      <c r="A2648" s="2" t="n">
        <v>46207.70833333334</v>
      </c>
      <c r="B2648">
        <f>TEXT(A2648,"yyyy-mm")</f>
        <v/>
      </c>
      <c r="C2648" s="3">
        <f>HOUR(A2648)</f>
        <v/>
      </c>
      <c r="D2648" s="4" t="n">
        <v>27.25573965196667</v>
      </c>
      <c r="E2648" s="4" t="n"/>
      <c r="F2648" s="4" t="n">
        <v>29.83745088464444</v>
      </c>
      <c r="G2648" s="4" t="n">
        <v>22.1</v>
      </c>
      <c r="H2648" s="5" t="n">
        <v>46.051281403575</v>
      </c>
      <c r="I2648" s="5" t="n"/>
      <c r="J2648" s="5" t="n">
        <v>49.62799785535833</v>
      </c>
      <c r="K2648" s="5" t="n">
        <v>71</v>
      </c>
    </row>
    <row r="2649">
      <c r="A2649" s="2" t="n">
        <v>46207.75</v>
      </c>
      <c r="B2649">
        <f>TEXT(A2649,"yyyy-mm")</f>
        <v/>
      </c>
      <c r="C2649" s="3">
        <f>HOUR(A2649)</f>
        <v/>
      </c>
      <c r="D2649" s="4" t="n">
        <v>26.38882668060278</v>
      </c>
      <c r="E2649" s="4" t="n"/>
      <c r="F2649" s="4" t="n">
        <v>29.82502765044167</v>
      </c>
      <c r="G2649" s="4" t="n">
        <v>22</v>
      </c>
      <c r="H2649" s="5" t="n">
        <v>46.82277998678889</v>
      </c>
      <c r="I2649" s="5" t="n"/>
      <c r="J2649" s="5" t="n">
        <v>49.04203412431111</v>
      </c>
      <c r="K2649" s="5" t="n">
        <v>69</v>
      </c>
    </row>
    <row r="2650">
      <c r="A2650" s="2" t="n">
        <v>46207.79166666666</v>
      </c>
      <c r="B2650">
        <f>TEXT(A2650,"yyyy-mm")</f>
        <v/>
      </c>
      <c r="C2650" s="3">
        <f>HOUR(A2650)</f>
        <v/>
      </c>
      <c r="D2650" s="4" t="n">
        <v>25.57201868618056</v>
      </c>
      <c r="E2650" s="4" t="n"/>
      <c r="F2650" s="4" t="n">
        <v>29.81000646791666</v>
      </c>
      <c r="G2650" s="4" t="n">
        <v>21.5</v>
      </c>
      <c r="H2650" s="5" t="n">
        <v>47.76349982383056</v>
      </c>
      <c r="I2650" s="5" t="n"/>
      <c r="J2650" s="5" t="n">
        <v>48.56357642989167</v>
      </c>
      <c r="K2650" s="5" t="n">
        <v>67</v>
      </c>
    </row>
    <row r="2651">
      <c r="A2651" s="2" t="n">
        <v>46207.83333333334</v>
      </c>
      <c r="B2651">
        <f>TEXT(A2651,"yyyy-mm")</f>
        <v/>
      </c>
      <c r="C2651" s="3">
        <f>HOUR(A2651)</f>
        <v/>
      </c>
      <c r="D2651" s="4" t="n">
        <v>25.04246740363611</v>
      </c>
      <c r="E2651" s="4" t="n"/>
      <c r="F2651" s="4" t="n">
        <v>29.78895108323611</v>
      </c>
      <c r="G2651" s="4" t="n">
        <v>20.3</v>
      </c>
      <c r="H2651" s="5" t="n">
        <v>52.16328287915277</v>
      </c>
      <c r="I2651" s="5" t="n"/>
      <c r="J2651" s="5" t="n">
        <v>48.31646573806111</v>
      </c>
      <c r="K2651" s="5" t="n">
        <v>72</v>
      </c>
    </row>
    <row r="2652">
      <c r="A2652" s="2" t="n">
        <v>46207.875</v>
      </c>
      <c r="B2652">
        <f>TEXT(A2652,"yyyy-mm")</f>
        <v/>
      </c>
      <c r="C2652" s="3">
        <f>HOUR(A2652)</f>
        <v/>
      </c>
      <c r="D2652" s="4" t="n">
        <v>25.921099835475</v>
      </c>
      <c r="E2652" s="4" t="n"/>
      <c r="F2652" s="4" t="n">
        <v>29.77866974719167</v>
      </c>
      <c r="G2652" s="4" t="n">
        <v>19</v>
      </c>
      <c r="H2652" s="5" t="n">
        <v>51.48198553996111</v>
      </c>
      <c r="I2652" s="5" t="n"/>
      <c r="J2652" s="5" t="n">
        <v>48.17811712088056</v>
      </c>
      <c r="K2652" s="5" t="n">
        <v>82</v>
      </c>
    </row>
    <row r="2653">
      <c r="A2653" s="2" t="n">
        <v>46207.91666666666</v>
      </c>
      <c r="B2653">
        <f>TEXT(A2653,"yyyy-mm")</f>
        <v/>
      </c>
      <c r="C2653" s="3">
        <f>HOUR(A2653)</f>
        <v/>
      </c>
      <c r="D2653" s="4" t="n">
        <v>24.38586404898055</v>
      </c>
      <c r="E2653" s="4" t="n"/>
      <c r="F2653" s="4" t="n">
        <v>29.78294098360833</v>
      </c>
      <c r="G2653" s="4" t="n">
        <v>18.5</v>
      </c>
      <c r="H2653" s="5" t="n">
        <v>55.24944069643056</v>
      </c>
      <c r="I2653" s="5" t="n"/>
      <c r="J2653" s="5" t="n">
        <v>48.23281744058334</v>
      </c>
      <c r="K2653" s="5" t="n">
        <v>85</v>
      </c>
    </row>
    <row r="2654">
      <c r="A2654" s="2" t="n">
        <v>46207.95833333334</v>
      </c>
      <c r="B2654">
        <f>TEXT(A2654,"yyyy-mm")</f>
        <v/>
      </c>
      <c r="C2654" s="3">
        <f>HOUR(A2654)</f>
        <v/>
      </c>
      <c r="D2654" s="4" t="n">
        <v>24.23314473262223</v>
      </c>
      <c r="E2654" s="4" t="n"/>
      <c r="F2654" s="4" t="n">
        <v>29.51642770117222</v>
      </c>
      <c r="G2654" s="4" t="n">
        <v>18.2</v>
      </c>
      <c r="H2654" s="5" t="n">
        <v>55.30974768832777</v>
      </c>
      <c r="I2654" s="5" t="n"/>
      <c r="J2654" s="5" t="n">
        <v>49.57173238725556</v>
      </c>
      <c r="K2654" s="5" t="n">
        <v>85</v>
      </c>
    </row>
    <row r="2655">
      <c r="A2655" s="2" t="n">
        <v>46208</v>
      </c>
      <c r="B2655">
        <f>TEXT(A2655,"yyyy-mm")</f>
        <v/>
      </c>
      <c r="C2655" s="3">
        <f>HOUR(A2655)</f>
        <v/>
      </c>
      <c r="D2655" s="4" t="n">
        <v>24.22199064308333</v>
      </c>
      <c r="E2655" s="4" t="n"/>
      <c r="F2655" s="4" t="n">
        <v>29.63328662682778</v>
      </c>
      <c r="G2655" s="4" t="n">
        <v>18</v>
      </c>
      <c r="H2655" s="5" t="n">
        <v>55.34533068939445</v>
      </c>
      <c r="I2655" s="5" t="n"/>
      <c r="J2655" s="5" t="n">
        <v>49.21001001107222</v>
      </c>
      <c r="K2655" s="5" t="n">
        <v>86</v>
      </c>
    </row>
    <row r="2656">
      <c r="A2656" s="2" t="n">
        <v>46208.04166666666</v>
      </c>
      <c r="B2656">
        <f>TEXT(A2656,"yyyy-mm")</f>
        <v/>
      </c>
      <c r="C2656" s="3">
        <f>HOUR(A2656)</f>
        <v/>
      </c>
      <c r="D2656" s="4" t="n">
        <v>23.91960446413889</v>
      </c>
      <c r="E2656" s="4" t="n"/>
      <c r="F2656" s="4" t="n">
        <v>29.74235473760278</v>
      </c>
      <c r="G2656" s="4" t="n">
        <v>17.9</v>
      </c>
      <c r="H2656" s="5" t="n">
        <v>55.51513574438056</v>
      </c>
      <c r="I2656" s="5" t="n"/>
      <c r="J2656" s="5" t="n">
        <v>48.61640642998611</v>
      </c>
      <c r="K2656" s="5" t="n">
        <v>85</v>
      </c>
    </row>
    <row r="2657">
      <c r="A2657" s="2" t="n">
        <v>46208.08333333334</v>
      </c>
      <c r="B2657">
        <f>TEXT(A2657,"yyyy-mm")</f>
        <v/>
      </c>
      <c r="C2657" s="3">
        <f>HOUR(A2657)</f>
        <v/>
      </c>
      <c r="D2657" s="4" t="n">
        <v>23.86332032023056</v>
      </c>
      <c r="E2657" s="4" t="n"/>
      <c r="F2657" s="4" t="n">
        <v>29.69384950640833</v>
      </c>
      <c r="G2657" s="4" t="n">
        <v>17.8</v>
      </c>
      <c r="H2657" s="5" t="n">
        <v>55.8741310374</v>
      </c>
      <c r="I2657" s="5" t="n"/>
      <c r="J2657" s="5" t="n">
        <v>48.49019785744167</v>
      </c>
      <c r="K2657" s="5" t="n">
        <v>85</v>
      </c>
    </row>
    <row r="2658">
      <c r="A2658" s="2" t="n">
        <v>46208.125</v>
      </c>
      <c r="B2658">
        <f>TEXT(A2658,"yyyy-mm")</f>
        <v/>
      </c>
      <c r="C2658" s="3">
        <f>HOUR(A2658)</f>
        <v/>
      </c>
      <c r="D2658" s="4" t="n">
        <v>24.00586911257222</v>
      </c>
      <c r="E2658" s="4" t="n"/>
      <c r="F2658" s="4" t="n">
        <v>29.68403115855556</v>
      </c>
      <c r="G2658" s="4" t="n">
        <v>16.9</v>
      </c>
      <c r="H2658" s="5" t="n">
        <v>56.60568799501112</v>
      </c>
      <c r="I2658" s="5" t="n"/>
      <c r="J2658" s="5" t="n">
        <v>48.52149892035278</v>
      </c>
      <c r="K2658" s="5" t="n">
        <v>89</v>
      </c>
    </row>
    <row r="2659">
      <c r="A2659" s="2" t="n">
        <v>46208.16666666666</v>
      </c>
      <c r="B2659">
        <f>TEXT(A2659,"yyyy-mm")</f>
        <v/>
      </c>
      <c r="C2659" s="3">
        <f>HOUR(A2659)</f>
        <v/>
      </c>
      <c r="D2659" s="4" t="n">
        <v>23.82471135836944</v>
      </c>
      <c r="E2659" s="4" t="n"/>
      <c r="F2659" s="4" t="n">
        <v>29.68352774781111</v>
      </c>
      <c r="G2659" s="4" t="n">
        <v>16.7</v>
      </c>
      <c r="H2659" s="5" t="n">
        <v>54.11421811683334</v>
      </c>
      <c r="I2659" s="5" t="n"/>
      <c r="J2659" s="5" t="n">
        <v>48.49295029927777</v>
      </c>
      <c r="K2659" s="5" t="n">
        <v>88</v>
      </c>
    </row>
    <row r="2660">
      <c r="A2660" s="2" t="n">
        <v>46208.20833333334</v>
      </c>
      <c r="B2660">
        <f>TEXT(A2660,"yyyy-mm")</f>
        <v/>
      </c>
      <c r="C2660" s="3">
        <f>HOUR(A2660)</f>
        <v/>
      </c>
      <c r="D2660" s="4" t="n">
        <v>23.184403712025</v>
      </c>
      <c r="E2660" s="4" t="n"/>
      <c r="F2660" s="4" t="n">
        <v>29.66331522299444</v>
      </c>
      <c r="G2660" s="4" t="n">
        <v>16.3</v>
      </c>
      <c r="H2660" s="5" t="n">
        <v>51.67956637034445</v>
      </c>
      <c r="I2660" s="5" t="n"/>
      <c r="J2660" s="5" t="n">
        <v>48.15958602866667</v>
      </c>
      <c r="K2660" s="5" t="n">
        <v>85</v>
      </c>
    </row>
    <row r="2661">
      <c r="A2661" s="2" t="n">
        <v>46208.25</v>
      </c>
      <c r="B2661">
        <f>TEXT(A2661,"yyyy-mm")</f>
        <v/>
      </c>
      <c r="C2661" s="3">
        <f>HOUR(A2661)</f>
        <v/>
      </c>
      <c r="D2661" s="4" t="n">
        <v>23.70221777445556</v>
      </c>
      <c r="E2661" s="4" t="n"/>
      <c r="F2661" s="4" t="n">
        <v>29.64267296082778</v>
      </c>
      <c r="G2661" s="4" t="n">
        <v>16</v>
      </c>
      <c r="H2661" s="5" t="n">
        <v>48.55613119961667</v>
      </c>
      <c r="I2661" s="5" t="n"/>
      <c r="J2661" s="5" t="n">
        <v>47.69266287186389</v>
      </c>
      <c r="K2661" s="5" t="n">
        <v>82</v>
      </c>
    </row>
    <row r="2662">
      <c r="A2662" s="2" t="n">
        <v>46208.29166666666</v>
      </c>
      <c r="B2662">
        <f>TEXT(A2662,"yyyy-mm")</f>
        <v/>
      </c>
      <c r="C2662" s="3">
        <f>HOUR(A2662)</f>
        <v/>
      </c>
      <c r="D2662" s="4" t="n">
        <v>25.75610789566389</v>
      </c>
      <c r="E2662" s="4" t="n"/>
      <c r="F2662" s="4" t="n">
        <v>29.63763548920833</v>
      </c>
      <c r="G2662" s="4" t="n">
        <v>16.6</v>
      </c>
      <c r="H2662" s="5" t="n">
        <v>42.96421239946389</v>
      </c>
      <c r="I2662" s="5" t="n"/>
      <c r="J2662" s="5" t="n">
        <v>47.400088802175</v>
      </c>
      <c r="K2662" s="5" t="n">
        <v>75</v>
      </c>
    </row>
    <row r="2663">
      <c r="A2663" s="2" t="n">
        <v>46208.33333333334</v>
      </c>
      <c r="B2663">
        <f>TEXT(A2663,"yyyy-mm")</f>
        <v/>
      </c>
      <c r="C2663" s="3">
        <f>HOUR(A2663)</f>
        <v/>
      </c>
      <c r="D2663" s="4" t="n">
        <v>26.92218422873333</v>
      </c>
      <c r="E2663" s="4" t="n"/>
      <c r="F2663" s="4" t="n">
        <v>29.65624370811389</v>
      </c>
      <c r="G2663" s="4" t="n">
        <v>17.7</v>
      </c>
      <c r="H2663" s="5" t="n">
        <v>40.04740219709445</v>
      </c>
      <c r="I2663" s="5" t="n"/>
      <c r="J2663" s="5" t="n">
        <v>47.24056943113333</v>
      </c>
      <c r="K2663" s="5" t="n">
        <v>72</v>
      </c>
    </row>
    <row r="2664">
      <c r="A2664" s="2" t="n">
        <v>46208.375</v>
      </c>
      <c r="B2664">
        <f>TEXT(A2664,"yyyy-mm")</f>
        <v/>
      </c>
      <c r="C2664" s="3">
        <f>HOUR(A2664)</f>
        <v/>
      </c>
      <c r="D2664" s="4" t="n">
        <v>28.12620799686666</v>
      </c>
      <c r="E2664" s="4" t="n"/>
      <c r="F2664" s="4" t="n">
        <v>29.68751487996667</v>
      </c>
      <c r="G2664" s="4" t="n">
        <v>19.3</v>
      </c>
      <c r="H2664" s="5" t="n">
        <v>37.58700977099722</v>
      </c>
      <c r="I2664" s="5" t="n"/>
      <c r="J2664" s="5" t="n">
        <v>47.16080026611389</v>
      </c>
      <c r="K2664" s="5" t="n">
        <v>65</v>
      </c>
    </row>
    <row r="2665">
      <c r="A2665" s="2" t="n">
        <v>46208.41666666666</v>
      </c>
      <c r="B2665">
        <f>TEXT(A2665,"yyyy-mm")</f>
        <v/>
      </c>
      <c r="C2665" s="3">
        <f>HOUR(A2665)</f>
        <v/>
      </c>
      <c r="D2665" s="4" t="n">
        <v>27.66375328379445</v>
      </c>
      <c r="E2665" s="4" t="n"/>
      <c r="F2665" s="4" t="n">
        <v>29.715685047175</v>
      </c>
      <c r="G2665" s="4" t="n">
        <v>20.1</v>
      </c>
      <c r="H2665" s="5" t="n">
        <v>37.41788651418056</v>
      </c>
      <c r="I2665" s="5" t="n"/>
      <c r="J2665" s="5" t="n">
        <v>47.07752539905834</v>
      </c>
      <c r="K2665" s="5" t="n">
        <v>59</v>
      </c>
    </row>
    <row r="2666">
      <c r="A2666" s="2" t="n">
        <v>46208.45833333334</v>
      </c>
      <c r="B2666">
        <f>TEXT(A2666,"yyyy-mm")</f>
        <v/>
      </c>
      <c r="C2666" s="3">
        <f>HOUR(A2666)</f>
        <v/>
      </c>
      <c r="D2666" s="4" t="n">
        <v>27.24895133989722</v>
      </c>
      <c r="E2666" s="4" t="n"/>
      <c r="F2666" s="4" t="n">
        <v>29.73900332270277</v>
      </c>
      <c r="G2666" s="4" t="n">
        <v>20.6</v>
      </c>
      <c r="H2666" s="5" t="n">
        <v>36.52799596609167</v>
      </c>
      <c r="I2666" s="5" t="n"/>
      <c r="J2666" s="5" t="n">
        <v>46.93442625872778</v>
      </c>
      <c r="K2666" s="5" t="n">
        <v>55</v>
      </c>
    </row>
    <row r="2667">
      <c r="A2667" s="2" t="n">
        <v>46208.5</v>
      </c>
      <c r="B2667">
        <f>TEXT(A2667,"yyyy-mm")</f>
        <v/>
      </c>
      <c r="C2667" s="3">
        <f>HOUR(A2667)</f>
        <v/>
      </c>
      <c r="D2667" s="4" t="n">
        <v>26.96209067620278</v>
      </c>
      <c r="E2667" s="4" t="n"/>
      <c r="F2667" s="4" t="n">
        <v>29.77535057994722</v>
      </c>
      <c r="G2667" s="4" t="n">
        <v>21.6</v>
      </c>
      <c r="H2667" s="5" t="n">
        <v>35.85266876799167</v>
      </c>
      <c r="I2667" s="5" t="n"/>
      <c r="J2667" s="5" t="n">
        <v>46.61094750375556</v>
      </c>
      <c r="K2667" s="5" t="n">
        <v>55</v>
      </c>
    </row>
    <row r="2668">
      <c r="A2668" s="2" t="n">
        <v>46208.54166666666</v>
      </c>
      <c r="B2668">
        <f>TEXT(A2668,"yyyy-mm")</f>
        <v/>
      </c>
      <c r="C2668" s="3">
        <f>HOUR(A2668)</f>
        <v/>
      </c>
      <c r="D2668" s="4" t="n">
        <v>27.35327595862222</v>
      </c>
      <c r="E2668" s="4" t="n"/>
      <c r="F2668" s="4" t="n">
        <v>29.918976613325</v>
      </c>
      <c r="G2668" s="4" t="n">
        <v>18.7</v>
      </c>
      <c r="H2668" s="5" t="n">
        <v>35.35437691754999</v>
      </c>
      <c r="I2668" s="5" t="n"/>
      <c r="J2668" s="5" t="n">
        <v>46.47782788371666</v>
      </c>
      <c r="K2668" s="5" t="n">
        <v>66</v>
      </c>
    </row>
    <row r="2669">
      <c r="A2669" s="2" t="n">
        <v>46208.58333333334</v>
      </c>
      <c r="B2669">
        <f>TEXT(A2669,"yyyy-mm")</f>
        <v/>
      </c>
      <c r="C2669" s="3">
        <f>HOUR(A2669)</f>
        <v/>
      </c>
      <c r="D2669" s="4" t="n">
        <v>27.36413802199445</v>
      </c>
      <c r="E2669" s="4" t="n"/>
      <c r="F2669" s="4" t="n">
        <v>29.94856416958889</v>
      </c>
      <c r="G2669" s="4" t="n">
        <v>19.9</v>
      </c>
      <c r="H2669" s="5" t="n">
        <v>34.72580846868611</v>
      </c>
      <c r="I2669" s="5" t="n"/>
      <c r="J2669" s="5" t="n">
        <v>45.851373466075</v>
      </c>
      <c r="K2669" s="5" t="n">
        <v>61</v>
      </c>
    </row>
    <row r="2670">
      <c r="A2670" s="2" t="n">
        <v>46208.625</v>
      </c>
      <c r="B2670">
        <f>TEXT(A2670,"yyyy-mm")</f>
        <v/>
      </c>
      <c r="C2670" s="3">
        <f>HOUR(A2670)</f>
        <v/>
      </c>
      <c r="D2670" s="4" t="n">
        <v>26.75712005346389</v>
      </c>
      <c r="E2670" s="4" t="n"/>
      <c r="F2670" s="4" t="n">
        <v>29.969077024275</v>
      </c>
      <c r="G2670" s="4" t="n">
        <v>17.9</v>
      </c>
      <c r="H2670" s="5" t="n">
        <v>36.93252611973056</v>
      </c>
      <c r="I2670" s="5" t="n"/>
      <c r="J2670" s="5" t="n">
        <v>45.44721910814444</v>
      </c>
      <c r="K2670" s="5" t="n">
        <v>77</v>
      </c>
    </row>
    <row r="2671">
      <c r="A2671" s="2" t="n">
        <v>46208.66666666666</v>
      </c>
      <c r="B2671">
        <f>TEXT(A2671,"yyyy-mm")</f>
        <v/>
      </c>
      <c r="C2671" s="3">
        <f>HOUR(A2671)</f>
        <v/>
      </c>
      <c r="D2671" s="4" t="n">
        <v>26.37586229851667</v>
      </c>
      <c r="E2671" s="4" t="n"/>
      <c r="F2671" s="4" t="n">
        <v>29.817287012075</v>
      </c>
      <c r="G2671" s="4" t="n">
        <v>19.4</v>
      </c>
      <c r="H2671" s="5" t="n">
        <v>36.772052895175</v>
      </c>
      <c r="I2671" s="5" t="n"/>
      <c r="J2671" s="5" t="n">
        <v>44.63578262632777</v>
      </c>
      <c r="K2671" s="5" t="n">
        <v>68</v>
      </c>
    </row>
    <row r="2672">
      <c r="A2672" s="2" t="n">
        <v>46208.70833333334</v>
      </c>
      <c r="B2672">
        <f>TEXT(A2672,"yyyy-mm")</f>
        <v/>
      </c>
      <c r="C2672" s="3">
        <f>HOUR(A2672)</f>
        <v/>
      </c>
      <c r="D2672" s="4" t="n">
        <v>25.38420147775</v>
      </c>
      <c r="E2672" s="4" t="n"/>
      <c r="F2672" s="4" t="n">
        <v>29.84427775775833</v>
      </c>
      <c r="G2672" s="4" t="n">
        <v>20.3</v>
      </c>
      <c r="H2672" s="5" t="n">
        <v>42.52368076408333</v>
      </c>
      <c r="I2672" s="5" t="n"/>
      <c r="J2672" s="5" t="n">
        <v>44.46303766576389</v>
      </c>
      <c r="K2672" s="5" t="n">
        <v>62</v>
      </c>
    </row>
    <row r="2673">
      <c r="A2673" s="2" t="n">
        <v>46208.75</v>
      </c>
      <c r="B2673">
        <f>TEXT(A2673,"yyyy-mm")</f>
        <v/>
      </c>
      <c r="C2673" s="3">
        <f>HOUR(A2673)</f>
        <v/>
      </c>
      <c r="D2673" s="4" t="n">
        <v>25.44760649293333</v>
      </c>
      <c r="E2673" s="4" t="n"/>
      <c r="F2673" s="4" t="n">
        <v>29.91043654833055</v>
      </c>
      <c r="G2673" s="4" t="n">
        <v>19.3</v>
      </c>
      <c r="H2673" s="5" t="n">
        <v>42.24227711603333</v>
      </c>
      <c r="I2673" s="5" t="n"/>
      <c r="J2673" s="5" t="n">
        <v>45.10274564524445</v>
      </c>
      <c r="K2673" s="5" t="n">
        <v>65</v>
      </c>
    </row>
    <row r="2674">
      <c r="A2674" s="2" t="n">
        <v>46208.79166666666</v>
      </c>
      <c r="B2674">
        <f>TEXT(A2674,"yyyy-mm")</f>
        <v/>
      </c>
      <c r="C2674" s="3">
        <f>HOUR(A2674)</f>
        <v/>
      </c>
      <c r="D2674" s="4" t="n">
        <v>25.08508877578056</v>
      </c>
      <c r="E2674" s="4" t="n"/>
      <c r="F2674" s="4" t="n">
        <v>30.05315662009722</v>
      </c>
      <c r="G2674" s="4" t="n">
        <v>18.9</v>
      </c>
      <c r="H2674" s="5" t="n">
        <v>42.32069450409167</v>
      </c>
      <c r="I2674" s="5" t="n"/>
      <c r="J2674" s="5" t="n">
        <v>45.207713543875</v>
      </c>
      <c r="K2674" s="5" t="n">
        <v>68</v>
      </c>
    </row>
    <row r="2675">
      <c r="A2675" s="2" t="n">
        <v>46208.83333333334</v>
      </c>
      <c r="B2675">
        <f>TEXT(A2675,"yyyy-mm")</f>
        <v/>
      </c>
      <c r="C2675" s="3">
        <f>HOUR(A2675)</f>
        <v/>
      </c>
      <c r="D2675" s="4" t="n">
        <v>24.86977421801944</v>
      </c>
      <c r="E2675" s="4" t="n"/>
      <c r="F2675" s="4" t="n">
        <v>30.11471891256112</v>
      </c>
      <c r="G2675" s="4" t="n">
        <v>18</v>
      </c>
      <c r="H2675" s="5" t="n">
        <v>43.6601133899139</v>
      </c>
      <c r="I2675" s="5" t="n"/>
      <c r="J2675" s="5" t="n">
        <v>45.08417259882222</v>
      </c>
      <c r="K2675" s="5" t="n">
        <v>72</v>
      </c>
    </row>
    <row r="2676">
      <c r="A2676" s="2" t="n">
        <v>46208.875</v>
      </c>
      <c r="B2676">
        <f>TEXT(A2676,"yyyy-mm")</f>
        <v/>
      </c>
      <c r="C2676" s="3">
        <f>HOUR(A2676)</f>
        <v/>
      </c>
      <c r="D2676" s="4" t="n">
        <v>25.26794719931667</v>
      </c>
      <c r="E2676" s="4" t="n"/>
      <c r="F2676" s="4" t="n">
        <v>30.04013365742222</v>
      </c>
      <c r="G2676" s="4" t="n">
        <v>17</v>
      </c>
      <c r="H2676" s="5" t="n">
        <v>43.92477090966111</v>
      </c>
      <c r="I2676" s="5" t="n"/>
      <c r="J2676" s="5" t="n">
        <v>45.23449820546944</v>
      </c>
      <c r="K2676" s="5" t="n">
        <v>77</v>
      </c>
    </row>
    <row r="2677">
      <c r="A2677" s="2" t="n">
        <v>46208.91666666666</v>
      </c>
      <c r="B2677">
        <f>TEXT(A2677,"yyyy-mm")</f>
        <v/>
      </c>
      <c r="C2677" s="3">
        <f>HOUR(A2677)</f>
        <v/>
      </c>
      <c r="D2677" s="4" t="n">
        <v>25.13310146442222</v>
      </c>
      <c r="E2677" s="4" t="n"/>
      <c r="F2677" s="4" t="n">
        <v>30.01640149738056</v>
      </c>
      <c r="G2677" s="4" t="n">
        <v>16.4</v>
      </c>
      <c r="H2677" s="5" t="n">
        <v>44.10356785201389</v>
      </c>
      <c r="I2677" s="5" t="n"/>
      <c r="J2677" s="5" t="n">
        <v>45.30226879766111</v>
      </c>
      <c r="K2677" s="5" t="n">
        <v>81</v>
      </c>
    </row>
    <row r="2678">
      <c r="A2678" s="2" t="n">
        <v>46208.95833333334</v>
      </c>
      <c r="B2678">
        <f>TEXT(A2678,"yyyy-mm")</f>
        <v/>
      </c>
      <c r="C2678" s="3">
        <f>HOUR(A2678)</f>
        <v/>
      </c>
      <c r="D2678" s="4" t="n">
        <v>24.47012863555</v>
      </c>
      <c r="E2678" s="4" t="n"/>
      <c r="F2678" s="4" t="n">
        <v>29.95051880761111</v>
      </c>
      <c r="G2678" s="4" t="n">
        <v>15.9</v>
      </c>
      <c r="H2678" s="5" t="n">
        <v>45.90631631559722</v>
      </c>
      <c r="I2678" s="5" t="n"/>
      <c r="J2678" s="5" t="n">
        <v>45.39917730811666</v>
      </c>
      <c r="K2678" s="5" t="n">
        <v>83</v>
      </c>
    </row>
    <row r="2679">
      <c r="A2679" s="2" t="n">
        <v>46209</v>
      </c>
      <c r="B2679">
        <f>TEXT(A2679,"yyyy-mm")</f>
        <v/>
      </c>
      <c r="C2679" s="3">
        <f>HOUR(A2679)</f>
        <v/>
      </c>
      <c r="D2679" s="4" t="n">
        <v>23.2762062745</v>
      </c>
      <c r="E2679" s="4" t="n"/>
      <c r="F2679" s="4" t="n">
        <v>29.92085795570277</v>
      </c>
      <c r="G2679" s="4" t="n">
        <v>15.4</v>
      </c>
      <c r="H2679" s="5" t="n">
        <v>48.61665329073055</v>
      </c>
      <c r="I2679" s="5" t="n"/>
      <c r="J2679" s="5" t="n">
        <v>45.70082477898333</v>
      </c>
      <c r="K2679" s="5" t="n">
        <v>87</v>
      </c>
    </row>
    <row r="2680">
      <c r="A2680" s="2" t="n">
        <v>46209.04166666666</v>
      </c>
      <c r="B2680">
        <f>TEXT(A2680,"yyyy-mm")</f>
        <v/>
      </c>
      <c r="C2680" s="3">
        <f>HOUR(A2680)</f>
        <v/>
      </c>
      <c r="D2680" s="4" t="n">
        <v>22.58864876768611</v>
      </c>
      <c r="E2680" s="4" t="n"/>
      <c r="F2680" s="4" t="n">
        <v>29.92665456416389</v>
      </c>
      <c r="G2680" s="4" t="n">
        <v>15.1</v>
      </c>
      <c r="H2680" s="5" t="n">
        <v>49.49789639132499</v>
      </c>
      <c r="I2680" s="5" t="n"/>
      <c r="J2680" s="5" t="n">
        <v>45.42491220881112</v>
      </c>
      <c r="K2680" s="5" t="n">
        <v>88</v>
      </c>
    </row>
    <row r="2681">
      <c r="A2681" s="2" t="n">
        <v>46209.08333333334</v>
      </c>
      <c r="B2681">
        <f>TEXT(A2681,"yyyy-mm")</f>
        <v/>
      </c>
      <c r="C2681" s="3">
        <f>HOUR(A2681)</f>
        <v/>
      </c>
      <c r="D2681" s="4" t="n">
        <v>21.72341862818056</v>
      </c>
      <c r="E2681" s="4" t="n"/>
      <c r="F2681" s="4" t="n">
        <v>29.88120697725</v>
      </c>
      <c r="G2681" s="4" t="n">
        <v>14.7</v>
      </c>
      <c r="H2681" s="5" t="n">
        <v>50.93868029949723</v>
      </c>
      <c r="I2681" s="5" t="n"/>
      <c r="J2681" s="5" t="n">
        <v>45.20570508420833</v>
      </c>
      <c r="K2681" s="5" t="n">
        <v>89</v>
      </c>
    </row>
    <row r="2682">
      <c r="A2682" s="2" t="n">
        <v>46209.125</v>
      </c>
      <c r="B2682">
        <f>TEXT(A2682,"yyyy-mm")</f>
        <v/>
      </c>
      <c r="C2682" s="3">
        <f>HOUR(A2682)</f>
        <v/>
      </c>
      <c r="D2682" s="4" t="n">
        <v>21.350466327625</v>
      </c>
      <c r="E2682" s="4" t="n"/>
      <c r="F2682" s="4" t="n">
        <v>29.83126586718612</v>
      </c>
      <c r="G2682" s="4" t="n">
        <v>13.8</v>
      </c>
      <c r="H2682" s="5" t="n">
        <v>50.87052575070278</v>
      </c>
      <c r="I2682" s="5" t="n"/>
      <c r="J2682" s="5" t="n">
        <v>44.99541874644722</v>
      </c>
      <c r="K2682" s="5" t="n">
        <v>90</v>
      </c>
    </row>
    <row r="2683">
      <c r="A2683" s="2" t="n">
        <v>46209.16666666666</v>
      </c>
      <c r="B2683">
        <f>TEXT(A2683,"yyyy-mm")</f>
        <v/>
      </c>
      <c r="C2683" s="3">
        <f>HOUR(A2683)</f>
        <v/>
      </c>
      <c r="D2683" s="4" t="n">
        <v>21.26755098258889</v>
      </c>
      <c r="E2683" s="4" t="n"/>
      <c r="F2683" s="4" t="n">
        <v>29.77802177660833</v>
      </c>
      <c r="G2683" s="4" t="n">
        <v>13.5</v>
      </c>
      <c r="H2683" s="5" t="n">
        <v>50.50576237983611</v>
      </c>
      <c r="I2683" s="5" t="n"/>
      <c r="J2683" s="5" t="n">
        <v>44.77877836300834</v>
      </c>
      <c r="K2683" s="5" t="n">
        <v>90</v>
      </c>
    </row>
    <row r="2684">
      <c r="A2684" s="2" t="n">
        <v>46209.20833333334</v>
      </c>
      <c r="B2684">
        <f>TEXT(A2684,"yyyy-mm")</f>
        <v/>
      </c>
      <c r="C2684" s="3">
        <f>HOUR(A2684)</f>
        <v/>
      </c>
      <c r="D2684" s="4" t="n">
        <v>22.23866248595</v>
      </c>
      <c r="E2684" s="4" t="n"/>
      <c r="F2684" s="4" t="n">
        <v>29.72581819230556</v>
      </c>
      <c r="G2684" s="4" t="n">
        <v>13.3</v>
      </c>
      <c r="H2684" s="5" t="n">
        <v>47.35000193155556</v>
      </c>
      <c r="I2684" s="5" t="n"/>
      <c r="J2684" s="5" t="n">
        <v>44.61888942917778</v>
      </c>
      <c r="K2684" s="5" t="n">
        <v>89</v>
      </c>
    </row>
    <row r="2685">
      <c r="A2685" s="2" t="n">
        <v>46209.25</v>
      </c>
      <c r="B2685">
        <f>TEXT(A2685,"yyyy-mm")</f>
        <v/>
      </c>
      <c r="C2685" s="3">
        <f>HOUR(A2685)</f>
        <v/>
      </c>
      <c r="D2685" s="4" t="n">
        <v>24.00556580335278</v>
      </c>
      <c r="E2685" s="4" t="n"/>
      <c r="F2685" s="4" t="n">
        <v>29.70702462216667</v>
      </c>
      <c r="G2685" s="4" t="n">
        <v>14.2</v>
      </c>
      <c r="H2685" s="5" t="n">
        <v>42.71558037954723</v>
      </c>
      <c r="I2685" s="5" t="n"/>
      <c r="J2685" s="5" t="n">
        <v>44.53406493781111</v>
      </c>
      <c r="K2685" s="5" t="n">
        <v>87</v>
      </c>
    </row>
    <row r="2686">
      <c r="A2686" s="2" t="n">
        <v>46209.29166666666</v>
      </c>
      <c r="B2686">
        <f>TEXT(A2686,"yyyy-mm")</f>
        <v/>
      </c>
      <c r="C2686" s="3">
        <f>HOUR(A2686)</f>
        <v/>
      </c>
      <c r="D2686" s="4" t="n">
        <v>25.60983279946944</v>
      </c>
      <c r="E2686" s="4" t="n"/>
      <c r="F2686" s="4" t="n">
        <v>29.71005248441111</v>
      </c>
      <c r="G2686" s="4" t="n">
        <v>15.9</v>
      </c>
      <c r="H2686" s="5" t="n">
        <v>40.01673236246111</v>
      </c>
      <c r="I2686" s="5" t="n"/>
      <c r="J2686" s="5" t="n">
        <v>44.57184271193334</v>
      </c>
      <c r="K2686" s="5" t="n">
        <v>80</v>
      </c>
    </row>
    <row r="2687">
      <c r="A2687" s="2" t="n">
        <v>46209.33333333334</v>
      </c>
      <c r="B2687">
        <f>TEXT(A2687,"yyyy-mm")</f>
        <v/>
      </c>
      <c r="C2687" s="3">
        <f>HOUR(A2687)</f>
        <v/>
      </c>
      <c r="D2687" s="4" t="n">
        <v>26.80305715572777</v>
      </c>
      <c r="E2687" s="4" t="n"/>
      <c r="F2687" s="4" t="n">
        <v>29.72796591139167</v>
      </c>
      <c r="G2687" s="4" t="n">
        <v>18.1</v>
      </c>
      <c r="H2687" s="5" t="n">
        <v>39.57759578121389</v>
      </c>
      <c r="I2687" s="5" t="n"/>
      <c r="J2687" s="5" t="n">
        <v>44.67616287259445</v>
      </c>
      <c r="K2687" s="5" t="n">
        <v>71</v>
      </c>
    </row>
    <row r="2688">
      <c r="A2688" s="2" t="n">
        <v>46209.375</v>
      </c>
      <c r="B2688">
        <f>TEXT(A2688,"yyyy-mm")</f>
        <v/>
      </c>
      <c r="C2688" s="3">
        <f>HOUR(A2688)</f>
        <v/>
      </c>
      <c r="D2688" s="4" t="n">
        <v>27.54404385734444</v>
      </c>
      <c r="E2688" s="4" t="n"/>
      <c r="F2688" s="4" t="n">
        <v>29.75515429355</v>
      </c>
      <c r="G2688" s="4" t="n">
        <v>20.4</v>
      </c>
      <c r="H2688" s="5" t="n">
        <v>37.6838248258</v>
      </c>
      <c r="I2688" s="5" t="n"/>
      <c r="J2688" s="5" t="n">
        <v>44.85876214545556</v>
      </c>
      <c r="K2688" s="5" t="n">
        <v>63</v>
      </c>
    </row>
    <row r="2689">
      <c r="A2689" s="2" t="n">
        <v>46209.41666666666</v>
      </c>
      <c r="B2689">
        <f>TEXT(A2689,"yyyy-mm")</f>
        <v/>
      </c>
      <c r="C2689" s="3">
        <f>HOUR(A2689)</f>
        <v/>
      </c>
      <c r="D2689" s="4" t="n">
        <v>27.67153181225</v>
      </c>
      <c r="E2689" s="4" t="n"/>
      <c r="F2689" s="4" t="n">
        <v>29.79265481823889</v>
      </c>
      <c r="G2689" s="4" t="n">
        <v>22</v>
      </c>
      <c r="H2689" s="5" t="n">
        <v>34.75994139582222</v>
      </c>
      <c r="I2689" s="5" t="n"/>
      <c r="J2689" s="5" t="n">
        <v>44.97605481684167</v>
      </c>
      <c r="K2689" s="5" t="n">
        <v>49</v>
      </c>
    </row>
    <row r="2690">
      <c r="A2690" s="2" t="n">
        <v>46209.45833333334</v>
      </c>
      <c r="B2690">
        <f>TEXT(A2690,"yyyy-mm")</f>
        <v/>
      </c>
      <c r="C2690" s="3">
        <f>HOUR(A2690)</f>
        <v/>
      </c>
      <c r="D2690" s="4" t="n">
        <v>27.52247915548333</v>
      </c>
      <c r="E2690" s="4" t="n"/>
      <c r="F2690" s="4" t="n">
        <v>29.80916968499166</v>
      </c>
      <c r="G2690" s="4" t="n">
        <v>22.5</v>
      </c>
      <c r="H2690" s="5" t="n">
        <v>32.95792992510833</v>
      </c>
      <c r="I2690" s="5" t="n"/>
      <c r="J2690" s="5" t="n">
        <v>44.97104002981112</v>
      </c>
      <c r="K2690" s="5" t="n">
        <v>47</v>
      </c>
    </row>
    <row r="2691">
      <c r="A2691" s="2" t="n">
        <v>46209.5</v>
      </c>
      <c r="B2691">
        <f>TEXT(A2691,"yyyy-mm")</f>
        <v/>
      </c>
      <c r="C2691" s="3">
        <f>HOUR(A2691)</f>
        <v/>
      </c>
      <c r="D2691" s="4" t="n">
        <v>27.42439341056111</v>
      </c>
      <c r="E2691" s="4" t="n"/>
      <c r="F2691" s="4" t="n">
        <v>29.80897240570277</v>
      </c>
      <c r="G2691" s="4" t="n">
        <v>22.8</v>
      </c>
      <c r="H2691" s="5" t="n">
        <v>32.83097103835834</v>
      </c>
      <c r="I2691" s="5" t="n"/>
      <c r="J2691" s="5" t="n">
        <v>44.88440748038056</v>
      </c>
      <c r="K2691" s="5" t="n">
        <v>48</v>
      </c>
    </row>
    <row r="2692">
      <c r="A2692" s="2" t="n">
        <v>46209.54166666666</v>
      </c>
      <c r="B2692">
        <f>TEXT(A2692,"yyyy-mm")</f>
        <v/>
      </c>
      <c r="C2692" s="3">
        <f>HOUR(A2692)</f>
        <v/>
      </c>
      <c r="D2692" s="4" t="n">
        <v>26.65678712968333</v>
      </c>
      <c r="E2692" s="4" t="n"/>
      <c r="F2692" s="4" t="n">
        <v>29.71117014363611</v>
      </c>
      <c r="G2692" s="4" t="n">
        <v>23.7</v>
      </c>
      <c r="H2692" s="5" t="n">
        <v>35.63094874400556</v>
      </c>
      <c r="I2692" s="5" t="n"/>
      <c r="J2692" s="5" t="n">
        <v>44.315829299025</v>
      </c>
      <c r="K2692" s="5" t="n">
        <v>44</v>
      </c>
    </row>
    <row r="2693">
      <c r="A2693" s="2" t="n">
        <v>46209.58333333334</v>
      </c>
      <c r="B2693">
        <f>TEXT(A2693,"yyyy-mm")</f>
        <v/>
      </c>
      <c r="C2693" s="3">
        <f>HOUR(A2693)</f>
        <v/>
      </c>
      <c r="D2693" s="4" t="n">
        <v>26.52892045973056</v>
      </c>
      <c r="E2693" s="4" t="n"/>
      <c r="F2693" s="4" t="n">
        <v>29.66726637729722</v>
      </c>
      <c r="G2693" s="4" t="n">
        <v>19.1</v>
      </c>
      <c r="H2693" s="5" t="n">
        <v>38.046573189275</v>
      </c>
      <c r="I2693" s="5" t="n"/>
      <c r="J2693" s="5" t="n">
        <v>44.78498912526666</v>
      </c>
      <c r="K2693" s="5" t="n">
        <v>74</v>
      </c>
    </row>
    <row r="2694">
      <c r="A2694" s="2" t="n">
        <v>46209.625</v>
      </c>
      <c r="B2694">
        <f>TEXT(A2694,"yyyy-mm")</f>
        <v/>
      </c>
      <c r="C2694" s="3">
        <f>HOUR(A2694)</f>
        <v/>
      </c>
      <c r="D2694" s="4" t="n">
        <v>26.550101405825</v>
      </c>
      <c r="E2694" s="4" t="n"/>
      <c r="F2694" s="4" t="n">
        <v>29.5957380108</v>
      </c>
      <c r="G2694" s="4" t="n">
        <v>21.3</v>
      </c>
      <c r="H2694" s="5" t="n">
        <v>37.98363645185277</v>
      </c>
      <c r="I2694" s="5" t="n"/>
      <c r="J2694" s="5" t="n">
        <v>45.92760116964445</v>
      </c>
      <c r="K2694" s="5" t="n">
        <v>59</v>
      </c>
    </row>
    <row r="2695">
      <c r="A2695" s="2" t="n">
        <v>46209.66666666666</v>
      </c>
      <c r="B2695">
        <f>TEXT(A2695,"yyyy-mm")</f>
        <v/>
      </c>
      <c r="C2695" s="3">
        <f>HOUR(A2695)</f>
        <v/>
      </c>
      <c r="D2695" s="4" t="n">
        <v>26.07860025497778</v>
      </c>
      <c r="E2695" s="4" t="n"/>
      <c r="F2695" s="4" t="n">
        <v>29.69295037908612</v>
      </c>
      <c r="G2695" s="4" t="n">
        <v>21.2</v>
      </c>
      <c r="H2695" s="5" t="n">
        <v>39.71150014724167</v>
      </c>
      <c r="I2695" s="5" t="n"/>
      <c r="J2695" s="5" t="n">
        <v>45.64392669753611</v>
      </c>
      <c r="K2695" s="5" t="n">
        <v>63</v>
      </c>
    </row>
    <row r="2696">
      <c r="A2696" s="2" t="n">
        <v>46209.70833333334</v>
      </c>
      <c r="B2696">
        <f>TEXT(A2696,"yyyy-mm")</f>
        <v/>
      </c>
      <c r="C2696" s="3">
        <f>HOUR(A2696)</f>
        <v/>
      </c>
      <c r="D2696" s="4" t="n">
        <v>25.312927653675</v>
      </c>
      <c r="E2696" s="4" t="n"/>
      <c r="F2696" s="4" t="n">
        <v>29.29520693531389</v>
      </c>
      <c r="G2696" s="4" t="n">
        <v>17.6</v>
      </c>
      <c r="H2696" s="5" t="n">
        <v>46.11476214787778</v>
      </c>
      <c r="I2696" s="5" t="n"/>
      <c r="J2696" s="5" t="n">
        <v>47.07290111136388</v>
      </c>
      <c r="K2696" s="5" t="n">
        <v>79</v>
      </c>
    </row>
    <row r="2697">
      <c r="A2697" s="2" t="n">
        <v>46209.75</v>
      </c>
      <c r="B2697">
        <f>TEXT(A2697,"yyyy-mm")</f>
        <v/>
      </c>
      <c r="C2697" s="3">
        <f>HOUR(A2697)</f>
        <v/>
      </c>
      <c r="D2697" s="4" t="n">
        <v>24.87712347026111</v>
      </c>
      <c r="E2697" s="4" t="n"/>
      <c r="F2697" s="4" t="n">
        <v>29.60989522655</v>
      </c>
      <c r="G2697" s="4" t="n">
        <v>18.2</v>
      </c>
      <c r="H2697" s="5" t="n">
        <v>48.13620143372222</v>
      </c>
      <c r="I2697" s="5" t="n"/>
      <c r="J2697" s="5" t="n">
        <v>46.22018761666112</v>
      </c>
      <c r="K2697" s="5" t="n">
        <v>82</v>
      </c>
    </row>
    <row r="2698">
      <c r="A2698" s="2" t="n">
        <v>46209.79166666666</v>
      </c>
      <c r="B2698">
        <f>TEXT(A2698,"yyyy-mm")</f>
        <v/>
      </c>
      <c r="C2698" s="3">
        <f>HOUR(A2698)</f>
        <v/>
      </c>
      <c r="D2698" s="4" t="n">
        <v>24.69581880440833</v>
      </c>
      <c r="E2698" s="4" t="n"/>
      <c r="F2698" s="4" t="n">
        <v>29.66967908819444</v>
      </c>
      <c r="G2698" s="4" t="n">
        <v>19</v>
      </c>
      <c r="H2698" s="5" t="n">
        <v>48.91800319887778</v>
      </c>
      <c r="I2698" s="5" t="n"/>
      <c r="J2698" s="5" t="n">
        <v>46.16803719281945</v>
      </c>
      <c r="K2698" s="5" t="n">
        <v>77</v>
      </c>
    </row>
    <row r="2699">
      <c r="A2699" s="2" t="n">
        <v>46209.83333333334</v>
      </c>
      <c r="B2699">
        <f>TEXT(A2699,"yyyy-mm")</f>
        <v/>
      </c>
      <c r="C2699" s="3">
        <f>HOUR(A2699)</f>
        <v/>
      </c>
      <c r="D2699" s="4" t="n">
        <v>24.44761826913611</v>
      </c>
      <c r="E2699" s="4" t="n"/>
      <c r="F2699" s="4" t="n">
        <v>29.69236101813889</v>
      </c>
      <c r="G2699" s="4" t="n">
        <v>18.5</v>
      </c>
      <c r="H2699" s="5" t="n">
        <v>49.99310391672778</v>
      </c>
      <c r="I2699" s="5" t="n"/>
      <c r="J2699" s="5" t="n">
        <v>46.21356824833611</v>
      </c>
      <c r="K2699" s="5" t="n">
        <v>79</v>
      </c>
    </row>
    <row r="2700">
      <c r="A2700" s="2" t="n">
        <v>46209.875</v>
      </c>
      <c r="B2700">
        <f>TEXT(A2700,"yyyy-mm")</f>
        <v/>
      </c>
      <c r="C2700" s="3">
        <f>HOUR(A2700)</f>
        <v/>
      </c>
      <c r="D2700" s="4" t="n">
        <v>24.16295589035278</v>
      </c>
      <c r="E2700" s="4" t="n"/>
      <c r="F2700" s="4" t="n">
        <v>29.66731485772777</v>
      </c>
      <c r="G2700" s="4" t="n">
        <v>17.4</v>
      </c>
      <c r="H2700" s="5" t="n">
        <v>51.01119642105278</v>
      </c>
      <c r="I2700" s="5" t="n"/>
      <c r="J2700" s="5" t="n">
        <v>46.49269618685556</v>
      </c>
      <c r="K2700" s="5" t="n">
        <v>81</v>
      </c>
    </row>
    <row r="2701">
      <c r="A2701" s="2" t="n">
        <v>46209.91666666666</v>
      </c>
      <c r="B2701">
        <f>TEXT(A2701,"yyyy-mm")</f>
        <v/>
      </c>
      <c r="C2701" s="3">
        <f>HOUR(A2701)</f>
        <v/>
      </c>
      <c r="D2701" s="4" t="n">
        <v>24.64797648689167</v>
      </c>
      <c r="E2701" s="4" t="n"/>
      <c r="F2701" s="4" t="n">
        <v>29.66441343493334</v>
      </c>
      <c r="G2701" s="4" t="n">
        <v>16.7</v>
      </c>
      <c r="H2701" s="5" t="n">
        <v>50.09552137142222</v>
      </c>
      <c r="I2701" s="5" t="n"/>
      <c r="J2701" s="5" t="n">
        <v>46.63321454303611</v>
      </c>
      <c r="K2701" s="5" t="n">
        <v>85</v>
      </c>
    </row>
    <row r="2702">
      <c r="A2702" s="2" t="n">
        <v>46209.95833333334</v>
      </c>
      <c r="B2702">
        <f>TEXT(A2702,"yyyy-mm")</f>
        <v/>
      </c>
      <c r="C2702" s="3">
        <f>HOUR(A2702)</f>
        <v/>
      </c>
      <c r="D2702" s="4" t="n">
        <v>24.36951551106388</v>
      </c>
      <c r="E2702" s="4" t="n"/>
      <c r="F2702" s="4" t="n">
        <v>29.66266955849167</v>
      </c>
      <c r="G2702" s="4" t="n">
        <v>16.1</v>
      </c>
      <c r="H2702" s="5" t="n">
        <v>50.29468744824445</v>
      </c>
      <c r="I2702" s="5" t="n"/>
      <c r="J2702" s="5" t="n">
        <v>46.55935838294445</v>
      </c>
      <c r="K2702" s="5" t="n">
        <v>86</v>
      </c>
    </row>
    <row r="2703">
      <c r="A2703" s="2" t="n">
        <v>46210</v>
      </c>
      <c r="B2703">
        <f>TEXT(A2703,"yyyy-mm")</f>
        <v/>
      </c>
      <c r="C2703" s="3">
        <f>HOUR(A2703)</f>
        <v/>
      </c>
      <c r="D2703" s="4" t="n">
        <v>24.101467050075</v>
      </c>
      <c r="E2703" s="4" t="n"/>
      <c r="F2703" s="4" t="n">
        <v>29.64978406701389</v>
      </c>
      <c r="G2703" s="4" t="n">
        <v>15.6</v>
      </c>
      <c r="H2703" s="5" t="n">
        <v>50.45114536479445</v>
      </c>
      <c r="I2703" s="5" t="n"/>
      <c r="J2703" s="5" t="n">
        <v>46.51990903356111</v>
      </c>
      <c r="K2703" s="5" t="n">
        <v>84</v>
      </c>
    </row>
    <row r="2704">
      <c r="A2704" s="2" t="n">
        <v>46210.04166666666</v>
      </c>
      <c r="B2704">
        <f>TEXT(A2704,"yyyy-mm")</f>
        <v/>
      </c>
      <c r="C2704" s="3">
        <f>HOUR(A2704)</f>
        <v/>
      </c>
      <c r="D2704" s="4" t="n">
        <v>23.24157823782778</v>
      </c>
      <c r="E2704" s="4" t="n"/>
      <c r="F2704" s="4" t="n">
        <v>29.634009091975</v>
      </c>
      <c r="G2704" s="4" t="n">
        <v>15</v>
      </c>
      <c r="H2704" s="5" t="n">
        <v>50.43343673376668</v>
      </c>
      <c r="I2704" s="5" t="n"/>
      <c r="J2704" s="5" t="n">
        <v>46.40158238430833</v>
      </c>
      <c r="K2704" s="5" t="n">
        <v>83</v>
      </c>
    </row>
    <row r="2705">
      <c r="A2705" s="2" t="n">
        <v>46210.08333333334</v>
      </c>
      <c r="B2705">
        <f>TEXT(A2705,"yyyy-mm")</f>
        <v/>
      </c>
      <c r="C2705" s="3">
        <f>HOUR(A2705)</f>
        <v/>
      </c>
      <c r="D2705" s="4" t="n">
        <v>21.89275127426389</v>
      </c>
      <c r="E2705" s="4" t="n"/>
      <c r="F2705" s="4" t="n">
        <v>29.59084851806945</v>
      </c>
      <c r="G2705" s="4" t="n">
        <v>14.6</v>
      </c>
      <c r="H2705" s="5" t="n">
        <v>51.34267515112222</v>
      </c>
      <c r="I2705" s="5" t="n"/>
      <c r="J2705" s="5" t="n">
        <v>46.06396193724999</v>
      </c>
      <c r="K2705" s="5" t="n">
        <v>84</v>
      </c>
    </row>
    <row r="2706">
      <c r="A2706" s="2" t="n">
        <v>46210.125</v>
      </c>
      <c r="B2706">
        <f>TEXT(A2706,"yyyy-mm")</f>
        <v/>
      </c>
      <c r="C2706" s="3">
        <f>HOUR(A2706)</f>
        <v/>
      </c>
      <c r="D2706" s="4" t="n">
        <v>21.22497850615555</v>
      </c>
      <c r="E2706" s="4" t="n"/>
      <c r="F2706" s="4" t="n">
        <v>29.54051813728612</v>
      </c>
      <c r="G2706" s="4" t="n">
        <v>13.8</v>
      </c>
      <c r="H2706" s="5" t="n">
        <v>50.493520610225</v>
      </c>
      <c r="I2706" s="5" t="n"/>
      <c r="J2706" s="5" t="n">
        <v>45.49158274498611</v>
      </c>
      <c r="K2706" s="5" t="n">
        <v>83</v>
      </c>
    </row>
    <row r="2707">
      <c r="A2707" s="2" t="n">
        <v>46210.16666666666</v>
      </c>
      <c r="B2707">
        <f>TEXT(A2707,"yyyy-mm")</f>
        <v/>
      </c>
      <c r="C2707" s="3">
        <f>HOUR(A2707)</f>
        <v/>
      </c>
      <c r="D2707" s="4" t="n">
        <v>20.98149701599167</v>
      </c>
      <c r="E2707" s="4" t="n"/>
      <c r="F2707" s="4" t="n">
        <v>29.46599053911111</v>
      </c>
      <c r="G2707" s="4" t="n">
        <v>13.4</v>
      </c>
      <c r="H2707" s="5" t="n">
        <v>50.19859552305277</v>
      </c>
      <c r="I2707" s="5" t="n"/>
      <c r="J2707" s="5" t="n">
        <v>44.88073700949167</v>
      </c>
      <c r="K2707" s="5" t="n">
        <v>81</v>
      </c>
    </row>
    <row r="2708">
      <c r="A2708" s="2" t="n">
        <v>46210.20833333334</v>
      </c>
      <c r="B2708">
        <f>TEXT(A2708,"yyyy-mm")</f>
        <v/>
      </c>
      <c r="C2708" s="3">
        <f>HOUR(A2708)</f>
        <v/>
      </c>
      <c r="D2708" s="4" t="n">
        <v>21.30283943703889</v>
      </c>
      <c r="E2708" s="4" t="n"/>
      <c r="F2708" s="4" t="n">
        <v>29.420870268975</v>
      </c>
      <c r="G2708" s="4" t="n">
        <v>13.1</v>
      </c>
      <c r="H2708" s="5" t="n">
        <v>48.26426176926389</v>
      </c>
      <c r="I2708" s="5" t="n"/>
      <c r="J2708" s="5" t="n">
        <v>44.53844529419445</v>
      </c>
      <c r="K2708" s="5" t="n">
        <v>79</v>
      </c>
    </row>
    <row r="2709">
      <c r="A2709" s="2" t="n">
        <v>46210.25</v>
      </c>
      <c r="B2709">
        <f>TEXT(A2709,"yyyy-mm")</f>
        <v/>
      </c>
      <c r="C2709" s="3">
        <f>HOUR(A2709)</f>
        <v/>
      </c>
      <c r="D2709" s="4" t="n">
        <v>22.9286891375</v>
      </c>
      <c r="E2709" s="4" t="n"/>
      <c r="F2709" s="4" t="n">
        <v>29.40641664111666</v>
      </c>
      <c r="G2709" s="4" t="n">
        <v>13.9</v>
      </c>
      <c r="H2709" s="5" t="n">
        <v>42.75301761442778</v>
      </c>
      <c r="I2709" s="5" t="n"/>
      <c r="J2709" s="5" t="n">
        <v>44.40640757322777</v>
      </c>
      <c r="K2709" s="5" t="n">
        <v>77</v>
      </c>
    </row>
    <row r="2710">
      <c r="A2710" s="2" t="n">
        <v>46210.29166666666</v>
      </c>
      <c r="B2710">
        <f>TEXT(A2710,"yyyy-mm")</f>
        <v/>
      </c>
      <c r="C2710" s="3">
        <f>HOUR(A2710)</f>
        <v/>
      </c>
      <c r="D2710" s="4" t="n">
        <v>24.33616916733333</v>
      </c>
      <c r="E2710" s="4" t="n"/>
      <c r="F2710" s="4" t="n">
        <v>29.41755248335833</v>
      </c>
      <c r="G2710" s="4" t="n">
        <v>15.4</v>
      </c>
      <c r="H2710" s="5" t="n">
        <v>38.30146887403333</v>
      </c>
      <c r="I2710" s="5" t="n"/>
      <c r="J2710" s="5" t="n">
        <v>44.23564021813056</v>
      </c>
      <c r="K2710" s="5" t="n">
        <v>74</v>
      </c>
    </row>
    <row r="2711">
      <c r="A2711" s="2" t="n">
        <v>46210.33333333334</v>
      </c>
      <c r="B2711">
        <f>TEXT(A2711,"yyyy-mm")</f>
        <v/>
      </c>
      <c r="C2711" s="3">
        <f>HOUR(A2711)</f>
        <v/>
      </c>
      <c r="D2711" s="4" t="n">
        <v>25.57038088246111</v>
      </c>
      <c r="E2711" s="4" t="n"/>
      <c r="F2711" s="4" t="n">
        <v>29.43398796520278</v>
      </c>
      <c r="G2711" s="4" t="n">
        <v>17.3</v>
      </c>
      <c r="H2711" s="5" t="n">
        <v>35.61484529162222</v>
      </c>
      <c r="I2711" s="5" t="n"/>
      <c r="J2711" s="5" t="n">
        <v>44.20507128252223</v>
      </c>
      <c r="K2711" s="5" t="n">
        <v>68</v>
      </c>
    </row>
    <row r="2712">
      <c r="A2712" s="2" t="n">
        <v>46210.375</v>
      </c>
      <c r="B2712">
        <f>TEXT(A2712,"yyyy-mm")</f>
        <v/>
      </c>
      <c r="C2712" s="3">
        <f>HOUR(A2712)</f>
        <v/>
      </c>
      <c r="D2712" s="4" t="n">
        <v>26.50325948535833</v>
      </c>
      <c r="E2712" s="4" t="n"/>
      <c r="F2712" s="4" t="n">
        <v>29.46488289785833</v>
      </c>
      <c r="G2712" s="4" t="n">
        <v>19.5</v>
      </c>
      <c r="H2712" s="5" t="n">
        <v>33.14361666850834</v>
      </c>
      <c r="I2712" s="5" t="n"/>
      <c r="J2712" s="5" t="n">
        <v>44.21336087241667</v>
      </c>
      <c r="K2712" s="5" t="n">
        <v>59</v>
      </c>
    </row>
    <row r="2713">
      <c r="A2713" s="2" t="n">
        <v>46210.41666666666</v>
      </c>
      <c r="B2713">
        <f>TEXT(A2713,"yyyy-mm")</f>
        <v/>
      </c>
      <c r="C2713" s="3">
        <f>HOUR(A2713)</f>
        <v/>
      </c>
      <c r="D2713" s="4" t="n">
        <v>26.76021634935</v>
      </c>
      <c r="E2713" s="4" t="n"/>
      <c r="F2713" s="4" t="n">
        <v>29.49701860571945</v>
      </c>
      <c r="G2713" s="4" t="n">
        <v>21.2</v>
      </c>
      <c r="H2713" s="5" t="n">
        <v>32.21206920487222</v>
      </c>
      <c r="I2713" s="5" t="n"/>
      <c r="J2713" s="5" t="n">
        <v>44.15462587512223</v>
      </c>
      <c r="K2713" s="5" t="n">
        <v>50</v>
      </c>
    </row>
    <row r="2714">
      <c r="A2714" s="2" t="n">
        <v>46210.45833333334</v>
      </c>
      <c r="B2714">
        <f>TEXT(A2714,"yyyy-mm")</f>
        <v/>
      </c>
      <c r="C2714" s="3">
        <f>HOUR(A2714)</f>
        <v/>
      </c>
      <c r="D2714" s="4" t="n">
        <v>26.65697945738889</v>
      </c>
      <c r="E2714" s="4" t="n"/>
      <c r="F2714" s="4" t="n">
        <v>29.53054663026667</v>
      </c>
      <c r="G2714" s="4" t="n">
        <v>22.3</v>
      </c>
      <c r="H2714" s="5" t="n">
        <v>29.75315052218889</v>
      </c>
      <c r="I2714" s="5" t="n"/>
      <c r="J2714" s="5" t="n">
        <v>44.17578671057501</v>
      </c>
      <c r="K2714" s="5" t="n">
        <v>42</v>
      </c>
    </row>
    <row r="2715">
      <c r="A2715" s="2" t="n">
        <v>46210.5</v>
      </c>
      <c r="B2715">
        <f>TEXT(A2715,"yyyy-mm")</f>
        <v/>
      </c>
      <c r="C2715" s="3">
        <f>HOUR(A2715)</f>
        <v/>
      </c>
      <c r="D2715" s="4" t="n">
        <v>26.56608730558333</v>
      </c>
      <c r="E2715" s="4" t="n"/>
      <c r="F2715" s="4" t="n">
        <v>29.48186411692222</v>
      </c>
      <c r="G2715" s="4" t="n">
        <v>23.3</v>
      </c>
      <c r="H2715" s="5" t="n">
        <v>27.80539277900555</v>
      </c>
      <c r="I2715" s="5" t="n"/>
      <c r="J2715" s="5" t="n">
        <v>42.61820233941667</v>
      </c>
      <c r="K2715" s="5" t="n">
        <v>38</v>
      </c>
    </row>
    <row r="2716">
      <c r="A2716" s="2" t="n">
        <v>46210.54166666666</v>
      </c>
      <c r="B2716">
        <f>TEXT(A2716,"yyyy-mm")</f>
        <v/>
      </c>
      <c r="C2716" s="3">
        <f>HOUR(A2716)</f>
        <v/>
      </c>
      <c r="D2716" s="4" t="n">
        <v>26.54565870926389</v>
      </c>
      <c r="E2716" s="4" t="n"/>
      <c r="F2716" s="4" t="n">
        <v>28.68560523343334</v>
      </c>
      <c r="G2716" s="4" t="n">
        <v>23.2</v>
      </c>
      <c r="H2716" s="5" t="n">
        <v>27.17531995894167</v>
      </c>
      <c r="I2716" s="5" t="n"/>
      <c r="J2716" s="5" t="n">
        <v>37.27710994076667</v>
      </c>
      <c r="K2716" s="5" t="n">
        <v>37</v>
      </c>
    </row>
    <row r="2717">
      <c r="A2717" s="2" t="n">
        <v>46210.58333333334</v>
      </c>
      <c r="B2717">
        <f>TEXT(A2717,"yyyy-mm")</f>
        <v/>
      </c>
      <c r="C2717" s="3">
        <f>HOUR(A2717)</f>
        <v/>
      </c>
      <c r="D2717" s="4" t="n">
        <v>26.52193427213889</v>
      </c>
      <c r="E2717" s="4" t="n"/>
      <c r="F2717" s="4" t="n">
        <v>29.02262759244445</v>
      </c>
      <c r="G2717" s="4" t="n">
        <v>24</v>
      </c>
      <c r="H2717" s="5" t="n">
        <v>27.05510506330833</v>
      </c>
      <c r="I2717" s="5" t="n"/>
      <c r="J2717" s="5" t="n">
        <v>39.71972001672222</v>
      </c>
      <c r="K2717" s="5" t="n">
        <v>35</v>
      </c>
    </row>
    <row r="2718">
      <c r="A2718" s="2" t="n">
        <v>46210.625</v>
      </c>
      <c r="B2718">
        <f>TEXT(A2718,"yyyy-mm")</f>
        <v/>
      </c>
      <c r="C2718" s="3">
        <f>HOUR(A2718)</f>
        <v/>
      </c>
      <c r="D2718" s="4" t="n">
        <v>26.61092966109445</v>
      </c>
      <c r="E2718" s="4" t="n"/>
      <c r="F2718" s="4" t="n">
        <v>29.30292785051111</v>
      </c>
      <c r="G2718" s="4" t="n">
        <v>24.3</v>
      </c>
      <c r="H2718" s="5" t="n">
        <v>27.293105211725</v>
      </c>
      <c r="I2718" s="5" t="n"/>
      <c r="J2718" s="5" t="n">
        <v>41.14059228554167</v>
      </c>
      <c r="K2718" s="5" t="n">
        <v>36</v>
      </c>
    </row>
    <row r="2719">
      <c r="A2719" s="2" t="n">
        <v>46210.66666666666</v>
      </c>
      <c r="B2719">
        <f>TEXT(A2719,"yyyy-mm")</f>
        <v/>
      </c>
      <c r="C2719" s="3">
        <f>HOUR(A2719)</f>
        <v/>
      </c>
      <c r="D2719" s="4" t="n">
        <v>26.65894001119445</v>
      </c>
      <c r="E2719" s="4" t="n"/>
      <c r="F2719" s="4" t="n">
        <v>29.3954236049</v>
      </c>
      <c r="G2719" s="4" t="n">
        <v>24.9</v>
      </c>
      <c r="H2719" s="5" t="n">
        <v>27.81226483883611</v>
      </c>
      <c r="I2719" s="5" t="n"/>
      <c r="J2719" s="5" t="n">
        <v>41.675471024125</v>
      </c>
      <c r="K2719" s="5" t="n">
        <v>35</v>
      </c>
    </row>
    <row r="2720">
      <c r="A2720" s="2" t="n">
        <v>46210.70833333334</v>
      </c>
      <c r="B2720">
        <f>TEXT(A2720,"yyyy-mm")</f>
        <v/>
      </c>
      <c r="C2720" s="3">
        <f>HOUR(A2720)</f>
        <v/>
      </c>
      <c r="D2720" s="4" t="n">
        <v>26.81737574068056</v>
      </c>
      <c r="E2720" s="4" t="n"/>
      <c r="F2720" s="4" t="n">
        <v>29.45279663811389</v>
      </c>
      <c r="G2720" s="4" t="n">
        <v>24.8</v>
      </c>
      <c r="H2720" s="5" t="n">
        <v>28.05513840279444</v>
      </c>
      <c r="I2720" s="5" t="n"/>
      <c r="J2720" s="5" t="n">
        <v>41.98790459833333</v>
      </c>
      <c r="K2720" s="5" t="n">
        <v>35</v>
      </c>
    </row>
    <row r="2721">
      <c r="A2721" s="2" t="n">
        <v>46210.75</v>
      </c>
      <c r="B2721">
        <f>TEXT(A2721,"yyyy-mm")</f>
        <v/>
      </c>
      <c r="C2721" s="3">
        <f>HOUR(A2721)</f>
        <v/>
      </c>
      <c r="D2721" s="4" t="n">
        <v>26.78700647773889</v>
      </c>
      <c r="E2721" s="4" t="n"/>
      <c r="F2721" s="4" t="n">
        <v>29.48587699271112</v>
      </c>
      <c r="G2721" s="4" t="n">
        <v>24.6</v>
      </c>
      <c r="H2721" s="5" t="n">
        <v>27.88555172364722</v>
      </c>
      <c r="I2721" s="5" t="n"/>
      <c r="J2721" s="5" t="n">
        <v>42.17748511987778</v>
      </c>
      <c r="K2721" s="5" t="n">
        <v>37</v>
      </c>
    </row>
    <row r="2722">
      <c r="A2722" s="2" t="n">
        <v>46210.79166666666</v>
      </c>
      <c r="B2722">
        <f>TEXT(A2722,"yyyy-mm")</f>
        <v/>
      </c>
      <c r="C2722" s="3">
        <f>HOUR(A2722)</f>
        <v/>
      </c>
      <c r="D2722" s="4" t="n">
        <v>26.74870138072222</v>
      </c>
      <c r="E2722" s="4" t="n"/>
      <c r="F2722" s="4" t="n">
        <v>29.50938281128333</v>
      </c>
      <c r="G2722" s="4" t="n">
        <v>23.8</v>
      </c>
      <c r="H2722" s="5" t="n">
        <v>30.38258259003889</v>
      </c>
      <c r="I2722" s="5" t="n"/>
      <c r="J2722" s="5" t="n">
        <v>42.42892955866945</v>
      </c>
      <c r="K2722" s="5" t="n">
        <v>45</v>
      </c>
    </row>
    <row r="2723">
      <c r="A2723" s="2" t="n">
        <v>46210.83333333334</v>
      </c>
      <c r="B2723">
        <f>TEXT(A2723,"yyyy-mm")</f>
        <v/>
      </c>
      <c r="C2723" s="3">
        <f>HOUR(A2723)</f>
        <v/>
      </c>
      <c r="D2723" s="4" t="n">
        <v>26.66606595817223</v>
      </c>
      <c r="E2723" s="4" t="n"/>
      <c r="F2723" s="4" t="n">
        <v>29.53460529723056</v>
      </c>
      <c r="G2723" s="4" t="n">
        <v>22.1</v>
      </c>
      <c r="H2723" s="5" t="n">
        <v>33.27545565144167</v>
      </c>
      <c r="I2723" s="5" t="n"/>
      <c r="J2723" s="5" t="n">
        <v>42.54400258464722</v>
      </c>
      <c r="K2723" s="5" t="n">
        <v>53</v>
      </c>
    </row>
    <row r="2724">
      <c r="A2724" s="2" t="n">
        <v>46210.875</v>
      </c>
      <c r="B2724">
        <f>TEXT(A2724,"yyyy-mm")</f>
        <v/>
      </c>
      <c r="C2724" s="3">
        <f>HOUR(A2724)</f>
        <v/>
      </c>
      <c r="D2724" s="4" t="n">
        <v>26.38904758704444</v>
      </c>
      <c r="E2724" s="4" t="n"/>
      <c r="F2724" s="4" t="n">
        <v>29.53461675948612</v>
      </c>
      <c r="G2724" s="4" t="n">
        <v>20.9</v>
      </c>
      <c r="H2724" s="5" t="n">
        <v>32.51857792308056</v>
      </c>
      <c r="I2724" s="5" t="n"/>
      <c r="J2724" s="5" t="n">
        <v>42.50035683211944</v>
      </c>
      <c r="K2724" s="5" t="n">
        <v>57</v>
      </c>
    </row>
    <row r="2725">
      <c r="A2725" s="2" t="n">
        <v>46210.91666666666</v>
      </c>
      <c r="B2725">
        <f>TEXT(A2725,"yyyy-mm")</f>
        <v/>
      </c>
      <c r="C2725" s="3">
        <f>HOUR(A2725)</f>
        <v/>
      </c>
      <c r="D2725" s="4" t="n">
        <v>26.12517942466389</v>
      </c>
      <c r="E2725" s="4" t="n"/>
      <c r="F2725" s="4" t="n">
        <v>29.52219776851389</v>
      </c>
      <c r="G2725" s="4" t="n">
        <v>20.1</v>
      </c>
      <c r="H2725" s="5" t="n">
        <v>31.90798312352223</v>
      </c>
      <c r="I2725" s="5" t="n"/>
      <c r="J2725" s="5" t="n">
        <v>42.35059225495278</v>
      </c>
      <c r="K2725" s="5" t="n">
        <v>59</v>
      </c>
    </row>
    <row r="2726">
      <c r="A2726" s="2" t="n">
        <v>46210.95833333334</v>
      </c>
      <c r="B2726">
        <f>TEXT(A2726,"yyyy-mm")</f>
        <v/>
      </c>
      <c r="C2726" s="3">
        <f>HOUR(A2726)</f>
        <v/>
      </c>
      <c r="D2726" s="4" t="n">
        <v>25.68296102959444</v>
      </c>
      <c r="E2726" s="4" t="n"/>
      <c r="F2726" s="4" t="n">
        <v>29.49637262443056</v>
      </c>
      <c r="G2726" s="4" t="n">
        <v>20.1</v>
      </c>
      <c r="H2726" s="5" t="n">
        <v>32.29671132383056</v>
      </c>
      <c r="I2726" s="5" t="n"/>
      <c r="J2726" s="5" t="n">
        <v>42.11199074492222</v>
      </c>
      <c r="K2726" s="5" t="n">
        <v>55</v>
      </c>
    </row>
    <row r="2727">
      <c r="A2727" s="2" t="n">
        <v>46211</v>
      </c>
      <c r="B2727">
        <f>TEXT(A2727,"yyyy-mm")</f>
        <v/>
      </c>
      <c r="C2727" s="3">
        <f>HOUR(A2727)</f>
        <v/>
      </c>
      <c r="D2727" s="4" t="n">
        <v>25.39601730131389</v>
      </c>
      <c r="E2727" s="4" t="n"/>
      <c r="F2727" s="4" t="n">
        <v>29.47197234863889</v>
      </c>
      <c r="G2727" s="4" t="n">
        <v>19.4</v>
      </c>
      <c r="H2727" s="5" t="n">
        <v>32.43012108058333</v>
      </c>
      <c r="I2727" s="5" t="n"/>
      <c r="J2727" s="5" t="n">
        <v>42.02627873549722</v>
      </c>
      <c r="K2727" s="5" t="n">
        <v>53</v>
      </c>
    </row>
    <row r="2728">
      <c r="A2728" s="2" t="n">
        <v>46211.04166666666</v>
      </c>
      <c r="B2728">
        <f>TEXT(A2728,"yyyy-mm")</f>
        <v/>
      </c>
      <c r="C2728" s="3">
        <f>HOUR(A2728)</f>
        <v/>
      </c>
      <c r="D2728" s="4" t="n">
        <v>25.228508946575</v>
      </c>
      <c r="E2728" s="4" t="n"/>
      <c r="F2728" s="4" t="n">
        <v>29.459033548825</v>
      </c>
      <c r="G2728" s="4" t="n">
        <v>18.8</v>
      </c>
      <c r="H2728" s="5" t="n">
        <v>30.94777133866111</v>
      </c>
      <c r="I2728" s="5" t="n"/>
      <c r="J2728" s="5" t="n">
        <v>41.83534279983889</v>
      </c>
      <c r="K2728" s="5" t="n">
        <v>51</v>
      </c>
    </row>
    <row r="2729">
      <c r="A2729" s="2" t="n">
        <v>46211.08333333334</v>
      </c>
      <c r="B2729">
        <f>TEXT(A2729,"yyyy-mm")</f>
        <v/>
      </c>
      <c r="C2729" s="3">
        <f>HOUR(A2729)</f>
        <v/>
      </c>
      <c r="D2729" s="4" t="n">
        <v>25.171870337275</v>
      </c>
      <c r="E2729" s="4" t="n"/>
      <c r="F2729" s="4" t="n">
        <v>29.42082002525834</v>
      </c>
      <c r="G2729" s="4" t="n">
        <v>19.1</v>
      </c>
      <c r="H2729" s="5" t="n">
        <v>30.10329534085833</v>
      </c>
      <c r="I2729" s="5" t="n"/>
      <c r="J2729" s="5" t="n">
        <v>41.41873564979722</v>
      </c>
      <c r="K2729" s="5" t="n">
        <v>48</v>
      </c>
    </row>
    <row r="2730">
      <c r="A2730" s="2" t="n">
        <v>46211.125</v>
      </c>
      <c r="B2730">
        <f>TEXT(A2730,"yyyy-mm")</f>
        <v/>
      </c>
      <c r="C2730" s="3">
        <f>HOUR(A2730)</f>
        <v/>
      </c>
      <c r="D2730" s="4" t="n">
        <v>24.99692274676667</v>
      </c>
      <c r="E2730" s="4" t="n"/>
      <c r="F2730" s="4" t="n">
        <v>29.38870324399722</v>
      </c>
      <c r="G2730" s="4" t="n">
        <v>18.3</v>
      </c>
      <c r="H2730" s="5" t="n">
        <v>29.90483460310277</v>
      </c>
      <c r="I2730" s="5" t="n"/>
      <c r="J2730" s="5" t="n">
        <v>41.02097523500277</v>
      </c>
      <c r="K2730" s="5" t="n">
        <v>50</v>
      </c>
    </row>
    <row r="2731">
      <c r="A2731" s="2" t="n">
        <v>46211.16666666666</v>
      </c>
      <c r="B2731">
        <f>TEXT(A2731,"yyyy-mm")</f>
        <v/>
      </c>
      <c r="C2731" s="3">
        <f>HOUR(A2731)</f>
        <v/>
      </c>
      <c r="D2731" s="4" t="n">
        <v>25.06886827239167</v>
      </c>
      <c r="E2731" s="4" t="n"/>
      <c r="F2731" s="4" t="n">
        <v>29.35275873523333</v>
      </c>
      <c r="G2731" s="4" t="n">
        <v>18</v>
      </c>
      <c r="H2731" s="5" t="n">
        <v>28.94862300682222</v>
      </c>
      <c r="I2731" s="5" t="n"/>
      <c r="J2731" s="5" t="n">
        <v>40.530836142075</v>
      </c>
      <c r="K2731" s="5" t="n">
        <v>52</v>
      </c>
    </row>
    <row r="2732">
      <c r="A2732" s="2" t="n">
        <v>46211.20833333334</v>
      </c>
      <c r="B2732">
        <f>TEXT(A2732,"yyyy-mm")</f>
        <v/>
      </c>
      <c r="C2732" s="3">
        <f>HOUR(A2732)</f>
        <v/>
      </c>
      <c r="D2732" s="4" t="n">
        <v>25.04887391138056</v>
      </c>
      <c r="E2732" s="4" t="n"/>
      <c r="F2732" s="4" t="n">
        <v>29.32436965810278</v>
      </c>
      <c r="G2732" s="4" t="n">
        <v>17.6</v>
      </c>
      <c r="H2732" s="5" t="n">
        <v>29.29630431835556</v>
      </c>
      <c r="I2732" s="5" t="n"/>
      <c r="J2732" s="5" t="n">
        <v>40.22601801005555</v>
      </c>
      <c r="K2732" s="5" t="n">
        <v>54</v>
      </c>
    </row>
    <row r="2733">
      <c r="A2733" s="2" t="n">
        <v>46211.25</v>
      </c>
      <c r="B2733">
        <f>TEXT(A2733,"yyyy-mm")</f>
        <v/>
      </c>
      <c r="C2733" s="3">
        <f>HOUR(A2733)</f>
        <v/>
      </c>
      <c r="D2733" s="4" t="n">
        <v>25.46562896440556</v>
      </c>
      <c r="E2733" s="4" t="n"/>
      <c r="F2733" s="4" t="n">
        <v>29.30858352243611</v>
      </c>
      <c r="G2733" s="4" t="n">
        <v>17.6</v>
      </c>
      <c r="H2733" s="5" t="n">
        <v>29.65192409885556</v>
      </c>
      <c r="I2733" s="5" t="n"/>
      <c r="J2733" s="5" t="n">
        <v>40.22602678705278</v>
      </c>
      <c r="K2733" s="5" t="n">
        <v>57</v>
      </c>
    </row>
    <row r="2734">
      <c r="A2734" s="2" t="n">
        <v>46211.29166666666</v>
      </c>
      <c r="B2734">
        <f>TEXT(A2734,"yyyy-mm")</f>
        <v/>
      </c>
      <c r="C2734" s="3">
        <f>HOUR(A2734)</f>
        <v/>
      </c>
      <c r="D2734" s="4" t="n">
        <v>25.69186057898333</v>
      </c>
      <c r="E2734" s="4" t="n"/>
      <c r="F2734" s="4" t="n">
        <v>29.3138610161</v>
      </c>
      <c r="G2734" s="4" t="n">
        <v>18.8</v>
      </c>
      <c r="H2734" s="5" t="n">
        <v>31.520603801225</v>
      </c>
      <c r="I2734" s="5" t="n"/>
      <c r="J2734" s="5" t="n">
        <v>40.319565253475</v>
      </c>
      <c r="K2734" s="5" t="n">
        <v>57</v>
      </c>
    </row>
    <row r="2735">
      <c r="A2735" s="2" t="n">
        <v>46211.33333333334</v>
      </c>
      <c r="B2735">
        <f>TEXT(A2735,"yyyy-mm")</f>
        <v/>
      </c>
      <c r="C2735" s="3">
        <f>HOUR(A2735)</f>
        <v/>
      </c>
      <c r="D2735" s="4" t="n">
        <v>26.55264134799444</v>
      </c>
      <c r="E2735" s="4" t="n"/>
      <c r="F2735" s="4" t="n">
        <v>29.32807178639722</v>
      </c>
      <c r="G2735" s="4" t="n">
        <v>20.3</v>
      </c>
      <c r="H2735" s="5" t="n">
        <v>34.18167028463889</v>
      </c>
      <c r="I2735" s="5" t="n"/>
      <c r="J2735" s="5" t="n">
        <v>40.63943244913889</v>
      </c>
      <c r="K2735" s="5" t="n">
        <v>56</v>
      </c>
    </row>
    <row r="2736">
      <c r="A2736" s="2" t="n">
        <v>46211.375</v>
      </c>
      <c r="B2736">
        <f>TEXT(A2736,"yyyy-mm")</f>
        <v/>
      </c>
      <c r="C2736" s="3">
        <f>HOUR(A2736)</f>
        <v/>
      </c>
      <c r="D2736" s="4" t="n">
        <v>27.2265554457</v>
      </c>
      <c r="E2736" s="4" t="n"/>
      <c r="F2736" s="4" t="n">
        <v>29.37309736096389</v>
      </c>
      <c r="G2736" s="4" t="n">
        <v>22.5</v>
      </c>
      <c r="H2736" s="5" t="n">
        <v>36.17040442843056</v>
      </c>
      <c r="I2736" s="5" t="n"/>
      <c r="J2736" s="5" t="n">
        <v>41.10616264624167</v>
      </c>
      <c r="K2736" s="5" t="n">
        <v>57</v>
      </c>
    </row>
    <row r="2737">
      <c r="A2737" s="2" t="n">
        <v>46211.41666666666</v>
      </c>
      <c r="B2737">
        <f>TEXT(A2737,"yyyy-mm")</f>
        <v/>
      </c>
      <c r="C2737" s="3">
        <f>HOUR(A2737)</f>
        <v/>
      </c>
      <c r="D2737" s="4" t="n">
        <v>27.33443591503333</v>
      </c>
      <c r="E2737" s="4" t="n"/>
      <c r="F2737" s="4" t="n">
        <v>29.42843022326389</v>
      </c>
      <c r="G2737" s="4" t="n">
        <v>24.3</v>
      </c>
      <c r="H2737" s="5" t="n">
        <v>37.87536552647778</v>
      </c>
      <c r="I2737" s="5" t="n"/>
      <c r="J2737" s="5" t="n">
        <v>41.56455251092778</v>
      </c>
      <c r="K2737" s="5" t="n">
        <v>58</v>
      </c>
    </row>
    <row r="2738">
      <c r="A2738" s="2" t="n">
        <v>46211.45833333334</v>
      </c>
      <c r="B2738">
        <f>TEXT(A2738,"yyyy-mm")</f>
        <v/>
      </c>
      <c r="C2738" s="3">
        <f>HOUR(A2738)</f>
        <v/>
      </c>
      <c r="D2738" s="4" t="n">
        <v>27.52713822536111</v>
      </c>
      <c r="E2738" s="4" t="n"/>
      <c r="F2738" s="4" t="n">
        <v>29.47345198695556</v>
      </c>
      <c r="G2738" s="4" t="n">
        <v>25.8</v>
      </c>
      <c r="H2738" s="5" t="n">
        <v>38.07445345766667</v>
      </c>
      <c r="I2738" s="5" t="n"/>
      <c r="J2738" s="5" t="n">
        <v>42.33055503208333</v>
      </c>
      <c r="K2738" s="5" t="n">
        <v>53</v>
      </c>
    </row>
    <row r="2739">
      <c r="A2739" s="2" t="n">
        <v>46211.5</v>
      </c>
      <c r="B2739">
        <f>TEXT(A2739,"yyyy-mm")</f>
        <v/>
      </c>
      <c r="C2739" s="3">
        <f>HOUR(A2739)</f>
        <v/>
      </c>
      <c r="D2739" s="4" t="n">
        <v>27.4563952052</v>
      </c>
      <c r="E2739" s="4" t="n"/>
      <c r="F2739" s="4" t="n">
        <v>29.55484399656389</v>
      </c>
      <c r="G2739" s="4" t="n">
        <v>26.4</v>
      </c>
      <c r="H2739" s="5" t="n">
        <v>38.28382357668056</v>
      </c>
      <c r="I2739" s="5" t="n"/>
      <c r="J2739" s="5" t="n">
        <v>42.55158519349722</v>
      </c>
      <c r="K2739" s="5" t="n">
        <v>50</v>
      </c>
    </row>
    <row r="2740">
      <c r="A2740" s="2" t="n">
        <v>46211.54166666666</v>
      </c>
      <c r="B2740">
        <f>TEXT(A2740,"yyyy-mm")</f>
        <v/>
      </c>
      <c r="C2740" s="3">
        <f>HOUR(A2740)</f>
        <v/>
      </c>
      <c r="D2740" s="4" t="n">
        <v>27.59098174006667</v>
      </c>
      <c r="E2740" s="4" t="n"/>
      <c r="F2740" s="4" t="n">
        <v>29.42806156953611</v>
      </c>
      <c r="G2740" s="4" t="n">
        <v>27.4</v>
      </c>
      <c r="H2740" s="5" t="n">
        <v>37.89584827503055</v>
      </c>
      <c r="I2740" s="5" t="n"/>
      <c r="J2740" s="5" t="n">
        <v>43.97237863082222</v>
      </c>
      <c r="K2740" s="5" t="n">
        <v>48</v>
      </c>
    </row>
    <row r="2741">
      <c r="A2741" s="2" t="n">
        <v>46211.58333333334</v>
      </c>
      <c r="B2741">
        <f>TEXT(A2741,"yyyy-mm")</f>
        <v/>
      </c>
      <c r="C2741" s="3">
        <f>HOUR(A2741)</f>
        <v/>
      </c>
      <c r="D2741" s="4" t="n">
        <v>26.631803456625</v>
      </c>
      <c r="E2741" s="4" t="n"/>
      <c r="F2741" s="4" t="n">
        <v>28.637898479175</v>
      </c>
      <c r="G2741" s="4" t="n">
        <v>26.9</v>
      </c>
      <c r="H2741" s="5" t="n">
        <v>46.15141197730834</v>
      </c>
      <c r="I2741" s="5" t="n"/>
      <c r="J2741" s="5" t="n">
        <v>50.15237260447223</v>
      </c>
      <c r="K2741" s="5" t="n">
        <v>48</v>
      </c>
    </row>
    <row r="2742">
      <c r="A2742" s="2" t="n">
        <v>46211.625</v>
      </c>
      <c r="B2742">
        <f>TEXT(A2742,"yyyy-mm")</f>
        <v/>
      </c>
      <c r="C2742" s="3">
        <f>HOUR(A2742)</f>
        <v/>
      </c>
      <c r="D2742" s="4" t="n">
        <v>25.43643039446667</v>
      </c>
      <c r="E2742" s="4" t="n"/>
      <c r="F2742" s="4" t="n">
        <v>28.25668121284444</v>
      </c>
      <c r="G2742" s="4" t="n">
        <v>20.1</v>
      </c>
      <c r="H2742" s="5" t="n">
        <v>51.04142239336667</v>
      </c>
      <c r="I2742" s="5" t="n"/>
      <c r="J2742" s="5" t="n">
        <v>53.174066269425</v>
      </c>
      <c r="K2742" s="5" t="n">
        <v>86</v>
      </c>
    </row>
    <row r="2743">
      <c r="A2743" s="2" t="n">
        <v>46211.66666666666</v>
      </c>
      <c r="B2743">
        <f>TEXT(A2743,"yyyy-mm")</f>
        <v/>
      </c>
      <c r="C2743" s="3">
        <f>HOUR(A2743)</f>
        <v/>
      </c>
      <c r="D2743" s="4" t="n">
        <v>25.71583694766666</v>
      </c>
      <c r="E2743" s="4" t="n"/>
      <c r="F2743" s="4" t="n">
        <v>28.1423761236</v>
      </c>
      <c r="G2743" s="4" t="n">
        <v>21.6</v>
      </c>
      <c r="H2743" s="5" t="n">
        <v>50.76451559216667</v>
      </c>
      <c r="I2743" s="5" t="n"/>
      <c r="J2743" s="5" t="n">
        <v>53.34888991500555</v>
      </c>
      <c r="K2743" s="5" t="n">
        <v>76</v>
      </c>
    </row>
    <row r="2744">
      <c r="A2744" s="2" t="n">
        <v>46211.70833333334</v>
      </c>
      <c r="B2744">
        <f>TEXT(A2744,"yyyy-mm")</f>
        <v/>
      </c>
      <c r="C2744" s="3">
        <f>HOUR(A2744)</f>
        <v/>
      </c>
      <c r="D2744" s="4" t="n">
        <v>25.66710983281389</v>
      </c>
      <c r="E2744" s="4" t="n"/>
      <c r="F2744" s="4" t="n">
        <v>27.80170700361944</v>
      </c>
      <c r="G2744" s="4" t="n">
        <v>22.5</v>
      </c>
      <c r="H2744" s="5" t="n">
        <v>52.46415203622222</v>
      </c>
      <c r="I2744" s="5" t="n"/>
      <c r="J2744" s="5" t="n">
        <v>55.42551405357222</v>
      </c>
      <c r="K2744" s="5" t="n">
        <v>72</v>
      </c>
    </row>
    <row r="2745">
      <c r="A2745" s="2" t="n">
        <v>46211.75</v>
      </c>
      <c r="B2745">
        <f>TEXT(A2745,"yyyy-mm")</f>
        <v/>
      </c>
      <c r="C2745" s="3">
        <f>HOUR(A2745)</f>
        <v/>
      </c>
      <c r="D2745" s="4" t="n">
        <v>25.54334539329166</v>
      </c>
      <c r="E2745" s="4" t="n"/>
      <c r="F2745" s="4" t="n">
        <v>27.54190082975</v>
      </c>
      <c r="G2745" s="4" t="n">
        <v>22.9</v>
      </c>
      <c r="H2745" s="5" t="n">
        <v>53.54238998367779</v>
      </c>
      <c r="I2745" s="5" t="n"/>
      <c r="J2745" s="5" t="n">
        <v>56.6071925524389</v>
      </c>
      <c r="K2745" s="5" t="n">
        <v>69</v>
      </c>
    </row>
    <row r="2746">
      <c r="A2746" s="2" t="n">
        <v>46211.79166666666</v>
      </c>
      <c r="B2746">
        <f>TEXT(A2746,"yyyy-mm")</f>
        <v/>
      </c>
      <c r="C2746" s="3">
        <f>HOUR(A2746)</f>
        <v/>
      </c>
      <c r="D2746" s="4" t="n">
        <v>25.20558899347778</v>
      </c>
      <c r="E2746" s="4" t="n"/>
      <c r="F2746" s="4" t="n">
        <v>27.65937024578611</v>
      </c>
      <c r="G2746" s="4" t="n">
        <v>22.8</v>
      </c>
      <c r="H2746" s="5" t="n">
        <v>53.80098834092778</v>
      </c>
      <c r="I2746" s="5" t="n"/>
      <c r="J2746" s="5" t="n">
        <v>55.7198480381</v>
      </c>
      <c r="K2746" s="5" t="n">
        <v>68</v>
      </c>
    </row>
    <row r="2747">
      <c r="A2747" s="2" t="n">
        <v>46211.83333333334</v>
      </c>
      <c r="B2747">
        <f>TEXT(A2747,"yyyy-mm")</f>
        <v/>
      </c>
      <c r="C2747" s="3">
        <f>HOUR(A2747)</f>
        <v/>
      </c>
      <c r="D2747" s="4" t="n">
        <v>25.01778544226389</v>
      </c>
      <c r="E2747" s="4" t="n"/>
      <c r="F2747" s="4" t="n">
        <v>28.39318214168611</v>
      </c>
      <c r="G2747" s="4" t="n">
        <v>21.8</v>
      </c>
      <c r="H2747" s="5" t="n">
        <v>53.56140361283611</v>
      </c>
      <c r="I2747" s="5" t="n"/>
      <c r="J2747" s="5" t="n">
        <v>51.95865663338333</v>
      </c>
      <c r="K2747" s="5" t="n">
        <v>73</v>
      </c>
    </row>
    <row r="2748">
      <c r="A2748" s="2" t="n">
        <v>46211.875</v>
      </c>
      <c r="B2748">
        <f>TEXT(A2748,"yyyy-mm")</f>
        <v/>
      </c>
      <c r="C2748" s="3">
        <f>HOUR(A2748)</f>
        <v/>
      </c>
      <c r="D2748" s="4" t="n">
        <v>24.92186853406666</v>
      </c>
      <c r="E2748" s="4" t="n"/>
      <c r="F2748" s="4" t="n">
        <v>28.70183328954444</v>
      </c>
      <c r="G2748" s="4" t="n">
        <v>20.1</v>
      </c>
      <c r="H2748" s="5" t="n">
        <v>53.52820662581389</v>
      </c>
      <c r="I2748" s="5" t="n"/>
      <c r="J2748" s="5" t="n">
        <v>50.69475058647777</v>
      </c>
      <c r="K2748" s="5" t="n">
        <v>77</v>
      </c>
    </row>
    <row r="2749">
      <c r="A2749" s="2" t="n">
        <v>46211.91666666666</v>
      </c>
      <c r="B2749">
        <f>TEXT(A2749,"yyyy-mm")</f>
        <v/>
      </c>
      <c r="C2749" s="3">
        <f>HOUR(A2749)</f>
        <v/>
      </c>
      <c r="D2749" s="4" t="n">
        <v>24.85676007350555</v>
      </c>
      <c r="E2749" s="4" t="n"/>
      <c r="F2749" s="4" t="n">
        <v>28.81225025073056</v>
      </c>
      <c r="G2749" s="4" t="n">
        <v>19.2</v>
      </c>
      <c r="H2749" s="5" t="n">
        <v>53.84438218219722</v>
      </c>
      <c r="I2749" s="5" t="n"/>
      <c r="J2749" s="5" t="n">
        <v>50.6251025389</v>
      </c>
      <c r="K2749" s="5" t="n">
        <v>78</v>
      </c>
    </row>
    <row r="2750">
      <c r="A2750" s="2" t="n">
        <v>46211.95833333334</v>
      </c>
      <c r="B2750">
        <f>TEXT(A2750,"yyyy-mm")</f>
        <v/>
      </c>
      <c r="C2750" s="3">
        <f>HOUR(A2750)</f>
        <v/>
      </c>
      <c r="D2750" s="4" t="n">
        <v>24.76808156083056</v>
      </c>
      <c r="E2750" s="4" t="n"/>
      <c r="F2750" s="4" t="n">
        <v>28.87892523771667</v>
      </c>
      <c r="G2750" s="4" t="n">
        <v>18.8</v>
      </c>
      <c r="H2750" s="5" t="n">
        <v>53.23019151214445</v>
      </c>
      <c r="I2750" s="5" t="n"/>
      <c r="J2750" s="5" t="n">
        <v>50.08130673468333</v>
      </c>
      <c r="K2750" s="5" t="n">
        <v>79</v>
      </c>
    </row>
    <row r="2751">
      <c r="A2751" s="2" t="n">
        <v>46212</v>
      </c>
      <c r="B2751">
        <f>TEXT(A2751,"yyyy-mm")</f>
        <v/>
      </c>
      <c r="C2751" s="3">
        <f>HOUR(A2751)</f>
        <v/>
      </c>
      <c r="D2751" s="4" t="n">
        <v>24.506668577175</v>
      </c>
      <c r="E2751" s="4" t="n"/>
      <c r="F2751" s="4" t="n">
        <v>28.98818068257222</v>
      </c>
      <c r="G2751" s="4" t="n">
        <v>18.3</v>
      </c>
      <c r="H2751" s="5" t="n">
        <v>53.500119461625</v>
      </c>
      <c r="I2751" s="5" t="n"/>
      <c r="J2751" s="5" t="n">
        <v>49.51782418750833</v>
      </c>
      <c r="K2751" s="5" t="n">
        <v>81</v>
      </c>
    </row>
    <row r="2752">
      <c r="A2752" s="2" t="n">
        <v>46212.04166666666</v>
      </c>
      <c r="B2752">
        <f>TEXT(A2752,"yyyy-mm")</f>
        <v/>
      </c>
      <c r="C2752" s="3">
        <f>HOUR(A2752)</f>
        <v/>
      </c>
      <c r="D2752" s="4" t="n">
        <v>23.82943855758611</v>
      </c>
      <c r="E2752" s="4" t="n"/>
      <c r="F2752" s="4" t="n">
        <v>29.02146686005278</v>
      </c>
      <c r="G2752" s="4" t="n">
        <v>17.8</v>
      </c>
      <c r="H2752" s="5" t="n">
        <v>55.78234142420833</v>
      </c>
      <c r="I2752" s="5" t="n"/>
      <c r="J2752" s="5" t="n">
        <v>49.229804696125</v>
      </c>
      <c r="K2752" s="5" t="n">
        <v>83</v>
      </c>
    </row>
    <row r="2753">
      <c r="A2753" s="2" t="n">
        <v>46212.08333333334</v>
      </c>
      <c r="B2753">
        <f>TEXT(A2753,"yyyy-mm")</f>
        <v/>
      </c>
      <c r="C2753" s="3">
        <f>HOUR(A2753)</f>
        <v/>
      </c>
      <c r="D2753" s="4" t="n">
        <v>23.32105461146945</v>
      </c>
      <c r="E2753" s="4" t="n"/>
      <c r="F2753" s="4" t="n">
        <v>29.04010828774167</v>
      </c>
      <c r="G2753" s="4" t="n">
        <v>17.3</v>
      </c>
      <c r="H2753" s="5" t="n">
        <v>57.181387763625</v>
      </c>
      <c r="I2753" s="5" t="n"/>
      <c r="J2753" s="5" t="n">
        <v>49.06179113730834</v>
      </c>
      <c r="K2753" s="5" t="n">
        <v>86</v>
      </c>
    </row>
    <row r="2754">
      <c r="A2754" s="2" t="n">
        <v>46212.125</v>
      </c>
      <c r="B2754">
        <f>TEXT(A2754,"yyyy-mm")</f>
        <v/>
      </c>
      <c r="C2754" s="3">
        <f>HOUR(A2754)</f>
        <v/>
      </c>
      <c r="D2754" s="4" t="n">
        <v>23.49635218709167</v>
      </c>
      <c r="E2754" s="4" t="n"/>
      <c r="F2754" s="4" t="n">
        <v>29.05557788564167</v>
      </c>
      <c r="G2754" s="4" t="n">
        <v>16.4</v>
      </c>
      <c r="H2754" s="5" t="n">
        <v>56.38287027259167</v>
      </c>
      <c r="I2754" s="5" t="n"/>
      <c r="J2754" s="5" t="n">
        <v>48.88945738598889</v>
      </c>
      <c r="K2754" s="5" t="n">
        <v>95</v>
      </c>
    </row>
    <row r="2755">
      <c r="A2755" s="2" t="n">
        <v>46212.16666666666</v>
      </c>
      <c r="B2755">
        <f>TEXT(A2755,"yyyy-mm")</f>
        <v/>
      </c>
      <c r="C2755" s="3">
        <f>HOUR(A2755)</f>
        <v/>
      </c>
      <c r="D2755" s="4" t="n">
        <v>23.84700706161945</v>
      </c>
      <c r="E2755" s="4" t="n"/>
      <c r="F2755" s="4" t="n">
        <v>29.05761374339166</v>
      </c>
      <c r="G2755" s="4" t="n">
        <v>16.3</v>
      </c>
      <c r="H2755" s="5" t="n">
        <v>55.28910398830556</v>
      </c>
      <c r="I2755" s="5" t="n"/>
      <c r="J2755" s="5" t="n">
        <v>48.78002471515556</v>
      </c>
      <c r="K2755" s="5" t="n">
        <v>95</v>
      </c>
    </row>
    <row r="2756">
      <c r="A2756" s="2" t="n">
        <v>46212.20833333334</v>
      </c>
      <c r="B2756">
        <f>TEXT(A2756,"yyyy-mm")</f>
        <v/>
      </c>
      <c r="C2756" s="3">
        <f>HOUR(A2756)</f>
        <v/>
      </c>
      <c r="D2756" s="4" t="n">
        <v>24.10799433038611</v>
      </c>
      <c r="E2756" s="4" t="n"/>
      <c r="F2756" s="4" t="n">
        <v>29.05116672445556</v>
      </c>
      <c r="G2756" s="4" t="n">
        <v>16.3</v>
      </c>
      <c r="H2756" s="5" t="n">
        <v>54.76367539304723</v>
      </c>
      <c r="I2756" s="5" t="n"/>
      <c r="J2756" s="5" t="n">
        <v>48.70471034305833</v>
      </c>
      <c r="K2756" s="5" t="n">
        <v>96</v>
      </c>
    </row>
    <row r="2757">
      <c r="A2757" s="2" t="n">
        <v>46212.25</v>
      </c>
      <c r="B2757">
        <f>TEXT(A2757,"yyyy-mm")</f>
        <v/>
      </c>
      <c r="C2757" s="3">
        <f>HOUR(A2757)</f>
        <v/>
      </c>
      <c r="D2757" s="4" t="n">
        <v>25.360012422975</v>
      </c>
      <c r="E2757" s="4" t="n"/>
      <c r="F2757" s="4" t="n">
        <v>29.06593637687778</v>
      </c>
      <c r="G2757" s="4" t="n">
        <v>16.7</v>
      </c>
      <c r="H2757" s="5" t="n">
        <v>51.91620937442778</v>
      </c>
      <c r="I2757" s="5" t="n"/>
      <c r="J2757" s="5" t="n">
        <v>48.65191123522778</v>
      </c>
      <c r="K2757" s="5" t="n">
        <v>95</v>
      </c>
    </row>
    <row r="2758">
      <c r="A2758" s="2" t="n">
        <v>46212.29166666666</v>
      </c>
      <c r="B2758">
        <f>TEXT(A2758,"yyyy-mm")</f>
        <v/>
      </c>
      <c r="C2758" s="3">
        <f>HOUR(A2758)</f>
        <v/>
      </c>
      <c r="D2758" s="4" t="n">
        <v>25.80474529523056</v>
      </c>
      <c r="E2758" s="4" t="n"/>
      <c r="F2758" s="4" t="n">
        <v>29.09160550891944</v>
      </c>
      <c r="G2758" s="4" t="n">
        <v>17.3</v>
      </c>
      <c r="H2758" s="5" t="n">
        <v>51.03955644780555</v>
      </c>
      <c r="I2758" s="5" t="n"/>
      <c r="J2758" s="5" t="n">
        <v>48.71031082155833</v>
      </c>
      <c r="K2758" s="5" t="n">
        <v>94</v>
      </c>
    </row>
    <row r="2759">
      <c r="A2759" s="2" t="n">
        <v>46212.33333333334</v>
      </c>
      <c r="B2759">
        <f>TEXT(A2759,"yyyy-mm")</f>
        <v/>
      </c>
      <c r="C2759" s="3">
        <f>HOUR(A2759)</f>
        <v/>
      </c>
      <c r="D2759" s="4" t="n">
        <v>25.972695457875</v>
      </c>
      <c r="E2759" s="4" t="n"/>
      <c r="F2759" s="4" t="n">
        <v>29.11046682424723</v>
      </c>
      <c r="G2759" s="4" t="n">
        <v>17.9</v>
      </c>
      <c r="H2759" s="5" t="n">
        <v>50.52359773495834</v>
      </c>
      <c r="I2759" s="5" t="n"/>
      <c r="J2759" s="5" t="n">
        <v>48.693214056975</v>
      </c>
      <c r="K2759" s="5" t="n">
        <v>91</v>
      </c>
    </row>
    <row r="2760">
      <c r="A2760" s="2" t="n">
        <v>46212.375</v>
      </c>
      <c r="B2760">
        <f>TEXT(A2760,"yyyy-mm")</f>
        <v/>
      </c>
      <c r="C2760" s="3">
        <f>HOUR(A2760)</f>
        <v/>
      </c>
      <c r="D2760" s="4" t="n">
        <v>26.092630387425</v>
      </c>
      <c r="E2760" s="4" t="n"/>
      <c r="F2760" s="4" t="n">
        <v>29.12810591768056</v>
      </c>
      <c r="G2760" s="4" t="n">
        <v>18.9</v>
      </c>
      <c r="H2760" s="5" t="n">
        <v>50.32920947225556</v>
      </c>
      <c r="I2760" s="5" t="n"/>
      <c r="J2760" s="5" t="n">
        <v>48.67738009805</v>
      </c>
      <c r="K2760" s="5" t="n">
        <v>87</v>
      </c>
    </row>
    <row r="2761">
      <c r="A2761" s="2" t="n">
        <v>46212.41666666666</v>
      </c>
      <c r="B2761">
        <f>TEXT(A2761,"yyyy-mm")</f>
        <v/>
      </c>
      <c r="C2761" s="3">
        <f>HOUR(A2761)</f>
        <v/>
      </c>
      <c r="D2761" s="4" t="n">
        <v>26.15938396244444</v>
      </c>
      <c r="E2761" s="4" t="n"/>
      <c r="F2761" s="4" t="n">
        <v>29.1503583538</v>
      </c>
      <c r="G2761" s="4" t="n">
        <v>19.6</v>
      </c>
      <c r="H2761" s="5" t="n">
        <v>49.92320593161112</v>
      </c>
      <c r="I2761" s="5" t="n"/>
      <c r="J2761" s="5" t="n">
        <v>48.63942749224722</v>
      </c>
      <c r="K2761" s="5" t="n">
        <v>82</v>
      </c>
    </row>
    <row r="2762">
      <c r="A2762" s="2" t="n">
        <v>46212.45833333334</v>
      </c>
      <c r="B2762">
        <f>TEXT(A2762,"yyyy-mm")</f>
        <v/>
      </c>
      <c r="C2762" s="3">
        <f>HOUR(A2762)</f>
        <v/>
      </c>
      <c r="D2762" s="4" t="n">
        <v>26.18510455826667</v>
      </c>
      <c r="E2762" s="4" t="n"/>
      <c r="F2762" s="4" t="n">
        <v>29.15691394581944</v>
      </c>
      <c r="G2762" s="4" t="n">
        <v>20.1</v>
      </c>
      <c r="H2762" s="5" t="n">
        <v>49.41160454899167</v>
      </c>
      <c r="I2762" s="5" t="n"/>
      <c r="J2762" s="5" t="n">
        <v>48.59750256287777</v>
      </c>
      <c r="K2762" s="5" t="n">
        <v>80</v>
      </c>
    </row>
    <row r="2763">
      <c r="A2763" s="2" t="n">
        <v>46212.5</v>
      </c>
      <c r="B2763">
        <f>TEXT(A2763,"yyyy-mm")</f>
        <v/>
      </c>
      <c r="C2763" s="3">
        <f>HOUR(A2763)</f>
        <v/>
      </c>
      <c r="D2763" s="4" t="n">
        <v>26.22645305453056</v>
      </c>
      <c r="E2763" s="4" t="n"/>
      <c r="F2763" s="4" t="n">
        <v>29.16085848578611</v>
      </c>
      <c r="G2763" s="4" t="n">
        <v>21</v>
      </c>
      <c r="H2763" s="5" t="n">
        <v>49.19673107932223</v>
      </c>
      <c r="I2763" s="5" t="n"/>
      <c r="J2763" s="5" t="n">
        <v>48.56419338748611</v>
      </c>
      <c r="K2763" s="5" t="n">
        <v>78</v>
      </c>
    </row>
    <row r="2764">
      <c r="A2764" s="2" t="n">
        <v>46212.54166666666</v>
      </c>
      <c r="B2764">
        <f>TEXT(A2764,"yyyy-mm")</f>
        <v/>
      </c>
      <c r="C2764" s="3">
        <f>HOUR(A2764)</f>
        <v/>
      </c>
      <c r="D2764" s="4" t="n">
        <v>26.36030844620833</v>
      </c>
      <c r="E2764" s="4" t="n"/>
      <c r="F2764" s="4" t="n">
        <v>29.17155540345</v>
      </c>
      <c r="G2764" s="4" t="n">
        <v>21.9</v>
      </c>
      <c r="H2764" s="5" t="n">
        <v>48.92928259845278</v>
      </c>
      <c r="I2764" s="5" t="n"/>
      <c r="J2764" s="5" t="n">
        <v>48.46213303960278</v>
      </c>
      <c r="K2764" s="5" t="n">
        <v>75</v>
      </c>
    </row>
    <row r="2765">
      <c r="A2765" s="2" t="n">
        <v>46212.58333333334</v>
      </c>
      <c r="B2765">
        <f>TEXT(A2765,"yyyy-mm")</f>
        <v/>
      </c>
      <c r="C2765" s="3">
        <f>HOUR(A2765)</f>
        <v/>
      </c>
      <c r="D2765" s="4" t="n">
        <v>26.41060027329445</v>
      </c>
      <c r="E2765" s="4" t="n"/>
      <c r="F2765" s="4" t="n">
        <v>29.17921974840556</v>
      </c>
      <c r="G2765" s="4" t="n">
        <v>23.1</v>
      </c>
      <c r="H2765" s="5" t="n">
        <v>48.83496682548333</v>
      </c>
      <c r="I2765" s="5" t="n"/>
      <c r="J2765" s="5" t="n">
        <v>48.35741543472778</v>
      </c>
      <c r="K2765" s="5" t="n">
        <v>71</v>
      </c>
    </row>
    <row r="2766">
      <c r="A2766" s="2" t="n">
        <v>46212.625</v>
      </c>
      <c r="B2766">
        <f>TEXT(A2766,"yyyy-mm")</f>
        <v/>
      </c>
      <c r="C2766" s="3">
        <f>HOUR(A2766)</f>
        <v/>
      </c>
      <c r="D2766" s="4" t="n">
        <v>26.42786092048334</v>
      </c>
      <c r="E2766" s="4" t="n"/>
      <c r="F2766" s="4" t="n">
        <v>29.18993673994445</v>
      </c>
      <c r="G2766" s="4" t="n">
        <v>19.5</v>
      </c>
      <c r="H2766" s="5" t="n">
        <v>48.78375625416388</v>
      </c>
      <c r="I2766" s="5" t="n"/>
      <c r="J2766" s="5" t="n">
        <v>48.22615406413333</v>
      </c>
      <c r="K2766" s="5" t="n">
        <v>87</v>
      </c>
    </row>
    <row r="2767">
      <c r="A2767" s="2" t="n">
        <v>46212.66666666666</v>
      </c>
      <c r="B2767">
        <f>TEXT(A2767,"yyyy-mm")</f>
        <v/>
      </c>
      <c r="C2767" s="3">
        <f>HOUR(A2767)</f>
        <v/>
      </c>
      <c r="D2767" s="4" t="n">
        <v>26.43551749730556</v>
      </c>
      <c r="E2767" s="4" t="n"/>
      <c r="F2767" s="4" t="n">
        <v>29.20175279927777</v>
      </c>
      <c r="G2767" s="4" t="n">
        <v>20.2</v>
      </c>
      <c r="H2767" s="5" t="n">
        <v>48.73393791193612</v>
      </c>
      <c r="I2767" s="5" t="n"/>
      <c r="J2767" s="5" t="n">
        <v>48.21445910494445</v>
      </c>
      <c r="K2767" s="5" t="n">
        <v>82</v>
      </c>
    </row>
    <row r="2768">
      <c r="A2768" s="2" t="n">
        <v>46212.70833333334</v>
      </c>
      <c r="B2768">
        <f>TEXT(A2768,"yyyy-mm")</f>
        <v/>
      </c>
      <c r="C2768" s="3">
        <f>HOUR(A2768)</f>
        <v/>
      </c>
      <c r="D2768" s="4" t="n">
        <v>26.41656483292222</v>
      </c>
      <c r="E2768" s="4" t="n"/>
      <c r="F2768" s="4" t="n">
        <v>29.19988636898056</v>
      </c>
      <c r="G2768" s="4" t="n">
        <v>21.4</v>
      </c>
      <c r="H2768" s="5" t="n">
        <v>48.44645703496667</v>
      </c>
      <c r="I2768" s="5" t="n"/>
      <c r="J2768" s="5" t="n">
        <v>48.16132680415834</v>
      </c>
      <c r="K2768" s="5" t="n">
        <v>75</v>
      </c>
    </row>
    <row r="2769">
      <c r="A2769" s="2" t="n">
        <v>46212.75</v>
      </c>
      <c r="B2769">
        <f>TEXT(A2769,"yyyy-mm")</f>
        <v/>
      </c>
      <c r="C2769" s="3">
        <f>HOUR(A2769)</f>
        <v/>
      </c>
      <c r="D2769" s="4" t="n">
        <v>26.34642698323889</v>
      </c>
      <c r="E2769" s="4" t="n"/>
      <c r="F2769" s="4" t="n">
        <v>29.19978318471111</v>
      </c>
      <c r="G2769" s="4" t="n">
        <v>21.1</v>
      </c>
      <c r="H2769" s="5" t="n">
        <v>47.9864841704</v>
      </c>
      <c r="I2769" s="5" t="n"/>
      <c r="J2769" s="5" t="n">
        <v>48.03207046357777</v>
      </c>
      <c r="K2769" s="5" t="n">
        <v>76</v>
      </c>
    </row>
    <row r="2770">
      <c r="A2770" s="2" t="n">
        <v>46212.79166666666</v>
      </c>
      <c r="B2770">
        <f>TEXT(A2770,"yyyy-mm")</f>
        <v/>
      </c>
      <c r="C2770" s="3">
        <f>HOUR(A2770)</f>
        <v/>
      </c>
      <c r="D2770" s="4" t="n">
        <v>26.26611233015556</v>
      </c>
      <c r="E2770" s="4" t="n"/>
      <c r="F2770" s="4" t="n">
        <v>29.19693665629167</v>
      </c>
      <c r="G2770" s="4" t="n">
        <v>20.5</v>
      </c>
      <c r="H2770" s="5" t="n">
        <v>48.13848829626111</v>
      </c>
      <c r="I2770" s="5" t="n"/>
      <c r="J2770" s="5" t="n">
        <v>47.88635101139167</v>
      </c>
      <c r="K2770" s="5" t="n">
        <v>79</v>
      </c>
    </row>
    <row r="2771">
      <c r="A2771" s="2" t="n">
        <v>46212.83333333334</v>
      </c>
      <c r="B2771">
        <f>TEXT(A2771,"yyyy-mm")</f>
        <v/>
      </c>
      <c r="C2771" s="3">
        <f>HOUR(A2771)</f>
        <v/>
      </c>
      <c r="D2771" s="4" t="n">
        <v>26.18600942193889</v>
      </c>
      <c r="E2771" s="4" t="n"/>
      <c r="F2771" s="4" t="n">
        <v>29.21481038043889</v>
      </c>
      <c r="G2771" s="4" t="n">
        <v>19.9</v>
      </c>
      <c r="H2771" s="5" t="n">
        <v>48.18141043365</v>
      </c>
      <c r="I2771" s="5" t="n"/>
      <c r="J2771" s="5" t="n">
        <v>47.76718342863055</v>
      </c>
      <c r="K2771" s="5" t="n">
        <v>84</v>
      </c>
    </row>
    <row r="2772">
      <c r="A2772" s="2" t="n">
        <v>46212.875</v>
      </c>
      <c r="B2772">
        <f>TEXT(A2772,"yyyy-mm")</f>
        <v/>
      </c>
      <c r="C2772" s="3">
        <f>HOUR(A2772)</f>
        <v/>
      </c>
      <c r="D2772" s="4" t="n">
        <v>26.09823007380277</v>
      </c>
      <c r="E2772" s="4" t="n"/>
      <c r="F2772" s="4" t="n">
        <v>29.19461341370556</v>
      </c>
      <c r="G2772" s="4" t="n">
        <v>19.3</v>
      </c>
      <c r="H2772" s="5" t="n">
        <v>48.32260311559167</v>
      </c>
      <c r="I2772" s="5" t="n"/>
      <c r="J2772" s="5" t="n">
        <v>47.75560106811389</v>
      </c>
      <c r="K2772" s="5" t="n">
        <v>87</v>
      </c>
    </row>
    <row r="2773">
      <c r="A2773" s="2" t="n">
        <v>46212.91666666666</v>
      </c>
      <c r="B2773">
        <f>TEXT(A2773,"yyyy-mm")</f>
        <v/>
      </c>
      <c r="C2773" s="3">
        <f>HOUR(A2773)</f>
        <v/>
      </c>
      <c r="D2773" s="4" t="n">
        <v>26.01678426026389</v>
      </c>
      <c r="E2773" s="4" t="n"/>
      <c r="F2773" s="4" t="n">
        <v>29.19119435633334</v>
      </c>
      <c r="G2773" s="4" t="n">
        <v>19.2</v>
      </c>
      <c r="H2773" s="5" t="n">
        <v>49.03905314244722</v>
      </c>
      <c r="I2773" s="5" t="n"/>
      <c r="J2773" s="5" t="n">
        <v>47.83065745041111</v>
      </c>
      <c r="K2773" s="5" t="n">
        <v>88</v>
      </c>
    </row>
    <row r="2774">
      <c r="A2774" s="2" t="n">
        <v>46212.95833333334</v>
      </c>
      <c r="B2774">
        <f>TEXT(A2774,"yyyy-mm")</f>
        <v/>
      </c>
      <c r="C2774" s="3">
        <f>HOUR(A2774)</f>
        <v/>
      </c>
      <c r="D2774" s="4" t="n">
        <v>25.94026705846389</v>
      </c>
      <c r="E2774" s="4" t="n"/>
      <c r="F2774" s="4" t="n">
        <v>29.18222488359723</v>
      </c>
      <c r="G2774" s="4" t="n">
        <v>18.8</v>
      </c>
      <c r="H2774" s="5" t="n">
        <v>50.05629964085</v>
      </c>
      <c r="I2774" s="5" t="n"/>
      <c r="J2774" s="5" t="n">
        <v>48.01977950877778</v>
      </c>
      <c r="K2774" s="5" t="n">
        <v>90</v>
      </c>
    </row>
    <row r="2775">
      <c r="A2775" s="2" t="n">
        <v>46213</v>
      </c>
      <c r="B2775">
        <f>TEXT(A2775,"yyyy-mm")</f>
        <v/>
      </c>
      <c r="C2775" s="3">
        <f>HOUR(A2775)</f>
        <v/>
      </c>
      <c r="D2775" s="4" t="n">
        <v>25.89474071610278</v>
      </c>
      <c r="E2775" s="4" t="n"/>
      <c r="F2775" s="4" t="n">
        <v>29.17369993384166</v>
      </c>
      <c r="G2775" s="4" t="n">
        <v>18.5</v>
      </c>
      <c r="H2775" s="5" t="n">
        <v>50.38183702003889</v>
      </c>
      <c r="I2775" s="5" t="n"/>
      <c r="J2775" s="5" t="n">
        <v>48.02966466846667</v>
      </c>
      <c r="K2775" s="5" t="n">
        <v>90</v>
      </c>
    </row>
    <row r="2776">
      <c r="A2776" s="2" t="n">
        <v>46213.04166666666</v>
      </c>
      <c r="B2776">
        <f>TEXT(A2776,"yyyy-mm")</f>
        <v/>
      </c>
      <c r="C2776" s="3">
        <f>HOUR(A2776)</f>
        <v/>
      </c>
      <c r="D2776" s="4" t="n">
        <v>25.85593389070833</v>
      </c>
      <c r="E2776" s="4" t="n"/>
      <c r="F2776" s="4" t="n">
        <v>29.16724744458056</v>
      </c>
      <c r="G2776" s="4" t="n">
        <v>18</v>
      </c>
      <c r="H2776" s="5" t="n">
        <v>50.52033969640278</v>
      </c>
      <c r="I2776" s="5" t="n"/>
      <c r="J2776" s="5" t="n">
        <v>48.00309624097778</v>
      </c>
      <c r="K2776" s="5" t="n">
        <v>92</v>
      </c>
    </row>
    <row r="2777">
      <c r="A2777" s="2" t="n">
        <v>46213.08333333334</v>
      </c>
      <c r="B2777">
        <f>TEXT(A2777,"yyyy-mm")</f>
        <v/>
      </c>
      <c r="C2777" s="3">
        <f>HOUR(A2777)</f>
        <v/>
      </c>
      <c r="D2777" s="4" t="n">
        <v>25.81844319023056</v>
      </c>
      <c r="E2777" s="4" t="n"/>
      <c r="F2777" s="4" t="n">
        <v>29.16339230540556</v>
      </c>
      <c r="G2777" s="4" t="n">
        <v>17.8</v>
      </c>
      <c r="H2777" s="5" t="n">
        <v>50.65857320839722</v>
      </c>
      <c r="I2777" s="5" t="n"/>
      <c r="J2777" s="5" t="n">
        <v>48.00559279056944</v>
      </c>
      <c r="K2777" s="5" t="n">
        <v>91</v>
      </c>
    </row>
    <row r="2778">
      <c r="A2778" s="2" t="n">
        <v>46213.125</v>
      </c>
      <c r="B2778">
        <f>TEXT(A2778,"yyyy-mm")</f>
        <v/>
      </c>
      <c r="C2778" s="3">
        <f>HOUR(A2778)</f>
        <v/>
      </c>
      <c r="D2778" s="4" t="n">
        <v>25.78489564047777</v>
      </c>
      <c r="E2778" s="4" t="n"/>
      <c r="F2778" s="4" t="n">
        <v>29.15546970735278</v>
      </c>
      <c r="G2778" s="4" t="n">
        <v>17.1</v>
      </c>
      <c r="H2778" s="5" t="n">
        <v>50.86577681079999</v>
      </c>
      <c r="I2778" s="5" t="n"/>
      <c r="J2778" s="5" t="n">
        <v>48.1198551948</v>
      </c>
      <c r="K2778" s="5" t="n">
        <v>96</v>
      </c>
    </row>
    <row r="2779">
      <c r="A2779" s="2" t="n">
        <v>46213.16666666666</v>
      </c>
      <c r="B2779">
        <f>TEXT(A2779,"yyyy-mm")</f>
        <v/>
      </c>
      <c r="C2779" s="3">
        <f>HOUR(A2779)</f>
        <v/>
      </c>
      <c r="D2779" s="4" t="n">
        <v>25.76091497257778</v>
      </c>
      <c r="E2779" s="4" t="n"/>
      <c r="F2779" s="4" t="n">
        <v>29.15202788815833</v>
      </c>
      <c r="G2779" s="4" t="n">
        <v>17</v>
      </c>
      <c r="H2779" s="5" t="n">
        <v>50.99513366093611</v>
      </c>
      <c r="I2779" s="5" t="n"/>
      <c r="J2779" s="5" t="n">
        <v>48.24611014565278</v>
      </c>
      <c r="K2779" s="5" t="n">
        <v>96</v>
      </c>
    </row>
    <row r="2780">
      <c r="A2780" s="2" t="n">
        <v>46213.20833333334</v>
      </c>
      <c r="B2780">
        <f>TEXT(A2780,"yyyy-mm")</f>
        <v/>
      </c>
      <c r="C2780" s="3">
        <f>HOUR(A2780)</f>
        <v/>
      </c>
      <c r="D2780" s="4" t="n">
        <v>25.75718608955</v>
      </c>
      <c r="E2780" s="4" t="n"/>
      <c r="F2780" s="4" t="n">
        <v>29.14942220821389</v>
      </c>
      <c r="G2780" s="4" t="n">
        <v>16.7</v>
      </c>
      <c r="H2780" s="5" t="n">
        <v>51.11867987265556</v>
      </c>
      <c r="I2780" s="5" t="n"/>
      <c r="J2780" s="5" t="n">
        <v>48.32978453931667</v>
      </c>
      <c r="K2780" s="5" t="n">
        <v>97</v>
      </c>
    </row>
    <row r="2781">
      <c r="A2781" s="2" t="n">
        <v>46213.25</v>
      </c>
      <c r="B2781">
        <f>TEXT(A2781,"yyyy-mm")</f>
        <v/>
      </c>
      <c r="C2781" s="3">
        <f>HOUR(A2781)</f>
        <v/>
      </c>
      <c r="D2781" s="4" t="n">
        <v>25.81757546751389</v>
      </c>
      <c r="E2781" s="4" t="n"/>
      <c r="F2781" s="4" t="n">
        <v>29.14008337710834</v>
      </c>
      <c r="G2781" s="4" t="n">
        <v>17</v>
      </c>
      <c r="H2781" s="5" t="n">
        <v>51.24921819563056</v>
      </c>
      <c r="I2781" s="5" t="n"/>
      <c r="J2781" s="5" t="n">
        <v>48.39245906659166</v>
      </c>
      <c r="K2781" s="5" t="n">
        <v>97</v>
      </c>
    </row>
    <row r="2782">
      <c r="A2782" s="2" t="n">
        <v>46213.29166666666</v>
      </c>
      <c r="B2782">
        <f>TEXT(A2782,"yyyy-mm")</f>
        <v/>
      </c>
      <c r="C2782" s="3">
        <f>HOUR(A2782)</f>
        <v/>
      </c>
      <c r="D2782" s="4" t="n">
        <v>25.95950196116667</v>
      </c>
      <c r="E2782" s="4" t="n"/>
      <c r="F2782" s="4" t="n">
        <v>29.14133359749445</v>
      </c>
      <c r="G2782" s="4" t="n">
        <v>17.3</v>
      </c>
      <c r="H2782" s="5" t="n">
        <v>51.01377015827222</v>
      </c>
      <c r="I2782" s="5" t="n"/>
      <c r="J2782" s="5" t="n">
        <v>48.43920670538889</v>
      </c>
      <c r="K2782" s="5" t="n">
        <v>96</v>
      </c>
    </row>
    <row r="2783">
      <c r="A2783" s="2" t="n">
        <v>46213.33333333334</v>
      </c>
      <c r="B2783">
        <f>TEXT(A2783,"yyyy-mm")</f>
        <v/>
      </c>
      <c r="C2783" s="3">
        <f>HOUR(A2783)</f>
        <v/>
      </c>
      <c r="D2783" s="4" t="n">
        <v>26.04628065908611</v>
      </c>
      <c r="E2783" s="4" t="n"/>
      <c r="F2783" s="4" t="n">
        <v>29.14547235556111</v>
      </c>
      <c r="G2783" s="4" t="n">
        <v>18.6</v>
      </c>
      <c r="H2783" s="5" t="n">
        <v>50.78258413273611</v>
      </c>
      <c r="I2783" s="5" t="n"/>
      <c r="J2783" s="5" t="n">
        <v>48.46269116651945</v>
      </c>
      <c r="K2783" s="5" t="n">
        <v>90</v>
      </c>
    </row>
    <row r="2784">
      <c r="A2784" s="2" t="n">
        <v>46213.375</v>
      </c>
      <c r="B2784">
        <f>TEXT(A2784,"yyyy-mm")</f>
        <v/>
      </c>
      <c r="C2784" s="3">
        <f>HOUR(A2784)</f>
        <v/>
      </c>
      <c r="D2784" s="4" t="n">
        <v>26.09788521837222</v>
      </c>
      <c r="E2784" s="4" t="n"/>
      <c r="F2784" s="4" t="n">
        <v>29.14033308517222</v>
      </c>
      <c r="G2784" s="4" t="n">
        <v>19.7</v>
      </c>
      <c r="H2784" s="5" t="n">
        <v>50.58074682661667</v>
      </c>
      <c r="I2784" s="5" t="n"/>
      <c r="J2784" s="5" t="n">
        <v>48.45110363795833</v>
      </c>
      <c r="K2784" s="5" t="n">
        <v>84</v>
      </c>
    </row>
    <row r="2785">
      <c r="A2785" s="2" t="n">
        <v>46213.41666666666</v>
      </c>
      <c r="B2785">
        <f>TEXT(A2785,"yyyy-mm")</f>
        <v/>
      </c>
      <c r="C2785" s="3">
        <f>HOUR(A2785)</f>
        <v/>
      </c>
      <c r="D2785" s="4" t="n">
        <v>26.07727999854444</v>
      </c>
      <c r="E2785" s="4" t="n"/>
      <c r="F2785" s="4" t="n">
        <v>29.13605553195833</v>
      </c>
      <c r="G2785" s="4" t="n">
        <v>20</v>
      </c>
      <c r="H2785" s="5" t="n">
        <v>50.56855799551388</v>
      </c>
      <c r="I2785" s="5" t="n"/>
      <c r="J2785" s="5" t="n">
        <v>48.49405508172777</v>
      </c>
      <c r="K2785" s="5" t="n">
        <v>83</v>
      </c>
    </row>
    <row r="2786">
      <c r="A2786" s="2" t="n">
        <v>46213.45833333334</v>
      </c>
      <c r="B2786">
        <f>TEXT(A2786,"yyyy-mm")</f>
        <v/>
      </c>
      <c r="C2786" s="3">
        <f>HOUR(A2786)</f>
        <v/>
      </c>
      <c r="D2786" s="4" t="n">
        <v>26.02250638425</v>
      </c>
      <c r="E2786" s="4" t="n"/>
      <c r="F2786" s="4" t="n">
        <v>29.13577500495</v>
      </c>
      <c r="G2786" s="4" t="n">
        <v>20.4</v>
      </c>
      <c r="H2786" s="5" t="n">
        <v>51.44672834364167</v>
      </c>
      <c r="I2786" s="5" t="n"/>
      <c r="J2786" s="5" t="n">
        <v>48.69873681281667</v>
      </c>
      <c r="K2786" s="5" t="n">
        <v>79</v>
      </c>
    </row>
    <row r="2787">
      <c r="A2787" s="2" t="n">
        <v>46213.5</v>
      </c>
      <c r="B2787">
        <f>TEXT(A2787,"yyyy-mm")</f>
        <v/>
      </c>
      <c r="C2787" s="3">
        <f>HOUR(A2787)</f>
        <v/>
      </c>
      <c r="D2787" s="4" t="n">
        <v>26.01412886508611</v>
      </c>
      <c r="E2787" s="4" t="n"/>
      <c r="F2787" s="4" t="n">
        <v>29.13711361909166</v>
      </c>
      <c r="G2787" s="4" t="n">
        <v>19.5</v>
      </c>
      <c r="H2787" s="5" t="n">
        <v>51.7844357108639</v>
      </c>
      <c r="I2787" s="5" t="n"/>
      <c r="J2787" s="5" t="n">
        <v>48.87923893015833</v>
      </c>
      <c r="K2787" s="5" t="n">
        <v>91</v>
      </c>
    </row>
    <row r="2788">
      <c r="A2788" s="2" t="n">
        <v>46213.54166666666</v>
      </c>
      <c r="B2788">
        <f>TEXT(A2788,"yyyy-mm")</f>
        <v/>
      </c>
      <c r="C2788" s="3">
        <f>HOUR(A2788)</f>
        <v/>
      </c>
      <c r="D2788" s="4" t="n">
        <v>26.02009434956389</v>
      </c>
      <c r="E2788" s="4" t="n"/>
      <c r="F2788" s="4" t="n">
        <v>29.14078044149722</v>
      </c>
      <c r="G2788" s="4" t="n">
        <v>19.1</v>
      </c>
      <c r="H2788" s="5" t="n">
        <v>52.19466593125</v>
      </c>
      <c r="I2788" s="5" t="n"/>
      <c r="J2788" s="5" t="n">
        <v>49.04702999428056</v>
      </c>
      <c r="K2788" s="5" t="n">
        <v>90</v>
      </c>
    </row>
    <row r="2789">
      <c r="A2789" s="2" t="n">
        <v>46213.58333333334</v>
      </c>
      <c r="B2789">
        <f>TEXT(A2789,"yyyy-mm")</f>
        <v/>
      </c>
      <c r="C2789" s="3">
        <f>HOUR(A2789)</f>
        <v/>
      </c>
      <c r="D2789" s="4" t="n">
        <v>26.02007354531389</v>
      </c>
      <c r="E2789" s="4" t="n"/>
      <c r="F2789" s="4" t="n">
        <v>29.13550247327223</v>
      </c>
      <c r="G2789" s="4" t="n">
        <v>20.3</v>
      </c>
      <c r="H2789" s="5" t="n">
        <v>53.11759297485555</v>
      </c>
      <c r="I2789" s="5" t="n"/>
      <c r="J2789" s="5" t="n">
        <v>49.36821450257222</v>
      </c>
      <c r="K2789" s="5" t="n">
        <v>83</v>
      </c>
    </row>
    <row r="2790">
      <c r="A2790" s="2" t="n">
        <v>46213.625</v>
      </c>
      <c r="B2790">
        <f>TEXT(A2790,"yyyy-mm")</f>
        <v/>
      </c>
      <c r="C2790" s="3">
        <f>HOUR(A2790)</f>
        <v/>
      </c>
      <c r="D2790" s="4" t="n">
        <v>25.99409655285833</v>
      </c>
      <c r="E2790" s="4" t="n"/>
      <c r="F2790" s="4" t="n">
        <v>29.13760622045278</v>
      </c>
      <c r="G2790" s="4" t="n">
        <v>18.2</v>
      </c>
      <c r="H2790" s="5" t="n">
        <v>53.76756502945556</v>
      </c>
      <c r="I2790" s="5" t="n"/>
      <c r="J2790" s="5" t="n">
        <v>49.73377231694445</v>
      </c>
      <c r="K2790" s="5" t="n">
        <v>92</v>
      </c>
    </row>
    <row r="2791">
      <c r="A2791" s="2" t="n">
        <v>46213.66666666666</v>
      </c>
      <c r="B2791">
        <f>TEXT(A2791,"yyyy-mm")</f>
        <v/>
      </c>
      <c r="C2791" s="3">
        <f>HOUR(A2791)</f>
        <v/>
      </c>
      <c r="D2791" s="4" t="n">
        <v>25.91664607416389</v>
      </c>
      <c r="E2791" s="4" t="n"/>
      <c r="F2791" s="4" t="n">
        <v>29.13427782490277</v>
      </c>
      <c r="G2791" s="4" t="n">
        <v>18.5</v>
      </c>
      <c r="H2791" s="5" t="n">
        <v>53.82646783826667</v>
      </c>
      <c r="I2791" s="5" t="n"/>
      <c r="J2791" s="5" t="n">
        <v>49.96717962978611</v>
      </c>
      <c r="K2791" s="5" t="n">
        <v>92</v>
      </c>
    </row>
    <row r="2792">
      <c r="A2792" s="2" t="n">
        <v>46213.70833333334</v>
      </c>
      <c r="B2792">
        <f>TEXT(A2792,"yyyy-mm")</f>
        <v/>
      </c>
      <c r="C2792" s="3">
        <f>HOUR(A2792)</f>
        <v/>
      </c>
      <c r="D2792" s="4" t="n">
        <v>25.85657158589444</v>
      </c>
      <c r="E2792" s="4" t="n"/>
      <c r="F2792" s="4" t="n">
        <v>29.12225493557223</v>
      </c>
      <c r="G2792" s="4" t="n">
        <v>18.8</v>
      </c>
      <c r="H2792" s="5" t="n">
        <v>53.75590219436111</v>
      </c>
      <c r="I2792" s="5" t="n"/>
      <c r="J2792" s="5" t="n">
        <v>50.03970894737778</v>
      </c>
      <c r="K2792" s="5" t="n">
        <v>91</v>
      </c>
    </row>
    <row r="2793">
      <c r="A2793" s="2" t="n">
        <v>46213.75</v>
      </c>
      <c r="B2793">
        <f>TEXT(A2793,"yyyy-mm")</f>
        <v/>
      </c>
      <c r="C2793" s="3">
        <f>HOUR(A2793)</f>
        <v/>
      </c>
      <c r="D2793" s="4" t="n">
        <v>25.83672177495277</v>
      </c>
      <c r="E2793" s="4" t="n"/>
      <c r="F2793" s="4" t="n">
        <v>29.11306059109444</v>
      </c>
      <c r="G2793" s="4" t="n">
        <v>19.1</v>
      </c>
      <c r="H2793" s="5" t="n">
        <v>53.37911145250001</v>
      </c>
      <c r="I2793" s="5" t="n"/>
      <c r="J2793" s="5" t="n">
        <v>49.88012311966667</v>
      </c>
      <c r="K2793" s="5" t="n">
        <v>91</v>
      </c>
    </row>
    <row r="2794">
      <c r="A2794" s="2" t="n">
        <v>46213.79166666666</v>
      </c>
      <c r="B2794">
        <f>TEXT(A2794,"yyyy-mm")</f>
        <v/>
      </c>
      <c r="C2794" s="3">
        <f>HOUR(A2794)</f>
        <v/>
      </c>
      <c r="D2794" s="4" t="n">
        <v>25.78572650699167</v>
      </c>
      <c r="E2794" s="4" t="n"/>
      <c r="F2794" s="4" t="n">
        <v>29.10183071817222</v>
      </c>
      <c r="G2794" s="4" t="n">
        <v>18.7</v>
      </c>
      <c r="H2794" s="5" t="n">
        <v>53.11549294473056</v>
      </c>
      <c r="I2794" s="5" t="n"/>
      <c r="J2794" s="5" t="n">
        <v>49.78954331732778</v>
      </c>
      <c r="K2794" s="5" t="n">
        <v>92</v>
      </c>
    </row>
    <row r="2795">
      <c r="A2795" s="2" t="n">
        <v>46213.83333333334</v>
      </c>
      <c r="B2795">
        <f>TEXT(A2795,"yyyy-mm")</f>
        <v/>
      </c>
      <c r="C2795" s="3">
        <f>HOUR(A2795)</f>
        <v/>
      </c>
      <c r="D2795" s="4" t="n">
        <v>25.67635928981667</v>
      </c>
      <c r="E2795" s="4" t="n"/>
      <c r="F2795" s="4" t="n">
        <v>29.10767144479722</v>
      </c>
      <c r="G2795" s="4" t="n">
        <v>17.6</v>
      </c>
      <c r="H2795" s="5" t="n">
        <v>52.84083618458612</v>
      </c>
      <c r="I2795" s="5" t="n"/>
      <c r="J2795" s="5" t="n">
        <v>49.70108953017499</v>
      </c>
      <c r="K2795" s="5" t="n">
        <v>95</v>
      </c>
    </row>
    <row r="2796">
      <c r="A2796" s="2" t="n">
        <v>46213.875</v>
      </c>
      <c r="B2796">
        <f>TEXT(A2796,"yyyy-mm")</f>
        <v/>
      </c>
      <c r="C2796" s="3">
        <f>HOUR(A2796)</f>
        <v/>
      </c>
      <c r="D2796" s="4" t="n">
        <v>25.59023720078889</v>
      </c>
      <c r="E2796" s="4" t="n"/>
      <c r="F2796" s="4" t="n">
        <v>29.08431051390833</v>
      </c>
      <c r="G2796" s="4" t="n">
        <v>16.6</v>
      </c>
      <c r="H2796" s="5" t="n">
        <v>52.30481953156112</v>
      </c>
      <c r="I2796" s="5" t="n"/>
      <c r="J2796" s="5" t="n">
        <v>49.60310070954167</v>
      </c>
      <c r="K2796" s="5" t="n">
        <v>96</v>
      </c>
    </row>
    <row r="2797">
      <c r="A2797" s="2" t="n">
        <v>46213.91666666666</v>
      </c>
      <c r="B2797">
        <f>TEXT(A2797,"yyyy-mm")</f>
        <v/>
      </c>
      <c r="C2797" s="3">
        <f>HOUR(A2797)</f>
        <v/>
      </c>
      <c r="D2797" s="4" t="n">
        <v>25.52934787534167</v>
      </c>
      <c r="E2797" s="4" t="n"/>
      <c r="F2797" s="4" t="n">
        <v>29.06147480495278</v>
      </c>
      <c r="G2797" s="4" t="n">
        <v>16.2</v>
      </c>
      <c r="H2797" s="5" t="n">
        <v>51.93730423762778</v>
      </c>
      <c r="I2797" s="5" t="n"/>
      <c r="J2797" s="5" t="n">
        <v>49.50467134152501</v>
      </c>
      <c r="K2797" s="5" t="n">
        <v>97</v>
      </c>
    </row>
    <row r="2798">
      <c r="A2798" s="2" t="n">
        <v>46213.95833333334</v>
      </c>
      <c r="B2798">
        <f>TEXT(A2798,"yyyy-mm")</f>
        <v/>
      </c>
      <c r="C2798" s="3">
        <f>HOUR(A2798)</f>
        <v/>
      </c>
      <c r="D2798" s="4" t="n">
        <v>25.46333586370278</v>
      </c>
      <c r="E2798" s="4" t="n"/>
      <c r="F2798" s="4" t="n">
        <v>29.04542401608333</v>
      </c>
      <c r="G2798" s="4" t="n">
        <v>15.6</v>
      </c>
      <c r="H2798" s="5" t="n">
        <v>51.603551253475</v>
      </c>
      <c r="I2798" s="5" t="n"/>
      <c r="J2798" s="5" t="n">
        <v>49.39541113424445</v>
      </c>
      <c r="K2798" s="5" t="n">
        <v>97</v>
      </c>
    </row>
    <row r="2799">
      <c r="A2799" s="2" t="n">
        <v>46214</v>
      </c>
      <c r="B2799">
        <f>TEXT(A2799,"yyyy-mm")</f>
        <v/>
      </c>
      <c r="C2799" s="3">
        <f>HOUR(A2799)</f>
        <v/>
      </c>
      <c r="D2799" s="4" t="n">
        <v>25.40301852218611</v>
      </c>
      <c r="E2799" s="4" t="n"/>
      <c r="F2799" s="4" t="n">
        <v>29.03247482879167</v>
      </c>
      <c r="G2799" s="4" t="n">
        <v>15.1</v>
      </c>
      <c r="H2799" s="5" t="n">
        <v>51.22463596143611</v>
      </c>
      <c r="I2799" s="5" t="n"/>
      <c r="J2799" s="5" t="n">
        <v>49.30413588515833</v>
      </c>
      <c r="K2799" s="5" t="n">
        <v>98</v>
      </c>
    </row>
    <row r="2800">
      <c r="A2800" s="2" t="n">
        <v>46214.04166666666</v>
      </c>
      <c r="B2800">
        <f>TEXT(A2800,"yyyy-mm")</f>
        <v/>
      </c>
      <c r="C2800" s="3">
        <f>HOUR(A2800)</f>
        <v/>
      </c>
      <c r="D2800" s="4" t="n">
        <v>25.33271815026667</v>
      </c>
      <c r="E2800" s="4" t="n"/>
      <c r="F2800" s="4" t="n">
        <v>29.01475251434445</v>
      </c>
      <c r="G2800" s="4" t="n">
        <v>14.6</v>
      </c>
      <c r="H2800" s="5" t="n">
        <v>50.77606652263611</v>
      </c>
      <c r="I2800" s="5" t="n"/>
      <c r="J2800" s="5" t="n">
        <v>49.182622411675</v>
      </c>
      <c r="K2800" s="5" t="n">
        <v>98</v>
      </c>
    </row>
    <row r="2801">
      <c r="A2801" s="2" t="n">
        <v>46214.08333333334</v>
      </c>
      <c r="B2801">
        <f>TEXT(A2801,"yyyy-mm")</f>
        <v/>
      </c>
      <c r="C2801" s="3">
        <f>HOUR(A2801)</f>
        <v/>
      </c>
      <c r="D2801" s="4" t="n">
        <v>25.27376178997778</v>
      </c>
      <c r="E2801" s="4" t="n"/>
      <c r="F2801" s="4" t="n">
        <v>28.99858835633611</v>
      </c>
      <c r="G2801" s="4" t="n">
        <v>14.1</v>
      </c>
      <c r="H2801" s="5" t="n">
        <v>50.24167448946944</v>
      </c>
      <c r="I2801" s="5" t="n"/>
      <c r="J2801" s="5" t="n">
        <v>49.04147408225833</v>
      </c>
      <c r="K2801" s="5" t="n">
        <v>97</v>
      </c>
    </row>
    <row r="2802">
      <c r="A2802" s="2" t="n">
        <v>46214.125</v>
      </c>
      <c r="B2802">
        <f>TEXT(A2802,"yyyy-mm")</f>
        <v/>
      </c>
      <c r="C2802" s="3">
        <f>HOUR(A2802)</f>
        <v/>
      </c>
      <c r="D2802" s="4" t="n">
        <v>25.22893581809167</v>
      </c>
      <c r="E2802" s="4" t="n"/>
      <c r="F2802" s="4" t="n">
        <v>28.97422709115833</v>
      </c>
      <c r="G2802" s="4" t="n">
        <v>13.7</v>
      </c>
      <c r="H2802" s="5" t="n">
        <v>49.78794896524723</v>
      </c>
      <c r="I2802" s="5" t="n"/>
      <c r="J2802" s="5" t="n">
        <v>48.93036052991111</v>
      </c>
      <c r="K2802" s="5" t="n">
        <v>97</v>
      </c>
    </row>
    <row r="2803">
      <c r="A2803" s="2" t="n">
        <v>46214.16666666666</v>
      </c>
      <c r="B2803">
        <f>TEXT(A2803,"yyyy-mm")</f>
        <v/>
      </c>
      <c r="C2803" s="3">
        <f>HOUR(A2803)</f>
        <v/>
      </c>
      <c r="D2803" s="4" t="n">
        <v>25.18597542638611</v>
      </c>
      <c r="E2803" s="4" t="n"/>
      <c r="F2803" s="4" t="n">
        <v>28.96236591465278</v>
      </c>
      <c r="G2803" s="4" t="n">
        <v>13.3</v>
      </c>
      <c r="H2803" s="5" t="n">
        <v>49.3882414032361</v>
      </c>
      <c r="I2803" s="5" t="n"/>
      <c r="J2803" s="5" t="n">
        <v>48.79150903281945</v>
      </c>
      <c r="K2803" s="5" t="n">
        <v>98</v>
      </c>
    </row>
    <row r="2804">
      <c r="A2804" s="2" t="n">
        <v>46214.20833333334</v>
      </c>
      <c r="B2804">
        <f>TEXT(A2804,"yyyy-mm")</f>
        <v/>
      </c>
      <c r="C2804" s="3">
        <f>HOUR(A2804)</f>
        <v/>
      </c>
      <c r="D2804" s="4" t="n">
        <v>25.32223431897778</v>
      </c>
      <c r="E2804" s="4" t="n"/>
      <c r="F2804" s="4" t="n">
        <v>28.95397218418611</v>
      </c>
      <c r="G2804" s="4" t="n">
        <v>12.9</v>
      </c>
      <c r="H2804" s="5" t="n">
        <v>48.64783639584167</v>
      </c>
      <c r="I2804" s="5" t="n"/>
      <c r="J2804" s="5" t="n">
        <v>48.6453370078361</v>
      </c>
      <c r="K2804" s="5" t="n">
        <v>98</v>
      </c>
    </row>
    <row r="2805">
      <c r="A2805" s="2" t="n">
        <v>46214.25</v>
      </c>
      <c r="B2805">
        <f>TEXT(A2805,"yyyy-mm")</f>
        <v/>
      </c>
      <c r="C2805" s="3">
        <f>HOUR(A2805)</f>
        <v/>
      </c>
      <c r="D2805" s="4" t="n">
        <v>25.34911438311945</v>
      </c>
      <c r="E2805" s="4" t="n"/>
      <c r="F2805" s="4" t="n">
        <v>28.94014376326945</v>
      </c>
      <c r="G2805" s="4" t="n">
        <v>13.4</v>
      </c>
      <c r="H2805" s="5" t="n">
        <v>48.00046315760833</v>
      </c>
      <c r="I2805" s="5" t="n"/>
      <c r="J2805" s="5" t="n">
        <v>48.51753105499167</v>
      </c>
      <c r="K2805" s="5" t="n">
        <v>98</v>
      </c>
    </row>
    <row r="2806">
      <c r="A2806" s="2" t="n">
        <v>46214.29166666666</v>
      </c>
      <c r="B2806">
        <f>TEXT(A2806,"yyyy-mm")</f>
        <v/>
      </c>
      <c r="C2806" s="3">
        <f>HOUR(A2806)</f>
        <v/>
      </c>
      <c r="D2806" s="4" t="n">
        <v>25.513410526575</v>
      </c>
      <c r="E2806" s="4" t="n"/>
      <c r="F2806" s="4" t="n">
        <v>28.92963888201111</v>
      </c>
      <c r="G2806" s="4" t="n">
        <v>14.8</v>
      </c>
      <c r="H2806" s="5" t="n">
        <v>46.90373377453611</v>
      </c>
      <c r="I2806" s="5" t="n"/>
      <c r="J2806" s="5" t="n">
        <v>48.39289044226945</v>
      </c>
      <c r="K2806" s="5" t="n">
        <v>92</v>
      </c>
    </row>
    <row r="2807">
      <c r="A2807" s="2" t="n">
        <v>46214.33333333334</v>
      </c>
      <c r="B2807">
        <f>TEXT(A2807,"yyyy-mm")</f>
        <v/>
      </c>
      <c r="C2807" s="3">
        <f>HOUR(A2807)</f>
        <v/>
      </c>
      <c r="D2807" s="4" t="n">
        <v>26.26245960878612</v>
      </c>
      <c r="E2807" s="4" t="n"/>
      <c r="F2807" s="4" t="n">
        <v>28.92955546751667</v>
      </c>
      <c r="G2807" s="4" t="n">
        <v>16.2</v>
      </c>
      <c r="H2807" s="5" t="n">
        <v>45.58276770359444</v>
      </c>
      <c r="I2807" s="5" t="n"/>
      <c r="J2807" s="5" t="n">
        <v>48.32956285584723</v>
      </c>
      <c r="K2807" s="5" t="n">
        <v>85</v>
      </c>
    </row>
    <row r="2808">
      <c r="A2808" s="2" t="n">
        <v>46214.375</v>
      </c>
      <c r="B2808">
        <f>TEXT(A2808,"yyyy-mm")</f>
        <v/>
      </c>
      <c r="C2808" s="3">
        <f>HOUR(A2808)</f>
        <v/>
      </c>
      <c r="D2808" s="4" t="n">
        <v>26.94804506481389</v>
      </c>
      <c r="E2808" s="4" t="n"/>
      <c r="F2808" s="4" t="n">
        <v>28.94948841448056</v>
      </c>
      <c r="G2808" s="4" t="n">
        <v>17.4</v>
      </c>
      <c r="H2808" s="5" t="n">
        <v>44.72006335551944</v>
      </c>
      <c r="I2808" s="5" t="n"/>
      <c r="J2808" s="5" t="n">
        <v>48.2682719312</v>
      </c>
      <c r="K2808" s="5" t="n">
        <v>77</v>
      </c>
    </row>
    <row r="2809">
      <c r="A2809" s="2" t="n">
        <v>46214.41666666666</v>
      </c>
      <c r="B2809">
        <f>TEXT(A2809,"yyyy-mm")</f>
        <v/>
      </c>
      <c r="C2809" s="3">
        <f>HOUR(A2809)</f>
        <v/>
      </c>
      <c r="D2809" s="4" t="n">
        <v>26.91631714324722</v>
      </c>
      <c r="E2809" s="4" t="n"/>
      <c r="F2809" s="4" t="n">
        <v>28.97846759589167</v>
      </c>
      <c r="G2809" s="4" t="n">
        <v>18.8</v>
      </c>
      <c r="H2809" s="5" t="n">
        <v>45.03228612922222</v>
      </c>
      <c r="I2809" s="5" t="n"/>
      <c r="J2809" s="5" t="n">
        <v>48.17310518333056</v>
      </c>
      <c r="K2809" s="5" t="n">
        <v>67</v>
      </c>
    </row>
    <row r="2810">
      <c r="A2810" s="2" t="n">
        <v>46214.45833333334</v>
      </c>
      <c r="B2810">
        <f>TEXT(A2810,"yyyy-mm")</f>
        <v/>
      </c>
      <c r="C2810" s="3">
        <f>HOUR(A2810)</f>
        <v/>
      </c>
      <c r="D2810" s="4" t="n">
        <v>26.79759026434286</v>
      </c>
      <c r="E2810" s="4" t="n"/>
      <c r="F2810" s="4" t="n">
        <v>29.00090014568571</v>
      </c>
      <c r="G2810" s="4" t="n">
        <v>20.1</v>
      </c>
      <c r="H2810" s="5" t="n">
        <v>45.09975132956666</v>
      </c>
      <c r="I2810" s="5" t="n"/>
      <c r="J2810" s="5" t="n">
        <v>48.10843342060001</v>
      </c>
      <c r="K2810" s="5" t="n">
        <v>60</v>
      </c>
    </row>
    <row r="2811">
      <c r="A2811" s="2" t="n">
        <v>46214.5</v>
      </c>
      <c r="B2811">
        <f>TEXT(A2811,"yyyy-mm")</f>
        <v/>
      </c>
      <c r="C2811" s="3">
        <f>HOUR(A2811)</f>
        <v/>
      </c>
      <c r="D2811" s="4" t="n"/>
      <c r="E2811" s="4" t="n"/>
      <c r="F2811" s="4" t="n"/>
      <c r="G2811" s="4" t="n">
        <v>20.6</v>
      </c>
      <c r="H2811" s="5" t="n"/>
      <c r="I2811" s="5" t="n"/>
      <c r="J2811" s="5" t="n"/>
      <c r="K2811" s="5" t="n">
        <v>58</v>
      </c>
    </row>
    <row r="2812">
      <c r="A2812" s="2" t="n">
        <v>46214.54166666666</v>
      </c>
      <c r="B2812">
        <f>TEXT(A2812,"yyyy-mm")</f>
        <v/>
      </c>
      <c r="C2812" s="3">
        <f>HOUR(A2812)</f>
        <v/>
      </c>
      <c r="D2812" s="4" t="n"/>
      <c r="E2812" s="4" t="n"/>
      <c r="F2812" s="4" t="n"/>
      <c r="G2812" s="4" t="n">
        <v>21.5</v>
      </c>
      <c r="H2812" s="5" t="n"/>
      <c r="I2812" s="5" t="n"/>
      <c r="J2812" s="5" t="n"/>
      <c r="K2812" s="5" t="n">
        <v>61</v>
      </c>
    </row>
    <row r="2813">
      <c r="A2813" s="2" t="n">
        <v>46214.58333333334</v>
      </c>
      <c r="B2813">
        <f>TEXT(A2813,"yyyy-mm")</f>
        <v/>
      </c>
      <c r="C2813" s="3">
        <f>HOUR(A2813)</f>
        <v/>
      </c>
      <c r="D2813" s="4" t="n"/>
      <c r="E2813" s="4" t="n"/>
      <c r="F2813" s="4" t="n"/>
      <c r="G2813" s="4" t="n">
        <v>21.7</v>
      </c>
      <c r="H2813" s="5" t="n"/>
      <c r="I2813" s="5" t="n"/>
      <c r="J2813" s="5" t="n"/>
      <c r="K2813" s="5" t="n">
        <v>60</v>
      </c>
    </row>
    <row r="2814">
      <c r="A2814" s="2" t="n">
        <v>46214.625</v>
      </c>
      <c r="B2814">
        <f>TEXT(A2814,"yyyy-mm")</f>
        <v/>
      </c>
      <c r="C2814" s="3">
        <f>HOUR(A2814)</f>
        <v/>
      </c>
      <c r="D2814" s="4" t="n"/>
      <c r="E2814" s="4" t="n"/>
      <c r="F2814" s="4" t="n"/>
      <c r="G2814" s="4" t="n">
        <v>20</v>
      </c>
      <c r="H2814" s="5" t="n"/>
      <c r="I2814" s="5" t="n"/>
      <c r="J2814" s="5" t="n"/>
      <c r="K2814" s="5" t="n">
        <v>67</v>
      </c>
    </row>
    <row r="2815">
      <c r="A2815" s="2" t="n">
        <v>46214.66666666666</v>
      </c>
      <c r="B2815">
        <f>TEXT(A2815,"yyyy-mm")</f>
        <v/>
      </c>
      <c r="C2815" s="3">
        <f>HOUR(A2815)</f>
        <v/>
      </c>
      <c r="D2815" s="4" t="n"/>
      <c r="E2815" s="4" t="n"/>
      <c r="F2815" s="4" t="n"/>
      <c r="G2815" s="4" t="n">
        <v>17.1</v>
      </c>
      <c r="H2815" s="5" t="n"/>
      <c r="I2815" s="5" t="n"/>
      <c r="J2815" s="5" t="n"/>
      <c r="K2815" s="5" t="n">
        <v>87</v>
      </c>
    </row>
    <row r="2816">
      <c r="A2816" s="2" t="n">
        <v>46214.70833333334</v>
      </c>
      <c r="B2816">
        <f>TEXT(A2816,"yyyy-mm")</f>
        <v/>
      </c>
      <c r="C2816" s="3">
        <f>HOUR(A2816)</f>
        <v/>
      </c>
      <c r="D2816" s="4" t="n">
        <v>26.00011487984052</v>
      </c>
      <c r="E2816" s="4" t="n"/>
      <c r="F2816" s="4" t="n">
        <v>27.58245261293052</v>
      </c>
      <c r="G2816" s="4" t="n">
        <v>18.4</v>
      </c>
      <c r="H2816" s="5" t="n">
        <v>44.14675206220206</v>
      </c>
      <c r="I2816" s="5" t="n"/>
      <c r="J2816" s="5" t="n">
        <v>49.57311442300316</v>
      </c>
      <c r="K2816" s="5" t="n">
        <v>82</v>
      </c>
    </row>
    <row r="2817">
      <c r="A2817" s="2" t="n">
        <v>46214.75</v>
      </c>
      <c r="B2817">
        <f>TEXT(A2817,"yyyy-mm")</f>
        <v/>
      </c>
      <c r="C2817" s="3">
        <f>HOUR(A2817)</f>
        <v/>
      </c>
      <c r="D2817" s="4" t="n">
        <v>26.05536985612222</v>
      </c>
      <c r="E2817" s="4" t="n"/>
      <c r="F2817" s="4" t="n">
        <v>28.00114312313333</v>
      </c>
      <c r="G2817" s="4" t="n">
        <v>18.9</v>
      </c>
      <c r="H2817" s="5" t="n">
        <v>43.55742328367222</v>
      </c>
      <c r="I2817" s="5" t="n"/>
      <c r="J2817" s="5" t="n">
        <v>48.50656853434166</v>
      </c>
      <c r="K2817" s="5" t="n">
        <v>75</v>
      </c>
    </row>
    <row r="2818">
      <c r="A2818" s="2" t="n">
        <v>46214.79166666666</v>
      </c>
      <c r="B2818">
        <f>TEXT(A2818,"yyyy-mm")</f>
        <v/>
      </c>
      <c r="C2818" s="3">
        <f>HOUR(A2818)</f>
        <v/>
      </c>
      <c r="D2818" s="4" t="n">
        <v>26.07590033663889</v>
      </c>
      <c r="E2818" s="4" t="n"/>
      <c r="F2818" s="4" t="n">
        <v>28.11606783795834</v>
      </c>
      <c r="G2818" s="4" t="n">
        <v>18.9</v>
      </c>
      <c r="H2818" s="5" t="n">
        <v>43.23608357250833</v>
      </c>
      <c r="I2818" s="5" t="n"/>
      <c r="J2818" s="5" t="n">
        <v>48.12034140596111</v>
      </c>
      <c r="K2818" s="5" t="n">
        <v>75</v>
      </c>
    </row>
    <row r="2819">
      <c r="A2819" s="2" t="n">
        <v>46214.83333333334</v>
      </c>
      <c r="B2819">
        <f>TEXT(A2819,"yyyy-mm")</f>
        <v/>
      </c>
      <c r="C2819" s="3">
        <f>HOUR(A2819)</f>
        <v/>
      </c>
      <c r="D2819" s="4" t="n">
        <v>25.99098133231945</v>
      </c>
      <c r="E2819" s="4" t="n"/>
      <c r="F2819" s="4" t="n">
        <v>28.17720470692778</v>
      </c>
      <c r="G2819" s="4" t="n">
        <v>18.3</v>
      </c>
      <c r="H2819" s="5" t="n">
        <v>43.90222677358611</v>
      </c>
      <c r="I2819" s="5" t="n"/>
      <c r="J2819" s="5" t="n">
        <v>47.98113018425278</v>
      </c>
      <c r="K2819" s="5" t="n">
        <v>80</v>
      </c>
    </row>
    <row r="2820">
      <c r="A2820" s="2" t="n">
        <v>46214.875</v>
      </c>
      <c r="B2820">
        <f>TEXT(A2820,"yyyy-mm")</f>
        <v/>
      </c>
      <c r="C2820" s="3">
        <f>HOUR(A2820)</f>
        <v/>
      </c>
      <c r="D2820" s="4" t="n">
        <v>25.79551558823333</v>
      </c>
      <c r="E2820" s="4" t="n"/>
      <c r="F2820" s="4" t="n">
        <v>28.20938342363611</v>
      </c>
      <c r="G2820" s="4" t="n">
        <v>17.3</v>
      </c>
      <c r="H2820" s="5" t="n">
        <v>44.03075854827223</v>
      </c>
      <c r="I2820" s="5" t="n"/>
      <c r="J2820" s="5" t="n">
        <v>47.89506624895833</v>
      </c>
      <c r="K2820" s="5" t="n">
        <v>83</v>
      </c>
    </row>
    <row r="2821">
      <c r="A2821" s="2" t="n">
        <v>46214.91666666666</v>
      </c>
      <c r="B2821">
        <f>TEXT(A2821,"yyyy-mm")</f>
        <v/>
      </c>
      <c r="C2821" s="3">
        <f>HOUR(A2821)</f>
        <v/>
      </c>
      <c r="D2821" s="4" t="n">
        <v>25.65197314616389</v>
      </c>
      <c r="E2821" s="4" t="n"/>
      <c r="F2821" s="4" t="n">
        <v>28.19904138344722</v>
      </c>
      <c r="G2821" s="4" t="n">
        <v>16.6</v>
      </c>
      <c r="H2821" s="5" t="n">
        <v>44.14153794617778</v>
      </c>
      <c r="I2821" s="5" t="n"/>
      <c r="J2821" s="5" t="n">
        <v>47.86200064843612</v>
      </c>
      <c r="K2821" s="5" t="n">
        <v>85</v>
      </c>
    </row>
    <row r="2822">
      <c r="A2822" s="2" t="n">
        <v>46214.95833333334</v>
      </c>
      <c r="B2822">
        <f>TEXT(A2822,"yyyy-mm")</f>
        <v/>
      </c>
      <c r="C2822" s="3">
        <f>HOUR(A2822)</f>
        <v/>
      </c>
      <c r="D2822" s="4" t="n">
        <v>25.55060159640556</v>
      </c>
      <c r="E2822" s="4" t="n"/>
      <c r="F2822" s="4" t="n">
        <v>28.167477055575</v>
      </c>
      <c r="G2822" s="4" t="n">
        <v>15.9</v>
      </c>
      <c r="H2822" s="5" t="n">
        <v>44.02785494460556</v>
      </c>
      <c r="I2822" s="5" t="n"/>
      <c r="J2822" s="5" t="n">
        <v>47.83312590636111</v>
      </c>
      <c r="K2822" s="5" t="n">
        <v>86</v>
      </c>
    </row>
    <row r="2823">
      <c r="A2823" s="2" t="n">
        <v>46215</v>
      </c>
      <c r="B2823">
        <f>TEXT(A2823,"yyyy-mm")</f>
        <v/>
      </c>
      <c r="C2823" s="3">
        <f>HOUR(A2823)</f>
        <v/>
      </c>
      <c r="D2823" s="4" t="n">
        <v>25.45697195296389</v>
      </c>
      <c r="E2823" s="4" t="n"/>
      <c r="F2823" s="4" t="n">
        <v>28.15000258431667</v>
      </c>
      <c r="G2823" s="4" t="n">
        <v>15.2</v>
      </c>
      <c r="H2823" s="5" t="n">
        <v>44.15661947045</v>
      </c>
      <c r="I2823" s="5" t="n"/>
      <c r="J2823" s="5" t="n">
        <v>47.79759076915</v>
      </c>
      <c r="K2823" s="5" t="n">
        <v>89</v>
      </c>
    </row>
    <row r="2824">
      <c r="A2824" s="2" t="n">
        <v>46215.04166666666</v>
      </c>
      <c r="B2824">
        <f>TEXT(A2824,"yyyy-mm")</f>
        <v/>
      </c>
      <c r="C2824" s="3">
        <f>HOUR(A2824)</f>
        <v/>
      </c>
      <c r="D2824" s="4" t="n">
        <v>25.37203792057222</v>
      </c>
      <c r="E2824" s="4" t="n"/>
      <c r="F2824" s="4" t="n">
        <v>28.13558608511667</v>
      </c>
      <c r="G2824" s="4" t="n">
        <v>14.6</v>
      </c>
      <c r="H2824" s="5" t="n">
        <v>44.15699457057223</v>
      </c>
      <c r="I2824" s="5" t="n"/>
      <c r="J2824" s="5" t="n">
        <v>47.73960152649445</v>
      </c>
      <c r="K2824" s="5" t="n">
        <v>91</v>
      </c>
    </row>
    <row r="2825">
      <c r="A2825" s="2" t="n">
        <v>46215.08333333334</v>
      </c>
      <c r="B2825">
        <f>TEXT(A2825,"yyyy-mm")</f>
        <v/>
      </c>
      <c r="C2825" s="3">
        <f>HOUR(A2825)</f>
        <v/>
      </c>
      <c r="D2825" s="4" t="n">
        <v>25.30424827709444</v>
      </c>
      <c r="E2825" s="4" t="n"/>
      <c r="F2825" s="4" t="n">
        <v>28.12128248664722</v>
      </c>
      <c r="G2825" s="4" t="n">
        <v>14.2</v>
      </c>
      <c r="H2825" s="5" t="n">
        <v>44.28654489395556</v>
      </c>
      <c r="I2825" s="5" t="n"/>
      <c r="J2825" s="5" t="n">
        <v>47.70294629640279</v>
      </c>
      <c r="K2825" s="5" t="n">
        <v>92</v>
      </c>
    </row>
    <row r="2826">
      <c r="A2826" s="2" t="n">
        <v>46215.125</v>
      </c>
      <c r="B2826">
        <f>TEXT(A2826,"yyyy-mm")</f>
        <v/>
      </c>
      <c r="C2826" s="3">
        <f>HOUR(A2826)</f>
        <v/>
      </c>
      <c r="D2826" s="4" t="n">
        <v>25.23707885209722</v>
      </c>
      <c r="E2826" s="4" t="n"/>
      <c r="F2826" s="4" t="n">
        <v>28.10272486673055</v>
      </c>
      <c r="G2826" s="4" t="n">
        <v>13.8</v>
      </c>
      <c r="H2826" s="5" t="n">
        <v>44.2142320291</v>
      </c>
      <c r="I2826" s="5" t="n"/>
      <c r="J2826" s="5" t="n">
        <v>47.66759840974167</v>
      </c>
      <c r="K2826" s="5" t="n">
        <v>92</v>
      </c>
    </row>
    <row r="2827">
      <c r="A2827" s="2" t="n">
        <v>46215.16666666666</v>
      </c>
      <c r="B2827">
        <f>TEXT(A2827,"yyyy-mm")</f>
        <v/>
      </c>
      <c r="C2827" s="3">
        <f>HOUR(A2827)</f>
        <v/>
      </c>
      <c r="D2827" s="4" t="n">
        <v>25.20522105144444</v>
      </c>
      <c r="E2827" s="4" t="n"/>
      <c r="F2827" s="4" t="n">
        <v>28.08989392856944</v>
      </c>
      <c r="G2827" s="4" t="n">
        <v>13.7</v>
      </c>
      <c r="H2827" s="5" t="n">
        <v>43.85587863523889</v>
      </c>
      <c r="I2827" s="5" t="n"/>
      <c r="J2827" s="5" t="n">
        <v>47.58968959806111</v>
      </c>
      <c r="K2827" s="5" t="n">
        <v>92</v>
      </c>
    </row>
    <row r="2828">
      <c r="A2828" s="2" t="n">
        <v>46215.20833333334</v>
      </c>
      <c r="B2828">
        <f>TEXT(A2828,"yyyy-mm")</f>
        <v/>
      </c>
      <c r="C2828" s="3">
        <f>HOUR(A2828)</f>
        <v/>
      </c>
      <c r="D2828" s="4" t="n">
        <v>25.21045565002778</v>
      </c>
      <c r="E2828" s="4" t="n"/>
      <c r="F2828" s="4" t="n">
        <v>28.07461353545555</v>
      </c>
      <c r="G2828" s="4" t="n">
        <v>13.6</v>
      </c>
      <c r="H2828" s="5" t="n">
        <v>43.80050112093611</v>
      </c>
      <c r="I2828" s="5" t="n"/>
      <c r="J2828" s="5" t="n">
        <v>47.53178509996111</v>
      </c>
      <c r="K2828" s="5" t="n">
        <v>92</v>
      </c>
    </row>
    <row r="2829">
      <c r="A2829" s="2" t="n">
        <v>46215.25</v>
      </c>
      <c r="B2829">
        <f>TEXT(A2829,"yyyy-mm")</f>
        <v/>
      </c>
      <c r="C2829" s="3">
        <f>HOUR(A2829)</f>
        <v/>
      </c>
      <c r="D2829" s="4" t="n">
        <v>25.16943529532222</v>
      </c>
      <c r="E2829" s="4" t="n"/>
      <c r="F2829" s="4" t="n">
        <v>28.05839416958611</v>
      </c>
      <c r="G2829" s="4" t="n">
        <v>14.1</v>
      </c>
      <c r="H2829" s="5" t="n">
        <v>44.1870854984</v>
      </c>
      <c r="I2829" s="5" t="n"/>
      <c r="J2829" s="5" t="n">
        <v>47.52885863095278</v>
      </c>
      <c r="K2829" s="5" t="n">
        <v>91</v>
      </c>
    </row>
    <row r="2830">
      <c r="A2830" s="2" t="n">
        <v>46215.29166666666</v>
      </c>
      <c r="B2830">
        <f>TEXT(A2830,"yyyy-mm")</f>
        <v/>
      </c>
      <c r="C2830" s="3">
        <f>HOUR(A2830)</f>
        <v/>
      </c>
      <c r="D2830" s="4" t="n">
        <v>25.09737729113919</v>
      </c>
      <c r="E2830" s="4" t="n"/>
      <c r="F2830" s="4" t="n">
        <v>27.92264659347144</v>
      </c>
      <c r="G2830" s="4" t="n">
        <v>14.3</v>
      </c>
      <c r="H2830" s="5" t="n">
        <v>44.8441941953275</v>
      </c>
      <c r="I2830" s="5" t="n"/>
      <c r="J2830" s="5" t="n">
        <v>47.78998640610484</v>
      </c>
      <c r="K2830" s="5" t="n">
        <v>93</v>
      </c>
    </row>
    <row r="2831">
      <c r="A2831" s="2" t="n">
        <v>46215.33333333334</v>
      </c>
      <c r="B2831">
        <f>TEXT(A2831,"yyyy-mm")</f>
        <v/>
      </c>
      <c r="C2831" s="3">
        <f>HOUR(A2831)</f>
        <v/>
      </c>
      <c r="D2831" s="4" t="n">
        <v>25.32434876693889</v>
      </c>
      <c r="E2831" s="4" t="n"/>
      <c r="F2831" s="4" t="n">
        <v>27.97155095973611</v>
      </c>
      <c r="G2831" s="4" t="n">
        <v>14.9</v>
      </c>
      <c r="H2831" s="5" t="n">
        <v>44.55932939848333</v>
      </c>
      <c r="I2831" s="5" t="n"/>
      <c r="J2831" s="5" t="n">
        <v>47.703445283675</v>
      </c>
      <c r="K2831" s="5" t="n">
        <v>94</v>
      </c>
    </row>
    <row r="2832">
      <c r="A2832" s="2" t="n">
        <v>46215.375</v>
      </c>
      <c r="B2832">
        <f>TEXT(A2832,"yyyy-mm")</f>
        <v/>
      </c>
      <c r="C2832" s="3">
        <f>HOUR(A2832)</f>
        <v/>
      </c>
      <c r="D2832" s="4" t="n">
        <v>26.42423281014722</v>
      </c>
      <c r="E2832" s="4" t="n"/>
      <c r="F2832" s="4" t="n">
        <v>28.02135450555</v>
      </c>
      <c r="G2832" s="4" t="n">
        <v>15.9</v>
      </c>
      <c r="H2832" s="5" t="n">
        <v>42.69325075789167</v>
      </c>
      <c r="I2832" s="5" t="n"/>
      <c r="J2832" s="5" t="n">
        <v>47.56346413741389</v>
      </c>
      <c r="K2832" s="5" t="n">
        <v>87</v>
      </c>
    </row>
    <row r="2833">
      <c r="A2833" s="2" t="n">
        <v>46215.41666666666</v>
      </c>
      <c r="B2833">
        <f>TEXT(A2833,"yyyy-mm")</f>
        <v/>
      </c>
      <c r="C2833" s="3">
        <f>HOUR(A2833)</f>
        <v/>
      </c>
      <c r="D2833" s="4" t="n">
        <v>26.58742952955416</v>
      </c>
      <c r="E2833" s="4" t="n"/>
      <c r="F2833" s="4" t="n">
        <v>28.043760964325</v>
      </c>
      <c r="G2833" s="4" t="n">
        <v>17.4</v>
      </c>
      <c r="H2833" s="5" t="n">
        <v>43.12743363120833</v>
      </c>
      <c r="I2833" s="5" t="n"/>
      <c r="J2833" s="5" t="n">
        <v>47.56751073846667</v>
      </c>
      <c r="K2833" s="5" t="n">
        <v>80</v>
      </c>
    </row>
    <row r="2834">
      <c r="A2834" s="2" t="n">
        <v>46215.45833333334</v>
      </c>
      <c r="B2834">
        <f>TEXT(A2834,"yyyy-mm")</f>
        <v/>
      </c>
      <c r="C2834" s="3">
        <f>HOUR(A2834)</f>
        <v/>
      </c>
      <c r="D2834" s="4" t="n"/>
      <c r="E2834" s="4" t="n"/>
      <c r="F2834" s="4" t="n"/>
      <c r="G2834" s="4" t="n">
        <v>18.8</v>
      </c>
      <c r="H2834" s="5" t="n"/>
      <c r="I2834" s="5" t="n"/>
      <c r="J2834" s="5" t="n"/>
      <c r="K2834" s="5" t="n">
        <v>76</v>
      </c>
    </row>
    <row r="2835">
      <c r="A2835" s="2" t="n">
        <v>46215.5</v>
      </c>
      <c r="B2835">
        <f>TEXT(A2835,"yyyy-mm")</f>
        <v/>
      </c>
      <c r="C2835" s="3">
        <f>HOUR(A2835)</f>
        <v/>
      </c>
      <c r="D2835" s="4" t="n"/>
      <c r="E2835" s="4" t="n"/>
      <c r="F2835" s="4" t="n"/>
      <c r="G2835" s="4" t="n">
        <v>20.1</v>
      </c>
      <c r="H2835" s="5" t="n"/>
      <c r="I2835" s="5" t="n"/>
      <c r="J2835" s="5" t="n"/>
      <c r="K2835" s="5" t="n">
        <v>67</v>
      </c>
    </row>
    <row r="2836">
      <c r="A2836" s="2" t="n">
        <v>46215.54166666666</v>
      </c>
      <c r="B2836">
        <f>TEXT(A2836,"yyyy-mm")</f>
        <v/>
      </c>
      <c r="C2836" s="3">
        <f>HOUR(A2836)</f>
        <v/>
      </c>
      <c r="D2836" s="4" t="n"/>
      <c r="E2836" s="4" t="n"/>
      <c r="F2836" s="4" t="n"/>
      <c r="G2836" s="4" t="n">
        <v>19.9</v>
      </c>
      <c r="H2836" s="5" t="n"/>
      <c r="I2836" s="5" t="n"/>
      <c r="J2836" s="5" t="n"/>
      <c r="K2836" s="5" t="n">
        <v>64</v>
      </c>
    </row>
    <row r="2837">
      <c r="A2837" s="2" t="n">
        <v>46215.58333333334</v>
      </c>
      <c r="B2837">
        <f>TEXT(A2837,"yyyy-mm")</f>
        <v/>
      </c>
      <c r="C2837" s="3">
        <f>HOUR(A2837)</f>
        <v/>
      </c>
      <c r="D2837" s="4" t="n"/>
      <c r="E2837" s="4" t="n"/>
      <c r="F2837" s="4" t="n"/>
      <c r="G2837" s="4" t="n">
        <v>20.9</v>
      </c>
      <c r="H2837" s="5" t="n"/>
      <c r="I2837" s="5" t="n"/>
      <c r="J2837" s="5" t="n"/>
      <c r="K2837" s="5" t="n">
        <v>60</v>
      </c>
    </row>
    <row r="2838">
      <c r="A2838" s="2" t="n">
        <v>46215.625</v>
      </c>
      <c r="B2838">
        <f>TEXT(A2838,"yyyy-mm")</f>
        <v/>
      </c>
      <c r="C2838" s="3">
        <f>HOUR(A2838)</f>
        <v/>
      </c>
      <c r="D2838" s="4" t="n"/>
      <c r="E2838" s="4" t="n"/>
      <c r="F2838" s="4" t="n"/>
      <c r="G2838" s="4" t="n">
        <v>21.1</v>
      </c>
      <c r="H2838" s="5" t="n"/>
      <c r="I2838" s="5" t="n"/>
      <c r="J2838" s="5" t="n"/>
      <c r="K2838" s="5" t="n">
        <v>61</v>
      </c>
    </row>
    <row r="2839">
      <c r="A2839" s="2" t="n">
        <v>46215.66666666666</v>
      </c>
      <c r="B2839">
        <f>TEXT(A2839,"yyyy-mm")</f>
        <v/>
      </c>
      <c r="C2839" s="3">
        <f>HOUR(A2839)</f>
        <v/>
      </c>
      <c r="D2839" s="4" t="n"/>
      <c r="E2839" s="4" t="n"/>
      <c r="F2839" s="4" t="n"/>
      <c r="G2839" s="4" t="n">
        <v>21.3</v>
      </c>
      <c r="H2839" s="5" t="n"/>
      <c r="I2839" s="5" t="n"/>
      <c r="J2839" s="5" t="n"/>
      <c r="K2839" s="5" t="n">
        <v>56</v>
      </c>
    </row>
    <row r="2840">
      <c r="A2840" s="2" t="n">
        <v>46215.70833333334</v>
      </c>
      <c r="B2840">
        <f>TEXT(A2840,"yyyy-mm")</f>
        <v/>
      </c>
      <c r="C2840" s="3">
        <f>HOUR(A2840)</f>
        <v/>
      </c>
      <c r="D2840" s="4" t="n"/>
      <c r="E2840" s="4" t="n"/>
      <c r="F2840" s="4" t="n"/>
      <c r="G2840" s="4" t="n">
        <v>21.4</v>
      </c>
      <c r="H2840" s="5" t="n"/>
      <c r="I2840" s="5" t="n"/>
      <c r="J2840" s="5" t="n"/>
      <c r="K2840" s="5" t="n">
        <v>55</v>
      </c>
    </row>
    <row r="2841">
      <c r="A2841" s="2" t="n">
        <v>46215.75</v>
      </c>
      <c r="B2841">
        <f>TEXT(A2841,"yyyy-mm")</f>
        <v/>
      </c>
      <c r="C2841" s="3">
        <f>HOUR(A2841)</f>
        <v/>
      </c>
      <c r="D2841" s="4" t="n">
        <v>25.86006793336493</v>
      </c>
      <c r="E2841" s="4" t="n"/>
      <c r="F2841" s="4" t="n">
        <v>27.56941418694861</v>
      </c>
      <c r="G2841" s="4" t="n">
        <v>20.9</v>
      </c>
      <c r="H2841" s="5" t="n">
        <v>43.10574451749926</v>
      </c>
      <c r="I2841" s="5" t="n"/>
      <c r="J2841" s="5" t="n">
        <v>47.98284363818207</v>
      </c>
      <c r="K2841" s="5" t="n">
        <v>58</v>
      </c>
    </row>
    <row r="2842">
      <c r="A2842" s="2" t="n">
        <v>46215.79166666666</v>
      </c>
      <c r="B2842">
        <f>TEXT(A2842,"yyyy-mm")</f>
        <v/>
      </c>
      <c r="C2842" s="3">
        <f>HOUR(A2842)</f>
        <v/>
      </c>
      <c r="D2842" s="4" t="n">
        <v>25.923806163375</v>
      </c>
      <c r="E2842" s="4" t="n"/>
      <c r="F2842" s="4" t="n">
        <v>27.71224099689445</v>
      </c>
      <c r="G2842" s="4" t="n">
        <v>20.2</v>
      </c>
      <c r="H2842" s="5" t="n">
        <v>42.57889798445</v>
      </c>
      <c r="I2842" s="5" t="n"/>
      <c r="J2842" s="5" t="n">
        <v>47.69587402402222</v>
      </c>
      <c r="K2842" s="5" t="n">
        <v>65</v>
      </c>
    </row>
    <row r="2843">
      <c r="A2843" s="2" t="n">
        <v>46215.83333333334</v>
      </c>
      <c r="B2843">
        <f>TEXT(A2843,"yyyy-mm")</f>
        <v/>
      </c>
      <c r="C2843" s="3">
        <f>HOUR(A2843)</f>
        <v/>
      </c>
      <c r="D2843" s="4" t="n">
        <v>25.86186035138889</v>
      </c>
      <c r="E2843" s="4" t="n"/>
      <c r="F2843" s="4" t="n">
        <v>27.75565136039722</v>
      </c>
      <c r="G2843" s="4" t="n">
        <v>19</v>
      </c>
      <c r="H2843" s="5" t="n">
        <v>42.91467328681389</v>
      </c>
      <c r="I2843" s="5" t="n"/>
      <c r="J2843" s="5" t="n">
        <v>47.65220979191944</v>
      </c>
      <c r="K2843" s="5" t="n">
        <v>72</v>
      </c>
    </row>
    <row r="2844">
      <c r="A2844" s="2" t="n">
        <v>46215.875</v>
      </c>
      <c r="B2844">
        <f>TEXT(A2844,"yyyy-mm")</f>
        <v/>
      </c>
      <c r="C2844" s="3">
        <f>HOUR(A2844)</f>
        <v/>
      </c>
      <c r="D2844" s="4" t="n">
        <v>25.67144498803611</v>
      </c>
      <c r="E2844" s="4" t="n"/>
      <c r="F2844" s="4" t="n">
        <v>27.78496192601945</v>
      </c>
      <c r="G2844" s="4" t="n">
        <v>18</v>
      </c>
      <c r="H2844" s="5" t="n">
        <v>43.60392247186112</v>
      </c>
      <c r="I2844" s="5" t="n"/>
      <c r="J2844" s="5" t="n">
        <v>47.63412831021945</v>
      </c>
      <c r="K2844" s="5" t="n">
        <v>76</v>
      </c>
    </row>
    <row r="2845">
      <c r="A2845" s="2" t="n">
        <v>46215.91666666666</v>
      </c>
      <c r="B2845">
        <f>TEXT(A2845,"yyyy-mm")</f>
        <v/>
      </c>
      <c r="C2845" s="3">
        <f>HOUR(A2845)</f>
        <v/>
      </c>
      <c r="D2845" s="4" t="n">
        <v>25.49851850153611</v>
      </c>
      <c r="E2845" s="4" t="n"/>
      <c r="F2845" s="4" t="n">
        <v>27.806272835175</v>
      </c>
      <c r="G2845" s="4" t="n">
        <v>17.1</v>
      </c>
      <c r="H2845" s="5" t="n">
        <v>43.93915242355556</v>
      </c>
      <c r="I2845" s="5" t="n"/>
      <c r="J2845" s="5" t="n">
        <v>47.60306487895</v>
      </c>
      <c r="K2845" s="5" t="n">
        <v>82</v>
      </c>
    </row>
    <row r="2846">
      <c r="A2846" s="2" t="n">
        <v>46215.95833333334</v>
      </c>
      <c r="B2846">
        <f>TEXT(A2846,"yyyy-mm")</f>
        <v/>
      </c>
      <c r="C2846" s="3">
        <f>HOUR(A2846)</f>
        <v/>
      </c>
      <c r="D2846" s="4" t="n">
        <v>25.37130496619444</v>
      </c>
      <c r="E2846" s="4" t="n"/>
      <c r="F2846" s="4" t="n">
        <v>27.81913742309445</v>
      </c>
      <c r="G2846" s="4" t="n">
        <v>16.5</v>
      </c>
      <c r="H2846" s="5" t="n">
        <v>43.95065414686111</v>
      </c>
      <c r="I2846" s="5" t="n"/>
      <c r="J2846" s="5" t="n">
        <v>47.56866360974167</v>
      </c>
      <c r="K2846" s="5" t="n">
        <v>85</v>
      </c>
    </row>
    <row r="2847">
      <c r="A2847" s="2" t="n">
        <v>46216</v>
      </c>
      <c r="B2847">
        <f>TEXT(A2847,"yyyy-mm")</f>
        <v/>
      </c>
      <c r="C2847" s="3">
        <f>HOUR(A2847)</f>
        <v/>
      </c>
      <c r="D2847" s="4" t="n">
        <v>25.26548582723333</v>
      </c>
      <c r="E2847" s="4" t="n"/>
      <c r="F2847" s="4" t="n">
        <v>27.82636169779722</v>
      </c>
      <c r="G2847" s="4" t="n">
        <v>16</v>
      </c>
      <c r="H2847" s="5" t="n">
        <v>44.30142344868333</v>
      </c>
      <c r="I2847" s="5" t="n"/>
      <c r="J2847" s="5" t="n">
        <v>47.56186174257778</v>
      </c>
      <c r="K2847" s="5" t="n">
        <v>86</v>
      </c>
    </row>
    <row r="2848">
      <c r="A2848" s="2" t="n">
        <v>46216.04166666666</v>
      </c>
      <c r="B2848">
        <f>TEXT(A2848,"yyyy-mm")</f>
        <v/>
      </c>
      <c r="C2848" s="3">
        <f>HOUR(A2848)</f>
        <v/>
      </c>
      <c r="D2848" s="4" t="n">
        <v>25.182063445975</v>
      </c>
      <c r="E2848" s="4" t="n"/>
      <c r="F2848" s="4" t="n">
        <v>27.83323899469444</v>
      </c>
      <c r="G2848" s="4" t="n">
        <v>15.6</v>
      </c>
      <c r="H2848" s="5" t="n">
        <v>44.61207834199166</v>
      </c>
      <c r="I2848" s="5" t="n"/>
      <c r="J2848" s="5" t="n">
        <v>47.54634514157223</v>
      </c>
      <c r="K2848" s="5" t="n">
        <v>86</v>
      </c>
    </row>
    <row r="2849">
      <c r="A2849" s="2" t="n">
        <v>46216.08333333334</v>
      </c>
      <c r="B2849">
        <f>TEXT(A2849,"yyyy-mm")</f>
        <v/>
      </c>
      <c r="C2849" s="3">
        <f>HOUR(A2849)</f>
        <v/>
      </c>
      <c r="D2849" s="4" t="n">
        <v>25.09993849023889</v>
      </c>
      <c r="E2849" s="4" t="n"/>
      <c r="F2849" s="4" t="n">
        <v>27.83516605980833</v>
      </c>
      <c r="G2849" s="4" t="n">
        <v>15.3</v>
      </c>
      <c r="H2849" s="5" t="n">
        <v>44.8078290371</v>
      </c>
      <c r="I2849" s="5" t="n"/>
      <c r="J2849" s="5" t="n">
        <v>47.536006067625</v>
      </c>
      <c r="K2849" s="5" t="n">
        <v>87</v>
      </c>
    </row>
    <row r="2850">
      <c r="A2850" s="2" t="n">
        <v>46216.125</v>
      </c>
      <c r="B2850">
        <f>TEXT(A2850,"yyyy-mm")</f>
        <v/>
      </c>
      <c r="C2850" s="3">
        <f>HOUR(A2850)</f>
        <v/>
      </c>
      <c r="D2850" s="4" t="n">
        <v>25.02834636675833</v>
      </c>
      <c r="E2850" s="4" t="n"/>
      <c r="F2850" s="4" t="n">
        <v>27.83269434738056</v>
      </c>
      <c r="G2850" s="4" t="n">
        <v>15.2</v>
      </c>
      <c r="H2850" s="5" t="n">
        <v>44.85188329366667</v>
      </c>
      <c r="I2850" s="5" t="n"/>
      <c r="J2850" s="5" t="n">
        <v>47.51495867594722</v>
      </c>
      <c r="K2850" s="5" t="n">
        <v>87</v>
      </c>
    </row>
    <row r="2851">
      <c r="A2851" s="2" t="n">
        <v>46216.16666666666</v>
      </c>
      <c r="B2851">
        <f>TEXT(A2851,"yyyy-mm")</f>
        <v/>
      </c>
      <c r="C2851" s="3">
        <f>HOUR(A2851)</f>
        <v/>
      </c>
      <c r="D2851" s="4" t="n">
        <v>24.95620911430278</v>
      </c>
      <c r="E2851" s="4" t="n"/>
      <c r="F2851" s="4" t="n">
        <v>27.82064819082778</v>
      </c>
      <c r="G2851" s="4" t="n">
        <v>15.2</v>
      </c>
      <c r="H2851" s="5" t="n">
        <v>44.81730926352222</v>
      </c>
      <c r="I2851" s="5" t="n"/>
      <c r="J2851" s="5" t="n">
        <v>47.50226878722222</v>
      </c>
      <c r="K2851" s="5" t="n">
        <v>88</v>
      </c>
    </row>
    <row r="2852">
      <c r="A2852" s="2" t="n">
        <v>46216.20833333334</v>
      </c>
      <c r="B2852">
        <f>TEXT(A2852,"yyyy-mm")</f>
        <v/>
      </c>
      <c r="C2852" s="3">
        <f>HOUR(A2852)</f>
        <v/>
      </c>
      <c r="D2852" s="4" t="n">
        <v>25.103867042125</v>
      </c>
      <c r="E2852" s="4" t="n"/>
      <c r="F2852" s="4" t="n">
        <v>27.807882492225</v>
      </c>
      <c r="G2852" s="4" t="n">
        <v>15.1</v>
      </c>
      <c r="H2852" s="5" t="n">
        <v>44.35877734519722</v>
      </c>
      <c r="I2852" s="5" t="n"/>
      <c r="J2852" s="5" t="n">
        <v>47.51169691436667</v>
      </c>
      <c r="K2852" s="5" t="n">
        <v>88</v>
      </c>
    </row>
    <row r="2853">
      <c r="A2853" s="2" t="n">
        <v>46216.25</v>
      </c>
      <c r="B2853">
        <f>TEXT(A2853,"yyyy-mm")</f>
        <v/>
      </c>
      <c r="C2853" s="3">
        <f>HOUR(A2853)</f>
        <v/>
      </c>
      <c r="D2853" s="4" t="n">
        <v>25.66267674334722</v>
      </c>
      <c r="E2853" s="4" t="n"/>
      <c r="F2853" s="4" t="n">
        <v>27.79564957497222</v>
      </c>
      <c r="G2853" s="4" t="n">
        <v>15.8</v>
      </c>
      <c r="H2853" s="5" t="n">
        <v>43.01592878116111</v>
      </c>
      <c r="I2853" s="5" t="n"/>
      <c r="J2853" s="5" t="n">
        <v>47.54432744065556</v>
      </c>
      <c r="K2853" s="5" t="n">
        <v>84</v>
      </c>
    </row>
    <row r="2854">
      <c r="A2854" s="2" t="n">
        <v>46216.29166666666</v>
      </c>
      <c r="B2854">
        <f>TEXT(A2854,"yyyy-mm")</f>
        <v/>
      </c>
      <c r="C2854" s="3">
        <f>HOUR(A2854)</f>
        <v/>
      </c>
      <c r="D2854" s="4" t="n">
        <v>26.21987176206111</v>
      </c>
      <c r="E2854" s="4" t="n"/>
      <c r="F2854" s="4" t="n">
        <v>27.78911141898889</v>
      </c>
      <c r="G2854" s="4" t="n">
        <v>17</v>
      </c>
      <c r="H2854" s="5" t="n">
        <v>42.30224494006111</v>
      </c>
      <c r="I2854" s="5" t="n"/>
      <c r="J2854" s="5" t="n">
        <v>47.55711757572222</v>
      </c>
      <c r="K2854" s="5" t="n">
        <v>81</v>
      </c>
    </row>
    <row r="2855">
      <c r="A2855" s="2" t="n">
        <v>46216.33333333334</v>
      </c>
      <c r="B2855">
        <f>TEXT(A2855,"yyyy-mm")</f>
        <v/>
      </c>
      <c r="C2855" s="3">
        <f>HOUR(A2855)</f>
        <v/>
      </c>
      <c r="D2855" s="4" t="n">
        <v>26.84064266151111</v>
      </c>
      <c r="E2855" s="4" t="n"/>
      <c r="F2855" s="4" t="n">
        <v>27.79957297936111</v>
      </c>
      <c r="G2855" s="4" t="n">
        <v>18.4</v>
      </c>
      <c r="H2855" s="5" t="n">
        <v>41.68445003550834</v>
      </c>
      <c r="I2855" s="5" t="n"/>
      <c r="J2855" s="5" t="n">
        <v>47.57219093860834</v>
      </c>
      <c r="K2855" s="5" t="n">
        <v>76</v>
      </c>
    </row>
    <row r="2856">
      <c r="A2856" s="2" t="n">
        <v>46216.375</v>
      </c>
      <c r="B2856">
        <f>TEXT(A2856,"yyyy-mm")</f>
        <v/>
      </c>
      <c r="C2856" s="3">
        <f>HOUR(A2856)</f>
        <v/>
      </c>
      <c r="D2856" s="4" t="n">
        <v>26.92087736455</v>
      </c>
      <c r="E2856" s="4" t="n"/>
      <c r="F2856" s="4" t="n">
        <v>27.81741384305</v>
      </c>
      <c r="G2856" s="4" t="n">
        <v>20.1</v>
      </c>
      <c r="H2856" s="5" t="n">
        <v>41.92548018578889</v>
      </c>
      <c r="I2856" s="5" t="n"/>
      <c r="J2856" s="5" t="n">
        <v>47.56627841919722</v>
      </c>
      <c r="K2856" s="5" t="n">
        <v>70</v>
      </c>
    </row>
    <row r="2857">
      <c r="A2857" s="2" t="n">
        <v>46216.41666666666</v>
      </c>
      <c r="B2857">
        <f>TEXT(A2857,"yyyy-mm")</f>
        <v/>
      </c>
      <c r="C2857" s="3">
        <f>HOUR(A2857)</f>
        <v/>
      </c>
      <c r="D2857" s="4" t="n">
        <v>26.57239477627777</v>
      </c>
      <c r="E2857" s="4" t="n"/>
      <c r="F2857" s="4" t="n">
        <v>27.80938481739722</v>
      </c>
      <c r="G2857" s="4" t="n">
        <v>20</v>
      </c>
      <c r="H2857" s="5" t="n">
        <v>42.59194547491112</v>
      </c>
      <c r="I2857" s="5" t="n"/>
      <c r="J2857" s="5" t="n">
        <v>47.57838890856667</v>
      </c>
      <c r="K2857" s="5" t="n">
        <v>67</v>
      </c>
    </row>
    <row r="2858">
      <c r="A2858" s="2" t="n">
        <v>46216.45833333334</v>
      </c>
      <c r="B2858">
        <f>TEXT(A2858,"yyyy-mm")</f>
        <v/>
      </c>
      <c r="C2858" s="3">
        <f>HOUR(A2858)</f>
        <v/>
      </c>
      <c r="D2858" s="4" t="n">
        <v>26.4138963959</v>
      </c>
      <c r="E2858" s="4" t="n"/>
      <c r="F2858" s="4" t="n">
        <v>27.81454355241945</v>
      </c>
      <c r="G2858" s="4" t="n">
        <v>21.3</v>
      </c>
      <c r="H2858" s="5" t="n">
        <v>42.78272240751389</v>
      </c>
      <c r="I2858" s="5" t="n"/>
      <c r="J2858" s="5" t="n">
        <v>47.5500278612</v>
      </c>
      <c r="K2858" s="5" t="n">
        <v>60</v>
      </c>
    </row>
    <row r="2859">
      <c r="A2859" s="2" t="n">
        <v>46216.5</v>
      </c>
      <c r="B2859">
        <f>TEXT(A2859,"yyyy-mm")</f>
        <v/>
      </c>
      <c r="C2859" s="3">
        <f>HOUR(A2859)</f>
        <v/>
      </c>
      <c r="D2859" s="4" t="n">
        <v>26.29354707256389</v>
      </c>
      <c r="E2859" s="4" t="n"/>
      <c r="F2859" s="4" t="n">
        <v>27.80917827055833</v>
      </c>
      <c r="G2859" s="4" t="n">
        <v>21.7</v>
      </c>
      <c r="H2859" s="5" t="n">
        <v>43.161147099475</v>
      </c>
      <c r="I2859" s="5" t="n"/>
      <c r="J2859" s="5" t="n">
        <v>47.56233321013611</v>
      </c>
      <c r="K2859" s="5" t="n">
        <v>63</v>
      </c>
    </row>
    <row r="2860">
      <c r="A2860" s="2" t="n">
        <v>46216.54166666666</v>
      </c>
      <c r="B2860">
        <f>TEXT(A2860,"yyyy-mm")</f>
        <v/>
      </c>
      <c r="C2860" s="3">
        <f>HOUR(A2860)</f>
        <v/>
      </c>
      <c r="D2860" s="4" t="n">
        <v>26.197483513975</v>
      </c>
      <c r="E2860" s="4" t="n"/>
      <c r="F2860" s="4" t="n">
        <v>27.79874998966111</v>
      </c>
      <c r="G2860" s="4" t="n">
        <v>21.3</v>
      </c>
      <c r="H2860" s="5" t="n">
        <v>43.56942479636388</v>
      </c>
      <c r="I2860" s="5" t="n"/>
      <c r="J2860" s="5" t="n">
        <v>47.56200015004722</v>
      </c>
      <c r="K2860" s="5" t="n">
        <v>67</v>
      </c>
    </row>
    <row r="2861">
      <c r="A2861" s="2" t="n">
        <v>46216.58333333334</v>
      </c>
      <c r="B2861">
        <f>TEXT(A2861,"yyyy-mm")</f>
        <v/>
      </c>
      <c r="C2861" s="3">
        <f>HOUR(A2861)</f>
        <v/>
      </c>
      <c r="D2861" s="4" t="n">
        <v>26.11692613665834</v>
      </c>
      <c r="E2861" s="4" t="n"/>
      <c r="F2861" s="4" t="n">
        <v>27.79530547875</v>
      </c>
      <c r="G2861" s="4" t="n">
        <v>22</v>
      </c>
      <c r="H2861" s="5" t="n">
        <v>43.98195267528333</v>
      </c>
      <c r="I2861" s="5" t="n"/>
      <c r="J2861" s="5" t="n">
        <v>47.58059583260277</v>
      </c>
      <c r="K2861" s="5" t="n">
        <v>67</v>
      </c>
    </row>
    <row r="2862">
      <c r="A2862" s="2" t="n">
        <v>46216.625</v>
      </c>
      <c r="B2862">
        <f>TEXT(A2862,"yyyy-mm")</f>
        <v/>
      </c>
      <c r="C2862" s="3">
        <f>HOUR(A2862)</f>
        <v/>
      </c>
      <c r="D2862" s="4" t="n">
        <v>26.06266275751111</v>
      </c>
      <c r="E2862" s="4" t="n"/>
      <c r="F2862" s="4" t="n">
        <v>27.78857916770556</v>
      </c>
      <c r="G2862" s="4" t="n">
        <v>21.7</v>
      </c>
      <c r="H2862" s="5" t="n">
        <v>45.19030799651389</v>
      </c>
      <c r="I2862" s="5" t="n"/>
      <c r="J2862" s="5" t="n">
        <v>47.67820771775556</v>
      </c>
      <c r="K2862" s="5" t="n">
        <v>70</v>
      </c>
    </row>
    <row r="2863">
      <c r="A2863" s="2" t="n">
        <v>46216.66666666666</v>
      </c>
      <c r="B2863">
        <f>TEXT(A2863,"yyyy-mm")</f>
        <v/>
      </c>
      <c r="C2863" s="3">
        <f>HOUR(A2863)</f>
        <v/>
      </c>
      <c r="D2863" s="4" t="n">
        <v>26.024724937425</v>
      </c>
      <c r="E2863" s="4" t="n"/>
      <c r="F2863" s="4" t="n">
        <v>27.79373826229167</v>
      </c>
      <c r="G2863" s="4" t="n">
        <v>21.5</v>
      </c>
      <c r="H2863" s="5" t="n">
        <v>46.61472273111111</v>
      </c>
      <c r="I2863" s="5" t="n"/>
      <c r="J2863" s="5" t="n">
        <v>47.77700508693611</v>
      </c>
      <c r="K2863" s="5" t="n">
        <v>69</v>
      </c>
    </row>
    <row r="2864">
      <c r="A2864" s="2" t="n">
        <v>46216.70833333334</v>
      </c>
      <c r="B2864">
        <f>TEXT(A2864,"yyyy-mm")</f>
        <v/>
      </c>
      <c r="C2864" s="3">
        <f>HOUR(A2864)</f>
        <v/>
      </c>
      <c r="D2864" s="4" t="n">
        <v>25.97956638755833</v>
      </c>
      <c r="E2864" s="4" t="n"/>
      <c r="F2864" s="4" t="n">
        <v>27.80585868576389</v>
      </c>
      <c r="G2864" s="4" t="n">
        <v>22.3</v>
      </c>
      <c r="H2864" s="5" t="n">
        <v>47.53806771535277</v>
      </c>
      <c r="I2864" s="5" t="n"/>
      <c r="J2864" s="5" t="n">
        <v>47.89822191048889</v>
      </c>
      <c r="K2864" s="5" t="n">
        <v>70</v>
      </c>
    </row>
    <row r="2865">
      <c r="A2865" s="2" t="n">
        <v>46216.75</v>
      </c>
      <c r="B2865">
        <f>TEXT(A2865,"yyyy-mm")</f>
        <v/>
      </c>
      <c r="C2865" s="3">
        <f>HOUR(A2865)</f>
        <v/>
      </c>
      <c r="D2865" s="4" t="n">
        <v>25.96333118896111</v>
      </c>
      <c r="E2865" s="4" t="n"/>
      <c r="F2865" s="4" t="n">
        <v>27.78331580447222</v>
      </c>
      <c r="G2865" s="4" t="n">
        <v>22.4</v>
      </c>
      <c r="H2865" s="5" t="n">
        <v>49.00754454872222</v>
      </c>
      <c r="I2865" s="5" t="n"/>
      <c r="J2865" s="5" t="n">
        <v>48.06565675824445</v>
      </c>
      <c r="K2865" s="5" t="n">
        <v>69</v>
      </c>
    </row>
    <row r="2866">
      <c r="A2866" s="2" t="n">
        <v>46216.79166666666</v>
      </c>
      <c r="B2866">
        <f>TEXT(A2866,"yyyy-mm")</f>
        <v/>
      </c>
      <c r="C2866" s="3">
        <f>HOUR(A2866)</f>
        <v/>
      </c>
      <c r="D2866" s="4" t="n">
        <v>25.92168297671389</v>
      </c>
      <c r="E2866" s="4" t="n"/>
      <c r="F2866" s="4" t="n">
        <v>27.77709589479445</v>
      </c>
      <c r="G2866" s="4" t="n">
        <v>21.9</v>
      </c>
      <c r="H2866" s="5" t="n">
        <v>49.68320919913889</v>
      </c>
      <c r="I2866" s="5" t="n"/>
      <c r="J2866" s="5" t="n">
        <v>48.13124515961945</v>
      </c>
      <c r="K2866" s="5" t="n">
        <v>75</v>
      </c>
    </row>
    <row r="2867">
      <c r="A2867" s="2" t="n">
        <v>46216.83333333334</v>
      </c>
      <c r="B2867">
        <f>TEXT(A2867,"yyyy-mm")</f>
        <v/>
      </c>
      <c r="C2867" s="3">
        <f>HOUR(A2867)</f>
        <v/>
      </c>
      <c r="D2867" s="4" t="n">
        <v>25.78797650126389</v>
      </c>
      <c r="E2867" s="4" t="n"/>
      <c r="F2867" s="4" t="n">
        <v>27.76988899454444</v>
      </c>
      <c r="G2867" s="4" t="n">
        <v>21</v>
      </c>
      <c r="H2867" s="5" t="n">
        <v>50.17105413367778</v>
      </c>
      <c r="I2867" s="5" t="n"/>
      <c r="J2867" s="5" t="n">
        <v>48.27885919528055</v>
      </c>
      <c r="K2867" s="5" t="n">
        <v>79</v>
      </c>
    </row>
    <row r="2868">
      <c r="A2868" s="2" t="n">
        <v>46216.875</v>
      </c>
      <c r="B2868">
        <f>TEXT(A2868,"yyyy-mm")</f>
        <v/>
      </c>
      <c r="C2868" s="3">
        <f>HOUR(A2868)</f>
        <v/>
      </c>
      <c r="D2868" s="4" t="n">
        <v>25.63914299463333</v>
      </c>
      <c r="E2868" s="4" t="n"/>
      <c r="F2868" s="4" t="n">
        <v>27.7557473376</v>
      </c>
      <c r="G2868" s="4" t="n">
        <v>19.6</v>
      </c>
      <c r="H2868" s="5" t="n">
        <v>50.68780124036667</v>
      </c>
      <c r="I2868" s="5" t="n"/>
      <c r="J2868" s="5" t="n">
        <v>48.45283580306667</v>
      </c>
      <c r="K2868" s="5" t="n">
        <v>84</v>
      </c>
    </row>
    <row r="2869">
      <c r="A2869" s="2" t="n">
        <v>46216.91666666666</v>
      </c>
      <c r="B2869">
        <f>TEXT(A2869,"yyyy-mm")</f>
        <v/>
      </c>
      <c r="C2869" s="3">
        <f>HOUR(A2869)</f>
        <v/>
      </c>
      <c r="D2869" s="4" t="n">
        <v>25.5113403301</v>
      </c>
      <c r="E2869" s="4" t="n"/>
      <c r="F2869" s="4" t="n">
        <v>27.74676265265556</v>
      </c>
      <c r="G2869" s="4" t="n">
        <v>19.2</v>
      </c>
      <c r="H2869" s="5" t="n">
        <v>51.15074744974722</v>
      </c>
      <c r="I2869" s="5" t="n"/>
      <c r="J2869" s="5" t="n">
        <v>48.56079817766945</v>
      </c>
      <c r="K2869" s="5" t="n">
        <v>87</v>
      </c>
    </row>
    <row r="2870">
      <c r="A2870" s="2" t="n">
        <v>46216.95833333334</v>
      </c>
      <c r="B2870">
        <f>TEXT(A2870,"yyyy-mm")</f>
        <v/>
      </c>
      <c r="C2870" s="3">
        <f>HOUR(A2870)</f>
        <v/>
      </c>
      <c r="D2870" s="4" t="n">
        <v>25.41419718124444</v>
      </c>
      <c r="E2870" s="4" t="n"/>
      <c r="F2870" s="4" t="n">
        <v>27.74027795017222</v>
      </c>
      <c r="G2870" s="4" t="n">
        <v>18.5</v>
      </c>
      <c r="H2870" s="5" t="n">
        <v>51.4833689609</v>
      </c>
      <c r="I2870" s="5" t="n"/>
      <c r="J2870" s="5" t="n">
        <v>48.55610148950834</v>
      </c>
      <c r="K2870" s="5" t="n">
        <v>92</v>
      </c>
    </row>
    <row r="2871">
      <c r="A2871" s="2" t="n">
        <v>46217</v>
      </c>
      <c r="B2871">
        <f>TEXT(A2871,"yyyy-mm")</f>
        <v/>
      </c>
      <c r="C2871" s="3">
        <f>HOUR(A2871)</f>
        <v/>
      </c>
      <c r="D2871" s="4" t="n">
        <v>25.35073857936944</v>
      </c>
      <c r="E2871" s="4" t="n"/>
      <c r="F2871" s="4" t="n">
        <v>27.74176250790556</v>
      </c>
      <c r="G2871" s="4" t="n">
        <v>18.1</v>
      </c>
      <c r="H2871" s="5" t="n">
        <v>51.76330086495556</v>
      </c>
      <c r="I2871" s="5" t="n"/>
      <c r="J2871" s="5" t="n">
        <v>48.68695580544722</v>
      </c>
      <c r="K2871" s="5" t="n">
        <v>93</v>
      </c>
    </row>
    <row r="2872">
      <c r="A2872" s="2" t="n">
        <v>46217.04166666666</v>
      </c>
      <c r="B2872">
        <f>TEXT(A2872,"yyyy-mm")</f>
        <v/>
      </c>
      <c r="C2872" s="3">
        <f>HOUR(A2872)</f>
        <v/>
      </c>
      <c r="D2872" s="4" t="n">
        <v>25.28798821816667</v>
      </c>
      <c r="E2872" s="4" t="n"/>
      <c r="F2872" s="4" t="n">
        <v>27.74031831235277</v>
      </c>
      <c r="G2872" s="4" t="n">
        <v>17.7</v>
      </c>
      <c r="H2872" s="5" t="n">
        <v>51.85536696926389</v>
      </c>
      <c r="I2872" s="5" t="n"/>
      <c r="J2872" s="5" t="n">
        <v>48.83425466942222</v>
      </c>
      <c r="K2872" s="5" t="n">
        <v>95</v>
      </c>
    </row>
    <row r="2873">
      <c r="A2873" s="2" t="n">
        <v>46217.08333333334</v>
      </c>
      <c r="B2873">
        <f>TEXT(A2873,"yyyy-mm")</f>
        <v/>
      </c>
      <c r="C2873" s="3">
        <f>HOUR(A2873)</f>
        <v/>
      </c>
      <c r="D2873" s="4" t="n">
        <v>25.22729379279167</v>
      </c>
      <c r="E2873" s="4" t="n"/>
      <c r="F2873" s="4" t="n">
        <v>27.7219041717</v>
      </c>
      <c r="G2873" s="4" t="n">
        <v>17.1</v>
      </c>
      <c r="H2873" s="5" t="n">
        <v>51.78445064978334</v>
      </c>
      <c r="I2873" s="5" t="n"/>
      <c r="J2873" s="5" t="n">
        <v>48.91965052706112</v>
      </c>
      <c r="K2873" s="5" t="n">
        <v>97</v>
      </c>
    </row>
    <row r="2874">
      <c r="A2874" s="2" t="n">
        <v>46217.125</v>
      </c>
      <c r="B2874">
        <f>TEXT(A2874,"yyyy-mm")</f>
        <v/>
      </c>
      <c r="C2874" s="3">
        <f>HOUR(A2874)</f>
        <v/>
      </c>
      <c r="D2874" s="4" t="n">
        <v>25.17250370643333</v>
      </c>
      <c r="E2874" s="4" t="n"/>
      <c r="F2874" s="4" t="n">
        <v>27.72852587090556</v>
      </c>
      <c r="G2874" s="4" t="n">
        <v>17</v>
      </c>
      <c r="H2874" s="5" t="n">
        <v>51.67763609071667</v>
      </c>
      <c r="I2874" s="5" t="n"/>
      <c r="J2874" s="5" t="n">
        <v>48.90725516400278</v>
      </c>
      <c r="K2874" s="5" t="n">
        <v>97</v>
      </c>
    </row>
    <row r="2875">
      <c r="A2875" s="2" t="n">
        <v>46217.16666666666</v>
      </c>
      <c r="B2875">
        <f>TEXT(A2875,"yyyy-mm")</f>
        <v/>
      </c>
      <c r="C2875" s="3">
        <f>HOUR(A2875)</f>
        <v/>
      </c>
      <c r="D2875" s="4" t="n">
        <v>25.13409539912778</v>
      </c>
      <c r="E2875" s="4" t="n"/>
      <c r="F2875" s="4" t="n">
        <v>27.70569186048056</v>
      </c>
      <c r="G2875" s="4" t="n">
        <v>16.6</v>
      </c>
      <c r="H2875" s="5" t="n">
        <v>51.66134496634722</v>
      </c>
      <c r="I2875" s="5" t="n"/>
      <c r="J2875" s="5" t="n">
        <v>48.97669491558333</v>
      </c>
      <c r="K2875" s="5" t="n">
        <v>97</v>
      </c>
    </row>
    <row r="2876">
      <c r="A2876" s="2" t="n">
        <v>46217.20833333334</v>
      </c>
      <c r="B2876">
        <f>TEXT(A2876,"yyyy-mm")</f>
        <v/>
      </c>
      <c r="C2876" s="3">
        <f>HOUR(A2876)</f>
        <v/>
      </c>
      <c r="D2876" s="4" t="n">
        <v>25.34076786256666</v>
      </c>
      <c r="E2876" s="4" t="n"/>
      <c r="F2876" s="4" t="n">
        <v>27.68847205289722</v>
      </c>
      <c r="G2876" s="4" t="n">
        <v>16.1</v>
      </c>
      <c r="H2876" s="5" t="n">
        <v>51.33712690241389</v>
      </c>
      <c r="I2876" s="5" t="n"/>
      <c r="J2876" s="5" t="n">
        <v>49.02423451260277</v>
      </c>
      <c r="K2876" s="5" t="n">
        <v>99</v>
      </c>
    </row>
    <row r="2877">
      <c r="A2877" s="2" t="n">
        <v>46217.25</v>
      </c>
      <c r="B2877">
        <f>TEXT(A2877,"yyyy-mm")</f>
        <v/>
      </c>
      <c r="C2877" s="3">
        <f>HOUR(A2877)</f>
        <v/>
      </c>
      <c r="D2877" s="4" t="n">
        <v>25.56950275455</v>
      </c>
      <c r="E2877" s="4" t="n"/>
      <c r="F2877" s="4" t="n">
        <v>27.67135835596389</v>
      </c>
      <c r="G2877" s="4" t="n">
        <v>16.7</v>
      </c>
      <c r="H2877" s="5" t="n">
        <v>50.72362235065555</v>
      </c>
      <c r="I2877" s="5" t="n"/>
      <c r="J2877" s="5" t="n">
        <v>49.03685217843056</v>
      </c>
      <c r="K2877" s="5" t="n">
        <v>98</v>
      </c>
    </row>
    <row r="2878">
      <c r="A2878" s="2" t="n">
        <v>46217.29166666666</v>
      </c>
      <c r="B2878">
        <f>TEXT(A2878,"yyyy-mm")</f>
        <v/>
      </c>
      <c r="C2878" s="3">
        <f>HOUR(A2878)</f>
        <v/>
      </c>
      <c r="D2878" s="4" t="n">
        <v>25.85185641860556</v>
      </c>
      <c r="E2878" s="4" t="n"/>
      <c r="F2878" s="4" t="n">
        <v>27.66986118436945</v>
      </c>
      <c r="G2878" s="4" t="n">
        <v>17.7</v>
      </c>
      <c r="H2878" s="5" t="n">
        <v>50.64136317464722</v>
      </c>
      <c r="I2878" s="5" t="n"/>
      <c r="J2878" s="5" t="n">
        <v>49.07546026824167</v>
      </c>
      <c r="K2878" s="5" t="n">
        <v>95</v>
      </c>
    </row>
    <row r="2879">
      <c r="A2879" s="2" t="n">
        <v>46217.33333333334</v>
      </c>
      <c r="B2879">
        <f>TEXT(A2879,"yyyy-mm")</f>
        <v/>
      </c>
      <c r="C2879" s="3">
        <f>HOUR(A2879)</f>
        <v/>
      </c>
      <c r="D2879" s="4" t="n">
        <v>26.618007307925</v>
      </c>
      <c r="E2879" s="4" t="n"/>
      <c r="F2879" s="4" t="n">
        <v>27.68014183893889</v>
      </c>
      <c r="G2879" s="4" t="n">
        <v>19.2</v>
      </c>
      <c r="H2879" s="5" t="n">
        <v>49.44955110050278</v>
      </c>
      <c r="I2879" s="5" t="n"/>
      <c r="J2879" s="5" t="n">
        <v>49.01559713776388</v>
      </c>
      <c r="K2879" s="5" t="n">
        <v>89</v>
      </c>
    </row>
    <row r="2880">
      <c r="A2880" s="2" t="n">
        <v>46217.375</v>
      </c>
      <c r="B2880">
        <f>TEXT(A2880,"yyyy-mm")</f>
        <v/>
      </c>
      <c r="C2880" s="3">
        <f>HOUR(A2880)</f>
        <v/>
      </c>
      <c r="D2880" s="4" t="n">
        <v>27.09500698498333</v>
      </c>
      <c r="E2880" s="4" t="n"/>
      <c r="F2880" s="4" t="n">
        <v>27.69644493616389</v>
      </c>
      <c r="G2880" s="4" t="n">
        <v>20.9</v>
      </c>
      <c r="H2880" s="5" t="n">
        <v>49.70200959336111</v>
      </c>
      <c r="I2880" s="5" t="n"/>
      <c r="J2880" s="5" t="n">
        <v>49.18965676574722</v>
      </c>
      <c r="K2880" s="5" t="n">
        <v>85</v>
      </c>
    </row>
    <row r="2881">
      <c r="A2881" s="2" t="n">
        <v>46217.41666666666</v>
      </c>
      <c r="B2881">
        <f>TEXT(A2881,"yyyy-mm")</f>
        <v/>
      </c>
      <c r="C2881" s="3">
        <f>HOUR(A2881)</f>
        <v/>
      </c>
      <c r="D2881" s="4" t="n">
        <v>26.97380684166944</v>
      </c>
      <c r="E2881" s="4" t="n"/>
      <c r="F2881" s="4" t="n">
        <v>27.69163880772778</v>
      </c>
      <c r="G2881" s="4" t="n">
        <v>23</v>
      </c>
      <c r="H2881" s="5" t="n">
        <v>50.91388697186389</v>
      </c>
      <c r="I2881" s="5" t="n"/>
      <c r="J2881" s="5" t="n">
        <v>49.53013931281112</v>
      </c>
      <c r="K2881" s="5" t="n">
        <v>74</v>
      </c>
    </row>
    <row r="2882">
      <c r="A2882" s="2" t="n">
        <v>46217.45833333334</v>
      </c>
      <c r="B2882">
        <f>TEXT(A2882,"yyyy-mm")</f>
        <v/>
      </c>
      <c r="C2882" s="3">
        <f>HOUR(A2882)</f>
        <v/>
      </c>
      <c r="D2882" s="4" t="n">
        <v>26.69066142294167</v>
      </c>
      <c r="E2882" s="4" t="n"/>
      <c r="F2882" s="4" t="n">
        <v>27.70037637004722</v>
      </c>
      <c r="G2882" s="4" t="n">
        <v>24.4</v>
      </c>
      <c r="H2882" s="5" t="n">
        <v>51.46748226058889</v>
      </c>
      <c r="I2882" s="5" t="n"/>
      <c r="J2882" s="5" t="n">
        <v>49.57886662957222</v>
      </c>
      <c r="K2882" s="5" t="n">
        <v>69</v>
      </c>
    </row>
    <row r="2883">
      <c r="A2883" s="2" t="n">
        <v>46217.5</v>
      </c>
      <c r="B2883">
        <f>TEXT(A2883,"yyyy-mm")</f>
        <v/>
      </c>
      <c r="C2883" s="3">
        <f>HOUR(A2883)</f>
        <v/>
      </c>
      <c r="D2883" s="4" t="n">
        <v>26.42139971378333</v>
      </c>
      <c r="E2883" s="4" t="n"/>
      <c r="F2883" s="4" t="n">
        <v>27.69534585778889</v>
      </c>
      <c r="G2883" s="4" t="n">
        <v>25.2</v>
      </c>
      <c r="H2883" s="5" t="n">
        <v>51.63819474848889</v>
      </c>
      <c r="I2883" s="5" t="n"/>
      <c r="J2883" s="5" t="n">
        <v>49.30513542539722</v>
      </c>
      <c r="K2883" s="5" t="n">
        <v>65</v>
      </c>
    </row>
    <row r="2884">
      <c r="A2884" s="2" t="n">
        <v>46217.54166666666</v>
      </c>
      <c r="B2884">
        <f>TEXT(A2884,"yyyy-mm")</f>
        <v/>
      </c>
      <c r="C2884" s="3">
        <f>HOUR(A2884)</f>
        <v/>
      </c>
      <c r="D2884" s="4" t="n">
        <v>26.32502010508889</v>
      </c>
      <c r="E2884" s="4" t="n"/>
      <c r="F2884" s="4" t="n">
        <v>27.68869448349722</v>
      </c>
      <c r="G2884" s="4" t="n">
        <v>25.9</v>
      </c>
      <c r="H2884" s="5" t="n">
        <v>52.11065346676389</v>
      </c>
      <c r="I2884" s="5" t="n"/>
      <c r="J2884" s="5" t="n">
        <v>49.18928417899722</v>
      </c>
      <c r="K2884" s="5" t="n">
        <v>61</v>
      </c>
    </row>
    <row r="2885">
      <c r="A2885" s="2" t="n">
        <v>46217.58333333334</v>
      </c>
      <c r="B2885">
        <f>TEXT(A2885,"yyyy-mm")</f>
        <v/>
      </c>
      <c r="C2885" s="3">
        <f>HOUR(A2885)</f>
        <v/>
      </c>
      <c r="D2885" s="4" t="n">
        <v>26.22035931284167</v>
      </c>
      <c r="E2885" s="4" t="n"/>
      <c r="F2885" s="4" t="n">
        <v>27.68837354896111</v>
      </c>
      <c r="G2885" s="4" t="n">
        <v>26.2</v>
      </c>
      <c r="H2885" s="5" t="n">
        <v>52.77621753474167</v>
      </c>
      <c r="I2885" s="5" t="n"/>
      <c r="J2885" s="5" t="n">
        <v>49.08205313653334</v>
      </c>
      <c r="K2885" s="5" t="n">
        <v>58</v>
      </c>
    </row>
    <row r="2886">
      <c r="A2886" s="2" t="n">
        <v>46217.625</v>
      </c>
      <c r="B2886">
        <f>TEXT(A2886,"yyyy-mm")</f>
        <v/>
      </c>
      <c r="C2886" s="3">
        <f>HOUR(A2886)</f>
        <v/>
      </c>
      <c r="D2886" s="4" t="n">
        <v>26.173064476875</v>
      </c>
      <c r="E2886" s="4" t="n"/>
      <c r="F2886" s="4" t="n">
        <v>27.67804011108333</v>
      </c>
      <c r="G2886" s="4" t="n">
        <v>26.3</v>
      </c>
      <c r="H2886" s="5" t="n">
        <v>52.99670097236666</v>
      </c>
      <c r="I2886" s="5" t="n"/>
      <c r="J2886" s="5" t="n">
        <v>49.05197505522778</v>
      </c>
      <c r="K2886" s="5" t="n">
        <v>57</v>
      </c>
    </row>
    <row r="2887">
      <c r="A2887" s="2" t="n">
        <v>46217.66666666666</v>
      </c>
      <c r="B2887">
        <f>TEXT(A2887,"yyyy-mm")</f>
        <v/>
      </c>
      <c r="C2887" s="3">
        <f>HOUR(A2887)</f>
        <v/>
      </c>
      <c r="D2887" s="4" t="n">
        <v>26.12147596365556</v>
      </c>
      <c r="E2887" s="4" t="n"/>
      <c r="F2887" s="4" t="n">
        <v>27.66877768115556</v>
      </c>
      <c r="G2887" s="4" t="n">
        <v>21.8</v>
      </c>
      <c r="H2887" s="5" t="n">
        <v>53.26174818342222</v>
      </c>
      <c r="I2887" s="5" t="n"/>
      <c r="J2887" s="5" t="n">
        <v>49.02800803449444</v>
      </c>
      <c r="K2887" s="5" t="n">
        <v>81</v>
      </c>
    </row>
    <row r="2888">
      <c r="A2888" s="2" t="n">
        <v>46217.70833333334</v>
      </c>
      <c r="B2888">
        <f>TEXT(A2888,"yyyy-mm")</f>
        <v/>
      </c>
      <c r="C2888" s="3">
        <f>HOUR(A2888)</f>
        <v/>
      </c>
      <c r="D2888" s="4" t="n">
        <v>26.10186497705277</v>
      </c>
      <c r="E2888" s="4" t="n"/>
      <c r="F2888" s="4" t="n">
        <v>27.66301234385556</v>
      </c>
      <c r="G2888" s="4" t="n">
        <v>22.8</v>
      </c>
      <c r="H2888" s="5" t="n">
        <v>53.29830132374722</v>
      </c>
      <c r="I2888" s="5" t="n"/>
      <c r="J2888" s="5" t="n">
        <v>49.08989469207222</v>
      </c>
      <c r="K2888" s="5" t="n">
        <v>74</v>
      </c>
    </row>
    <row r="2889">
      <c r="A2889" s="2" t="n">
        <v>46217.75</v>
      </c>
      <c r="B2889">
        <f>TEXT(A2889,"yyyy-mm")</f>
        <v/>
      </c>
      <c r="C2889" s="3">
        <f>HOUR(A2889)</f>
        <v/>
      </c>
      <c r="D2889" s="4" t="n">
        <v>26.07079251316667</v>
      </c>
      <c r="E2889" s="4" t="n"/>
      <c r="F2889" s="4" t="n">
        <v>27.66350042100555</v>
      </c>
      <c r="G2889" s="4" t="n">
        <v>23.5</v>
      </c>
      <c r="H2889" s="5" t="n">
        <v>53.26284549391111</v>
      </c>
      <c r="I2889" s="5" t="n"/>
      <c r="J2889" s="5" t="n">
        <v>49.05873138594723</v>
      </c>
      <c r="K2889" s="5" t="n">
        <v>72</v>
      </c>
    </row>
    <row r="2890">
      <c r="A2890" s="2" t="n">
        <v>46217.79166666666</v>
      </c>
      <c r="B2890">
        <f>TEXT(A2890,"yyyy-mm")</f>
        <v/>
      </c>
      <c r="C2890" s="3">
        <f>HOUR(A2890)</f>
        <v/>
      </c>
      <c r="D2890" s="4" t="n">
        <v>25.98915020578056</v>
      </c>
      <c r="E2890" s="4" t="n"/>
      <c r="F2890" s="4" t="n">
        <v>27.66507027477778</v>
      </c>
      <c r="G2890" s="4" t="n">
        <v>22.5</v>
      </c>
      <c r="H2890" s="5" t="n">
        <v>53.0109764010389</v>
      </c>
      <c r="I2890" s="5" t="n"/>
      <c r="J2890" s="5" t="n">
        <v>49.13078679801389</v>
      </c>
      <c r="K2890" s="5" t="n">
        <v>76</v>
      </c>
    </row>
    <row r="2891">
      <c r="A2891" s="2" t="n">
        <v>46217.83333333334</v>
      </c>
      <c r="B2891">
        <f>TEXT(A2891,"yyyy-mm")</f>
        <v/>
      </c>
      <c r="C2891" s="3">
        <f>HOUR(A2891)</f>
        <v/>
      </c>
      <c r="D2891" s="4" t="n">
        <v>25.89435309981389</v>
      </c>
      <c r="E2891" s="4" t="n"/>
      <c r="F2891" s="4" t="n">
        <v>27.65783022568056</v>
      </c>
      <c r="G2891" s="4" t="n">
        <v>21.3</v>
      </c>
      <c r="H2891" s="5" t="n">
        <v>52.6754936027</v>
      </c>
      <c r="I2891" s="5" t="n"/>
      <c r="J2891" s="5" t="n">
        <v>49.22521607705278</v>
      </c>
      <c r="K2891" s="5" t="n">
        <v>85</v>
      </c>
    </row>
    <row r="2892">
      <c r="A2892" s="2" t="n">
        <v>46217.875</v>
      </c>
      <c r="B2892">
        <f>TEXT(A2892,"yyyy-mm")</f>
        <v/>
      </c>
      <c r="C2892" s="3">
        <f>HOUR(A2892)</f>
        <v/>
      </c>
      <c r="D2892" s="4" t="n">
        <v>25.50397223343333</v>
      </c>
      <c r="E2892" s="4" t="n"/>
      <c r="F2892" s="4" t="n">
        <v>27.65912634874723</v>
      </c>
      <c r="G2892" s="4" t="n">
        <v>20.1</v>
      </c>
      <c r="H2892" s="5" t="n">
        <v>55.48233819550833</v>
      </c>
      <c r="I2892" s="5" t="n"/>
      <c r="J2892" s="5" t="n">
        <v>49.29864769099444</v>
      </c>
      <c r="K2892" s="5" t="n">
        <v>92</v>
      </c>
    </row>
    <row r="2893">
      <c r="A2893" s="2" t="n">
        <v>46217.91666666666</v>
      </c>
      <c r="B2893">
        <f>TEXT(A2893,"yyyy-mm")</f>
        <v/>
      </c>
      <c r="C2893" s="3">
        <f>HOUR(A2893)</f>
        <v/>
      </c>
      <c r="D2893" s="4" t="n">
        <v>24.65802370331111</v>
      </c>
      <c r="E2893" s="4" t="n"/>
      <c r="F2893" s="4" t="n">
        <v>27.65327463961389</v>
      </c>
      <c r="G2893" s="4" t="n">
        <v>19.5</v>
      </c>
      <c r="H2893" s="5" t="n">
        <v>60.848942981475</v>
      </c>
      <c r="I2893" s="5" t="n"/>
      <c r="J2893" s="5" t="n">
        <v>49.43456779832778</v>
      </c>
      <c r="K2893" s="5" t="n">
        <v>95</v>
      </c>
    </row>
    <row r="2894">
      <c r="A2894" s="2" t="n">
        <v>46217.95833333334</v>
      </c>
      <c r="B2894">
        <f>TEXT(A2894,"yyyy-mm")</f>
        <v/>
      </c>
      <c r="C2894" s="3">
        <f>HOUR(A2894)</f>
        <v/>
      </c>
      <c r="D2894" s="4" t="n">
        <v>24.38374979428889</v>
      </c>
      <c r="E2894" s="4" t="n"/>
      <c r="F2894" s="4" t="n">
        <v>27.65172228469723</v>
      </c>
      <c r="G2894" s="4" t="n">
        <v>19.1</v>
      </c>
      <c r="H2894" s="5" t="n">
        <v>60.48719306247222</v>
      </c>
      <c r="I2894" s="5" t="n"/>
      <c r="J2894" s="5" t="n">
        <v>49.82892052509445</v>
      </c>
      <c r="K2894" s="5" t="n">
        <v>96</v>
      </c>
    </row>
    <row r="2895">
      <c r="A2895" s="2" t="n">
        <v>46218</v>
      </c>
      <c r="B2895">
        <f>TEXT(A2895,"yyyy-mm")</f>
        <v/>
      </c>
      <c r="C2895" s="3">
        <f>HOUR(A2895)</f>
        <v/>
      </c>
      <c r="D2895" s="4" t="n">
        <v>24.51751146785833</v>
      </c>
      <c r="E2895" s="4" t="n"/>
      <c r="F2895" s="4" t="n">
        <v>27.66203407135277</v>
      </c>
      <c r="G2895" s="4" t="n">
        <v>18.9</v>
      </c>
      <c r="H2895" s="5" t="n">
        <v>60.20219393656112</v>
      </c>
      <c r="I2895" s="5" t="n"/>
      <c r="J2895" s="5" t="n">
        <v>49.65529626882222</v>
      </c>
      <c r="K2895" s="5" t="n">
        <v>97</v>
      </c>
    </row>
    <row r="2896">
      <c r="A2896" s="2" t="n">
        <v>46218.04166666666</v>
      </c>
      <c r="B2896">
        <f>TEXT(A2896,"yyyy-mm")</f>
        <v/>
      </c>
      <c r="C2896" s="3">
        <f>HOUR(A2896)</f>
        <v/>
      </c>
      <c r="D2896" s="4" t="n">
        <v>24.12433977459722</v>
      </c>
      <c r="E2896" s="4" t="n"/>
      <c r="F2896" s="4" t="n">
        <v>27.69058984483334</v>
      </c>
      <c r="G2896" s="4" t="n">
        <v>18.8</v>
      </c>
      <c r="H2896" s="5" t="n">
        <v>61.96307204795278</v>
      </c>
      <c r="I2896" s="5" t="n"/>
      <c r="J2896" s="5" t="n">
        <v>49.88481038873334</v>
      </c>
      <c r="K2896" s="5" t="n">
        <v>96</v>
      </c>
    </row>
    <row r="2897">
      <c r="A2897" s="2" t="n">
        <v>46218.08333333334</v>
      </c>
      <c r="B2897">
        <f>TEXT(A2897,"yyyy-mm")</f>
        <v/>
      </c>
      <c r="C2897" s="3">
        <f>HOUR(A2897)</f>
        <v/>
      </c>
      <c r="D2897" s="4" t="n">
        <v>24.04600335400556</v>
      </c>
      <c r="E2897" s="4" t="n"/>
      <c r="F2897" s="4" t="n">
        <v>27.69559265199445</v>
      </c>
      <c r="G2897" s="4" t="n">
        <v>18.4</v>
      </c>
      <c r="H2897" s="5" t="n">
        <v>62.39804337316667</v>
      </c>
      <c r="I2897" s="5" t="n"/>
      <c r="J2897" s="5" t="n">
        <v>50.09602459885278</v>
      </c>
      <c r="K2897" s="5" t="n">
        <v>95</v>
      </c>
    </row>
    <row r="2898">
      <c r="A2898" s="2" t="n">
        <v>46218.125</v>
      </c>
      <c r="B2898">
        <f>TEXT(A2898,"yyyy-mm")</f>
        <v/>
      </c>
      <c r="C2898" s="3">
        <f>HOUR(A2898)</f>
        <v/>
      </c>
      <c r="D2898" s="4" t="n">
        <v>23.93939356119722</v>
      </c>
      <c r="E2898" s="4" t="n"/>
      <c r="F2898" s="4" t="n">
        <v>27.68992875503889</v>
      </c>
      <c r="G2898" s="4" t="n">
        <v>18</v>
      </c>
      <c r="H2898" s="5" t="n">
        <v>61.67192127110834</v>
      </c>
      <c r="I2898" s="5" t="n"/>
      <c r="J2898" s="5" t="n">
        <v>49.96683384995277</v>
      </c>
      <c r="K2898" s="5" t="n">
        <v>95</v>
      </c>
    </row>
    <row r="2899">
      <c r="A2899" s="2" t="n">
        <v>46218.16666666666</v>
      </c>
      <c r="B2899">
        <f>TEXT(A2899,"yyyy-mm")</f>
        <v/>
      </c>
      <c r="C2899" s="3">
        <f>HOUR(A2899)</f>
        <v/>
      </c>
      <c r="D2899" s="4" t="n">
        <v>23.70152547125</v>
      </c>
      <c r="E2899" s="4" t="n"/>
      <c r="F2899" s="4" t="n">
        <v>27.69382106221667</v>
      </c>
      <c r="G2899" s="4" t="n">
        <v>17.6</v>
      </c>
      <c r="H2899" s="5" t="n">
        <v>62.09396603629722</v>
      </c>
      <c r="I2899" s="5" t="n"/>
      <c r="J2899" s="5" t="n">
        <v>49.95738670420278</v>
      </c>
      <c r="K2899" s="5" t="n">
        <v>95</v>
      </c>
    </row>
    <row r="2900">
      <c r="A2900" s="2" t="n">
        <v>46218.20833333334</v>
      </c>
      <c r="B2900">
        <f>TEXT(A2900,"yyyy-mm")</f>
        <v/>
      </c>
      <c r="C2900" s="3">
        <f>HOUR(A2900)</f>
        <v/>
      </c>
      <c r="D2900" s="4" t="n">
        <v>23.61142110952778</v>
      </c>
      <c r="E2900" s="4" t="n"/>
      <c r="F2900" s="4" t="n">
        <v>27.68836132146389</v>
      </c>
      <c r="G2900" s="4" t="n">
        <v>17.2</v>
      </c>
      <c r="H2900" s="5" t="n">
        <v>62.41524362114444</v>
      </c>
      <c r="I2900" s="5" t="n"/>
      <c r="J2900" s="5" t="n">
        <v>50.00308051878889</v>
      </c>
      <c r="K2900" s="5" t="n">
        <v>97</v>
      </c>
    </row>
    <row r="2901">
      <c r="A2901" s="2" t="n">
        <v>46218.25</v>
      </c>
      <c r="B2901">
        <f>TEXT(A2901,"yyyy-mm")</f>
        <v/>
      </c>
      <c r="C2901" s="3">
        <f>HOUR(A2901)</f>
        <v/>
      </c>
      <c r="D2901" s="4" t="n">
        <v>24.86603464803056</v>
      </c>
      <c r="E2901" s="4" t="n"/>
      <c r="F2901" s="4" t="n">
        <v>27.68941685757222</v>
      </c>
      <c r="G2901" s="4" t="n">
        <v>17.7</v>
      </c>
      <c r="H2901" s="5" t="n">
        <v>57.46516298027777</v>
      </c>
      <c r="I2901" s="5" t="n"/>
      <c r="J2901" s="5" t="n">
        <v>49.95729240675833</v>
      </c>
      <c r="K2901" s="5" t="n">
        <v>95</v>
      </c>
    </row>
    <row r="2902">
      <c r="A2902" s="2" t="n">
        <v>46218.29166666666</v>
      </c>
      <c r="B2902">
        <f>TEXT(A2902,"yyyy-mm")</f>
        <v/>
      </c>
      <c r="C2902" s="3">
        <f>HOUR(A2902)</f>
        <v/>
      </c>
      <c r="D2902" s="4" t="n">
        <v>25.92956147436111</v>
      </c>
      <c r="E2902" s="4" t="n"/>
      <c r="F2902" s="4" t="n">
        <v>27.68974998656389</v>
      </c>
      <c r="G2902" s="4" t="n">
        <v>19</v>
      </c>
      <c r="H2902" s="5" t="n">
        <v>54.42586822951666</v>
      </c>
      <c r="I2902" s="5" t="n"/>
      <c r="J2902" s="5" t="n">
        <v>49.82315881706389</v>
      </c>
      <c r="K2902" s="5" t="n">
        <v>89</v>
      </c>
    </row>
    <row r="2903">
      <c r="A2903" s="2" t="n">
        <v>46218.33333333334</v>
      </c>
      <c r="B2903">
        <f>TEXT(A2903,"yyyy-mm")</f>
        <v/>
      </c>
      <c r="C2903" s="3">
        <f>HOUR(A2903)</f>
        <v/>
      </c>
      <c r="D2903" s="4" t="n">
        <v>26.70458926523611</v>
      </c>
      <c r="E2903" s="4" t="n"/>
      <c r="F2903" s="4" t="n">
        <v>27.69720978285556</v>
      </c>
      <c r="G2903" s="4" t="n">
        <v>20.6</v>
      </c>
      <c r="H2903" s="5" t="n">
        <v>52.63277370854445</v>
      </c>
      <c r="I2903" s="5" t="n"/>
      <c r="J2903" s="5" t="n">
        <v>49.77519769225</v>
      </c>
      <c r="K2903" s="5" t="n">
        <v>81</v>
      </c>
    </row>
    <row r="2904">
      <c r="A2904" s="2" t="n">
        <v>46218.375</v>
      </c>
      <c r="B2904">
        <f>TEXT(A2904,"yyyy-mm")</f>
        <v/>
      </c>
      <c r="C2904" s="3">
        <f>HOUR(A2904)</f>
        <v/>
      </c>
      <c r="D2904" s="4" t="n">
        <v>27.18200505138056</v>
      </c>
      <c r="E2904" s="4" t="n"/>
      <c r="F2904" s="4" t="n">
        <v>27.72113009607222</v>
      </c>
      <c r="G2904" s="4" t="n">
        <v>22.9</v>
      </c>
      <c r="H2904" s="5" t="n">
        <v>49.64511221463056</v>
      </c>
      <c r="I2904" s="5" t="n"/>
      <c r="J2904" s="5" t="n">
        <v>49.85757906687778</v>
      </c>
      <c r="K2904" s="5" t="n">
        <v>69</v>
      </c>
    </row>
    <row r="2905">
      <c r="A2905" s="2" t="n">
        <v>46218.41666666666</v>
      </c>
      <c r="B2905">
        <f>TEXT(A2905,"yyyy-mm")</f>
        <v/>
      </c>
      <c r="C2905" s="3">
        <f>HOUR(A2905)</f>
        <v/>
      </c>
      <c r="D2905" s="4" t="n">
        <v>27.08443727121111</v>
      </c>
      <c r="E2905" s="4" t="n"/>
      <c r="F2905" s="4" t="n">
        <v>27.75307446222778</v>
      </c>
      <c r="G2905" s="4" t="n">
        <v>24.4</v>
      </c>
      <c r="H2905" s="5" t="n">
        <v>46.5774445998</v>
      </c>
      <c r="I2905" s="5" t="n"/>
      <c r="J2905" s="5" t="n">
        <v>49.86125114673889</v>
      </c>
      <c r="K2905" s="5" t="n">
        <v>55</v>
      </c>
    </row>
    <row r="2906">
      <c r="A2906" s="2" t="n">
        <v>46218.45833333334</v>
      </c>
      <c r="B2906">
        <f>TEXT(A2906,"yyyy-mm")</f>
        <v/>
      </c>
      <c r="C2906" s="3">
        <f>HOUR(A2906)</f>
        <v/>
      </c>
      <c r="D2906" s="4" t="n">
        <v>26.98659259886389</v>
      </c>
      <c r="E2906" s="4" t="n"/>
      <c r="F2906" s="4" t="n">
        <v>27.76922567799722</v>
      </c>
      <c r="G2906" s="4" t="n">
        <v>25.2</v>
      </c>
      <c r="H2906" s="5" t="n">
        <v>44.90890563515001</v>
      </c>
      <c r="I2906" s="5" t="n"/>
      <c r="J2906" s="5" t="n">
        <v>49.81271176773611</v>
      </c>
      <c r="K2906" s="5" t="n">
        <v>49</v>
      </c>
    </row>
    <row r="2907">
      <c r="A2907" s="2" t="n">
        <v>46218.5</v>
      </c>
      <c r="B2907">
        <f>TEXT(A2907,"yyyy-mm")</f>
        <v/>
      </c>
      <c r="C2907" s="3">
        <f>HOUR(A2907)</f>
        <v/>
      </c>
      <c r="D2907" s="4" t="n">
        <v>27.07548077748611</v>
      </c>
      <c r="E2907" s="4" t="n"/>
      <c r="F2907" s="4" t="n">
        <v>27.795114579575</v>
      </c>
      <c r="G2907" s="4" t="n">
        <v>25.8</v>
      </c>
      <c r="H2907" s="5" t="n">
        <v>44.63570378199445</v>
      </c>
      <c r="I2907" s="5" t="n"/>
      <c r="J2907" s="5" t="n">
        <v>49.63367404305833</v>
      </c>
      <c r="K2907" s="5" t="n">
        <v>47</v>
      </c>
    </row>
    <row r="2908">
      <c r="A2908" s="2" t="n">
        <v>46218.54166666666</v>
      </c>
      <c r="B2908">
        <f>TEXT(A2908,"yyyy-mm")</f>
        <v/>
      </c>
      <c r="C2908" s="3">
        <f>HOUR(A2908)</f>
        <v/>
      </c>
      <c r="D2908" s="4" t="n">
        <v>26.6576615709</v>
      </c>
      <c r="E2908" s="4" t="n"/>
      <c r="F2908" s="4" t="n">
        <v>27.80616668960833</v>
      </c>
      <c r="G2908" s="4" t="n">
        <v>26</v>
      </c>
      <c r="H2908" s="5" t="n">
        <v>41.38591345869722</v>
      </c>
      <c r="I2908" s="5" t="n"/>
      <c r="J2908" s="5" t="n">
        <v>49.483521707925</v>
      </c>
      <c r="K2908" s="5" t="n">
        <v>46</v>
      </c>
    </row>
    <row r="2909">
      <c r="A2909" s="2" t="n">
        <v>46218.58333333334</v>
      </c>
      <c r="B2909">
        <f>TEXT(A2909,"yyyy-mm")</f>
        <v/>
      </c>
      <c r="C2909" s="3">
        <f>HOUR(A2909)</f>
        <v/>
      </c>
      <c r="D2909" s="4" t="n">
        <v>25.48819735936389</v>
      </c>
      <c r="E2909" s="4" t="n"/>
      <c r="F2909" s="4" t="n">
        <v>27.81049992235833</v>
      </c>
      <c r="G2909" s="4" t="n">
        <v>26.2</v>
      </c>
      <c r="H2909" s="5" t="n">
        <v>38.31280430454445</v>
      </c>
      <c r="I2909" s="5" t="n"/>
      <c r="J2909" s="5" t="n">
        <v>49.21806453883056</v>
      </c>
      <c r="K2909" s="5" t="n">
        <v>47</v>
      </c>
    </row>
    <row r="2910">
      <c r="A2910" s="2" t="n">
        <v>46218.625</v>
      </c>
      <c r="B2910">
        <f>TEXT(A2910,"yyyy-mm")</f>
        <v/>
      </c>
      <c r="C2910" s="3">
        <f>HOUR(A2910)</f>
        <v/>
      </c>
      <c r="D2910" s="4" t="n">
        <v>25.03900564955556</v>
      </c>
      <c r="E2910" s="4" t="n"/>
      <c r="F2910" s="4" t="n">
        <v>27.79505188292778</v>
      </c>
      <c r="G2910" s="4" t="n">
        <v>26.9</v>
      </c>
      <c r="H2910" s="5" t="n">
        <v>37.39036400113333</v>
      </c>
      <c r="I2910" s="5" t="n"/>
      <c r="J2910" s="5" t="n">
        <v>48.86806084055556</v>
      </c>
      <c r="K2910" s="5" t="n">
        <v>44</v>
      </c>
    </row>
    <row r="2911">
      <c r="A2911" s="2" t="n">
        <v>46218.66666666666</v>
      </c>
      <c r="B2911">
        <f>TEXT(A2911,"yyyy-mm")</f>
        <v/>
      </c>
      <c r="C2911" s="3">
        <f>HOUR(A2911)</f>
        <v/>
      </c>
      <c r="D2911" s="4" t="n">
        <v>25.78978605916389</v>
      </c>
      <c r="E2911" s="4" t="n"/>
      <c r="F2911" s="4" t="n">
        <v>27.76977801523056</v>
      </c>
      <c r="G2911" s="4" t="n">
        <v>26.8</v>
      </c>
      <c r="H2911" s="5" t="n">
        <v>40.95386474645</v>
      </c>
      <c r="I2911" s="5" t="n"/>
      <c r="J2911" s="5" t="n">
        <v>48.61776566683056</v>
      </c>
      <c r="K2911" s="5" t="n">
        <v>45</v>
      </c>
    </row>
    <row r="2912">
      <c r="A2912" s="2" t="n">
        <v>46218.70833333334</v>
      </c>
      <c r="B2912">
        <f>TEXT(A2912,"yyyy-mm")</f>
        <v/>
      </c>
      <c r="C2912" s="3">
        <f>HOUR(A2912)</f>
        <v/>
      </c>
      <c r="D2912" s="4" t="n">
        <v>26.51820443411667</v>
      </c>
      <c r="E2912" s="4" t="n"/>
      <c r="F2912" s="4" t="n">
        <v>27.77940461074445</v>
      </c>
      <c r="G2912" s="4" t="n">
        <v>26.9</v>
      </c>
      <c r="H2912" s="5" t="n">
        <v>44.54044307255</v>
      </c>
      <c r="I2912" s="5" t="n"/>
      <c r="J2912" s="5" t="n">
        <v>48.72843003257501</v>
      </c>
      <c r="K2912" s="5" t="n">
        <v>45</v>
      </c>
    </row>
    <row r="2913">
      <c r="A2913" s="2" t="n">
        <v>46218.75</v>
      </c>
      <c r="B2913">
        <f>TEXT(A2913,"yyyy-mm")</f>
        <v/>
      </c>
      <c r="C2913" s="3">
        <f>HOUR(A2913)</f>
        <v/>
      </c>
      <c r="D2913" s="4" t="n">
        <v>26.78156378976389</v>
      </c>
      <c r="E2913" s="4" t="n">
        <v>28.66439973107478</v>
      </c>
      <c r="F2913" s="4" t="n">
        <v>27.80133705794166</v>
      </c>
      <c r="G2913" s="4" t="n">
        <v>26.5</v>
      </c>
      <c r="H2913" s="5" t="n">
        <v>46.85670625860278</v>
      </c>
      <c r="I2913" s="5" t="n">
        <v>42.76908062454815</v>
      </c>
      <c r="J2913" s="5" t="n">
        <v>48.80676074103611</v>
      </c>
      <c r="K2913" s="5" t="n">
        <v>46</v>
      </c>
    </row>
    <row r="2914">
      <c r="A2914" s="2" t="n">
        <v>46218.79166666666</v>
      </c>
      <c r="B2914">
        <f>TEXT(A2914,"yyyy-mm")</f>
        <v/>
      </c>
      <c r="C2914" s="3">
        <f>HOUR(A2914)</f>
        <v/>
      </c>
      <c r="D2914" s="4" t="n">
        <v>26.89636126828611</v>
      </c>
      <c r="E2914" s="4" t="n">
        <v>28.50073965905</v>
      </c>
      <c r="F2914" s="4" t="n">
        <v>27.82813046165556</v>
      </c>
      <c r="G2914" s="4" t="n">
        <v>26</v>
      </c>
      <c r="H2914" s="5" t="n">
        <v>47.31867084104445</v>
      </c>
      <c r="I2914" s="5" t="n">
        <v>44.74206823236944</v>
      </c>
      <c r="J2914" s="5" t="n">
        <v>48.87045859510834</v>
      </c>
      <c r="K2914" s="5" t="n">
        <v>48</v>
      </c>
    </row>
    <row r="2915">
      <c r="A2915" s="2" t="n">
        <v>46218.83333333334</v>
      </c>
      <c r="B2915">
        <f>TEXT(A2915,"yyyy-mm")</f>
        <v/>
      </c>
      <c r="C2915" s="3">
        <f>HOUR(A2915)</f>
        <v/>
      </c>
      <c r="D2915" s="4" t="n">
        <v>26.81325243000833</v>
      </c>
      <c r="E2915" s="4" t="n">
        <v>28.43924932905</v>
      </c>
      <c r="F2915" s="4" t="n">
        <v>27.84765455431389</v>
      </c>
      <c r="G2915" s="4" t="n">
        <v>24.7</v>
      </c>
      <c r="H2915" s="5" t="n">
        <v>47.187114776175</v>
      </c>
      <c r="I2915" s="5" t="n">
        <v>46.23799201106667</v>
      </c>
      <c r="J2915" s="5" t="n">
        <v>48.95769678370834</v>
      </c>
      <c r="K2915" s="5" t="n">
        <v>60</v>
      </c>
    </row>
    <row r="2916">
      <c r="A2916" s="2" t="n">
        <v>46218.875</v>
      </c>
      <c r="B2916">
        <f>TEXT(A2916,"yyyy-mm")</f>
        <v/>
      </c>
      <c r="C2916" s="3">
        <f>HOUR(A2916)</f>
        <v/>
      </c>
      <c r="D2916" s="4" t="n">
        <v>26.66574064951111</v>
      </c>
      <c r="E2916" s="4" t="n">
        <v>28.41025992356667</v>
      </c>
      <c r="F2916" s="4" t="n">
        <v>27.86071000586945</v>
      </c>
      <c r="G2916" s="4" t="n">
        <v>23.3</v>
      </c>
      <c r="H2916" s="5" t="n">
        <v>47.96227410293611</v>
      </c>
      <c r="I2916" s="5" t="n">
        <v>46.24783393698889</v>
      </c>
      <c r="J2916" s="5" t="n">
        <v>48.97634689841389</v>
      </c>
      <c r="K2916" s="5" t="n">
        <v>65</v>
      </c>
    </row>
    <row r="2917">
      <c r="A2917" s="2" t="n">
        <v>46218.91666666666</v>
      </c>
      <c r="B2917">
        <f>TEXT(A2917,"yyyy-mm")</f>
        <v/>
      </c>
      <c r="C2917" s="3">
        <f>HOUR(A2917)</f>
        <v/>
      </c>
      <c r="D2917" s="4" t="n">
        <v>26.22169733882778</v>
      </c>
      <c r="E2917" s="4" t="n">
        <v>28.24384824198611</v>
      </c>
      <c r="F2917" s="4" t="n">
        <v>27.87529332236944</v>
      </c>
      <c r="G2917" s="4" t="n">
        <v>22.4</v>
      </c>
      <c r="H2917" s="5" t="n">
        <v>47.70997300534166</v>
      </c>
      <c r="I2917" s="5" t="n">
        <v>45.93224248829444</v>
      </c>
      <c r="J2917" s="5" t="n">
        <v>48.89811937173889</v>
      </c>
      <c r="K2917" s="5" t="n">
        <v>69</v>
      </c>
    </row>
    <row r="2918">
      <c r="A2918" s="2" t="n">
        <v>46218.95833333334</v>
      </c>
      <c r="B2918">
        <f>TEXT(A2918,"yyyy-mm")</f>
        <v/>
      </c>
      <c r="C2918" s="3">
        <f>HOUR(A2918)</f>
        <v/>
      </c>
      <c r="D2918" s="4" t="n">
        <v>26.01580945722223</v>
      </c>
      <c r="E2918" s="4" t="n">
        <v>28.27999741497777</v>
      </c>
      <c r="F2918" s="4" t="n">
        <v>27.86990447569444</v>
      </c>
      <c r="G2918" s="4" t="n">
        <v>21.7</v>
      </c>
      <c r="H2918" s="5" t="n">
        <v>48.21536191479722</v>
      </c>
      <c r="I2918" s="5" t="n">
        <v>46.24525926335278</v>
      </c>
      <c r="J2918" s="5" t="n">
        <v>48.85500098368612</v>
      </c>
      <c r="K2918" s="5" t="n">
        <v>72</v>
      </c>
    </row>
    <row r="2919">
      <c r="A2919" s="2" t="n">
        <v>46219</v>
      </c>
      <c r="B2919">
        <f>TEXT(A2919,"yyyy-mm")</f>
        <v/>
      </c>
      <c r="C2919" s="3">
        <f>HOUR(A2919)</f>
        <v/>
      </c>
      <c r="D2919" s="4" t="n">
        <v>25.71865239071944</v>
      </c>
      <c r="E2919" s="4" t="n">
        <v>28.31467699558333</v>
      </c>
      <c r="F2919" s="4" t="n">
        <v>27.87143178808612</v>
      </c>
      <c r="G2919" s="4" t="n">
        <v>20.8</v>
      </c>
      <c r="H2919" s="5" t="n">
        <v>50.47325094359167</v>
      </c>
      <c r="I2919" s="5" t="n">
        <v>45.22368411635833</v>
      </c>
      <c r="J2919" s="5" t="n">
        <v>48.82441591117777</v>
      </c>
      <c r="K2919" s="5" t="n">
        <v>76</v>
      </c>
    </row>
    <row r="2920">
      <c r="A2920" s="2" t="n">
        <v>46219.04166666666</v>
      </c>
      <c r="B2920">
        <f>TEXT(A2920,"yyyy-mm")</f>
        <v/>
      </c>
      <c r="C2920" s="3">
        <f>HOUR(A2920)</f>
        <v/>
      </c>
      <c r="D2920" s="4" t="n">
        <v>25.29326886281666</v>
      </c>
      <c r="E2920" s="4" t="n">
        <v>28.05007985341389</v>
      </c>
      <c r="F2920" s="4" t="n">
        <v>27.92753053202778</v>
      </c>
      <c r="G2920" s="4" t="n">
        <v>20</v>
      </c>
      <c r="H2920" s="5" t="n">
        <v>51.99914635479445</v>
      </c>
      <c r="I2920" s="5" t="n">
        <v>47.33118267908889</v>
      </c>
      <c r="J2920" s="5" t="n">
        <v>48.79037673466389</v>
      </c>
      <c r="K2920" s="5" t="n">
        <v>80</v>
      </c>
    </row>
    <row r="2921">
      <c r="A2921" s="2" t="n">
        <v>46219.08333333334</v>
      </c>
      <c r="B2921">
        <f>TEXT(A2921,"yyyy-mm")</f>
        <v/>
      </c>
      <c r="C2921" s="3">
        <f>HOUR(A2921)</f>
        <v/>
      </c>
      <c r="D2921" s="4" t="n">
        <v>24.75851207474166</v>
      </c>
      <c r="E2921" s="4" t="n">
        <v>27.74679607171389</v>
      </c>
      <c r="F2921" s="4" t="n">
        <v>27.97603736961666</v>
      </c>
      <c r="G2921" s="4" t="n">
        <v>19.3</v>
      </c>
      <c r="H2921" s="5" t="n">
        <v>54.38532601875556</v>
      </c>
      <c r="I2921" s="5" t="n">
        <v>47.48446188430278</v>
      </c>
      <c r="J2921" s="5" t="n">
        <v>48.85078554378611</v>
      </c>
      <c r="K2921" s="5" t="n">
        <v>84</v>
      </c>
    </row>
    <row r="2922">
      <c r="A2922" s="2" t="n">
        <v>46219.125</v>
      </c>
      <c r="B2922">
        <f>TEXT(A2922,"yyyy-mm")</f>
        <v/>
      </c>
      <c r="C2922" s="3">
        <f>HOUR(A2922)</f>
        <v/>
      </c>
      <c r="D2922" s="4" t="n">
        <v>24.31828905970556</v>
      </c>
      <c r="E2922" s="4" t="n">
        <v>27.529062935175</v>
      </c>
      <c r="F2922" s="4" t="n">
        <v>27.91915322535556</v>
      </c>
      <c r="G2922" s="4" t="n">
        <v>18.7</v>
      </c>
      <c r="H2922" s="5" t="n">
        <v>56.38802355830556</v>
      </c>
      <c r="I2922" s="5" t="n">
        <v>47.99213736500833</v>
      </c>
      <c r="J2922" s="5" t="n">
        <v>49.06631188340555</v>
      </c>
      <c r="K2922" s="5" t="n">
        <v>89</v>
      </c>
    </row>
    <row r="2923">
      <c r="A2923" s="2" t="n">
        <v>46219.16666666666</v>
      </c>
      <c r="B2923">
        <f>TEXT(A2923,"yyyy-mm")</f>
        <v/>
      </c>
      <c r="C2923" s="3">
        <f>HOUR(A2923)</f>
        <v/>
      </c>
      <c r="D2923" s="4" t="n">
        <v>23.91063018920278</v>
      </c>
      <c r="E2923" s="4" t="n">
        <v>27.33682729976111</v>
      </c>
      <c r="F2923" s="4" t="n">
        <v>27.89475007917222</v>
      </c>
      <c r="G2923" s="4" t="n">
        <v>18.3</v>
      </c>
      <c r="H2923" s="5" t="n">
        <v>58.42326809425833</v>
      </c>
      <c r="I2923" s="5" t="n">
        <v>48.62907653266944</v>
      </c>
      <c r="J2923" s="5" t="n">
        <v>49.21175612832223</v>
      </c>
      <c r="K2923" s="5" t="n">
        <v>91</v>
      </c>
    </row>
    <row r="2924">
      <c r="A2924" s="2" t="n">
        <v>46219.20833333334</v>
      </c>
      <c r="B2924">
        <f>TEXT(A2924,"yyyy-mm")</f>
        <v/>
      </c>
      <c r="C2924" s="3">
        <f>HOUR(A2924)</f>
        <v/>
      </c>
      <c r="D2924" s="4" t="n">
        <v>23.65581132035833</v>
      </c>
      <c r="E2924" s="4" t="n">
        <v>27.24371271138889</v>
      </c>
      <c r="F2924" s="4" t="n">
        <v>27.878405023075</v>
      </c>
      <c r="G2924" s="4" t="n">
        <v>17.9</v>
      </c>
      <c r="H2924" s="5" t="n">
        <v>59.36861291342501</v>
      </c>
      <c r="I2924" s="5" t="n">
        <v>48.75309654628333</v>
      </c>
      <c r="J2924" s="5" t="n">
        <v>49.25218129410278</v>
      </c>
      <c r="K2924" s="5" t="n">
        <v>92</v>
      </c>
    </row>
    <row r="2925">
      <c r="A2925" s="2" t="n">
        <v>46219.25</v>
      </c>
      <c r="B2925">
        <f>TEXT(A2925,"yyyy-mm")</f>
        <v/>
      </c>
      <c r="C2925" s="3">
        <f>HOUR(A2925)</f>
        <v/>
      </c>
      <c r="D2925" s="4" t="n">
        <v>24.69930154914723</v>
      </c>
      <c r="E2925" s="4" t="n">
        <v>27.372852031375</v>
      </c>
      <c r="F2925" s="4" t="n">
        <v>27.86242076073333</v>
      </c>
      <c r="G2925" s="4" t="n">
        <v>18.2</v>
      </c>
      <c r="H2925" s="5" t="n">
        <v>55.14984038391389</v>
      </c>
      <c r="I2925" s="5" t="n">
        <v>48.19985076208889</v>
      </c>
      <c r="J2925" s="5" t="n">
        <v>49.26383029070001</v>
      </c>
      <c r="K2925" s="5" t="n">
        <v>90</v>
      </c>
    </row>
    <row r="2926">
      <c r="A2926" s="2" t="n">
        <v>46219.29166666666</v>
      </c>
      <c r="B2926">
        <f>TEXT(A2926,"yyyy-mm")</f>
        <v/>
      </c>
      <c r="C2926" s="3">
        <f>HOUR(A2926)</f>
        <v/>
      </c>
      <c r="D2926" s="4" t="n">
        <v>25.92356403645</v>
      </c>
      <c r="E2926" s="4" t="n">
        <v>27.72041222448889</v>
      </c>
      <c r="F2926" s="4" t="n">
        <v>27.86371074913611</v>
      </c>
      <c r="G2926" s="4" t="n">
        <v>19</v>
      </c>
      <c r="H2926" s="5" t="n">
        <v>50.43168190907222</v>
      </c>
      <c r="I2926" s="5" t="n">
        <v>46.74166109369444</v>
      </c>
      <c r="J2926" s="5" t="n">
        <v>49.17827011643612</v>
      </c>
      <c r="K2926" s="5" t="n">
        <v>83</v>
      </c>
    </row>
    <row r="2927">
      <c r="A2927" s="2" t="n">
        <v>46219.33333333334</v>
      </c>
      <c r="B2927">
        <f>TEXT(A2927,"yyyy-mm")</f>
        <v/>
      </c>
      <c r="C2927" s="3">
        <f>HOUR(A2927)</f>
        <v/>
      </c>
      <c r="D2927" s="4" t="n">
        <v>26.67915626289722</v>
      </c>
      <c r="E2927" s="4" t="n">
        <v>27.98610062249445</v>
      </c>
      <c r="F2927" s="4" t="n">
        <v>27.888161633925</v>
      </c>
      <c r="G2927" s="4" t="n">
        <v>20.1</v>
      </c>
      <c r="H2927" s="5" t="n">
        <v>47.546626919025</v>
      </c>
      <c r="I2927" s="5" t="n">
        <v>45.30995275171112</v>
      </c>
      <c r="J2927" s="5" t="n">
        <v>49.08908472559167</v>
      </c>
      <c r="K2927" s="5" t="n">
        <v>76</v>
      </c>
    </row>
    <row r="2928">
      <c r="A2928" s="2" t="n">
        <v>46219.375</v>
      </c>
      <c r="B2928">
        <f>TEXT(A2928,"yyyy-mm")</f>
        <v/>
      </c>
      <c r="C2928" s="3">
        <f>HOUR(A2928)</f>
        <v/>
      </c>
      <c r="D2928" s="4" t="n">
        <v>26.84075741698611</v>
      </c>
      <c r="E2928" s="4" t="n">
        <v>28.02416878482222</v>
      </c>
      <c r="F2928" s="4" t="n">
        <v>28.05087174251945</v>
      </c>
      <c r="G2928" s="4" t="n">
        <v>21.3</v>
      </c>
      <c r="H2928" s="5" t="n">
        <v>47.70995728172222</v>
      </c>
      <c r="I2928" s="5" t="n">
        <v>45.15577645584445</v>
      </c>
      <c r="J2928" s="5" t="n">
        <v>48.75712441639167</v>
      </c>
      <c r="K2928" s="5" t="n">
        <v>69</v>
      </c>
    </row>
    <row r="2929">
      <c r="A2929" s="2" t="n">
        <v>46219.41666666666</v>
      </c>
      <c r="B2929">
        <f>TEXT(A2929,"yyyy-mm")</f>
        <v/>
      </c>
      <c r="C2929" s="3">
        <f>HOUR(A2929)</f>
        <v/>
      </c>
      <c r="D2929" s="4" t="n">
        <v>26.86714907935</v>
      </c>
      <c r="E2929" s="4" t="n">
        <v>28.37770819056111</v>
      </c>
      <c r="F2929" s="4" t="n">
        <v>27.95134313437778</v>
      </c>
      <c r="G2929" s="4" t="n">
        <v>22.4</v>
      </c>
      <c r="H2929" s="5" t="n">
        <v>47.15179104063611</v>
      </c>
      <c r="I2929" s="5" t="n">
        <v>50.31852870735833</v>
      </c>
      <c r="J2929" s="5" t="n">
        <v>49.00620973715278</v>
      </c>
      <c r="K2929" s="5" t="n">
        <v>62</v>
      </c>
    </row>
    <row r="2930">
      <c r="A2930" s="2" t="n">
        <v>46219.45833333334</v>
      </c>
      <c r="B2930">
        <f>TEXT(A2930,"yyyy-mm")</f>
        <v/>
      </c>
      <c r="C2930" s="3">
        <f>HOUR(A2930)</f>
        <v/>
      </c>
      <c r="D2930" s="4" t="n">
        <v>26.99807626244167</v>
      </c>
      <c r="E2930" s="4" t="n">
        <v>28.3681878344</v>
      </c>
      <c r="F2930" s="4" t="n">
        <v>27.90563855975833</v>
      </c>
      <c r="G2930" s="4" t="n">
        <v>23.6</v>
      </c>
      <c r="H2930" s="5" t="n">
        <v>42.87597383381111</v>
      </c>
      <c r="I2930" s="5" t="n">
        <v>45.4544766067111</v>
      </c>
      <c r="J2930" s="5" t="n">
        <v>49.19728225946944</v>
      </c>
      <c r="K2930" s="5" t="n">
        <v>55</v>
      </c>
    </row>
    <row r="2931">
      <c r="A2931" s="2" t="n">
        <v>46219.5</v>
      </c>
      <c r="B2931">
        <f>TEXT(A2931,"yyyy-mm")</f>
        <v/>
      </c>
      <c r="C2931" s="3">
        <f>HOUR(A2931)</f>
        <v/>
      </c>
      <c r="D2931" s="4" t="n">
        <v>26.01460958203611</v>
      </c>
      <c r="E2931" s="4" t="n">
        <v>28.02846274931944</v>
      </c>
      <c r="F2931" s="4" t="n">
        <v>27.92739688763611</v>
      </c>
      <c r="G2931" s="4" t="n">
        <v>23.9</v>
      </c>
      <c r="H2931" s="5" t="n">
        <v>39.73853289737777</v>
      </c>
      <c r="I2931" s="5" t="n">
        <v>40.20629019969444</v>
      </c>
      <c r="J2931" s="5" t="n">
        <v>49.07991916522778</v>
      </c>
      <c r="K2931" s="5" t="n">
        <v>49</v>
      </c>
    </row>
    <row r="2932">
      <c r="A2932" s="2" t="n">
        <v>46219.54166666666</v>
      </c>
      <c r="B2932">
        <f>TEXT(A2932,"yyyy-mm")</f>
        <v/>
      </c>
      <c r="C2932" s="3">
        <f>HOUR(A2932)</f>
        <v/>
      </c>
      <c r="D2932" s="4" t="n">
        <v>25.75047871318333</v>
      </c>
      <c r="E2932" s="4" t="n">
        <v>27.65122681468056</v>
      </c>
      <c r="F2932" s="4" t="n">
        <v>27.89659944382778</v>
      </c>
      <c r="G2932" s="4" t="n">
        <v>24.5</v>
      </c>
      <c r="H2932" s="5" t="n">
        <v>42.29255679877777</v>
      </c>
      <c r="I2932" s="5" t="n">
        <v>39.85104259344444</v>
      </c>
      <c r="J2932" s="5" t="n">
        <v>48.82352064738056</v>
      </c>
      <c r="K2932" s="5" t="n">
        <v>43</v>
      </c>
    </row>
    <row r="2933">
      <c r="A2933" s="2" t="n">
        <v>46219.58333333334</v>
      </c>
      <c r="B2933">
        <f>TEXT(A2933,"yyyy-mm")</f>
        <v/>
      </c>
      <c r="C2933" s="3">
        <f>HOUR(A2933)</f>
        <v/>
      </c>
      <c r="D2933" s="4" t="n">
        <v>26.26230405404722</v>
      </c>
      <c r="E2933" s="4" t="n">
        <v>27.62090275944444</v>
      </c>
      <c r="F2933" s="4" t="n">
        <v>27.90347978936944</v>
      </c>
      <c r="G2933" s="4" t="n">
        <v>24.7</v>
      </c>
      <c r="H2933" s="5" t="n">
        <v>50.6175632185</v>
      </c>
      <c r="I2933" s="5" t="n">
        <v>47.05112944291389</v>
      </c>
      <c r="J2933" s="5" t="n">
        <v>49.12474899061667</v>
      </c>
      <c r="K2933" s="5" t="n">
        <v>42</v>
      </c>
    </row>
    <row r="2934">
      <c r="A2934" s="2" t="n">
        <v>46219.625</v>
      </c>
      <c r="B2934">
        <f>TEXT(A2934,"yyyy-mm")</f>
        <v/>
      </c>
      <c r="C2934" s="3">
        <f>HOUR(A2934)</f>
        <v/>
      </c>
      <c r="D2934" s="4" t="n">
        <v>26.48015076005278</v>
      </c>
      <c r="E2934" s="4" t="n">
        <v>27.921485505325</v>
      </c>
      <c r="F2934" s="4" t="n">
        <v>28.07214039733056</v>
      </c>
      <c r="G2934" s="4" t="n">
        <v>25.3</v>
      </c>
      <c r="H2934" s="5" t="n">
        <v>51.00404187587501</v>
      </c>
      <c r="I2934" s="5" t="n">
        <v>48.39262463984722</v>
      </c>
      <c r="J2934" s="5" t="n">
        <v>49.88897734745</v>
      </c>
      <c r="K2934" s="5" t="n">
        <v>41</v>
      </c>
    </row>
    <row r="2935">
      <c r="A2935" s="2" t="n">
        <v>46219.66666666666</v>
      </c>
      <c r="B2935">
        <f>TEXT(A2935,"yyyy-mm")</f>
        <v/>
      </c>
      <c r="C2935" s="3">
        <f>HOUR(A2935)</f>
        <v/>
      </c>
      <c r="D2935" s="4" t="n">
        <v>26.28631008052778</v>
      </c>
      <c r="E2935" s="4" t="n">
        <v>27.87805864473889</v>
      </c>
      <c r="F2935" s="4" t="n">
        <v>28.21060511096944</v>
      </c>
      <c r="G2935" s="4" t="n">
        <v>25.2</v>
      </c>
      <c r="H2935" s="5" t="n">
        <v>51.20504655858889</v>
      </c>
      <c r="I2935" s="5" t="n">
        <v>48.05947893565</v>
      </c>
      <c r="J2935" s="5" t="n">
        <v>50.09360894309444</v>
      </c>
      <c r="K2935" s="5" t="n">
        <v>40</v>
      </c>
    </row>
    <row r="2936">
      <c r="A2936" s="2" t="n">
        <v>46219.70833333334</v>
      </c>
      <c r="B2936">
        <f>TEXT(A2936,"yyyy-mm")</f>
        <v/>
      </c>
      <c r="C2936" s="3">
        <f>HOUR(A2936)</f>
        <v/>
      </c>
      <c r="D2936" s="4" t="n">
        <v>25.23846876196944</v>
      </c>
      <c r="E2936" s="4" t="n">
        <v>27.49200414553611</v>
      </c>
      <c r="F2936" s="4" t="n">
        <v>28.0449068103</v>
      </c>
      <c r="G2936" s="4" t="n">
        <v>25</v>
      </c>
      <c r="H2936" s="5" t="n">
        <v>46.28447200179445</v>
      </c>
      <c r="I2936" s="5" t="n">
        <v>43.03072358725277</v>
      </c>
      <c r="J2936" s="5" t="n">
        <v>49.62955760984722</v>
      </c>
      <c r="K2936" s="5" t="n">
        <v>40</v>
      </c>
    </row>
    <row r="2937">
      <c r="A2937" s="2" t="n">
        <v>46219.75</v>
      </c>
      <c r="B2937">
        <f>TEXT(A2937,"yyyy-mm")</f>
        <v/>
      </c>
      <c r="C2937" s="3">
        <f>HOUR(A2937)</f>
        <v/>
      </c>
      <c r="D2937" s="4" t="n">
        <v>25.96836924283611</v>
      </c>
      <c r="E2937" s="4" t="n">
        <v>27.58174599323334</v>
      </c>
      <c r="F2937" s="4" t="n">
        <v>27.990800276</v>
      </c>
      <c r="G2937" s="4" t="n">
        <v>24.4</v>
      </c>
      <c r="H2937" s="5" t="n">
        <v>54.92028242821944</v>
      </c>
      <c r="I2937" s="5" t="n">
        <v>50.35237696433055</v>
      </c>
      <c r="J2937" s="5" t="n">
        <v>49.53814954046667</v>
      </c>
      <c r="K2937" s="5" t="n">
        <v>44</v>
      </c>
    </row>
    <row r="2938">
      <c r="A2938" s="2" t="n">
        <v>46219.79166666666</v>
      </c>
      <c r="B2938">
        <f>TEXT(A2938,"yyyy-mm")</f>
        <v/>
      </c>
      <c r="C2938" s="3">
        <f>HOUR(A2938)</f>
        <v/>
      </c>
      <c r="D2938" s="4" t="n">
        <v>26.3813864988</v>
      </c>
      <c r="E2938" s="4" t="n">
        <v>27.96163511530555</v>
      </c>
      <c r="F2938" s="4" t="n">
        <v>27.99600594082777</v>
      </c>
      <c r="G2938" s="4" t="n">
        <v>23.5</v>
      </c>
      <c r="H2938" s="5" t="n">
        <v>53.83956553474723</v>
      </c>
      <c r="I2938" s="5" t="n">
        <v>50.36764481144167</v>
      </c>
      <c r="J2938" s="5" t="n">
        <v>49.58330597361388</v>
      </c>
      <c r="K2938" s="5" t="n">
        <v>50</v>
      </c>
    </row>
    <row r="2939">
      <c r="A2939" s="2" t="n">
        <v>46219.83333333334</v>
      </c>
      <c r="B2939">
        <f>TEXT(A2939,"yyyy-mm")</f>
        <v/>
      </c>
      <c r="C2939" s="3">
        <f>HOUR(A2939)</f>
        <v/>
      </c>
      <c r="D2939" s="4" t="n">
        <v>26.41847248801944</v>
      </c>
      <c r="E2939" s="4" t="n">
        <v>27.84322082502778</v>
      </c>
      <c r="F2939" s="4" t="n">
        <v>27.99383333128611</v>
      </c>
      <c r="G2939" s="4" t="n">
        <v>22.5</v>
      </c>
      <c r="H2939" s="5" t="n">
        <v>50.32039186955277</v>
      </c>
      <c r="I2939" s="5" t="n">
        <v>48.55141862331389</v>
      </c>
      <c r="J2939" s="5" t="n">
        <v>49.568638620975</v>
      </c>
      <c r="K2939" s="5" t="n">
        <v>56</v>
      </c>
    </row>
    <row r="2940">
      <c r="A2940" s="2" t="n">
        <v>46219.875</v>
      </c>
      <c r="B2940">
        <f>TEXT(A2940,"yyyy-mm")</f>
        <v/>
      </c>
      <c r="C2940" s="3">
        <f>HOUR(A2940)</f>
        <v/>
      </c>
      <c r="D2940" s="4" t="n">
        <v>25.61187536420277</v>
      </c>
      <c r="E2940" s="4" t="n">
        <v>27.33695196191111</v>
      </c>
      <c r="F2940" s="4" t="n">
        <v>28.04639613234166</v>
      </c>
      <c r="G2940" s="4" t="n">
        <v>21.3</v>
      </c>
      <c r="H2940" s="5" t="n">
        <v>45.42571779293889</v>
      </c>
      <c r="I2940" s="5" t="n">
        <v>45.05593262485556</v>
      </c>
      <c r="J2940" s="5" t="n">
        <v>49.41135894598056</v>
      </c>
      <c r="K2940" s="5" t="n">
        <v>62</v>
      </c>
    </row>
    <row r="2941">
      <c r="A2941" s="2" t="n">
        <v>46219.91666666666</v>
      </c>
      <c r="B2941">
        <f>TEXT(A2941,"yyyy-mm")</f>
        <v/>
      </c>
      <c r="C2941" s="3">
        <f>HOUR(A2941)</f>
        <v/>
      </c>
      <c r="D2941" s="4" t="n">
        <v>25.65391298435833</v>
      </c>
      <c r="E2941" s="4" t="n">
        <v>27.58113702776112</v>
      </c>
      <c r="F2941" s="4" t="n">
        <v>28.21680567996111</v>
      </c>
      <c r="G2941" s="4" t="n">
        <v>20.3</v>
      </c>
      <c r="H2941" s="5" t="n">
        <v>45.76889798354444</v>
      </c>
      <c r="I2941" s="5" t="n">
        <v>44.37083962533611</v>
      </c>
      <c r="J2941" s="5" t="n">
        <v>49.03038497103889</v>
      </c>
      <c r="K2941" s="5" t="n">
        <v>67</v>
      </c>
    </row>
    <row r="2942">
      <c r="A2942" s="2" t="n">
        <v>46219.95833333334</v>
      </c>
      <c r="B2942">
        <f>TEXT(A2942,"yyyy-mm")</f>
        <v/>
      </c>
      <c r="C2942" s="3">
        <f>HOUR(A2942)</f>
        <v/>
      </c>
      <c r="D2942" s="4" t="n">
        <v>24.20987019570833</v>
      </c>
      <c r="E2942" s="4" t="n">
        <v>26.99462538433333</v>
      </c>
      <c r="F2942" s="4" t="n">
        <v>28.25568296128611</v>
      </c>
      <c r="G2942" s="4" t="n">
        <v>19.5</v>
      </c>
      <c r="H2942" s="5" t="n">
        <v>40.74740697275833</v>
      </c>
      <c r="I2942" s="5" t="n">
        <v>37.91762726173334</v>
      </c>
      <c r="J2942" s="5" t="n">
        <v>48.077666038575</v>
      </c>
      <c r="K2942" s="5" t="n">
        <v>72</v>
      </c>
    </row>
    <row r="2943">
      <c r="A2943" s="2" t="n">
        <v>46220</v>
      </c>
      <c r="B2943">
        <f>TEXT(A2943,"yyyy-mm")</f>
        <v/>
      </c>
      <c r="C2943" s="3">
        <f>HOUR(A2943)</f>
        <v/>
      </c>
      <c r="D2943" s="4" t="n">
        <v>25.300989070975</v>
      </c>
      <c r="E2943" s="4" t="n">
        <v>27.2844764642</v>
      </c>
      <c r="F2943" s="4" t="n">
        <v>28.08663952779445</v>
      </c>
      <c r="G2943" s="4" t="n">
        <v>19</v>
      </c>
      <c r="H2943" s="5" t="n">
        <v>46.43406618423611</v>
      </c>
      <c r="I2943" s="5" t="n">
        <v>44.1562184465</v>
      </c>
      <c r="J2943" s="5" t="n">
        <v>47.96612084849445</v>
      </c>
      <c r="K2943" s="5" t="n">
        <v>75</v>
      </c>
    </row>
    <row r="2944">
      <c r="A2944" s="2" t="n">
        <v>46220.04166666666</v>
      </c>
      <c r="B2944">
        <f>TEXT(A2944,"yyyy-mm")</f>
        <v/>
      </c>
      <c r="C2944" s="3">
        <f>HOUR(A2944)</f>
        <v/>
      </c>
      <c r="D2944" s="4" t="n">
        <v>23.88267067352778</v>
      </c>
      <c r="E2944" s="4" t="n">
        <v>27.26602394708055</v>
      </c>
      <c r="F2944" s="4" t="n">
        <v>28.53163751349445</v>
      </c>
      <c r="G2944" s="4" t="n">
        <v>18.2</v>
      </c>
      <c r="H2944" s="5" t="n">
        <v>54.06822559261389</v>
      </c>
      <c r="I2944" s="5" t="n">
        <v>46.34059790666389</v>
      </c>
      <c r="J2944" s="5" t="n">
        <v>48.50264453040555</v>
      </c>
      <c r="K2944" s="5" t="n">
        <v>77</v>
      </c>
    </row>
    <row r="2945">
      <c r="A2945" s="2" t="n">
        <v>46220.08333333334</v>
      </c>
      <c r="B2945">
        <f>TEXT(A2945,"yyyy-mm")</f>
        <v/>
      </c>
      <c r="C2945" s="3">
        <f>HOUR(A2945)</f>
        <v/>
      </c>
      <c r="D2945" s="4" t="n">
        <v>22.967273176425</v>
      </c>
      <c r="E2945" s="4" t="n">
        <v>26.65589333449167</v>
      </c>
      <c r="F2945" s="4" t="n">
        <v>28.53804383571945</v>
      </c>
      <c r="G2945" s="4" t="n">
        <v>17.4</v>
      </c>
      <c r="H2945" s="5" t="n">
        <v>56.04139912957778</v>
      </c>
      <c r="I2945" s="5" t="n">
        <v>47.10877320506111</v>
      </c>
      <c r="J2945" s="5" t="n">
        <v>48.90685147378611</v>
      </c>
      <c r="K2945" s="5" t="n">
        <v>81</v>
      </c>
    </row>
    <row r="2946">
      <c r="A2946" s="2" t="n">
        <v>46220.125</v>
      </c>
      <c r="B2946">
        <f>TEXT(A2946,"yyyy-mm")</f>
        <v/>
      </c>
      <c r="C2946" s="3">
        <f>HOUR(A2946)</f>
        <v/>
      </c>
      <c r="D2946" s="4" t="n">
        <v>22.79121532773055</v>
      </c>
      <c r="E2946" s="4" t="n">
        <v>26.42049627312222</v>
      </c>
      <c r="F2946" s="4" t="n">
        <v>28.55370535696389</v>
      </c>
      <c r="G2946" s="4" t="n">
        <v>16.2</v>
      </c>
      <c r="H2946" s="5" t="n">
        <v>54.60637933513889</v>
      </c>
      <c r="I2946" s="5" t="n">
        <v>46.25999865046666</v>
      </c>
      <c r="J2946" s="5" t="n">
        <v>49.05351327125833</v>
      </c>
      <c r="K2946" s="5" t="n">
        <v>87</v>
      </c>
    </row>
    <row r="2947">
      <c r="A2947" s="2" t="n">
        <v>46220.16666666666</v>
      </c>
      <c r="B2947">
        <f>TEXT(A2947,"yyyy-mm")</f>
        <v/>
      </c>
      <c r="C2947" s="3">
        <f>HOUR(A2947)</f>
        <v/>
      </c>
      <c r="D2947" s="4" t="n">
        <v>22.71770080591666</v>
      </c>
      <c r="E2947" s="4" t="n">
        <v>25.96626435378611</v>
      </c>
      <c r="F2947" s="4" t="n">
        <v>28.628844931225</v>
      </c>
      <c r="G2947" s="4" t="n">
        <v>15.8</v>
      </c>
      <c r="H2947" s="5" t="n">
        <v>51.75208851335555</v>
      </c>
      <c r="I2947" s="5" t="n">
        <v>44.70464960666112</v>
      </c>
      <c r="J2947" s="5" t="n">
        <v>48.84356551481667</v>
      </c>
      <c r="K2947" s="5" t="n">
        <v>89</v>
      </c>
    </row>
    <row r="2948">
      <c r="A2948" s="2" t="n">
        <v>46220.20833333334</v>
      </c>
      <c r="B2948">
        <f>TEXT(A2948,"yyyy-mm")</f>
        <v/>
      </c>
      <c r="C2948" s="3">
        <f>HOUR(A2948)</f>
        <v/>
      </c>
      <c r="D2948" s="4" t="n">
        <v>23.24477190573611</v>
      </c>
      <c r="E2948" s="4" t="n">
        <v>25.63022847758889</v>
      </c>
      <c r="F2948" s="4" t="n">
        <v>28.66301172831111</v>
      </c>
      <c r="G2948" s="4" t="n">
        <v>15.4</v>
      </c>
      <c r="H2948" s="5" t="n">
        <v>48.40836436204444</v>
      </c>
      <c r="I2948" s="5" t="n">
        <v>43.34828011913611</v>
      </c>
      <c r="J2948" s="5" t="n">
        <v>48.52853805056111</v>
      </c>
      <c r="K2948" s="5" t="n">
        <v>88</v>
      </c>
    </row>
    <row r="2949">
      <c r="A2949" s="2" t="n">
        <v>46220.25</v>
      </c>
      <c r="B2949">
        <f>TEXT(A2949,"yyyy-mm")</f>
        <v/>
      </c>
      <c r="C2949" s="3">
        <f>HOUR(A2949)</f>
        <v/>
      </c>
      <c r="D2949" s="4" t="n">
        <v>24.04888646914722</v>
      </c>
      <c r="E2949" s="4" t="n">
        <v>25.57707657531389</v>
      </c>
      <c r="F2949" s="4" t="n">
        <v>28.68595174436389</v>
      </c>
      <c r="G2949" s="4" t="n">
        <v>15.4</v>
      </c>
      <c r="H2949" s="5" t="n">
        <v>44.51638054913334</v>
      </c>
      <c r="I2949" s="5" t="n">
        <v>41.96321131009723</v>
      </c>
      <c r="J2949" s="5" t="n">
        <v>48.20911724679723</v>
      </c>
      <c r="K2949" s="5" t="n">
        <v>79</v>
      </c>
    </row>
    <row r="2950">
      <c r="A2950" s="2" t="n">
        <v>46220.29166666666</v>
      </c>
      <c r="B2950">
        <f>TEXT(A2950,"yyyy-mm")</f>
        <v/>
      </c>
      <c r="C2950" s="3">
        <f>HOUR(A2950)</f>
        <v/>
      </c>
      <c r="D2950" s="4" t="n">
        <v>24.62540439536389</v>
      </c>
      <c r="E2950" s="4" t="n">
        <v>25.59955057485556</v>
      </c>
      <c r="F2950" s="4" t="n">
        <v>28.69756372394444</v>
      </c>
      <c r="G2950" s="4" t="n">
        <v>15.8</v>
      </c>
      <c r="H2950" s="5" t="n">
        <v>41.08442420026667</v>
      </c>
      <c r="I2950" s="5" t="n">
        <v>40.07766304238334</v>
      </c>
      <c r="J2950" s="5" t="n">
        <v>47.8062483576</v>
      </c>
      <c r="K2950" s="5" t="n">
        <v>70</v>
      </c>
    </row>
    <row r="2951">
      <c r="A2951" s="2" t="n">
        <v>46220.33333333334</v>
      </c>
      <c r="B2951">
        <f>TEXT(A2951,"yyyy-mm")</f>
        <v/>
      </c>
      <c r="C2951" s="3">
        <f>HOUR(A2951)</f>
        <v/>
      </c>
      <c r="D2951" s="4" t="n">
        <v>25.11308633746944</v>
      </c>
      <c r="E2951" s="4" t="n">
        <v>25.59319607388056</v>
      </c>
      <c r="F2951" s="4" t="n">
        <v>28.71038100498056</v>
      </c>
      <c r="G2951" s="4" t="n">
        <v>16.8</v>
      </c>
      <c r="H2951" s="5" t="n">
        <v>37.37233374895556</v>
      </c>
      <c r="I2951" s="5" t="n">
        <v>37.839073544625</v>
      </c>
      <c r="J2951" s="5" t="n">
        <v>47.4439309238</v>
      </c>
      <c r="K2951" s="5" t="n">
        <v>61</v>
      </c>
    </row>
    <row r="2952">
      <c r="A2952" s="2" t="n">
        <v>46220.375</v>
      </c>
      <c r="B2952">
        <f>TEXT(A2952,"yyyy-mm")</f>
        <v/>
      </c>
      <c r="C2952" s="3">
        <f>HOUR(A2952)</f>
        <v/>
      </c>
      <c r="D2952" s="4" t="n">
        <v>25.68684156623611</v>
      </c>
      <c r="E2952" s="4" t="n">
        <v>25.9596264832</v>
      </c>
      <c r="F2952" s="4" t="n">
        <v>28.72394246456389</v>
      </c>
      <c r="G2952" s="4" t="n">
        <v>18.1</v>
      </c>
      <c r="H2952" s="5" t="n">
        <v>33.93179565472778</v>
      </c>
      <c r="I2952" s="5" t="n">
        <v>35.73654008930833</v>
      </c>
      <c r="J2952" s="5" t="n">
        <v>47.019242435325</v>
      </c>
      <c r="K2952" s="5" t="n">
        <v>53</v>
      </c>
    </row>
    <row r="2953">
      <c r="A2953" s="2" t="n">
        <v>46220.41666666666</v>
      </c>
      <c r="B2953">
        <f>TEXT(A2953,"yyyy-mm")</f>
        <v/>
      </c>
      <c r="C2953" s="3">
        <f>HOUR(A2953)</f>
        <v/>
      </c>
      <c r="D2953" s="4" t="n">
        <v>25.68418566730833</v>
      </c>
      <c r="E2953" s="4" t="n">
        <v>26.44755763370556</v>
      </c>
      <c r="F2953" s="4" t="n">
        <v>27.97225419601945</v>
      </c>
      <c r="G2953" s="4" t="n">
        <v>18.9</v>
      </c>
      <c r="H2953" s="5" t="n">
        <v>32.78837829029722</v>
      </c>
      <c r="I2953" s="5" t="n">
        <v>35.51425479050555</v>
      </c>
      <c r="J2953" s="5" t="n">
        <v>42.58820981421111</v>
      </c>
      <c r="K2953" s="5" t="n">
        <v>47</v>
      </c>
    </row>
    <row r="2954">
      <c r="A2954" s="2" t="n">
        <v>46220.45833333334</v>
      </c>
      <c r="B2954">
        <f>TEXT(A2954,"yyyy-mm")</f>
        <v/>
      </c>
      <c r="C2954" s="3">
        <f>HOUR(A2954)</f>
        <v/>
      </c>
      <c r="D2954" s="4" t="n">
        <v>25.76277350490556</v>
      </c>
      <c r="E2954" s="4" t="n">
        <v>26.64951505751389</v>
      </c>
      <c r="F2954" s="4" t="n">
        <v>28.22865445579166</v>
      </c>
      <c r="G2954" s="4" t="n">
        <v>19.7</v>
      </c>
      <c r="H2954" s="5" t="n">
        <v>30.64545789708056</v>
      </c>
      <c r="I2954" s="5" t="n">
        <v>34.5944468785</v>
      </c>
      <c r="J2954" s="5" t="n">
        <v>44.46792325328889</v>
      </c>
      <c r="K2954" s="5" t="n">
        <v>44</v>
      </c>
    </row>
    <row r="2955">
      <c r="A2955" s="2" t="n">
        <v>46220.5</v>
      </c>
      <c r="B2955">
        <f>TEXT(A2955,"yyyy-mm")</f>
        <v/>
      </c>
      <c r="C2955" s="3">
        <f>HOUR(A2955)</f>
        <v/>
      </c>
      <c r="D2955" s="4" t="n">
        <v>25.42126607511666</v>
      </c>
      <c r="E2955" s="4" t="n">
        <v>26.59614715304167</v>
      </c>
      <c r="F2955" s="4" t="n">
        <v>28.50291956968889</v>
      </c>
      <c r="G2955" s="4" t="n">
        <v>20.4</v>
      </c>
      <c r="H2955" s="5" t="n">
        <v>31.33592937164167</v>
      </c>
      <c r="I2955" s="5" t="n">
        <v>33.42007407722222</v>
      </c>
      <c r="J2955" s="5" t="n">
        <v>45.19265354423612</v>
      </c>
      <c r="K2955" s="5" t="n">
        <v>42</v>
      </c>
    </row>
    <row r="2956">
      <c r="A2956" s="2" t="n">
        <v>46220.54166666666</v>
      </c>
      <c r="B2956">
        <f>TEXT(A2956,"yyyy-mm")</f>
        <v/>
      </c>
      <c r="C2956" s="3">
        <f>HOUR(A2956)</f>
        <v/>
      </c>
      <c r="D2956" s="4" t="n">
        <v>25.24321221404166</v>
      </c>
      <c r="E2956" s="4" t="n">
        <v>26.59188353128889</v>
      </c>
      <c r="F2956" s="4" t="n">
        <v>28.79861077578333</v>
      </c>
      <c r="G2956" s="4" t="n">
        <v>20.9</v>
      </c>
      <c r="H2956" s="5" t="n">
        <v>31.71378423285556</v>
      </c>
      <c r="I2956" s="5" t="n">
        <v>32.613160512825</v>
      </c>
      <c r="J2956" s="5" t="n">
        <v>44.74419614802222</v>
      </c>
      <c r="K2956" s="5" t="n">
        <v>40</v>
      </c>
    </row>
    <row r="2957">
      <c r="A2957" s="2" t="n">
        <v>46220.58333333334</v>
      </c>
      <c r="B2957">
        <f>TEXT(A2957,"yyyy-mm")</f>
        <v/>
      </c>
      <c r="C2957" s="3">
        <f>HOUR(A2957)</f>
        <v/>
      </c>
      <c r="D2957" s="4" t="n">
        <v>25.33294520998667</v>
      </c>
      <c r="E2957" s="4" t="n">
        <v>26.76313490399334</v>
      </c>
      <c r="F2957" s="4" t="n">
        <v>28.22608710755</v>
      </c>
      <c r="G2957" s="4" t="n">
        <v>21.4</v>
      </c>
      <c r="H2957" s="5" t="n">
        <v>32.24298030250333</v>
      </c>
      <c r="I2957" s="5" t="n">
        <v>34.52318624187</v>
      </c>
      <c r="J2957" s="5" t="n">
        <v>41.96791107921333</v>
      </c>
      <c r="K2957" s="5" t="n">
        <v>38</v>
      </c>
    </row>
    <row r="2958">
      <c r="A2958" s="2" t="n">
        <v>46220.625</v>
      </c>
      <c r="B2958">
        <f>TEXT(A2958,"yyyy-mm")</f>
        <v/>
      </c>
      <c r="C2958" s="3">
        <f>HOUR(A2958)</f>
        <v/>
      </c>
      <c r="D2958" s="4" t="n">
        <v>25.12220123244195</v>
      </c>
      <c r="E2958" s="4" t="n">
        <v>26.58670443836467</v>
      </c>
      <c r="F2958" s="4" t="n">
        <v>27.75964366089755</v>
      </c>
      <c r="G2958" s="4" t="n">
        <v>22.1</v>
      </c>
      <c r="H2958" s="5" t="n">
        <v>32.45138287802003</v>
      </c>
      <c r="I2958" s="5" t="n">
        <v>33.67604865044005</v>
      </c>
      <c r="J2958" s="5" t="n">
        <v>42.90093009542058</v>
      </c>
      <c r="K2958" s="5" t="n">
        <v>37</v>
      </c>
    </row>
    <row r="2959">
      <c r="A2959" s="2" t="n">
        <v>46220.66666666666</v>
      </c>
      <c r="B2959">
        <f>TEXT(A2959,"yyyy-mm")</f>
        <v/>
      </c>
      <c r="C2959" s="3">
        <f>HOUR(A2959)</f>
        <v/>
      </c>
      <c r="D2959" s="4" t="n">
        <v>25.16579848076667</v>
      </c>
      <c r="E2959" s="4" t="n">
        <v>26.67473587154167</v>
      </c>
      <c r="F2959" s="4" t="n">
        <v>27.83571508493333</v>
      </c>
      <c r="G2959" s="4" t="n">
        <v>22.3</v>
      </c>
      <c r="H2959" s="5" t="n">
        <v>32.3036742396</v>
      </c>
      <c r="I2959" s="5" t="n">
        <v>33.86417954581945</v>
      </c>
      <c r="J2959" s="5" t="n">
        <v>42.11200382291945</v>
      </c>
      <c r="K2959" s="5" t="n">
        <v>37</v>
      </c>
    </row>
    <row r="2960">
      <c r="A2960" s="2" t="n">
        <v>46220.70833333334</v>
      </c>
      <c r="B2960">
        <f>TEXT(A2960,"yyyy-mm")</f>
        <v/>
      </c>
      <c r="C2960" s="3">
        <f>HOUR(A2960)</f>
        <v/>
      </c>
      <c r="D2960" s="4" t="n">
        <v>25.23167654552222</v>
      </c>
      <c r="E2960" s="4" t="n">
        <v>26.31783535343889</v>
      </c>
      <c r="F2960" s="4" t="n">
        <v>28.10343399238611</v>
      </c>
      <c r="G2960" s="4" t="n">
        <v>22.1</v>
      </c>
      <c r="H2960" s="5" t="n">
        <v>32.25259951788055</v>
      </c>
      <c r="I2960" s="5" t="n">
        <v>33.05227897005833</v>
      </c>
      <c r="J2960" s="5" t="n">
        <v>43.27952196211667</v>
      </c>
      <c r="K2960" s="5" t="n">
        <v>38</v>
      </c>
    </row>
    <row r="2961">
      <c r="A2961" s="2" t="n">
        <v>46220.75</v>
      </c>
      <c r="B2961">
        <f>TEXT(A2961,"yyyy-mm")</f>
        <v/>
      </c>
      <c r="C2961" s="3">
        <f>HOUR(A2961)</f>
        <v/>
      </c>
      <c r="D2961" s="4" t="n">
        <v>25.13484804352223</v>
      </c>
      <c r="E2961" s="4" t="n">
        <v>25.97813761110556</v>
      </c>
      <c r="F2961" s="4" t="n">
        <v>28.33062442940833</v>
      </c>
      <c r="G2961" s="4" t="n">
        <v>21.5</v>
      </c>
      <c r="H2961" s="5" t="n">
        <v>33.54148162387222</v>
      </c>
      <c r="I2961" s="5" t="n">
        <v>33.95450636839445</v>
      </c>
      <c r="J2961" s="5" t="n">
        <v>43.78787561264722</v>
      </c>
      <c r="K2961" s="5" t="n">
        <v>39</v>
      </c>
    </row>
    <row r="2962">
      <c r="A2962" s="2" t="n">
        <v>46220.79166666666</v>
      </c>
      <c r="B2962">
        <f>TEXT(A2962,"yyyy-mm")</f>
        <v/>
      </c>
      <c r="C2962" s="3">
        <f>HOUR(A2962)</f>
        <v/>
      </c>
      <c r="D2962" s="4" t="n">
        <v>24.98296379819723</v>
      </c>
      <c r="E2962" s="4" t="n">
        <v>25.82702963841666</v>
      </c>
      <c r="F2962" s="4" t="n">
        <v>28.35399180075</v>
      </c>
      <c r="G2962" s="4" t="n">
        <v>20.7</v>
      </c>
      <c r="H2962" s="5" t="n">
        <v>34.33304373406111</v>
      </c>
      <c r="I2962" s="5" t="n">
        <v>34.67094240490555</v>
      </c>
      <c r="J2962" s="5" t="n">
        <v>43.21131643766111</v>
      </c>
      <c r="K2962" s="5" t="n">
        <v>41</v>
      </c>
    </row>
    <row r="2963">
      <c r="A2963" s="2" t="n">
        <v>46220.83333333334</v>
      </c>
      <c r="B2963">
        <f>TEXT(A2963,"yyyy-mm")</f>
        <v/>
      </c>
      <c r="C2963" s="3">
        <f>HOUR(A2963)</f>
        <v/>
      </c>
      <c r="D2963" s="4" t="n">
        <v>24.58923905494167</v>
      </c>
      <c r="E2963" s="4" t="n">
        <v>26.21423841949445</v>
      </c>
      <c r="F2963" s="4" t="n">
        <v>27.45210077181667</v>
      </c>
      <c r="G2963" s="4" t="n">
        <v>19.9</v>
      </c>
      <c r="H2963" s="5" t="n">
        <v>36.06637722555278</v>
      </c>
      <c r="I2963" s="5" t="n">
        <v>35.19624532915834</v>
      </c>
      <c r="J2963" s="5" t="n">
        <v>42.07635839668056</v>
      </c>
      <c r="K2963" s="5" t="n">
        <v>43</v>
      </c>
    </row>
    <row r="2964">
      <c r="A2964" s="2" t="n">
        <v>46220.875</v>
      </c>
      <c r="B2964">
        <f>TEXT(A2964,"yyyy-mm")</f>
        <v/>
      </c>
      <c r="C2964" s="3">
        <f>HOUR(A2964)</f>
        <v/>
      </c>
      <c r="D2964" s="4" t="n">
        <v>24.37092132407222</v>
      </c>
      <c r="E2964" s="4" t="n">
        <v>26.22371478980834</v>
      </c>
      <c r="F2964" s="4" t="n">
        <v>27.68719194601667</v>
      </c>
      <c r="G2964" s="4" t="n">
        <v>18.7</v>
      </c>
      <c r="H2964" s="5" t="n">
        <v>36.88001769475</v>
      </c>
      <c r="I2964" s="5" t="n">
        <v>36.72831306203611</v>
      </c>
      <c r="J2964" s="5" t="n">
        <v>43.07077554385</v>
      </c>
      <c r="K2964" s="5" t="n">
        <v>48</v>
      </c>
    </row>
    <row r="2965">
      <c r="A2965" s="2" t="n">
        <v>46220.91666666666</v>
      </c>
      <c r="B2965">
        <f>TEXT(A2965,"yyyy-mm")</f>
        <v/>
      </c>
      <c r="C2965" s="3">
        <f>HOUR(A2965)</f>
        <v/>
      </c>
      <c r="D2965" s="4" t="n">
        <v>24.13040399324722</v>
      </c>
      <c r="E2965" s="4" t="n">
        <v>26.36840576217222</v>
      </c>
      <c r="F2965" s="4" t="n">
        <v>28.21656555306112</v>
      </c>
      <c r="G2965" s="4" t="n">
        <v>17.9</v>
      </c>
      <c r="H2965" s="5" t="n">
        <v>36.68682317395833</v>
      </c>
      <c r="I2965" s="5" t="n">
        <v>36.82690312930833</v>
      </c>
      <c r="J2965" s="5" t="n">
        <v>43.46089171536945</v>
      </c>
      <c r="K2965" s="5" t="n">
        <v>51</v>
      </c>
    </row>
    <row r="2966">
      <c r="A2966" s="2" t="n">
        <v>46220.95833333334</v>
      </c>
      <c r="B2966">
        <f>TEXT(A2966,"yyyy-mm")</f>
        <v/>
      </c>
      <c r="C2966" s="3">
        <f>HOUR(A2966)</f>
        <v/>
      </c>
      <c r="D2966" s="4" t="n">
        <v>23.46622248697222</v>
      </c>
      <c r="E2966" s="4" t="n">
        <v>26.33001702381667</v>
      </c>
      <c r="F2966" s="4" t="n">
        <v>28.35065192081111</v>
      </c>
      <c r="G2966" s="4" t="n">
        <v>17.1</v>
      </c>
      <c r="H2966" s="5" t="n">
        <v>37.88633447623056</v>
      </c>
      <c r="I2966" s="5" t="n">
        <v>36.79252236578056</v>
      </c>
      <c r="J2966" s="5" t="n">
        <v>42.82871481775</v>
      </c>
      <c r="K2966" s="5" t="n">
        <v>54</v>
      </c>
    </row>
    <row r="2967">
      <c r="A2967" s="2" t="n">
        <v>46221</v>
      </c>
      <c r="B2967">
        <f>TEXT(A2967,"yyyy-mm")</f>
        <v/>
      </c>
      <c r="C2967" s="3">
        <f>HOUR(A2967)</f>
        <v/>
      </c>
      <c r="D2967" s="4" t="n">
        <v>23.59869897441111</v>
      </c>
      <c r="E2967" s="4" t="n">
        <v>26.370846539425</v>
      </c>
      <c r="F2967" s="4" t="n">
        <v>28.52358395910555</v>
      </c>
      <c r="G2967" s="4" t="n">
        <v>16.4</v>
      </c>
      <c r="H2967" s="5" t="n">
        <v>38.55344242290556</v>
      </c>
      <c r="I2967" s="5" t="n">
        <v>37.16274387741667</v>
      </c>
      <c r="J2967" s="5" t="n">
        <v>42.87159441544722</v>
      </c>
      <c r="K2967" s="5" t="n">
        <v>56</v>
      </c>
    </row>
    <row r="2968">
      <c r="A2968" s="2" t="n">
        <v>46221.04166666666</v>
      </c>
      <c r="B2968">
        <f>TEXT(A2968,"yyyy-mm")</f>
        <v/>
      </c>
      <c r="C2968" s="3">
        <f>HOUR(A2968)</f>
        <v/>
      </c>
      <c r="D2968" s="4" t="n">
        <v>23.03869413916389</v>
      </c>
      <c r="E2968" s="4" t="n">
        <v>26.32202455065278</v>
      </c>
      <c r="F2968" s="4" t="n">
        <v>28.57896520808056</v>
      </c>
      <c r="G2968" s="4" t="n">
        <v>15.8</v>
      </c>
      <c r="H2968" s="5" t="n">
        <v>39.81865120991389</v>
      </c>
      <c r="I2968" s="5" t="n">
        <v>37.17815983671667</v>
      </c>
      <c r="J2968" s="5" t="n">
        <v>42.57956253954445</v>
      </c>
      <c r="K2968" s="5" t="n">
        <v>59</v>
      </c>
    </row>
    <row r="2969">
      <c r="A2969" s="2" t="n">
        <v>46221.08333333334</v>
      </c>
      <c r="B2969">
        <f>TEXT(A2969,"yyyy-mm")</f>
        <v/>
      </c>
      <c r="C2969" s="3">
        <f>HOUR(A2969)</f>
        <v/>
      </c>
      <c r="D2969" s="4" t="n">
        <v>22.32108628097148</v>
      </c>
      <c r="E2969" s="4" t="n">
        <v>26.11378602910834</v>
      </c>
      <c r="F2969" s="4" t="n">
        <v>28.57794430380278</v>
      </c>
      <c r="G2969" s="4" t="n">
        <v>14.9</v>
      </c>
      <c r="H2969" s="5" t="n">
        <v>40.71939144175499</v>
      </c>
      <c r="I2969" s="5" t="n">
        <v>35.14068688093612</v>
      </c>
      <c r="J2969" s="5" t="n">
        <v>42.68972171110834</v>
      </c>
      <c r="K2969" s="5" t="n">
        <v>64</v>
      </c>
    </row>
    <row r="2970">
      <c r="A2970" s="2" t="n">
        <v>46221.125</v>
      </c>
      <c r="B2970">
        <f>TEXT(A2970,"yyyy-mm")</f>
        <v/>
      </c>
      <c r="C2970" s="3">
        <f>HOUR(A2970)</f>
        <v/>
      </c>
      <c r="D2970" s="4" t="n">
        <v>21.98668593900996</v>
      </c>
      <c r="E2970" s="4" t="n">
        <v>26.00680237171666</v>
      </c>
      <c r="F2970" s="4" t="n">
        <v>28.52908175915833</v>
      </c>
      <c r="G2970" s="4" t="n">
        <v>13.3</v>
      </c>
      <c r="H2970" s="5" t="n">
        <v>41.27238580735743</v>
      </c>
      <c r="I2970" s="5" t="n">
        <v>34.800702510375</v>
      </c>
      <c r="J2970" s="5" t="n">
        <v>42.70609832933889</v>
      </c>
      <c r="K2970" s="5" t="n">
        <v>73</v>
      </c>
    </row>
    <row r="2971">
      <c r="A2971" s="2" t="n">
        <v>46221.16666666666</v>
      </c>
      <c r="B2971">
        <f>TEXT(A2971,"yyyy-mm")</f>
        <v/>
      </c>
      <c r="C2971" s="3">
        <f>HOUR(A2971)</f>
        <v/>
      </c>
      <c r="D2971" s="4" t="n"/>
      <c r="E2971" s="4" t="n">
        <v>25.90986295360556</v>
      </c>
      <c r="F2971" s="4" t="n">
        <v>28.47749099286667</v>
      </c>
      <c r="G2971" s="4" t="n">
        <v>12.7</v>
      </c>
      <c r="H2971" s="5" t="n"/>
      <c r="I2971" s="5" t="n">
        <v>34.85284140466667</v>
      </c>
      <c r="J2971" s="5" t="n">
        <v>42.74537954293888</v>
      </c>
      <c r="K2971" s="5" t="n">
        <v>77</v>
      </c>
    </row>
    <row r="2972">
      <c r="A2972" s="2" t="n">
        <v>46221.20833333334</v>
      </c>
      <c r="B2972">
        <f>TEXT(A2972,"yyyy-mm")</f>
        <v/>
      </c>
      <c r="C2972" s="3">
        <f>HOUR(A2972)</f>
        <v/>
      </c>
      <c r="D2972" s="4" t="n"/>
      <c r="E2972" s="4" t="n">
        <v>25.95556736621667</v>
      </c>
      <c r="F2972" s="4" t="n">
        <v>28.45085318056667</v>
      </c>
      <c r="G2972" s="4" t="n">
        <v>12.4</v>
      </c>
      <c r="H2972" s="5" t="n"/>
      <c r="I2972" s="5" t="n">
        <v>34.61273864127222</v>
      </c>
      <c r="J2972" s="5" t="n">
        <v>42.83549871757777</v>
      </c>
      <c r="K2972" s="5" t="n">
        <v>79</v>
      </c>
    </row>
    <row r="2973">
      <c r="A2973" s="2" t="n">
        <v>46221.25</v>
      </c>
      <c r="B2973">
        <f>TEXT(A2973,"yyyy-mm")</f>
        <v/>
      </c>
      <c r="C2973" s="3">
        <f>HOUR(A2973)</f>
        <v/>
      </c>
      <c r="D2973" s="4" t="n">
        <v>23.86733797692903</v>
      </c>
      <c r="E2973" s="4" t="n">
        <v>26.2768382493861</v>
      </c>
      <c r="F2973" s="4" t="n">
        <v>28.45509052225277</v>
      </c>
      <c r="G2973" s="4" t="n">
        <v>13</v>
      </c>
      <c r="H2973" s="5" t="n">
        <v>36.77566825497442</v>
      </c>
      <c r="I2973" s="5" t="n">
        <v>35.63724015119166</v>
      </c>
      <c r="J2973" s="5" t="n">
        <v>43.00104030535</v>
      </c>
      <c r="K2973" s="5" t="n">
        <v>76</v>
      </c>
    </row>
    <row r="2974">
      <c r="A2974" s="2" t="n">
        <v>46221.29166666666</v>
      </c>
      <c r="B2974">
        <f>TEXT(A2974,"yyyy-mm")</f>
        <v/>
      </c>
      <c r="C2974" s="3">
        <f>HOUR(A2974)</f>
        <v/>
      </c>
      <c r="D2974" s="4" t="n">
        <v>25.04811991802778</v>
      </c>
      <c r="E2974" s="4" t="n">
        <v>26.77748970614167</v>
      </c>
      <c r="F2974" s="4" t="n">
        <v>28.46647989563889</v>
      </c>
      <c r="G2974" s="4" t="n">
        <v>14.6</v>
      </c>
      <c r="H2974" s="5" t="n">
        <v>36.18899429773333</v>
      </c>
      <c r="I2974" s="5" t="n">
        <v>35.41743502998612</v>
      </c>
      <c r="J2974" s="5" t="n">
        <v>43.24291526983888</v>
      </c>
      <c r="K2974" s="5" t="n">
        <v>69</v>
      </c>
    </row>
    <row r="2975">
      <c r="A2975" s="2" t="n">
        <v>46221.33333333334</v>
      </c>
      <c r="B2975">
        <f>TEXT(A2975,"yyyy-mm")</f>
        <v/>
      </c>
      <c r="C2975" s="3">
        <f>HOUR(A2975)</f>
        <v/>
      </c>
      <c r="D2975" s="4" t="n">
        <v>26.30166364588333</v>
      </c>
      <c r="E2975" s="4" t="n">
        <v>27.33021890772222</v>
      </c>
      <c r="F2975" s="4" t="n">
        <v>28.49386461421111</v>
      </c>
      <c r="G2975" s="4" t="n">
        <v>17.1</v>
      </c>
      <c r="H2975" s="5" t="n">
        <v>35.88445462187222</v>
      </c>
      <c r="I2975" s="5" t="n">
        <v>36.10469193544722</v>
      </c>
      <c r="J2975" s="5" t="n">
        <v>43.42969853132222</v>
      </c>
      <c r="K2975" s="5" t="n">
        <v>58</v>
      </c>
    </row>
    <row r="2976">
      <c r="A2976" s="2" t="n">
        <v>46221.375</v>
      </c>
      <c r="B2976">
        <f>TEXT(A2976,"yyyy-mm")</f>
        <v/>
      </c>
      <c r="C2976" s="3">
        <f>HOUR(A2976)</f>
        <v/>
      </c>
      <c r="D2976" s="4" t="n">
        <v>27.09608570848611</v>
      </c>
      <c r="E2976" s="4" t="n">
        <v>27.73589040465</v>
      </c>
      <c r="F2976" s="4" t="n">
        <v>28.53152996849167</v>
      </c>
      <c r="G2976" s="4" t="n">
        <v>19.8</v>
      </c>
      <c r="H2976" s="5" t="n">
        <v>35.17934905933888</v>
      </c>
      <c r="I2976" s="5" t="n">
        <v>36.47214407184166</v>
      </c>
      <c r="J2976" s="5" t="n">
        <v>43.64037175195278</v>
      </c>
      <c r="K2976" s="5" t="n">
        <v>46</v>
      </c>
    </row>
    <row r="2977">
      <c r="A2977" s="2" t="n">
        <v>46221.41666666666</v>
      </c>
      <c r="B2977">
        <f>TEXT(A2977,"yyyy-mm")</f>
        <v/>
      </c>
      <c r="C2977" s="3">
        <f>HOUR(A2977)</f>
        <v/>
      </c>
      <c r="D2977" s="4" t="n">
        <v>27.27828020140556</v>
      </c>
      <c r="E2977" s="4" t="n">
        <v>28.16557433228889</v>
      </c>
      <c r="F2977" s="4" t="n">
        <v>28.57466928414167</v>
      </c>
      <c r="G2977" s="4" t="n">
        <v>21.1</v>
      </c>
      <c r="H2977" s="5" t="n">
        <v>32.84735304771667</v>
      </c>
      <c r="I2977" s="5" t="n">
        <v>38.00201948396667</v>
      </c>
      <c r="J2977" s="5" t="n">
        <v>43.88877783466944</v>
      </c>
      <c r="K2977" s="5" t="n">
        <v>38</v>
      </c>
    </row>
    <row r="2978">
      <c r="A2978" s="2" t="n">
        <v>46221.45833333334</v>
      </c>
      <c r="B2978">
        <f>TEXT(A2978,"yyyy-mm")</f>
        <v/>
      </c>
      <c r="C2978" s="3">
        <f>HOUR(A2978)</f>
        <v/>
      </c>
      <c r="D2978" s="4" t="n">
        <v>27.2532194725</v>
      </c>
      <c r="E2978" s="4" t="n">
        <v>28.35344820292222</v>
      </c>
      <c r="F2978" s="4" t="n">
        <v>28.60688304077222</v>
      </c>
      <c r="G2978" s="4" t="n">
        <v>22.2</v>
      </c>
      <c r="H2978" s="5" t="n">
        <v>31.41212805579444</v>
      </c>
      <c r="I2978" s="5" t="n">
        <v>35.74031386043055</v>
      </c>
      <c r="J2978" s="5" t="n">
        <v>44.01332845947778</v>
      </c>
      <c r="K2978" s="5" t="n">
        <v>35</v>
      </c>
    </row>
    <row r="2979">
      <c r="A2979" s="2" t="n">
        <v>46221.5</v>
      </c>
      <c r="B2979">
        <f>TEXT(A2979,"yyyy-mm")</f>
        <v/>
      </c>
      <c r="C2979" s="3">
        <f>HOUR(A2979)</f>
        <v/>
      </c>
      <c r="D2979" s="4" t="n">
        <v>27.30278080943055</v>
      </c>
      <c r="E2979" s="4" t="n">
        <v>28.62544019768889</v>
      </c>
      <c r="F2979" s="4" t="n">
        <v>28.63060626193056</v>
      </c>
      <c r="G2979" s="4" t="n">
        <v>23.1</v>
      </c>
      <c r="H2979" s="5" t="n">
        <v>30.230544314575</v>
      </c>
      <c r="I2979" s="5" t="n">
        <v>34.39866006019445</v>
      </c>
      <c r="J2979" s="5" t="n">
        <v>44.04216669529166</v>
      </c>
      <c r="K2979" s="5" t="n">
        <v>32</v>
      </c>
    </row>
    <row r="2980">
      <c r="A2980" s="2" t="n">
        <v>46221.54166666666</v>
      </c>
      <c r="B2980">
        <f>TEXT(A2980,"yyyy-mm")</f>
        <v/>
      </c>
      <c r="C2980" s="3">
        <f>HOUR(A2980)</f>
        <v/>
      </c>
      <c r="D2980" s="4" t="n">
        <v>26.78651287860277</v>
      </c>
      <c r="E2980" s="4" t="n">
        <v>28.27571996528333</v>
      </c>
      <c r="F2980" s="4" t="n">
        <v>28.66633776760833</v>
      </c>
      <c r="G2980" s="4" t="n">
        <v>23.8</v>
      </c>
      <c r="H2980" s="5" t="n">
        <v>30.821574140725</v>
      </c>
      <c r="I2980" s="5" t="n">
        <v>36.24895813925</v>
      </c>
      <c r="J2980" s="5" t="n">
        <v>43.93626765718333</v>
      </c>
      <c r="K2980" s="5" t="n">
        <v>31</v>
      </c>
    </row>
    <row r="2981">
      <c r="A2981" s="2" t="n">
        <v>46221.58333333334</v>
      </c>
      <c r="B2981">
        <f>TEXT(A2981,"yyyy-mm")</f>
        <v/>
      </c>
      <c r="C2981" s="3">
        <f>HOUR(A2981)</f>
        <v/>
      </c>
      <c r="D2981" s="4" t="n">
        <v>26.63554335303056</v>
      </c>
      <c r="E2981" s="4" t="n">
        <v>28.16198345049722</v>
      </c>
      <c r="F2981" s="4" t="n">
        <v>28.48607443584167</v>
      </c>
      <c r="G2981" s="4" t="n">
        <v>24.2</v>
      </c>
      <c r="H2981" s="5" t="n">
        <v>32.37444779047222</v>
      </c>
      <c r="I2981" s="5" t="n">
        <v>37.10414157856389</v>
      </c>
      <c r="J2981" s="5" t="n">
        <v>43.11986255834445</v>
      </c>
      <c r="K2981" s="5" t="n">
        <v>31</v>
      </c>
    </row>
    <row r="2982">
      <c r="A2982" s="2" t="n">
        <v>46221.625</v>
      </c>
      <c r="B2982">
        <f>TEXT(A2982,"yyyy-mm")</f>
        <v/>
      </c>
      <c r="C2982" s="3">
        <f>HOUR(A2982)</f>
        <v/>
      </c>
      <c r="D2982" s="4" t="n">
        <v>26.54502647290556</v>
      </c>
      <c r="E2982" s="4" t="n">
        <v>28.12581351996389</v>
      </c>
      <c r="F2982" s="4" t="n">
        <v>28.58643520692222</v>
      </c>
      <c r="G2982" s="4" t="n">
        <v>25</v>
      </c>
      <c r="H2982" s="5" t="n">
        <v>32.63193679736111</v>
      </c>
      <c r="I2982" s="5" t="n">
        <v>36.09873812042223</v>
      </c>
      <c r="J2982" s="5" t="n">
        <v>43.61781199258333</v>
      </c>
      <c r="K2982" s="5" t="n">
        <v>30</v>
      </c>
    </row>
    <row r="2983">
      <c r="A2983" s="2" t="n">
        <v>46221.66666666666</v>
      </c>
      <c r="B2983">
        <f>TEXT(A2983,"yyyy-mm")</f>
        <v/>
      </c>
      <c r="C2983" s="3">
        <f>HOUR(A2983)</f>
        <v/>
      </c>
      <c r="D2983" s="4" t="n">
        <v>26.57734282476111</v>
      </c>
      <c r="E2983" s="4" t="n">
        <v>28.05413409966667</v>
      </c>
      <c r="F2983" s="4" t="n">
        <v>28.750212492275</v>
      </c>
      <c r="G2983" s="4" t="n">
        <v>26.3</v>
      </c>
      <c r="H2983" s="5" t="n">
        <v>32.540865997575</v>
      </c>
      <c r="I2983" s="5" t="n">
        <v>37.34172471878612</v>
      </c>
      <c r="J2983" s="5" t="n">
        <v>43.54602253178889</v>
      </c>
      <c r="K2983" s="5" t="n">
        <v>27</v>
      </c>
    </row>
    <row r="2984">
      <c r="A2984" s="2" t="n">
        <v>46221.70833333334</v>
      </c>
      <c r="B2984">
        <f>TEXT(A2984,"yyyy-mm")</f>
        <v/>
      </c>
      <c r="C2984" s="3">
        <f>HOUR(A2984)</f>
        <v/>
      </c>
      <c r="D2984" s="4" t="n">
        <v>26.52632875994444</v>
      </c>
      <c r="E2984" s="4" t="n">
        <v>28.13150321122222</v>
      </c>
      <c r="F2984" s="4" t="n">
        <v>28.30555656992222</v>
      </c>
      <c r="G2984" s="4" t="n">
        <v>25.8</v>
      </c>
      <c r="H2984" s="5" t="n">
        <v>34.3754204995</v>
      </c>
      <c r="I2984" s="5" t="n">
        <v>36.69011931973889</v>
      </c>
      <c r="J2984" s="5" t="n">
        <v>42.50731508125278</v>
      </c>
      <c r="K2984" s="5" t="n">
        <v>29</v>
      </c>
    </row>
    <row r="2985">
      <c r="A2985" s="2" t="n">
        <v>46221.75</v>
      </c>
      <c r="B2985">
        <f>TEXT(A2985,"yyyy-mm")</f>
        <v/>
      </c>
      <c r="C2985" s="3">
        <f>HOUR(A2985)</f>
        <v/>
      </c>
      <c r="D2985" s="4" t="n">
        <v>26.71205644634444</v>
      </c>
      <c r="E2985" s="4" t="n">
        <v>28.12237509383889</v>
      </c>
      <c r="F2985" s="4" t="n">
        <v>28.32301298845833</v>
      </c>
      <c r="G2985" s="4" t="n">
        <v>24.8</v>
      </c>
      <c r="H2985" s="5" t="n">
        <v>35.71981287373333</v>
      </c>
      <c r="I2985" s="5" t="n">
        <v>39.59130188193056</v>
      </c>
      <c r="J2985" s="5" t="n">
        <v>46.66303916820001</v>
      </c>
      <c r="K2985" s="5" t="n">
        <v>32</v>
      </c>
    </row>
    <row r="2986">
      <c r="A2986" s="2" t="n">
        <v>46221.79166666666</v>
      </c>
      <c r="B2986">
        <f>TEXT(A2986,"yyyy-mm")</f>
        <v/>
      </c>
      <c r="C2986" s="3">
        <f>HOUR(A2986)</f>
        <v/>
      </c>
      <c r="D2986" s="4" t="n">
        <v>26.59452021747778</v>
      </c>
      <c r="E2986" s="4" t="n">
        <v>27.95695170486111</v>
      </c>
      <c r="F2986" s="4" t="n">
        <v>28.69928802653611</v>
      </c>
      <c r="G2986" s="4" t="n">
        <v>23.9</v>
      </c>
      <c r="H2986" s="5" t="n">
        <v>37.07680612380555</v>
      </c>
      <c r="I2986" s="5" t="n">
        <v>43.12541721306945</v>
      </c>
      <c r="J2986" s="5" t="n">
        <v>46.00935105025277</v>
      </c>
      <c r="K2986" s="5" t="n">
        <v>35</v>
      </c>
    </row>
    <row r="2987">
      <c r="A2987" s="2" t="n">
        <v>46221.83333333334</v>
      </c>
      <c r="B2987">
        <f>TEXT(A2987,"yyyy-mm")</f>
        <v/>
      </c>
      <c r="C2987" s="3">
        <f>HOUR(A2987)</f>
        <v/>
      </c>
      <c r="D2987" s="4" t="n">
        <v>26.12366491796389</v>
      </c>
      <c r="E2987" s="4" t="n">
        <v>27.70765231028889</v>
      </c>
      <c r="F2987" s="4" t="n">
        <v>28.87394753245277</v>
      </c>
      <c r="G2987" s="4" t="n">
        <v>23.3</v>
      </c>
      <c r="H2987" s="5" t="n">
        <v>38.43176911316944</v>
      </c>
      <c r="I2987" s="5" t="n">
        <v>44.79317856196389</v>
      </c>
      <c r="J2987" s="5" t="n">
        <v>45.93260937059167</v>
      </c>
      <c r="K2987" s="5" t="n">
        <v>37</v>
      </c>
    </row>
    <row r="2988">
      <c r="A2988" s="2" t="n">
        <v>46221.875</v>
      </c>
      <c r="B2988">
        <f>TEXT(A2988,"yyyy-mm")</f>
        <v/>
      </c>
      <c r="C2988" s="3">
        <f>HOUR(A2988)</f>
        <v/>
      </c>
      <c r="D2988" s="4" t="n">
        <v>25.581934876475</v>
      </c>
      <c r="E2988" s="4" t="n">
        <v>27.45780771794722</v>
      </c>
      <c r="F2988" s="4" t="n">
        <v>28.83843434342777</v>
      </c>
      <c r="G2988" s="4" t="n">
        <v>22.5</v>
      </c>
      <c r="H2988" s="5" t="n">
        <v>39.09334658308334</v>
      </c>
      <c r="I2988" s="5" t="n">
        <v>44.24215047299722</v>
      </c>
      <c r="J2988" s="5" t="n">
        <v>45.49100743495833</v>
      </c>
      <c r="K2988" s="5" t="n">
        <v>40</v>
      </c>
    </row>
    <row r="2989">
      <c r="A2989" s="2" t="n">
        <v>46221.91666666666</v>
      </c>
      <c r="B2989">
        <f>TEXT(A2989,"yyyy-mm")</f>
        <v/>
      </c>
      <c r="C2989" s="3">
        <f>HOUR(A2989)</f>
        <v/>
      </c>
      <c r="D2989" s="4" t="n">
        <v>25.31318104356667</v>
      </c>
      <c r="E2989" s="4" t="n">
        <v>27.18837130781111</v>
      </c>
      <c r="F2989" s="4" t="n">
        <v>28.77971373769167</v>
      </c>
      <c r="G2989" s="4" t="n">
        <v>21.5</v>
      </c>
      <c r="H2989" s="5" t="n">
        <v>39.54706332904166</v>
      </c>
      <c r="I2989" s="5" t="n">
        <v>43.08882296303056</v>
      </c>
      <c r="J2989" s="5" t="n">
        <v>45.23263167467223</v>
      </c>
      <c r="K2989" s="5" t="n">
        <v>43</v>
      </c>
    </row>
    <row r="2990">
      <c r="A2990" s="2" t="n">
        <v>46221.95833333334</v>
      </c>
      <c r="B2990">
        <f>TEXT(A2990,"yyyy-mm")</f>
        <v/>
      </c>
      <c r="C2990" s="3">
        <f>HOUR(A2990)</f>
        <v/>
      </c>
      <c r="D2990" s="4" t="n">
        <v>25.05582198649167</v>
      </c>
      <c r="E2990" s="4" t="n">
        <v>26.99712496921389</v>
      </c>
      <c r="F2990" s="4" t="n">
        <v>28.72757488591667</v>
      </c>
      <c r="G2990" s="4" t="n">
        <v>21</v>
      </c>
      <c r="H2990" s="5" t="n">
        <v>40.03466540601389</v>
      </c>
      <c r="I2990" s="5" t="n">
        <v>41.73543357909723</v>
      </c>
      <c r="J2990" s="5" t="n">
        <v>45.07697472343333</v>
      </c>
      <c r="K2990" s="5" t="n">
        <v>45</v>
      </c>
    </row>
    <row r="2991">
      <c r="A2991" s="2" t="n">
        <v>46222</v>
      </c>
      <c r="B2991">
        <f>TEXT(A2991,"yyyy-mm")</f>
        <v/>
      </c>
      <c r="C2991" s="3">
        <f>HOUR(A2991)</f>
        <v/>
      </c>
      <c r="D2991" s="4" t="n">
        <v>24.44021694704444</v>
      </c>
      <c r="E2991" s="4" t="n">
        <v>27.10360980954444</v>
      </c>
      <c r="F2991" s="4" t="n">
        <v>28.70649834699723</v>
      </c>
      <c r="G2991" s="4" t="n">
        <v>20</v>
      </c>
      <c r="H2991" s="5" t="n">
        <v>41.84112938902222</v>
      </c>
      <c r="I2991" s="5" t="n">
        <v>41.42043434073612</v>
      </c>
      <c r="J2991" s="5" t="n">
        <v>45.20826098119445</v>
      </c>
      <c r="K2991" s="5" t="n">
        <v>48</v>
      </c>
    </row>
    <row r="2992">
      <c r="A2992" s="2" t="n">
        <v>46222.04166666666</v>
      </c>
      <c r="B2992">
        <f>TEXT(A2992,"yyyy-mm")</f>
        <v/>
      </c>
      <c r="C2992" s="3">
        <f>HOUR(A2992)</f>
        <v/>
      </c>
      <c r="D2992" s="4" t="n">
        <v>24.3817539298</v>
      </c>
      <c r="E2992" s="4" t="n">
        <v>27.05519799077777</v>
      </c>
      <c r="F2992" s="4" t="n">
        <v>28.72472397120833</v>
      </c>
      <c r="G2992" s="4" t="n">
        <v>19.2</v>
      </c>
      <c r="H2992" s="5" t="n">
        <v>42.30299701008889</v>
      </c>
      <c r="I2992" s="5" t="n">
        <v>39.80016286535278</v>
      </c>
      <c r="J2992" s="5" t="n">
        <v>44.94805253749445</v>
      </c>
      <c r="K2992" s="5" t="n">
        <v>51</v>
      </c>
    </row>
    <row r="2993">
      <c r="A2993" s="2" t="n">
        <v>46222.08333333334</v>
      </c>
      <c r="B2993">
        <f>TEXT(A2993,"yyyy-mm")</f>
        <v/>
      </c>
      <c r="C2993" s="3">
        <f>HOUR(A2993)</f>
        <v/>
      </c>
      <c r="D2993" s="4" t="n">
        <v>23.89808324700556</v>
      </c>
      <c r="E2993" s="4" t="n">
        <v>26.92982752748333</v>
      </c>
      <c r="F2993" s="4" t="n">
        <v>28.71094306541389</v>
      </c>
      <c r="G2993" s="4" t="n">
        <v>18.6</v>
      </c>
      <c r="H2993" s="5" t="n">
        <v>43.27013849738055</v>
      </c>
      <c r="I2993" s="5" t="n">
        <v>38.92557535040555</v>
      </c>
      <c r="J2993" s="5" t="n">
        <v>44.81417772412222</v>
      </c>
      <c r="K2993" s="5" t="n">
        <v>54</v>
      </c>
    </row>
    <row r="2994">
      <c r="A2994" s="2" t="n">
        <v>46222.125</v>
      </c>
      <c r="B2994">
        <f>TEXT(A2994,"yyyy-mm")</f>
        <v/>
      </c>
      <c r="C2994" s="3">
        <f>HOUR(A2994)</f>
        <v/>
      </c>
      <c r="D2994" s="4" t="n">
        <v>23.54529079088889</v>
      </c>
      <c r="E2994" s="4" t="n">
        <v>26.79349001759167</v>
      </c>
      <c r="F2994" s="4" t="n">
        <v>28.68971901647222</v>
      </c>
      <c r="G2994" s="4" t="n">
        <v>16.7</v>
      </c>
      <c r="H2994" s="5" t="n">
        <v>44.22993592870833</v>
      </c>
      <c r="I2994" s="5" t="n">
        <v>39.57535040381111</v>
      </c>
      <c r="J2994" s="5" t="n">
        <v>44.74779925800834</v>
      </c>
      <c r="K2994" s="5" t="n">
        <v>69</v>
      </c>
    </row>
    <row r="2995">
      <c r="A2995" s="2" t="n">
        <v>46222.16666666666</v>
      </c>
      <c r="B2995">
        <f>TEXT(A2995,"yyyy-mm")</f>
        <v/>
      </c>
      <c r="C2995" s="3">
        <f>HOUR(A2995)</f>
        <v/>
      </c>
      <c r="D2995" s="4" t="n">
        <v>23.28264968248889</v>
      </c>
      <c r="E2995" s="4" t="n">
        <v>26.69440489149167</v>
      </c>
      <c r="F2995" s="4" t="n">
        <v>28.66774657483611</v>
      </c>
      <c r="G2995" s="4" t="n">
        <v>16.3</v>
      </c>
      <c r="H2995" s="5" t="n">
        <v>44.80266371093333</v>
      </c>
      <c r="I2995" s="5" t="n">
        <v>39.47623076548612</v>
      </c>
      <c r="J2995" s="5" t="n">
        <v>44.70532481448611</v>
      </c>
      <c r="K2995" s="5" t="n">
        <v>72</v>
      </c>
    </row>
    <row r="2996">
      <c r="A2996" s="2" t="n">
        <v>46222.20833333334</v>
      </c>
      <c r="B2996">
        <f>TEXT(A2996,"yyyy-mm")</f>
        <v/>
      </c>
      <c r="C2996" s="3">
        <f>HOUR(A2996)</f>
        <v/>
      </c>
      <c r="D2996" s="4" t="n">
        <v>23.62503651526944</v>
      </c>
      <c r="E2996" s="4" t="n">
        <v>26.72183739172777</v>
      </c>
      <c r="F2996" s="4" t="n">
        <v>28.65233001893333</v>
      </c>
      <c r="G2996" s="4" t="n">
        <v>15.9</v>
      </c>
      <c r="H2996" s="5" t="n">
        <v>44.341224711775</v>
      </c>
      <c r="I2996" s="5" t="n">
        <v>39.07962074076945</v>
      </c>
      <c r="J2996" s="5" t="n">
        <v>44.64988380223889</v>
      </c>
      <c r="K2996" s="5" t="n">
        <v>75</v>
      </c>
    </row>
    <row r="2997">
      <c r="A2997" s="2" t="n">
        <v>46222.25</v>
      </c>
      <c r="B2997">
        <f>TEXT(A2997,"yyyy-mm")</f>
        <v/>
      </c>
      <c r="C2997" s="3">
        <f>HOUR(A2997)</f>
        <v/>
      </c>
      <c r="D2997" s="4" t="n">
        <v>25.11508505652778</v>
      </c>
      <c r="E2997" s="4" t="n">
        <v>27.04390182343056</v>
      </c>
      <c r="F2997" s="4" t="n">
        <v>28.65142017591667</v>
      </c>
      <c r="G2997" s="4" t="n">
        <v>16.8</v>
      </c>
      <c r="H2997" s="5" t="n">
        <v>41.00887187043055</v>
      </c>
      <c r="I2997" s="5" t="n">
        <v>39.87046302916389</v>
      </c>
      <c r="J2997" s="5" t="n">
        <v>44.68745660958055</v>
      </c>
      <c r="K2997" s="5" t="n">
        <v>70</v>
      </c>
    </row>
    <row r="2998">
      <c r="A2998" s="2" t="n">
        <v>46222.29166666666</v>
      </c>
      <c r="B2998">
        <f>TEXT(A2998,"yyyy-mm")</f>
        <v/>
      </c>
      <c r="C2998" s="3">
        <f>HOUR(A2998)</f>
        <v/>
      </c>
      <c r="D2998" s="4" t="n">
        <v>26.4208071175</v>
      </c>
      <c r="E2998" s="4" t="n">
        <v>27.61835179781111</v>
      </c>
      <c r="F2998" s="4" t="n">
        <v>28.67064386997778</v>
      </c>
      <c r="G2998" s="4" t="n">
        <v>18</v>
      </c>
      <c r="H2998" s="5" t="n">
        <v>39.80657909248611</v>
      </c>
      <c r="I2998" s="5" t="n">
        <v>39.15625494669722</v>
      </c>
      <c r="J2998" s="5" t="n">
        <v>44.79822607994166</v>
      </c>
      <c r="K2998" s="5" t="n">
        <v>64</v>
      </c>
    </row>
    <row r="2999">
      <c r="A2999" s="2" t="n">
        <v>46222.33333333334</v>
      </c>
      <c r="B2999">
        <f>TEXT(A2999,"yyyy-mm")</f>
        <v/>
      </c>
      <c r="C2999" s="3">
        <f>HOUR(A2999)</f>
        <v/>
      </c>
      <c r="D2999" s="4" t="n">
        <v>27.15289434083889</v>
      </c>
      <c r="E2999" s="4" t="n">
        <v>28.12440194347778</v>
      </c>
      <c r="F2999" s="4" t="n">
        <v>28.70509042148333</v>
      </c>
      <c r="G2999" s="4" t="n">
        <v>20.1</v>
      </c>
      <c r="H2999" s="5" t="n">
        <v>39.58733928628056</v>
      </c>
      <c r="I2999" s="5" t="n">
        <v>39.10211648045278</v>
      </c>
      <c r="J2999" s="5" t="n">
        <v>44.93612868473611</v>
      </c>
      <c r="K2999" s="5" t="n">
        <v>55</v>
      </c>
    </row>
    <row r="3000">
      <c r="A3000" s="2" t="n">
        <v>46222.375</v>
      </c>
      <c r="B3000">
        <f>TEXT(A3000,"yyyy-mm")</f>
        <v/>
      </c>
      <c r="C3000" s="3">
        <f>HOUR(A3000)</f>
        <v/>
      </c>
      <c r="D3000" s="4" t="n">
        <v>27.692935075575</v>
      </c>
      <c r="E3000" s="4" t="n">
        <v>28.49682053542778</v>
      </c>
      <c r="F3000" s="4" t="n">
        <v>28.74689569096667</v>
      </c>
      <c r="G3000" s="4" t="n">
        <v>22.6</v>
      </c>
      <c r="H3000" s="5" t="n">
        <v>38.68754692236389</v>
      </c>
      <c r="I3000" s="5" t="n">
        <v>39.12849630057499</v>
      </c>
      <c r="J3000" s="5" t="n">
        <v>45.00261481730556</v>
      </c>
      <c r="K3000" s="5" t="n">
        <v>43</v>
      </c>
    </row>
    <row r="3001">
      <c r="A3001" s="2" t="n">
        <v>46222.41666666666</v>
      </c>
      <c r="B3001">
        <f>TEXT(A3001,"yyyy-mm")</f>
        <v/>
      </c>
      <c r="C3001" s="3">
        <f>HOUR(A3001)</f>
        <v/>
      </c>
      <c r="D3001" s="4" t="n">
        <v>27.77690399463889</v>
      </c>
      <c r="E3001" s="4" t="n">
        <v>28.6927461023</v>
      </c>
      <c r="F3001" s="4" t="n">
        <v>28.7890052322</v>
      </c>
      <c r="G3001" s="4" t="n">
        <v>24.4</v>
      </c>
      <c r="H3001" s="5" t="n">
        <v>38.65911893139167</v>
      </c>
      <c r="I3001" s="5" t="n">
        <v>39.23249139851112</v>
      </c>
      <c r="J3001" s="5" t="n">
        <v>45.05109574750556</v>
      </c>
      <c r="K3001" s="5" t="n">
        <v>37</v>
      </c>
    </row>
    <row r="3002">
      <c r="A3002" s="2" t="n">
        <v>46222.45833333334</v>
      </c>
      <c r="B3002">
        <f>TEXT(A3002,"yyyy-mm")</f>
        <v/>
      </c>
      <c r="C3002" s="3">
        <f>HOUR(A3002)</f>
        <v/>
      </c>
      <c r="D3002" s="4" t="n">
        <v>27.80159001625556</v>
      </c>
      <c r="E3002" s="4" t="n">
        <v>29.02872921026112</v>
      </c>
      <c r="F3002" s="4" t="n">
        <v>28.82822756738889</v>
      </c>
      <c r="G3002" s="4" t="n">
        <v>25.4</v>
      </c>
      <c r="H3002" s="5" t="n">
        <v>38.09265473990556</v>
      </c>
      <c r="I3002" s="5" t="n">
        <v>39.24802129270555</v>
      </c>
      <c r="J3002" s="5" t="n">
        <v>45.17986379619166</v>
      </c>
      <c r="K3002" s="5" t="n">
        <v>34</v>
      </c>
    </row>
    <row r="3003">
      <c r="A3003" s="2" t="n">
        <v>46222.5</v>
      </c>
      <c r="B3003">
        <f>TEXT(A3003,"yyyy-mm")</f>
        <v/>
      </c>
      <c r="C3003" s="3">
        <f>HOUR(A3003)</f>
        <v/>
      </c>
      <c r="D3003" s="4" t="n">
        <v>27.92196663157777</v>
      </c>
      <c r="E3003" s="4" t="n">
        <v>28.95935485870278</v>
      </c>
      <c r="F3003" s="4" t="n">
        <v>28.86259239085</v>
      </c>
      <c r="G3003" s="4" t="n">
        <v>26.2</v>
      </c>
      <c r="H3003" s="5" t="n">
        <v>37.86843315094722</v>
      </c>
      <c r="I3003" s="5" t="n">
        <v>37.16128668333334</v>
      </c>
      <c r="J3003" s="5" t="n">
        <v>45.33364406205278</v>
      </c>
      <c r="K3003" s="5" t="n">
        <v>32</v>
      </c>
    </row>
    <row r="3004">
      <c r="A3004" s="2" t="n">
        <v>46222.54166666666</v>
      </c>
      <c r="B3004">
        <f>TEXT(A3004,"yyyy-mm")</f>
        <v/>
      </c>
      <c r="C3004" s="3">
        <f>HOUR(A3004)</f>
        <v/>
      </c>
      <c r="D3004" s="4" t="n">
        <v>27.97940550058334</v>
      </c>
      <c r="E3004" s="4" t="n">
        <v>28.79906917563889</v>
      </c>
      <c r="F3004" s="4" t="n">
        <v>28.88802950560556</v>
      </c>
      <c r="G3004" s="4" t="n">
        <v>27.1</v>
      </c>
      <c r="H3004" s="5" t="n">
        <v>37.57890535995278</v>
      </c>
      <c r="I3004" s="5" t="n">
        <v>36.68957453911111</v>
      </c>
      <c r="J3004" s="5" t="n">
        <v>45.24751900469167</v>
      </c>
      <c r="K3004" s="5" t="n">
        <v>31</v>
      </c>
    </row>
    <row r="3005">
      <c r="A3005" s="2" t="n">
        <v>46222.58333333334</v>
      </c>
      <c r="B3005">
        <f>TEXT(A3005,"yyyy-mm")</f>
        <v/>
      </c>
      <c r="C3005" s="3">
        <f>HOUR(A3005)</f>
        <v/>
      </c>
      <c r="D3005" s="4" t="n">
        <v>27.73344365719722</v>
      </c>
      <c r="E3005" s="4" t="n">
        <v>28.41279564550278</v>
      </c>
      <c r="F3005" s="4" t="n">
        <v>28.89274988415833</v>
      </c>
      <c r="G3005" s="4" t="n">
        <v>27.7</v>
      </c>
      <c r="H3005" s="5" t="n">
        <v>35.48701101429999</v>
      </c>
      <c r="I3005" s="5" t="n">
        <v>35.39568402164722</v>
      </c>
      <c r="J3005" s="5" t="n">
        <v>45.20226349608611</v>
      </c>
      <c r="K3005" s="5" t="n">
        <v>30</v>
      </c>
    </row>
    <row r="3006">
      <c r="A3006" s="2" t="n">
        <v>46222.625</v>
      </c>
      <c r="B3006">
        <f>TEXT(A3006,"yyyy-mm")</f>
        <v/>
      </c>
      <c r="C3006" s="3">
        <f>HOUR(A3006)</f>
        <v/>
      </c>
      <c r="D3006" s="4" t="n">
        <v>27.614752349875</v>
      </c>
      <c r="E3006" s="4" t="n">
        <v>28.46529676919166</v>
      </c>
      <c r="F3006" s="4" t="n">
        <v>28.88097075172222</v>
      </c>
      <c r="G3006" s="4" t="n">
        <v>28.5</v>
      </c>
      <c r="H3006" s="5" t="n">
        <v>35.58269777861944</v>
      </c>
      <c r="I3006" s="5" t="n">
        <v>36.63121514179166</v>
      </c>
      <c r="J3006" s="5" t="n">
        <v>45.13202956865278</v>
      </c>
      <c r="K3006" s="5" t="n">
        <v>29</v>
      </c>
    </row>
    <row r="3007">
      <c r="A3007" s="2" t="n">
        <v>46222.66666666666</v>
      </c>
      <c r="B3007">
        <f>TEXT(A3007,"yyyy-mm")</f>
        <v/>
      </c>
      <c r="C3007" s="3">
        <f>HOUR(A3007)</f>
        <v/>
      </c>
      <c r="D3007" s="4" t="n">
        <v>27.627201728825</v>
      </c>
      <c r="E3007" s="4" t="n">
        <v>28.51800998786944</v>
      </c>
      <c r="F3007" s="4" t="n">
        <v>28.88803120425</v>
      </c>
      <c r="G3007" s="4" t="n">
        <v>28.2</v>
      </c>
      <c r="H3007" s="5" t="n">
        <v>36.61045277192222</v>
      </c>
      <c r="I3007" s="5" t="n">
        <v>35.8453565857</v>
      </c>
      <c r="J3007" s="5" t="n">
        <v>45.15790583616666</v>
      </c>
      <c r="K3007" s="5" t="n">
        <v>30</v>
      </c>
    </row>
    <row r="3008">
      <c r="A3008" s="2" t="n">
        <v>46222.70833333334</v>
      </c>
      <c r="B3008">
        <f>TEXT(A3008,"yyyy-mm")</f>
        <v/>
      </c>
      <c r="C3008" s="3">
        <f>HOUR(A3008)</f>
        <v/>
      </c>
      <c r="D3008" s="4" t="n">
        <v>27.69593175575556</v>
      </c>
      <c r="E3008" s="4" t="n">
        <v>28.60920130428056</v>
      </c>
      <c r="F3008" s="4" t="n">
        <v>28.88141301202777</v>
      </c>
      <c r="G3008" s="4" t="n">
        <v>28.4</v>
      </c>
      <c r="H3008" s="5" t="n">
        <v>36.10985439681944</v>
      </c>
      <c r="I3008" s="5" t="n">
        <v>37.06380319467778</v>
      </c>
      <c r="J3008" s="5" t="n">
        <v>45.14914933467222</v>
      </c>
      <c r="K3008" s="5" t="n">
        <v>29</v>
      </c>
    </row>
    <row r="3009">
      <c r="A3009" s="2" t="n">
        <v>46222.75</v>
      </c>
      <c r="B3009">
        <f>TEXT(A3009,"yyyy-mm")</f>
        <v/>
      </c>
      <c r="C3009" s="3">
        <f>HOUR(A3009)</f>
        <v/>
      </c>
      <c r="D3009" s="4" t="n">
        <v>27.58637273510556</v>
      </c>
      <c r="E3009" s="4" t="n">
        <v>28.64365513550834</v>
      </c>
      <c r="F3009" s="4" t="n">
        <v>28.939664140425</v>
      </c>
      <c r="G3009" s="4" t="n">
        <v>28.2</v>
      </c>
      <c r="H3009" s="5" t="n">
        <v>39.70519122439167</v>
      </c>
      <c r="I3009" s="5" t="n">
        <v>40.28976938215278</v>
      </c>
      <c r="J3009" s="5" t="n">
        <v>45.56511429176667</v>
      </c>
      <c r="K3009" s="5" t="n">
        <v>29</v>
      </c>
    </row>
    <row r="3010">
      <c r="A3010" s="2" t="n">
        <v>46222.79166666666</v>
      </c>
      <c r="B3010">
        <f>TEXT(A3010,"yyyy-mm")</f>
        <v/>
      </c>
      <c r="C3010" s="3">
        <f>HOUR(A3010)</f>
        <v/>
      </c>
      <c r="D3010" s="4" t="n">
        <v>27.45968708457778</v>
      </c>
      <c r="E3010" s="4" t="n">
        <v>28.32902000083333</v>
      </c>
      <c r="F3010" s="4" t="n">
        <v>29.09491794974722</v>
      </c>
      <c r="G3010" s="4" t="n">
        <v>27</v>
      </c>
      <c r="H3010" s="5" t="n">
        <v>40.12093966286111</v>
      </c>
      <c r="I3010" s="5" t="n">
        <v>40.56055058395556</v>
      </c>
      <c r="J3010" s="5" t="n">
        <v>46.01809649071112</v>
      </c>
      <c r="K3010" s="5" t="n">
        <v>35</v>
      </c>
    </row>
    <row r="3011">
      <c r="A3011" s="2" t="n">
        <v>46222.83333333334</v>
      </c>
      <c r="B3011">
        <f>TEXT(A3011,"yyyy-mm")</f>
        <v/>
      </c>
      <c r="C3011" s="3">
        <f>HOUR(A3011)</f>
        <v/>
      </c>
      <c r="D3011" s="4" t="n">
        <v>27.08507969369444</v>
      </c>
      <c r="E3011" s="4" t="n">
        <v>28.30926829704444</v>
      </c>
      <c r="F3011" s="4" t="n">
        <v>28.87588838834722</v>
      </c>
      <c r="G3011" s="4" t="n">
        <v>25.4</v>
      </c>
      <c r="H3011" s="5" t="n">
        <v>39.01330085493889</v>
      </c>
      <c r="I3011" s="5" t="n">
        <v>40.82069210785556</v>
      </c>
      <c r="J3011" s="5" t="n">
        <v>47.87533989067222</v>
      </c>
      <c r="K3011" s="5" t="n">
        <v>40</v>
      </c>
    </row>
    <row r="3012">
      <c r="A3012" s="2" t="n">
        <v>46222.875</v>
      </c>
      <c r="B3012">
        <f>TEXT(A3012,"yyyy-mm")</f>
        <v/>
      </c>
      <c r="C3012" s="3">
        <f>HOUR(A3012)</f>
        <v/>
      </c>
      <c r="D3012" s="4" t="n">
        <v>26.50005649856666</v>
      </c>
      <c r="E3012" s="4" t="n">
        <v>28.26902228955</v>
      </c>
      <c r="F3012" s="4" t="n">
        <v>28.78897155221667</v>
      </c>
      <c r="G3012" s="4" t="n">
        <v>24.5</v>
      </c>
      <c r="H3012" s="5" t="n">
        <v>39.98664322156389</v>
      </c>
      <c r="I3012" s="5" t="n">
        <v>41.81782422534722</v>
      </c>
      <c r="J3012" s="5" t="n">
        <v>47.88964133947778</v>
      </c>
      <c r="K3012" s="5" t="n">
        <v>41</v>
      </c>
    </row>
    <row r="3013">
      <c r="A3013" s="2" t="n">
        <v>46222.91666666666</v>
      </c>
      <c r="B3013">
        <f>TEXT(A3013,"yyyy-mm")</f>
        <v/>
      </c>
      <c r="C3013" s="3">
        <f>HOUR(A3013)</f>
        <v/>
      </c>
      <c r="D3013" s="4" t="n">
        <v>26.21007701007778</v>
      </c>
      <c r="E3013" s="4" t="n">
        <v>28.25344548139723</v>
      </c>
      <c r="F3013" s="4" t="n">
        <v>28.90392578271389</v>
      </c>
      <c r="G3013" s="4" t="n">
        <v>24.1</v>
      </c>
      <c r="H3013" s="5" t="n">
        <v>42.02375301000833</v>
      </c>
      <c r="I3013" s="5" t="n">
        <v>43.85273636277222</v>
      </c>
      <c r="J3013" s="5" t="n">
        <v>47.14056070010833</v>
      </c>
      <c r="K3013" s="5" t="n">
        <v>44</v>
      </c>
    </row>
    <row r="3014">
      <c r="A3014" s="2" t="n">
        <v>46222.95833333334</v>
      </c>
      <c r="B3014">
        <f>TEXT(A3014,"yyyy-mm")</f>
        <v/>
      </c>
      <c r="C3014" s="3">
        <f>HOUR(A3014)</f>
        <v/>
      </c>
      <c r="D3014" s="4" t="n">
        <v>25.654310546275</v>
      </c>
      <c r="E3014" s="4" t="n">
        <v>27.93165724851111</v>
      </c>
      <c r="F3014" s="4" t="n">
        <v>28.91346829492223</v>
      </c>
      <c r="G3014" s="4" t="n">
        <v>23.2</v>
      </c>
      <c r="H3014" s="5" t="n">
        <v>41.50800639414445</v>
      </c>
      <c r="I3014" s="5" t="n">
        <v>42.467010613475</v>
      </c>
      <c r="J3014" s="5" t="n">
        <v>46.83767231323333</v>
      </c>
      <c r="K3014" s="5" t="n">
        <v>46</v>
      </c>
    </row>
    <row r="3015">
      <c r="A3015" s="2" t="n">
        <v>46223</v>
      </c>
      <c r="B3015">
        <f>TEXT(A3015,"yyyy-mm")</f>
        <v/>
      </c>
      <c r="C3015" s="3">
        <f>HOUR(A3015)</f>
        <v/>
      </c>
      <c r="D3015" s="4" t="n">
        <v>25.45904960093056</v>
      </c>
      <c r="E3015" s="4" t="n">
        <v>27.93663512811944</v>
      </c>
      <c r="F3015" s="4" t="n">
        <v>28.88844056176667</v>
      </c>
      <c r="G3015" s="4" t="n">
        <v>22.2</v>
      </c>
      <c r="H3015" s="5" t="n">
        <v>42.24230029819167</v>
      </c>
      <c r="I3015" s="5" t="n">
        <v>42.00171049663333</v>
      </c>
      <c r="J3015" s="5" t="n">
        <v>46.57593168102778</v>
      </c>
      <c r="K3015" s="5" t="n">
        <v>51</v>
      </c>
    </row>
    <row r="3016">
      <c r="A3016" s="2" t="n">
        <v>46223.04166666666</v>
      </c>
      <c r="B3016">
        <f>TEXT(A3016,"yyyy-mm")</f>
        <v/>
      </c>
      <c r="C3016" s="3">
        <f>HOUR(A3016)</f>
        <v/>
      </c>
      <c r="D3016" s="4" t="n">
        <v>25.42033485741111</v>
      </c>
      <c r="E3016" s="4" t="n">
        <v>27.698386772475</v>
      </c>
      <c r="F3016" s="4" t="n">
        <v>28.86619078079444</v>
      </c>
      <c r="G3016" s="4" t="n">
        <v>21.7</v>
      </c>
      <c r="H3016" s="5" t="n">
        <v>42.77804116394445</v>
      </c>
      <c r="I3016" s="5" t="n">
        <v>42.25887148133611</v>
      </c>
      <c r="J3016" s="5" t="n">
        <v>46.58520390493612</v>
      </c>
      <c r="K3016" s="5" t="n">
        <v>52</v>
      </c>
    </row>
    <row r="3017">
      <c r="A3017" s="2" t="n">
        <v>46223.08333333334</v>
      </c>
      <c r="B3017">
        <f>TEXT(A3017,"yyyy-mm")</f>
        <v/>
      </c>
      <c r="C3017" s="3">
        <f>HOUR(A3017)</f>
        <v/>
      </c>
      <c r="D3017" s="4" t="n">
        <v>25.36624337957778</v>
      </c>
      <c r="E3017" s="4" t="n">
        <v>27.40785940084167</v>
      </c>
      <c r="F3017" s="4" t="n">
        <v>28.84644083905278</v>
      </c>
      <c r="G3017" s="4" t="n">
        <v>20.8</v>
      </c>
      <c r="H3017" s="5" t="n">
        <v>42.93665820268333</v>
      </c>
      <c r="I3017" s="5" t="n">
        <v>41.82706110802778</v>
      </c>
      <c r="J3017" s="5" t="n">
        <v>46.54094620314999</v>
      </c>
      <c r="K3017" s="5" t="n">
        <v>53</v>
      </c>
    </row>
    <row r="3018">
      <c r="A3018" s="2" t="n">
        <v>46223.125</v>
      </c>
      <c r="B3018">
        <f>TEXT(A3018,"yyyy-mm")</f>
        <v/>
      </c>
      <c r="C3018" s="3">
        <f>HOUR(A3018)</f>
        <v/>
      </c>
      <c r="D3018" s="4" t="n">
        <v>25.15445407449722</v>
      </c>
      <c r="E3018" s="4" t="n">
        <v>27.157291306425</v>
      </c>
      <c r="F3018" s="4" t="n">
        <v>28.81776852275</v>
      </c>
      <c r="G3018" s="4" t="n">
        <v>19.3</v>
      </c>
      <c r="H3018" s="5" t="n">
        <v>42.82723662479168</v>
      </c>
      <c r="I3018" s="5" t="n">
        <v>40.56156760959723</v>
      </c>
      <c r="J3018" s="5" t="n">
        <v>46.39183130091666</v>
      </c>
      <c r="K3018" s="5" t="n">
        <v>60</v>
      </c>
    </row>
    <row r="3019">
      <c r="A3019" s="2" t="n">
        <v>46223.16666666666</v>
      </c>
      <c r="B3019">
        <f>TEXT(A3019,"yyyy-mm")</f>
        <v/>
      </c>
      <c r="C3019" s="3">
        <f>HOUR(A3019)</f>
        <v/>
      </c>
      <c r="D3019" s="4" t="n">
        <v>25.09180024204167</v>
      </c>
      <c r="E3019" s="4" t="n">
        <v>26.94243672984445</v>
      </c>
      <c r="F3019" s="4" t="n">
        <v>28.78002208508889</v>
      </c>
      <c r="G3019" s="4" t="n">
        <v>17.9</v>
      </c>
      <c r="H3019" s="5" t="n">
        <v>42.52751921744167</v>
      </c>
      <c r="I3019" s="5" t="n">
        <v>40.13054623707777</v>
      </c>
      <c r="J3019" s="5" t="n">
        <v>46.20822189031389</v>
      </c>
      <c r="K3019" s="5" t="n">
        <v>71</v>
      </c>
    </row>
    <row r="3020">
      <c r="A3020" s="2" t="n">
        <v>46223.20833333334</v>
      </c>
      <c r="B3020">
        <f>TEXT(A3020,"yyyy-mm")</f>
        <v/>
      </c>
      <c r="C3020" s="3">
        <f>HOUR(A3020)</f>
        <v/>
      </c>
      <c r="D3020" s="4" t="n">
        <v>25.24614185481389</v>
      </c>
      <c r="E3020" s="4" t="n">
        <v>26.93498309389166</v>
      </c>
      <c r="F3020" s="4" t="n">
        <v>28.74804979211389</v>
      </c>
      <c r="G3020" s="4" t="n">
        <v>16.8</v>
      </c>
      <c r="H3020" s="5" t="n">
        <v>41.99509034188056</v>
      </c>
      <c r="I3020" s="5" t="n">
        <v>39.96450557124722</v>
      </c>
      <c r="J3020" s="5" t="n">
        <v>46.05161069798056</v>
      </c>
      <c r="K3020" s="5" t="n">
        <v>78</v>
      </c>
    </row>
    <row r="3021">
      <c r="A3021" s="2" t="n">
        <v>46223.25</v>
      </c>
      <c r="B3021">
        <f>TEXT(A3021,"yyyy-mm")</f>
        <v/>
      </c>
      <c r="C3021" s="3">
        <f>HOUR(A3021)</f>
        <v/>
      </c>
      <c r="D3021" s="4" t="n">
        <v>25.97402913897778</v>
      </c>
      <c r="E3021" s="4" t="n">
        <v>27.21325407002778</v>
      </c>
      <c r="F3021" s="4" t="n">
        <v>28.73939285403056</v>
      </c>
      <c r="G3021" s="4" t="n">
        <v>17.2</v>
      </c>
      <c r="H3021" s="5" t="n">
        <v>41.11120354072778</v>
      </c>
      <c r="I3021" s="5" t="n">
        <v>40.90665830491944</v>
      </c>
      <c r="J3021" s="5" t="n">
        <v>46.04746116293889</v>
      </c>
      <c r="K3021" s="5" t="n">
        <v>77</v>
      </c>
    </row>
    <row r="3022">
      <c r="A3022" s="2" t="n">
        <v>46223.29166666666</v>
      </c>
      <c r="B3022">
        <f>TEXT(A3022,"yyyy-mm")</f>
        <v/>
      </c>
      <c r="C3022" s="3">
        <f>HOUR(A3022)</f>
        <v/>
      </c>
      <c r="D3022" s="4" t="n">
        <v>26.80950053714722</v>
      </c>
      <c r="E3022" s="4" t="n">
        <v>27.75297460279722</v>
      </c>
      <c r="F3022" s="4" t="n">
        <v>28.76080934694167</v>
      </c>
      <c r="G3022" s="4" t="n">
        <v>18.8</v>
      </c>
      <c r="H3022" s="5" t="n">
        <v>40.70403029393611</v>
      </c>
      <c r="I3022" s="5" t="n">
        <v>39.98610590726945</v>
      </c>
      <c r="J3022" s="5" t="n">
        <v>46.10786649580555</v>
      </c>
      <c r="K3022" s="5" t="n">
        <v>71</v>
      </c>
    </row>
    <row r="3023">
      <c r="A3023" s="2" t="n">
        <v>46223.33333333334</v>
      </c>
      <c r="B3023">
        <f>TEXT(A3023,"yyyy-mm")</f>
        <v/>
      </c>
      <c r="C3023" s="3">
        <f>HOUR(A3023)</f>
        <v/>
      </c>
      <c r="D3023" s="4" t="n">
        <v>27.37611805238611</v>
      </c>
      <c r="E3023" s="4" t="n">
        <v>28.21818906944166</v>
      </c>
      <c r="F3023" s="4" t="n">
        <v>28.79173172329167</v>
      </c>
      <c r="G3023" s="4" t="n">
        <v>21.4</v>
      </c>
      <c r="H3023" s="5" t="n">
        <v>40.71194379495834</v>
      </c>
      <c r="I3023" s="5" t="n">
        <v>39.48229797787778</v>
      </c>
      <c r="J3023" s="5" t="n">
        <v>46.11580406335</v>
      </c>
      <c r="K3023" s="5" t="n">
        <v>61</v>
      </c>
    </row>
    <row r="3024">
      <c r="A3024" s="2" t="n">
        <v>46223.375</v>
      </c>
      <c r="B3024">
        <f>TEXT(A3024,"yyyy-mm")</f>
        <v/>
      </c>
      <c r="C3024" s="3">
        <f>HOUR(A3024)</f>
        <v/>
      </c>
      <c r="D3024" s="4" t="n">
        <v>27.89912643265556</v>
      </c>
      <c r="E3024" s="4" t="n">
        <v>28.74310498407222</v>
      </c>
      <c r="F3024" s="4" t="n">
        <v>28.83145224078333</v>
      </c>
      <c r="G3024" s="4" t="n">
        <v>24.5</v>
      </c>
      <c r="H3024" s="5" t="n">
        <v>40.41133331411389</v>
      </c>
      <c r="I3024" s="5" t="n">
        <v>39.22670031131111</v>
      </c>
      <c r="J3024" s="5" t="n">
        <v>46.13136233989445</v>
      </c>
      <c r="K3024" s="5" t="n">
        <v>49</v>
      </c>
    </row>
    <row r="3025">
      <c r="A3025" s="2" t="n">
        <v>46223.41666666666</v>
      </c>
      <c r="B3025">
        <f>TEXT(A3025,"yyyy-mm")</f>
        <v/>
      </c>
      <c r="C3025" s="3">
        <f>HOUR(A3025)</f>
        <v/>
      </c>
      <c r="D3025" s="4" t="n">
        <v>27.99916858508056</v>
      </c>
      <c r="E3025" s="4" t="n">
        <v>29.11749343745556</v>
      </c>
      <c r="F3025" s="4" t="n">
        <v>28.87909124049445</v>
      </c>
      <c r="G3025" s="4" t="n">
        <v>26.4</v>
      </c>
      <c r="H3025" s="5" t="n">
        <v>40.05255632221389</v>
      </c>
      <c r="I3025" s="5" t="n">
        <v>38.09587201529722</v>
      </c>
      <c r="J3025" s="5" t="n">
        <v>46.14039319919166</v>
      </c>
      <c r="K3025" s="5" t="n">
        <v>42</v>
      </c>
    </row>
    <row r="3026">
      <c r="A3026" s="2" t="n">
        <v>46223.45833333334</v>
      </c>
      <c r="B3026">
        <f>TEXT(A3026,"yyyy-mm")</f>
        <v/>
      </c>
      <c r="C3026" s="3">
        <f>HOUR(A3026)</f>
        <v/>
      </c>
      <c r="D3026" s="4" t="n">
        <v>28.10588231872778</v>
      </c>
      <c r="E3026" s="4" t="n">
        <v>29.42944460181666</v>
      </c>
      <c r="F3026" s="4" t="n">
        <v>28.91495067180833</v>
      </c>
      <c r="G3026" s="4" t="n">
        <v>27.7</v>
      </c>
      <c r="H3026" s="5" t="n">
        <v>38.39007639478611</v>
      </c>
      <c r="I3026" s="5" t="n">
        <v>35.45065300396389</v>
      </c>
      <c r="J3026" s="5" t="n">
        <v>46.10116966924722</v>
      </c>
      <c r="K3026" s="5" t="n">
        <v>37</v>
      </c>
    </row>
    <row r="3027">
      <c r="A3027" s="2" t="n">
        <v>46223.5</v>
      </c>
      <c r="B3027">
        <f>TEXT(A3027,"yyyy-mm")</f>
        <v/>
      </c>
      <c r="C3027" s="3">
        <f>HOUR(A3027)</f>
        <v/>
      </c>
      <c r="D3027" s="4" t="n">
        <v>28.08767845766111</v>
      </c>
      <c r="E3027" s="4" t="n">
        <v>29.33058413394167</v>
      </c>
      <c r="F3027" s="4" t="n">
        <v>28.94197851081389</v>
      </c>
      <c r="G3027" s="4" t="n">
        <v>28.7</v>
      </c>
      <c r="H3027" s="5" t="n">
        <v>36.383933267075</v>
      </c>
      <c r="I3027" s="5" t="n">
        <v>34.22719798378889</v>
      </c>
      <c r="J3027" s="5" t="n">
        <v>45.95127851669722</v>
      </c>
      <c r="K3027" s="5" t="n">
        <v>33</v>
      </c>
    </row>
    <row r="3028">
      <c r="A3028" s="2" t="n">
        <v>46223.54166666666</v>
      </c>
      <c r="B3028">
        <f>TEXT(A3028,"yyyy-mm")</f>
        <v/>
      </c>
      <c r="C3028" s="3">
        <f>HOUR(A3028)</f>
        <v/>
      </c>
      <c r="D3028" s="4" t="n">
        <v>28.03953370421389</v>
      </c>
      <c r="E3028" s="4" t="n">
        <v>29.06539275804167</v>
      </c>
      <c r="F3028" s="4" t="n">
        <v>28.959252097675</v>
      </c>
      <c r="G3028" s="4" t="n">
        <v>29.4</v>
      </c>
      <c r="H3028" s="5" t="n">
        <v>35.19234368740833</v>
      </c>
      <c r="I3028" s="5" t="n">
        <v>34.09545270645</v>
      </c>
      <c r="J3028" s="5" t="n">
        <v>45.82486725713611</v>
      </c>
      <c r="K3028" s="5" t="n">
        <v>30</v>
      </c>
    </row>
    <row r="3029">
      <c r="A3029" s="2" t="n">
        <v>46223.58333333334</v>
      </c>
      <c r="B3029">
        <f>TEXT(A3029,"yyyy-mm")</f>
        <v/>
      </c>
      <c r="C3029" s="3">
        <f>HOUR(A3029)</f>
        <v/>
      </c>
      <c r="D3029" s="4" t="n">
        <v>26.68202757263611</v>
      </c>
      <c r="E3029" s="4" t="n">
        <v>28.28933438635</v>
      </c>
      <c r="F3029" s="4" t="n">
        <v>28.94484336036111</v>
      </c>
      <c r="G3029" s="4" t="n">
        <v>29.8</v>
      </c>
      <c r="H3029" s="5" t="n">
        <v>33.72808674037778</v>
      </c>
      <c r="I3029" s="5" t="n">
        <v>33.42828454187222</v>
      </c>
      <c r="J3029" s="5" t="n">
        <v>45.43606763154167</v>
      </c>
      <c r="K3029" s="5" t="n">
        <v>27</v>
      </c>
    </row>
    <row r="3030">
      <c r="A3030" s="2" t="n">
        <v>46223.625</v>
      </c>
      <c r="B3030">
        <f>TEXT(A3030,"yyyy-mm")</f>
        <v/>
      </c>
      <c r="C3030" s="3">
        <f>HOUR(A3030)</f>
        <v/>
      </c>
      <c r="D3030" s="4" t="n">
        <v>25.84945626498056</v>
      </c>
      <c r="E3030" s="4" t="n">
        <v>27.97653186926389</v>
      </c>
      <c r="F3030" s="4" t="n">
        <v>28.42378464704167</v>
      </c>
      <c r="G3030" s="4" t="n">
        <v>30.7</v>
      </c>
      <c r="H3030" s="5" t="n">
        <v>35.71002956456389</v>
      </c>
      <c r="I3030" s="5" t="n">
        <v>33.65850281349167</v>
      </c>
      <c r="J3030" s="5" t="n">
        <v>42.60642809250555</v>
      </c>
      <c r="K3030" s="5" t="n">
        <v>25</v>
      </c>
    </row>
    <row r="3031">
      <c r="A3031" s="2" t="n">
        <v>46223.66666666666</v>
      </c>
      <c r="B3031">
        <f>TEXT(A3031,"yyyy-mm")</f>
        <v/>
      </c>
      <c r="C3031" s="3">
        <f>HOUR(A3031)</f>
        <v/>
      </c>
      <c r="D3031" s="4" t="n">
        <v>26.92601620838056</v>
      </c>
      <c r="E3031" s="4" t="n">
        <v>28.50949815251111</v>
      </c>
      <c r="F3031" s="4" t="n">
        <v>28.62849152137223</v>
      </c>
      <c r="G3031" s="4" t="n">
        <v>30.6</v>
      </c>
      <c r="H3031" s="5" t="n">
        <v>38.66892735089444</v>
      </c>
      <c r="I3031" s="5" t="n">
        <v>37.23448439301945</v>
      </c>
      <c r="J3031" s="5" t="n">
        <v>44.00889249258056</v>
      </c>
      <c r="K3031" s="5" t="n">
        <v>25</v>
      </c>
    </row>
    <row r="3032">
      <c r="A3032" s="2" t="n">
        <v>46223.70833333334</v>
      </c>
      <c r="B3032">
        <f>TEXT(A3032,"yyyy-mm")</f>
        <v/>
      </c>
      <c r="C3032" s="3">
        <f>HOUR(A3032)</f>
        <v/>
      </c>
      <c r="D3032" s="4" t="n">
        <v>25.41519636641389</v>
      </c>
      <c r="E3032" s="4" t="n">
        <v>27.76827582000556</v>
      </c>
      <c r="F3032" s="4" t="n">
        <v>28.77776190080555</v>
      </c>
      <c r="G3032" s="4" t="n">
        <v>30.4</v>
      </c>
      <c r="H3032" s="5" t="n">
        <v>33.98958506662222</v>
      </c>
      <c r="I3032" s="5" t="n">
        <v>33.93455511926945</v>
      </c>
      <c r="J3032" s="5" t="n">
        <v>44.23848593297223</v>
      </c>
      <c r="K3032" s="5" t="n">
        <v>26</v>
      </c>
    </row>
    <row r="3033">
      <c r="A3033" s="2" t="n">
        <v>46223.75</v>
      </c>
      <c r="B3033">
        <f>TEXT(A3033,"yyyy-mm")</f>
        <v/>
      </c>
      <c r="C3033" s="3">
        <f>HOUR(A3033)</f>
        <v/>
      </c>
      <c r="D3033" s="4" t="n">
        <v>24.74591102316666</v>
      </c>
      <c r="E3033" s="4" t="n">
        <v>27.40095701108333</v>
      </c>
      <c r="F3033" s="4" t="n">
        <v>28.802115280775</v>
      </c>
      <c r="G3033" s="4" t="n">
        <v>29.9</v>
      </c>
      <c r="H3033" s="5" t="n">
        <v>33.961064168875</v>
      </c>
      <c r="I3033" s="5" t="n">
        <v>32.24415511241111</v>
      </c>
      <c r="J3033" s="5" t="n">
        <v>43.776906307725</v>
      </c>
      <c r="K3033" s="5" t="n">
        <v>29</v>
      </c>
    </row>
    <row r="3034">
      <c r="A3034" s="2" t="n">
        <v>46223.79166666666</v>
      </c>
      <c r="B3034">
        <f>TEXT(A3034,"yyyy-mm")</f>
        <v/>
      </c>
      <c r="C3034" s="3">
        <f>HOUR(A3034)</f>
        <v/>
      </c>
      <c r="D3034" s="4" t="n">
        <v>24.72854345303333</v>
      </c>
      <c r="E3034" s="4" t="n">
        <v>27.40228987307222</v>
      </c>
      <c r="F3034" s="4" t="n">
        <v>28.80447043490556</v>
      </c>
      <c r="G3034" s="4" t="n">
        <v>29.2</v>
      </c>
      <c r="H3034" s="5" t="n">
        <v>34.46890439268056</v>
      </c>
      <c r="I3034" s="5" t="n">
        <v>31.45365737652222</v>
      </c>
      <c r="J3034" s="5" t="n">
        <v>43.27979287031389</v>
      </c>
      <c r="K3034" s="5" t="n">
        <v>33</v>
      </c>
    </row>
    <row r="3035">
      <c r="A3035" s="2" t="n">
        <v>46223.83333333334</v>
      </c>
      <c r="B3035">
        <f>TEXT(A3035,"yyyy-mm")</f>
        <v/>
      </c>
      <c r="C3035" s="3">
        <f>HOUR(A3035)</f>
        <v/>
      </c>
      <c r="D3035" s="4" t="n">
        <v>26.181098858025</v>
      </c>
      <c r="E3035" s="4" t="n">
        <v>28.29010691612778</v>
      </c>
      <c r="F3035" s="4" t="n">
        <v>28.82250762158889</v>
      </c>
      <c r="G3035" s="4" t="n">
        <v>28.3</v>
      </c>
      <c r="H3035" s="5" t="n">
        <v>39.20778286902778</v>
      </c>
      <c r="I3035" s="5" t="n">
        <v>35.80913402010833</v>
      </c>
      <c r="J3035" s="5" t="n">
        <v>43.28937457071388</v>
      </c>
      <c r="K3035" s="5" t="n">
        <v>37</v>
      </c>
    </row>
    <row r="3036">
      <c r="A3036" s="2" t="n">
        <v>46223.875</v>
      </c>
      <c r="B3036">
        <f>TEXT(A3036,"yyyy-mm")</f>
        <v/>
      </c>
      <c r="C3036" s="3">
        <f>HOUR(A3036)</f>
        <v/>
      </c>
      <c r="D3036" s="4" t="n">
        <v>26.65741637600833</v>
      </c>
      <c r="E3036" s="4" t="n">
        <v>28.3118011909</v>
      </c>
      <c r="F3036" s="4" t="n">
        <v>28.86106554465556</v>
      </c>
      <c r="G3036" s="4" t="n">
        <v>27.3</v>
      </c>
      <c r="H3036" s="5" t="n">
        <v>43.26415655806111</v>
      </c>
      <c r="I3036" s="5" t="n">
        <v>41.82255873883889</v>
      </c>
      <c r="J3036" s="5" t="n">
        <v>43.79057500569445</v>
      </c>
      <c r="K3036" s="5" t="n">
        <v>42</v>
      </c>
    </row>
    <row r="3037">
      <c r="A3037" s="2" t="n">
        <v>46223.91666666666</v>
      </c>
      <c r="B3037">
        <f>TEXT(A3037,"yyyy-mm")</f>
        <v/>
      </c>
      <c r="C3037" s="3">
        <f>HOUR(A3037)</f>
        <v/>
      </c>
      <c r="D3037" s="4" t="n">
        <v>26.86530614213889</v>
      </c>
      <c r="E3037" s="4" t="n">
        <v>28.69426858044723</v>
      </c>
      <c r="F3037" s="4" t="n">
        <v>28.91831572045</v>
      </c>
      <c r="G3037" s="4" t="n">
        <v>25.8</v>
      </c>
      <c r="H3037" s="5" t="n">
        <v>42.86669647531389</v>
      </c>
      <c r="I3037" s="5" t="n">
        <v>41.92305692733333</v>
      </c>
      <c r="J3037" s="5" t="n">
        <v>44.26776530883333</v>
      </c>
      <c r="K3037" s="5" t="n">
        <v>49</v>
      </c>
    </row>
    <row r="3038">
      <c r="A3038" s="2" t="n">
        <v>46223.95833333334</v>
      </c>
      <c r="B3038">
        <f>TEXT(A3038,"yyyy-mm")</f>
        <v/>
      </c>
      <c r="C3038" s="3">
        <f>HOUR(A3038)</f>
        <v/>
      </c>
      <c r="D3038" s="4" t="n">
        <v>25.43690069533611</v>
      </c>
      <c r="E3038" s="4" t="n">
        <v>28.09438029600833</v>
      </c>
      <c r="F3038" s="4" t="n">
        <v>28.93185483351667</v>
      </c>
      <c r="G3038" s="4" t="n">
        <v>24.6</v>
      </c>
      <c r="H3038" s="5" t="n">
        <v>36.05499134884445</v>
      </c>
      <c r="I3038" s="5" t="n">
        <v>35.58613522113611</v>
      </c>
      <c r="J3038" s="5" t="n">
        <v>44.21160288368889</v>
      </c>
      <c r="K3038" s="5" t="n">
        <v>57</v>
      </c>
    </row>
    <row r="3039">
      <c r="A3039" s="2" t="n">
        <v>46224</v>
      </c>
      <c r="B3039">
        <f>TEXT(A3039,"yyyy-mm")</f>
        <v/>
      </c>
      <c r="C3039" s="3">
        <f>HOUR(A3039)</f>
        <v/>
      </c>
      <c r="D3039" s="4" t="n">
        <v>25.39949452014444</v>
      </c>
      <c r="E3039" s="4" t="n">
        <v>27.74652564736667</v>
      </c>
      <c r="F3039" s="4" t="n">
        <v>28.87685097814166</v>
      </c>
      <c r="G3039" s="4" t="n">
        <v>23.8</v>
      </c>
      <c r="H3039" s="5" t="n">
        <v>37.32591447941945</v>
      </c>
      <c r="I3039" s="5" t="n">
        <v>35.87348038004444</v>
      </c>
      <c r="J3039" s="5" t="n">
        <v>43.771524575575</v>
      </c>
      <c r="K3039" s="5" t="n">
        <v>63</v>
      </c>
    </row>
    <row r="3040">
      <c r="A3040" s="2" t="n">
        <v>46224.04166666666</v>
      </c>
      <c r="B3040">
        <f>TEXT(A3040,"yyyy-mm")</f>
        <v/>
      </c>
      <c r="C3040" s="3">
        <f>HOUR(A3040)</f>
        <v/>
      </c>
      <c r="D3040" s="4" t="n">
        <v>26.35769286026111</v>
      </c>
      <c r="E3040" s="4" t="n">
        <v>28.02542633088333</v>
      </c>
      <c r="F3040" s="4" t="n">
        <v>28.88061735116111</v>
      </c>
      <c r="G3040" s="4" t="n">
        <v>23.3</v>
      </c>
      <c r="H3040" s="5" t="n">
        <v>42.70345687610556</v>
      </c>
      <c r="I3040" s="5" t="n">
        <v>42.25782323728889</v>
      </c>
      <c r="J3040" s="5" t="n">
        <v>44.12550509749722</v>
      </c>
      <c r="K3040" s="5" t="n">
        <v>67</v>
      </c>
    </row>
    <row r="3041">
      <c r="A3041" s="2" t="n">
        <v>46224.08333333334</v>
      </c>
      <c r="B3041">
        <f>TEXT(A3041,"yyyy-mm")</f>
        <v/>
      </c>
      <c r="C3041" s="3">
        <f>HOUR(A3041)</f>
        <v/>
      </c>
      <c r="D3041" s="4" t="n">
        <v>26.41188805526667</v>
      </c>
      <c r="E3041" s="4" t="n">
        <v>27.94413734398612</v>
      </c>
      <c r="F3041" s="4" t="n">
        <v>28.88139118809167</v>
      </c>
      <c r="G3041" s="4" t="n">
        <v>22.6</v>
      </c>
      <c r="H3041" s="5" t="n">
        <v>43.18357822952223</v>
      </c>
      <c r="I3041" s="5" t="n">
        <v>42.61476284895834</v>
      </c>
      <c r="J3041" s="5" t="n">
        <v>45.36022902680556</v>
      </c>
      <c r="K3041" s="5" t="n">
        <v>70</v>
      </c>
    </row>
    <row r="3042">
      <c r="A3042" s="2" t="n">
        <v>46224.125</v>
      </c>
      <c r="B3042">
        <f>TEXT(A3042,"yyyy-mm")</f>
        <v/>
      </c>
      <c r="C3042" s="3">
        <f>HOUR(A3042)</f>
        <v/>
      </c>
      <c r="D3042" s="4" t="n">
        <v>26.12753517611389</v>
      </c>
      <c r="E3042" s="4" t="n">
        <v>27.74559879091666</v>
      </c>
      <c r="F3042" s="4" t="n">
        <v>28.91189328770556</v>
      </c>
      <c r="G3042" s="4" t="n">
        <v>21.4</v>
      </c>
      <c r="H3042" s="5" t="n">
        <v>44.11472292648333</v>
      </c>
      <c r="I3042" s="5" t="n">
        <v>43.25546999468056</v>
      </c>
      <c r="J3042" s="5" t="n">
        <v>45.45569875254722</v>
      </c>
      <c r="K3042" s="5" t="n">
        <v>76</v>
      </c>
    </row>
    <row r="3043">
      <c r="A3043" s="2" t="n">
        <v>46224.16666666666</v>
      </c>
      <c r="B3043">
        <f>TEXT(A3043,"yyyy-mm")</f>
        <v/>
      </c>
      <c r="C3043" s="3">
        <f>HOUR(A3043)</f>
        <v/>
      </c>
      <c r="D3043" s="4" t="n">
        <v>25.88723101006111</v>
      </c>
      <c r="E3043" s="4" t="n">
        <v>27.59023527358611</v>
      </c>
      <c r="F3043" s="4" t="n">
        <v>28.92116456736944</v>
      </c>
      <c r="G3043" s="4" t="n">
        <v>19.6</v>
      </c>
      <c r="H3043" s="5" t="n">
        <v>45.78357393065</v>
      </c>
      <c r="I3043" s="5" t="n">
        <v>44.52066980436389</v>
      </c>
      <c r="J3043" s="5" t="n">
        <v>45.47064651539444</v>
      </c>
      <c r="K3043" s="5" t="n">
        <v>93</v>
      </c>
    </row>
    <row r="3044">
      <c r="A3044" s="2" t="n">
        <v>46224.20833333334</v>
      </c>
      <c r="B3044">
        <f>TEXT(A3044,"yyyy-mm")</f>
        <v/>
      </c>
      <c r="C3044" s="3">
        <f>HOUR(A3044)</f>
        <v/>
      </c>
      <c r="D3044" s="4" t="n">
        <v>26.034039841425</v>
      </c>
      <c r="E3044" s="4" t="n">
        <v>27.48559485356389</v>
      </c>
      <c r="F3044" s="4" t="n">
        <v>28.91772448478611</v>
      </c>
      <c r="G3044" s="4" t="n">
        <v>18.9</v>
      </c>
      <c r="H3044" s="5" t="n">
        <v>47.05902274584167</v>
      </c>
      <c r="I3044" s="5" t="n">
        <v>44.62913723870833</v>
      </c>
      <c r="J3044" s="5" t="n">
        <v>45.69724665917778</v>
      </c>
      <c r="K3044" s="5" t="n">
        <v>97</v>
      </c>
    </row>
    <row r="3045">
      <c r="A3045" s="2" t="n">
        <v>46224.25</v>
      </c>
      <c r="B3045">
        <f>TEXT(A3045,"yyyy-mm")</f>
        <v/>
      </c>
      <c r="C3045" s="3">
        <f>HOUR(A3045)</f>
        <v/>
      </c>
      <c r="D3045" s="4" t="n">
        <v>26.01167337484722</v>
      </c>
      <c r="E3045" s="4" t="n">
        <v>27.50043064866667</v>
      </c>
      <c r="F3045" s="4" t="n">
        <v>28.91841658965556</v>
      </c>
      <c r="G3045" s="4" t="n">
        <v>19.2</v>
      </c>
      <c r="H3045" s="5" t="n">
        <v>49.21000817218334</v>
      </c>
      <c r="I3045" s="5" t="n">
        <v>45.73373176821389</v>
      </c>
      <c r="J3045" s="5" t="n">
        <v>45.88919808952222</v>
      </c>
      <c r="K3045" s="5" t="n">
        <v>98</v>
      </c>
    </row>
    <row r="3046">
      <c r="A3046" s="2" t="n">
        <v>46224.29166666666</v>
      </c>
      <c r="B3046">
        <f>TEXT(A3046,"yyyy-mm")</f>
        <v/>
      </c>
      <c r="C3046" s="3">
        <f>HOUR(A3046)</f>
        <v/>
      </c>
      <c r="D3046" s="4" t="n">
        <v>26.01921109663612</v>
      </c>
      <c r="E3046" s="4" t="n">
        <v>27.76750340991945</v>
      </c>
      <c r="F3046" s="4" t="n">
        <v>28.93417088878333</v>
      </c>
      <c r="G3046" s="4" t="n">
        <v>20</v>
      </c>
      <c r="H3046" s="5" t="n">
        <v>53.55847529731667</v>
      </c>
      <c r="I3046" s="5" t="n">
        <v>48.05440619736388</v>
      </c>
      <c r="J3046" s="5" t="n">
        <v>46.21112461573333</v>
      </c>
      <c r="K3046" s="5" t="n">
        <v>96</v>
      </c>
    </row>
    <row r="3047">
      <c r="A3047" s="2" t="n">
        <v>46224.33333333334</v>
      </c>
      <c r="B3047">
        <f>TEXT(A3047,"yyyy-mm")</f>
        <v/>
      </c>
      <c r="C3047" s="3">
        <f>HOUR(A3047)</f>
        <v/>
      </c>
      <c r="D3047" s="4" t="n">
        <v>26.19284918015555</v>
      </c>
      <c r="E3047" s="4" t="n">
        <v>27.68702873918333</v>
      </c>
      <c r="F3047" s="4" t="n">
        <v>28.93544229578333</v>
      </c>
      <c r="G3047" s="4" t="n">
        <v>21.4</v>
      </c>
      <c r="H3047" s="5" t="n">
        <v>54.09695425193612</v>
      </c>
      <c r="I3047" s="5" t="n">
        <v>49.76048373838334</v>
      </c>
      <c r="J3047" s="5" t="n">
        <v>46.39686174801111</v>
      </c>
      <c r="K3047" s="5" t="n">
        <v>87</v>
      </c>
    </row>
    <row r="3048">
      <c r="A3048" s="2" t="n">
        <v>46224.375</v>
      </c>
      <c r="B3048">
        <f>TEXT(A3048,"yyyy-mm")</f>
        <v/>
      </c>
      <c r="C3048" s="3">
        <f>HOUR(A3048)</f>
        <v/>
      </c>
      <c r="D3048" s="4" t="n">
        <v>26.77978686281111</v>
      </c>
      <c r="E3048" s="4" t="n">
        <v>27.79620639413333</v>
      </c>
      <c r="F3048" s="4" t="n">
        <v>28.94403208326111</v>
      </c>
      <c r="G3048" s="4" t="n">
        <v>22.2</v>
      </c>
      <c r="H3048" s="5" t="n">
        <v>51.28075665057778</v>
      </c>
      <c r="I3048" s="5" t="n">
        <v>49.53685083661944</v>
      </c>
      <c r="J3048" s="5" t="n">
        <v>46.42622579698889</v>
      </c>
      <c r="K3048" s="5" t="n">
        <v>84</v>
      </c>
    </row>
    <row r="3049">
      <c r="A3049" s="2" t="n">
        <v>46224.41666666666</v>
      </c>
      <c r="B3049">
        <f>TEXT(A3049,"yyyy-mm")</f>
        <v/>
      </c>
      <c r="C3049" s="3">
        <f>HOUR(A3049)</f>
        <v/>
      </c>
      <c r="D3049" s="4" t="n">
        <v>27.40647283333889</v>
      </c>
      <c r="E3049" s="4" t="n">
        <v>28.51810951855278</v>
      </c>
      <c r="F3049" s="4" t="n">
        <v>28.96370083203611</v>
      </c>
      <c r="G3049" s="4" t="n">
        <v>24.3</v>
      </c>
      <c r="H3049" s="5" t="n">
        <v>48.74576868318611</v>
      </c>
      <c r="I3049" s="5" t="n">
        <v>46.0760283169</v>
      </c>
      <c r="J3049" s="5" t="n">
        <v>46.59489925140833</v>
      </c>
      <c r="K3049" s="5" t="n">
        <v>75</v>
      </c>
    </row>
    <row r="3050">
      <c r="A3050" s="2" t="n">
        <v>46224.45833333334</v>
      </c>
      <c r="B3050">
        <f>TEXT(A3050,"yyyy-mm")</f>
        <v/>
      </c>
      <c r="C3050" s="3">
        <f>HOUR(A3050)</f>
        <v/>
      </c>
      <c r="D3050" s="4" t="n">
        <v>27.66786967387222</v>
      </c>
      <c r="E3050" s="4" t="n">
        <v>28.93028421215</v>
      </c>
      <c r="F3050" s="4" t="n">
        <v>28.9920901312</v>
      </c>
      <c r="G3050" s="4" t="n">
        <v>24.7</v>
      </c>
      <c r="H3050" s="5" t="n">
        <v>47.41064755981666</v>
      </c>
      <c r="I3050" s="5" t="n">
        <v>44.81809895548333</v>
      </c>
      <c r="J3050" s="5" t="n">
        <v>46.60844627464167</v>
      </c>
      <c r="K3050" s="5" t="n">
        <v>74</v>
      </c>
    </row>
    <row r="3051">
      <c r="A3051" s="2" t="n">
        <v>46224.5</v>
      </c>
      <c r="B3051">
        <f>TEXT(A3051,"yyyy-mm")</f>
        <v/>
      </c>
      <c r="C3051" s="3">
        <f>HOUR(A3051)</f>
        <v/>
      </c>
      <c r="D3051" s="4" t="n">
        <v>27.77858760766944</v>
      </c>
      <c r="E3051" s="4" t="n">
        <v>28.97963171202779</v>
      </c>
      <c r="F3051" s="4" t="n">
        <v>29.02561763005556</v>
      </c>
      <c r="G3051" s="4" t="n">
        <v>25.7</v>
      </c>
      <c r="H3051" s="5" t="n">
        <v>48.79369016883889</v>
      </c>
      <c r="I3051" s="5" t="n">
        <v>46.18009684658611</v>
      </c>
      <c r="J3051" s="5" t="n">
        <v>46.73483736418056</v>
      </c>
      <c r="K3051" s="5" t="n">
        <v>68</v>
      </c>
    </row>
    <row r="3052">
      <c r="A3052" s="2" t="n">
        <v>46224.54166666666</v>
      </c>
      <c r="B3052">
        <f>TEXT(A3052,"yyyy-mm")</f>
        <v/>
      </c>
      <c r="C3052" s="3">
        <f>HOUR(A3052)</f>
        <v/>
      </c>
      <c r="D3052" s="4" t="n">
        <v>26.43529373942778</v>
      </c>
      <c r="E3052" s="4" t="n">
        <v>28.36227264890833</v>
      </c>
      <c r="F3052" s="4" t="n">
        <v>29.00502366013611</v>
      </c>
      <c r="G3052" s="4" t="n">
        <v>21.7</v>
      </c>
      <c r="H3052" s="5" t="n">
        <v>42.47158794014722</v>
      </c>
      <c r="I3052" s="5" t="n">
        <v>41.45602568369167</v>
      </c>
      <c r="J3052" s="5" t="n">
        <v>46.53941719326667</v>
      </c>
      <c r="K3052" s="5" t="n">
        <v>86</v>
      </c>
    </row>
    <row r="3053">
      <c r="A3053" s="2" t="n">
        <v>46224.58333333334</v>
      </c>
      <c r="B3053">
        <f>TEXT(A3053,"yyyy-mm")</f>
        <v/>
      </c>
      <c r="C3053" s="3">
        <f>HOUR(A3053)</f>
        <v/>
      </c>
      <c r="D3053" s="4" t="n">
        <v>25.60506124171667</v>
      </c>
      <c r="E3053" s="4" t="n">
        <v>27.94279524811389</v>
      </c>
      <c r="F3053" s="4" t="n">
        <v>28.11370299586666</v>
      </c>
      <c r="G3053" s="4" t="n">
        <v>21.3</v>
      </c>
      <c r="H3053" s="5" t="n">
        <v>40.04164578056667</v>
      </c>
      <c r="I3053" s="5" t="n">
        <v>37.63483994173056</v>
      </c>
      <c r="J3053" s="5" t="n">
        <v>44.75482162953611</v>
      </c>
      <c r="K3053" s="5" t="n">
        <v>92</v>
      </c>
    </row>
    <row r="3054">
      <c r="A3054" s="2" t="n">
        <v>46224.625</v>
      </c>
      <c r="B3054">
        <f>TEXT(A3054,"yyyy-mm")</f>
        <v/>
      </c>
      <c r="C3054" s="3">
        <f>HOUR(A3054)</f>
        <v/>
      </c>
      <c r="D3054" s="4" t="n">
        <v>26.622299907575</v>
      </c>
      <c r="E3054" s="4" t="n">
        <v>28.22973868651389</v>
      </c>
      <c r="F3054" s="4" t="n">
        <v>28.47057329749722</v>
      </c>
      <c r="G3054" s="4" t="n">
        <v>21.2</v>
      </c>
      <c r="H3054" s="5" t="n">
        <v>44.55297775045278</v>
      </c>
      <c r="I3054" s="5" t="n">
        <v>42.39686660138889</v>
      </c>
      <c r="J3054" s="5" t="n">
        <v>45.35465908390555</v>
      </c>
      <c r="K3054" s="5" t="n">
        <v>89</v>
      </c>
    </row>
    <row r="3055">
      <c r="A3055" s="2" t="n">
        <v>46224.66666666666</v>
      </c>
      <c r="B3055">
        <f>TEXT(A3055,"yyyy-mm")</f>
        <v/>
      </c>
      <c r="C3055" s="3">
        <f>HOUR(A3055)</f>
        <v/>
      </c>
      <c r="D3055" s="4" t="n">
        <v>25.32716582175277</v>
      </c>
      <c r="E3055" s="4" t="n">
        <v>27.59860192319445</v>
      </c>
      <c r="F3055" s="4" t="n">
        <v>28.70494262013611</v>
      </c>
      <c r="G3055" s="4" t="n">
        <v>21.4</v>
      </c>
      <c r="H3055" s="5" t="n">
        <v>42.95648127116945</v>
      </c>
      <c r="I3055" s="5" t="n">
        <v>41.85604393755</v>
      </c>
      <c r="J3055" s="5" t="n">
        <v>45.77686353163056</v>
      </c>
      <c r="K3055" s="5" t="n">
        <v>90</v>
      </c>
    </row>
    <row r="3056">
      <c r="A3056" s="2" t="n">
        <v>46224.70833333334</v>
      </c>
      <c r="B3056">
        <f>TEXT(A3056,"yyyy-mm")</f>
        <v/>
      </c>
      <c r="C3056" s="3">
        <f>HOUR(A3056)</f>
        <v/>
      </c>
      <c r="D3056" s="4" t="n">
        <v>24.67460004470556</v>
      </c>
      <c r="E3056" s="4" t="n">
        <v>27.19760182753056</v>
      </c>
      <c r="F3056" s="4" t="n">
        <v>28.75914545001945</v>
      </c>
      <c r="G3056" s="4" t="n">
        <v>21.8</v>
      </c>
      <c r="H3056" s="5" t="n">
        <v>39.92890273445833</v>
      </c>
      <c r="I3056" s="5" t="n">
        <v>37.66122519870556</v>
      </c>
      <c r="J3056" s="5" t="n">
        <v>45.46783472468888</v>
      </c>
      <c r="K3056" s="5" t="n">
        <v>88</v>
      </c>
    </row>
    <row r="3057">
      <c r="A3057" s="2" t="n">
        <v>46224.75</v>
      </c>
      <c r="B3057">
        <f>TEXT(A3057,"yyyy-mm")</f>
        <v/>
      </c>
      <c r="C3057" s="3">
        <f>HOUR(A3057)</f>
        <v/>
      </c>
      <c r="D3057" s="4" t="n">
        <v>26.11952784665556</v>
      </c>
      <c r="E3057" s="4" t="n">
        <v>27.81406564103889</v>
      </c>
      <c r="F3057" s="4" t="n">
        <v>28.80334854117222</v>
      </c>
      <c r="G3057" s="4" t="n">
        <v>20</v>
      </c>
      <c r="H3057" s="5" t="n">
        <v>46.47422652635555</v>
      </c>
      <c r="I3057" s="5" t="n">
        <v>44.74730817677777</v>
      </c>
      <c r="J3057" s="5" t="n">
        <v>45.53619211450555</v>
      </c>
      <c r="K3057" s="5" t="n">
        <v>95</v>
      </c>
    </row>
    <row r="3058">
      <c r="A3058" s="2" t="n">
        <v>46224.79166666666</v>
      </c>
      <c r="B3058">
        <f>TEXT(A3058,"yyyy-mm")</f>
        <v/>
      </c>
      <c r="C3058" s="3">
        <f>HOUR(A3058)</f>
        <v/>
      </c>
      <c r="D3058" s="4" t="n">
        <v>26.62673402619722</v>
      </c>
      <c r="E3058" s="4" t="n">
        <v>28.04895950356945</v>
      </c>
      <c r="F3058" s="4" t="n">
        <v>28.88415867932778</v>
      </c>
      <c r="G3058" s="4" t="n">
        <v>19.8</v>
      </c>
      <c r="H3058" s="5" t="n">
        <v>50.2968252344</v>
      </c>
      <c r="I3058" s="5" t="n">
        <v>49.18509545393056</v>
      </c>
      <c r="J3058" s="5" t="n">
        <v>46.24102469358889</v>
      </c>
      <c r="K3058" s="5" t="n">
        <v>96</v>
      </c>
    </row>
    <row r="3059">
      <c r="A3059" s="2" t="n">
        <v>46224.83333333334</v>
      </c>
      <c r="B3059">
        <f>TEXT(A3059,"yyyy-mm")</f>
        <v/>
      </c>
      <c r="C3059" s="3">
        <f>HOUR(A3059)</f>
        <v/>
      </c>
      <c r="D3059" s="4" t="n">
        <v>26.82110654115</v>
      </c>
      <c r="E3059" s="4" t="n">
        <v>28.21121776593611</v>
      </c>
      <c r="F3059" s="4" t="n">
        <v>28.97395912805278</v>
      </c>
      <c r="G3059" s="4" t="n">
        <v>19.7</v>
      </c>
      <c r="H3059" s="5" t="n">
        <v>52.54907495056389</v>
      </c>
      <c r="I3059" s="5" t="n">
        <v>50.52609216835</v>
      </c>
      <c r="J3059" s="5" t="n">
        <v>46.81400259720834</v>
      </c>
      <c r="K3059" s="5" t="n">
        <v>97</v>
      </c>
    </row>
    <row r="3060">
      <c r="A3060" s="2" t="n">
        <v>46224.875</v>
      </c>
      <c r="B3060">
        <f>TEXT(A3060,"yyyy-mm")</f>
        <v/>
      </c>
      <c r="C3060" s="3">
        <f>HOUR(A3060)</f>
        <v/>
      </c>
      <c r="D3060" s="4" t="n">
        <v>26.92177988570278</v>
      </c>
      <c r="E3060" s="4" t="n">
        <v>28.24335156405278</v>
      </c>
      <c r="F3060" s="4" t="n">
        <v>29.00564337610833</v>
      </c>
      <c r="G3060" s="4" t="n">
        <v>19</v>
      </c>
      <c r="H3060" s="5" t="n">
        <v>52.934849245975</v>
      </c>
      <c r="I3060" s="5" t="n">
        <v>50.58710536309167</v>
      </c>
      <c r="J3060" s="5" t="n">
        <v>46.87747688225556</v>
      </c>
      <c r="K3060" s="5" t="n">
        <v>96</v>
      </c>
    </row>
    <row r="3061">
      <c r="A3061" s="2" t="n">
        <v>46224.91666666666</v>
      </c>
      <c r="B3061">
        <f>TEXT(A3061,"yyyy-mm")</f>
        <v/>
      </c>
      <c r="C3061" s="3">
        <f>HOUR(A3061)</f>
        <v/>
      </c>
      <c r="D3061" s="4" t="n">
        <v>26.86085894833056</v>
      </c>
      <c r="E3061" s="4" t="n">
        <v>28.64170755156111</v>
      </c>
      <c r="F3061" s="4" t="n">
        <v>29.01750202248333</v>
      </c>
      <c r="G3061" s="4" t="n">
        <v>18.7</v>
      </c>
      <c r="H3061" s="5" t="n">
        <v>51.65500896165278</v>
      </c>
      <c r="I3061" s="5" t="n">
        <v>49.04245716843055</v>
      </c>
      <c r="J3061" s="5" t="n">
        <v>46.84056516757778</v>
      </c>
      <c r="K3061" s="5" t="n">
        <v>96</v>
      </c>
    </row>
    <row r="3062">
      <c r="A3062" s="2" t="n">
        <v>46224.95833333334</v>
      </c>
      <c r="B3062">
        <f>TEXT(A3062,"yyyy-mm")</f>
        <v/>
      </c>
      <c r="C3062" s="3">
        <f>HOUR(A3062)</f>
        <v/>
      </c>
      <c r="D3062" s="4" t="n">
        <v>26.03613766587222</v>
      </c>
      <c r="E3062" s="4" t="n">
        <v>28.12559451884444</v>
      </c>
      <c r="F3062" s="4" t="n">
        <v>29.08546640070556</v>
      </c>
      <c r="G3062" s="4" t="n">
        <v>18.5</v>
      </c>
      <c r="H3062" s="5" t="n">
        <v>52.35141428958334</v>
      </c>
      <c r="I3062" s="5" t="n">
        <v>49.11002479838611</v>
      </c>
      <c r="J3062" s="5" t="n">
        <v>48.13994076675834</v>
      </c>
      <c r="K3062" s="5" t="n">
        <v>95</v>
      </c>
    </row>
    <row r="3063">
      <c r="A3063" s="2" t="n">
        <v>46225</v>
      </c>
      <c r="B3063">
        <f>TEXT(A3063,"yyyy-mm")</f>
        <v/>
      </c>
      <c r="C3063" s="3">
        <f>HOUR(A3063)</f>
        <v/>
      </c>
      <c r="D3063" s="4" t="n">
        <v>24.93988471521945</v>
      </c>
      <c r="E3063" s="4" t="n">
        <v>27.85535441203334</v>
      </c>
      <c r="F3063" s="4" t="n">
        <v>29.20375343565</v>
      </c>
      <c r="G3063" s="4" t="n">
        <v>18.2</v>
      </c>
      <c r="H3063" s="5" t="n">
        <v>53.53424547644445</v>
      </c>
      <c r="I3063" s="5" t="n">
        <v>49.86988779801667</v>
      </c>
      <c r="J3063" s="5" t="n">
        <v>48.95411462468056</v>
      </c>
      <c r="K3063" s="5" t="n">
        <v>96</v>
      </c>
    </row>
    <row r="3064">
      <c r="A3064" s="2" t="n">
        <v>46225.04166666666</v>
      </c>
      <c r="B3064">
        <f>TEXT(A3064,"yyyy-mm")</f>
        <v/>
      </c>
      <c r="C3064" s="3">
        <f>HOUR(A3064)</f>
        <v/>
      </c>
      <c r="D3064" s="4" t="n">
        <v>24.35085494992778</v>
      </c>
      <c r="E3064" s="4" t="n">
        <v>27.38402085047778</v>
      </c>
      <c r="F3064" s="4" t="n">
        <v>29.29309918632778</v>
      </c>
      <c r="G3064" s="4" t="n">
        <v>17.9</v>
      </c>
      <c r="H3064" s="5" t="n">
        <v>50.3536968006</v>
      </c>
      <c r="I3064" s="5" t="n">
        <v>46.16922255598612</v>
      </c>
      <c r="J3064" s="5" t="n">
        <v>48.49539783006389</v>
      </c>
      <c r="K3064" s="5" t="n">
        <v>96</v>
      </c>
    </row>
    <row r="3065">
      <c r="A3065" s="2" t="n">
        <v>46225.08333333334</v>
      </c>
      <c r="B3065">
        <f>TEXT(A3065,"yyyy-mm")</f>
        <v/>
      </c>
      <c r="C3065" s="3">
        <f>HOUR(A3065)</f>
        <v/>
      </c>
      <c r="D3065" s="4" t="n">
        <v>23.70189044464722</v>
      </c>
      <c r="E3065" s="4" t="n">
        <v>27.20160810783056</v>
      </c>
      <c r="F3065" s="4" t="n">
        <v>29.36378897951666</v>
      </c>
      <c r="G3065" s="4" t="n">
        <v>17.5</v>
      </c>
      <c r="H3065" s="5" t="n">
        <v>51.48874103621389</v>
      </c>
      <c r="I3065" s="5" t="n">
        <v>44.320564069175</v>
      </c>
      <c r="J3065" s="5" t="n">
        <v>47.75377081435278</v>
      </c>
      <c r="K3065" s="5" t="n">
        <v>96</v>
      </c>
    </row>
    <row r="3066">
      <c r="A3066" s="2" t="n">
        <v>46225.125</v>
      </c>
      <c r="B3066">
        <f>TEXT(A3066,"yyyy-mm")</f>
        <v/>
      </c>
      <c r="C3066" s="3">
        <f>HOUR(A3066)</f>
        <v/>
      </c>
      <c r="D3066" s="4" t="n">
        <v>23.40216186746944</v>
      </c>
      <c r="E3066" s="4" t="n">
        <v>27.06137429508055</v>
      </c>
      <c r="F3066" s="4" t="n">
        <v>29.41345118154166</v>
      </c>
      <c r="G3066" s="4" t="n">
        <v>15.9</v>
      </c>
      <c r="H3066" s="5" t="n">
        <v>54.67786400181389</v>
      </c>
      <c r="I3066" s="5" t="n">
        <v>45.6609277382</v>
      </c>
      <c r="J3066" s="5" t="n">
        <v>47.57096522860278</v>
      </c>
      <c r="K3066" s="5" t="n">
        <v>96</v>
      </c>
    </row>
    <row r="3067">
      <c r="A3067" s="2" t="n">
        <v>46225.16666666666</v>
      </c>
      <c r="B3067">
        <f>TEXT(A3067,"yyyy-mm")</f>
        <v/>
      </c>
      <c r="C3067" s="3">
        <f>HOUR(A3067)</f>
        <v/>
      </c>
      <c r="D3067" s="4" t="n">
        <v>23.11745201034445</v>
      </c>
      <c r="E3067" s="4" t="n">
        <v>26.85467684081111</v>
      </c>
      <c r="F3067" s="4" t="n">
        <v>29.36942157828889</v>
      </c>
      <c r="G3067" s="4" t="n">
        <v>15.5</v>
      </c>
      <c r="H3067" s="5" t="n">
        <v>56.31801179223611</v>
      </c>
      <c r="I3067" s="5" t="n">
        <v>46.84947493008056</v>
      </c>
      <c r="J3067" s="5" t="n">
        <v>47.5795274969</v>
      </c>
      <c r="K3067" s="5" t="n">
        <v>96</v>
      </c>
    </row>
    <row r="3068">
      <c r="A3068" s="2" t="n">
        <v>46225.20833333334</v>
      </c>
      <c r="B3068">
        <f>TEXT(A3068,"yyyy-mm")</f>
        <v/>
      </c>
      <c r="C3068" s="3">
        <f>HOUR(A3068)</f>
        <v/>
      </c>
      <c r="D3068" s="4" t="n">
        <v>23.11245364042222</v>
      </c>
      <c r="E3068" s="4" t="n">
        <v>26.798198268125</v>
      </c>
      <c r="F3068" s="4" t="n">
        <v>29.26656049298333</v>
      </c>
      <c r="G3068" s="4" t="n">
        <v>15</v>
      </c>
      <c r="H3068" s="5" t="n">
        <v>55.88164258734722</v>
      </c>
      <c r="I3068" s="5" t="n">
        <v>46.65735988803056</v>
      </c>
      <c r="J3068" s="5" t="n">
        <v>47.54898765729722</v>
      </c>
      <c r="K3068" s="5" t="n">
        <v>96</v>
      </c>
    </row>
    <row r="3069">
      <c r="A3069" s="2" t="n">
        <v>46225.25</v>
      </c>
      <c r="B3069">
        <f>TEXT(A3069,"yyyy-mm")</f>
        <v/>
      </c>
      <c r="C3069" s="3">
        <f>HOUR(A3069)</f>
        <v/>
      </c>
      <c r="D3069" s="4" t="n">
        <v>24.55545906685555</v>
      </c>
      <c r="E3069" s="4" t="n">
        <v>27.06211626883334</v>
      </c>
      <c r="F3069" s="4" t="n">
        <v>29.19223866936112</v>
      </c>
      <c r="G3069" s="4" t="n">
        <v>15.2</v>
      </c>
      <c r="H3069" s="5" t="n">
        <v>52.4488826059389</v>
      </c>
      <c r="I3069" s="5" t="n">
        <v>47.08180220664445</v>
      </c>
      <c r="J3069" s="5" t="n">
        <v>47.56340718374444</v>
      </c>
      <c r="K3069" s="5" t="n">
        <v>96</v>
      </c>
    </row>
    <row r="3070">
      <c r="A3070" s="2" t="n">
        <v>46225.29166666666</v>
      </c>
      <c r="B3070">
        <f>TEXT(A3070,"yyyy-mm")</f>
        <v/>
      </c>
      <c r="C3070" s="3">
        <f>HOUR(A3070)</f>
        <v/>
      </c>
      <c r="D3070" s="4" t="n">
        <v>25.93913515674444</v>
      </c>
      <c r="E3070" s="4" t="n">
        <v>27.52145258145</v>
      </c>
      <c r="F3070" s="4" t="n">
        <v>29.15785648883889</v>
      </c>
      <c r="G3070" s="4" t="n">
        <v>16.5</v>
      </c>
      <c r="H3070" s="5" t="n">
        <v>47.11470327646112</v>
      </c>
      <c r="I3070" s="5" t="n">
        <v>45.62031388021112</v>
      </c>
      <c r="J3070" s="5" t="n">
        <v>47.59308852222778</v>
      </c>
      <c r="K3070" s="5" t="n">
        <v>92</v>
      </c>
    </row>
    <row r="3071">
      <c r="A3071" s="2" t="n">
        <v>46225.33333333334</v>
      </c>
      <c r="B3071">
        <f>TEXT(A3071,"yyyy-mm")</f>
        <v/>
      </c>
      <c r="C3071" s="3">
        <f>HOUR(A3071)</f>
        <v/>
      </c>
      <c r="D3071" s="4" t="n">
        <v>26.90421071940555</v>
      </c>
      <c r="E3071" s="4" t="n">
        <v>28.11291357620833</v>
      </c>
      <c r="F3071" s="4" t="n">
        <v>29.14980775408889</v>
      </c>
      <c r="G3071" s="4" t="n">
        <v>18.4</v>
      </c>
      <c r="H3071" s="5" t="n">
        <v>42.54768850915278</v>
      </c>
      <c r="I3071" s="5" t="n">
        <v>41.46374282463334</v>
      </c>
      <c r="J3071" s="5" t="n">
        <v>47.43713488693889</v>
      </c>
      <c r="K3071" s="5" t="n">
        <v>83</v>
      </c>
    </row>
    <row r="3072">
      <c r="A3072" s="2" t="n">
        <v>46225.375</v>
      </c>
      <c r="B3072">
        <f>TEXT(A3072,"yyyy-mm")</f>
        <v/>
      </c>
      <c r="C3072" s="3">
        <f>HOUR(A3072)</f>
        <v/>
      </c>
      <c r="D3072" s="4" t="n">
        <v>27.40073311032777</v>
      </c>
      <c r="E3072" s="4" t="n">
        <v>28.27706398270277</v>
      </c>
      <c r="F3072" s="4" t="n">
        <v>29.15763899535834</v>
      </c>
      <c r="G3072" s="4" t="n">
        <v>20.4</v>
      </c>
      <c r="H3072" s="5" t="n">
        <v>40.13098160300834</v>
      </c>
      <c r="I3072" s="5" t="n">
        <v>39.5015950543639</v>
      </c>
      <c r="J3072" s="5" t="n">
        <v>47.28584989643611</v>
      </c>
      <c r="K3072" s="5" t="n">
        <v>74</v>
      </c>
    </row>
    <row r="3073">
      <c r="A3073" s="2" t="n">
        <v>46225.41666666666</v>
      </c>
      <c r="B3073">
        <f>TEXT(A3073,"yyyy-mm")</f>
        <v/>
      </c>
      <c r="C3073" s="3">
        <f>HOUR(A3073)</f>
        <v/>
      </c>
      <c r="D3073" s="4" t="n">
        <v>27.60757494811945</v>
      </c>
      <c r="E3073" s="4" t="n">
        <v>28.64922992182223</v>
      </c>
      <c r="F3073" s="4" t="n">
        <v>29.17303229859445</v>
      </c>
      <c r="G3073" s="4" t="n">
        <v>21.7</v>
      </c>
      <c r="H3073" s="5" t="n">
        <v>39.07158024845</v>
      </c>
      <c r="I3073" s="5" t="n">
        <v>37.61145377019167</v>
      </c>
      <c r="J3073" s="5" t="n">
        <v>47.09815043633055</v>
      </c>
      <c r="K3073" s="5" t="n">
        <v>66</v>
      </c>
    </row>
    <row r="3074">
      <c r="A3074" s="2" t="n">
        <v>46225.45833333334</v>
      </c>
      <c r="B3074">
        <f>TEXT(A3074,"yyyy-mm")</f>
        <v/>
      </c>
      <c r="C3074" s="3">
        <f>HOUR(A3074)</f>
        <v/>
      </c>
      <c r="D3074" s="4" t="n">
        <v>27.65566793793611</v>
      </c>
      <c r="E3074" s="4" t="n">
        <v>28.83845472770556</v>
      </c>
      <c r="F3074" s="4" t="n">
        <v>29.18878472722222</v>
      </c>
      <c r="G3074" s="4" t="n">
        <v>22.8</v>
      </c>
      <c r="H3074" s="5" t="n">
        <v>37.82904770404445</v>
      </c>
      <c r="I3074" s="5" t="n">
        <v>37.27644666406111</v>
      </c>
      <c r="J3074" s="5" t="n">
        <v>46.88207196966666</v>
      </c>
      <c r="K3074" s="5" t="n">
        <v>59</v>
      </c>
    </row>
    <row r="3075">
      <c r="A3075" s="2" t="n">
        <v>46225.5</v>
      </c>
      <c r="B3075">
        <f>TEXT(A3075,"yyyy-mm")</f>
        <v/>
      </c>
      <c r="C3075" s="3">
        <f>HOUR(A3075)</f>
        <v/>
      </c>
      <c r="D3075" s="4" t="n">
        <v>27.69707359254722</v>
      </c>
      <c r="E3075" s="4" t="n">
        <v>28.72571181504722</v>
      </c>
      <c r="F3075" s="4" t="n">
        <v>29.20488648494722</v>
      </c>
      <c r="G3075" s="4" t="n">
        <v>23.6</v>
      </c>
      <c r="H3075" s="5" t="n">
        <v>37.39876112401111</v>
      </c>
      <c r="I3075" s="5" t="n">
        <v>37.13609028045556</v>
      </c>
      <c r="J3075" s="5" t="n">
        <v>46.79826637959722</v>
      </c>
      <c r="K3075" s="5" t="n">
        <v>53</v>
      </c>
    </row>
    <row r="3076">
      <c r="A3076" s="2" t="n">
        <v>46225.54166666666</v>
      </c>
      <c r="B3076">
        <f>TEXT(A3076,"yyyy-mm")</f>
        <v/>
      </c>
      <c r="C3076" s="3">
        <f>HOUR(A3076)</f>
        <v/>
      </c>
      <c r="D3076" s="4" t="n">
        <v>27.61578018567777</v>
      </c>
      <c r="E3076" s="4" t="n">
        <v>28.59911094968889</v>
      </c>
      <c r="F3076" s="4" t="n">
        <v>29.26058817865556</v>
      </c>
      <c r="G3076" s="4" t="n">
        <v>24.1</v>
      </c>
      <c r="H3076" s="5" t="n">
        <v>36.84815246235278</v>
      </c>
      <c r="I3076" s="5" t="n">
        <v>38.01698576927222</v>
      </c>
      <c r="J3076" s="5" t="n">
        <v>46.88094015428056</v>
      </c>
      <c r="K3076" s="5" t="n">
        <v>52</v>
      </c>
    </row>
    <row r="3077">
      <c r="A3077" s="2" t="n">
        <v>46225.58333333334</v>
      </c>
      <c r="B3077">
        <f>TEXT(A3077,"yyyy-mm")</f>
        <v/>
      </c>
      <c r="C3077" s="3">
        <f>HOUR(A3077)</f>
        <v/>
      </c>
      <c r="D3077" s="4" t="n">
        <v>27.47814129714722</v>
      </c>
      <c r="E3077" s="4" t="n">
        <v>28.50042757356944</v>
      </c>
      <c r="F3077" s="4" t="n">
        <v>29.402030107725</v>
      </c>
      <c r="G3077" s="4" t="n">
        <v>23.9</v>
      </c>
      <c r="H3077" s="5" t="n">
        <v>35.60624393421944</v>
      </c>
      <c r="I3077" s="5" t="n">
        <v>37.39182527014166</v>
      </c>
      <c r="J3077" s="5" t="n">
        <v>46.84238876816945</v>
      </c>
      <c r="K3077" s="5" t="n">
        <v>53</v>
      </c>
    </row>
    <row r="3078">
      <c r="A3078" s="2" t="n">
        <v>46225.625</v>
      </c>
      <c r="B3078">
        <f>TEXT(A3078,"yyyy-mm")</f>
        <v/>
      </c>
      <c r="C3078" s="3">
        <f>HOUR(A3078)</f>
        <v/>
      </c>
      <c r="D3078" s="4" t="n">
        <v>27.29001079762778</v>
      </c>
      <c r="E3078" s="4" t="n">
        <v>28.4160455497</v>
      </c>
      <c r="F3078" s="4" t="n">
        <v>29.45932415228333</v>
      </c>
      <c r="G3078" s="4" t="n">
        <v>24.3</v>
      </c>
      <c r="H3078" s="5" t="n">
        <v>38.52912002933056</v>
      </c>
      <c r="I3078" s="5" t="n">
        <v>39.50144889365</v>
      </c>
      <c r="J3078" s="5" t="n">
        <v>46.56208974559444</v>
      </c>
      <c r="K3078" s="5" t="n">
        <v>51</v>
      </c>
    </row>
    <row r="3079">
      <c r="A3079" s="2" t="n">
        <v>46225.66666666666</v>
      </c>
      <c r="B3079">
        <f>TEXT(A3079,"yyyy-mm")</f>
        <v/>
      </c>
      <c r="C3079" s="3">
        <f>HOUR(A3079)</f>
        <v/>
      </c>
      <c r="D3079" s="4" t="n">
        <v>27.27959903765556</v>
      </c>
      <c r="E3079" s="4" t="n">
        <v>28.42902611353333</v>
      </c>
      <c r="F3079" s="4" t="n">
        <v>29.42121775753611</v>
      </c>
      <c r="G3079" s="4" t="n">
        <v>24.2</v>
      </c>
      <c r="H3079" s="5" t="n">
        <v>38.7025529483</v>
      </c>
      <c r="I3079" s="5" t="n">
        <v>40.68679306557778</v>
      </c>
      <c r="J3079" s="5" t="n">
        <v>46.422904765725</v>
      </c>
      <c r="K3079" s="5" t="n">
        <v>52</v>
      </c>
    </row>
    <row r="3080">
      <c r="A3080" s="2" t="n">
        <v>46225.70833333334</v>
      </c>
      <c r="B3080">
        <f>TEXT(A3080,"yyyy-mm")</f>
        <v/>
      </c>
      <c r="C3080" s="3">
        <f>HOUR(A3080)</f>
        <v/>
      </c>
      <c r="D3080" s="4" t="n">
        <v>27.31803525079722</v>
      </c>
      <c r="E3080" s="4" t="n">
        <v>28.48337855341944</v>
      </c>
      <c r="F3080" s="4" t="n">
        <v>29.38490513142777</v>
      </c>
      <c r="G3080" s="4" t="n">
        <v>24</v>
      </c>
      <c r="H3080" s="5" t="n">
        <v>37.29647241507778</v>
      </c>
      <c r="I3080" s="5" t="n">
        <v>39.37316425305</v>
      </c>
      <c r="J3080" s="5" t="n">
        <v>46.34103923385555</v>
      </c>
      <c r="K3080" s="5" t="n">
        <v>54</v>
      </c>
    </row>
    <row r="3081">
      <c r="A3081" s="2" t="n">
        <v>46225.75</v>
      </c>
      <c r="B3081">
        <f>TEXT(A3081,"yyyy-mm")</f>
        <v/>
      </c>
      <c r="C3081" s="3">
        <f>HOUR(A3081)</f>
        <v/>
      </c>
      <c r="D3081" s="4" t="n">
        <v>27.12655132977778</v>
      </c>
      <c r="E3081" s="4" t="n">
        <v>28.42446239465556</v>
      </c>
      <c r="F3081" s="4" t="n">
        <v>29.34369652296111</v>
      </c>
      <c r="G3081" s="4" t="n">
        <v>23.5</v>
      </c>
      <c r="H3081" s="5" t="n">
        <v>34.96422111451389</v>
      </c>
      <c r="I3081" s="5" t="n">
        <v>37.37480913427501</v>
      </c>
      <c r="J3081" s="5" t="n">
        <v>46.19741100382777</v>
      </c>
      <c r="K3081" s="5" t="n">
        <v>52</v>
      </c>
    </row>
    <row r="3082">
      <c r="A3082" s="2" t="n">
        <v>46225.79166666666</v>
      </c>
      <c r="B3082">
        <f>TEXT(A3082,"yyyy-mm")</f>
        <v/>
      </c>
      <c r="C3082" s="3">
        <f>HOUR(A3082)</f>
        <v/>
      </c>
      <c r="D3082" s="4" t="n">
        <v>26.87272803769167</v>
      </c>
      <c r="E3082" s="4" t="n">
        <v>28.23710311491945</v>
      </c>
      <c r="F3082" s="4" t="n">
        <v>29.208682879875</v>
      </c>
      <c r="G3082" s="4" t="n">
        <v>22.8</v>
      </c>
      <c r="H3082" s="5" t="n">
        <v>36.68494299591111</v>
      </c>
      <c r="I3082" s="5" t="n">
        <v>37.61574268858889</v>
      </c>
      <c r="J3082" s="5" t="n">
        <v>45.78780915633334</v>
      </c>
      <c r="K3082" s="5" t="n">
        <v>59</v>
      </c>
    </row>
    <row r="3083">
      <c r="A3083" s="2" t="n">
        <v>46225.83333333334</v>
      </c>
      <c r="B3083">
        <f>TEXT(A3083,"yyyy-mm")</f>
        <v/>
      </c>
      <c r="C3083" s="3">
        <f>HOUR(A3083)</f>
        <v/>
      </c>
      <c r="D3083" s="4" t="n">
        <v>26.48247339900556</v>
      </c>
      <c r="E3083" s="4" t="n">
        <v>28.07037922077222</v>
      </c>
      <c r="F3083" s="4" t="n">
        <v>29.17804593766389</v>
      </c>
      <c r="G3083" s="4" t="n">
        <v>21.4</v>
      </c>
      <c r="H3083" s="5" t="n">
        <v>37.78181138395556</v>
      </c>
      <c r="I3083" s="5" t="n">
        <v>37.11885402046945</v>
      </c>
      <c r="J3083" s="5" t="n">
        <v>45.75807799958611</v>
      </c>
      <c r="K3083" s="5" t="n">
        <v>66</v>
      </c>
    </row>
    <row r="3084">
      <c r="A3084" s="2" t="n">
        <v>46225.875</v>
      </c>
      <c r="B3084">
        <f>TEXT(A3084,"yyyy-mm")</f>
        <v/>
      </c>
      <c r="C3084" s="3">
        <f>HOUR(A3084)</f>
        <v/>
      </c>
      <c r="D3084" s="4" t="n">
        <v>25.98003219744167</v>
      </c>
      <c r="E3084" s="4" t="n">
        <v>28.23312356751944</v>
      </c>
      <c r="F3084" s="4" t="n">
        <v>29.157025413575</v>
      </c>
      <c r="G3084" s="4" t="n">
        <v>20.3</v>
      </c>
      <c r="H3084" s="5" t="n">
        <v>40.34012459374444</v>
      </c>
      <c r="I3084" s="5" t="n">
        <v>39.00342644549167</v>
      </c>
      <c r="J3084" s="5" t="n">
        <v>45.69591886168889</v>
      </c>
      <c r="K3084" s="5" t="n">
        <v>69</v>
      </c>
    </row>
    <row r="3085">
      <c r="A3085" s="2" t="n">
        <v>46225.91666666666</v>
      </c>
      <c r="B3085">
        <f>TEXT(A3085,"yyyy-mm")</f>
        <v/>
      </c>
      <c r="C3085" s="3">
        <f>HOUR(A3085)</f>
        <v/>
      </c>
      <c r="D3085" s="4" t="n">
        <v>25.76371156355</v>
      </c>
      <c r="E3085" s="4" t="n">
        <v>28.39650716583056</v>
      </c>
      <c r="F3085" s="4" t="n">
        <v>29.15071979431111</v>
      </c>
      <c r="G3085" s="4" t="n">
        <v>19.4</v>
      </c>
      <c r="H3085" s="5" t="n">
        <v>40.68220628794445</v>
      </c>
      <c r="I3085" s="5" t="n">
        <v>37.99509230307222</v>
      </c>
      <c r="J3085" s="5" t="n">
        <v>45.70525465821945</v>
      </c>
      <c r="K3085" s="5" t="n">
        <v>71</v>
      </c>
    </row>
    <row r="3086">
      <c r="A3086" s="2" t="n">
        <v>46225.95833333334</v>
      </c>
      <c r="B3086">
        <f>TEXT(A3086,"yyyy-mm")</f>
        <v/>
      </c>
      <c r="C3086" s="3">
        <f>HOUR(A3086)</f>
        <v/>
      </c>
      <c r="D3086" s="4" t="n">
        <v>25.55237124736945</v>
      </c>
      <c r="E3086" s="4" t="n">
        <v>28.43639294711389</v>
      </c>
      <c r="F3086" s="4" t="n">
        <v>29.15428251326666</v>
      </c>
      <c r="G3086" s="4" t="n">
        <v>18.5</v>
      </c>
      <c r="H3086" s="5" t="n">
        <v>41.22710372773056</v>
      </c>
      <c r="I3086" s="5" t="n">
        <v>37.47972398017777</v>
      </c>
      <c r="J3086" s="5" t="n">
        <v>45.70785885628612</v>
      </c>
      <c r="K3086" s="5" t="n">
        <v>74</v>
      </c>
    </row>
    <row r="3087">
      <c r="A3087" s="2" t="n">
        <v>46226</v>
      </c>
      <c r="B3087">
        <f>TEXT(A3087,"yyyy-mm")</f>
        <v/>
      </c>
      <c r="C3087" s="3">
        <f>HOUR(A3087)</f>
        <v/>
      </c>
      <c r="D3087" s="4" t="n">
        <v>25.34385728850277</v>
      </c>
      <c r="E3087" s="4" t="n">
        <v>28.40472685409722</v>
      </c>
      <c r="F3087" s="4" t="n">
        <v>29.15324766216944</v>
      </c>
      <c r="G3087" s="4" t="n">
        <v>17.9</v>
      </c>
      <c r="H3087" s="5" t="n">
        <v>41.95012509697778</v>
      </c>
      <c r="I3087" s="5" t="n">
        <v>38.76702497272222</v>
      </c>
      <c r="J3087" s="5" t="n">
        <v>45.71674752136111</v>
      </c>
      <c r="K3087" s="5" t="n">
        <v>74</v>
      </c>
    </row>
    <row r="3088">
      <c r="A3088" s="2" t="n">
        <v>46226.04166666666</v>
      </c>
      <c r="B3088">
        <f>TEXT(A3088,"yyyy-mm")</f>
        <v/>
      </c>
      <c r="C3088" s="3">
        <f>HOUR(A3088)</f>
        <v/>
      </c>
      <c r="D3088" s="4" t="n">
        <v>24.884502735825</v>
      </c>
      <c r="E3088" s="4" t="n">
        <v>27.952843359025</v>
      </c>
      <c r="F3088" s="4" t="n">
        <v>29.13993946651945</v>
      </c>
      <c r="G3088" s="4" t="n">
        <v>17.1</v>
      </c>
      <c r="H3088" s="5" t="n">
        <v>43.55654169843334</v>
      </c>
      <c r="I3088" s="5" t="n">
        <v>39.8864248806</v>
      </c>
      <c r="J3088" s="5" t="n">
        <v>45.692643906625</v>
      </c>
      <c r="K3088" s="5" t="n">
        <v>76</v>
      </c>
    </row>
    <row r="3089">
      <c r="A3089" s="2" t="n">
        <v>46226.08333333334</v>
      </c>
      <c r="B3089">
        <f>TEXT(A3089,"yyyy-mm")</f>
        <v/>
      </c>
      <c r="C3089" s="3">
        <f>HOUR(A3089)</f>
        <v/>
      </c>
      <c r="D3089" s="4" t="n">
        <v>24.50882055642223</v>
      </c>
      <c r="E3089" s="4" t="n">
        <v>27.60844218771667</v>
      </c>
      <c r="F3089" s="4" t="n">
        <v>29.11732627945</v>
      </c>
      <c r="G3089" s="4" t="n">
        <v>16.7</v>
      </c>
      <c r="H3089" s="5" t="n">
        <v>43.87498431458334</v>
      </c>
      <c r="I3089" s="5" t="n">
        <v>40.03259795499444</v>
      </c>
      <c r="J3089" s="5" t="n">
        <v>45.70157386717222</v>
      </c>
      <c r="K3089" s="5" t="n">
        <v>78</v>
      </c>
    </row>
    <row r="3090">
      <c r="A3090" s="2" t="n">
        <v>46226.125</v>
      </c>
      <c r="B3090">
        <f>TEXT(A3090,"yyyy-mm")</f>
        <v/>
      </c>
      <c r="C3090" s="3">
        <f>HOUR(A3090)</f>
        <v/>
      </c>
      <c r="D3090" s="4" t="n">
        <v>24.17835732673333</v>
      </c>
      <c r="E3090" s="4" t="n">
        <v>27.39962985453056</v>
      </c>
      <c r="F3090" s="4" t="n">
        <v>29.09052048775555</v>
      </c>
      <c r="G3090" s="4" t="n">
        <v>16</v>
      </c>
      <c r="H3090" s="5" t="n">
        <v>44.368388107</v>
      </c>
      <c r="I3090" s="5" t="n">
        <v>39.68380311301944</v>
      </c>
      <c r="J3090" s="5" t="n">
        <v>45.64017756021389</v>
      </c>
      <c r="K3090" s="5" t="n">
        <v>80</v>
      </c>
    </row>
    <row r="3091">
      <c r="A3091" s="2" t="n">
        <v>46226.16666666666</v>
      </c>
      <c r="B3091">
        <f>TEXT(A3091,"yyyy-mm")</f>
        <v/>
      </c>
      <c r="C3091" s="3">
        <f>HOUR(A3091)</f>
        <v/>
      </c>
      <c r="D3091" s="4" t="n">
        <v>23.97115389258612</v>
      </c>
      <c r="E3091" s="4" t="n">
        <v>27.247540791625</v>
      </c>
      <c r="F3091" s="4" t="n">
        <v>29.06088421753889</v>
      </c>
      <c r="G3091" s="4" t="n">
        <v>15.3</v>
      </c>
      <c r="H3091" s="5" t="n">
        <v>44.859475805875</v>
      </c>
      <c r="I3091" s="5" t="n">
        <v>39.58478026570278</v>
      </c>
      <c r="J3091" s="5" t="n">
        <v>45.56408934599444</v>
      </c>
      <c r="K3091" s="5" t="n">
        <v>83</v>
      </c>
    </row>
    <row r="3092">
      <c r="A3092" s="2" t="n">
        <v>46226.20833333334</v>
      </c>
      <c r="B3092">
        <f>TEXT(A3092,"yyyy-mm")</f>
        <v/>
      </c>
      <c r="C3092" s="3">
        <f>HOUR(A3092)</f>
        <v/>
      </c>
      <c r="D3092" s="4" t="n">
        <v>23.64889389501666</v>
      </c>
      <c r="E3092" s="4" t="n">
        <v>27.08163026353889</v>
      </c>
      <c r="F3092" s="4" t="n">
        <v>29.04282826421389</v>
      </c>
      <c r="G3092" s="4" t="n">
        <v>15.1</v>
      </c>
      <c r="H3092" s="5" t="n">
        <v>45.83925097111111</v>
      </c>
      <c r="I3092" s="5" t="n">
        <v>39.77524915230833</v>
      </c>
      <c r="J3092" s="5" t="n">
        <v>45.51727540864167</v>
      </c>
      <c r="K3092" s="5" t="n">
        <v>84</v>
      </c>
    </row>
    <row r="3093">
      <c r="A3093" s="2" t="n">
        <v>46226.25</v>
      </c>
      <c r="B3093">
        <f>TEXT(A3093,"yyyy-mm")</f>
        <v/>
      </c>
      <c r="C3093" s="3">
        <f>HOUR(A3093)</f>
        <v/>
      </c>
      <c r="D3093" s="4" t="n">
        <v>23.50839489871667</v>
      </c>
      <c r="E3093" s="4" t="n">
        <v>26.87330045751944</v>
      </c>
      <c r="F3093" s="4" t="n">
        <v>29.02760620518889</v>
      </c>
      <c r="G3093" s="4" t="n">
        <v>15.2</v>
      </c>
      <c r="H3093" s="5" t="n">
        <v>45.81895049693611</v>
      </c>
      <c r="I3093" s="5" t="n">
        <v>39.65201370259445</v>
      </c>
      <c r="J3093" s="5" t="n">
        <v>45.50227298649722</v>
      </c>
      <c r="K3093" s="5" t="n">
        <v>84</v>
      </c>
    </row>
    <row r="3094">
      <c r="A3094" s="2" t="n">
        <v>46226.29166666666</v>
      </c>
      <c r="B3094">
        <f>TEXT(A3094,"yyyy-mm")</f>
        <v/>
      </c>
      <c r="C3094" s="3">
        <f>HOUR(A3094)</f>
        <v/>
      </c>
      <c r="D3094" s="4" t="n">
        <v>23.86814946315</v>
      </c>
      <c r="E3094" s="4" t="n">
        <v>26.84669705333889</v>
      </c>
      <c r="F3094" s="4" t="n">
        <v>29.00946968876945</v>
      </c>
      <c r="G3094" s="4" t="n">
        <v>15.8</v>
      </c>
      <c r="H3094" s="5" t="n">
        <v>44.47888657729167</v>
      </c>
      <c r="I3094" s="5" t="n">
        <v>39.1953207912</v>
      </c>
      <c r="J3094" s="5" t="n">
        <v>45.46001272601389</v>
      </c>
      <c r="K3094" s="5" t="n">
        <v>83</v>
      </c>
    </row>
    <row r="3095">
      <c r="A3095" s="2" t="n">
        <v>46226.33333333334</v>
      </c>
      <c r="B3095">
        <f>TEXT(A3095,"yyyy-mm")</f>
        <v/>
      </c>
      <c r="C3095" s="3">
        <f>HOUR(A3095)</f>
        <v/>
      </c>
      <c r="D3095" s="4" t="n">
        <v>25.03192223173055</v>
      </c>
      <c r="E3095" s="4" t="n">
        <v>27.09911815943889</v>
      </c>
      <c r="F3095" s="4" t="n">
        <v>28.99969453059722</v>
      </c>
      <c r="G3095" s="4" t="n">
        <v>17.3</v>
      </c>
      <c r="H3095" s="5" t="n">
        <v>42.12606053931389</v>
      </c>
      <c r="I3095" s="5" t="n">
        <v>39.225194724275</v>
      </c>
      <c r="J3095" s="5" t="n">
        <v>45.42460118800556</v>
      </c>
      <c r="K3095" s="5" t="n">
        <v>76</v>
      </c>
    </row>
    <row r="3096">
      <c r="A3096" s="2" t="n">
        <v>46226.375</v>
      </c>
      <c r="B3096">
        <f>TEXT(A3096,"yyyy-mm")</f>
        <v/>
      </c>
      <c r="C3096" s="3">
        <f>HOUR(A3096)</f>
        <v/>
      </c>
      <c r="D3096" s="4" t="n">
        <v>26.34435186859167</v>
      </c>
      <c r="E3096" s="4" t="n">
        <v>27.55585131001111</v>
      </c>
      <c r="F3096" s="4" t="n">
        <v>29.00556044920556</v>
      </c>
      <c r="G3096" s="4" t="n">
        <v>19.2</v>
      </c>
      <c r="H3096" s="5" t="n">
        <v>38.64648749160278</v>
      </c>
      <c r="I3096" s="5" t="n">
        <v>38.21935454195555</v>
      </c>
      <c r="J3096" s="5" t="n">
        <v>45.40637066174722</v>
      </c>
      <c r="K3096" s="5" t="n">
        <v>68</v>
      </c>
    </row>
    <row r="3097">
      <c r="A3097" s="2" t="n">
        <v>46226.41666666666</v>
      </c>
      <c r="B3097">
        <f>TEXT(A3097,"yyyy-mm")</f>
        <v/>
      </c>
      <c r="C3097" s="3">
        <f>HOUR(A3097)</f>
        <v/>
      </c>
      <c r="D3097" s="4" t="n">
        <v>26.80250607806667</v>
      </c>
      <c r="E3097" s="4" t="n">
        <v>27.987960854325</v>
      </c>
      <c r="F3097" s="4" t="n">
        <v>29.03284062771112</v>
      </c>
      <c r="G3097" s="4" t="n">
        <v>20.6</v>
      </c>
      <c r="H3097" s="5" t="n">
        <v>37.22265461488056</v>
      </c>
      <c r="I3097" s="5" t="n">
        <v>37.68929867538611</v>
      </c>
      <c r="J3097" s="5" t="n">
        <v>45.36651314236112</v>
      </c>
      <c r="K3097" s="5" t="n">
        <v>60</v>
      </c>
    </row>
    <row r="3098">
      <c r="A3098" s="2" t="n">
        <v>46226.45833333334</v>
      </c>
      <c r="B3098">
        <f>TEXT(A3098,"yyyy-mm")</f>
        <v/>
      </c>
      <c r="C3098" s="3">
        <f>HOUR(A3098)</f>
        <v/>
      </c>
      <c r="D3098" s="4" t="n">
        <v>27.22654052032222</v>
      </c>
      <c r="E3098" s="4" t="n">
        <v>28.3603248605</v>
      </c>
      <c r="F3098" s="4" t="n">
        <v>29.06750984234167</v>
      </c>
      <c r="G3098" s="4" t="n">
        <v>21.6</v>
      </c>
      <c r="H3098" s="5" t="n">
        <v>35.90540768511389</v>
      </c>
      <c r="I3098" s="5" t="n">
        <v>36.76086305567223</v>
      </c>
      <c r="J3098" s="5" t="n">
        <v>45.40545165222778</v>
      </c>
      <c r="K3098" s="5" t="n">
        <v>52</v>
      </c>
    </row>
    <row r="3099">
      <c r="A3099" s="2" t="n">
        <v>46226.5</v>
      </c>
      <c r="B3099">
        <f>TEXT(A3099,"yyyy-mm")</f>
        <v/>
      </c>
      <c r="C3099" s="3">
        <f>HOUR(A3099)</f>
        <v/>
      </c>
      <c r="D3099" s="4" t="n">
        <v>26.98420582659723</v>
      </c>
      <c r="E3099" s="4" t="n">
        <v>28.13890923841112</v>
      </c>
      <c r="F3099" s="4" t="n">
        <v>29.08966662536111</v>
      </c>
      <c r="G3099" s="4" t="n">
        <v>22.3</v>
      </c>
      <c r="H3099" s="5" t="n">
        <v>34.48898702468055</v>
      </c>
      <c r="I3099" s="5" t="n">
        <v>35.96994880464722</v>
      </c>
      <c r="J3099" s="5" t="n">
        <v>45.25902222829166</v>
      </c>
      <c r="K3099" s="5" t="n">
        <v>49</v>
      </c>
    </row>
    <row r="3100">
      <c r="A3100" s="2" t="n">
        <v>46226.54166666666</v>
      </c>
      <c r="B3100">
        <f>TEXT(A3100,"yyyy-mm")</f>
        <v/>
      </c>
      <c r="C3100" s="3">
        <f>HOUR(A3100)</f>
        <v/>
      </c>
      <c r="D3100" s="4" t="n">
        <v>26.97059469181944</v>
      </c>
      <c r="E3100" s="4" t="n">
        <v>28.30735213108889</v>
      </c>
      <c r="F3100" s="4" t="n">
        <v>29.10347729123889</v>
      </c>
      <c r="G3100" s="4" t="n">
        <v>22.9</v>
      </c>
      <c r="H3100" s="5" t="n">
        <v>34.20557652106667</v>
      </c>
      <c r="I3100" s="5" t="n">
        <v>35.70162301133889</v>
      </c>
      <c r="J3100" s="5" t="n">
        <v>45.13248526825555</v>
      </c>
      <c r="K3100" s="5" t="n">
        <v>48</v>
      </c>
    </row>
    <row r="3101">
      <c r="A3101" s="2" t="n">
        <v>46226.58333333334</v>
      </c>
      <c r="B3101">
        <f>TEXT(A3101,"yyyy-mm")</f>
        <v/>
      </c>
      <c r="C3101" s="3">
        <f>HOUR(A3101)</f>
        <v/>
      </c>
      <c r="D3101" s="4" t="n">
        <v>27.02938048244167</v>
      </c>
      <c r="E3101" s="4" t="n">
        <v>28.29366043400833</v>
      </c>
      <c r="F3101" s="4" t="n">
        <v>29.09375264896389</v>
      </c>
      <c r="G3101" s="4" t="n">
        <v>23.3</v>
      </c>
      <c r="H3101" s="5" t="n">
        <v>33.14330433819445</v>
      </c>
      <c r="I3101" s="5" t="n">
        <v>34.45706035929167</v>
      </c>
      <c r="J3101" s="5" t="n">
        <v>44.25335112364166</v>
      </c>
      <c r="K3101" s="5" t="n">
        <v>47</v>
      </c>
    </row>
    <row r="3102">
      <c r="A3102" s="2" t="n">
        <v>46226.625</v>
      </c>
      <c r="B3102">
        <f>TEXT(A3102,"yyyy-mm")</f>
        <v/>
      </c>
      <c r="C3102" s="3">
        <f>HOUR(A3102)</f>
        <v/>
      </c>
      <c r="D3102" s="4" t="n">
        <v>27.06430181633611</v>
      </c>
      <c r="E3102" s="4" t="n">
        <v>28.39400860984722</v>
      </c>
      <c r="F3102" s="4" t="n">
        <v>29.17658288565</v>
      </c>
      <c r="G3102" s="4" t="n">
        <v>23.9</v>
      </c>
      <c r="H3102" s="5" t="n">
        <v>33.97098065908612</v>
      </c>
      <c r="I3102" s="5" t="n">
        <v>37.60385542716667</v>
      </c>
      <c r="J3102" s="5" t="n">
        <v>44.33842200224723</v>
      </c>
      <c r="K3102" s="5" t="n">
        <v>46</v>
      </c>
    </row>
    <row r="3103">
      <c r="A3103" s="2" t="n">
        <v>46226.66666666666</v>
      </c>
      <c r="B3103">
        <f>TEXT(A3103,"yyyy-mm")</f>
        <v/>
      </c>
      <c r="C3103" s="3">
        <f>HOUR(A3103)</f>
        <v/>
      </c>
      <c r="D3103" s="4" t="n">
        <v>26.91832950936389</v>
      </c>
      <c r="E3103" s="4" t="n">
        <v>28.30893756552222</v>
      </c>
      <c r="F3103" s="4" t="n">
        <v>29.26077499491944</v>
      </c>
      <c r="G3103" s="4" t="n">
        <v>24</v>
      </c>
      <c r="H3103" s="5" t="n">
        <v>33.18354141038056</v>
      </c>
      <c r="I3103" s="5" t="n">
        <v>41.28456477161945</v>
      </c>
      <c r="J3103" s="5" t="n">
        <v>44.74416260420278</v>
      </c>
      <c r="K3103" s="5" t="n">
        <v>46</v>
      </c>
    </row>
    <row r="3104">
      <c r="A3104" s="2" t="n">
        <v>46226.70833333334</v>
      </c>
      <c r="B3104">
        <f>TEXT(A3104,"yyyy-mm")</f>
        <v/>
      </c>
      <c r="C3104" s="3">
        <f>HOUR(A3104)</f>
        <v/>
      </c>
      <c r="D3104" s="4" t="n">
        <v>26.88105778854444</v>
      </c>
      <c r="E3104" s="4" t="n">
        <v>28.37884242365277</v>
      </c>
      <c r="F3104" s="4" t="n">
        <v>29.37507553523056</v>
      </c>
      <c r="G3104" s="4" t="n">
        <v>23.9</v>
      </c>
      <c r="H3104" s="5" t="n">
        <v>33.93989682386389</v>
      </c>
      <c r="I3104" s="5" t="n">
        <v>40.34551188048056</v>
      </c>
      <c r="J3104" s="5" t="n">
        <v>45.31941982717778</v>
      </c>
      <c r="K3104" s="5" t="n">
        <v>45</v>
      </c>
    </row>
    <row r="3105">
      <c r="A3105" s="2" t="n">
        <v>46226.75</v>
      </c>
      <c r="B3105">
        <f>TEXT(A3105,"yyyy-mm")</f>
        <v/>
      </c>
      <c r="C3105" s="3">
        <f>HOUR(A3105)</f>
        <v/>
      </c>
      <c r="D3105" s="4" t="n">
        <v>26.92957538458056</v>
      </c>
      <c r="E3105" s="4" t="n">
        <v>28.34079582613889</v>
      </c>
      <c r="F3105" s="4" t="n">
        <v>29.40370437061667</v>
      </c>
      <c r="G3105" s="4" t="n">
        <v>23.7</v>
      </c>
      <c r="H3105" s="5" t="n">
        <v>35.67278647385833</v>
      </c>
      <c r="I3105" s="5" t="n">
        <v>40.09557641687222</v>
      </c>
      <c r="J3105" s="5" t="n">
        <v>45.28175001136111</v>
      </c>
      <c r="K3105" s="5" t="n">
        <v>45</v>
      </c>
    </row>
    <row r="3106">
      <c r="A3106" s="2" t="n">
        <v>46226.79166666666</v>
      </c>
      <c r="B3106">
        <f>TEXT(A3106,"yyyy-mm")</f>
        <v/>
      </c>
      <c r="C3106" s="3">
        <f>HOUR(A3106)</f>
        <v/>
      </c>
      <c r="D3106" s="4" t="n">
        <v>26.62727099729166</v>
      </c>
      <c r="E3106" s="4" t="n">
        <v>28.30021481109167</v>
      </c>
      <c r="F3106" s="4" t="n">
        <v>29.28140059095556</v>
      </c>
      <c r="G3106" s="4" t="n">
        <v>22.8</v>
      </c>
      <c r="H3106" s="5" t="n">
        <v>37.721138338125</v>
      </c>
      <c r="I3106" s="5" t="n">
        <v>40.21258885065278</v>
      </c>
      <c r="J3106" s="5" t="n">
        <v>45.68413686178889</v>
      </c>
      <c r="K3106" s="5" t="n">
        <v>53</v>
      </c>
    </row>
    <row r="3107">
      <c r="A3107" s="2" t="n">
        <v>46226.83333333334</v>
      </c>
      <c r="B3107">
        <f>TEXT(A3107,"yyyy-mm")</f>
        <v/>
      </c>
      <c r="C3107" s="3">
        <f>HOUR(A3107)</f>
        <v/>
      </c>
      <c r="D3107" s="4" t="n">
        <v>26.41759859330556</v>
      </c>
      <c r="E3107" s="4" t="n">
        <v>28.58633752582778</v>
      </c>
      <c r="F3107" s="4" t="n">
        <v>28.74489891581389</v>
      </c>
      <c r="G3107" s="4" t="n">
        <v>20.9</v>
      </c>
      <c r="H3107" s="5" t="n">
        <v>41.19528090274444</v>
      </c>
      <c r="I3107" s="5" t="n">
        <v>41.93589178053611</v>
      </c>
      <c r="J3107" s="5" t="n">
        <v>47.85834099710278</v>
      </c>
      <c r="K3107" s="5" t="n">
        <v>65</v>
      </c>
    </row>
    <row r="3108">
      <c r="A3108" s="2" t="n">
        <v>46226.875</v>
      </c>
      <c r="B3108">
        <f>TEXT(A3108,"yyyy-mm")</f>
        <v/>
      </c>
      <c r="C3108" s="3">
        <f>HOUR(A3108)</f>
        <v/>
      </c>
      <c r="D3108" s="4" t="n">
        <v>25.96803439127778</v>
      </c>
      <c r="E3108" s="4" t="n">
        <v>28.59948894844722</v>
      </c>
      <c r="F3108" s="4" t="n">
        <v>29.11386630864722</v>
      </c>
      <c r="G3108" s="4" t="n">
        <v>19.8</v>
      </c>
      <c r="H3108" s="5" t="n">
        <v>41.40401168797499</v>
      </c>
      <c r="I3108" s="5" t="n">
        <v>40.98093723401112</v>
      </c>
      <c r="J3108" s="5" t="n">
        <v>46.89068937694722</v>
      </c>
      <c r="K3108" s="5" t="n">
        <v>71</v>
      </c>
    </row>
    <row r="3109">
      <c r="A3109" s="2" t="n">
        <v>46226.91666666666</v>
      </c>
      <c r="B3109">
        <f>TEXT(A3109,"yyyy-mm")</f>
        <v/>
      </c>
      <c r="C3109" s="3">
        <f>HOUR(A3109)</f>
        <v/>
      </c>
      <c r="D3109" s="4" t="n">
        <v>25.49694207109722</v>
      </c>
      <c r="E3109" s="4" t="n">
        <v>28.45925291939444</v>
      </c>
      <c r="F3109" s="4" t="n">
        <v>29.28805816181945</v>
      </c>
      <c r="G3109" s="4" t="n">
        <v>19.2</v>
      </c>
      <c r="H3109" s="5" t="n">
        <v>40.86039219824722</v>
      </c>
      <c r="I3109" s="5" t="n">
        <v>38.90314296335556</v>
      </c>
      <c r="J3109" s="5" t="n">
        <v>46.23556043416111</v>
      </c>
      <c r="K3109" s="5" t="n">
        <v>73</v>
      </c>
    </row>
    <row r="3110">
      <c r="A3110" s="2" t="n">
        <v>46226.95833333334</v>
      </c>
      <c r="B3110">
        <f>TEXT(A3110,"yyyy-mm")</f>
        <v/>
      </c>
      <c r="C3110" s="3">
        <f>HOUR(A3110)</f>
        <v/>
      </c>
      <c r="D3110" s="4" t="n">
        <v>25.41502209105278</v>
      </c>
      <c r="E3110" s="4" t="n">
        <v>28.40404745220556</v>
      </c>
      <c r="F3110" s="4" t="n">
        <v>29.27577518732222</v>
      </c>
      <c r="G3110" s="4" t="n">
        <v>18.4</v>
      </c>
      <c r="H3110" s="5" t="n">
        <v>41.10751278959167</v>
      </c>
      <c r="I3110" s="5" t="n">
        <v>39.40312503800001</v>
      </c>
      <c r="J3110" s="5" t="n">
        <v>45.42150170582223</v>
      </c>
      <c r="K3110" s="5" t="n">
        <v>75</v>
      </c>
    </row>
    <row r="3111">
      <c r="A3111" s="2" t="n">
        <v>46227</v>
      </c>
      <c r="B3111">
        <f>TEXT(A3111,"yyyy-mm")</f>
        <v/>
      </c>
      <c r="C3111" s="3">
        <f>HOUR(A3111)</f>
        <v/>
      </c>
      <c r="D3111" s="4" t="n">
        <v>25.41382161550834</v>
      </c>
      <c r="E3111" s="4" t="n">
        <v>28.55873758565556</v>
      </c>
      <c r="F3111" s="4" t="n">
        <v>29.38110614530556</v>
      </c>
      <c r="G3111" s="4" t="n">
        <v>18</v>
      </c>
      <c r="H3111" s="5" t="n">
        <v>41.11803800932222</v>
      </c>
      <c r="I3111" s="5" t="n">
        <v>38.11746230828889</v>
      </c>
      <c r="J3111" s="5" t="n">
        <v>45.44499993141111</v>
      </c>
      <c r="K3111" s="5" t="n">
        <v>74</v>
      </c>
    </row>
    <row r="3112">
      <c r="A3112" s="2" t="n">
        <v>46227.04166666666</v>
      </c>
      <c r="B3112">
        <f>TEXT(A3112,"yyyy-mm")</f>
        <v/>
      </c>
      <c r="C3112" s="3">
        <f>HOUR(A3112)</f>
        <v/>
      </c>
      <c r="D3112" s="4" t="n">
        <v>25.13167282791666</v>
      </c>
      <c r="E3112" s="4" t="n">
        <v>28.357096319025</v>
      </c>
      <c r="F3112" s="4" t="n">
        <v>29.44579308522778</v>
      </c>
      <c r="G3112" s="4" t="n">
        <v>17.9</v>
      </c>
      <c r="H3112" s="5" t="n">
        <v>42.00348253913334</v>
      </c>
      <c r="I3112" s="5" t="n">
        <v>38.97564884951944</v>
      </c>
      <c r="J3112" s="5" t="n">
        <v>45.34693931251667</v>
      </c>
      <c r="K3112" s="5" t="n">
        <v>72</v>
      </c>
    </row>
    <row r="3113">
      <c r="A3113" s="2" t="n">
        <v>46227.08333333334</v>
      </c>
      <c r="B3113">
        <f>TEXT(A3113,"yyyy-mm")</f>
        <v/>
      </c>
      <c r="C3113" s="3">
        <f>HOUR(A3113)</f>
        <v/>
      </c>
      <c r="D3113" s="4" t="n">
        <v>24.67747634894444</v>
      </c>
      <c r="E3113" s="4" t="n">
        <v>28.05805486797222</v>
      </c>
      <c r="F3113" s="4" t="n">
        <v>29.52602068866666</v>
      </c>
      <c r="G3113" s="4" t="n">
        <v>17.4</v>
      </c>
      <c r="H3113" s="5" t="n">
        <v>43.38390366744722</v>
      </c>
      <c r="I3113" s="5" t="n">
        <v>38.30610368308611</v>
      </c>
      <c r="J3113" s="5" t="n">
        <v>45.25764101550833</v>
      </c>
      <c r="K3113" s="5" t="n">
        <v>73</v>
      </c>
    </row>
    <row r="3114">
      <c r="A3114" s="2" t="n">
        <v>46227.125</v>
      </c>
      <c r="B3114">
        <f>TEXT(A3114,"yyyy-mm")</f>
        <v/>
      </c>
      <c r="C3114" s="3">
        <f>HOUR(A3114)</f>
        <v/>
      </c>
      <c r="D3114" s="4" t="n">
        <v>24.32599531479723</v>
      </c>
      <c r="E3114" s="4" t="n">
        <v>27.83732267910278</v>
      </c>
      <c r="F3114" s="4" t="n">
        <v>29.56138910330833</v>
      </c>
      <c r="G3114" s="4" t="n">
        <v>16.8</v>
      </c>
      <c r="H3114" s="5" t="n">
        <v>44.91389081162222</v>
      </c>
      <c r="I3114" s="5" t="n">
        <v>38.60136933958889</v>
      </c>
      <c r="J3114" s="5" t="n">
        <v>45.19240643761389</v>
      </c>
      <c r="K3114" s="5" t="n">
        <v>75</v>
      </c>
    </row>
    <row r="3115">
      <c r="A3115" s="2" t="n">
        <v>46227.16666666666</v>
      </c>
      <c r="B3115">
        <f>TEXT(A3115,"yyyy-mm")</f>
        <v/>
      </c>
      <c r="C3115" s="3">
        <f>HOUR(A3115)</f>
        <v/>
      </c>
      <c r="D3115" s="4" t="n">
        <v>24.06024269049166</v>
      </c>
      <c r="E3115" s="4" t="n">
        <v>27.67537560029167</v>
      </c>
      <c r="F3115" s="4" t="n">
        <v>29.57942182475556</v>
      </c>
      <c r="G3115" s="4" t="n">
        <v>16.3</v>
      </c>
      <c r="H3115" s="5" t="n">
        <v>46.07512261912501</v>
      </c>
      <c r="I3115" s="5" t="n">
        <v>39.10571375940555</v>
      </c>
      <c r="J3115" s="5" t="n">
        <v>45.15107831414167</v>
      </c>
      <c r="K3115" s="5" t="n">
        <v>77</v>
      </c>
    </row>
    <row r="3116">
      <c r="A3116" s="2" t="n">
        <v>46227.20833333334</v>
      </c>
      <c r="B3116">
        <f>TEXT(A3116,"yyyy-mm")</f>
        <v/>
      </c>
      <c r="C3116" s="3">
        <f>HOUR(A3116)</f>
        <v/>
      </c>
      <c r="D3116" s="4" t="n">
        <v>23.92063690797778</v>
      </c>
      <c r="E3116" s="4" t="n">
        <v>27.54955186320833</v>
      </c>
      <c r="F3116" s="4" t="n">
        <v>29.58733838297222</v>
      </c>
      <c r="G3116" s="4" t="n">
        <v>16</v>
      </c>
      <c r="H3116" s="5" t="n">
        <v>46.74117846935277</v>
      </c>
      <c r="I3116" s="5" t="n">
        <v>39.56244028015833</v>
      </c>
      <c r="J3116" s="5" t="n">
        <v>45.13498451413056</v>
      </c>
      <c r="K3116" s="5" t="n">
        <v>81</v>
      </c>
    </row>
    <row r="3117">
      <c r="A3117" s="2" t="n">
        <v>46227.25</v>
      </c>
      <c r="B3117">
        <f>TEXT(A3117,"yyyy-mm")</f>
        <v/>
      </c>
      <c r="C3117" s="3">
        <f>HOUR(A3117)</f>
        <v/>
      </c>
      <c r="D3117" s="4" t="n">
        <v>24.58354458646111</v>
      </c>
      <c r="E3117" s="4" t="n">
        <v>27.55945448065556</v>
      </c>
      <c r="F3117" s="4" t="n">
        <v>29.58930020683889</v>
      </c>
      <c r="G3117" s="4" t="n">
        <v>16.4</v>
      </c>
      <c r="H3117" s="5" t="n">
        <v>45.20602690306666</v>
      </c>
      <c r="I3117" s="5" t="n">
        <v>39.72576840027222</v>
      </c>
      <c r="J3117" s="5" t="n">
        <v>45.02766360834445</v>
      </c>
      <c r="K3117" s="5" t="n">
        <v>81</v>
      </c>
    </row>
    <row r="3118">
      <c r="A3118" s="2" t="n">
        <v>46227.29166666666</v>
      </c>
      <c r="B3118">
        <f>TEXT(A3118,"yyyy-mm")</f>
        <v/>
      </c>
      <c r="C3118" s="3">
        <f>HOUR(A3118)</f>
        <v/>
      </c>
      <c r="D3118" s="4" t="n">
        <v>25.12769665288611</v>
      </c>
      <c r="E3118" s="4" t="n">
        <v>27.55484925186111</v>
      </c>
      <c r="F3118" s="4" t="n">
        <v>29.54617892698889</v>
      </c>
      <c r="G3118" s="4" t="n">
        <v>17.4</v>
      </c>
      <c r="H3118" s="5" t="n">
        <v>44.40677123016945</v>
      </c>
      <c r="I3118" s="5" t="n">
        <v>39.96394176509722</v>
      </c>
      <c r="J3118" s="5" t="n">
        <v>44.93848951152222</v>
      </c>
      <c r="K3118" s="5" t="n">
        <v>78</v>
      </c>
    </row>
    <row r="3119">
      <c r="A3119" s="2" t="n">
        <v>46227.33333333334</v>
      </c>
      <c r="B3119">
        <f>TEXT(A3119,"yyyy-mm")</f>
        <v/>
      </c>
      <c r="C3119" s="3">
        <f>HOUR(A3119)</f>
        <v/>
      </c>
      <c r="D3119" s="4" t="n">
        <v>26.90854829703056</v>
      </c>
      <c r="E3119" s="4" t="n">
        <v>28.151281616375</v>
      </c>
      <c r="F3119" s="4" t="n">
        <v>29.49251484357778</v>
      </c>
      <c r="G3119" s="4" t="n">
        <v>18.9</v>
      </c>
      <c r="H3119" s="5" t="n">
        <v>41.67025226800556</v>
      </c>
      <c r="I3119" s="5" t="n">
        <v>39.79462216968611</v>
      </c>
      <c r="J3119" s="5" t="n">
        <v>44.94709923028055</v>
      </c>
      <c r="K3119" s="5" t="n">
        <v>73</v>
      </c>
    </row>
    <row r="3120">
      <c r="A3120" s="2" t="n">
        <v>46227.375</v>
      </c>
      <c r="B3120">
        <f>TEXT(A3120,"yyyy-mm")</f>
        <v/>
      </c>
      <c r="C3120" s="3">
        <f>HOUR(A3120)</f>
        <v/>
      </c>
      <c r="D3120" s="4" t="n">
        <v>27.80028410921389</v>
      </c>
      <c r="E3120" s="4" t="n">
        <v>28.50111884314722</v>
      </c>
      <c r="F3120" s="4" t="n">
        <v>29.45163123506945</v>
      </c>
      <c r="G3120" s="4" t="n">
        <v>20.6</v>
      </c>
      <c r="H3120" s="5" t="n">
        <v>40.87754851698611</v>
      </c>
      <c r="I3120" s="5" t="n">
        <v>40.21877266887223</v>
      </c>
      <c r="J3120" s="5" t="n">
        <v>45.04155084313889</v>
      </c>
      <c r="K3120" s="5" t="n">
        <v>69</v>
      </c>
    </row>
    <row r="3121">
      <c r="A3121" s="2" t="n">
        <v>46227.41666666666</v>
      </c>
      <c r="B3121">
        <f>TEXT(A3121,"yyyy-mm")</f>
        <v/>
      </c>
      <c r="C3121" s="3">
        <f>HOUR(A3121)</f>
        <v/>
      </c>
      <c r="D3121" s="4" t="n">
        <v>27.84109714116389</v>
      </c>
      <c r="E3121" s="4" t="n">
        <v>28.62550329191944</v>
      </c>
      <c r="F3121" s="4" t="n">
        <v>29.4653239488</v>
      </c>
      <c r="G3121" s="4" t="n">
        <v>21.7</v>
      </c>
      <c r="H3121" s="5" t="n">
        <v>40.92446122969167</v>
      </c>
      <c r="I3121" s="5" t="n">
        <v>41.67855133898333</v>
      </c>
      <c r="J3121" s="5" t="n">
        <v>45.79631550431944</v>
      </c>
      <c r="K3121" s="5" t="n">
        <v>65</v>
      </c>
    </row>
    <row r="3122">
      <c r="A3122" s="2" t="n">
        <v>46227.45833333334</v>
      </c>
      <c r="B3122">
        <f>TEXT(A3122,"yyyy-mm")</f>
        <v/>
      </c>
      <c r="C3122" s="3">
        <f>HOUR(A3122)</f>
        <v/>
      </c>
      <c r="D3122" s="4" t="n">
        <v>27.76059731650556</v>
      </c>
      <c r="E3122" s="4" t="n">
        <v>28.62475925098889</v>
      </c>
      <c r="F3122" s="4" t="n">
        <v>29.48737597733889</v>
      </c>
      <c r="G3122" s="4" t="n">
        <v>23</v>
      </c>
      <c r="H3122" s="5" t="n">
        <v>40.9691733964</v>
      </c>
      <c r="I3122" s="5" t="n">
        <v>40.16392508775278</v>
      </c>
      <c r="J3122" s="5" t="n">
        <v>46.11070164475277</v>
      </c>
      <c r="K3122" s="5" t="n">
        <v>62</v>
      </c>
    </row>
    <row r="3123">
      <c r="A3123" s="2" t="n">
        <v>46227.5</v>
      </c>
      <c r="B3123">
        <f>TEXT(A3123,"yyyy-mm")</f>
        <v/>
      </c>
      <c r="C3123" s="3">
        <f>HOUR(A3123)</f>
        <v/>
      </c>
      <c r="D3123" s="4" t="n">
        <v>27.68739168434166</v>
      </c>
      <c r="E3123" s="4" t="n">
        <v>28.72609450249166</v>
      </c>
      <c r="F3123" s="4" t="n">
        <v>29.51847049772778</v>
      </c>
      <c r="G3123" s="4" t="n">
        <v>23.9</v>
      </c>
      <c r="H3123" s="5" t="n">
        <v>41.03221877334722</v>
      </c>
      <c r="I3123" s="5" t="n">
        <v>39.88695658923889</v>
      </c>
      <c r="J3123" s="5" t="n">
        <v>46.01573551032501</v>
      </c>
      <c r="K3123" s="5" t="n">
        <v>57</v>
      </c>
    </row>
    <row r="3124">
      <c r="A3124" s="2" t="n">
        <v>46227.54166666666</v>
      </c>
      <c r="B3124">
        <f>TEXT(A3124,"yyyy-mm")</f>
        <v/>
      </c>
      <c r="C3124" s="3">
        <f>HOUR(A3124)</f>
        <v/>
      </c>
      <c r="D3124" s="4" t="n">
        <v>27.02022958876667</v>
      </c>
      <c r="E3124" s="4" t="n">
        <v>28.17109894048889</v>
      </c>
      <c r="F3124" s="4" t="n">
        <v>29.59954337167778</v>
      </c>
      <c r="G3124" s="4" t="n">
        <v>24</v>
      </c>
      <c r="H3124" s="5" t="n">
        <v>45.46870183854722</v>
      </c>
      <c r="I3124" s="5" t="n">
        <v>43.17620727734445</v>
      </c>
      <c r="J3124" s="5" t="n">
        <v>45.96340740287778</v>
      </c>
      <c r="K3124" s="5" t="n">
        <v>54</v>
      </c>
    </row>
    <row r="3125">
      <c r="A3125" s="2" t="n">
        <v>46227.58333333334</v>
      </c>
      <c r="B3125">
        <f>TEXT(A3125,"yyyy-mm")</f>
        <v/>
      </c>
      <c r="C3125" s="3">
        <f>HOUR(A3125)</f>
        <v/>
      </c>
      <c r="D3125" s="4" t="n">
        <v>25.92422256147778</v>
      </c>
      <c r="E3125" s="4" t="n">
        <v>28.41049320440277</v>
      </c>
      <c r="F3125" s="4" t="n">
        <v>29.63222493237222</v>
      </c>
      <c r="G3125" s="4" t="n">
        <v>21</v>
      </c>
      <c r="H3125" s="5" t="n">
        <v>50.67484215664167</v>
      </c>
      <c r="I3125" s="5" t="n">
        <v>45.91475846057778</v>
      </c>
      <c r="J3125" s="5" t="n">
        <v>46.59597974004166</v>
      </c>
      <c r="K3125" s="5" t="n">
        <v>75</v>
      </c>
    </row>
    <row r="3126">
      <c r="A3126" s="2" t="n">
        <v>46227.625</v>
      </c>
      <c r="B3126">
        <f>TEXT(A3126,"yyyy-mm")</f>
        <v/>
      </c>
      <c r="C3126" s="3">
        <f>HOUR(A3126)</f>
        <v/>
      </c>
      <c r="D3126" s="4" t="n">
        <v>25.71617403094722</v>
      </c>
      <c r="E3126" s="4" t="n">
        <v>28.27324771526945</v>
      </c>
      <c r="F3126" s="4" t="n">
        <v>29.64414405863056</v>
      </c>
      <c r="G3126" s="4" t="n">
        <v>19.3</v>
      </c>
      <c r="H3126" s="5" t="n">
        <v>52.63086736891945</v>
      </c>
      <c r="I3126" s="5" t="n">
        <v>47.03669019212777</v>
      </c>
      <c r="J3126" s="5" t="n">
        <v>46.90619765028611</v>
      </c>
      <c r="K3126" s="5" t="n">
        <v>86</v>
      </c>
    </row>
    <row r="3127">
      <c r="A3127" s="2" t="n">
        <v>46227.66666666666</v>
      </c>
      <c r="B3127">
        <f>TEXT(A3127,"yyyy-mm")</f>
        <v/>
      </c>
      <c r="C3127" s="3">
        <f>HOUR(A3127)</f>
        <v/>
      </c>
      <c r="D3127" s="4" t="n">
        <v>25.14261563844723</v>
      </c>
      <c r="E3127" s="4" t="n">
        <v>28.34651398648333</v>
      </c>
      <c r="F3127" s="4" t="n">
        <v>29.67034106204444</v>
      </c>
      <c r="G3127" s="4" t="n">
        <v>20.4</v>
      </c>
      <c r="H3127" s="5" t="n">
        <v>51.74144315875278</v>
      </c>
      <c r="I3127" s="5" t="n">
        <v>46.01396992465833</v>
      </c>
      <c r="J3127" s="5" t="n">
        <v>46.79538074694444</v>
      </c>
      <c r="K3127" s="5" t="n">
        <v>82</v>
      </c>
    </row>
    <row r="3128">
      <c r="A3128" s="2" t="n">
        <v>46227.70833333334</v>
      </c>
      <c r="B3128">
        <f>TEXT(A3128,"yyyy-mm")</f>
        <v/>
      </c>
      <c r="C3128" s="3">
        <f>HOUR(A3128)</f>
        <v/>
      </c>
      <c r="D3128" s="4" t="n">
        <v>25.02000652634445</v>
      </c>
      <c r="E3128" s="4" t="n">
        <v>27.90921762155556</v>
      </c>
      <c r="F3128" s="4" t="n">
        <v>29.69089686126667</v>
      </c>
      <c r="G3128" s="4" t="n">
        <v>21.1</v>
      </c>
      <c r="H3128" s="5" t="n">
        <v>49.65221254905833</v>
      </c>
      <c r="I3128" s="5" t="n">
        <v>43.80416434964723</v>
      </c>
      <c r="J3128" s="5" t="n">
        <v>46.67848607117778</v>
      </c>
      <c r="K3128" s="5" t="n">
        <v>79</v>
      </c>
    </row>
    <row r="3129">
      <c r="A3129" s="2" t="n">
        <v>46227.75</v>
      </c>
      <c r="B3129">
        <f>TEXT(A3129,"yyyy-mm")</f>
        <v/>
      </c>
      <c r="C3129" s="3">
        <f>HOUR(A3129)</f>
        <v/>
      </c>
      <c r="D3129" s="4" t="n">
        <v>24.73495673796112</v>
      </c>
      <c r="E3129" s="4" t="n">
        <v>27.41925555064167</v>
      </c>
      <c r="F3129" s="4" t="n">
        <v>29.69844177476945</v>
      </c>
      <c r="G3129" s="4" t="n">
        <v>18.1</v>
      </c>
      <c r="H3129" s="5" t="n">
        <v>50.12821083231389</v>
      </c>
      <c r="I3129" s="5" t="n">
        <v>44.00524655710279</v>
      </c>
      <c r="J3129" s="5" t="n">
        <v>46.63020210421389</v>
      </c>
      <c r="K3129" s="5" t="n">
        <v>90</v>
      </c>
    </row>
    <row r="3130">
      <c r="A3130" s="2" t="n">
        <v>46227.79166666666</v>
      </c>
      <c r="B3130">
        <f>TEXT(A3130,"yyyy-mm")</f>
        <v/>
      </c>
      <c r="C3130" s="3">
        <f>HOUR(A3130)</f>
        <v/>
      </c>
      <c r="D3130" s="4" t="n">
        <v>24.43638808475556</v>
      </c>
      <c r="E3130" s="4" t="n">
        <v>27.48193478317222</v>
      </c>
      <c r="F3130" s="4" t="n">
        <v>29.65868405089167</v>
      </c>
      <c r="G3130" s="4" t="n">
        <v>17.6</v>
      </c>
      <c r="H3130" s="5" t="n">
        <v>52.65988990485278</v>
      </c>
      <c r="I3130" s="5" t="n">
        <v>45.34043050268889</v>
      </c>
      <c r="J3130" s="5" t="n">
        <v>47.05252927649722</v>
      </c>
      <c r="K3130" s="5" t="n">
        <v>92</v>
      </c>
    </row>
    <row r="3131">
      <c r="A3131" s="2" t="n">
        <v>46227.83333333334</v>
      </c>
      <c r="B3131">
        <f>TEXT(A3131,"yyyy-mm")</f>
        <v/>
      </c>
      <c r="C3131" s="3">
        <f>HOUR(A3131)</f>
        <v/>
      </c>
      <c r="D3131" s="4" t="n">
        <v>24.23739939230833</v>
      </c>
      <c r="E3131" s="4" t="n">
        <v>27.50643146313611</v>
      </c>
      <c r="F3131" s="4" t="n">
        <v>29.44646652896944</v>
      </c>
      <c r="G3131" s="4" t="n">
        <v>17.5</v>
      </c>
      <c r="H3131" s="5" t="n">
        <v>55.01217602052778</v>
      </c>
      <c r="I3131" s="5" t="n">
        <v>46.66603576625834</v>
      </c>
      <c r="J3131" s="5" t="n">
        <v>48.09302541598333</v>
      </c>
      <c r="K3131" s="5" t="n">
        <v>96</v>
      </c>
    </row>
    <row r="3132">
      <c r="A3132" s="2" t="n">
        <v>46227.875</v>
      </c>
      <c r="B3132">
        <f>TEXT(A3132,"yyyy-mm")</f>
        <v/>
      </c>
      <c r="C3132" s="3">
        <f>HOUR(A3132)</f>
        <v/>
      </c>
      <c r="D3132" s="4" t="n">
        <v>24.10123536744166</v>
      </c>
      <c r="E3132" s="4" t="n">
        <v>27.95203710569722</v>
      </c>
      <c r="F3132" s="4" t="n">
        <v>28.15165672023333</v>
      </c>
      <c r="G3132" s="4" t="n">
        <v>17.6</v>
      </c>
      <c r="H3132" s="5" t="n">
        <v>56.94975307480833</v>
      </c>
      <c r="I3132" s="5" t="n">
        <v>47.63108744384723</v>
      </c>
      <c r="J3132" s="5" t="n">
        <v>54.19615899929166</v>
      </c>
      <c r="K3132" s="5" t="n">
        <v>96</v>
      </c>
    </row>
    <row r="3133">
      <c r="A3133" s="2" t="n">
        <v>46227.91666666666</v>
      </c>
      <c r="B3133">
        <f>TEXT(A3133,"yyyy-mm")</f>
        <v/>
      </c>
      <c r="C3133" s="3">
        <f>HOUR(A3133)</f>
        <v/>
      </c>
      <c r="D3133" s="4" t="n">
        <v>24.10928372975833</v>
      </c>
      <c r="E3133" s="4" t="n">
        <v>27.86007796696667</v>
      </c>
      <c r="F3133" s="4" t="n">
        <v>27.871893041425</v>
      </c>
      <c r="G3133" s="4" t="n">
        <v>17.2</v>
      </c>
      <c r="H3133" s="5" t="n">
        <v>57.99541717910278</v>
      </c>
      <c r="I3133" s="5" t="n">
        <v>49.69174889420555</v>
      </c>
      <c r="J3133" s="5" t="n">
        <v>55.53824388090555</v>
      </c>
      <c r="K3133" s="5" t="n">
        <v>95</v>
      </c>
    </row>
    <row r="3134">
      <c r="A3134" s="2" t="n">
        <v>46227.95833333334</v>
      </c>
      <c r="B3134">
        <f>TEXT(A3134,"yyyy-mm")</f>
        <v/>
      </c>
      <c r="C3134" s="3">
        <f>HOUR(A3134)</f>
        <v/>
      </c>
      <c r="D3134" s="4" t="n">
        <v>23.93206035246945</v>
      </c>
      <c r="E3134" s="4" t="n">
        <v>27.85630623716944</v>
      </c>
      <c r="F3134" s="4" t="n">
        <v>28.19632860641667</v>
      </c>
      <c r="G3134" s="4" t="n">
        <v>17</v>
      </c>
      <c r="H3134" s="5" t="n">
        <v>58.95714930093889</v>
      </c>
      <c r="I3134" s="5" t="n">
        <v>49.24015814193334</v>
      </c>
      <c r="J3134" s="5" t="n">
        <v>53.52709842063612</v>
      </c>
      <c r="K3134" s="5" t="n">
        <v>96</v>
      </c>
    </row>
    <row r="3135">
      <c r="A3135" s="2" t="n">
        <v>46228</v>
      </c>
      <c r="B3135">
        <f>TEXT(A3135,"yyyy-mm")</f>
        <v/>
      </c>
      <c r="C3135" s="3">
        <f>HOUR(A3135)</f>
        <v/>
      </c>
      <c r="D3135" s="4" t="n">
        <v>23.56540788360278</v>
      </c>
      <c r="E3135" s="4" t="n">
        <v>27.68265930485833</v>
      </c>
      <c r="F3135" s="4" t="n">
        <v>28.69042792402222</v>
      </c>
      <c r="G3135" s="4" t="n">
        <v>16.9</v>
      </c>
      <c r="H3135" s="5" t="n">
        <v>59.26973850075</v>
      </c>
      <c r="I3135" s="5" t="n">
        <v>48.172187796925</v>
      </c>
      <c r="J3135" s="5" t="n">
        <v>51.15957187216667</v>
      </c>
      <c r="K3135" s="5" t="n">
        <v>96</v>
      </c>
    </row>
    <row r="3136">
      <c r="A3136" s="2" t="n">
        <v>46228.04166666666</v>
      </c>
      <c r="B3136">
        <f>TEXT(A3136,"yyyy-mm")</f>
        <v/>
      </c>
      <c r="C3136" s="3">
        <f>HOUR(A3136)</f>
        <v/>
      </c>
      <c r="D3136" s="4" t="n">
        <v>23.610270519125</v>
      </c>
      <c r="E3136" s="4" t="n">
        <v>27.5946470927</v>
      </c>
      <c r="F3136" s="4" t="n">
        <v>28.87098168195277</v>
      </c>
      <c r="G3136" s="4" t="n">
        <v>16.6</v>
      </c>
      <c r="H3136" s="5" t="n">
        <v>57.963895476225</v>
      </c>
      <c r="I3136" s="5" t="n">
        <v>47.166554897925</v>
      </c>
      <c r="J3136" s="5" t="n">
        <v>50.25959707841944</v>
      </c>
      <c r="K3136" s="5" t="n">
        <v>97</v>
      </c>
    </row>
    <row r="3137">
      <c r="A3137" s="2" t="n">
        <v>46228.08333333334</v>
      </c>
      <c r="B3137">
        <f>TEXT(A3137,"yyyy-mm")</f>
        <v/>
      </c>
      <c r="C3137" s="3">
        <f>HOUR(A3137)</f>
        <v/>
      </c>
      <c r="D3137" s="4" t="n">
        <v>23.56213593063889</v>
      </c>
      <c r="E3137" s="4" t="n">
        <v>27.49743125595556</v>
      </c>
      <c r="F3137" s="4" t="n">
        <v>28.95659679052778</v>
      </c>
      <c r="G3137" s="4" t="n">
        <v>16.1</v>
      </c>
      <c r="H3137" s="5" t="n">
        <v>57.70330146222222</v>
      </c>
      <c r="I3137" s="5" t="n">
        <v>46.92616448920833</v>
      </c>
      <c r="J3137" s="5" t="n">
        <v>49.78425329898334</v>
      </c>
      <c r="K3137" s="5" t="n">
        <v>97</v>
      </c>
    </row>
    <row r="3138">
      <c r="A3138" s="2" t="n">
        <v>46228.125</v>
      </c>
      <c r="B3138">
        <f>TEXT(A3138,"yyyy-mm")</f>
        <v/>
      </c>
      <c r="C3138" s="3">
        <f>HOUR(A3138)</f>
        <v/>
      </c>
      <c r="D3138" s="4" t="n">
        <v>23.65811274555556</v>
      </c>
      <c r="E3138" s="4" t="n">
        <v>27.00307633954445</v>
      </c>
      <c r="F3138" s="4" t="n">
        <v>28.99411675697223</v>
      </c>
      <c r="G3138" s="4" t="n">
        <v>16.9</v>
      </c>
      <c r="H3138" s="5" t="n">
        <v>56.86777136681389</v>
      </c>
      <c r="I3138" s="5" t="n">
        <v>47.58890099859722</v>
      </c>
      <c r="J3138" s="5" t="n">
        <v>49.46686648150556</v>
      </c>
      <c r="K3138" s="5" t="n">
        <v>94</v>
      </c>
    </row>
    <row r="3139">
      <c r="A3139" s="2" t="n">
        <v>46228.16666666666</v>
      </c>
      <c r="B3139">
        <f>TEXT(A3139,"yyyy-mm")</f>
        <v/>
      </c>
      <c r="C3139" s="3">
        <f>HOUR(A3139)</f>
        <v/>
      </c>
      <c r="D3139" s="4" t="n">
        <v>23.50788122302778</v>
      </c>
      <c r="E3139" s="4" t="n">
        <v>27.35221470646944</v>
      </c>
      <c r="F3139" s="4" t="n">
        <v>29.00889156646944</v>
      </c>
      <c r="G3139" s="4" t="n">
        <v>16.7</v>
      </c>
      <c r="H3139" s="5" t="n">
        <v>57.01149570593611</v>
      </c>
      <c r="I3139" s="5" t="n">
        <v>46.56890055904167</v>
      </c>
      <c r="J3139" s="5" t="n">
        <v>49.14948567748888</v>
      </c>
      <c r="K3139" s="5" t="n">
        <v>94</v>
      </c>
    </row>
    <row r="3140">
      <c r="A3140" s="2" t="n">
        <v>46228.20833333334</v>
      </c>
      <c r="B3140">
        <f>TEXT(A3140,"yyyy-mm")</f>
        <v/>
      </c>
      <c r="C3140" s="3">
        <f>HOUR(A3140)</f>
        <v/>
      </c>
      <c r="D3140" s="4" t="n">
        <v>23.358211481975</v>
      </c>
      <c r="E3140" s="4" t="n">
        <v>27.21786953636389</v>
      </c>
      <c r="F3140" s="4" t="n">
        <v>29.01375304816667</v>
      </c>
      <c r="G3140" s="4" t="n">
        <v>16.4</v>
      </c>
      <c r="H3140" s="5" t="n">
        <v>56.86937293827777</v>
      </c>
      <c r="I3140" s="5" t="n">
        <v>46.39512182338333</v>
      </c>
      <c r="J3140" s="5" t="n">
        <v>48.92836556996111</v>
      </c>
      <c r="K3140" s="5" t="n">
        <v>94</v>
      </c>
    </row>
    <row r="3141">
      <c r="A3141" s="2" t="n">
        <v>46228.25</v>
      </c>
      <c r="B3141">
        <f>TEXT(A3141,"yyyy-mm")</f>
        <v/>
      </c>
      <c r="C3141" s="3">
        <f>HOUR(A3141)</f>
        <v/>
      </c>
      <c r="D3141" s="4" t="n">
        <v>23.71712095183611</v>
      </c>
      <c r="E3141" s="4" t="n">
        <v>26.94946788635277</v>
      </c>
      <c r="F3141" s="4" t="n">
        <v>29.01380296826666</v>
      </c>
      <c r="G3141" s="4" t="n">
        <v>16.7</v>
      </c>
      <c r="H3141" s="5" t="n">
        <v>56.02633609411667</v>
      </c>
      <c r="I3141" s="5" t="n">
        <v>47.05286509209444</v>
      </c>
      <c r="J3141" s="5" t="n">
        <v>48.79366176353056</v>
      </c>
      <c r="K3141" s="5" t="n">
        <v>94</v>
      </c>
    </row>
    <row r="3142">
      <c r="A3142" s="2" t="n">
        <v>46228.29166666666</v>
      </c>
      <c r="B3142">
        <f>TEXT(A3142,"yyyy-mm")</f>
        <v/>
      </c>
      <c r="C3142" s="3">
        <f>HOUR(A3142)</f>
        <v/>
      </c>
      <c r="D3142" s="4" t="n">
        <v>24.21850590234445</v>
      </c>
      <c r="E3142" s="4" t="n">
        <v>26.69538579594445</v>
      </c>
      <c r="F3142" s="4" t="n">
        <v>29.01297221625833</v>
      </c>
      <c r="G3142" s="4" t="n">
        <v>17.9</v>
      </c>
      <c r="H3142" s="5" t="n">
        <v>54.39556991944167</v>
      </c>
      <c r="I3142" s="5" t="n">
        <v>47.35115955635278</v>
      </c>
      <c r="J3142" s="5" t="n">
        <v>48.63463118645277</v>
      </c>
      <c r="K3142" s="5" t="n">
        <v>90</v>
      </c>
    </row>
    <row r="3143">
      <c r="A3143" s="2" t="n">
        <v>46228.33333333334</v>
      </c>
      <c r="B3143">
        <f>TEXT(A3143,"yyyy-mm")</f>
        <v/>
      </c>
      <c r="C3143" s="3">
        <f>HOUR(A3143)</f>
        <v/>
      </c>
      <c r="D3143" s="4" t="n">
        <v>25.49717689520556</v>
      </c>
      <c r="E3143" s="4" t="n">
        <v>26.80038221529166</v>
      </c>
      <c r="F3143" s="4" t="n">
        <v>29.0117805772</v>
      </c>
      <c r="G3143" s="4" t="n">
        <v>19.3</v>
      </c>
      <c r="H3143" s="5" t="n">
        <v>52.20285285635277</v>
      </c>
      <c r="I3143" s="5" t="n">
        <v>48.27292421764444</v>
      </c>
      <c r="J3143" s="5" t="n">
        <v>48.67125768508611</v>
      </c>
      <c r="K3143" s="5" t="n">
        <v>83</v>
      </c>
    </row>
    <row r="3144">
      <c r="A3144" s="2" t="n">
        <v>46228.375</v>
      </c>
      <c r="B3144">
        <f>TEXT(A3144,"yyyy-mm")</f>
        <v/>
      </c>
      <c r="C3144" s="3">
        <f>HOUR(A3144)</f>
        <v/>
      </c>
      <c r="D3144" s="4" t="n">
        <v>25.745480858975</v>
      </c>
      <c r="E3144" s="4" t="n">
        <v>26.81323476369444</v>
      </c>
      <c r="F3144" s="4" t="n">
        <v>29.02508604010556</v>
      </c>
      <c r="G3144" s="4" t="n">
        <v>21.2</v>
      </c>
      <c r="H3144" s="5" t="n">
        <v>51.09999675936945</v>
      </c>
      <c r="I3144" s="5" t="n">
        <v>48.26360144019167</v>
      </c>
      <c r="J3144" s="5" t="n">
        <v>48.62540250135833</v>
      </c>
      <c r="K3144" s="5" t="n">
        <v>72</v>
      </c>
    </row>
    <row r="3145">
      <c r="A3145" s="2" t="n">
        <v>46228.41666666666</v>
      </c>
      <c r="B3145">
        <f>TEXT(A3145,"yyyy-mm")</f>
        <v/>
      </c>
      <c r="C3145" s="3">
        <f>HOUR(A3145)</f>
        <v/>
      </c>
      <c r="D3145" s="4" t="n">
        <v>25.86332331070952</v>
      </c>
      <c r="E3145" s="4" t="n">
        <v>26.79894448856191</v>
      </c>
      <c r="F3145" s="4" t="n">
        <v>29.0276188408</v>
      </c>
      <c r="G3145" s="4" t="n">
        <v>22.2</v>
      </c>
      <c r="H3145" s="5" t="n">
        <v>50.12354995932857</v>
      </c>
      <c r="I3145" s="5" t="n">
        <v>47.88691830210952</v>
      </c>
      <c r="J3145" s="5" t="n">
        <v>48.68339079740476</v>
      </c>
      <c r="K3145" s="5" t="n">
        <v>60</v>
      </c>
    </row>
    <row r="3146">
      <c r="A3146" s="2" t="n">
        <v>46228.45833333334</v>
      </c>
      <c r="B3146">
        <f>TEXT(A3146,"yyyy-mm")</f>
        <v/>
      </c>
      <c r="C3146" s="3">
        <f>HOUR(A3146)</f>
        <v/>
      </c>
      <c r="D3146" s="4" t="n"/>
      <c r="E3146" s="4" t="n"/>
      <c r="F3146" s="4" t="n"/>
      <c r="G3146" s="4" t="n">
        <v>22.6</v>
      </c>
      <c r="H3146" s="5" t="n"/>
      <c r="I3146" s="5" t="n"/>
      <c r="J3146" s="5" t="n"/>
      <c r="K3146" s="5" t="n">
        <v>56</v>
      </c>
    </row>
    <row r="3147">
      <c r="A3147" s="2" t="n">
        <v>46228.5</v>
      </c>
      <c r="B3147">
        <f>TEXT(A3147,"yyyy-mm")</f>
        <v/>
      </c>
      <c r="C3147" s="3">
        <f>HOUR(A3147)</f>
        <v/>
      </c>
      <c r="D3147" s="4" t="n"/>
      <c r="E3147" s="4" t="n"/>
      <c r="F3147" s="4" t="n"/>
      <c r="G3147" s="4" t="n">
        <v>23.3</v>
      </c>
      <c r="H3147" s="5" t="n"/>
      <c r="I3147" s="5" t="n"/>
      <c r="J3147" s="5" t="n"/>
      <c r="K3147" s="5" t="n">
        <v>55</v>
      </c>
    </row>
    <row r="3148">
      <c r="A3148" s="2" t="n">
        <v>46228.54166666666</v>
      </c>
      <c r="B3148">
        <f>TEXT(A3148,"yyyy-mm")</f>
        <v/>
      </c>
      <c r="C3148" s="3">
        <f>HOUR(A3148)</f>
        <v/>
      </c>
      <c r="D3148" s="4" t="n"/>
      <c r="E3148" s="4" t="n"/>
      <c r="F3148" s="4" t="n"/>
      <c r="G3148" s="4" t="n">
        <v>24</v>
      </c>
      <c r="H3148" s="5" t="n"/>
      <c r="I3148" s="5" t="n"/>
      <c r="J3148" s="5" t="n"/>
      <c r="K3148" s="5" t="n">
        <v>55</v>
      </c>
    </row>
    <row r="3149">
      <c r="A3149" s="2" t="n">
        <v>46228.58333333334</v>
      </c>
      <c r="B3149">
        <f>TEXT(A3149,"yyyy-mm")</f>
        <v/>
      </c>
      <c r="C3149" s="3">
        <f>HOUR(A3149)</f>
        <v/>
      </c>
      <c r="D3149" s="4" t="n"/>
      <c r="E3149" s="4" t="n"/>
      <c r="F3149" s="4" t="n"/>
      <c r="G3149" s="4" t="n">
        <v>24.4</v>
      </c>
      <c r="H3149" s="5" t="n"/>
      <c r="I3149" s="5" t="n"/>
      <c r="J3149" s="5" t="n"/>
      <c r="K3149" s="5" t="n">
        <v>54</v>
      </c>
    </row>
    <row r="3150">
      <c r="A3150" s="2" t="n">
        <v>46228.625</v>
      </c>
      <c r="B3150">
        <f>TEXT(A3150,"yyyy-mm")</f>
        <v/>
      </c>
      <c r="C3150" s="3">
        <f>HOUR(A3150)</f>
        <v/>
      </c>
      <c r="D3150" s="4" t="n"/>
      <c r="E3150" s="4" t="n"/>
      <c r="F3150" s="4" t="n"/>
      <c r="G3150" s="4" t="n">
        <v>24.9</v>
      </c>
      <c r="H3150" s="5" t="n"/>
      <c r="I3150" s="5" t="n"/>
      <c r="J3150" s="5" t="n"/>
      <c r="K3150" s="5" t="n">
        <v>52</v>
      </c>
    </row>
    <row r="3151">
      <c r="A3151" s="2" t="n">
        <v>46228.66666666666</v>
      </c>
      <c r="B3151">
        <f>TEXT(A3151,"yyyy-mm")</f>
        <v/>
      </c>
      <c r="C3151" s="3">
        <f>HOUR(A3151)</f>
        <v/>
      </c>
      <c r="D3151" s="4" t="n"/>
      <c r="E3151" s="4" t="n"/>
      <c r="F3151" s="4" t="n"/>
      <c r="G3151" s="4" t="n">
        <v>24.5</v>
      </c>
      <c r="H3151" s="5" t="n"/>
      <c r="I3151" s="5" t="n"/>
      <c r="J3151" s="5" t="n"/>
      <c r="K3151" s="5" t="n">
        <v>51</v>
      </c>
    </row>
    <row r="3152">
      <c r="A3152" s="2" t="n">
        <v>46228.70833333334</v>
      </c>
      <c r="B3152">
        <f>TEXT(A3152,"yyyy-mm")</f>
        <v/>
      </c>
      <c r="C3152" s="3">
        <f>HOUR(A3152)</f>
        <v/>
      </c>
      <c r="D3152" s="4" t="n"/>
      <c r="E3152" s="4" t="n"/>
      <c r="F3152" s="4" t="n"/>
      <c r="G3152" s="4" t="n">
        <v>24.5</v>
      </c>
      <c r="H3152" s="5" t="n"/>
      <c r="I3152" s="5" t="n"/>
      <c r="J3152" s="5" t="n"/>
      <c r="K3152" s="5" t="n">
        <v>50</v>
      </c>
    </row>
    <row r="3153">
      <c r="A3153" s="2" t="n">
        <v>46228.75</v>
      </c>
      <c r="B3153">
        <f>TEXT(A3153,"yyyy-mm")</f>
        <v/>
      </c>
      <c r="C3153" s="3">
        <f>HOUR(A3153)</f>
        <v/>
      </c>
      <c r="D3153" s="4" t="n"/>
      <c r="E3153" s="4" t="n"/>
      <c r="F3153" s="4" t="n"/>
      <c r="G3153" s="4" t="n">
        <v>23.7</v>
      </c>
      <c r="H3153" s="5" t="n"/>
      <c r="I3153" s="5" t="n"/>
      <c r="J3153" s="5" t="n"/>
      <c r="K3153" s="5" t="n">
        <v>54</v>
      </c>
    </row>
    <row r="3154">
      <c r="A3154" s="2" t="n">
        <v>46228.79166666666</v>
      </c>
      <c r="B3154">
        <f>TEXT(A3154,"yyyy-mm")</f>
        <v/>
      </c>
      <c r="C3154" s="3">
        <f>HOUR(A3154)</f>
        <v/>
      </c>
      <c r="D3154" s="4" t="n"/>
      <c r="E3154" s="4" t="n"/>
      <c r="F3154" s="4" t="n"/>
      <c r="G3154" s="4" t="n">
        <v>23</v>
      </c>
      <c r="H3154" s="5" t="n"/>
      <c r="I3154" s="5" t="n"/>
      <c r="J3154" s="5" t="n"/>
      <c r="K3154" s="5" t="n">
        <v>59</v>
      </c>
    </row>
    <row r="3155">
      <c r="A3155" s="2" t="n">
        <v>46228.83333333334</v>
      </c>
      <c r="B3155">
        <f>TEXT(A3155,"yyyy-mm")</f>
        <v/>
      </c>
      <c r="C3155" s="3">
        <f>HOUR(A3155)</f>
        <v/>
      </c>
      <c r="D3155" s="4" t="n">
        <v>25.10472836458012</v>
      </c>
      <c r="E3155" s="4" t="n">
        <v>26.47565655541032</v>
      </c>
      <c r="F3155" s="4" t="n">
        <v>27.86914686937667</v>
      </c>
      <c r="G3155" s="4" t="n">
        <v>21.7</v>
      </c>
      <c r="H3155" s="5" t="n">
        <v>50.42179795291895</v>
      </c>
      <c r="I3155" s="5" t="n">
        <v>46.97856937223981</v>
      </c>
      <c r="J3155" s="5" t="n">
        <v>49.06751787822238</v>
      </c>
      <c r="K3155" s="5" t="n">
        <v>65</v>
      </c>
    </row>
    <row r="3156">
      <c r="A3156" s="2" t="n">
        <v>46228.875</v>
      </c>
      <c r="B3156">
        <f>TEXT(A3156,"yyyy-mm")</f>
        <v/>
      </c>
      <c r="C3156" s="3">
        <f>HOUR(A3156)</f>
        <v/>
      </c>
      <c r="D3156" s="4" t="n">
        <v>25.22708413123334</v>
      </c>
      <c r="E3156" s="4" t="n">
        <v>26.69734668383333</v>
      </c>
      <c r="F3156" s="4" t="n">
        <v>27.4763608654</v>
      </c>
      <c r="G3156" s="4" t="n">
        <v>20.9</v>
      </c>
      <c r="H3156" s="5" t="n">
        <v>49.78112558281666</v>
      </c>
      <c r="I3156" s="5" t="n">
        <v>46.34796604228333</v>
      </c>
      <c r="J3156" s="5" t="n">
        <v>52.49264631631389</v>
      </c>
      <c r="K3156" s="5" t="n">
        <v>69</v>
      </c>
    </row>
    <row r="3157">
      <c r="A3157" s="2" t="n">
        <v>46228.91666666666</v>
      </c>
      <c r="B3157">
        <f>TEXT(A3157,"yyyy-mm")</f>
        <v/>
      </c>
      <c r="C3157" s="3">
        <f>HOUR(A3157)</f>
        <v/>
      </c>
      <c r="D3157" s="4" t="n">
        <v>25.08561369491112</v>
      </c>
      <c r="E3157" s="4" t="n">
        <v>26.59531124341111</v>
      </c>
      <c r="F3157" s="4" t="n">
        <v>27.23837306727778</v>
      </c>
      <c r="G3157" s="4" t="n">
        <v>20.4</v>
      </c>
      <c r="H3157" s="5" t="n">
        <v>50.66822836014722</v>
      </c>
      <c r="I3157" s="5" t="n">
        <v>46.94252971558055</v>
      </c>
      <c r="J3157" s="5" t="n">
        <v>53.15119557536945</v>
      </c>
      <c r="K3157" s="5" t="n">
        <v>71</v>
      </c>
    </row>
    <row r="3158">
      <c r="A3158" s="2" t="n">
        <v>46228.95833333334</v>
      </c>
      <c r="B3158">
        <f>TEXT(A3158,"yyyy-mm")</f>
        <v/>
      </c>
      <c r="C3158" s="3">
        <f>HOUR(A3158)</f>
        <v/>
      </c>
      <c r="D3158" s="4" t="n">
        <v>24.68663243853333</v>
      </c>
      <c r="E3158" s="4" t="n">
        <v>26.51064439790833</v>
      </c>
      <c r="F3158" s="4" t="n">
        <v>27.72710977625277</v>
      </c>
      <c r="G3158" s="4" t="n">
        <v>19.7</v>
      </c>
      <c r="H3158" s="5" t="n">
        <v>51.3720347811639</v>
      </c>
      <c r="I3158" s="5" t="n">
        <v>47.92625286549167</v>
      </c>
      <c r="J3158" s="5" t="n">
        <v>51.11720532155834</v>
      </c>
      <c r="K3158" s="5" t="n">
        <v>75</v>
      </c>
    </row>
    <row r="3159">
      <c r="A3159" s="2" t="n">
        <v>46229</v>
      </c>
      <c r="B3159">
        <f>TEXT(A3159,"yyyy-mm")</f>
        <v/>
      </c>
      <c r="C3159" s="3">
        <f>HOUR(A3159)</f>
        <v/>
      </c>
      <c r="D3159" s="4" t="n">
        <v>24.59142166893889</v>
      </c>
      <c r="E3159" s="4" t="n">
        <v>26.53460484881944</v>
      </c>
      <c r="F3159" s="4" t="n">
        <v>28.03754984732777</v>
      </c>
      <c r="G3159" s="4" t="n">
        <v>19</v>
      </c>
      <c r="H3159" s="5" t="n">
        <v>52.78338377172222</v>
      </c>
      <c r="I3159" s="5" t="n">
        <v>49.438726911575</v>
      </c>
      <c r="J3159" s="5" t="n">
        <v>50.32970507318333</v>
      </c>
      <c r="K3159" s="5" t="n">
        <v>78</v>
      </c>
    </row>
    <row r="3160">
      <c r="A3160" s="2" t="n">
        <v>46229.04166666666</v>
      </c>
      <c r="B3160">
        <f>TEXT(A3160,"yyyy-mm")</f>
        <v/>
      </c>
      <c r="C3160" s="3">
        <f>HOUR(A3160)</f>
        <v/>
      </c>
      <c r="D3160" s="4" t="n">
        <v>24.18074806322222</v>
      </c>
      <c r="E3160" s="4" t="n">
        <v>26.60180865686111</v>
      </c>
      <c r="F3160" s="4" t="n">
        <v>28.22378953245</v>
      </c>
      <c r="G3160" s="4" t="n">
        <v>18.5</v>
      </c>
      <c r="H3160" s="5" t="n">
        <v>52.602846750775</v>
      </c>
      <c r="I3160" s="5" t="n">
        <v>47.08070458492222</v>
      </c>
      <c r="J3160" s="5" t="n">
        <v>49.91651159416944</v>
      </c>
      <c r="K3160" s="5" t="n">
        <v>80</v>
      </c>
    </row>
    <row r="3161">
      <c r="A3161" s="2" t="n">
        <v>46229.08333333334</v>
      </c>
      <c r="B3161">
        <f>TEXT(A3161,"yyyy-mm")</f>
        <v/>
      </c>
      <c r="C3161" s="3">
        <f>HOUR(A3161)</f>
        <v/>
      </c>
      <c r="D3161" s="4" t="n">
        <v>23.68349852298056</v>
      </c>
      <c r="E3161" s="4" t="n">
        <v>26.52036007239167</v>
      </c>
      <c r="F3161" s="4" t="n">
        <v>28.33973301214722</v>
      </c>
      <c r="G3161" s="4" t="n">
        <v>18</v>
      </c>
      <c r="H3161" s="5" t="n">
        <v>54.96196852618055</v>
      </c>
      <c r="I3161" s="5" t="n">
        <v>47.43587679605</v>
      </c>
      <c r="J3161" s="5" t="n">
        <v>49.61657009319444</v>
      </c>
      <c r="K3161" s="5" t="n">
        <v>82</v>
      </c>
    </row>
    <row r="3162">
      <c r="A3162" s="2" t="n">
        <v>46229.125</v>
      </c>
      <c r="B3162">
        <f>TEXT(A3162,"yyyy-mm")</f>
        <v/>
      </c>
      <c r="C3162" s="3">
        <f>HOUR(A3162)</f>
        <v/>
      </c>
      <c r="D3162" s="4" t="n">
        <v>23.15250658193056</v>
      </c>
      <c r="E3162" s="4" t="n">
        <v>26.21066462326945</v>
      </c>
      <c r="F3162" s="4" t="n">
        <v>28.40538093728611</v>
      </c>
      <c r="G3162" s="4" t="n">
        <v>17.3</v>
      </c>
      <c r="H3162" s="5" t="n">
        <v>57.30374558535556</v>
      </c>
      <c r="I3162" s="5" t="n">
        <v>48.68501376589445</v>
      </c>
      <c r="J3162" s="5" t="n">
        <v>49.53998131624444</v>
      </c>
      <c r="K3162" s="5" t="n">
        <v>87</v>
      </c>
    </row>
    <row r="3163">
      <c r="A3163" s="2" t="n">
        <v>46229.16666666666</v>
      </c>
      <c r="B3163">
        <f>TEXT(A3163,"yyyy-mm")</f>
        <v/>
      </c>
      <c r="C3163" s="3">
        <f>HOUR(A3163)</f>
        <v/>
      </c>
      <c r="D3163" s="4" t="n">
        <v>23.08345328181666</v>
      </c>
      <c r="E3163" s="4" t="n">
        <v>26.15871343190278</v>
      </c>
      <c r="F3163" s="4" t="n">
        <v>28.44646362361389</v>
      </c>
      <c r="G3163" s="4" t="n">
        <v>16.8</v>
      </c>
      <c r="H3163" s="5" t="n">
        <v>57.19683790017501</v>
      </c>
      <c r="I3163" s="5" t="n">
        <v>48.64971021465001</v>
      </c>
      <c r="J3163" s="5" t="n">
        <v>49.43968151628889</v>
      </c>
      <c r="K3163" s="5" t="n">
        <v>89</v>
      </c>
    </row>
    <row r="3164">
      <c r="A3164" s="2" t="n">
        <v>46229.20833333334</v>
      </c>
      <c r="B3164">
        <f>TEXT(A3164,"yyyy-mm")</f>
        <v/>
      </c>
      <c r="C3164" s="3">
        <f>HOUR(A3164)</f>
        <v/>
      </c>
      <c r="D3164" s="4" t="n">
        <v>22.85375028731944</v>
      </c>
      <c r="E3164" s="4" t="n">
        <v>26.13190047093333</v>
      </c>
      <c r="F3164" s="4" t="n">
        <v>28.48200068088333</v>
      </c>
      <c r="G3164" s="4" t="n">
        <v>16.7</v>
      </c>
      <c r="H3164" s="5" t="n">
        <v>58.04482325278611</v>
      </c>
      <c r="I3164" s="5" t="n">
        <v>48.82282128659167</v>
      </c>
      <c r="J3164" s="5" t="n">
        <v>49.36443461802778</v>
      </c>
      <c r="K3164" s="5" t="n">
        <v>90</v>
      </c>
    </row>
    <row r="3165">
      <c r="A3165" s="2" t="n">
        <v>46229.25</v>
      </c>
      <c r="B3165">
        <f>TEXT(A3165,"yyyy-mm")</f>
        <v/>
      </c>
      <c r="C3165" s="3">
        <f>HOUR(A3165)</f>
        <v/>
      </c>
      <c r="D3165" s="4" t="n">
        <v>22.91429975351389</v>
      </c>
      <c r="E3165" s="4" t="n">
        <v>26.07226116281666</v>
      </c>
      <c r="F3165" s="4" t="n">
        <v>28.51050944537777</v>
      </c>
      <c r="G3165" s="4" t="n">
        <v>17.1</v>
      </c>
      <c r="H3165" s="5" t="n">
        <v>58.07710574589722</v>
      </c>
      <c r="I3165" s="5" t="n">
        <v>48.84054280033612</v>
      </c>
      <c r="J3165" s="5" t="n">
        <v>49.31561143858889</v>
      </c>
      <c r="K3165" s="5" t="n">
        <v>89</v>
      </c>
    </row>
    <row r="3166">
      <c r="A3166" s="2" t="n">
        <v>46229.29166666666</v>
      </c>
      <c r="B3166">
        <f>TEXT(A3166,"yyyy-mm")</f>
        <v/>
      </c>
      <c r="C3166" s="3">
        <f>HOUR(A3166)</f>
        <v/>
      </c>
      <c r="D3166" s="4" t="n">
        <v>23.09691264841666</v>
      </c>
      <c r="E3166" s="4" t="n">
        <v>26.04157534012778</v>
      </c>
      <c r="F3166" s="4" t="n">
        <v>28.52779696783889</v>
      </c>
      <c r="G3166" s="4" t="n">
        <v>17.8</v>
      </c>
      <c r="H3166" s="5" t="n">
        <v>58.57033339946945</v>
      </c>
      <c r="I3166" s="5" t="n">
        <v>49.681513930775</v>
      </c>
      <c r="J3166" s="5" t="n">
        <v>49.36134317610833</v>
      </c>
      <c r="K3166" s="5" t="n">
        <v>88</v>
      </c>
    </row>
    <row r="3167">
      <c r="A3167" s="2" t="n">
        <v>46229.33333333334</v>
      </c>
      <c r="B3167">
        <f>TEXT(A3167,"yyyy-mm")</f>
        <v/>
      </c>
      <c r="C3167" s="3">
        <f>HOUR(A3167)</f>
        <v/>
      </c>
      <c r="D3167" s="4" t="n">
        <v>23.442478809275</v>
      </c>
      <c r="E3167" s="4" t="n">
        <v>26.18995811748889</v>
      </c>
      <c r="F3167" s="4" t="n">
        <v>28.54458377394722</v>
      </c>
      <c r="G3167" s="4" t="n">
        <v>18.9</v>
      </c>
      <c r="H3167" s="5" t="n">
        <v>57.83984801610833</v>
      </c>
      <c r="I3167" s="5" t="n">
        <v>49.73518067296666</v>
      </c>
      <c r="J3167" s="5" t="n">
        <v>49.23905948054722</v>
      </c>
      <c r="K3167" s="5" t="n">
        <v>83</v>
      </c>
    </row>
    <row r="3168">
      <c r="A3168" s="2" t="n">
        <v>46229.375</v>
      </c>
      <c r="B3168">
        <f>TEXT(A3168,"yyyy-mm")</f>
        <v/>
      </c>
      <c r="C3168" s="3">
        <f>HOUR(A3168)</f>
        <v/>
      </c>
      <c r="D3168" s="4" t="n">
        <v>24.12571686097778</v>
      </c>
      <c r="E3168" s="4" t="n">
        <v>26.37037887586667</v>
      </c>
      <c r="F3168" s="4" t="n">
        <v>28.58116763553056</v>
      </c>
      <c r="G3168" s="4" t="n">
        <v>19.8</v>
      </c>
      <c r="H3168" s="5" t="n">
        <v>52.76493234609166</v>
      </c>
      <c r="I3168" s="5" t="n">
        <v>48.04899600285833</v>
      </c>
      <c r="J3168" s="5" t="n">
        <v>49.05389231202778</v>
      </c>
      <c r="K3168" s="5" t="n">
        <v>80</v>
      </c>
    </row>
    <row r="3169">
      <c r="A3169" s="2" t="n">
        <v>46229.41666666666</v>
      </c>
      <c r="B3169">
        <f>TEXT(A3169,"yyyy-mm")</f>
        <v/>
      </c>
      <c r="C3169" s="3">
        <f>HOUR(A3169)</f>
        <v/>
      </c>
      <c r="D3169" s="4" t="n">
        <v>25.07333977560278</v>
      </c>
      <c r="E3169" s="4" t="n">
        <v>26.32450729231667</v>
      </c>
      <c r="F3169" s="4" t="n">
        <v>28.59659245719722</v>
      </c>
      <c r="G3169" s="4" t="n">
        <v>21.3</v>
      </c>
      <c r="H3169" s="5" t="n">
        <v>48.22125570862222</v>
      </c>
      <c r="I3169" s="5" t="n">
        <v>46.60525146763612</v>
      </c>
      <c r="J3169" s="5" t="n">
        <v>48.78627890259444</v>
      </c>
      <c r="K3169" s="5" t="n">
        <v>69</v>
      </c>
    </row>
    <row r="3170">
      <c r="A3170" s="2" t="n">
        <v>46229.45833333334</v>
      </c>
      <c r="B3170">
        <f>TEXT(A3170,"yyyy-mm")</f>
        <v/>
      </c>
      <c r="C3170" s="3">
        <f>HOUR(A3170)</f>
        <v/>
      </c>
      <c r="D3170" s="4" t="n">
        <v>24.94367389448889</v>
      </c>
      <c r="E3170" s="4" t="n">
        <v>26.35927231298056</v>
      </c>
      <c r="F3170" s="4" t="n">
        <v>28.60915798664722</v>
      </c>
      <c r="G3170" s="4" t="n">
        <v>22.2</v>
      </c>
      <c r="H3170" s="5" t="n">
        <v>48.69690528633333</v>
      </c>
      <c r="I3170" s="5" t="n">
        <v>46.37504153804445</v>
      </c>
      <c r="J3170" s="5" t="n">
        <v>48.57471676632778</v>
      </c>
      <c r="K3170" s="5" t="n">
        <v>61</v>
      </c>
    </row>
    <row r="3171">
      <c r="A3171" s="2" t="n">
        <v>46229.5</v>
      </c>
      <c r="B3171">
        <f>TEXT(A3171,"yyyy-mm")</f>
        <v/>
      </c>
      <c r="C3171" s="3">
        <f>HOUR(A3171)</f>
        <v/>
      </c>
      <c r="D3171" s="4" t="n">
        <v>25.17877438722778</v>
      </c>
      <c r="E3171" s="4" t="n">
        <v>26.86941409112222</v>
      </c>
      <c r="F3171" s="4" t="n">
        <v>28.626528581425</v>
      </c>
      <c r="G3171" s="4" t="n">
        <v>22.6</v>
      </c>
      <c r="H3171" s="5" t="n">
        <v>47.86380336319723</v>
      </c>
      <c r="I3171" s="5" t="n">
        <v>45.92178236035</v>
      </c>
      <c r="J3171" s="5" t="n">
        <v>48.44842177776667</v>
      </c>
      <c r="K3171" s="5" t="n">
        <v>54</v>
      </c>
    </row>
    <row r="3172">
      <c r="A3172" s="2" t="n">
        <v>46229.54166666666</v>
      </c>
      <c r="B3172">
        <f>TEXT(A3172,"yyyy-mm")</f>
        <v/>
      </c>
      <c r="C3172" s="3">
        <f>HOUR(A3172)</f>
        <v/>
      </c>
      <c r="D3172" s="4" t="n">
        <v>25.52686210686944</v>
      </c>
      <c r="E3172" s="4" t="n">
        <v>26.98556305808056</v>
      </c>
      <c r="F3172" s="4" t="n">
        <v>28.64666659373611</v>
      </c>
      <c r="G3172" s="4" t="n">
        <v>22.8</v>
      </c>
      <c r="H3172" s="5" t="n">
        <v>47.47351739445833</v>
      </c>
      <c r="I3172" s="5" t="n">
        <v>45.87856855601945</v>
      </c>
      <c r="J3172" s="5" t="n">
        <v>48.45299286307778</v>
      </c>
      <c r="K3172" s="5" t="n">
        <v>54</v>
      </c>
    </row>
    <row r="3173">
      <c r="A3173" s="2" t="n">
        <v>46229.58333333334</v>
      </c>
      <c r="B3173">
        <f>TEXT(A3173,"yyyy-mm")</f>
        <v/>
      </c>
      <c r="C3173" s="3">
        <f>HOUR(A3173)</f>
        <v/>
      </c>
      <c r="D3173" s="4" t="n">
        <v>25.82057291961111</v>
      </c>
      <c r="E3173" s="4" t="n">
        <v>27.24473510552778</v>
      </c>
      <c r="F3173" s="4" t="n">
        <v>28.65841755745833</v>
      </c>
      <c r="G3173" s="4" t="n">
        <v>22.8</v>
      </c>
      <c r="H3173" s="5" t="n">
        <v>46.33310633938056</v>
      </c>
      <c r="I3173" s="5" t="n">
        <v>45.66891195944167</v>
      </c>
      <c r="J3173" s="5" t="n">
        <v>48.42848487253056</v>
      </c>
      <c r="K3173" s="5" t="n">
        <v>55</v>
      </c>
    </row>
    <row r="3174">
      <c r="A3174" s="2" t="n">
        <v>46229.625</v>
      </c>
      <c r="B3174">
        <f>TEXT(A3174,"yyyy-mm")</f>
        <v/>
      </c>
      <c r="C3174" s="3">
        <f>HOUR(A3174)</f>
        <v/>
      </c>
      <c r="D3174" s="4" t="n">
        <v>25.87592397020833</v>
      </c>
      <c r="E3174" s="4" t="n">
        <v>27.35803419891389</v>
      </c>
      <c r="F3174" s="4" t="n">
        <v>28.58310651491111</v>
      </c>
      <c r="G3174" s="4" t="n">
        <v>23.5</v>
      </c>
      <c r="H3174" s="5" t="n">
        <v>45.80427067463888</v>
      </c>
      <c r="I3174" s="5" t="n">
        <v>45.16825171627222</v>
      </c>
      <c r="J3174" s="5" t="n">
        <v>48.91857003537222</v>
      </c>
      <c r="K3174" s="5" t="n">
        <v>56</v>
      </c>
    </row>
    <row r="3175">
      <c r="A3175" s="2" t="n">
        <v>46229.66666666666</v>
      </c>
      <c r="B3175">
        <f>TEXT(A3175,"yyyy-mm")</f>
        <v/>
      </c>
      <c r="C3175" s="3">
        <f>HOUR(A3175)</f>
        <v/>
      </c>
      <c r="D3175" s="4" t="n">
        <v>26.08964900671389</v>
      </c>
      <c r="E3175" s="4" t="n">
        <v>27.42343548723055</v>
      </c>
      <c r="F3175" s="4" t="n">
        <v>28.089850450575</v>
      </c>
      <c r="G3175" s="4" t="n">
        <v>23.8</v>
      </c>
      <c r="H3175" s="5" t="n">
        <v>42.711574482925</v>
      </c>
      <c r="I3175" s="5" t="n">
        <v>42.73749051298611</v>
      </c>
      <c r="J3175" s="5" t="n">
        <v>48.99582524321666</v>
      </c>
      <c r="K3175" s="5" t="n">
        <v>55</v>
      </c>
    </row>
    <row r="3176">
      <c r="A3176" s="2" t="n">
        <v>46229.70833333334</v>
      </c>
      <c r="B3176">
        <f>TEXT(A3176,"yyyy-mm")</f>
        <v/>
      </c>
      <c r="C3176" s="3">
        <f>HOUR(A3176)</f>
        <v/>
      </c>
      <c r="D3176" s="4" t="n">
        <v>26.00653144326944</v>
      </c>
      <c r="E3176" s="4" t="n">
        <v>27.44203800889722</v>
      </c>
      <c r="F3176" s="4" t="n">
        <v>28.28306875460556</v>
      </c>
      <c r="G3176" s="4" t="n">
        <v>24.2</v>
      </c>
      <c r="H3176" s="5" t="n">
        <v>44.02715992956945</v>
      </c>
      <c r="I3176" s="5" t="n">
        <v>43.11787861575556</v>
      </c>
      <c r="J3176" s="5" t="n">
        <v>48.81492153089444</v>
      </c>
      <c r="K3176" s="5" t="n">
        <v>52</v>
      </c>
    </row>
    <row r="3177">
      <c r="A3177" s="2" t="n">
        <v>46229.75</v>
      </c>
      <c r="B3177">
        <f>TEXT(A3177,"yyyy-mm")</f>
        <v/>
      </c>
      <c r="C3177" s="3">
        <f>HOUR(A3177)</f>
        <v/>
      </c>
      <c r="D3177" s="4" t="n">
        <v>25.91329317430833</v>
      </c>
      <c r="E3177" s="4" t="n">
        <v>27.3481129283</v>
      </c>
      <c r="F3177" s="4" t="n">
        <v>28.49356159053333</v>
      </c>
      <c r="G3177" s="4" t="n">
        <v>23.9</v>
      </c>
      <c r="H3177" s="5" t="n">
        <v>45.00087195556667</v>
      </c>
      <c r="I3177" s="5" t="n">
        <v>44.01527425792222</v>
      </c>
      <c r="J3177" s="5" t="n">
        <v>48.51827529886944</v>
      </c>
      <c r="K3177" s="5" t="n">
        <v>52</v>
      </c>
    </row>
    <row r="3178">
      <c r="A3178" s="2" t="n">
        <v>46229.79166666666</v>
      </c>
      <c r="B3178">
        <f>TEXT(A3178,"yyyy-mm")</f>
        <v/>
      </c>
      <c r="C3178" s="3">
        <f>HOUR(A3178)</f>
        <v/>
      </c>
      <c r="D3178" s="4" t="n">
        <v>25.59521399482222</v>
      </c>
      <c r="E3178" s="4" t="n">
        <v>27.50158045639722</v>
      </c>
      <c r="F3178" s="4" t="n">
        <v>28.48315725966944</v>
      </c>
      <c r="G3178" s="4" t="n">
        <v>23.1</v>
      </c>
      <c r="H3178" s="5" t="n">
        <v>45.74045312486666</v>
      </c>
      <c r="I3178" s="5" t="n">
        <v>43.69948207421945</v>
      </c>
      <c r="J3178" s="5" t="n">
        <v>49.19698248176945</v>
      </c>
      <c r="K3178" s="5" t="n">
        <v>59</v>
      </c>
    </row>
    <row r="3179">
      <c r="A3179" s="2" t="n">
        <v>46229.83333333334</v>
      </c>
      <c r="B3179">
        <f>TEXT(A3179,"yyyy-mm")</f>
        <v/>
      </c>
      <c r="C3179" s="3">
        <f>HOUR(A3179)</f>
        <v/>
      </c>
      <c r="D3179" s="4" t="n">
        <v>25.27921960657778</v>
      </c>
      <c r="E3179" s="4" t="n">
        <v>27.11316056125</v>
      </c>
      <c r="F3179" s="4" t="n">
        <v>28.53959541945556</v>
      </c>
      <c r="G3179" s="4" t="n">
        <v>21.5</v>
      </c>
      <c r="H3179" s="5" t="n">
        <v>46.24372737011667</v>
      </c>
      <c r="I3179" s="5" t="n">
        <v>44.29453515674444</v>
      </c>
      <c r="J3179" s="5" t="n">
        <v>48.97237774984723</v>
      </c>
      <c r="K3179" s="5" t="n">
        <v>68</v>
      </c>
    </row>
    <row r="3180">
      <c r="A3180" s="2" t="n">
        <v>46229.875</v>
      </c>
      <c r="B3180">
        <f>TEXT(A3180,"yyyy-mm")</f>
        <v/>
      </c>
      <c r="C3180" s="3">
        <f>HOUR(A3180)</f>
        <v/>
      </c>
      <c r="D3180" s="4" t="n">
        <v>24.60096087849722</v>
      </c>
      <c r="E3180" s="4" t="n">
        <v>27.57392328265277</v>
      </c>
      <c r="F3180" s="4" t="n">
        <v>28.19400106500278</v>
      </c>
      <c r="G3180" s="4" t="n">
        <v>20.1</v>
      </c>
      <c r="H3180" s="5" t="n">
        <v>49.58224480074722</v>
      </c>
      <c r="I3180" s="5" t="n">
        <v>44.56377949066945</v>
      </c>
      <c r="J3180" s="5" t="n">
        <v>49.56547500246389</v>
      </c>
      <c r="K3180" s="5" t="n">
        <v>73</v>
      </c>
    </row>
    <row r="3181">
      <c r="A3181" s="2" t="n">
        <v>46229.91666666666</v>
      </c>
      <c r="B3181">
        <f>TEXT(A3181,"yyyy-mm")</f>
        <v/>
      </c>
      <c r="C3181" s="3">
        <f>HOUR(A3181)</f>
        <v/>
      </c>
      <c r="D3181" s="4" t="n">
        <v>23.96313269974445</v>
      </c>
      <c r="E3181" s="4" t="n">
        <v>27.32112835463611</v>
      </c>
      <c r="F3181" s="4" t="n">
        <v>28.53415526544722</v>
      </c>
      <c r="G3181" s="4" t="n">
        <v>19.2</v>
      </c>
      <c r="H3181" s="5" t="n">
        <v>51.03288254093334</v>
      </c>
      <c r="I3181" s="5" t="n">
        <v>44.40168998724722</v>
      </c>
      <c r="J3181" s="5" t="n">
        <v>48.92214791563055</v>
      </c>
      <c r="K3181" s="5" t="n">
        <v>78</v>
      </c>
    </row>
    <row r="3182">
      <c r="A3182" s="2" t="n">
        <v>46229.95833333334</v>
      </c>
      <c r="B3182">
        <f>TEXT(A3182,"yyyy-mm")</f>
        <v/>
      </c>
      <c r="C3182" s="3">
        <f>HOUR(A3182)</f>
        <v/>
      </c>
      <c r="D3182" s="4" t="n">
        <v>23.72339478775</v>
      </c>
      <c r="E3182" s="4" t="n">
        <v>27.28399044483889</v>
      </c>
      <c r="F3182" s="4" t="n">
        <v>28.65292797694723</v>
      </c>
      <c r="G3182" s="4" t="n">
        <v>18.4</v>
      </c>
      <c r="H3182" s="5" t="n">
        <v>51.76915920199445</v>
      </c>
      <c r="I3182" s="5" t="n">
        <v>43.83446603930555</v>
      </c>
      <c r="J3182" s="5" t="n">
        <v>48.61544263000278</v>
      </c>
      <c r="K3182" s="5" t="n">
        <v>82</v>
      </c>
    </row>
    <row r="3183">
      <c r="A3183" s="2" t="n">
        <v>46230</v>
      </c>
      <c r="B3183">
        <f>TEXT(A3183,"yyyy-mm")</f>
        <v/>
      </c>
      <c r="C3183" s="3">
        <f>HOUR(A3183)</f>
        <v/>
      </c>
      <c r="D3183" s="4" t="n">
        <v>23.5800625482</v>
      </c>
      <c r="E3183" s="4" t="n">
        <v>27.19694239275277</v>
      </c>
      <c r="F3183" s="4" t="n">
        <v>28.624046858375</v>
      </c>
      <c r="G3183" s="4" t="n">
        <v>17.7</v>
      </c>
      <c r="H3183" s="5" t="n">
        <v>52.23196166816667</v>
      </c>
      <c r="I3183" s="5" t="n">
        <v>44.86366183092222</v>
      </c>
      <c r="J3183" s="5" t="n">
        <v>48.6913458779</v>
      </c>
      <c r="K3183" s="5" t="n">
        <v>86</v>
      </c>
    </row>
    <row r="3184">
      <c r="A3184" s="2" t="n">
        <v>46230.04166666666</v>
      </c>
      <c r="B3184">
        <f>TEXT(A3184,"yyyy-mm")</f>
        <v/>
      </c>
      <c r="C3184" s="3">
        <f>HOUR(A3184)</f>
        <v/>
      </c>
      <c r="D3184" s="4" t="n">
        <v>23.31338359360556</v>
      </c>
      <c r="E3184" s="4" t="n">
        <v>27.13645668018056</v>
      </c>
      <c r="F3184" s="4" t="n">
        <v>28.72213216828611</v>
      </c>
      <c r="G3184" s="4" t="n">
        <v>17.2</v>
      </c>
      <c r="H3184" s="5" t="n">
        <v>52.91900823443333</v>
      </c>
      <c r="I3184" s="5" t="n">
        <v>44.47727233224445</v>
      </c>
      <c r="J3184" s="5" t="n">
        <v>48.54205300070277</v>
      </c>
      <c r="K3184" s="5" t="n">
        <v>87</v>
      </c>
    </row>
    <row r="3185">
      <c r="A3185" s="2" t="n">
        <v>46230.08333333334</v>
      </c>
      <c r="B3185">
        <f>TEXT(A3185,"yyyy-mm")</f>
        <v/>
      </c>
      <c r="C3185" s="3">
        <f>HOUR(A3185)</f>
        <v/>
      </c>
      <c r="D3185" s="4" t="n">
        <v>23.12061175416666</v>
      </c>
      <c r="E3185" s="4" t="n">
        <v>26.83677918896666</v>
      </c>
      <c r="F3185" s="4" t="n">
        <v>28.77947323168611</v>
      </c>
      <c r="G3185" s="4" t="n">
        <v>16.5</v>
      </c>
      <c r="H3185" s="5" t="n">
        <v>53.543111788675</v>
      </c>
      <c r="I3185" s="5" t="n">
        <v>44.47834755389723</v>
      </c>
      <c r="J3185" s="5" t="n">
        <v>48.44913457819167</v>
      </c>
      <c r="K3185" s="5" t="n">
        <v>90</v>
      </c>
    </row>
    <row r="3186">
      <c r="A3186" s="2" t="n">
        <v>46230.125</v>
      </c>
      <c r="B3186">
        <f>TEXT(A3186,"yyyy-mm")</f>
        <v/>
      </c>
      <c r="C3186" s="3">
        <f>HOUR(A3186)</f>
        <v/>
      </c>
      <c r="D3186" s="4" t="n">
        <v>22.53841596126945</v>
      </c>
      <c r="E3186" s="4" t="n">
        <v>26.38138705379444</v>
      </c>
      <c r="F3186" s="4" t="n">
        <v>28.825806421725</v>
      </c>
      <c r="G3186" s="4" t="n">
        <v>16</v>
      </c>
      <c r="H3186" s="5" t="n">
        <v>54.48552637613611</v>
      </c>
      <c r="I3186" s="5" t="n">
        <v>44.82870708270556</v>
      </c>
      <c r="J3186" s="5" t="n">
        <v>48.32242700853055</v>
      </c>
      <c r="K3186" s="5" t="n">
        <v>90</v>
      </c>
    </row>
    <row r="3187">
      <c r="A3187" s="2" t="n">
        <v>46230.16666666666</v>
      </c>
      <c r="B3187">
        <f>TEXT(A3187,"yyyy-mm")</f>
        <v/>
      </c>
      <c r="C3187" s="3">
        <f>HOUR(A3187)</f>
        <v/>
      </c>
      <c r="D3187" s="4" t="n">
        <v>22.56745463353611</v>
      </c>
      <c r="E3187" s="4" t="n">
        <v>26.11655983817778</v>
      </c>
      <c r="F3187" s="4" t="n">
        <v>28.85314032565278</v>
      </c>
      <c r="G3187" s="4" t="n">
        <v>15.7</v>
      </c>
      <c r="H3187" s="5" t="n">
        <v>53.98025503769446</v>
      </c>
      <c r="I3187" s="5" t="n">
        <v>44.85737589641667</v>
      </c>
      <c r="J3187" s="5" t="n">
        <v>48.12911241247223</v>
      </c>
      <c r="K3187" s="5" t="n">
        <v>89</v>
      </c>
    </row>
    <row r="3188">
      <c r="A3188" s="2" t="n">
        <v>46230.20833333334</v>
      </c>
      <c r="B3188">
        <f>TEXT(A3188,"yyyy-mm")</f>
        <v/>
      </c>
      <c r="C3188" s="3">
        <f>HOUR(A3188)</f>
        <v/>
      </c>
      <c r="D3188" s="4" t="n">
        <v>22.83847917055278</v>
      </c>
      <c r="E3188" s="4" t="n">
        <v>26.09561653916389</v>
      </c>
      <c r="F3188" s="4" t="n">
        <v>28.87107440254722</v>
      </c>
      <c r="G3188" s="4" t="n">
        <v>15.5</v>
      </c>
      <c r="H3188" s="5" t="n">
        <v>52.74333774624167</v>
      </c>
      <c r="I3188" s="5" t="n">
        <v>44.70090976501945</v>
      </c>
      <c r="J3188" s="5" t="n">
        <v>47.97605893610278</v>
      </c>
      <c r="K3188" s="5" t="n">
        <v>89</v>
      </c>
    </row>
    <row r="3189">
      <c r="A3189" s="2" t="n">
        <v>46230.25</v>
      </c>
      <c r="B3189">
        <f>TEXT(A3189,"yyyy-mm")</f>
        <v/>
      </c>
      <c r="C3189" s="3">
        <f>HOUR(A3189)</f>
        <v/>
      </c>
      <c r="D3189" s="4" t="n">
        <v>24.09913530956666</v>
      </c>
      <c r="E3189" s="4" t="n">
        <v>26.28457346671389</v>
      </c>
      <c r="F3189" s="4" t="n">
        <v>28.88331719839167</v>
      </c>
      <c r="G3189" s="4" t="n">
        <v>16.1</v>
      </c>
      <c r="H3189" s="5" t="n">
        <v>48.76442129535834</v>
      </c>
      <c r="I3189" s="5" t="n">
        <v>44.27237233894721</v>
      </c>
      <c r="J3189" s="5" t="n">
        <v>47.83874657485278</v>
      </c>
      <c r="K3189" s="5" t="n">
        <v>87</v>
      </c>
    </row>
    <row r="3190">
      <c r="A3190" s="2" t="n">
        <v>46230.29166666666</v>
      </c>
      <c r="B3190">
        <f>TEXT(A3190,"yyyy-mm")</f>
        <v/>
      </c>
      <c r="C3190" s="3">
        <f>HOUR(A3190)</f>
        <v/>
      </c>
      <c r="D3190" s="4" t="n">
        <v>25.34081165363889</v>
      </c>
      <c r="E3190" s="4" t="n">
        <v>26.860106461925</v>
      </c>
      <c r="F3190" s="4" t="n">
        <v>28.91876179208056</v>
      </c>
      <c r="G3190" s="4" t="n">
        <v>17.7</v>
      </c>
      <c r="H3190" s="5" t="n">
        <v>46.02011198760834</v>
      </c>
      <c r="I3190" s="5" t="n">
        <v>43.68582257067778</v>
      </c>
      <c r="J3190" s="5" t="n">
        <v>47.78475030861389</v>
      </c>
      <c r="K3190" s="5" t="n">
        <v>83</v>
      </c>
    </row>
    <row r="3191">
      <c r="A3191" s="2" t="n">
        <v>46230.33333333334</v>
      </c>
      <c r="B3191">
        <f>TEXT(A3191,"yyyy-mm")</f>
        <v/>
      </c>
      <c r="C3191" s="3">
        <f>HOUR(A3191)</f>
        <v/>
      </c>
      <c r="D3191" s="4" t="n">
        <v>26.27110715348056</v>
      </c>
      <c r="E3191" s="4" t="n">
        <v>27.66565480835555</v>
      </c>
      <c r="F3191" s="4" t="n">
        <v>28.96847344035556</v>
      </c>
      <c r="G3191" s="4" t="n">
        <v>19.9</v>
      </c>
      <c r="H3191" s="5" t="n">
        <v>45.87379998295833</v>
      </c>
      <c r="I3191" s="5" t="n">
        <v>43.13390191425278</v>
      </c>
      <c r="J3191" s="5" t="n">
        <v>47.79553608556389</v>
      </c>
      <c r="K3191" s="5" t="n">
        <v>77</v>
      </c>
    </row>
    <row r="3192">
      <c r="A3192" s="2" t="n">
        <v>46230.375</v>
      </c>
      <c r="B3192">
        <f>TEXT(A3192,"yyyy-mm")</f>
        <v/>
      </c>
      <c r="C3192" s="3">
        <f>HOUR(A3192)</f>
        <v/>
      </c>
      <c r="D3192" s="4" t="n">
        <v>26.87133477786111</v>
      </c>
      <c r="E3192" s="4" t="n">
        <v>28.50640839981111</v>
      </c>
      <c r="F3192" s="4" t="n">
        <v>28.98291723427222</v>
      </c>
      <c r="G3192" s="4" t="n">
        <v>22.4</v>
      </c>
      <c r="H3192" s="5" t="n">
        <v>44.86409594541944</v>
      </c>
      <c r="I3192" s="5" t="n">
        <v>41.44568129622223</v>
      </c>
      <c r="J3192" s="5" t="n">
        <v>47.75435818562778</v>
      </c>
      <c r="K3192" s="5" t="n">
        <v>67</v>
      </c>
    </row>
    <row r="3193">
      <c r="A3193" s="2" t="n">
        <v>46230.41666666666</v>
      </c>
      <c r="B3193">
        <f>TEXT(A3193,"yyyy-mm")</f>
        <v/>
      </c>
      <c r="C3193" s="3">
        <f>HOUR(A3193)</f>
        <v/>
      </c>
      <c r="D3193" s="4" t="n">
        <v>27.0546074672</v>
      </c>
      <c r="E3193" s="4" t="n">
        <v>28.58322191386389</v>
      </c>
      <c r="F3193" s="4" t="n">
        <v>28.97859191600278</v>
      </c>
      <c r="G3193" s="4" t="n">
        <v>24.1</v>
      </c>
      <c r="H3193" s="5" t="n">
        <v>42.672728582225</v>
      </c>
      <c r="I3193" s="5" t="n">
        <v>40.22988700150833</v>
      </c>
      <c r="J3193" s="5" t="n">
        <v>47.67644209444722</v>
      </c>
      <c r="K3193" s="5" t="n">
        <v>56</v>
      </c>
    </row>
    <row r="3194">
      <c r="A3194" s="2" t="n">
        <v>46230.45833333334</v>
      </c>
      <c r="B3194">
        <f>TEXT(A3194,"yyyy-mm")</f>
        <v/>
      </c>
      <c r="C3194" s="3">
        <f>HOUR(A3194)</f>
        <v/>
      </c>
      <c r="D3194" s="4" t="n">
        <v>27.07416769378333</v>
      </c>
      <c r="E3194" s="4" t="n">
        <v>28.61374604926388</v>
      </c>
      <c r="F3194" s="4" t="n">
        <v>28.97002965624445</v>
      </c>
      <c r="G3194" s="4" t="n">
        <v>25</v>
      </c>
      <c r="H3194" s="5" t="n">
        <v>40.05037671173888</v>
      </c>
      <c r="I3194" s="5" t="n">
        <v>37.84648129922223</v>
      </c>
      <c r="J3194" s="5" t="n">
        <v>47.61889341000833</v>
      </c>
      <c r="K3194" s="5" t="n">
        <v>47</v>
      </c>
    </row>
    <row r="3195">
      <c r="A3195" s="2" t="n">
        <v>46230.5</v>
      </c>
      <c r="B3195">
        <f>TEXT(A3195,"yyyy-mm")</f>
        <v/>
      </c>
      <c r="C3195" s="3">
        <f>HOUR(A3195)</f>
        <v/>
      </c>
      <c r="D3195" s="4" t="n">
        <v>27.11471124797778</v>
      </c>
      <c r="E3195" s="4" t="n">
        <v>28.58142168697222</v>
      </c>
      <c r="F3195" s="4" t="n">
        <v>28.96733314859445</v>
      </c>
      <c r="G3195" s="4" t="n">
        <v>25.7</v>
      </c>
      <c r="H3195" s="5" t="n">
        <v>37.35613995642222</v>
      </c>
      <c r="I3195" s="5" t="n">
        <v>36.24589876595278</v>
      </c>
      <c r="J3195" s="5" t="n">
        <v>47.44061460322778</v>
      </c>
      <c r="K3195" s="5" t="n">
        <v>44</v>
      </c>
    </row>
    <row r="3196">
      <c r="A3196" s="2" t="n">
        <v>46230.54166666666</v>
      </c>
      <c r="B3196">
        <f>TEXT(A3196,"yyyy-mm")</f>
        <v/>
      </c>
      <c r="C3196" s="3">
        <f>HOUR(A3196)</f>
        <v/>
      </c>
      <c r="D3196" s="4" t="n">
        <v>27.12163780563333</v>
      </c>
      <c r="E3196" s="4" t="n">
        <v>28.37488315183333</v>
      </c>
      <c r="F3196" s="4" t="n">
        <v>28.97083360094722</v>
      </c>
      <c r="G3196" s="4" t="n">
        <v>26.2</v>
      </c>
      <c r="H3196" s="5" t="n">
        <v>35.93313841016667</v>
      </c>
      <c r="I3196" s="5" t="n">
        <v>35.5087112405</v>
      </c>
      <c r="J3196" s="5" t="n">
        <v>46.78823780836944</v>
      </c>
      <c r="K3196" s="5" t="n">
        <v>42</v>
      </c>
    </row>
    <row r="3197">
      <c r="A3197" s="2" t="n">
        <v>46230.58333333334</v>
      </c>
      <c r="B3197">
        <f>TEXT(A3197,"yyyy-mm")</f>
        <v/>
      </c>
      <c r="C3197" s="3">
        <f>HOUR(A3197)</f>
        <v/>
      </c>
      <c r="D3197" s="4" t="n">
        <v>27.07889991482778</v>
      </c>
      <c r="E3197" s="4" t="n">
        <v>28.14035243542778</v>
      </c>
      <c r="F3197" s="4" t="n">
        <v>28.96323166367222</v>
      </c>
      <c r="G3197" s="4" t="n">
        <v>26.5</v>
      </c>
      <c r="H3197" s="5" t="n">
        <v>36.39084650325834</v>
      </c>
      <c r="I3197" s="5" t="n">
        <v>36.77588432751389</v>
      </c>
      <c r="J3197" s="5" t="n">
        <v>46.88846984663611</v>
      </c>
      <c r="K3197" s="5" t="n">
        <v>42</v>
      </c>
    </row>
    <row r="3198">
      <c r="A3198" s="2" t="n">
        <v>46230.625</v>
      </c>
      <c r="B3198">
        <f>TEXT(A3198,"yyyy-mm")</f>
        <v/>
      </c>
      <c r="C3198" s="3">
        <f>HOUR(A3198)</f>
        <v/>
      </c>
      <c r="D3198" s="4" t="n">
        <v>27.19076868423889</v>
      </c>
      <c r="E3198" s="4" t="n">
        <v>28.34525540390556</v>
      </c>
      <c r="F3198" s="4" t="n">
        <v>28.80519140180833</v>
      </c>
      <c r="G3198" s="4" t="n">
        <v>27.2</v>
      </c>
      <c r="H3198" s="5" t="n">
        <v>36.818803473975</v>
      </c>
      <c r="I3198" s="5" t="n">
        <v>37.22699208788611</v>
      </c>
      <c r="J3198" s="5" t="n">
        <v>46.735954711975</v>
      </c>
      <c r="K3198" s="5" t="n">
        <v>40</v>
      </c>
    </row>
    <row r="3199">
      <c r="A3199" s="2" t="n">
        <v>46230.66666666666</v>
      </c>
      <c r="B3199">
        <f>TEXT(A3199,"yyyy-mm")</f>
        <v/>
      </c>
      <c r="C3199" s="3">
        <f>HOUR(A3199)</f>
        <v/>
      </c>
      <c r="D3199" s="4" t="n">
        <v>27.27095562945556</v>
      </c>
      <c r="E3199" s="4" t="n">
        <v>28.44622403221945</v>
      </c>
      <c r="F3199" s="4" t="n">
        <v>28.80804519489445</v>
      </c>
      <c r="G3199" s="4" t="n">
        <v>27.1</v>
      </c>
      <c r="H3199" s="5" t="n">
        <v>37.85266581947222</v>
      </c>
      <c r="I3199" s="5" t="n">
        <v>38.54749994333334</v>
      </c>
      <c r="J3199" s="5" t="n">
        <v>47.24158118386666</v>
      </c>
      <c r="K3199" s="5" t="n">
        <v>40</v>
      </c>
    </row>
    <row r="3200">
      <c r="A3200" s="2" t="n">
        <v>46230.70833333334</v>
      </c>
      <c r="B3200">
        <f>TEXT(A3200,"yyyy-mm")</f>
        <v/>
      </c>
      <c r="C3200" s="3">
        <f>HOUR(A3200)</f>
        <v/>
      </c>
      <c r="D3200" s="4" t="n">
        <v>26.81277086865</v>
      </c>
      <c r="E3200" s="4" t="n">
        <v>28.36956818684722</v>
      </c>
      <c r="F3200" s="4" t="n">
        <v>28.70733339199444</v>
      </c>
      <c r="G3200" s="4" t="n">
        <v>26.7</v>
      </c>
      <c r="H3200" s="5" t="n">
        <v>37.77280351528056</v>
      </c>
      <c r="I3200" s="5" t="n">
        <v>36.91136578491389</v>
      </c>
      <c r="J3200" s="5" t="n">
        <v>45.80564789042222</v>
      </c>
      <c r="K3200" s="5" t="n">
        <v>42</v>
      </c>
    </row>
    <row r="3201">
      <c r="A3201" s="2" t="n">
        <v>46230.75</v>
      </c>
      <c r="B3201">
        <f>TEXT(A3201,"yyyy-mm")</f>
        <v/>
      </c>
      <c r="C3201" s="3">
        <f>HOUR(A3201)</f>
        <v/>
      </c>
      <c r="D3201" s="4" t="n">
        <v>27.18269920509722</v>
      </c>
      <c r="E3201" s="4" t="n">
        <v>28.75586197856667</v>
      </c>
      <c r="F3201" s="4" t="n">
        <v>28.71606216753889</v>
      </c>
      <c r="G3201" s="4" t="n">
        <v>26.5</v>
      </c>
      <c r="H3201" s="5" t="n">
        <v>38.04474469251389</v>
      </c>
      <c r="I3201" s="5" t="n">
        <v>37.90234357458889</v>
      </c>
      <c r="J3201" s="5" t="n">
        <v>46.766107421</v>
      </c>
      <c r="K3201" s="5" t="n">
        <v>43</v>
      </c>
    </row>
    <row r="3202">
      <c r="A3202" s="2" t="n">
        <v>46230.79166666666</v>
      </c>
      <c r="B3202">
        <f>TEXT(A3202,"yyyy-mm")</f>
        <v/>
      </c>
      <c r="C3202" s="3">
        <f>HOUR(A3202)</f>
        <v/>
      </c>
      <c r="D3202" s="4" t="n">
        <v>27.22382633695834</v>
      </c>
      <c r="E3202" s="4" t="n">
        <v>28.71210124884444</v>
      </c>
      <c r="F3202" s="4" t="n">
        <v>28.84090380626944</v>
      </c>
      <c r="G3202" s="4" t="n">
        <v>25.4</v>
      </c>
      <c r="H3202" s="5" t="n">
        <v>39.77079610296944</v>
      </c>
      <c r="I3202" s="5" t="n">
        <v>41.92560101762499</v>
      </c>
      <c r="J3202" s="5" t="n">
        <v>47.42766219466667</v>
      </c>
      <c r="K3202" s="5" t="n">
        <v>51</v>
      </c>
    </row>
    <row r="3203">
      <c r="A3203" s="2" t="n">
        <v>46230.83333333334</v>
      </c>
      <c r="B3203">
        <f>TEXT(A3203,"yyyy-mm")</f>
        <v/>
      </c>
      <c r="C3203" s="3">
        <f>HOUR(A3203)</f>
        <v/>
      </c>
      <c r="D3203" s="4" t="n">
        <v>27.08302533963333</v>
      </c>
      <c r="E3203" s="4" t="n">
        <v>28.46909897634722</v>
      </c>
      <c r="F3203" s="4" t="n">
        <v>28.97986560478056</v>
      </c>
      <c r="G3203" s="4" t="n">
        <v>23.7</v>
      </c>
      <c r="H3203" s="5" t="n">
        <v>41.77255930629445</v>
      </c>
      <c r="I3203" s="5" t="n">
        <v>41.98024669108056</v>
      </c>
      <c r="J3203" s="5" t="n">
        <v>47.61186846470278</v>
      </c>
      <c r="K3203" s="5" t="n">
        <v>60</v>
      </c>
    </row>
    <row r="3204">
      <c r="A3204" s="2" t="n">
        <v>46230.875</v>
      </c>
      <c r="B3204">
        <f>TEXT(A3204,"yyyy-mm")</f>
        <v/>
      </c>
      <c r="C3204" s="3">
        <f>HOUR(A3204)</f>
        <v/>
      </c>
      <c r="D3204" s="4" t="n">
        <v>26.92302521575</v>
      </c>
      <c r="E3204" s="4" t="n">
        <v>28.45695658595</v>
      </c>
      <c r="F3204" s="4" t="n">
        <v>29.04496635283612</v>
      </c>
      <c r="G3204" s="4" t="n">
        <v>22.5</v>
      </c>
      <c r="H3204" s="5" t="n">
        <v>39.91664453611666</v>
      </c>
      <c r="I3204" s="5" t="n">
        <v>39.72891150508889</v>
      </c>
      <c r="J3204" s="5" t="n">
        <v>47.293635007375</v>
      </c>
      <c r="K3204" s="5" t="n">
        <v>62</v>
      </c>
    </row>
    <row r="3205">
      <c r="A3205" s="2" t="n">
        <v>46230.91666666666</v>
      </c>
      <c r="B3205">
        <f>TEXT(A3205,"yyyy-mm")</f>
        <v/>
      </c>
      <c r="C3205" s="3">
        <f>HOUR(A3205)</f>
        <v/>
      </c>
      <c r="D3205" s="4" t="n">
        <v>26.73079678608889</v>
      </c>
      <c r="E3205" s="4" t="n">
        <v>28.48391303116389</v>
      </c>
      <c r="F3205" s="4" t="n">
        <v>29.08439021419444</v>
      </c>
      <c r="G3205" s="4" t="n">
        <v>21.8</v>
      </c>
      <c r="H3205" s="5" t="n">
        <v>39.07690025631666</v>
      </c>
      <c r="I3205" s="5" t="n">
        <v>38.183745240275</v>
      </c>
      <c r="J3205" s="5" t="n">
        <v>46.70361499589723</v>
      </c>
      <c r="K3205" s="5" t="n">
        <v>61</v>
      </c>
    </row>
    <row r="3206">
      <c r="A3206" s="2" t="n">
        <v>46230.95833333334</v>
      </c>
      <c r="B3206">
        <f>TEXT(A3206,"yyyy-mm")</f>
        <v/>
      </c>
      <c r="C3206" s="3">
        <f>HOUR(A3206)</f>
        <v/>
      </c>
      <c r="D3206" s="4" t="n">
        <v>26.45919807690555</v>
      </c>
      <c r="E3206" s="4" t="n">
        <v>28.00244462231666</v>
      </c>
      <c r="F3206" s="4" t="n">
        <v>29.13692894749722</v>
      </c>
      <c r="G3206" s="4" t="n">
        <v>21.4</v>
      </c>
      <c r="H3206" s="5" t="n">
        <v>39.67363960901944</v>
      </c>
      <c r="I3206" s="5" t="n">
        <v>40.4399174502</v>
      </c>
      <c r="J3206" s="5" t="n">
        <v>46.56264180251111</v>
      </c>
      <c r="K3206" s="5" t="n">
        <v>61</v>
      </c>
    </row>
    <row r="3207">
      <c r="A3207" s="2" t="n">
        <v>46231</v>
      </c>
      <c r="B3207">
        <f>TEXT(A3207,"yyyy-mm")</f>
        <v/>
      </c>
      <c r="C3207" s="3">
        <f>HOUR(A3207)</f>
        <v/>
      </c>
      <c r="D3207" s="4" t="n">
        <v>26.26057736818889</v>
      </c>
      <c r="E3207" s="4" t="n">
        <v>27.93017148556666</v>
      </c>
      <c r="F3207" s="4" t="n">
        <v>29.02442880357778</v>
      </c>
      <c r="G3207" s="4" t="n">
        <v>20.7</v>
      </c>
      <c r="H3207" s="5" t="n">
        <v>40.68704174672778</v>
      </c>
      <c r="I3207" s="5" t="n">
        <v>40.22385557338611</v>
      </c>
      <c r="J3207" s="5" t="n">
        <v>46.16850396887778</v>
      </c>
      <c r="K3207" s="5" t="n">
        <v>64</v>
      </c>
    </row>
    <row r="3208">
      <c r="A3208" s="2" t="n">
        <v>46231.04166666666</v>
      </c>
      <c r="B3208">
        <f>TEXT(A3208,"yyyy-mm")</f>
        <v/>
      </c>
      <c r="C3208" s="3">
        <f>HOUR(A3208)</f>
        <v/>
      </c>
      <c r="D3208" s="4" t="n">
        <v>26.07586972675</v>
      </c>
      <c r="E3208" s="4" t="n">
        <v>27.93</v>
      </c>
      <c r="F3208" s="4" t="n">
        <v>29.05130546955278</v>
      </c>
      <c r="G3208" s="4" t="n">
        <v>20.2</v>
      </c>
      <c r="H3208" s="5" t="n">
        <v>40.08941000873333</v>
      </c>
      <c r="I3208" s="5" t="n">
        <v>40.18</v>
      </c>
      <c r="J3208" s="5" t="n">
        <v>46.28116010542222</v>
      </c>
      <c r="K3208" s="5" t="n">
        <v>66</v>
      </c>
    </row>
    <row r="3209">
      <c r="A3209" s="2" t="n">
        <v>46231.08333333334</v>
      </c>
      <c r="B3209">
        <f>TEXT(A3209,"yyyy-mm")</f>
        <v/>
      </c>
      <c r="C3209" s="3">
        <f>HOUR(A3209)</f>
        <v/>
      </c>
      <c r="D3209" s="4" t="n">
        <v>25.77231532798611</v>
      </c>
      <c r="E3209" s="4" t="n">
        <v>27.93</v>
      </c>
      <c r="F3209" s="4" t="n">
        <v>29.04043254533889</v>
      </c>
      <c r="G3209" s="4" t="n">
        <v>19.7</v>
      </c>
      <c r="H3209" s="5" t="n">
        <v>40.08828931075833</v>
      </c>
      <c r="I3209" s="5" t="n">
        <v>40.18</v>
      </c>
      <c r="J3209" s="5" t="n">
        <v>46.14553559864167</v>
      </c>
      <c r="K3209" s="5" t="n">
        <v>68</v>
      </c>
    </row>
    <row r="3210">
      <c r="A3210" s="2" t="n">
        <v>46231.125</v>
      </c>
      <c r="B3210">
        <f>TEXT(A3210,"yyyy-mm")</f>
        <v/>
      </c>
      <c r="C3210" s="3">
        <f>HOUR(A3210)</f>
        <v/>
      </c>
      <c r="D3210" s="4" t="n">
        <v>25.67001329761111</v>
      </c>
      <c r="E3210" s="4" t="n">
        <v>27.93</v>
      </c>
      <c r="F3210" s="4" t="n">
        <v>29.01674812540834</v>
      </c>
      <c r="G3210" s="4" t="n">
        <v>18.7</v>
      </c>
      <c r="H3210" s="5" t="n">
        <v>39.85081262264444</v>
      </c>
      <c r="I3210" s="5" t="n">
        <v>40.18</v>
      </c>
      <c r="J3210" s="5" t="n">
        <v>45.92225706833611</v>
      </c>
      <c r="K3210" s="5" t="n">
        <v>73</v>
      </c>
    </row>
    <row r="3211">
      <c r="A3211" s="2" t="n">
        <v>46231.16666666666</v>
      </c>
      <c r="B3211">
        <f>TEXT(A3211,"yyyy-mm")</f>
        <v/>
      </c>
      <c r="C3211" s="3">
        <f>HOUR(A3211)</f>
        <v/>
      </c>
      <c r="D3211" s="4" t="n">
        <v>25.37520857569722</v>
      </c>
      <c r="E3211" s="4" t="n">
        <v>27.93</v>
      </c>
      <c r="F3211" s="4" t="n">
        <v>28.97938849671945</v>
      </c>
      <c r="G3211" s="4" t="n">
        <v>18.3</v>
      </c>
      <c r="H3211" s="5" t="n">
        <v>40.69324393549444</v>
      </c>
      <c r="I3211" s="5" t="n">
        <v>40.18</v>
      </c>
      <c r="J3211" s="5" t="n">
        <v>45.76427231983334</v>
      </c>
      <c r="K3211" s="5" t="n">
        <v>74</v>
      </c>
    </row>
    <row r="3212">
      <c r="A3212" s="2" t="n">
        <v>46231.20833333334</v>
      </c>
      <c r="B3212">
        <f>TEXT(A3212,"yyyy-mm")</f>
        <v/>
      </c>
      <c r="C3212" s="3">
        <f>HOUR(A3212)</f>
        <v/>
      </c>
      <c r="D3212" s="4" t="n">
        <v>25.18822895966667</v>
      </c>
      <c r="E3212" s="4" t="n">
        <v>27.93</v>
      </c>
      <c r="F3212" s="4" t="n">
        <v>28.9479791755</v>
      </c>
      <c r="G3212" s="4" t="n">
        <v>17.9</v>
      </c>
      <c r="H3212" s="5" t="n">
        <v>41.57012548103611</v>
      </c>
      <c r="I3212" s="5" t="n">
        <v>40.18</v>
      </c>
      <c r="J3212" s="5" t="n">
        <v>45.69035947226112</v>
      </c>
      <c r="K3212" s="5" t="n">
        <v>75</v>
      </c>
    </row>
    <row r="3213">
      <c r="A3213" s="2" t="n">
        <v>46231.25</v>
      </c>
      <c r="B3213">
        <f>TEXT(A3213,"yyyy-mm")</f>
        <v/>
      </c>
      <c r="C3213" s="3">
        <f>HOUR(A3213)</f>
        <v/>
      </c>
      <c r="D3213" s="4" t="n">
        <v>25.245264962275</v>
      </c>
      <c r="E3213" s="4" t="n">
        <v>27.93</v>
      </c>
      <c r="F3213" s="4" t="n">
        <v>28.9277864838</v>
      </c>
      <c r="G3213" s="4" t="n">
        <v>18.3</v>
      </c>
      <c r="H3213" s="5" t="n">
        <v>42.14552473075</v>
      </c>
      <c r="I3213" s="5" t="n">
        <v>40.18</v>
      </c>
      <c r="J3213" s="5" t="n">
        <v>45.68312156768334</v>
      </c>
      <c r="K3213" s="5" t="n">
        <v>74</v>
      </c>
    </row>
    <row r="3214">
      <c r="A3214" s="2" t="n">
        <v>46231.29166666666</v>
      </c>
      <c r="B3214">
        <f>TEXT(A3214,"yyyy-mm")</f>
        <v/>
      </c>
      <c r="C3214" s="3">
        <f>HOUR(A3214)</f>
        <v/>
      </c>
      <c r="D3214" s="4" t="n">
        <v>25.74515141465556</v>
      </c>
      <c r="E3214" s="4" t="n">
        <v>27.93</v>
      </c>
      <c r="F3214" s="4" t="n">
        <v>28.91153640381667</v>
      </c>
      <c r="G3214" s="4" t="n">
        <v>19.5</v>
      </c>
      <c r="H3214" s="5" t="n">
        <v>42.60253349090834</v>
      </c>
      <c r="I3214" s="5" t="n">
        <v>40.18</v>
      </c>
      <c r="J3214" s="5" t="n">
        <v>45.76812296816112</v>
      </c>
      <c r="K3214" s="5" t="n">
        <v>72</v>
      </c>
    </row>
    <row r="3215">
      <c r="A3215" s="2" t="n">
        <v>46231.33333333334</v>
      </c>
      <c r="B3215">
        <f>TEXT(A3215,"yyyy-mm")</f>
        <v/>
      </c>
      <c r="C3215" s="3">
        <f>HOUR(A3215)</f>
        <v/>
      </c>
      <c r="D3215" s="4" t="n">
        <v>26.77260586873333</v>
      </c>
      <c r="E3215" s="4" t="n">
        <v>27.93</v>
      </c>
      <c r="F3215" s="4" t="n">
        <v>28.90988013166944</v>
      </c>
      <c r="G3215" s="4" t="n">
        <v>21.4</v>
      </c>
      <c r="H3215" s="5" t="n">
        <v>42.15031185647222</v>
      </c>
      <c r="I3215" s="5" t="n">
        <v>40.18</v>
      </c>
      <c r="J3215" s="5" t="n">
        <v>45.95667787424722</v>
      </c>
      <c r="K3215" s="5" t="n">
        <v>65</v>
      </c>
    </row>
    <row r="3216">
      <c r="A3216" s="2" t="n">
        <v>46231.375</v>
      </c>
      <c r="B3216">
        <f>TEXT(A3216,"yyyy-mm")</f>
        <v/>
      </c>
      <c r="C3216" s="3">
        <f>HOUR(A3216)</f>
        <v/>
      </c>
      <c r="D3216" s="4" t="n">
        <v>27.31686086953333</v>
      </c>
      <c r="E3216" s="4" t="n">
        <v>27.93</v>
      </c>
      <c r="F3216" s="4" t="n">
        <v>28.92759384117777</v>
      </c>
      <c r="G3216" s="4" t="n">
        <v>23.3</v>
      </c>
      <c r="H3216" s="5" t="n">
        <v>41.50522355711666</v>
      </c>
      <c r="I3216" s="5" t="n">
        <v>40.18</v>
      </c>
      <c r="J3216" s="5" t="n">
        <v>46.09230211754723</v>
      </c>
      <c r="K3216" s="5" t="n">
        <v>56</v>
      </c>
    </row>
    <row r="3217">
      <c r="A3217" s="2" t="n">
        <v>46231.41666666666</v>
      </c>
      <c r="B3217">
        <f>TEXT(A3217,"yyyy-mm")</f>
        <v/>
      </c>
      <c r="C3217" s="3">
        <f>HOUR(A3217)</f>
        <v/>
      </c>
      <c r="D3217" s="4" t="n">
        <v>27.55491562465</v>
      </c>
      <c r="E3217" s="4" t="n">
        <v>27.93</v>
      </c>
      <c r="F3217" s="4" t="n">
        <v>28.90228293371666</v>
      </c>
      <c r="G3217" s="4" t="n">
        <v>24.7</v>
      </c>
      <c r="H3217" s="5" t="n">
        <v>38.92755465136111</v>
      </c>
      <c r="I3217" s="5" t="n">
        <v>40.18</v>
      </c>
      <c r="J3217" s="5" t="n">
        <v>45.98935136080834</v>
      </c>
      <c r="K3217" s="5" t="n">
        <v>51</v>
      </c>
    </row>
    <row r="3218">
      <c r="A3218" s="2" t="n">
        <v>46231.45833333334</v>
      </c>
      <c r="B3218">
        <f>TEXT(A3218,"yyyy-mm")</f>
        <v/>
      </c>
      <c r="C3218" s="3">
        <f>HOUR(A3218)</f>
        <v/>
      </c>
      <c r="D3218" s="4" t="n">
        <v>27.62409058322778</v>
      </c>
      <c r="E3218" s="4" t="n">
        <v>27.93</v>
      </c>
      <c r="F3218" s="4" t="n">
        <v>28.80717828725</v>
      </c>
      <c r="G3218" s="4" t="n">
        <v>25.2</v>
      </c>
      <c r="H3218" s="5" t="n">
        <v>35.67179869024167</v>
      </c>
      <c r="I3218" s="5" t="n">
        <v>40.18</v>
      </c>
      <c r="J3218" s="5" t="n">
        <v>44.76370933743889</v>
      </c>
      <c r="K3218" s="5" t="n">
        <v>48</v>
      </c>
    </row>
    <row r="3219">
      <c r="A3219" s="2" t="n">
        <v>46231.5</v>
      </c>
      <c r="B3219">
        <f>TEXT(A3219,"yyyy-mm")</f>
        <v/>
      </c>
      <c r="C3219" s="3">
        <f>HOUR(A3219)</f>
        <v/>
      </c>
      <c r="D3219" s="4" t="n">
        <v>27.57823479572222</v>
      </c>
      <c r="E3219" s="4" t="n">
        <v>27.93</v>
      </c>
      <c r="F3219" s="4" t="n">
        <v>29.82345400949722</v>
      </c>
      <c r="G3219" s="4" t="n">
        <v>24.7</v>
      </c>
      <c r="H3219" s="5" t="n">
        <v>34.491973521875</v>
      </c>
      <c r="I3219" s="5" t="n">
        <v>40.18</v>
      </c>
      <c r="J3219" s="5" t="n">
        <v>42.68634420622499</v>
      </c>
      <c r="K3219" s="5" t="n">
        <v>53</v>
      </c>
    </row>
    <row r="3220">
      <c r="A3220" s="2" t="n">
        <v>46231.54166666666</v>
      </c>
      <c r="B3220">
        <f>TEXT(A3220,"yyyy-mm")</f>
        <v/>
      </c>
      <c r="C3220" s="3">
        <f>HOUR(A3220)</f>
        <v/>
      </c>
      <c r="D3220" s="4" t="n">
        <v>26.71631217357222</v>
      </c>
      <c r="E3220" s="4" t="n">
        <v>27.93</v>
      </c>
      <c r="F3220" s="4" t="n">
        <v>29.15746465691389</v>
      </c>
      <c r="G3220" s="4" t="n">
        <v>20.7</v>
      </c>
      <c r="H3220" s="5" t="n">
        <v>45.64056697566111</v>
      </c>
      <c r="I3220" s="5" t="n">
        <v>40.18</v>
      </c>
      <c r="J3220" s="5" t="n">
        <v>47.87478384020833</v>
      </c>
      <c r="K3220" s="5" t="n">
        <v>80</v>
      </c>
    </row>
    <row r="3221">
      <c r="A3221" s="2" t="n">
        <v>46231.58333333334</v>
      </c>
      <c r="B3221">
        <f>TEXT(A3221,"yyyy-mm")</f>
        <v/>
      </c>
      <c r="C3221" s="3">
        <f>HOUR(A3221)</f>
        <v/>
      </c>
      <c r="D3221" s="4" t="n">
        <v>25.27172111823611</v>
      </c>
      <c r="E3221" s="4" t="n">
        <v>27.93</v>
      </c>
      <c r="F3221" s="4" t="n">
        <v>28.19007740954723</v>
      </c>
      <c r="G3221" s="4" t="n">
        <v>20.8</v>
      </c>
      <c r="H3221" s="5" t="n">
        <v>55.41192305904445</v>
      </c>
      <c r="I3221" s="5" t="n">
        <v>40.18</v>
      </c>
      <c r="J3221" s="5" t="n">
        <v>55.11447383495832</v>
      </c>
      <c r="K3221" s="5" t="n">
        <v>86</v>
      </c>
    </row>
    <row r="3222">
      <c r="A3222" s="2" t="n">
        <v>46231.625</v>
      </c>
      <c r="B3222">
        <f>TEXT(A3222,"yyyy-mm")</f>
        <v/>
      </c>
      <c r="C3222" s="3">
        <f>HOUR(A3222)</f>
        <v/>
      </c>
      <c r="D3222" s="4" t="n">
        <v>25.21816718875</v>
      </c>
      <c r="E3222" s="4" t="n">
        <v>27.93</v>
      </c>
      <c r="F3222" s="4" t="n">
        <v>27.91762856756666</v>
      </c>
      <c r="G3222" s="4" t="n">
        <v>20.8</v>
      </c>
      <c r="H3222" s="5" t="n">
        <v>56.02682328353056</v>
      </c>
      <c r="I3222" s="5" t="n">
        <v>40.18</v>
      </c>
      <c r="J3222" s="5" t="n">
        <v>56.30120417288888</v>
      </c>
      <c r="K3222" s="5" t="n">
        <v>85</v>
      </c>
    </row>
    <row r="3223">
      <c r="A3223" s="2" t="n">
        <v>46231.66666666666</v>
      </c>
      <c r="B3223">
        <f>TEXT(A3223,"yyyy-mm")</f>
        <v/>
      </c>
      <c r="C3223" s="3">
        <f>HOUR(A3223)</f>
        <v/>
      </c>
      <c r="D3223" s="4" t="n">
        <v>25.55277035605</v>
      </c>
      <c r="E3223" s="4" t="n">
        <v>27.93</v>
      </c>
      <c r="F3223" s="4" t="n">
        <v>27.83572553679444</v>
      </c>
      <c r="G3223" s="4" t="n">
        <v>20.3</v>
      </c>
      <c r="H3223" s="5" t="n">
        <v>55.67761890966389</v>
      </c>
      <c r="I3223" s="5" t="n">
        <v>40.18</v>
      </c>
      <c r="J3223" s="5" t="n">
        <v>56.90980163080555</v>
      </c>
      <c r="K3223" s="5" t="n">
        <v>84</v>
      </c>
    </row>
    <row r="3224">
      <c r="A3224" s="2" t="n">
        <v>46231.70833333334</v>
      </c>
      <c r="B3224">
        <f>TEXT(A3224,"yyyy-mm")</f>
        <v/>
      </c>
      <c r="C3224" s="3">
        <f>HOUR(A3224)</f>
        <v/>
      </c>
      <c r="D3224" s="4" t="n">
        <v>25.86105228130833</v>
      </c>
      <c r="E3224" s="4" t="n">
        <v>27.93</v>
      </c>
      <c r="F3224" s="4" t="n">
        <v>27.96413833268056</v>
      </c>
      <c r="G3224" s="4" t="n">
        <v>19.6</v>
      </c>
      <c r="H3224" s="5" t="n">
        <v>55.55457892466112</v>
      </c>
      <c r="I3224" s="5" t="n">
        <v>40.18</v>
      </c>
      <c r="J3224" s="5" t="n">
        <v>57.63725006363611</v>
      </c>
      <c r="K3224" s="5" t="n">
        <v>89</v>
      </c>
    </row>
    <row r="3225">
      <c r="A3225" s="2" t="n">
        <v>46231.75</v>
      </c>
      <c r="B3225">
        <f>TEXT(A3225,"yyyy-mm")</f>
        <v/>
      </c>
      <c r="C3225" s="3">
        <f>HOUR(A3225)</f>
        <v/>
      </c>
      <c r="D3225" s="4" t="n">
        <v>25.89040072420278</v>
      </c>
      <c r="E3225" s="4" t="n">
        <v>27.93</v>
      </c>
      <c r="F3225" s="4" t="n">
        <v>28.36665527538889</v>
      </c>
      <c r="G3225" s="4" t="n">
        <v>18.4</v>
      </c>
      <c r="H3225" s="5" t="n">
        <v>53.41221750340278</v>
      </c>
      <c r="I3225" s="5" t="n">
        <v>40.18</v>
      </c>
      <c r="J3225" s="5" t="n">
        <v>54.34706148785278</v>
      </c>
      <c r="K3225" s="5" t="n">
        <v>90</v>
      </c>
    </row>
    <row r="3226">
      <c r="A3226" s="2" t="n">
        <v>46231.79166666666</v>
      </c>
      <c r="B3226">
        <f>TEXT(A3226,"yyyy-mm")</f>
        <v/>
      </c>
      <c r="C3226" s="3">
        <f>HOUR(A3226)</f>
        <v/>
      </c>
      <c r="D3226" s="4" t="n">
        <v>25.30802592522222</v>
      </c>
      <c r="E3226" s="4" t="n">
        <v>27.93</v>
      </c>
      <c r="F3226" s="4" t="n">
        <v>28.57649767869445</v>
      </c>
      <c r="G3226" s="4" t="n">
        <v>18.3</v>
      </c>
      <c r="H3226" s="5" t="n">
        <v>52.17936413021945</v>
      </c>
      <c r="I3226" s="5" t="n">
        <v>40.18</v>
      </c>
      <c r="J3226" s="5" t="n">
        <v>52.77630920455</v>
      </c>
      <c r="K3226" s="5" t="n">
        <v>92</v>
      </c>
    </row>
    <row r="3227">
      <c r="A3227" s="2" t="n">
        <v>46231.83333333334</v>
      </c>
      <c r="B3227">
        <f>TEXT(A3227,"yyyy-mm")</f>
        <v/>
      </c>
      <c r="C3227" s="3">
        <f>HOUR(A3227)</f>
        <v/>
      </c>
      <c r="D3227" s="4" t="n">
        <v>24.83539022898333</v>
      </c>
      <c r="E3227" s="4" t="n">
        <v>27.93</v>
      </c>
      <c r="F3227" s="4" t="n">
        <v>28.64105967481945</v>
      </c>
      <c r="G3227" s="4" t="n">
        <v>18.3</v>
      </c>
      <c r="H3227" s="5" t="n">
        <v>52.67220581068889</v>
      </c>
      <c r="I3227" s="5" t="n">
        <v>40.18</v>
      </c>
      <c r="J3227" s="5" t="n">
        <v>51.75959707094166</v>
      </c>
      <c r="K3227" s="5" t="n">
        <v>90</v>
      </c>
    </row>
    <row r="3228">
      <c r="A3228" s="2" t="n">
        <v>46231.875</v>
      </c>
      <c r="B3228">
        <f>TEXT(A3228,"yyyy-mm")</f>
        <v/>
      </c>
      <c r="C3228" s="3">
        <f>HOUR(A3228)</f>
        <v/>
      </c>
      <c r="D3228" s="4" t="n">
        <v>24.528622800725</v>
      </c>
      <c r="E3228" s="4" t="n">
        <v>27.93</v>
      </c>
      <c r="F3228" s="4" t="n">
        <v>28.68739462665556</v>
      </c>
      <c r="G3228" s="4" t="n">
        <v>17.4</v>
      </c>
      <c r="H3228" s="5" t="n">
        <v>52.05641919398611</v>
      </c>
      <c r="I3228" s="5" t="n">
        <v>40.18</v>
      </c>
      <c r="J3228" s="5" t="n">
        <v>51.25541525512778</v>
      </c>
      <c r="K3228" s="5" t="n">
        <v>89</v>
      </c>
    </row>
    <row r="3229">
      <c r="A3229" s="2" t="n">
        <v>46231.91666666666</v>
      </c>
      <c r="B3229">
        <f>TEXT(A3229,"yyyy-mm")</f>
        <v/>
      </c>
      <c r="C3229" s="3">
        <f>HOUR(A3229)</f>
        <v/>
      </c>
      <c r="D3229" s="4" t="n">
        <v>24.02414306044167</v>
      </c>
      <c r="E3229" s="4" t="n">
        <v>27.93</v>
      </c>
      <c r="F3229" s="4" t="n">
        <v>28.70343606460555</v>
      </c>
      <c r="G3229" s="4" t="n">
        <v>17</v>
      </c>
      <c r="H3229" s="5" t="n">
        <v>48.82464494458611</v>
      </c>
      <c r="I3229" s="5" t="n">
        <v>40.18</v>
      </c>
      <c r="J3229" s="5" t="n">
        <v>50.52462545660833</v>
      </c>
      <c r="K3229" s="5" t="n">
        <v>88</v>
      </c>
    </row>
    <row r="3230">
      <c r="A3230" s="2" t="n">
        <v>46231.95833333334</v>
      </c>
      <c r="B3230">
        <f>TEXT(A3230,"yyyy-mm")</f>
        <v/>
      </c>
      <c r="C3230" s="3">
        <f>HOUR(A3230)</f>
        <v/>
      </c>
      <c r="D3230" s="4" t="n">
        <v>23.78911457866944</v>
      </c>
      <c r="E3230" s="4" t="n">
        <v>27.93</v>
      </c>
      <c r="F3230" s="4" t="n">
        <v>28.70046139269722</v>
      </c>
      <c r="G3230" s="4" t="n">
        <v>16.6</v>
      </c>
      <c r="H3230" s="5" t="n">
        <v>49.24119376767223</v>
      </c>
      <c r="I3230" s="5" t="n">
        <v>40.18</v>
      </c>
      <c r="J3230" s="5" t="n">
        <v>49.98736492386389</v>
      </c>
      <c r="K3230" s="5" t="n">
        <v>87</v>
      </c>
    </row>
    <row r="3231">
      <c r="A3231" s="2" t="n">
        <v>46232</v>
      </c>
      <c r="B3231">
        <f>TEXT(A3231,"yyyy-mm")</f>
        <v/>
      </c>
      <c r="C3231" s="3">
        <f>HOUR(A3231)</f>
        <v/>
      </c>
      <c r="D3231" s="4" t="n">
        <v>23.77384019084444</v>
      </c>
      <c r="E3231" s="4" t="n">
        <v>27.89177836221944</v>
      </c>
      <c r="F3231" s="4" t="n">
        <v>28.68994448374444</v>
      </c>
      <c r="G3231" s="4" t="n">
        <v>16.5</v>
      </c>
      <c r="H3231" s="5" t="n">
        <v>50.05885368498056</v>
      </c>
      <c r="I3231" s="5" t="n">
        <v>40.43074581838889</v>
      </c>
      <c r="J3231" s="5" t="n">
        <v>49.613340037825</v>
      </c>
      <c r="K3231" s="5" t="n">
        <v>85</v>
      </c>
    </row>
    <row r="3232">
      <c r="A3232" s="2" t="n">
        <v>46232.04166666666</v>
      </c>
      <c r="B3232">
        <f>TEXT(A3232,"yyyy-mm")</f>
        <v/>
      </c>
      <c r="C3232" s="3">
        <f>HOUR(A3232)</f>
        <v/>
      </c>
      <c r="D3232" s="4" t="n">
        <v>23.41358560690833</v>
      </c>
      <c r="E3232" s="4" t="n">
        <v>27.41083150479167</v>
      </c>
      <c r="F3232" s="4" t="n">
        <v>28.69285242456945</v>
      </c>
      <c r="G3232" s="4" t="n">
        <v>16</v>
      </c>
      <c r="H3232" s="5" t="n">
        <v>53.161525574475</v>
      </c>
      <c r="I3232" s="5" t="n">
        <v>44.47984588607222</v>
      </c>
      <c r="J3232" s="5" t="n">
        <v>49.41552252515</v>
      </c>
      <c r="K3232" s="5" t="n">
        <v>86</v>
      </c>
    </row>
    <row r="3233">
      <c r="A3233" s="2" t="n">
        <v>46232.08333333334</v>
      </c>
      <c r="B3233">
        <f>TEXT(A3233,"yyyy-mm")</f>
        <v/>
      </c>
      <c r="C3233" s="3">
        <f>HOUR(A3233)</f>
        <v/>
      </c>
      <c r="D3233" s="4" t="n">
        <v>23.34464501656944</v>
      </c>
      <c r="E3233" s="4" t="n">
        <v>27.18813800921111</v>
      </c>
      <c r="F3233" s="4" t="n">
        <v>28.69445320662778</v>
      </c>
      <c r="G3233" s="4" t="n">
        <v>15.2</v>
      </c>
      <c r="H3233" s="5" t="n">
        <v>52.71908922893889</v>
      </c>
      <c r="I3233" s="5" t="n">
        <v>44.13782859035833</v>
      </c>
      <c r="J3233" s="5" t="n">
        <v>49.30715583708889</v>
      </c>
      <c r="K3233" s="5" t="n">
        <v>88</v>
      </c>
    </row>
    <row r="3234">
      <c r="A3234" s="2" t="n">
        <v>46232.125</v>
      </c>
      <c r="B3234">
        <f>TEXT(A3234,"yyyy-mm")</f>
        <v/>
      </c>
      <c r="C3234" s="3">
        <f>HOUR(A3234)</f>
        <v/>
      </c>
      <c r="D3234" s="4" t="n">
        <v>22.83634698833056</v>
      </c>
      <c r="E3234" s="4" t="n">
        <v>27.00421502958889</v>
      </c>
      <c r="F3234" s="4" t="n">
        <v>28.68023935998056</v>
      </c>
      <c r="G3234" s="4" t="n">
        <v>14.8</v>
      </c>
      <c r="H3234" s="5" t="n">
        <v>49.14513719797222</v>
      </c>
      <c r="I3234" s="5" t="n">
        <v>41.26147105048056</v>
      </c>
      <c r="J3234" s="5" t="n">
        <v>48.96151892164722</v>
      </c>
      <c r="K3234" s="5" t="n">
        <v>84</v>
      </c>
    </row>
    <row r="3235">
      <c r="A3235" s="2" t="n">
        <v>46232.16666666666</v>
      </c>
      <c r="B3235">
        <f>TEXT(A3235,"yyyy-mm")</f>
        <v/>
      </c>
      <c r="C3235" s="3">
        <f>HOUR(A3235)</f>
        <v/>
      </c>
      <c r="D3235" s="4" t="n">
        <v>22.54288516060834</v>
      </c>
      <c r="E3235" s="4" t="n">
        <v>26.75453908161944</v>
      </c>
      <c r="F3235" s="4" t="n">
        <v>28.65280149553333</v>
      </c>
      <c r="G3235" s="4" t="n">
        <v>14.2</v>
      </c>
      <c r="H3235" s="5" t="n">
        <v>48.598651752625</v>
      </c>
      <c r="I3235" s="5" t="n">
        <v>40.23631247795</v>
      </c>
      <c r="J3235" s="5" t="n">
        <v>48.40366920013056</v>
      </c>
      <c r="K3235" s="5" t="n">
        <v>85</v>
      </c>
    </row>
    <row r="3236">
      <c r="A3236" s="2" t="n">
        <v>46232.20833333334</v>
      </c>
      <c r="B3236">
        <f>TEXT(A3236,"yyyy-mm")</f>
        <v/>
      </c>
      <c r="C3236" s="3">
        <f>HOUR(A3236)</f>
        <v/>
      </c>
      <c r="D3236" s="4" t="n">
        <v>22.16881553335277</v>
      </c>
      <c r="E3236" s="4" t="n">
        <v>26.57795084219444</v>
      </c>
      <c r="F3236" s="4" t="n">
        <v>28.62313643543889</v>
      </c>
      <c r="G3236" s="4" t="n">
        <v>13.7</v>
      </c>
      <c r="H3236" s="5" t="n">
        <v>48.20237265752778</v>
      </c>
      <c r="I3236" s="5" t="n">
        <v>39.47546107824722</v>
      </c>
      <c r="J3236" s="5" t="n">
        <v>47.91235577004445</v>
      </c>
      <c r="K3236" s="5" t="n">
        <v>86</v>
      </c>
    </row>
    <row r="3237">
      <c r="A3237" s="2" t="n">
        <v>46232.25</v>
      </c>
      <c r="B3237">
        <f>TEXT(A3237,"yyyy-mm")</f>
        <v/>
      </c>
      <c r="C3237" s="3">
        <f>HOUR(A3237)</f>
        <v/>
      </c>
      <c r="D3237" s="4" t="n">
        <v>22.67088965534167</v>
      </c>
      <c r="E3237" s="4" t="n">
        <v>26.61360414911944</v>
      </c>
      <c r="F3237" s="4" t="n">
        <v>28.60348093562778</v>
      </c>
      <c r="G3237" s="4" t="n">
        <v>13.8</v>
      </c>
      <c r="H3237" s="5" t="n">
        <v>46.256556330075</v>
      </c>
      <c r="I3237" s="5" t="n">
        <v>38.79420688003611</v>
      </c>
      <c r="J3237" s="5" t="n">
        <v>47.534212129575</v>
      </c>
      <c r="K3237" s="5" t="n">
        <v>86</v>
      </c>
    </row>
    <row r="3238">
      <c r="A3238" s="2" t="n">
        <v>46232.29166666666</v>
      </c>
      <c r="B3238">
        <f>TEXT(A3238,"yyyy-mm")</f>
        <v/>
      </c>
      <c r="C3238" s="3">
        <f>HOUR(A3238)</f>
        <v/>
      </c>
      <c r="D3238" s="4" t="n">
        <v>23.10263936822222</v>
      </c>
      <c r="E3238" s="4" t="n">
        <v>26.64740354493889</v>
      </c>
      <c r="F3238" s="4" t="n">
        <v>28.59992515822778</v>
      </c>
      <c r="G3238" s="4" t="n">
        <v>14.6</v>
      </c>
      <c r="H3238" s="5" t="n">
        <v>45.79544954617777</v>
      </c>
      <c r="I3238" s="5" t="n">
        <v>38.94511931129723</v>
      </c>
      <c r="J3238" s="5" t="n">
        <v>47.256093212175</v>
      </c>
      <c r="K3238" s="5" t="n">
        <v>82</v>
      </c>
    </row>
    <row r="3239">
      <c r="A3239" s="2" t="n">
        <v>46232.33333333334</v>
      </c>
      <c r="B3239">
        <f>TEXT(A3239,"yyyy-mm")</f>
        <v/>
      </c>
      <c r="C3239" s="3">
        <f>HOUR(A3239)</f>
        <v/>
      </c>
      <c r="D3239" s="4" t="n">
        <v>24.70542349832778</v>
      </c>
      <c r="E3239" s="4" t="n">
        <v>27.38283233298889</v>
      </c>
      <c r="F3239" s="4" t="n">
        <v>28.60696311110277</v>
      </c>
      <c r="G3239" s="4" t="n">
        <v>15.9</v>
      </c>
      <c r="H3239" s="5" t="n">
        <v>42.35165615023611</v>
      </c>
      <c r="I3239" s="5" t="n">
        <v>38.608117948975</v>
      </c>
      <c r="J3239" s="5" t="n">
        <v>47.15574820166389</v>
      </c>
      <c r="K3239" s="5" t="n">
        <v>76</v>
      </c>
    </row>
    <row r="3240">
      <c r="A3240" s="2" t="n">
        <v>46232.375</v>
      </c>
      <c r="B3240">
        <f>TEXT(A3240,"yyyy-mm")</f>
        <v/>
      </c>
      <c r="C3240" s="3">
        <f>HOUR(A3240)</f>
        <v/>
      </c>
      <c r="D3240" s="4" t="n">
        <v>25.93278937521945</v>
      </c>
      <c r="E3240" s="4" t="n">
        <v>27.81144336215556</v>
      </c>
      <c r="F3240" s="4" t="n">
        <v>28.64277873686944</v>
      </c>
      <c r="G3240" s="4" t="n">
        <v>16.2</v>
      </c>
      <c r="H3240" s="5" t="n">
        <v>40.69859205772499</v>
      </c>
      <c r="I3240" s="5" t="n">
        <v>38.27888617758055</v>
      </c>
      <c r="J3240" s="5" t="n">
        <v>47.127442616525</v>
      </c>
      <c r="K3240" s="5" t="n">
        <v>73</v>
      </c>
    </row>
    <row r="3241">
      <c r="A3241" s="2" t="n">
        <v>46232.41666666666</v>
      </c>
      <c r="B3241">
        <f>TEXT(A3241,"yyyy-mm")</f>
        <v/>
      </c>
      <c r="C3241" s="3">
        <f>HOUR(A3241)</f>
        <v/>
      </c>
      <c r="D3241" s="4" t="n">
        <v>26.10807604415833</v>
      </c>
      <c r="E3241" s="4" t="n">
        <v>27.90632663628333</v>
      </c>
      <c r="F3241" s="4" t="n">
        <v>28.67816729761667</v>
      </c>
      <c r="G3241" s="4" t="n">
        <v>17.7</v>
      </c>
      <c r="H3241" s="5" t="n">
        <v>39.07445657769444</v>
      </c>
      <c r="I3241" s="5" t="n">
        <v>37.98793421113889</v>
      </c>
      <c r="J3241" s="5" t="n">
        <v>47.11534714082777</v>
      </c>
      <c r="K3241" s="5" t="n">
        <v>70</v>
      </c>
    </row>
    <row r="3242">
      <c r="A3242" s="2" t="n">
        <v>46232.45833333334</v>
      </c>
      <c r="B3242">
        <f>TEXT(A3242,"yyyy-mm")</f>
        <v/>
      </c>
      <c r="C3242" s="3">
        <f>HOUR(A3242)</f>
        <v/>
      </c>
      <c r="D3242" s="4" t="n">
        <v>25.74730858384167</v>
      </c>
      <c r="E3242" s="4" t="n">
        <v>27.81833376774444</v>
      </c>
      <c r="F3242" s="4" t="n">
        <v>28.70445488935556</v>
      </c>
      <c r="G3242" s="4" t="n">
        <v>18.5</v>
      </c>
      <c r="H3242" s="5" t="n">
        <v>39.29836892354722</v>
      </c>
      <c r="I3242" s="5" t="n">
        <v>40.19267498676945</v>
      </c>
      <c r="J3242" s="5" t="n">
        <v>46.96048045598611</v>
      </c>
      <c r="K3242" s="5" t="n">
        <v>67</v>
      </c>
    </row>
    <row r="3243">
      <c r="A3243" s="2" t="n">
        <v>46232.5</v>
      </c>
      <c r="B3243">
        <f>TEXT(A3243,"yyyy-mm")</f>
        <v/>
      </c>
      <c r="C3243" s="3">
        <f>HOUR(A3243)</f>
        <v/>
      </c>
      <c r="D3243" s="4" t="n">
        <v>25.65910806203055</v>
      </c>
      <c r="E3243" s="4" t="n">
        <v>27.85352244498611</v>
      </c>
      <c r="F3243" s="4" t="n">
        <v>28.70793530574167</v>
      </c>
      <c r="G3243" s="4" t="n">
        <v>19.4</v>
      </c>
      <c r="H3243" s="5" t="n">
        <v>39.90216015203889</v>
      </c>
      <c r="I3243" s="5" t="n">
        <v>39.23809148942777</v>
      </c>
      <c r="J3243" s="5" t="n">
        <v>46.85094934574722</v>
      </c>
      <c r="K3243" s="5" t="n">
        <v>62</v>
      </c>
    </row>
    <row r="3244">
      <c r="A3244" s="2" t="n">
        <v>46232.54166666666</v>
      </c>
      <c r="B3244">
        <f>TEXT(A3244,"yyyy-mm")</f>
        <v/>
      </c>
      <c r="C3244" s="3">
        <f>HOUR(A3244)</f>
        <v/>
      </c>
      <c r="D3244" s="4" t="n">
        <v>25.49658586751667</v>
      </c>
      <c r="E3244" s="4" t="n">
        <v>27.80519135969445</v>
      </c>
      <c r="F3244" s="4" t="n">
        <v>28.44368432014167</v>
      </c>
      <c r="G3244" s="4" t="n">
        <v>19</v>
      </c>
      <c r="H3244" s="5" t="n">
        <v>37.93628424406666</v>
      </c>
      <c r="I3244" s="5" t="n">
        <v>36.02534706748334</v>
      </c>
      <c r="J3244" s="5" t="n">
        <v>45.26127873810278</v>
      </c>
      <c r="K3244" s="5" t="n">
        <v>59</v>
      </c>
    </row>
    <row r="3245">
      <c r="A3245" s="2" t="n">
        <v>46232.58333333334</v>
      </c>
      <c r="B3245">
        <f>TEXT(A3245,"yyyy-mm")</f>
        <v/>
      </c>
      <c r="C3245" s="3">
        <f>HOUR(A3245)</f>
        <v/>
      </c>
      <c r="D3245" s="4" t="n">
        <v>25.21632894736666</v>
      </c>
      <c r="E3245" s="4" t="n">
        <v>27.85864502185555</v>
      </c>
      <c r="F3245" s="4" t="n">
        <v>28.276988935575</v>
      </c>
      <c r="G3245" s="4" t="n">
        <v>19.7</v>
      </c>
      <c r="H3245" s="5" t="n">
        <v>38.62646588437777</v>
      </c>
      <c r="I3245" s="5" t="n">
        <v>35.86979180345556</v>
      </c>
      <c r="J3245" s="5" t="n">
        <v>45.06288933438889</v>
      </c>
      <c r="K3245" s="5" t="n">
        <v>56</v>
      </c>
    </row>
    <row r="3246">
      <c r="A3246" s="2" t="n">
        <v>46232.625</v>
      </c>
      <c r="B3246">
        <f>TEXT(A3246,"yyyy-mm")</f>
        <v/>
      </c>
      <c r="C3246" s="3">
        <f>HOUR(A3246)</f>
        <v/>
      </c>
      <c r="D3246" s="4" t="n">
        <v>25.04150411566667</v>
      </c>
      <c r="E3246" s="4" t="n">
        <v>27.65180424077223</v>
      </c>
      <c r="F3246" s="4" t="n">
        <v>28.49117704486111</v>
      </c>
      <c r="G3246" s="4" t="n">
        <v>18.7</v>
      </c>
      <c r="H3246" s="5" t="n">
        <v>40.527811711725</v>
      </c>
      <c r="I3246" s="5" t="n">
        <v>36.59364594884166</v>
      </c>
      <c r="J3246" s="5" t="n">
        <v>45.60420986800556</v>
      </c>
      <c r="K3246" s="5" t="n">
        <v>65</v>
      </c>
    </row>
    <row r="3247">
      <c r="A3247" s="2" t="n">
        <v>46232.66666666666</v>
      </c>
      <c r="B3247">
        <f>TEXT(A3247,"yyyy-mm")</f>
        <v/>
      </c>
      <c r="C3247" s="3">
        <f>HOUR(A3247)</f>
        <v/>
      </c>
      <c r="D3247" s="4" t="n">
        <v>24.96763125927778</v>
      </c>
      <c r="E3247" s="4" t="n">
        <v>27.50043838543056</v>
      </c>
      <c r="F3247" s="4" t="n">
        <v>28.5774771311</v>
      </c>
      <c r="G3247" s="4" t="n">
        <v>18.7</v>
      </c>
      <c r="H3247" s="5" t="n">
        <v>42.18852396786389</v>
      </c>
      <c r="I3247" s="5" t="n">
        <v>38.54268724000833</v>
      </c>
      <c r="J3247" s="5" t="n">
        <v>45.80739570378334</v>
      </c>
      <c r="K3247" s="5" t="n">
        <v>66</v>
      </c>
    </row>
    <row r="3248">
      <c r="A3248" s="2" t="n">
        <v>46232.70833333334</v>
      </c>
      <c r="B3248">
        <f>TEXT(A3248,"yyyy-mm")</f>
        <v/>
      </c>
      <c r="C3248" s="3">
        <f>HOUR(A3248)</f>
        <v/>
      </c>
      <c r="D3248" s="4" t="n">
        <v>24.79079149095</v>
      </c>
      <c r="E3248" s="4" t="n">
        <v>27.127848763775</v>
      </c>
      <c r="F3248" s="4" t="n">
        <v>28.629669054825</v>
      </c>
      <c r="G3248" s="4" t="n">
        <v>17.7</v>
      </c>
      <c r="H3248" s="5" t="n">
        <v>43.15993412160278</v>
      </c>
      <c r="I3248" s="5" t="n">
        <v>40.18017581856389</v>
      </c>
      <c r="J3248" s="5" t="n">
        <v>45.95472546543333</v>
      </c>
      <c r="K3248" s="5" t="n">
        <v>74</v>
      </c>
    </row>
    <row r="3249">
      <c r="A3249" s="2" t="n">
        <v>46232.75</v>
      </c>
      <c r="B3249">
        <f>TEXT(A3249,"yyyy-mm")</f>
        <v/>
      </c>
      <c r="C3249" s="3">
        <f>HOUR(A3249)</f>
        <v/>
      </c>
      <c r="D3249" s="4" t="n">
        <v>24.50538755556667</v>
      </c>
      <c r="E3249" s="4" t="n">
        <v>27.47431551247778</v>
      </c>
      <c r="F3249" s="4" t="n">
        <v>28.64414848714722</v>
      </c>
      <c r="G3249" s="4" t="n">
        <v>16.9</v>
      </c>
      <c r="H3249" s="5" t="n">
        <v>42.75614158808611</v>
      </c>
      <c r="I3249" s="5" t="n">
        <v>39.66638786203611</v>
      </c>
      <c r="J3249" s="5" t="n">
        <v>46.01120071149168</v>
      </c>
      <c r="K3249" s="5" t="n">
        <v>81</v>
      </c>
    </row>
    <row r="3250">
      <c r="A3250" s="2" t="n">
        <v>46232.79166666666</v>
      </c>
      <c r="B3250">
        <f>TEXT(A3250,"yyyy-mm")</f>
        <v/>
      </c>
      <c r="C3250" s="3">
        <f>HOUR(A3250)</f>
        <v/>
      </c>
      <c r="D3250" s="4" t="n">
        <v>24.36729771513889</v>
      </c>
      <c r="E3250" s="4" t="n">
        <v>27.71174034111666</v>
      </c>
      <c r="F3250" s="4" t="n">
        <v>28.66049273354167</v>
      </c>
      <c r="G3250" s="4" t="n">
        <v>17.5</v>
      </c>
      <c r="H3250" s="5" t="n">
        <v>42.96042333117222</v>
      </c>
      <c r="I3250" s="5" t="n">
        <v>39.25542936415556</v>
      </c>
      <c r="J3250" s="5" t="n">
        <v>45.94941657210833</v>
      </c>
      <c r="K3250" s="5" t="n">
        <v>79</v>
      </c>
    </row>
    <row r="3251">
      <c r="A3251" s="2" t="n">
        <v>46232.83333333334</v>
      </c>
      <c r="B3251">
        <f>TEXT(A3251,"yyyy-mm")</f>
        <v/>
      </c>
      <c r="C3251" s="3">
        <f>HOUR(A3251)</f>
        <v/>
      </c>
      <c r="D3251" s="4" t="n">
        <v>24.02630953649167</v>
      </c>
      <c r="E3251" s="4" t="n">
        <v>27.082727453</v>
      </c>
      <c r="F3251" s="4" t="n">
        <v>28.61744787726944</v>
      </c>
      <c r="G3251" s="4" t="n">
        <v>16.2</v>
      </c>
      <c r="H3251" s="5" t="n">
        <v>43.29531429102223</v>
      </c>
      <c r="I3251" s="5" t="n">
        <v>38.54613855592778</v>
      </c>
      <c r="J3251" s="5" t="n">
        <v>45.72329959351945</v>
      </c>
      <c r="K3251" s="5" t="n">
        <v>83</v>
      </c>
    </row>
    <row r="3252">
      <c r="A3252" s="2" t="n">
        <v>46232.875</v>
      </c>
      <c r="B3252">
        <f>TEXT(A3252,"yyyy-mm")</f>
        <v/>
      </c>
      <c r="C3252" s="3">
        <f>HOUR(A3252)</f>
        <v/>
      </c>
      <c r="D3252" s="4" t="n">
        <v>23.66833522976667</v>
      </c>
      <c r="E3252" s="4" t="n">
        <v>26.61786152386945</v>
      </c>
      <c r="F3252" s="4" t="n">
        <v>28.25732135815555</v>
      </c>
      <c r="G3252" s="4" t="n">
        <v>16</v>
      </c>
      <c r="H3252" s="5" t="n">
        <v>45.58253464820277</v>
      </c>
      <c r="I3252" s="5" t="n">
        <v>41.003730116975</v>
      </c>
      <c r="J3252" s="5" t="n">
        <v>45.63902794680556</v>
      </c>
      <c r="K3252" s="5" t="n">
        <v>84</v>
      </c>
    </row>
    <row r="3253">
      <c r="A3253" s="2" t="n">
        <v>46232.91666666666</v>
      </c>
      <c r="B3253">
        <f>TEXT(A3253,"yyyy-mm")</f>
        <v/>
      </c>
      <c r="C3253" s="3">
        <f>HOUR(A3253)</f>
        <v/>
      </c>
      <c r="D3253" s="4" t="n">
        <v>23.90717136336667</v>
      </c>
      <c r="E3253" s="4" t="n">
        <v>26.74532210357778</v>
      </c>
      <c r="F3253" s="4" t="n">
        <v>28.4039242112</v>
      </c>
      <c r="G3253" s="4" t="n">
        <v>15.8</v>
      </c>
      <c r="H3253" s="5" t="n">
        <v>46.34340546741111</v>
      </c>
      <c r="I3253" s="5" t="n">
        <v>41.76468439390278</v>
      </c>
      <c r="J3253" s="5" t="n">
        <v>45.86631628469721</v>
      </c>
      <c r="K3253" s="5" t="n">
        <v>82</v>
      </c>
    </row>
    <row r="3254">
      <c r="A3254" s="2" t="n">
        <v>46232.95833333334</v>
      </c>
      <c r="B3254">
        <f>TEXT(A3254,"yyyy-mm")</f>
        <v/>
      </c>
      <c r="C3254" s="3">
        <f>HOUR(A3254)</f>
        <v/>
      </c>
      <c r="D3254" s="4" t="n">
        <v>23.62025935196666</v>
      </c>
      <c r="E3254" s="4" t="n">
        <v>27.09154148809722</v>
      </c>
      <c r="F3254" s="4" t="n">
        <v>28.53396224988889</v>
      </c>
      <c r="G3254" s="4" t="n">
        <v>15.5</v>
      </c>
      <c r="H3254" s="5" t="n">
        <v>46.68652375721667</v>
      </c>
      <c r="I3254" s="5" t="n">
        <v>41.08259317781111</v>
      </c>
      <c r="J3254" s="5" t="n">
        <v>45.90783497844444</v>
      </c>
      <c r="K3254" s="5" t="n">
        <v>79</v>
      </c>
    </row>
    <row r="3255">
      <c r="A3255" s="2" t="n">
        <v>46233</v>
      </c>
      <c r="B3255">
        <f>TEXT(A3255,"yyyy-mm")</f>
        <v/>
      </c>
      <c r="C3255" s="3">
        <f>HOUR(A3255)</f>
        <v/>
      </c>
      <c r="D3255" s="4" t="n">
        <v>23.46665807749721</v>
      </c>
      <c r="E3255" s="4" t="n">
        <v>27.17024907097778</v>
      </c>
      <c r="F3255" s="4" t="n">
        <v>28.58371367361389</v>
      </c>
      <c r="G3255" s="4" t="n">
        <v>15.1</v>
      </c>
      <c r="H3255" s="5" t="n">
        <v>46.57593915431389</v>
      </c>
      <c r="I3255" s="5" t="n">
        <v>40.248498094675</v>
      </c>
      <c r="J3255" s="5" t="n">
        <v>45.90214558623889</v>
      </c>
      <c r="K3255" s="5" t="n">
        <v>79</v>
      </c>
    </row>
    <row r="3256">
      <c r="A3256" s="2" t="n">
        <v>46233.04166666666</v>
      </c>
      <c r="B3256">
        <f>TEXT(A3256,"yyyy-mm")</f>
        <v/>
      </c>
      <c r="C3256" s="3">
        <f>HOUR(A3256)</f>
        <v/>
      </c>
      <c r="D3256" s="4" t="n">
        <v>22.61141094470556</v>
      </c>
      <c r="E3256" s="4" t="n">
        <v>26.55171511973333</v>
      </c>
      <c r="F3256" s="4" t="n">
        <v>28.56949044642778</v>
      </c>
      <c r="G3256" s="4" t="n">
        <v>14.8</v>
      </c>
      <c r="H3256" s="5" t="n">
        <v>47.96432308076111</v>
      </c>
      <c r="I3256" s="5" t="n">
        <v>40.76370217573611</v>
      </c>
      <c r="J3256" s="5" t="n">
        <v>45.87703587427777</v>
      </c>
      <c r="K3256" s="5" t="n">
        <v>80</v>
      </c>
    </row>
    <row r="3257">
      <c r="A3257" s="2" t="n">
        <v>46233.08333333334</v>
      </c>
      <c r="B3257">
        <f>TEXT(A3257,"yyyy-mm")</f>
        <v/>
      </c>
      <c r="C3257" s="3">
        <f>HOUR(A3257)</f>
        <v/>
      </c>
      <c r="D3257" s="4" t="n">
        <v>22.25701358430834</v>
      </c>
      <c r="E3257" s="4" t="n">
        <v>25.98141720618611</v>
      </c>
      <c r="F3257" s="4" t="n">
        <v>28.54949684809167</v>
      </c>
      <c r="G3257" s="4" t="n">
        <v>14.5</v>
      </c>
      <c r="H3257" s="5" t="n">
        <v>48.03436620023889</v>
      </c>
      <c r="I3257" s="5" t="n">
        <v>40.53610320243611</v>
      </c>
      <c r="J3257" s="5" t="n">
        <v>45.73071783016945</v>
      </c>
      <c r="K3257" s="5" t="n">
        <v>80</v>
      </c>
    </row>
    <row r="3258">
      <c r="A3258" s="2" t="n">
        <v>46233.125</v>
      </c>
      <c r="B3258">
        <f>TEXT(A3258,"yyyy-mm")</f>
        <v/>
      </c>
      <c r="C3258" s="3">
        <f>HOUR(A3258)</f>
        <v/>
      </c>
      <c r="D3258" s="4" t="n">
        <v>22.09911863301667</v>
      </c>
      <c r="E3258" s="4" t="n">
        <v>25.90844397075277</v>
      </c>
      <c r="F3258" s="4" t="n">
        <v>28.51998410780278</v>
      </c>
      <c r="G3258" s="4" t="n">
        <v>13.8</v>
      </c>
      <c r="H3258" s="5" t="n">
        <v>48.3458335673</v>
      </c>
      <c r="I3258" s="5" t="n">
        <v>40.40840794495278</v>
      </c>
      <c r="J3258" s="5" t="n">
        <v>45.57752456048612</v>
      </c>
      <c r="K3258" s="5" t="n">
        <v>84</v>
      </c>
    </row>
    <row r="3259">
      <c r="A3259" s="2" t="n">
        <v>46233.16666666666</v>
      </c>
      <c r="B3259">
        <f>TEXT(A3259,"yyyy-mm")</f>
        <v/>
      </c>
      <c r="C3259" s="3">
        <f>HOUR(A3259)</f>
        <v/>
      </c>
      <c r="D3259" s="4" t="n"/>
      <c r="E3259" s="4" t="n">
        <v>25.36470027759722</v>
      </c>
      <c r="F3259" s="4" t="n">
        <v>28.47799667771111</v>
      </c>
      <c r="G3259" s="4" t="n">
        <v>13.5</v>
      </c>
      <c r="H3259" s="5" t="n"/>
      <c r="I3259" s="5" t="n">
        <v>40.88198603876945</v>
      </c>
      <c r="J3259" s="5" t="n">
        <v>45.44741552450833</v>
      </c>
      <c r="K3259" s="5" t="n">
        <v>82</v>
      </c>
    </row>
    <row r="3260">
      <c r="A3260" s="2" t="n">
        <v>46233.20833333334</v>
      </c>
      <c r="B3260">
        <f>TEXT(A3260,"yyyy-mm")</f>
        <v/>
      </c>
      <c r="C3260" s="3">
        <f>HOUR(A3260)</f>
        <v/>
      </c>
      <c r="D3260" s="4" t="n"/>
      <c r="E3260" s="4" t="n">
        <v>25.12030026799444</v>
      </c>
      <c r="F3260" s="4" t="n">
        <v>28.44510956947778</v>
      </c>
      <c r="G3260" s="4" t="n">
        <v>13.2</v>
      </c>
      <c r="H3260" s="5" t="n"/>
      <c r="I3260" s="5" t="n">
        <v>40.57189764966945</v>
      </c>
      <c r="J3260" s="5" t="n">
        <v>45.17493103329166</v>
      </c>
      <c r="K3260" s="5" t="n">
        <v>80</v>
      </c>
    </row>
    <row r="3261">
      <c r="A3261" s="2" t="n">
        <v>46233.25</v>
      </c>
      <c r="B3261">
        <f>TEXT(A3261,"yyyy-mm")</f>
        <v/>
      </c>
      <c r="C3261" s="3">
        <f>HOUR(A3261)</f>
        <v/>
      </c>
      <c r="D3261" s="4" t="n"/>
      <c r="E3261" s="4" t="n">
        <v>25.22862093631667</v>
      </c>
      <c r="F3261" s="4" t="n">
        <v>28.42043291281389</v>
      </c>
      <c r="G3261" s="4" t="n">
        <v>13.4</v>
      </c>
      <c r="H3261" s="5" t="n"/>
      <c r="I3261" s="5" t="n">
        <v>39.58649617094444</v>
      </c>
      <c r="J3261" s="5" t="n">
        <v>45.00599302880556</v>
      </c>
      <c r="K3261" s="5" t="n">
        <v>79</v>
      </c>
    </row>
    <row r="3262">
      <c r="A3262" s="2" t="n">
        <v>46233.29166666666</v>
      </c>
      <c r="B3262">
        <f>TEXT(A3262,"yyyy-mm")</f>
        <v/>
      </c>
      <c r="C3262" s="3">
        <f>HOUR(A3262)</f>
        <v/>
      </c>
      <c r="D3262" s="4" t="n">
        <v>23.78045259658697</v>
      </c>
      <c r="E3262" s="4" t="n">
        <v>25.53711196092777</v>
      </c>
      <c r="F3262" s="4" t="n">
        <v>28.42802229715556</v>
      </c>
      <c r="G3262" s="4" t="n">
        <v>14.5</v>
      </c>
      <c r="H3262" s="5" t="n">
        <v>41.25623952960112</v>
      </c>
      <c r="I3262" s="5" t="n">
        <v>38.66873011510555</v>
      </c>
      <c r="J3262" s="5" t="n">
        <v>45.04732858556944</v>
      </c>
      <c r="K3262" s="5" t="n">
        <v>77</v>
      </c>
    </row>
    <row r="3263">
      <c r="A3263" s="2" t="n">
        <v>46233.33333333334</v>
      </c>
      <c r="B3263">
        <f>TEXT(A3263,"yyyy-mm")</f>
        <v/>
      </c>
      <c r="C3263" s="3">
        <f>HOUR(A3263)</f>
        <v/>
      </c>
      <c r="D3263" s="4" t="n">
        <v>24.72724593125</v>
      </c>
      <c r="E3263" s="4" t="n">
        <v>26.23810897501111</v>
      </c>
      <c r="F3263" s="4" t="n">
        <v>28.46020554181666</v>
      </c>
      <c r="G3263" s="4" t="n">
        <v>15.9</v>
      </c>
      <c r="H3263" s="5" t="n">
        <v>39.98376520649722</v>
      </c>
      <c r="I3263" s="5" t="n">
        <v>38.53497928766111</v>
      </c>
      <c r="J3263" s="5" t="n">
        <v>45.02036244809722</v>
      </c>
      <c r="K3263" s="5" t="n">
        <v>73</v>
      </c>
    </row>
    <row r="3264">
      <c r="A3264" s="2" t="n">
        <v>46233.375</v>
      </c>
      <c r="B3264">
        <f>TEXT(A3264,"yyyy-mm")</f>
        <v/>
      </c>
      <c r="C3264" s="3">
        <f>HOUR(A3264)</f>
        <v/>
      </c>
      <c r="D3264" s="4" t="n">
        <v>25.28394601220833</v>
      </c>
      <c r="E3264" s="4" t="n">
        <v>26.37134948598611</v>
      </c>
      <c r="F3264" s="4" t="n">
        <v>28.49515306501389</v>
      </c>
      <c r="G3264" s="4" t="n">
        <v>17.9</v>
      </c>
      <c r="H3264" s="5" t="n">
        <v>39.01754371215</v>
      </c>
      <c r="I3264" s="5" t="n">
        <v>38.96858612688333</v>
      </c>
      <c r="J3264" s="5" t="n">
        <v>45.05435738494722</v>
      </c>
      <c r="K3264" s="5" t="n">
        <v>67</v>
      </c>
    </row>
    <row r="3265">
      <c r="A3265" s="2" t="n">
        <v>46233.41666666666</v>
      </c>
      <c r="B3265">
        <f>TEXT(A3265,"yyyy-mm")</f>
        <v/>
      </c>
      <c r="C3265" s="3">
        <f>HOUR(A3265)</f>
        <v/>
      </c>
      <c r="D3265" s="4" t="n">
        <v>25.488281241775</v>
      </c>
      <c r="E3265" s="4" t="n">
        <v>26.45274802966667</v>
      </c>
      <c r="F3265" s="4" t="n">
        <v>28.52570551581667</v>
      </c>
      <c r="G3265" s="4" t="n">
        <v>19.5</v>
      </c>
      <c r="H3265" s="5" t="n">
        <v>38.76476219506389</v>
      </c>
      <c r="I3265" s="5" t="n">
        <v>38.55932324345278</v>
      </c>
      <c r="J3265" s="5" t="n">
        <v>45.07019215733334</v>
      </c>
      <c r="K3265" s="5" t="n">
        <v>63</v>
      </c>
    </row>
    <row r="3266">
      <c r="A3266" s="2" t="n">
        <v>46233.45833333334</v>
      </c>
      <c r="B3266">
        <f>TEXT(A3266,"yyyy-mm")</f>
        <v/>
      </c>
      <c r="C3266" s="3">
        <f>HOUR(A3266)</f>
        <v/>
      </c>
      <c r="D3266" s="4" t="n">
        <v>25.34017934311111</v>
      </c>
      <c r="E3266" s="4" t="n">
        <v>26.73482369006667</v>
      </c>
      <c r="F3266" s="4" t="n">
        <v>28.55264170080556</v>
      </c>
      <c r="G3266" s="4" t="n">
        <v>20.8</v>
      </c>
      <c r="H3266" s="5" t="n">
        <v>38.86386052195278</v>
      </c>
      <c r="I3266" s="5" t="n">
        <v>38.52559214071945</v>
      </c>
      <c r="J3266" s="5" t="n">
        <v>45.14688444294444</v>
      </c>
      <c r="K3266" s="5" t="n">
        <v>57</v>
      </c>
    </row>
    <row r="3267">
      <c r="A3267" s="2" t="n">
        <v>46233.5</v>
      </c>
      <c r="B3267">
        <f>TEXT(A3267,"yyyy-mm")</f>
        <v/>
      </c>
      <c r="C3267" s="3">
        <f>HOUR(A3267)</f>
        <v/>
      </c>
      <c r="D3267" s="4" t="n">
        <v>25.24002660966945</v>
      </c>
      <c r="E3267" s="4" t="n">
        <v>26.64188869364444</v>
      </c>
      <c r="F3267" s="4" t="n">
        <v>28.56358173563611</v>
      </c>
      <c r="G3267" s="4" t="n">
        <v>21.8</v>
      </c>
      <c r="H3267" s="5" t="n">
        <v>38.13280311374445</v>
      </c>
      <c r="I3267" s="5" t="n">
        <v>37.590985266</v>
      </c>
      <c r="J3267" s="5" t="n">
        <v>45.11523585063611</v>
      </c>
      <c r="K3267" s="5" t="n">
        <v>51</v>
      </c>
    </row>
    <row r="3268">
      <c r="A3268" s="2" t="n">
        <v>46233.54166666666</v>
      </c>
      <c r="B3268">
        <f>TEXT(A3268,"yyyy-mm")</f>
        <v/>
      </c>
      <c r="C3268" s="3">
        <f>HOUR(A3268)</f>
        <v/>
      </c>
      <c r="D3268" s="4" t="n">
        <v>25.36119723614722</v>
      </c>
      <c r="E3268" s="4" t="n">
        <v>26.81631311563333</v>
      </c>
      <c r="F3268" s="4" t="n">
        <v>28.57071322499167</v>
      </c>
      <c r="G3268" s="4" t="n">
        <v>21.8</v>
      </c>
      <c r="H3268" s="5" t="n">
        <v>35.83709126607222</v>
      </c>
      <c r="I3268" s="5" t="n">
        <v>36.88299385002222</v>
      </c>
      <c r="J3268" s="5" t="n">
        <v>44.998840029575</v>
      </c>
      <c r="K3268" s="5" t="n">
        <v>51</v>
      </c>
    </row>
    <row r="3269">
      <c r="A3269" s="2" t="n">
        <v>46233.58333333334</v>
      </c>
      <c r="B3269">
        <f>TEXT(A3269,"yyyy-mm")</f>
        <v/>
      </c>
      <c r="C3269" s="3">
        <f>HOUR(A3269)</f>
        <v/>
      </c>
      <c r="D3269" s="4" t="n">
        <v>24.76045182403334</v>
      </c>
      <c r="E3269" s="4" t="n">
        <v>26.70567287769722</v>
      </c>
      <c r="F3269" s="4" t="n">
        <v>28.19749619189444</v>
      </c>
      <c r="G3269" s="4" t="n">
        <v>21.4</v>
      </c>
      <c r="H3269" s="5" t="n">
        <v>38.18045769559166</v>
      </c>
      <c r="I3269" s="5" t="n">
        <v>36.30077930266945</v>
      </c>
      <c r="J3269" s="5" t="n">
        <v>42.98359262062223</v>
      </c>
      <c r="K3269" s="5" t="n">
        <v>52</v>
      </c>
    </row>
    <row r="3270">
      <c r="A3270" s="2" t="n">
        <v>46233.625</v>
      </c>
      <c r="B3270">
        <f>TEXT(A3270,"yyyy-mm")</f>
        <v/>
      </c>
      <c r="C3270" s="3">
        <f>HOUR(A3270)</f>
        <v/>
      </c>
      <c r="D3270" s="4" t="n">
        <v>23.73002768293056</v>
      </c>
      <c r="E3270" s="4" t="n">
        <v>26.40504808168056</v>
      </c>
      <c r="F3270" s="4" t="n">
        <v>28.26996420813889</v>
      </c>
      <c r="G3270" s="4" t="n">
        <v>21.1</v>
      </c>
      <c r="H3270" s="5" t="n">
        <v>46.524731655925</v>
      </c>
      <c r="I3270" s="5" t="n">
        <v>40.75782275460556</v>
      </c>
      <c r="J3270" s="5" t="n">
        <v>44.29192892177222</v>
      </c>
      <c r="K3270" s="5" t="n">
        <v>55</v>
      </c>
    </row>
    <row r="3271">
      <c r="A3271" s="2" t="n">
        <v>46233.66666666666</v>
      </c>
      <c r="B3271">
        <f>TEXT(A3271,"yyyy-mm")</f>
        <v/>
      </c>
      <c r="C3271" s="3">
        <f>HOUR(A3271)</f>
        <v/>
      </c>
      <c r="D3271" s="4" t="n">
        <v>24.13926072705556</v>
      </c>
      <c r="E3271" s="4" t="n">
        <v>26.49375253139166</v>
      </c>
      <c r="F3271" s="4" t="n">
        <v>28.25752333205</v>
      </c>
      <c r="G3271" s="4" t="n">
        <v>20.4</v>
      </c>
      <c r="H3271" s="5" t="n">
        <v>44.40560267016111</v>
      </c>
      <c r="I3271" s="5" t="n">
        <v>40.41613415892223</v>
      </c>
      <c r="J3271" s="5" t="n">
        <v>44.73637449649167</v>
      </c>
      <c r="K3271" s="5" t="n">
        <v>60</v>
      </c>
    </row>
    <row r="3272">
      <c r="A3272" s="2" t="n">
        <v>46233.70833333334</v>
      </c>
      <c r="B3272">
        <f>TEXT(A3272,"yyyy-mm")</f>
        <v/>
      </c>
      <c r="C3272" s="3">
        <f>HOUR(A3272)</f>
        <v/>
      </c>
      <c r="D3272" s="4" t="n">
        <v>24.19536026936667</v>
      </c>
      <c r="E3272" s="4" t="n">
        <v>26.34555194999722</v>
      </c>
      <c r="F3272" s="4" t="n">
        <v>28.231370849625</v>
      </c>
      <c r="G3272" s="4" t="n">
        <v>20.4</v>
      </c>
      <c r="H3272" s="5" t="n">
        <v>43.3776841628389</v>
      </c>
      <c r="I3272" s="5" t="n">
        <v>39.69696839798611</v>
      </c>
      <c r="J3272" s="5" t="n">
        <v>44.89835194762222</v>
      </c>
      <c r="K3272" s="5" t="n">
        <v>63</v>
      </c>
    </row>
    <row r="3273">
      <c r="A3273" s="2" t="n">
        <v>46233.75</v>
      </c>
      <c r="B3273">
        <f>TEXT(A3273,"yyyy-mm")</f>
        <v/>
      </c>
      <c r="C3273" s="3">
        <f>HOUR(A3273)</f>
        <v/>
      </c>
      <c r="D3273" s="4" t="n">
        <v>24.15651842938056</v>
      </c>
      <c r="E3273" s="4" t="n">
        <v>26.443553975625</v>
      </c>
      <c r="F3273" s="4" t="n">
        <v>28.21199725078333</v>
      </c>
      <c r="G3273" s="4" t="n">
        <v>20.5</v>
      </c>
      <c r="H3273" s="5" t="n">
        <v>44.71687021095834</v>
      </c>
      <c r="I3273" s="5" t="n">
        <v>40.20979875389167</v>
      </c>
      <c r="J3273" s="5" t="n">
        <v>45.02464633063611</v>
      </c>
      <c r="K3273" s="5" t="n">
        <v>65</v>
      </c>
    </row>
    <row r="3274">
      <c r="A3274" s="2" t="n">
        <v>46233.79166666666</v>
      </c>
      <c r="B3274">
        <f>TEXT(A3274,"yyyy-mm")</f>
        <v/>
      </c>
      <c r="C3274" s="3">
        <f>HOUR(A3274)</f>
        <v/>
      </c>
      <c r="D3274" s="4" t="n">
        <v>24.04431350020556</v>
      </c>
      <c r="E3274" s="4" t="n">
        <v>26.56817325129167</v>
      </c>
      <c r="F3274" s="4" t="n">
        <v>28.17933014798611</v>
      </c>
      <c r="G3274" s="4" t="n">
        <v>20.2</v>
      </c>
      <c r="H3274" s="5" t="n">
        <v>46.39298620747778</v>
      </c>
      <c r="I3274" s="5" t="n">
        <v>41.20785960768334</v>
      </c>
      <c r="J3274" s="5" t="n">
        <v>45.19243501677778</v>
      </c>
      <c r="K3274" s="5" t="n">
        <v>66</v>
      </c>
    </row>
    <row r="3275">
      <c r="A3275" s="2" t="n">
        <v>46233.83333333334</v>
      </c>
      <c r="B3275">
        <f>TEXT(A3275,"yyyy-mm")</f>
        <v/>
      </c>
      <c r="C3275" s="3">
        <f>HOUR(A3275)</f>
        <v/>
      </c>
      <c r="D3275" s="4" t="n">
        <v>23.71329626513056</v>
      </c>
      <c r="E3275" s="4" t="n">
        <v>26.52071024469722</v>
      </c>
      <c r="F3275" s="4" t="n">
        <v>28.16997214425277</v>
      </c>
      <c r="G3275" s="4" t="n">
        <v>18.9</v>
      </c>
      <c r="H3275" s="5" t="n">
        <v>48.60413524321388</v>
      </c>
      <c r="I3275" s="5" t="n">
        <v>44.23430202691389</v>
      </c>
      <c r="J3275" s="5" t="n">
        <v>45.35747946417499</v>
      </c>
      <c r="K3275" s="5" t="n">
        <v>73</v>
      </c>
    </row>
    <row r="3276">
      <c r="A3276" s="2" t="n">
        <v>46233.875</v>
      </c>
      <c r="B3276">
        <f>TEXT(A3276,"yyyy-mm")</f>
        <v/>
      </c>
      <c r="C3276" s="3">
        <f>HOUR(A3276)</f>
        <v/>
      </c>
      <c r="D3276" s="4" t="n">
        <v>23.72367135997222</v>
      </c>
      <c r="E3276" s="4" t="n">
        <v>26.63689928580833</v>
      </c>
      <c r="F3276" s="4" t="n">
        <v>28.16206997636666</v>
      </c>
      <c r="G3276" s="4" t="n">
        <v>18</v>
      </c>
      <c r="H3276" s="5" t="n">
        <v>48.97039686304723</v>
      </c>
      <c r="I3276" s="5" t="n">
        <v>43.44160792036666</v>
      </c>
      <c r="J3276" s="5" t="n">
        <v>45.56965042508333</v>
      </c>
      <c r="K3276" s="5" t="n">
        <v>77</v>
      </c>
    </row>
    <row r="3277">
      <c r="A3277" s="2" t="n">
        <v>46233.91666666666</v>
      </c>
      <c r="B3277">
        <f>TEXT(A3277,"yyyy-mm")</f>
        <v/>
      </c>
      <c r="C3277" s="3">
        <f>HOUR(A3277)</f>
        <v/>
      </c>
      <c r="D3277" s="4" t="n">
        <v>23.51525097591111</v>
      </c>
      <c r="E3277" s="4" t="n">
        <v>26.67729644178611</v>
      </c>
      <c r="F3277" s="4" t="n">
        <v>28.14521131391111</v>
      </c>
      <c r="G3277" s="4" t="n">
        <v>17.6</v>
      </c>
      <c r="H3277" s="5" t="n">
        <v>50.43599794291944</v>
      </c>
      <c r="I3277" s="5" t="n">
        <v>45.87092511498056</v>
      </c>
      <c r="J3277" s="5" t="n">
        <v>45.82176939638888</v>
      </c>
      <c r="K3277" s="5" t="n">
        <v>81</v>
      </c>
    </row>
    <row r="3278">
      <c r="A3278" s="2" t="n">
        <v>46233.95833333334</v>
      </c>
      <c r="B3278">
        <f>TEXT(A3278,"yyyy-mm")</f>
        <v/>
      </c>
      <c r="C3278" s="3">
        <f>HOUR(A3278)</f>
        <v/>
      </c>
      <c r="D3278" s="4" t="n">
        <v>23.92497205343611</v>
      </c>
      <c r="E3278" s="4" t="n">
        <v>26.97687592194444</v>
      </c>
      <c r="F3278" s="4" t="n">
        <v>28.14418567911111</v>
      </c>
      <c r="G3278" s="4" t="n">
        <v>17</v>
      </c>
      <c r="H3278" s="5" t="n">
        <v>50.10907213445278</v>
      </c>
      <c r="I3278" s="5" t="n">
        <v>45.50168936852222</v>
      </c>
      <c r="J3278" s="5" t="n">
        <v>46.06856147742223</v>
      </c>
      <c r="K3278" s="5" t="n">
        <v>84</v>
      </c>
    </row>
    <row r="3279">
      <c r="A3279" s="2" t="n">
        <v>46234</v>
      </c>
      <c r="B3279">
        <f>TEXT(A3279,"yyyy-mm")</f>
        <v/>
      </c>
      <c r="C3279" s="3">
        <f>HOUR(A3279)</f>
        <v/>
      </c>
      <c r="D3279" s="4" t="n">
        <v>24.04534267640556</v>
      </c>
      <c r="E3279" s="4" t="n">
        <v>26.97330685317222</v>
      </c>
      <c r="F3279" s="4" t="n">
        <v>28.14358285966667</v>
      </c>
      <c r="G3279" s="4" t="n">
        <v>16.6</v>
      </c>
      <c r="H3279" s="5" t="n">
        <v>50.09418837059167</v>
      </c>
      <c r="I3279" s="5" t="n">
        <v>45.81497381770833</v>
      </c>
      <c r="J3279" s="5" t="n">
        <v>46.15603052246944</v>
      </c>
      <c r="K3279" s="5" t="n">
        <v>87</v>
      </c>
    </row>
    <row r="3280">
      <c r="A3280" s="2" t="n">
        <v>46234.04166666666</v>
      </c>
      <c r="B3280">
        <f>TEXT(A3280,"yyyy-mm")</f>
        <v/>
      </c>
      <c r="C3280" s="3">
        <f>HOUR(A3280)</f>
        <v/>
      </c>
      <c r="D3280" s="4" t="n">
        <v>23.563927525975</v>
      </c>
      <c r="E3280" s="4" t="n">
        <v>26.51798462045</v>
      </c>
      <c r="F3280" s="4" t="n">
        <v>28.11205405995556</v>
      </c>
      <c r="G3280" s="4" t="n">
        <v>16.2</v>
      </c>
      <c r="H3280" s="5" t="n">
        <v>52.34798074876389</v>
      </c>
      <c r="I3280" s="5" t="n">
        <v>46.43631421129722</v>
      </c>
      <c r="J3280" s="5" t="n">
        <v>46.52637971283334</v>
      </c>
      <c r="K3280" s="5" t="n">
        <v>88</v>
      </c>
    </row>
    <row r="3281">
      <c r="A3281" s="2" t="n">
        <v>46234.08333333334</v>
      </c>
      <c r="B3281">
        <f>TEXT(A3281,"yyyy-mm")</f>
        <v/>
      </c>
      <c r="C3281" s="3">
        <f>HOUR(A3281)</f>
        <v/>
      </c>
      <c r="D3281" s="4" t="n">
        <v>23.21610452051944</v>
      </c>
      <c r="E3281" s="4" t="n">
        <v>26.19085178310833</v>
      </c>
      <c r="F3281" s="4" t="n">
        <v>28.0964701404</v>
      </c>
      <c r="G3281" s="4" t="n">
        <v>16</v>
      </c>
      <c r="H3281" s="5" t="n">
        <v>52.46980931806944</v>
      </c>
      <c r="I3281" s="5" t="n">
        <v>45.87402008060834</v>
      </c>
      <c r="J3281" s="5" t="n">
        <v>46.65162579331389</v>
      </c>
      <c r="K3281" s="5" t="n">
        <v>88</v>
      </c>
    </row>
    <row r="3282">
      <c r="A3282" s="2" t="n">
        <v>46234.125</v>
      </c>
      <c r="B3282">
        <f>TEXT(A3282,"yyyy-mm")</f>
        <v/>
      </c>
      <c r="C3282" s="3">
        <f>HOUR(A3282)</f>
        <v/>
      </c>
      <c r="D3282" s="4" t="n">
        <v>22.54295699304445</v>
      </c>
      <c r="E3282" s="4" t="n">
        <v>25.95928690767778</v>
      </c>
      <c r="F3282" s="4" t="n">
        <v>28.06194941070833</v>
      </c>
      <c r="G3282" s="4" t="n">
        <v>15.5</v>
      </c>
      <c r="H3282" s="5" t="n">
        <v>53.55357330367777</v>
      </c>
      <c r="I3282" s="5" t="n">
        <v>45.26958194696945</v>
      </c>
      <c r="J3282" s="5" t="n">
        <v>46.83535656383055</v>
      </c>
      <c r="K3282" s="5" t="n">
        <v>87</v>
      </c>
    </row>
    <row r="3283">
      <c r="A3283" s="2" t="n">
        <v>46234.16666666666</v>
      </c>
      <c r="B3283">
        <f>TEXT(A3283,"yyyy-mm")</f>
        <v/>
      </c>
      <c r="C3283" s="3">
        <f>HOUR(A3283)</f>
        <v/>
      </c>
      <c r="D3283" s="4" t="n">
        <v>22.21030405293333</v>
      </c>
      <c r="E3283" s="4" t="n">
        <v>25.72122856508333</v>
      </c>
      <c r="F3283" s="4" t="n">
        <v>28.01598500913056</v>
      </c>
      <c r="G3283" s="4" t="n">
        <v>15.5</v>
      </c>
      <c r="H3283" s="5" t="n">
        <v>53.84531227954167</v>
      </c>
      <c r="I3283" s="5" t="n">
        <v>44.89360514604167</v>
      </c>
      <c r="J3283" s="5" t="n">
        <v>47.01071592565</v>
      </c>
      <c r="K3283" s="5" t="n">
        <v>87</v>
      </c>
    </row>
    <row r="3284">
      <c r="A3284" s="2" t="n">
        <v>46234.20833333334</v>
      </c>
      <c r="B3284">
        <f>TEXT(A3284,"yyyy-mm")</f>
        <v/>
      </c>
      <c r="C3284" s="3">
        <f>HOUR(A3284)</f>
        <v/>
      </c>
      <c r="D3284" s="4" t="n">
        <v>22.312303198675</v>
      </c>
      <c r="E3284" s="4" t="n">
        <v>25.65210796225</v>
      </c>
      <c r="F3284" s="4" t="n">
        <v>27.97730180953333</v>
      </c>
      <c r="G3284" s="4" t="n">
        <v>15.3</v>
      </c>
      <c r="H3284" s="5" t="n">
        <v>52.79130893530555</v>
      </c>
      <c r="I3284" s="5" t="n">
        <v>44.44462853738056</v>
      </c>
      <c r="J3284" s="5" t="n">
        <v>46.97592631228334</v>
      </c>
      <c r="K3284" s="5" t="n">
        <v>86</v>
      </c>
    </row>
    <row r="3285">
      <c r="A3285" s="2" t="n">
        <v>46234.25</v>
      </c>
      <c r="B3285">
        <f>TEXT(A3285,"yyyy-mm")</f>
        <v/>
      </c>
      <c r="C3285" s="3">
        <f>HOUR(A3285)</f>
        <v/>
      </c>
      <c r="D3285" s="4" t="n">
        <v>23.52366911948333</v>
      </c>
      <c r="E3285" s="4" t="n">
        <v>25.93932787221945</v>
      </c>
      <c r="F3285" s="4" t="n">
        <v>27.95794413641945</v>
      </c>
      <c r="G3285" s="4" t="n">
        <v>15.6</v>
      </c>
      <c r="H3285" s="5" t="n">
        <v>49.11454645012222</v>
      </c>
      <c r="I3285" s="5" t="n">
        <v>43.99681485233611</v>
      </c>
      <c r="J3285" s="5" t="n">
        <v>46.85161557026667</v>
      </c>
      <c r="K3285" s="5" t="n">
        <v>84</v>
      </c>
    </row>
    <row r="3286">
      <c r="A3286" s="2" t="n">
        <v>46234.29166666666</v>
      </c>
      <c r="B3286">
        <f>TEXT(A3286,"yyyy-mm")</f>
        <v/>
      </c>
      <c r="C3286" s="3">
        <f>HOUR(A3286)</f>
        <v/>
      </c>
      <c r="D3286" s="4" t="n">
        <v>24.78285818099444</v>
      </c>
      <c r="E3286" s="4" t="n">
        <v>26.44668370027222</v>
      </c>
      <c r="F3286" s="4" t="n">
        <v>27.96199165074445</v>
      </c>
      <c r="G3286" s="4" t="n">
        <v>16.7</v>
      </c>
      <c r="H3286" s="5" t="n">
        <v>45.95577350390278</v>
      </c>
      <c r="I3286" s="5" t="n">
        <v>43.43330540713056</v>
      </c>
      <c r="J3286" s="5" t="n">
        <v>46.72106040985</v>
      </c>
      <c r="K3286" s="5" t="n">
        <v>81</v>
      </c>
    </row>
    <row r="3287">
      <c r="A3287" s="2" t="n">
        <v>46234.33333333334</v>
      </c>
      <c r="B3287">
        <f>TEXT(A3287,"yyyy-mm")</f>
        <v/>
      </c>
      <c r="C3287" s="3">
        <f>HOUR(A3287)</f>
        <v/>
      </c>
      <c r="D3287" s="4" t="n">
        <v>25.75669216096667</v>
      </c>
      <c r="E3287" s="4" t="n">
        <v>27.21423126551944</v>
      </c>
      <c r="F3287" s="4" t="n">
        <v>27.9833905753</v>
      </c>
      <c r="G3287" s="4" t="n">
        <v>18.2</v>
      </c>
      <c r="H3287" s="5" t="n">
        <v>44.69123249105834</v>
      </c>
      <c r="I3287" s="5" t="n">
        <v>42.19370462889167</v>
      </c>
      <c r="J3287" s="5" t="n">
        <v>46.70985792102223</v>
      </c>
      <c r="K3287" s="5" t="n">
        <v>75</v>
      </c>
    </row>
    <row r="3288">
      <c r="A3288" s="2" t="n">
        <v>46234.375</v>
      </c>
      <c r="B3288">
        <f>TEXT(A3288,"yyyy-mm")</f>
        <v/>
      </c>
      <c r="C3288" s="3">
        <f>HOUR(A3288)</f>
        <v/>
      </c>
      <c r="D3288" s="4" t="n">
        <v>26.41069260336389</v>
      </c>
      <c r="E3288" s="4" t="n">
        <v>27.58261964044167</v>
      </c>
      <c r="F3288" s="4" t="n">
        <v>28.01913380894167</v>
      </c>
      <c r="G3288" s="4" t="n">
        <v>20.4</v>
      </c>
      <c r="H3288" s="5" t="n">
        <v>44.32429954696945</v>
      </c>
      <c r="I3288" s="5" t="n">
        <v>42.24429410490556</v>
      </c>
      <c r="J3288" s="5" t="n">
        <v>46.69548384737777</v>
      </c>
      <c r="K3288" s="5" t="n">
        <v>69</v>
      </c>
    </row>
    <row r="3289">
      <c r="A3289" s="2" t="n">
        <v>46234.41666666666</v>
      </c>
      <c r="B3289">
        <f>TEXT(A3289,"yyyy-mm")</f>
        <v/>
      </c>
      <c r="C3289" s="3">
        <f>HOUR(A3289)</f>
        <v/>
      </c>
      <c r="D3289" s="4" t="n">
        <v>26.55017224452222</v>
      </c>
      <c r="E3289" s="4" t="n">
        <v>27.83075884436944</v>
      </c>
      <c r="F3289" s="4" t="n">
        <v>28.04445592440278</v>
      </c>
      <c r="G3289" s="4" t="n">
        <v>22</v>
      </c>
      <c r="H3289" s="5" t="n">
        <v>42.58941170254445</v>
      </c>
      <c r="I3289" s="5" t="n">
        <v>41.07343213971389</v>
      </c>
      <c r="J3289" s="5" t="n">
        <v>46.7031748731</v>
      </c>
      <c r="K3289" s="5" t="n">
        <v>63</v>
      </c>
    </row>
    <row r="3290">
      <c r="A3290" s="2" t="n">
        <v>46234.45833333334</v>
      </c>
      <c r="B3290">
        <f>TEXT(A3290,"yyyy-mm")</f>
        <v/>
      </c>
      <c r="C3290" s="3">
        <f>HOUR(A3290)</f>
        <v/>
      </c>
      <c r="D3290" s="4" t="n">
        <v>26.58416178145277</v>
      </c>
      <c r="E3290" s="4" t="n">
        <v>28.09631522557778</v>
      </c>
      <c r="F3290" s="4" t="n">
        <v>28.06645560738611</v>
      </c>
      <c r="G3290" s="4" t="n">
        <v>23.1</v>
      </c>
      <c r="H3290" s="5" t="n">
        <v>42.05315768114445</v>
      </c>
      <c r="I3290" s="5" t="n">
        <v>41.31935495912222</v>
      </c>
      <c r="J3290" s="5" t="n">
        <v>46.69810220978889</v>
      </c>
      <c r="K3290" s="5" t="n">
        <v>56</v>
      </c>
    </row>
    <row r="3291">
      <c r="A3291" s="2" t="n">
        <v>46234.5</v>
      </c>
      <c r="B3291">
        <f>TEXT(A3291,"yyyy-mm")</f>
        <v/>
      </c>
      <c r="C3291" s="3">
        <f>HOUR(A3291)</f>
        <v/>
      </c>
      <c r="D3291" s="4" t="n">
        <v>26.66953951995</v>
      </c>
      <c r="E3291" s="4" t="n">
        <v>28.17733712465278</v>
      </c>
      <c r="F3291" s="4" t="n">
        <v>28.08043664141389</v>
      </c>
      <c r="G3291" s="4" t="n">
        <v>23.9</v>
      </c>
      <c r="H3291" s="5" t="n">
        <v>41.84096302201389</v>
      </c>
      <c r="I3291" s="5" t="n">
        <v>40.81537987041944</v>
      </c>
      <c r="J3291" s="5" t="n">
        <v>46.69407180322778</v>
      </c>
      <c r="K3291" s="5" t="n">
        <v>53</v>
      </c>
    </row>
    <row r="3292">
      <c r="A3292" s="2" t="n">
        <v>46234.54166666666</v>
      </c>
      <c r="B3292">
        <f>TEXT(A3292,"yyyy-mm")</f>
        <v/>
      </c>
      <c r="C3292" s="3">
        <f>HOUR(A3292)</f>
        <v/>
      </c>
      <c r="D3292" s="4" t="n">
        <v>26.66387284353056</v>
      </c>
      <c r="E3292" s="4" t="n">
        <v>28.08121097579444</v>
      </c>
      <c r="F3292" s="4" t="n">
        <v>28.08980576845278</v>
      </c>
      <c r="G3292" s="4" t="n">
        <v>24.5</v>
      </c>
      <c r="H3292" s="5" t="n">
        <v>41.32198621619722</v>
      </c>
      <c r="I3292" s="5" t="n">
        <v>40.99957188662778</v>
      </c>
      <c r="J3292" s="5" t="n">
        <v>46.70165466862501</v>
      </c>
      <c r="K3292" s="5" t="n">
        <v>51</v>
      </c>
    </row>
    <row r="3293">
      <c r="A3293" s="2" t="n">
        <v>46234.58333333334</v>
      </c>
      <c r="B3293">
        <f>TEXT(A3293,"yyyy-mm")</f>
        <v/>
      </c>
      <c r="C3293" s="3">
        <f>HOUR(A3293)</f>
        <v/>
      </c>
      <c r="D3293" s="4" t="n">
        <v>26.72012448992222</v>
      </c>
      <c r="E3293" s="4" t="n">
        <v>28.03156829725</v>
      </c>
      <c r="F3293" s="4" t="n">
        <v>28.09296401405833</v>
      </c>
      <c r="G3293" s="4" t="n">
        <v>24.9</v>
      </c>
      <c r="H3293" s="5" t="n">
        <v>41.29635854091945</v>
      </c>
      <c r="I3293" s="5" t="n">
        <v>40.61013054666667</v>
      </c>
      <c r="J3293" s="5" t="n">
        <v>46.77439183356945</v>
      </c>
      <c r="K3293" s="5" t="n">
        <v>50</v>
      </c>
    </row>
    <row r="3294">
      <c r="A3294" s="2" t="n">
        <v>46234.625</v>
      </c>
      <c r="B3294">
        <f>TEXT(A3294,"yyyy-mm")</f>
        <v/>
      </c>
      <c r="C3294" s="3">
        <f>HOUR(A3294)</f>
        <v/>
      </c>
      <c r="D3294" s="4" t="n">
        <v>26.73785556965278</v>
      </c>
      <c r="E3294" s="4" t="n">
        <v>27.97165893378056</v>
      </c>
      <c r="F3294" s="4" t="n">
        <v>28.09351111590556</v>
      </c>
      <c r="G3294" s="4" t="n">
        <v>25.3</v>
      </c>
      <c r="H3294" s="5" t="n">
        <v>41.90633907105833</v>
      </c>
      <c r="I3294" s="5" t="n">
        <v>42.11435733336389</v>
      </c>
      <c r="J3294" s="5" t="n">
        <v>48.25933216495556</v>
      </c>
      <c r="K3294" s="5" t="n">
        <v>49</v>
      </c>
    </row>
    <row r="3295">
      <c r="A3295" s="2" t="n">
        <v>46234.66666666666</v>
      </c>
      <c r="B3295">
        <f>TEXT(A3295,"yyyy-mm")</f>
        <v/>
      </c>
      <c r="C3295" s="3">
        <f>HOUR(A3295)</f>
        <v/>
      </c>
      <c r="D3295" s="4" t="n">
        <v>26.69579964387778</v>
      </c>
      <c r="E3295" s="4" t="n">
        <v>27.84738429675833</v>
      </c>
      <c r="F3295" s="4" t="n">
        <v>27.98007688065833</v>
      </c>
      <c r="G3295" s="4" t="n">
        <v>25.3</v>
      </c>
      <c r="H3295" s="5" t="n">
        <v>41.82070328502778</v>
      </c>
      <c r="I3295" s="5" t="n">
        <v>45.34361003501667</v>
      </c>
      <c r="J3295" s="5" t="n">
        <v>53.49677782136389</v>
      </c>
      <c r="K3295" s="5" t="n">
        <v>49</v>
      </c>
    </row>
    <row r="3296">
      <c r="A3296" s="2" t="n">
        <v>46234.70833333334</v>
      </c>
      <c r="B3296">
        <f>TEXT(A3296,"yyyy-mm")</f>
        <v/>
      </c>
      <c r="C3296" s="3">
        <f>HOUR(A3296)</f>
        <v/>
      </c>
      <c r="D3296" s="4" t="n">
        <v>26.73796318419167</v>
      </c>
      <c r="E3296" s="4" t="n">
        <v>27.87618265192222</v>
      </c>
      <c r="F3296" s="4" t="n">
        <v>27.86458061376389</v>
      </c>
      <c r="G3296" s="4" t="n">
        <v>25</v>
      </c>
      <c r="H3296" s="5" t="n">
        <v>40.21225256906389</v>
      </c>
      <c r="I3296" s="5" t="n">
        <v>42.46153292035277</v>
      </c>
      <c r="J3296" s="5" t="n">
        <v>54.45225703046111</v>
      </c>
      <c r="K3296" s="5" t="n">
        <v>50</v>
      </c>
    </row>
    <row r="3297">
      <c r="A3297" s="2" t="n">
        <v>46234.75</v>
      </c>
      <c r="B3297">
        <f>TEXT(A3297,"yyyy-mm")</f>
        <v/>
      </c>
      <c r="C3297" s="3">
        <f>HOUR(A3297)</f>
        <v/>
      </c>
      <c r="D3297" s="4" t="n">
        <v>26.60196541683333</v>
      </c>
      <c r="E3297" s="4" t="n">
        <v>27.85623219767222</v>
      </c>
      <c r="F3297" s="4" t="n">
        <v>27.78472343173333</v>
      </c>
      <c r="G3297" s="4" t="n">
        <v>24.6</v>
      </c>
      <c r="H3297" s="5" t="n">
        <v>39.810504324125</v>
      </c>
      <c r="I3297" s="5" t="n">
        <v>41.351413217725</v>
      </c>
      <c r="J3297" s="5" t="n">
        <v>52.99852321669167</v>
      </c>
      <c r="K3297" s="5" t="n">
        <v>51</v>
      </c>
    </row>
    <row r="3298">
      <c r="A3298" s="2" t="n">
        <v>46234.79166666666</v>
      </c>
      <c r="B3298">
        <f>TEXT(A3298,"yyyy-mm")</f>
        <v/>
      </c>
      <c r="C3298" s="3">
        <f>HOUR(A3298)</f>
        <v/>
      </c>
      <c r="D3298" s="4" t="n">
        <v>26.3080863890611</v>
      </c>
      <c r="E3298" s="4" t="n">
        <v>27.81503944171389</v>
      </c>
      <c r="F3298" s="4" t="n">
        <v>27.71864099544445</v>
      </c>
      <c r="G3298" s="4" t="n">
        <v>23.5</v>
      </c>
      <c r="H3298" s="5" t="n">
        <v>40.16180766222499</v>
      </c>
      <c r="I3298" s="5" t="n">
        <v>41.01854742581944</v>
      </c>
      <c r="J3298" s="5" t="n">
        <v>50.46289828625277</v>
      </c>
      <c r="K3298" s="5" t="n">
        <v>60</v>
      </c>
    </row>
    <row r="3299">
      <c r="A3299" s="2" t="n">
        <v>46234.83333333334</v>
      </c>
      <c r="B3299">
        <f>TEXT(A3299,"yyyy-mm")</f>
        <v/>
      </c>
      <c r="C3299" s="3">
        <f>HOUR(A3299)</f>
        <v/>
      </c>
      <c r="D3299" s="4" t="n">
        <v>25.96025606</v>
      </c>
      <c r="E3299" s="4" t="n">
        <v>28.00819868478056</v>
      </c>
      <c r="F3299" s="4" t="n">
        <v>27.68452012795834</v>
      </c>
      <c r="G3299" s="4" t="n">
        <v>21.7</v>
      </c>
      <c r="H3299" s="5" t="n">
        <v>41.337797272825</v>
      </c>
      <c r="I3299" s="5" t="n">
        <v>40.12860335995556</v>
      </c>
      <c r="J3299" s="5" t="n">
        <v>49.825928402075</v>
      </c>
      <c r="K3299" s="5" t="n">
        <v>67</v>
      </c>
    </row>
    <row r="3300">
      <c r="A3300" s="2" t="n">
        <v>46234.875</v>
      </c>
      <c r="B3300">
        <f>TEXT(A3300,"yyyy-mm")</f>
        <v/>
      </c>
      <c r="C3300" s="3">
        <f>HOUR(A3300)</f>
        <v/>
      </c>
      <c r="D3300" s="4" t="n">
        <v>25.76243197795278</v>
      </c>
      <c r="E3300" s="4" t="n">
        <v>28.10936823799166</v>
      </c>
      <c r="F3300" s="4" t="n">
        <v>27.67008760924445</v>
      </c>
      <c r="G3300" s="4" t="n">
        <v>20.4</v>
      </c>
      <c r="H3300" s="5" t="n">
        <v>42.17354607156389</v>
      </c>
      <c r="I3300" s="5" t="n">
        <v>39.54059185275555</v>
      </c>
      <c r="J3300" s="5" t="n">
        <v>49.37504271818889</v>
      </c>
      <c r="K3300" s="5" t="n">
        <v>69</v>
      </c>
    </row>
    <row r="3301">
      <c r="A3301" s="2" t="n">
        <v>46234.91666666666</v>
      </c>
      <c r="B3301">
        <f>TEXT(A3301,"yyyy-mm")</f>
        <v/>
      </c>
      <c r="C3301" s="3">
        <f>HOUR(A3301)</f>
        <v/>
      </c>
      <c r="D3301" s="4" t="n">
        <v>24.90637993821389</v>
      </c>
      <c r="E3301" s="4" t="n">
        <v>27.69733226363056</v>
      </c>
      <c r="F3301" s="4" t="n">
        <v>27.58994906128889</v>
      </c>
      <c r="G3301" s="4" t="n">
        <v>19.5</v>
      </c>
      <c r="H3301" s="5" t="n">
        <v>44.714538719975</v>
      </c>
      <c r="I3301" s="5" t="n">
        <v>42.22433045710278</v>
      </c>
      <c r="J3301" s="5" t="n">
        <v>51.17419754006666</v>
      </c>
      <c r="K3301" s="5" t="n">
        <v>72</v>
      </c>
    </row>
    <row r="3302">
      <c r="A3302" s="2" t="n">
        <v>46234.95833333334</v>
      </c>
      <c r="B3302">
        <f>TEXT(A3302,"yyyy-mm")</f>
        <v/>
      </c>
      <c r="C3302" s="3">
        <f>HOUR(A3302)</f>
        <v/>
      </c>
      <c r="D3302" s="4" t="n">
        <v>24.94257891546111</v>
      </c>
      <c r="E3302" s="4" t="n">
        <v>27.87622971863889</v>
      </c>
      <c r="F3302" s="4" t="n">
        <v>27.82203693039722</v>
      </c>
      <c r="G3302" s="4" t="n">
        <v>18.7</v>
      </c>
      <c r="H3302" s="5" t="n">
        <v>45.72875481405279</v>
      </c>
      <c r="I3302" s="5" t="n">
        <v>44.07112083511111</v>
      </c>
      <c r="J3302" s="5" t="n">
        <v>50.37980174692501</v>
      </c>
      <c r="K3302" s="5" t="n">
        <v>75</v>
      </c>
    </row>
    <row r="3303">
      <c r="A3303" s="2" t="n">
        <v>46235</v>
      </c>
      <c r="B3303">
        <f>TEXT(A3303,"yyyy-mm")</f>
        <v/>
      </c>
      <c r="C3303" s="3">
        <f>HOUR(A3303)</f>
        <v/>
      </c>
      <c r="D3303" s="4" t="n">
        <v>24.54346514370833</v>
      </c>
      <c r="E3303" s="4" t="n">
        <v>28.03704942785833</v>
      </c>
      <c r="F3303" s="4" t="n">
        <v>28.05379299616389</v>
      </c>
      <c r="G3303" s="4" t="n">
        <v>18</v>
      </c>
      <c r="H3303" s="5" t="n">
        <v>45.87867841818333</v>
      </c>
      <c r="I3303" s="5" t="n">
        <v>42.97608114062501</v>
      </c>
      <c r="J3303" s="5" t="n">
        <v>49.49836010566667</v>
      </c>
      <c r="K3303" s="5" t="n">
        <v>78</v>
      </c>
    </row>
    <row r="3304">
      <c r="A3304" s="2" t="n">
        <v>46235.04166666666</v>
      </c>
      <c r="B3304">
        <f>TEXT(A3304,"yyyy-mm")</f>
        <v/>
      </c>
      <c r="C3304" s="3">
        <f>HOUR(A3304)</f>
        <v/>
      </c>
      <c r="D3304" s="4" t="n">
        <v>24.16293424703611</v>
      </c>
      <c r="E3304" s="4" t="n">
        <v>27.89698972295556</v>
      </c>
      <c r="F3304" s="4" t="n">
        <v>28.13941514546944</v>
      </c>
      <c r="G3304" s="4" t="n">
        <v>17.3</v>
      </c>
      <c r="H3304" s="5" t="n">
        <v>46.54102250005</v>
      </c>
      <c r="I3304" s="5" t="n">
        <v>42.64888722808889</v>
      </c>
      <c r="J3304" s="5" t="n">
        <v>49.07157412304167</v>
      </c>
      <c r="K3304" s="5" t="n">
        <v>81</v>
      </c>
    </row>
    <row r="3305">
      <c r="A3305" s="2" t="n">
        <v>46235.08333333334</v>
      </c>
      <c r="B3305">
        <f>TEXT(A3305,"yyyy-mm")</f>
        <v/>
      </c>
      <c r="C3305" s="3">
        <f>HOUR(A3305)</f>
        <v/>
      </c>
      <c r="D3305" s="4" t="n">
        <v>23.93750743935556</v>
      </c>
      <c r="E3305" s="4" t="n">
        <v>27.55025328006389</v>
      </c>
      <c r="F3305" s="4" t="n">
        <v>28.16369418069722</v>
      </c>
      <c r="G3305" s="4" t="n">
        <v>16.6</v>
      </c>
      <c r="H3305" s="5" t="n">
        <v>47.38539400997778</v>
      </c>
      <c r="I3305" s="5" t="n">
        <v>42.47803937160555</v>
      </c>
      <c r="J3305" s="5" t="n">
        <v>48.88289698084166</v>
      </c>
      <c r="K3305" s="5" t="n">
        <v>84</v>
      </c>
    </row>
    <row r="3306">
      <c r="A3306" s="2" t="n">
        <v>46235.125</v>
      </c>
      <c r="B3306">
        <f>TEXT(A3306,"yyyy-mm")</f>
        <v/>
      </c>
      <c r="C3306" s="3">
        <f>HOUR(A3306)</f>
        <v/>
      </c>
      <c r="D3306" s="4" t="n">
        <v>23.78170866071945</v>
      </c>
      <c r="E3306" s="4" t="n">
        <v>27.30482422149167</v>
      </c>
      <c r="F3306" s="4" t="n">
        <v>28.18775387668612</v>
      </c>
      <c r="G3306" s="4" t="n">
        <v>15.9</v>
      </c>
      <c r="H3306" s="5" t="n">
        <v>47.83816314153333</v>
      </c>
      <c r="I3306" s="5" t="n">
        <v>41.88281005125833</v>
      </c>
      <c r="J3306" s="5" t="n">
        <v>48.6353147316139</v>
      </c>
      <c r="K3306" s="5" t="n">
        <v>85</v>
      </c>
    </row>
    <row r="3307">
      <c r="A3307" s="2" t="n">
        <v>46235.16666666666</v>
      </c>
      <c r="B3307">
        <f>TEXT(A3307,"yyyy-mm")</f>
        <v/>
      </c>
      <c r="C3307" s="3">
        <f>HOUR(A3307)</f>
        <v/>
      </c>
      <c r="D3307" s="4" t="n">
        <v>23.55266432713333</v>
      </c>
      <c r="E3307" s="4" t="n">
        <v>27.19575684306389</v>
      </c>
      <c r="F3307" s="4" t="n">
        <v>28.20238951702778</v>
      </c>
      <c r="G3307" s="4" t="n">
        <v>15.4</v>
      </c>
      <c r="H3307" s="5" t="n">
        <v>48.17300906353055</v>
      </c>
      <c r="I3307" s="5" t="n">
        <v>41.60973278146389</v>
      </c>
      <c r="J3307" s="5" t="n">
        <v>48.42323101004722</v>
      </c>
      <c r="K3307" s="5" t="n">
        <v>87</v>
      </c>
    </row>
    <row r="3308">
      <c r="A3308" s="2" t="n">
        <v>46235.20833333334</v>
      </c>
      <c r="B3308">
        <f>TEXT(A3308,"yyyy-mm")</f>
        <v/>
      </c>
      <c r="C3308" s="3">
        <f>HOUR(A3308)</f>
        <v/>
      </c>
      <c r="D3308" s="4" t="n">
        <v>23.545438213375</v>
      </c>
      <c r="E3308" s="4" t="n">
        <v>26.53357328296667</v>
      </c>
      <c r="F3308" s="4" t="n">
        <v>28.21467856271667</v>
      </c>
      <c r="G3308" s="4" t="n">
        <v>15</v>
      </c>
      <c r="H3308" s="5" t="n">
        <v>48.1337890715611</v>
      </c>
      <c r="I3308" s="5" t="n">
        <v>42.59906037972778</v>
      </c>
      <c r="J3308" s="5" t="n">
        <v>48.22806784906945</v>
      </c>
      <c r="K3308" s="5" t="n">
        <v>88</v>
      </c>
    </row>
    <row r="3309">
      <c r="A3309" s="2" t="n">
        <v>46235.25</v>
      </c>
      <c r="B3309">
        <f>TEXT(A3309,"yyyy-mm")</f>
        <v/>
      </c>
      <c r="C3309" s="3">
        <f>HOUR(A3309)</f>
        <v/>
      </c>
      <c r="D3309" s="4" t="n">
        <v>24.52841928107778</v>
      </c>
      <c r="E3309" s="4" t="n">
        <v>26.88827031137778</v>
      </c>
      <c r="F3309" s="4" t="n">
        <v>28.24086515085277</v>
      </c>
      <c r="G3309" s="4" t="n">
        <v>15.3</v>
      </c>
      <c r="H3309" s="5" t="n">
        <v>45.663743950925</v>
      </c>
      <c r="I3309" s="5" t="n">
        <v>42.46842584179444</v>
      </c>
      <c r="J3309" s="5" t="n">
        <v>48.06430561814722</v>
      </c>
      <c r="K3309" s="5" t="n">
        <v>87</v>
      </c>
    </row>
    <row r="3310">
      <c r="A3310" s="2" t="n">
        <v>46235.29166666666</v>
      </c>
      <c r="B3310">
        <f>TEXT(A3310,"yyyy-mm")</f>
        <v/>
      </c>
      <c r="C3310" s="3">
        <f>HOUR(A3310)</f>
        <v/>
      </c>
      <c r="D3310" s="4" t="n">
        <v>25.80546416415</v>
      </c>
      <c r="E3310" s="4" t="n">
        <v>27.14928958520834</v>
      </c>
      <c r="F3310" s="4" t="n">
        <v>28.27326416498056</v>
      </c>
      <c r="G3310" s="4" t="n">
        <v>16.6</v>
      </c>
      <c r="H3310" s="5" t="n">
        <v>43.93823490455278</v>
      </c>
      <c r="I3310" s="5" t="n">
        <v>41.71998623986389</v>
      </c>
      <c r="J3310" s="5" t="n">
        <v>47.91033088907222</v>
      </c>
      <c r="K3310" s="5" t="n">
        <v>84</v>
      </c>
    </row>
    <row r="3311">
      <c r="A3311" s="2" t="n">
        <v>46235.33333333334</v>
      </c>
      <c r="B3311">
        <f>TEXT(A3311,"yyyy-mm")</f>
        <v/>
      </c>
      <c r="C3311" s="3">
        <f>HOUR(A3311)</f>
        <v/>
      </c>
      <c r="D3311" s="4" t="n">
        <v>26.76975525579722</v>
      </c>
      <c r="E3311" s="4" t="n">
        <v>27.82599426591666</v>
      </c>
      <c r="F3311" s="4" t="n">
        <v>28.31574628321944</v>
      </c>
      <c r="G3311" s="4" t="n">
        <v>18.6</v>
      </c>
      <c r="H3311" s="5" t="n">
        <v>44.03547902404444</v>
      </c>
      <c r="I3311" s="5" t="n">
        <v>42.37610791334722</v>
      </c>
      <c r="J3311" s="5" t="n">
        <v>47.81988942713611</v>
      </c>
      <c r="K3311" s="5" t="n">
        <v>78</v>
      </c>
    </row>
    <row r="3312">
      <c r="A3312" s="2" t="n">
        <v>46235.375</v>
      </c>
      <c r="B3312">
        <f>TEXT(A3312,"yyyy-mm")</f>
        <v/>
      </c>
      <c r="C3312" s="3">
        <f>HOUR(A3312)</f>
        <v/>
      </c>
      <c r="D3312" s="4" t="n">
        <v>27.45182119975</v>
      </c>
      <c r="E3312" s="4" t="n">
        <v>28.41454754718056</v>
      </c>
      <c r="F3312" s="4" t="n">
        <v>28.37453423328056</v>
      </c>
      <c r="G3312" s="4" t="n">
        <v>21.3</v>
      </c>
      <c r="H3312" s="5" t="n">
        <v>43.8687472347</v>
      </c>
      <c r="I3312" s="5" t="n">
        <v>42.56452519295278</v>
      </c>
      <c r="J3312" s="5" t="n">
        <v>47.77860009656388</v>
      </c>
      <c r="K3312" s="5" t="n">
        <v>69</v>
      </c>
    </row>
    <row r="3313">
      <c r="A3313" s="2" t="n">
        <v>46235.41666666666</v>
      </c>
      <c r="B3313">
        <f>TEXT(A3313,"yyyy-mm")</f>
        <v/>
      </c>
      <c r="C3313" s="3">
        <f>HOUR(A3313)</f>
        <v/>
      </c>
      <c r="D3313" s="4" t="n">
        <v>27.55501355253056</v>
      </c>
      <c r="E3313" s="4" t="n">
        <v>28.57048276246667</v>
      </c>
      <c r="F3313" s="4" t="n">
        <v>28.42823830528056</v>
      </c>
      <c r="G3313" s="4" t="n">
        <v>23.4</v>
      </c>
      <c r="H3313" s="5" t="n">
        <v>42.7077231516</v>
      </c>
      <c r="I3313" s="5" t="n">
        <v>40.35832576719722</v>
      </c>
      <c r="J3313" s="5" t="n">
        <v>47.7110908344639</v>
      </c>
      <c r="K3313" s="5" t="n">
        <v>61</v>
      </c>
    </row>
    <row r="3314">
      <c r="A3314" s="2" t="n">
        <v>46235.45833333334</v>
      </c>
      <c r="B3314">
        <f>TEXT(A3314,"yyyy-mm")</f>
        <v/>
      </c>
      <c r="C3314" s="3">
        <f>HOUR(A3314)</f>
        <v/>
      </c>
      <c r="D3314" s="4" t="n">
        <v>27.55432272199722</v>
      </c>
      <c r="E3314" s="4" t="n">
        <v>28.78832589611389</v>
      </c>
      <c r="F3314" s="4" t="n">
        <v>28.47660739890277</v>
      </c>
      <c r="G3314" s="4" t="n">
        <v>24.6</v>
      </c>
      <c r="H3314" s="5" t="n">
        <v>41.60024944595</v>
      </c>
      <c r="I3314" s="5" t="n">
        <v>40.68692764474722</v>
      </c>
      <c r="J3314" s="5" t="n">
        <v>47.63069214023333</v>
      </c>
      <c r="K3314" s="5" t="n">
        <v>48</v>
      </c>
    </row>
    <row r="3315">
      <c r="A3315" s="2" t="n">
        <v>46235.5</v>
      </c>
      <c r="B3315">
        <f>TEXT(A3315,"yyyy-mm")</f>
        <v/>
      </c>
      <c r="C3315" s="3">
        <f>HOUR(A3315)</f>
        <v/>
      </c>
      <c r="D3315" s="4" t="n">
        <v>27.52087391461111</v>
      </c>
      <c r="E3315" s="4" t="n">
        <v>28.30557255086111</v>
      </c>
      <c r="F3315" s="4" t="n">
        <v>28.56155921612778</v>
      </c>
      <c r="G3315" s="4" t="n">
        <v>25.2</v>
      </c>
      <c r="H3315" s="5" t="n">
        <v>41.25531898213889</v>
      </c>
      <c r="I3315" s="5" t="n">
        <v>43.28878820068889</v>
      </c>
      <c r="J3315" s="5" t="n">
        <v>47.98188622605834</v>
      </c>
      <c r="K3315" s="5" t="n">
        <v>47</v>
      </c>
    </row>
    <row r="3316">
      <c r="A3316" s="2" t="n">
        <v>46235.54166666666</v>
      </c>
      <c r="B3316">
        <f>TEXT(A3316,"yyyy-mm")</f>
        <v/>
      </c>
      <c r="C3316" s="3">
        <f>HOUR(A3316)</f>
        <v/>
      </c>
      <c r="D3316" s="4" t="n">
        <v>27.45523838950833</v>
      </c>
      <c r="E3316" s="4" t="n">
        <v>28.11396242386333</v>
      </c>
      <c r="F3316" s="4" t="n">
        <v>28.62646859636945</v>
      </c>
      <c r="G3316" s="4" t="n">
        <v>26</v>
      </c>
      <c r="H3316" s="5" t="n">
        <v>41.59290292966944</v>
      </c>
      <c r="I3316" s="5" t="n">
        <v>43.84869614153666</v>
      </c>
      <c r="J3316" s="5" t="n">
        <v>48.54222163912777</v>
      </c>
      <c r="K3316" s="5" t="n">
        <v>44</v>
      </c>
    </row>
    <row r="3317">
      <c r="A3317" s="2" t="n">
        <v>46235.58333333334</v>
      </c>
      <c r="B3317">
        <f>TEXT(A3317,"yyyy-mm")</f>
        <v/>
      </c>
      <c r="C3317" s="3">
        <f>HOUR(A3317)</f>
        <v/>
      </c>
      <c r="D3317" s="4" t="n">
        <v>27.38992713369722</v>
      </c>
      <c r="E3317" s="4" t="n"/>
      <c r="F3317" s="4" t="n">
        <v>28.63005064265278</v>
      </c>
      <c r="G3317" s="4" t="n">
        <v>26.5</v>
      </c>
      <c r="H3317" s="5" t="n">
        <v>38.50718608863889</v>
      </c>
      <c r="I3317" s="5" t="n"/>
      <c r="J3317" s="5" t="n">
        <v>48.25472474534445</v>
      </c>
      <c r="K3317" s="5" t="n">
        <v>41</v>
      </c>
    </row>
    <row r="3318">
      <c r="A3318" s="2" t="n">
        <v>46235.625</v>
      </c>
      <c r="B3318">
        <f>TEXT(A3318,"yyyy-mm")</f>
        <v/>
      </c>
      <c r="C3318" s="3">
        <f>HOUR(A3318)</f>
        <v/>
      </c>
      <c r="D3318" s="4" t="n">
        <v>27.41905111773333</v>
      </c>
      <c r="E3318" s="4" t="n"/>
      <c r="F3318" s="4" t="n">
        <v>28.64090081254166</v>
      </c>
      <c r="G3318" s="4" t="n">
        <v>27</v>
      </c>
      <c r="H3318" s="5" t="n">
        <v>38.72092815377778</v>
      </c>
      <c r="I3318" s="5" t="n"/>
      <c r="J3318" s="5" t="n">
        <v>47.95454371892222</v>
      </c>
      <c r="K3318" s="5" t="n">
        <v>41</v>
      </c>
    </row>
    <row r="3319">
      <c r="A3319" s="2" t="n">
        <v>46235.66666666666</v>
      </c>
      <c r="B3319">
        <f>TEXT(A3319,"yyyy-mm")</f>
        <v/>
      </c>
      <c r="C3319" s="3">
        <f>HOUR(A3319)</f>
        <v/>
      </c>
      <c r="D3319" s="4" t="n">
        <v>27.41684788975833</v>
      </c>
      <c r="E3319" s="4" t="n"/>
      <c r="F3319" s="4" t="n">
        <v>28.67140718174722</v>
      </c>
      <c r="G3319" s="4" t="n">
        <v>27.1</v>
      </c>
      <c r="H3319" s="5" t="n">
        <v>38.78805100324444</v>
      </c>
      <c r="I3319" s="5" t="n"/>
      <c r="J3319" s="5" t="n">
        <v>48.05210263811667</v>
      </c>
      <c r="K3319" s="5" t="n">
        <v>41</v>
      </c>
    </row>
    <row r="3320">
      <c r="A3320" s="2" t="n">
        <v>46235.70833333334</v>
      </c>
      <c r="B3320">
        <f>TEXT(A3320,"yyyy-mm")</f>
        <v/>
      </c>
      <c r="C3320" s="3">
        <f>HOUR(A3320)</f>
        <v/>
      </c>
      <c r="D3320" s="4" t="n">
        <v>27.32678630748889</v>
      </c>
      <c r="E3320" s="4" t="n"/>
      <c r="F3320" s="4" t="n">
        <v>28.66199192333333</v>
      </c>
      <c r="G3320" s="4" t="n">
        <v>26.9</v>
      </c>
      <c r="H3320" s="5" t="n">
        <v>37.08967349948056</v>
      </c>
      <c r="I3320" s="5" t="n"/>
      <c r="J3320" s="5" t="n">
        <v>47.74828867591389</v>
      </c>
      <c r="K3320" s="5" t="n">
        <v>42</v>
      </c>
    </row>
    <row r="3321">
      <c r="A3321" s="2" t="n">
        <v>46235.75</v>
      </c>
      <c r="B3321">
        <f>TEXT(A3321,"yyyy-mm")</f>
        <v/>
      </c>
      <c r="C3321" s="3">
        <f>HOUR(A3321)</f>
        <v/>
      </c>
      <c r="D3321" s="4" t="n">
        <v>27.36220691618334</v>
      </c>
      <c r="E3321" s="4" t="n"/>
      <c r="F3321" s="4" t="n">
        <v>28.68553157817222</v>
      </c>
      <c r="G3321" s="4" t="n">
        <v>26.4</v>
      </c>
      <c r="H3321" s="5" t="n">
        <v>39.28116696559445</v>
      </c>
      <c r="I3321" s="5" t="n"/>
      <c r="J3321" s="5" t="n">
        <v>47.51944903221388</v>
      </c>
      <c r="K3321" s="5" t="n">
        <v>44</v>
      </c>
    </row>
    <row r="3322">
      <c r="A3322" s="2" t="n">
        <v>46235.79166666666</v>
      </c>
      <c r="B3322">
        <f>TEXT(A3322,"yyyy-mm")</f>
        <v/>
      </c>
      <c r="C3322" s="3">
        <f>HOUR(A3322)</f>
        <v/>
      </c>
      <c r="D3322" s="4" t="n">
        <v>27.32089305385556</v>
      </c>
      <c r="E3322" s="4" t="n"/>
      <c r="F3322" s="4" t="n">
        <v>28.71291729872778</v>
      </c>
      <c r="G3322" s="4" t="n">
        <v>25.3</v>
      </c>
      <c r="H3322" s="5" t="n">
        <v>40.671223588225</v>
      </c>
      <c r="I3322" s="5" t="n"/>
      <c r="J3322" s="5" t="n">
        <v>47.42067400226389</v>
      </c>
      <c r="K3322" s="5" t="n">
        <v>52</v>
      </c>
    </row>
    <row r="3323">
      <c r="A3323" s="2" t="n">
        <v>46235.83333333334</v>
      </c>
      <c r="B3323">
        <f>TEXT(A3323,"yyyy-mm")</f>
        <v/>
      </c>
      <c r="C3323" s="3">
        <f>HOUR(A3323)</f>
        <v/>
      </c>
      <c r="D3323" s="4" t="n">
        <v>26.91050325933056</v>
      </c>
      <c r="E3323" s="4" t="n"/>
      <c r="F3323" s="4" t="n">
        <v>28.73928179485278</v>
      </c>
      <c r="G3323" s="4" t="n">
        <v>23.4</v>
      </c>
      <c r="H3323" s="5" t="n">
        <v>42.91793308578334</v>
      </c>
      <c r="I3323" s="5" t="n"/>
      <c r="J3323" s="5" t="n">
        <v>48.20073715039166</v>
      </c>
      <c r="K3323" s="5" t="n">
        <v>63</v>
      </c>
    </row>
    <row r="3324">
      <c r="A3324" s="2" t="n">
        <v>46235.875</v>
      </c>
      <c r="B3324">
        <f>TEXT(A3324,"yyyy-mm")</f>
        <v/>
      </c>
      <c r="C3324" s="3">
        <f>HOUR(A3324)</f>
        <v/>
      </c>
      <c r="D3324" s="4" t="n">
        <v>26.54298228770556</v>
      </c>
      <c r="E3324" s="4" t="n"/>
      <c r="F3324" s="4" t="n">
        <v>28.73267625901111</v>
      </c>
      <c r="G3324" s="4" t="n">
        <v>21.9</v>
      </c>
      <c r="H3324" s="5" t="n">
        <v>43.95616638959444</v>
      </c>
      <c r="I3324" s="5" t="n"/>
      <c r="J3324" s="5" t="n">
        <v>47.96461654403333</v>
      </c>
      <c r="K3324" s="5" t="n">
        <v>68</v>
      </c>
    </row>
    <row r="3325">
      <c r="A3325" s="2" t="n">
        <v>46235.91666666666</v>
      </c>
      <c r="B3325">
        <f>TEXT(A3325,"yyyy-mm")</f>
        <v/>
      </c>
      <c r="C3325" s="3">
        <f>HOUR(A3325)</f>
        <v/>
      </c>
      <c r="D3325" s="4" t="n">
        <v>26.29958860804444</v>
      </c>
      <c r="E3325" s="4" t="n"/>
      <c r="F3325" s="4" t="n">
        <v>28.72725475692778</v>
      </c>
      <c r="G3325" s="4" t="n">
        <v>21</v>
      </c>
      <c r="H3325" s="5" t="n">
        <v>44.89497173982222</v>
      </c>
      <c r="I3325" s="5" t="n"/>
      <c r="J3325" s="5" t="n">
        <v>47.84118246690833</v>
      </c>
      <c r="K3325" s="5" t="n">
        <v>73</v>
      </c>
    </row>
    <row r="3326">
      <c r="A3326" s="2" t="n">
        <v>46235.95833333334</v>
      </c>
      <c r="B3326">
        <f>TEXT(A3326,"yyyy-mm")</f>
        <v/>
      </c>
      <c r="C3326" s="3">
        <f>HOUR(A3326)</f>
        <v/>
      </c>
      <c r="D3326" s="4" t="n">
        <v>25.99420792047778</v>
      </c>
      <c r="E3326" s="4" t="n"/>
      <c r="F3326" s="4" t="n">
        <v>28.71892321213333</v>
      </c>
      <c r="G3326" s="4" t="n">
        <v>20.3</v>
      </c>
      <c r="H3326" s="5" t="n">
        <v>44.22554604339722</v>
      </c>
      <c r="I3326" s="5" t="n"/>
      <c r="J3326" s="5" t="n">
        <v>47.72728893581667</v>
      </c>
      <c r="K3326" s="5" t="n">
        <v>76</v>
      </c>
    </row>
    <row r="3327">
      <c r="A3327" s="2" t="n">
        <v>46236</v>
      </c>
      <c r="B3327">
        <f>TEXT(A3327,"yyyy-mm")</f>
        <v/>
      </c>
      <c r="C3327" s="3">
        <f>HOUR(A3327)</f>
        <v/>
      </c>
      <c r="D3327" s="4" t="n">
        <v>25.97867368151111</v>
      </c>
      <c r="E3327" s="4" t="n"/>
      <c r="F3327" s="4" t="n">
        <v>28.70720079830278</v>
      </c>
      <c r="G3327" s="4" t="n">
        <v>19.6</v>
      </c>
      <c r="H3327" s="5" t="n">
        <v>44.07158130380278</v>
      </c>
      <c r="I3327" s="5" t="n"/>
      <c r="J3327" s="5" t="n">
        <v>47.57783825083055</v>
      </c>
      <c r="K3327" s="5" t="n">
        <v>78</v>
      </c>
    </row>
    <row r="3328">
      <c r="A3328" s="2" t="n">
        <v>46236.04166666666</v>
      </c>
      <c r="B3328">
        <f>TEXT(A3328,"yyyy-mm")</f>
        <v/>
      </c>
      <c r="C3328" s="3">
        <f>HOUR(A3328)</f>
        <v/>
      </c>
      <c r="D3328" s="4" t="n">
        <v>25.79709637801389</v>
      </c>
      <c r="E3328" s="4" t="n"/>
      <c r="F3328" s="4" t="n">
        <v>28.69645814195277</v>
      </c>
      <c r="G3328" s="4" t="n">
        <v>19.3</v>
      </c>
      <c r="H3328" s="5" t="n">
        <v>43.968206800225</v>
      </c>
      <c r="I3328" s="5" t="n"/>
      <c r="J3328" s="5" t="n">
        <v>47.44671032968055</v>
      </c>
      <c r="K3328" s="5" t="n">
        <v>77</v>
      </c>
    </row>
    <row r="3329">
      <c r="A3329" s="2" t="n">
        <v>46236.08333333334</v>
      </c>
      <c r="B3329">
        <f>TEXT(A3329,"yyyy-mm")</f>
        <v/>
      </c>
      <c r="C3329" s="3">
        <f>HOUR(A3329)</f>
        <v/>
      </c>
      <c r="D3329" s="4" t="n">
        <v>25.70430549831111</v>
      </c>
      <c r="E3329" s="4" t="n"/>
      <c r="F3329" s="4" t="n">
        <v>28.67685550882778</v>
      </c>
      <c r="G3329" s="4" t="n">
        <v>19</v>
      </c>
      <c r="H3329" s="5" t="n">
        <v>42.57573242663334</v>
      </c>
      <c r="I3329" s="5" t="n"/>
      <c r="J3329" s="5" t="n">
        <v>47.31500375278056</v>
      </c>
      <c r="K3329" s="5" t="n">
        <v>76</v>
      </c>
    </row>
    <row r="3330">
      <c r="A3330" s="2" t="n">
        <v>46236.125</v>
      </c>
      <c r="B3330">
        <f>TEXT(A3330,"yyyy-mm")</f>
        <v/>
      </c>
      <c r="C3330" s="3">
        <f>HOUR(A3330)</f>
        <v/>
      </c>
      <c r="D3330" s="4" t="n">
        <v>25.36882347228333</v>
      </c>
      <c r="E3330" s="4" t="n"/>
      <c r="F3330" s="4" t="n">
        <v>28.49704408191112</v>
      </c>
      <c r="G3330" s="4" t="n">
        <v>17.9</v>
      </c>
      <c r="H3330" s="5" t="n">
        <v>43.21121170771389</v>
      </c>
      <c r="I3330" s="5" t="n"/>
      <c r="J3330" s="5" t="n">
        <v>47.09020140729445</v>
      </c>
      <c r="K3330" s="5" t="n">
        <v>79</v>
      </c>
    </row>
    <row r="3331">
      <c r="A3331" s="2" t="n">
        <v>46236.16666666666</v>
      </c>
      <c r="B3331">
        <f>TEXT(A3331,"yyyy-mm")</f>
        <v/>
      </c>
      <c r="C3331" s="3">
        <f>HOUR(A3331)</f>
        <v/>
      </c>
      <c r="D3331" s="4" t="n">
        <v>24.72687617278056</v>
      </c>
      <c r="E3331" s="4" t="n"/>
      <c r="F3331" s="4" t="n">
        <v>28.47122774816667</v>
      </c>
      <c r="G3331" s="4" t="n">
        <v>17.1</v>
      </c>
      <c r="H3331" s="5" t="n">
        <v>45.413704015925</v>
      </c>
      <c r="I3331" s="5" t="n"/>
      <c r="J3331" s="5" t="n">
        <v>47.116521960125</v>
      </c>
      <c r="K3331" s="5" t="n">
        <v>84</v>
      </c>
    </row>
    <row r="3332">
      <c r="A3332" s="2" t="n">
        <v>46236.20833333334</v>
      </c>
      <c r="B3332">
        <f>TEXT(A3332,"yyyy-mm")</f>
        <v/>
      </c>
      <c r="C3332" s="3">
        <f>HOUR(A3332)</f>
        <v/>
      </c>
      <c r="D3332" s="4" t="n">
        <v>24.27493581601389</v>
      </c>
      <c r="E3332" s="4" t="n"/>
      <c r="F3332" s="4" t="n">
        <v>28.54012185468611</v>
      </c>
      <c r="G3332" s="4" t="n">
        <v>16.6</v>
      </c>
      <c r="H3332" s="5" t="n">
        <v>47.59719968353889</v>
      </c>
      <c r="I3332" s="5" t="n"/>
      <c r="J3332" s="5" t="n">
        <v>47.04712147914445</v>
      </c>
      <c r="K3332" s="5" t="n">
        <v>86</v>
      </c>
    </row>
    <row r="3333">
      <c r="A3333" s="2" t="n">
        <v>46236.25</v>
      </c>
      <c r="B3333">
        <f>TEXT(A3333,"yyyy-mm")</f>
        <v/>
      </c>
      <c r="C3333" s="3">
        <f>HOUR(A3333)</f>
        <v/>
      </c>
      <c r="D3333" s="4" t="n">
        <v>25.4044736214</v>
      </c>
      <c r="E3333" s="4" t="n"/>
      <c r="F3333" s="4" t="n">
        <v>28.54976952849445</v>
      </c>
      <c r="G3333" s="4" t="n">
        <v>17.2</v>
      </c>
      <c r="H3333" s="5" t="n">
        <v>45.15490900687778</v>
      </c>
      <c r="I3333" s="5" t="n"/>
      <c r="J3333" s="5" t="n">
        <v>47.06018732233889</v>
      </c>
      <c r="K3333" s="5" t="n">
        <v>84</v>
      </c>
    </row>
    <row r="3334">
      <c r="A3334" s="2" t="n">
        <v>46236.29166666666</v>
      </c>
      <c r="B3334">
        <f>TEXT(A3334,"yyyy-mm")</f>
        <v/>
      </c>
      <c r="C3334" s="3">
        <f>HOUR(A3334)</f>
        <v/>
      </c>
      <c r="D3334" s="4" t="n">
        <v>26.66035583381389</v>
      </c>
      <c r="E3334" s="4" t="n"/>
      <c r="F3334" s="4" t="n">
        <v>28.57635360703611</v>
      </c>
      <c r="G3334" s="4" t="n">
        <v>18.7</v>
      </c>
      <c r="H3334" s="5" t="n">
        <v>43.21974893383612</v>
      </c>
      <c r="I3334" s="5" t="n"/>
      <c r="J3334" s="5" t="n">
        <v>47.08804050170834</v>
      </c>
      <c r="K3334" s="5" t="n">
        <v>80</v>
      </c>
    </row>
    <row r="3335">
      <c r="A3335" s="2" t="n">
        <v>46236.33333333334</v>
      </c>
      <c r="B3335">
        <f>TEXT(A3335,"yyyy-mm")</f>
        <v/>
      </c>
      <c r="C3335" s="3">
        <f>HOUR(A3335)</f>
        <v/>
      </c>
      <c r="D3335" s="4" t="n">
        <v>27.50947614125834</v>
      </c>
      <c r="E3335" s="4" t="n"/>
      <c r="F3335" s="4" t="n">
        <v>28.61108852500278</v>
      </c>
      <c r="G3335" s="4" t="n">
        <v>20.7</v>
      </c>
      <c r="H3335" s="5" t="n">
        <v>42.86979107906389</v>
      </c>
      <c r="I3335" s="5" t="n"/>
      <c r="J3335" s="5" t="n">
        <v>47.21122048364168</v>
      </c>
      <c r="K3335" s="5" t="n">
        <v>74</v>
      </c>
    </row>
    <row r="3336">
      <c r="A3336" s="2" t="n">
        <v>46236.375</v>
      </c>
      <c r="B3336">
        <f>TEXT(A3336,"yyyy-mm")</f>
        <v/>
      </c>
      <c r="C3336" s="3">
        <f>HOUR(A3336)</f>
        <v/>
      </c>
      <c r="D3336" s="4" t="n">
        <v>27.93848646217222</v>
      </c>
      <c r="E3336" s="4" t="n"/>
      <c r="F3336" s="4" t="n">
        <v>28.69143964050556</v>
      </c>
      <c r="G3336" s="4" t="n">
        <v>23.3</v>
      </c>
      <c r="H3336" s="5" t="n">
        <v>42.59121122525278</v>
      </c>
      <c r="I3336" s="5" t="n"/>
      <c r="J3336" s="5" t="n">
        <v>47.30996212358056</v>
      </c>
      <c r="K3336" s="5" t="n">
        <v>66</v>
      </c>
    </row>
    <row r="3337">
      <c r="A3337" s="2" t="n">
        <v>46236.41666666666</v>
      </c>
      <c r="B3337">
        <f>TEXT(A3337,"yyyy-mm")</f>
        <v/>
      </c>
      <c r="C3337" s="3">
        <f>HOUR(A3337)</f>
        <v/>
      </c>
      <c r="D3337" s="4" t="n">
        <v>27.89759195794445</v>
      </c>
      <c r="E3337" s="4" t="n"/>
      <c r="F3337" s="4" t="n">
        <v>28.75649472068889</v>
      </c>
      <c r="G3337" s="4" t="n">
        <v>25.4</v>
      </c>
      <c r="H3337" s="5" t="n">
        <v>42.52047034374444</v>
      </c>
      <c r="I3337" s="5" t="n"/>
      <c r="J3337" s="5" t="n">
        <v>47.25266923033333</v>
      </c>
      <c r="K3337" s="5" t="n">
        <v>57</v>
      </c>
    </row>
    <row r="3338">
      <c r="A3338" s="2" t="n">
        <v>46236.45833333334</v>
      </c>
      <c r="B3338">
        <f>TEXT(A3338,"yyyy-mm")</f>
        <v/>
      </c>
      <c r="C3338" s="3">
        <f>HOUR(A3338)</f>
        <v/>
      </c>
      <c r="D3338" s="4" t="n">
        <v>27.79464498736667</v>
      </c>
      <c r="E3338" s="4" t="n"/>
      <c r="F3338" s="4" t="n">
        <v>28.74738888663056</v>
      </c>
      <c r="G3338" s="4" t="n">
        <v>26.8</v>
      </c>
      <c r="H3338" s="5" t="n">
        <v>41.83886415662778</v>
      </c>
      <c r="I3338" s="5" t="n"/>
      <c r="J3338" s="5" t="n">
        <v>47.23039477814444</v>
      </c>
      <c r="K3338" s="5" t="n">
        <v>45</v>
      </c>
    </row>
    <row r="3339">
      <c r="A3339" s="2" t="n">
        <v>46236.5</v>
      </c>
      <c r="B3339">
        <f>TEXT(A3339,"yyyy-mm")</f>
        <v/>
      </c>
      <c r="C3339" s="3">
        <f>HOUR(A3339)</f>
        <v/>
      </c>
      <c r="D3339" s="4" t="n">
        <v>27.73651559538889</v>
      </c>
      <c r="E3339" s="4" t="n"/>
      <c r="F3339" s="4" t="n">
        <v>28.77542206070555</v>
      </c>
      <c r="G3339" s="4" t="n">
        <v>27.6</v>
      </c>
      <c r="H3339" s="5" t="n">
        <v>40.42497777946667</v>
      </c>
      <c r="I3339" s="5" t="n"/>
      <c r="J3339" s="5" t="n">
        <v>47.15780254905555</v>
      </c>
      <c r="K3339" s="5" t="n">
        <v>43</v>
      </c>
    </row>
    <row r="3340">
      <c r="A3340" s="2" t="n">
        <v>46236.54166666666</v>
      </c>
      <c r="B3340">
        <f>TEXT(A3340,"yyyy-mm")</f>
        <v/>
      </c>
      <c r="C3340" s="3">
        <f>HOUR(A3340)</f>
        <v/>
      </c>
      <c r="D3340" s="4" t="n">
        <v>27.69021573568056</v>
      </c>
      <c r="E3340" s="4" t="n"/>
      <c r="F3340" s="4" t="n">
        <v>28.78406292278889</v>
      </c>
      <c r="G3340" s="4" t="n">
        <v>28.2</v>
      </c>
      <c r="H3340" s="5" t="n">
        <v>39.64568287534723</v>
      </c>
      <c r="I3340" s="5" t="n"/>
      <c r="J3340" s="5" t="n">
        <v>47.15883870458055</v>
      </c>
      <c r="K3340" s="5" t="n">
        <v>42</v>
      </c>
    </row>
    <row r="3341">
      <c r="A3341" s="2" t="n">
        <v>46236.58333333334</v>
      </c>
      <c r="B3341">
        <f>TEXT(A3341,"yyyy-mm")</f>
        <v/>
      </c>
      <c r="C3341" s="3">
        <f>HOUR(A3341)</f>
        <v/>
      </c>
      <c r="D3341" s="4" t="n">
        <v>27.55927831933611</v>
      </c>
      <c r="E3341" s="4" t="n"/>
      <c r="F3341" s="4" t="n">
        <v>28.78338149716112</v>
      </c>
      <c r="G3341" s="4" t="n">
        <v>28.7</v>
      </c>
      <c r="H3341" s="5" t="n">
        <v>39.7768106694</v>
      </c>
      <c r="I3341" s="5" t="n"/>
      <c r="J3341" s="5" t="n">
        <v>47.0891256658</v>
      </c>
      <c r="K3341" s="5" t="n">
        <v>41</v>
      </c>
    </row>
    <row r="3342">
      <c r="A3342" s="2" t="n">
        <v>46236.625</v>
      </c>
      <c r="B3342">
        <f>TEXT(A3342,"yyyy-mm")</f>
        <v/>
      </c>
      <c r="C3342" s="3">
        <f>HOUR(A3342)</f>
        <v/>
      </c>
      <c r="D3342" s="4" t="n">
        <v>27.57157810495278</v>
      </c>
      <c r="E3342" s="4" t="n"/>
      <c r="F3342" s="4" t="n">
        <v>28.81621178874444</v>
      </c>
      <c r="G3342" s="4" t="n">
        <v>29.5</v>
      </c>
      <c r="H3342" s="5" t="n">
        <v>39.42045756637222</v>
      </c>
      <c r="I3342" s="5" t="n"/>
      <c r="J3342" s="5" t="n">
        <v>47.14688385257222</v>
      </c>
      <c r="K3342" s="5" t="n">
        <v>39</v>
      </c>
    </row>
    <row r="3343">
      <c r="A3343" s="2" t="n">
        <v>46236.66666666666</v>
      </c>
      <c r="B3343">
        <f>TEXT(A3343,"yyyy-mm")</f>
        <v/>
      </c>
      <c r="C3343" s="3">
        <f>HOUR(A3343)</f>
        <v/>
      </c>
      <c r="D3343" s="4" t="n">
        <v>27.76122811425556</v>
      </c>
      <c r="E3343" s="4" t="n"/>
      <c r="F3343" s="4" t="n">
        <v>28.80232585240556</v>
      </c>
      <c r="G3343" s="4" t="n">
        <v>29.8</v>
      </c>
      <c r="H3343" s="5" t="n">
        <v>38.94193329225001</v>
      </c>
      <c r="I3343" s="5" t="n"/>
      <c r="J3343" s="5" t="n">
        <v>47.16572377503334</v>
      </c>
      <c r="K3343" s="5" t="n">
        <v>40</v>
      </c>
    </row>
    <row r="3344">
      <c r="A3344" s="2" t="n">
        <v>46236.70833333334</v>
      </c>
      <c r="B3344">
        <f>TEXT(A3344,"yyyy-mm")</f>
        <v/>
      </c>
      <c r="C3344" s="3">
        <f>HOUR(A3344)</f>
        <v/>
      </c>
      <c r="D3344" s="4" t="n">
        <v>28.00749373396112</v>
      </c>
      <c r="E3344" s="4" t="n"/>
      <c r="F3344" s="4" t="n">
        <v>28.840734946825</v>
      </c>
      <c r="G3344" s="4" t="n">
        <v>29.6</v>
      </c>
      <c r="H3344" s="5" t="n">
        <v>38.60153301836389</v>
      </c>
      <c r="I3344" s="5" t="n"/>
      <c r="J3344" s="5" t="n">
        <v>47.00352277408056</v>
      </c>
      <c r="K3344" s="5" t="n">
        <v>41</v>
      </c>
    </row>
    <row r="3345">
      <c r="A3345" s="2" t="n">
        <v>46236.75</v>
      </c>
      <c r="B3345">
        <f>TEXT(A3345,"yyyy-mm")</f>
        <v/>
      </c>
      <c r="C3345" s="3">
        <f>HOUR(A3345)</f>
        <v/>
      </c>
      <c r="D3345" s="4" t="n">
        <v>28.04164944939444</v>
      </c>
      <c r="E3345" s="4" t="n"/>
      <c r="F3345" s="4" t="n">
        <v>28.88855576201389</v>
      </c>
      <c r="G3345" s="4" t="n">
        <v>29.1</v>
      </c>
      <c r="H3345" s="5" t="n">
        <v>38.471939123975</v>
      </c>
      <c r="I3345" s="5" t="n"/>
      <c r="J3345" s="5" t="n">
        <v>47.18757328019444</v>
      </c>
      <c r="K3345" s="5" t="n">
        <v>42</v>
      </c>
    </row>
    <row r="3346">
      <c r="A3346" s="2" t="n">
        <v>46236.79166666666</v>
      </c>
      <c r="B3346">
        <f>TEXT(A3346,"yyyy-mm")</f>
        <v/>
      </c>
      <c r="C3346" s="3">
        <f>HOUR(A3346)</f>
        <v/>
      </c>
      <c r="D3346" s="4" t="n">
        <v>28.04833406703889</v>
      </c>
      <c r="E3346" s="4" t="n"/>
      <c r="F3346" s="4" t="n">
        <v>28.92616677100278</v>
      </c>
      <c r="G3346" s="4" t="n">
        <v>28.2</v>
      </c>
      <c r="H3346" s="5" t="n">
        <v>40.50442341861111</v>
      </c>
      <c r="I3346" s="5" t="n"/>
      <c r="J3346" s="5" t="n">
        <v>47.12828136056111</v>
      </c>
      <c r="K3346" s="5" t="n">
        <v>48</v>
      </c>
    </row>
    <row r="3347">
      <c r="A3347" s="2" t="n">
        <v>46236.83333333334</v>
      </c>
      <c r="B3347">
        <f>TEXT(A3347,"yyyy-mm")</f>
        <v/>
      </c>
      <c r="C3347" s="3">
        <f>HOUR(A3347)</f>
        <v/>
      </c>
      <c r="D3347" s="4" t="n">
        <v>27.93991716788333</v>
      </c>
      <c r="E3347" s="4" t="n"/>
      <c r="F3347" s="4" t="n">
        <v>28.99568778550833</v>
      </c>
      <c r="G3347" s="4" t="n">
        <v>26.4</v>
      </c>
      <c r="H3347" s="5" t="n">
        <v>42.731117575475</v>
      </c>
      <c r="I3347" s="5" t="n"/>
      <c r="J3347" s="5" t="n">
        <v>47.29636011088612</v>
      </c>
      <c r="K3347" s="5" t="n">
        <v>61</v>
      </c>
    </row>
    <row r="3348">
      <c r="A3348" s="2" t="n">
        <v>46236.875</v>
      </c>
      <c r="B3348">
        <f>TEXT(A3348,"yyyy-mm")</f>
        <v/>
      </c>
      <c r="C3348" s="3">
        <f>HOUR(A3348)</f>
        <v/>
      </c>
      <c r="D3348" s="4" t="n">
        <v>27.60105808580278</v>
      </c>
      <c r="E3348" s="4" t="n"/>
      <c r="F3348" s="4" t="n">
        <v>29.02469948106667</v>
      </c>
      <c r="G3348" s="4" t="n">
        <v>24.7</v>
      </c>
      <c r="H3348" s="5" t="n">
        <v>44.19580487838611</v>
      </c>
      <c r="I3348" s="5" t="n"/>
      <c r="J3348" s="5" t="n">
        <v>47.55403940277501</v>
      </c>
      <c r="K3348" s="5" t="n">
        <v>60</v>
      </c>
    </row>
    <row r="3349">
      <c r="A3349" s="2" t="n">
        <v>46236.91666666666</v>
      </c>
      <c r="B3349">
        <f>TEXT(A3349,"yyyy-mm")</f>
        <v/>
      </c>
      <c r="C3349" s="3">
        <f>HOUR(A3349)</f>
        <v/>
      </c>
      <c r="D3349" s="4" t="n">
        <v>27.39309572184166</v>
      </c>
      <c r="E3349" s="4" t="n"/>
      <c r="F3349" s="4" t="n">
        <v>29.00645637401945</v>
      </c>
      <c r="G3349" s="4" t="n">
        <v>24.2</v>
      </c>
      <c r="H3349" s="5" t="n">
        <v>44.36565780484722</v>
      </c>
      <c r="I3349" s="5" t="n"/>
      <c r="J3349" s="5" t="n">
        <v>47.45116647146111</v>
      </c>
      <c r="K3349" s="5" t="n">
        <v>58</v>
      </c>
    </row>
    <row r="3350">
      <c r="A3350" s="2" t="n">
        <v>46236.95833333334</v>
      </c>
      <c r="B3350">
        <f>TEXT(A3350,"yyyy-mm")</f>
        <v/>
      </c>
      <c r="C3350" s="3">
        <f>HOUR(A3350)</f>
        <v/>
      </c>
      <c r="D3350" s="4" t="n">
        <v>27.21202791186944</v>
      </c>
      <c r="E3350" s="4" t="n"/>
      <c r="F3350" s="4" t="n">
        <v>29.016400827275</v>
      </c>
      <c r="G3350" s="4" t="n">
        <v>23.4</v>
      </c>
      <c r="H3350" s="5" t="n">
        <v>43.51719958948056</v>
      </c>
      <c r="I3350" s="5" t="n"/>
      <c r="J3350" s="5" t="n">
        <v>47.37714860134167</v>
      </c>
      <c r="K3350" s="5" t="n">
        <v>62</v>
      </c>
    </row>
    <row r="3351">
      <c r="A3351" s="2" t="n">
        <v>46237</v>
      </c>
      <c r="B3351">
        <f>TEXT(A3351,"yyyy-mm")</f>
        <v/>
      </c>
      <c r="C3351" s="3">
        <f>HOUR(A3351)</f>
        <v/>
      </c>
      <c r="D3351" s="4" t="n">
        <v>26.90866185421389</v>
      </c>
      <c r="E3351" s="4" t="n"/>
      <c r="F3351" s="4" t="n">
        <v>28.99078252023056</v>
      </c>
      <c r="G3351" s="4" t="n">
        <v>22.1</v>
      </c>
      <c r="H3351" s="5" t="n">
        <v>43.34383927226389</v>
      </c>
      <c r="I3351" s="5" t="n"/>
      <c r="J3351" s="5" t="n">
        <v>47.65043393105555</v>
      </c>
      <c r="K3351" s="5" t="n">
        <v>67</v>
      </c>
    </row>
    <row r="3352">
      <c r="A3352" s="2" t="n">
        <v>46237.04166666666</v>
      </c>
      <c r="B3352">
        <f>TEXT(A3352,"yyyy-mm")</f>
        <v/>
      </c>
      <c r="C3352" s="3">
        <f>HOUR(A3352)</f>
        <v/>
      </c>
      <c r="D3352" s="4" t="n">
        <v>26.41926324759723</v>
      </c>
      <c r="E3352" s="4" t="n"/>
      <c r="F3352" s="4" t="n">
        <v>28.98166682482222</v>
      </c>
      <c r="G3352" s="4" t="n">
        <v>21.2</v>
      </c>
      <c r="H3352" s="5" t="n">
        <v>44.24616499595</v>
      </c>
      <c r="I3352" s="5" t="n"/>
      <c r="J3352" s="5" t="n">
        <v>47.54450948261667</v>
      </c>
      <c r="K3352" s="5" t="n">
        <v>72</v>
      </c>
    </row>
    <row r="3353">
      <c r="A3353" s="2" t="n">
        <v>46237.08333333334</v>
      </c>
      <c r="B3353">
        <f>TEXT(A3353,"yyyy-mm")</f>
        <v/>
      </c>
      <c r="C3353" s="3">
        <f>HOUR(A3353)</f>
        <v/>
      </c>
      <c r="D3353" s="4" t="n">
        <v>26.13323848186389</v>
      </c>
      <c r="E3353" s="4" t="n"/>
      <c r="F3353" s="4" t="n">
        <v>28.97481285540556</v>
      </c>
      <c r="G3353" s="4" t="n">
        <v>20.6</v>
      </c>
      <c r="H3353" s="5" t="n">
        <v>44.92374603501667</v>
      </c>
      <c r="I3353" s="5" t="n"/>
      <c r="J3353" s="5" t="n">
        <v>47.45715122720278</v>
      </c>
      <c r="K3353" s="5" t="n">
        <v>74</v>
      </c>
    </row>
    <row r="3354">
      <c r="A3354" s="2" t="n">
        <v>46237.125</v>
      </c>
      <c r="B3354">
        <f>TEXT(A3354,"yyyy-mm")</f>
        <v/>
      </c>
      <c r="C3354" s="3">
        <f>HOUR(A3354)</f>
        <v/>
      </c>
      <c r="D3354" s="4" t="n">
        <v>26.15129002429167</v>
      </c>
      <c r="E3354" s="4" t="n"/>
      <c r="F3354" s="4" t="n">
        <v>28.957923224575</v>
      </c>
      <c r="G3354" s="4" t="n">
        <v>19</v>
      </c>
      <c r="H3354" s="5" t="n">
        <v>44.402544931375</v>
      </c>
      <c r="I3354" s="5" t="n"/>
      <c r="J3354" s="5" t="n">
        <v>47.39449229254444</v>
      </c>
      <c r="K3354" s="5" t="n">
        <v>82</v>
      </c>
    </row>
    <row r="3355">
      <c r="A3355" s="2" t="n">
        <v>46237.16666666666</v>
      </c>
      <c r="B3355">
        <f>TEXT(A3355,"yyyy-mm")</f>
        <v/>
      </c>
      <c r="C3355" s="3">
        <f>HOUR(A3355)</f>
        <v/>
      </c>
      <c r="D3355" s="4" t="n">
        <v>25.86138368460833</v>
      </c>
      <c r="E3355" s="4" t="n"/>
      <c r="F3355" s="4" t="n">
        <v>28.94639901371667</v>
      </c>
      <c r="G3355" s="4" t="n">
        <v>18.7</v>
      </c>
      <c r="H3355" s="5" t="n">
        <v>44.73092885253334</v>
      </c>
      <c r="I3355" s="5" t="n"/>
      <c r="J3355" s="5" t="n">
        <v>47.29932514439722</v>
      </c>
      <c r="K3355" s="5" t="n">
        <v>83</v>
      </c>
    </row>
    <row r="3356">
      <c r="A3356" s="2" t="n">
        <v>46237.20833333334</v>
      </c>
      <c r="B3356">
        <f>TEXT(A3356,"yyyy-mm")</f>
        <v/>
      </c>
      <c r="C3356" s="3">
        <f>HOUR(A3356)</f>
        <v/>
      </c>
      <c r="D3356" s="4" t="n">
        <v>25.58808916655833</v>
      </c>
      <c r="E3356" s="4" t="n"/>
      <c r="F3356" s="4" t="n">
        <v>28.93206304634444</v>
      </c>
      <c r="G3356" s="4" t="n">
        <v>18.2</v>
      </c>
      <c r="H3356" s="5" t="n">
        <v>46.187627888825</v>
      </c>
      <c r="I3356" s="5" t="n"/>
      <c r="J3356" s="5" t="n">
        <v>47.27137104175556</v>
      </c>
      <c r="K3356" s="5" t="n">
        <v>85</v>
      </c>
    </row>
    <row r="3357">
      <c r="A3357" s="2" t="n">
        <v>46237.25</v>
      </c>
      <c r="B3357">
        <f>TEXT(A3357,"yyyy-mm")</f>
        <v/>
      </c>
      <c r="C3357" s="3">
        <f>HOUR(A3357)</f>
        <v/>
      </c>
      <c r="D3357" s="4" t="n">
        <v>26.542035702425</v>
      </c>
      <c r="E3357" s="4" t="n"/>
      <c r="F3357" s="4" t="n">
        <v>28.93056570396389</v>
      </c>
      <c r="G3357" s="4" t="n">
        <v>18.6</v>
      </c>
      <c r="H3357" s="5" t="n">
        <v>45.19171244182223</v>
      </c>
      <c r="I3357" s="5" t="n"/>
      <c r="J3357" s="5" t="n">
        <v>47.30764164449167</v>
      </c>
      <c r="K3357" s="5" t="n">
        <v>84</v>
      </c>
    </row>
    <row r="3358">
      <c r="A3358" s="2" t="n">
        <v>46237.29166666666</v>
      </c>
      <c r="B3358">
        <f>TEXT(A3358,"yyyy-mm")</f>
        <v/>
      </c>
      <c r="C3358" s="3">
        <f>HOUR(A3358)</f>
        <v/>
      </c>
      <c r="D3358" s="4" t="n">
        <v>27.51505948777778</v>
      </c>
      <c r="E3358" s="4" t="n"/>
      <c r="F3358" s="4" t="n">
        <v>28.95906845128055</v>
      </c>
      <c r="G3358" s="4" t="n">
        <v>20.3</v>
      </c>
      <c r="H3358" s="5" t="n">
        <v>43.37297130979999</v>
      </c>
      <c r="I3358" s="5" t="n"/>
      <c r="J3358" s="5" t="n">
        <v>47.31270984688612</v>
      </c>
      <c r="K3358" s="5" t="n">
        <v>78</v>
      </c>
    </row>
    <row r="3359">
      <c r="A3359" s="2" t="n">
        <v>46237.33333333334</v>
      </c>
      <c r="B3359">
        <f>TEXT(A3359,"yyyy-mm")</f>
        <v/>
      </c>
      <c r="C3359" s="3">
        <f>HOUR(A3359)</f>
        <v/>
      </c>
      <c r="D3359" s="4" t="n">
        <v>28.12541136019166</v>
      </c>
      <c r="E3359" s="4" t="n"/>
      <c r="F3359" s="4" t="n">
        <v>29.00967782696111</v>
      </c>
      <c r="G3359" s="4" t="n">
        <v>22.8</v>
      </c>
      <c r="H3359" s="5" t="n">
        <v>42.181279931775</v>
      </c>
      <c r="I3359" s="5" t="n"/>
      <c r="J3359" s="5" t="n">
        <v>47.44843975405833</v>
      </c>
      <c r="K3359" s="5" t="n">
        <v>71</v>
      </c>
    </row>
    <row r="3360">
      <c r="A3360" s="2" t="n">
        <v>46237.375</v>
      </c>
      <c r="B3360">
        <f>TEXT(A3360,"yyyy-mm")</f>
        <v/>
      </c>
      <c r="C3360" s="3">
        <f>HOUR(A3360)</f>
        <v/>
      </c>
      <c r="D3360" s="4" t="n">
        <v>26.93134148550556</v>
      </c>
      <c r="E3360" s="4" t="n"/>
      <c r="F3360" s="4" t="n">
        <v>29.08890082788611</v>
      </c>
      <c r="G3360" s="4" t="n">
        <v>25.3</v>
      </c>
      <c r="H3360" s="5" t="n">
        <v>36.43124615173333</v>
      </c>
      <c r="I3360" s="5" t="n"/>
      <c r="J3360" s="5" t="n">
        <v>47.24392029150277</v>
      </c>
      <c r="K3360" s="5" t="n">
        <v>60</v>
      </c>
    </row>
    <row r="3361">
      <c r="A3361" s="2" t="n">
        <v>46237.41666666666</v>
      </c>
      <c r="B3361">
        <f>TEXT(A3361,"yyyy-mm")</f>
        <v/>
      </c>
      <c r="C3361" s="3">
        <f>HOUR(A3361)</f>
        <v/>
      </c>
      <c r="D3361" s="4" t="n">
        <v>26.04419147449444</v>
      </c>
      <c r="E3361" s="4" t="n"/>
      <c r="F3361" s="4" t="n">
        <v>29.02306408633056</v>
      </c>
      <c r="G3361" s="4" t="n">
        <v>27.2</v>
      </c>
      <c r="H3361" s="5" t="n">
        <v>33.72595747254722</v>
      </c>
      <c r="I3361" s="5" t="n"/>
      <c r="J3361" s="5" t="n">
        <v>46.45042212260834</v>
      </c>
      <c r="K3361" s="5" t="n">
        <v>51</v>
      </c>
    </row>
    <row r="3362">
      <c r="A3362" s="2" t="n">
        <v>46237.45833333334</v>
      </c>
      <c r="B3362">
        <f>TEXT(A3362,"yyyy-mm")</f>
        <v/>
      </c>
      <c r="C3362" s="3">
        <f>HOUR(A3362)</f>
        <v/>
      </c>
      <c r="D3362" s="4" t="n">
        <v>25.84388417545</v>
      </c>
      <c r="E3362" s="4" t="n"/>
      <c r="F3362" s="4" t="n">
        <v>28.98735235751389</v>
      </c>
      <c r="G3362" s="4" t="n">
        <v>28.2</v>
      </c>
      <c r="H3362" s="5" t="n">
        <v>35.02075338718889</v>
      </c>
      <c r="I3362" s="5" t="n"/>
      <c r="J3362" s="5" t="n">
        <v>45.83371076064167</v>
      </c>
      <c r="K3362" s="5" t="n">
        <v>46</v>
      </c>
    </row>
    <row r="3363">
      <c r="A3363" s="2" t="n">
        <v>46237.5</v>
      </c>
      <c r="B3363">
        <f>TEXT(A3363,"yyyy-mm")</f>
        <v/>
      </c>
      <c r="C3363" s="3">
        <f>HOUR(A3363)</f>
        <v/>
      </c>
      <c r="D3363" s="4" t="n">
        <v>25.73867892064445</v>
      </c>
      <c r="E3363" s="4" t="n"/>
      <c r="F3363" s="4" t="n">
        <v>28.94608328001111</v>
      </c>
      <c r="G3363" s="4" t="n">
        <v>29.1</v>
      </c>
      <c r="H3363" s="5" t="n">
        <v>36.806077480225</v>
      </c>
      <c r="I3363" s="5" t="n"/>
      <c r="J3363" s="5" t="n">
        <v>45.53191474548333</v>
      </c>
      <c r="K3363" s="5" t="n">
        <v>43</v>
      </c>
    </row>
    <row r="3364">
      <c r="A3364" s="2" t="n">
        <v>46237.54166666666</v>
      </c>
      <c r="B3364">
        <f>TEXT(A3364,"yyyy-mm")</f>
        <v/>
      </c>
      <c r="C3364" s="3">
        <f>HOUR(A3364)</f>
        <v/>
      </c>
      <c r="D3364" s="4" t="n">
        <v>24.9219202981</v>
      </c>
      <c r="E3364" s="4" t="n"/>
      <c r="F3364" s="4" t="n">
        <v>28.96560519674444</v>
      </c>
      <c r="G3364" s="4" t="n">
        <v>29.8</v>
      </c>
      <c r="H3364" s="5" t="n">
        <v>35.65922329619166</v>
      </c>
      <c r="I3364" s="5" t="n"/>
      <c r="J3364" s="5" t="n">
        <v>44.95587523989167</v>
      </c>
      <c r="K3364" s="5" t="n">
        <v>40</v>
      </c>
    </row>
    <row r="3365">
      <c r="A3365" s="2" t="n">
        <v>46237.58333333334</v>
      </c>
      <c r="B3365">
        <f>TEXT(A3365,"yyyy-mm")</f>
        <v/>
      </c>
      <c r="C3365" s="3">
        <f>HOUR(A3365)</f>
        <v/>
      </c>
      <c r="D3365" s="4" t="n">
        <v>24.44670642922222</v>
      </c>
      <c r="E3365" s="4" t="n"/>
      <c r="F3365" s="4" t="n">
        <v>28.84424256184444</v>
      </c>
      <c r="G3365" s="4" t="n">
        <v>30.3</v>
      </c>
      <c r="H3365" s="5" t="n">
        <v>34.92791160891944</v>
      </c>
      <c r="I3365" s="5" t="n"/>
      <c r="J3365" s="5" t="n">
        <v>44.08396980239167</v>
      </c>
      <c r="K3365" s="5" t="n">
        <v>38</v>
      </c>
    </row>
    <row r="3366">
      <c r="A3366" s="2" t="n">
        <v>46237.625</v>
      </c>
      <c r="B3366">
        <f>TEXT(A3366,"yyyy-mm")</f>
        <v/>
      </c>
      <c r="C3366" s="3">
        <f>HOUR(A3366)</f>
        <v/>
      </c>
      <c r="D3366" s="4" t="n">
        <v>24.21239898297778</v>
      </c>
      <c r="E3366" s="4" t="n"/>
      <c r="F3366" s="4" t="n">
        <v>28.82496878564167</v>
      </c>
      <c r="G3366" s="4" t="n">
        <v>31.4</v>
      </c>
      <c r="H3366" s="5" t="n">
        <v>35.84938465995555</v>
      </c>
      <c r="I3366" s="5" t="n"/>
      <c r="J3366" s="5" t="n">
        <v>43.74725792641944</v>
      </c>
      <c r="K3366" s="5" t="n">
        <v>32</v>
      </c>
    </row>
    <row r="3367">
      <c r="A3367" s="2" t="n">
        <v>46237.66666666666</v>
      </c>
      <c r="B3367">
        <f>TEXT(A3367,"yyyy-mm")</f>
        <v/>
      </c>
      <c r="C3367" s="3">
        <f>HOUR(A3367)</f>
        <v/>
      </c>
      <c r="D3367" s="4" t="n">
        <v>24.15093528723889</v>
      </c>
      <c r="E3367" s="4" t="n"/>
      <c r="F3367" s="4" t="n">
        <v>28.66478121146666</v>
      </c>
      <c r="G3367" s="4" t="n">
        <v>31.5</v>
      </c>
      <c r="H3367" s="5" t="n">
        <v>36.84006182324445</v>
      </c>
      <c r="I3367" s="5" t="n"/>
      <c r="J3367" s="5" t="n">
        <v>42.96959238345278</v>
      </c>
      <c r="K3367" s="5" t="n">
        <v>30</v>
      </c>
    </row>
    <row r="3368">
      <c r="A3368" s="2" t="n">
        <v>46237.70833333334</v>
      </c>
      <c r="B3368">
        <f>TEXT(A3368,"yyyy-mm")</f>
        <v/>
      </c>
      <c r="C3368" s="3">
        <f>HOUR(A3368)</f>
        <v/>
      </c>
      <c r="D3368" s="4" t="n">
        <v>24.20249028431111</v>
      </c>
      <c r="E3368" s="4" t="n"/>
      <c r="F3368" s="4" t="n">
        <v>28.70286365949723</v>
      </c>
      <c r="G3368" s="4" t="n">
        <v>31.3</v>
      </c>
      <c r="H3368" s="5" t="n">
        <v>37.34029917436944</v>
      </c>
      <c r="I3368" s="5" t="n"/>
      <c r="J3368" s="5" t="n">
        <v>43.0593060023</v>
      </c>
      <c r="K3368" s="5" t="n">
        <v>30</v>
      </c>
    </row>
    <row r="3369">
      <c r="A3369" s="2" t="n">
        <v>46237.75</v>
      </c>
      <c r="B3369">
        <f>TEXT(A3369,"yyyy-mm")</f>
        <v/>
      </c>
      <c r="C3369" s="3">
        <f>HOUR(A3369)</f>
        <v/>
      </c>
      <c r="D3369" s="4" t="n">
        <v>24.23828203870278</v>
      </c>
      <c r="E3369" s="4" t="n"/>
      <c r="F3369" s="4" t="n">
        <v>28.76710582624722</v>
      </c>
      <c r="G3369" s="4" t="n">
        <v>30.8</v>
      </c>
      <c r="H3369" s="5" t="n">
        <v>36.92933578797778</v>
      </c>
      <c r="I3369" s="5" t="n"/>
      <c r="J3369" s="5" t="n">
        <v>43.11125669200833</v>
      </c>
      <c r="K3369" s="5" t="n">
        <v>31</v>
      </c>
    </row>
    <row r="3370">
      <c r="A3370" s="2" t="n">
        <v>46237.79166666666</v>
      </c>
      <c r="B3370">
        <f>TEXT(A3370,"yyyy-mm")</f>
        <v/>
      </c>
      <c r="C3370" s="3">
        <f>HOUR(A3370)</f>
        <v/>
      </c>
      <c r="D3370" s="4" t="n">
        <v>24.73004998452778</v>
      </c>
      <c r="E3370" s="4" t="n"/>
      <c r="F3370" s="4" t="n">
        <v>28.76993452148056</v>
      </c>
      <c r="G3370" s="4" t="n">
        <v>30</v>
      </c>
      <c r="H3370" s="5" t="n">
        <v>39.47393624869722</v>
      </c>
      <c r="I3370" s="5" t="n"/>
      <c r="J3370" s="5" t="n">
        <v>43.09807748948889</v>
      </c>
      <c r="K3370" s="5" t="n">
        <v>36</v>
      </c>
    </row>
    <row r="3371">
      <c r="A3371" s="2" t="n">
        <v>46237.83333333334</v>
      </c>
      <c r="B3371">
        <f>TEXT(A3371,"yyyy-mm")</f>
        <v/>
      </c>
      <c r="C3371" s="3">
        <f>HOUR(A3371)</f>
        <v/>
      </c>
      <c r="D3371" s="4" t="n">
        <v>25.94202165673612</v>
      </c>
      <c r="E3371" s="4" t="n"/>
      <c r="F3371" s="4" t="n">
        <v>28.82431368749444</v>
      </c>
      <c r="G3371" s="4" t="n">
        <v>28.2</v>
      </c>
      <c r="H3371" s="5" t="n">
        <v>43.18490096282778</v>
      </c>
      <c r="I3371" s="5" t="n"/>
      <c r="J3371" s="5" t="n">
        <v>43.58674415236388</v>
      </c>
      <c r="K3371" s="5" t="n">
        <v>48</v>
      </c>
    </row>
    <row r="3372">
      <c r="A3372" s="2" t="n">
        <v>46237.875</v>
      </c>
      <c r="B3372">
        <f>TEXT(A3372,"yyyy-mm")</f>
        <v/>
      </c>
      <c r="C3372" s="3">
        <f>HOUR(A3372)</f>
        <v/>
      </c>
      <c r="D3372" s="4" t="n">
        <v>26.47310803732222</v>
      </c>
      <c r="E3372" s="4" t="n"/>
      <c r="F3372" s="4" t="n">
        <v>28.91379343403333</v>
      </c>
      <c r="G3372" s="4" t="n">
        <v>26.6</v>
      </c>
      <c r="H3372" s="5" t="n">
        <v>45.87196706059444</v>
      </c>
      <c r="I3372" s="5" t="n"/>
      <c r="J3372" s="5" t="n">
        <v>44.14808030224444</v>
      </c>
      <c r="K3372" s="5" t="n">
        <v>56</v>
      </c>
    </row>
    <row r="3373">
      <c r="A3373" s="2" t="n">
        <v>46237.91666666666</v>
      </c>
      <c r="B3373">
        <f>TEXT(A3373,"yyyy-mm")</f>
        <v/>
      </c>
      <c r="C3373" s="3">
        <f>HOUR(A3373)</f>
        <v/>
      </c>
      <c r="D3373" s="4" t="n">
        <v>26.82006049448889</v>
      </c>
      <c r="E3373" s="4" t="n"/>
      <c r="F3373" s="4" t="n">
        <v>28.99154908305833</v>
      </c>
      <c r="G3373" s="4" t="n">
        <v>25.8</v>
      </c>
      <c r="H3373" s="5" t="n">
        <v>47.21897104128889</v>
      </c>
      <c r="I3373" s="5" t="n"/>
      <c r="J3373" s="5" t="n">
        <v>44.59290763338888</v>
      </c>
      <c r="K3373" s="5" t="n">
        <v>54</v>
      </c>
    </row>
    <row r="3374">
      <c r="A3374" s="2" t="n">
        <v>46237.95833333334</v>
      </c>
      <c r="B3374">
        <f>TEXT(A3374,"yyyy-mm")</f>
        <v/>
      </c>
      <c r="C3374" s="3">
        <f>HOUR(A3374)</f>
        <v/>
      </c>
      <c r="D3374" s="4" t="n">
        <v>27.31089915094167</v>
      </c>
      <c r="E3374" s="4" t="n"/>
      <c r="F3374" s="4" t="n">
        <v>29.107404823375</v>
      </c>
      <c r="G3374" s="4" t="n">
        <v>25.1</v>
      </c>
      <c r="H3374" s="5" t="n">
        <v>47.68503586122222</v>
      </c>
      <c r="I3374" s="5" t="n"/>
      <c r="J3374" s="5" t="n">
        <v>44.67892244341389</v>
      </c>
      <c r="K3374" s="5" t="n">
        <v>55</v>
      </c>
    </row>
    <row r="3375">
      <c r="A3375" s="2" t="n">
        <v>46238</v>
      </c>
      <c r="B3375">
        <f>TEXT(A3375,"yyyy-mm")</f>
        <v/>
      </c>
      <c r="C3375" s="3">
        <f>HOUR(A3375)</f>
        <v/>
      </c>
      <c r="D3375" s="4" t="n">
        <v>26.05135711688333</v>
      </c>
      <c r="E3375" s="4" t="n"/>
      <c r="F3375" s="4" t="n">
        <v>29.14256039048334</v>
      </c>
      <c r="G3375" s="4" t="n">
        <v>24.3</v>
      </c>
      <c r="H3375" s="5" t="n">
        <v>44.13517156748333</v>
      </c>
      <c r="I3375" s="5" t="n"/>
      <c r="J3375" s="5" t="n">
        <v>44.80181967050834</v>
      </c>
      <c r="K3375" s="5" t="n">
        <v>59</v>
      </c>
    </row>
    <row r="3376">
      <c r="A3376" s="2" t="n">
        <v>46238.04166666666</v>
      </c>
      <c r="B3376">
        <f>TEXT(A3376,"yyyy-mm")</f>
        <v/>
      </c>
      <c r="C3376" s="3">
        <f>HOUR(A3376)</f>
        <v/>
      </c>
      <c r="D3376" s="4" t="n">
        <v>24.05009475761945</v>
      </c>
      <c r="E3376" s="4" t="n"/>
      <c r="F3376" s="4" t="n">
        <v>29.07514426011389</v>
      </c>
      <c r="G3376" s="4" t="n">
        <v>23.1</v>
      </c>
      <c r="H3376" s="5" t="n">
        <v>37.22418228371389</v>
      </c>
      <c r="I3376" s="5" t="n"/>
      <c r="J3376" s="5" t="n">
        <v>44.55178215609723</v>
      </c>
      <c r="K3376" s="5" t="n">
        <v>65</v>
      </c>
    </row>
    <row r="3377">
      <c r="A3377" s="2" t="n">
        <v>46238.08333333334</v>
      </c>
      <c r="B3377">
        <f>TEXT(A3377,"yyyy-mm")</f>
        <v/>
      </c>
      <c r="C3377" s="3">
        <f>HOUR(A3377)</f>
        <v/>
      </c>
      <c r="D3377" s="4" t="n">
        <v>24.50288085195833</v>
      </c>
      <c r="E3377" s="4" t="n"/>
      <c r="F3377" s="4" t="n">
        <v>29.02077500690556</v>
      </c>
      <c r="G3377" s="4" t="n">
        <v>22</v>
      </c>
      <c r="H3377" s="5" t="n">
        <v>38.98513632876944</v>
      </c>
      <c r="I3377" s="5" t="n"/>
      <c r="J3377" s="5" t="n">
        <v>44.14982962098889</v>
      </c>
      <c r="K3377" s="5" t="n">
        <v>72</v>
      </c>
    </row>
    <row r="3378">
      <c r="A3378" s="2" t="n">
        <v>46238.125</v>
      </c>
      <c r="B3378">
        <f>TEXT(A3378,"yyyy-mm")</f>
        <v/>
      </c>
      <c r="C3378" s="3">
        <f>HOUR(A3378)</f>
        <v/>
      </c>
      <c r="D3378" s="4" t="n">
        <v>25.96450103199722</v>
      </c>
      <c r="E3378" s="4" t="n"/>
      <c r="F3378" s="4" t="n">
        <v>29.01424262639167</v>
      </c>
      <c r="G3378" s="4" t="n">
        <v>21</v>
      </c>
      <c r="H3378" s="5" t="n">
        <v>42.91540646729722</v>
      </c>
      <c r="I3378" s="5" t="n"/>
      <c r="J3378" s="5" t="n">
        <v>44.32865198213889</v>
      </c>
      <c r="K3378" s="5" t="n">
        <v>77</v>
      </c>
    </row>
    <row r="3379">
      <c r="A3379" s="2" t="n">
        <v>46238.16666666666</v>
      </c>
      <c r="B3379">
        <f>TEXT(A3379,"yyyy-mm")</f>
        <v/>
      </c>
      <c r="C3379" s="3">
        <f>HOUR(A3379)</f>
        <v/>
      </c>
      <c r="D3379" s="4" t="n">
        <v>26.35076690513056</v>
      </c>
      <c r="E3379" s="4" t="n"/>
      <c r="F3379" s="4" t="n">
        <v>29.03410382033889</v>
      </c>
      <c r="G3379" s="4" t="n">
        <v>20.6</v>
      </c>
      <c r="H3379" s="5" t="n">
        <v>43.97679802891111</v>
      </c>
      <c r="I3379" s="5" t="n"/>
      <c r="J3379" s="5" t="n">
        <v>44.71220736641112</v>
      </c>
      <c r="K3379" s="5" t="n">
        <v>79</v>
      </c>
    </row>
    <row r="3380">
      <c r="A3380" s="2" t="n">
        <v>46238.20833333334</v>
      </c>
      <c r="B3380">
        <f>TEXT(A3380,"yyyy-mm")</f>
        <v/>
      </c>
      <c r="C3380" s="3">
        <f>HOUR(A3380)</f>
        <v/>
      </c>
      <c r="D3380" s="4" t="n">
        <v>26.52204615005556</v>
      </c>
      <c r="E3380" s="4" t="n"/>
      <c r="F3380" s="4" t="n">
        <v>29.05582591679722</v>
      </c>
      <c r="G3380" s="4" t="n">
        <v>20.1</v>
      </c>
      <c r="H3380" s="5" t="n">
        <v>44.255010569175</v>
      </c>
      <c r="I3380" s="5" t="n"/>
      <c r="J3380" s="5" t="n">
        <v>45.02174991876667</v>
      </c>
      <c r="K3380" s="5" t="n">
        <v>82</v>
      </c>
    </row>
    <row r="3381">
      <c r="A3381" s="2" t="n">
        <v>46238.25</v>
      </c>
      <c r="B3381">
        <f>TEXT(A3381,"yyyy-mm")</f>
        <v/>
      </c>
      <c r="C3381" s="3">
        <f>HOUR(A3381)</f>
        <v/>
      </c>
      <c r="D3381" s="4" t="n">
        <v>26.84702749248333</v>
      </c>
      <c r="E3381" s="4" t="n"/>
      <c r="F3381" s="4" t="n">
        <v>29.10305788519166</v>
      </c>
      <c r="G3381" s="4" t="n">
        <v>20.6</v>
      </c>
      <c r="H3381" s="5" t="n">
        <v>44.53156595438889</v>
      </c>
      <c r="I3381" s="5" t="n"/>
      <c r="J3381" s="5" t="n">
        <v>45.23994084407223</v>
      </c>
      <c r="K3381" s="5" t="n">
        <v>80</v>
      </c>
    </row>
    <row r="3382">
      <c r="A3382" s="2" t="n">
        <v>46238.29166666666</v>
      </c>
      <c r="B3382">
        <f>TEXT(A3382,"yyyy-mm")</f>
        <v/>
      </c>
      <c r="C3382" s="3">
        <f>HOUR(A3382)</f>
        <v/>
      </c>
      <c r="D3382" s="4" t="n">
        <v>27.36761770167223</v>
      </c>
      <c r="E3382" s="4" t="n"/>
      <c r="F3382" s="4" t="n">
        <v>29.12680091471666</v>
      </c>
      <c r="G3382" s="4" t="n">
        <v>22.2</v>
      </c>
      <c r="H3382" s="5" t="n">
        <v>45.14333319498056</v>
      </c>
      <c r="I3382" s="5" t="n"/>
      <c r="J3382" s="5" t="n">
        <v>45.47046221803056</v>
      </c>
      <c r="K3382" s="5" t="n">
        <v>73</v>
      </c>
    </row>
    <row r="3383">
      <c r="A3383" s="2" t="n">
        <v>46238.33333333334</v>
      </c>
      <c r="B3383">
        <f>TEXT(A3383,"yyyy-mm")</f>
        <v/>
      </c>
      <c r="C3383" s="3">
        <f>HOUR(A3383)</f>
        <v/>
      </c>
      <c r="D3383" s="4" t="n">
        <v>27.86581505255278</v>
      </c>
      <c r="E3383" s="4" t="n"/>
      <c r="F3383" s="4" t="n">
        <v>29.20083157991111</v>
      </c>
      <c r="G3383" s="4" t="n">
        <v>24.7</v>
      </c>
      <c r="H3383" s="5" t="n">
        <v>45.98788760083056</v>
      </c>
      <c r="I3383" s="5" t="n"/>
      <c r="J3383" s="5" t="n">
        <v>45.67653244848611</v>
      </c>
      <c r="K3383" s="5" t="n">
        <v>64</v>
      </c>
    </row>
    <row r="3384">
      <c r="A3384" s="2" t="n">
        <v>46238.375</v>
      </c>
      <c r="B3384">
        <f>TEXT(A3384,"yyyy-mm")</f>
        <v/>
      </c>
      <c r="C3384" s="3">
        <f>HOUR(A3384)</f>
        <v/>
      </c>
      <c r="D3384" s="4" t="n">
        <v>27.14031412557778</v>
      </c>
      <c r="E3384" s="4" t="n"/>
      <c r="F3384" s="4" t="n">
        <v>29.24916654928611</v>
      </c>
      <c r="G3384" s="4" t="n">
        <v>27.6</v>
      </c>
      <c r="H3384" s="5" t="n">
        <v>40.58676835416389</v>
      </c>
      <c r="I3384" s="5" t="n"/>
      <c r="J3384" s="5" t="n">
        <v>45.68741317132501</v>
      </c>
      <c r="K3384" s="5" t="n">
        <v>55</v>
      </c>
    </row>
    <row r="3385">
      <c r="A3385" s="2" t="n">
        <v>46238.41666666666</v>
      </c>
      <c r="B3385">
        <f>TEXT(A3385,"yyyy-mm")</f>
        <v/>
      </c>
      <c r="C3385" s="3">
        <f>HOUR(A3385)</f>
        <v/>
      </c>
      <c r="D3385" s="4" t="n">
        <v>25.94240566484444</v>
      </c>
      <c r="E3385" s="4" t="n"/>
      <c r="F3385" s="4" t="n">
        <v>29.20275723995</v>
      </c>
      <c r="G3385" s="4" t="n">
        <v>29.5</v>
      </c>
      <c r="H3385" s="5" t="n">
        <v>35.54700875851111</v>
      </c>
      <c r="I3385" s="5" t="n"/>
      <c r="J3385" s="5" t="n">
        <v>45.25020770682778</v>
      </c>
      <c r="K3385" s="5" t="n">
        <v>46</v>
      </c>
    </row>
    <row r="3386">
      <c r="A3386" s="2" t="n">
        <v>46238.45833333334</v>
      </c>
      <c r="B3386">
        <f>TEXT(A3386,"yyyy-mm")</f>
        <v/>
      </c>
      <c r="C3386" s="3">
        <f>HOUR(A3386)</f>
        <v/>
      </c>
      <c r="D3386" s="4" t="n">
        <v>25.78415973316666</v>
      </c>
      <c r="E3386" s="4" t="n"/>
      <c r="F3386" s="4" t="n">
        <v>29.16814090538056</v>
      </c>
      <c r="G3386" s="4" t="n">
        <v>30.8</v>
      </c>
      <c r="H3386" s="5" t="n">
        <v>35.45399945295278</v>
      </c>
      <c r="I3386" s="5" t="n"/>
      <c r="J3386" s="5" t="n">
        <v>44.77323655653611</v>
      </c>
      <c r="K3386" s="5" t="n">
        <v>36</v>
      </c>
    </row>
    <row r="3387">
      <c r="A3387" s="2" t="n">
        <v>46238.5</v>
      </c>
      <c r="B3387">
        <f>TEXT(A3387,"yyyy-mm")</f>
        <v/>
      </c>
      <c r="C3387" s="3">
        <f>HOUR(A3387)</f>
        <v/>
      </c>
      <c r="D3387" s="4" t="n">
        <v>25.48470118168611</v>
      </c>
      <c r="E3387" s="4" t="n"/>
      <c r="F3387" s="4" t="n">
        <v>29.11112626561389</v>
      </c>
      <c r="G3387" s="4" t="n">
        <v>31.4</v>
      </c>
      <c r="H3387" s="5" t="n">
        <v>36.15603595251389</v>
      </c>
      <c r="I3387" s="5" t="n"/>
      <c r="J3387" s="5" t="n">
        <v>44.32764366994723</v>
      </c>
      <c r="K3387" s="5" t="n">
        <v>33</v>
      </c>
    </row>
    <row r="3388">
      <c r="A3388" s="2" t="n">
        <v>46238.54166666666</v>
      </c>
      <c r="B3388">
        <f>TEXT(A3388,"yyyy-mm")</f>
        <v/>
      </c>
      <c r="C3388" s="3">
        <f>HOUR(A3388)</f>
        <v/>
      </c>
      <c r="D3388" s="4" t="n">
        <v>25.57801338344444</v>
      </c>
      <c r="E3388" s="4" t="n"/>
      <c r="F3388" s="4" t="n">
        <v>29.08516413013889</v>
      </c>
      <c r="G3388" s="4" t="n">
        <v>31.9</v>
      </c>
      <c r="H3388" s="5" t="n">
        <v>39.16668581593056</v>
      </c>
      <c r="I3388" s="5" t="n"/>
      <c r="J3388" s="5" t="n">
        <v>44.28210591447222</v>
      </c>
      <c r="K3388" s="5" t="n">
        <v>32</v>
      </c>
    </row>
    <row r="3389">
      <c r="A3389" s="2" t="n">
        <v>46238.58333333334</v>
      </c>
      <c r="B3389">
        <f>TEXT(A3389,"yyyy-mm")</f>
        <v/>
      </c>
      <c r="C3389" s="3">
        <f>HOUR(A3389)</f>
        <v/>
      </c>
      <c r="D3389" s="4" t="n">
        <v>25.47228524916667</v>
      </c>
      <c r="E3389" s="4" t="n"/>
      <c r="F3389" s="4" t="n">
        <v>29.10341953568889</v>
      </c>
      <c r="G3389" s="4" t="n">
        <v>32.1</v>
      </c>
      <c r="H3389" s="5" t="n">
        <v>38.97492607277222</v>
      </c>
      <c r="I3389" s="5" t="n"/>
      <c r="J3389" s="5" t="n">
        <v>44.39523458130833</v>
      </c>
      <c r="K3389" s="5" t="n">
        <v>32</v>
      </c>
    </row>
    <row r="3390">
      <c r="A3390" s="2" t="n">
        <v>46238.625</v>
      </c>
      <c r="B3390">
        <f>TEXT(A3390,"yyyy-mm")</f>
        <v/>
      </c>
      <c r="C3390" s="3">
        <f>HOUR(A3390)</f>
        <v/>
      </c>
      <c r="D3390" s="4" t="n">
        <v>25.69500170571111</v>
      </c>
      <c r="E3390" s="4" t="n"/>
      <c r="F3390" s="4" t="n">
        <v>29.11241951648056</v>
      </c>
      <c r="G3390" s="4" t="n">
        <v>32.8</v>
      </c>
      <c r="H3390" s="5" t="n">
        <v>42.29459457435555</v>
      </c>
      <c r="I3390" s="5" t="n"/>
      <c r="J3390" s="5" t="n">
        <v>44.71412909393612</v>
      </c>
      <c r="K3390" s="5" t="n">
        <v>31</v>
      </c>
    </row>
    <row r="3391">
      <c r="A3391" s="2" t="n">
        <v>46238.66666666666</v>
      </c>
      <c r="B3391">
        <f>TEXT(A3391,"yyyy-mm")</f>
        <v/>
      </c>
      <c r="C3391" s="3">
        <f>HOUR(A3391)</f>
        <v/>
      </c>
      <c r="D3391" s="4" t="n">
        <v>25.54144865836111</v>
      </c>
      <c r="E3391" s="4" t="n"/>
      <c r="F3391" s="4" t="n">
        <v>29.11541669143333</v>
      </c>
      <c r="G3391" s="4" t="n">
        <v>32.7</v>
      </c>
      <c r="H3391" s="5" t="n">
        <v>41.63405237358055</v>
      </c>
      <c r="I3391" s="5" t="n"/>
      <c r="J3391" s="5" t="n">
        <v>44.65354158938889</v>
      </c>
      <c r="K3391" s="5" t="n">
        <v>31</v>
      </c>
    </row>
    <row r="3392">
      <c r="A3392" s="2" t="n">
        <v>46238.70833333334</v>
      </c>
      <c r="B3392">
        <f>TEXT(A3392,"yyyy-mm")</f>
        <v/>
      </c>
      <c r="C3392" s="3">
        <f>HOUR(A3392)</f>
        <v/>
      </c>
      <c r="D3392" s="4" t="n">
        <v>25.46689867212778</v>
      </c>
      <c r="E3392" s="4" t="n"/>
      <c r="F3392" s="4" t="n">
        <v>29.13939168411389</v>
      </c>
      <c r="G3392" s="4" t="n">
        <v>32.4</v>
      </c>
      <c r="H3392" s="5" t="n">
        <v>40.99577191839167</v>
      </c>
      <c r="I3392" s="5" t="n"/>
      <c r="J3392" s="5" t="n">
        <v>44.74086908283333</v>
      </c>
      <c r="K3392" s="5" t="n">
        <v>31</v>
      </c>
    </row>
    <row r="3393">
      <c r="A3393" s="2" t="n">
        <v>46238.75</v>
      </c>
      <c r="B3393">
        <f>TEXT(A3393,"yyyy-mm")</f>
        <v/>
      </c>
      <c r="C3393" s="3">
        <f>HOUR(A3393)</f>
        <v/>
      </c>
      <c r="D3393" s="4" t="n">
        <v>25.60858020617778</v>
      </c>
      <c r="E3393" s="4" t="n"/>
      <c r="F3393" s="4" t="n">
        <v>29.16459614506111</v>
      </c>
      <c r="G3393" s="4" t="n">
        <v>32.1</v>
      </c>
      <c r="H3393" s="5" t="n">
        <v>44.38610541448889</v>
      </c>
      <c r="I3393" s="5" t="n"/>
      <c r="J3393" s="5" t="n">
        <v>44.7436653291</v>
      </c>
      <c r="K3393" s="5" t="n">
        <v>32</v>
      </c>
    </row>
    <row r="3394">
      <c r="A3394" s="2" t="n">
        <v>46238.79166666666</v>
      </c>
      <c r="B3394">
        <f>TEXT(A3394,"yyyy-mm")</f>
        <v/>
      </c>
      <c r="C3394" s="3">
        <f>HOUR(A3394)</f>
        <v/>
      </c>
      <c r="D3394" s="4" t="n">
        <v>25.69661187440833</v>
      </c>
      <c r="E3394" s="4" t="n"/>
      <c r="F3394" s="4" t="n">
        <v>29.180590766075</v>
      </c>
      <c r="G3394" s="4" t="n">
        <v>31.1</v>
      </c>
      <c r="H3394" s="5" t="n">
        <v>42.85005452966112</v>
      </c>
      <c r="I3394" s="5" t="n"/>
      <c r="J3394" s="5" t="n">
        <v>44.95628912026111</v>
      </c>
      <c r="K3394" s="5" t="n">
        <v>34</v>
      </c>
    </row>
    <row r="3395">
      <c r="A3395" s="2" t="n">
        <v>46238.83333333334</v>
      </c>
      <c r="B3395">
        <f>TEXT(A3395,"yyyy-mm")</f>
        <v/>
      </c>
      <c r="C3395" s="3">
        <f>HOUR(A3395)</f>
        <v/>
      </c>
      <c r="D3395" s="4" t="n">
        <v>26.636713664425</v>
      </c>
      <c r="E3395" s="4" t="n"/>
      <c r="F3395" s="4" t="n">
        <v>29.19708869571944</v>
      </c>
      <c r="G3395" s="4" t="n">
        <v>29.5</v>
      </c>
      <c r="H3395" s="5" t="n">
        <v>49.53318172034445</v>
      </c>
      <c r="I3395" s="5" t="n"/>
      <c r="J3395" s="5" t="n">
        <v>45.08111761844722</v>
      </c>
      <c r="K3395" s="5" t="n">
        <v>40</v>
      </c>
    </row>
    <row r="3396">
      <c r="A3396" s="2" t="n">
        <v>46238.875</v>
      </c>
      <c r="B3396">
        <f>TEXT(A3396,"yyyy-mm")</f>
        <v/>
      </c>
      <c r="C3396" s="3">
        <f>HOUR(A3396)</f>
        <v/>
      </c>
      <c r="D3396" s="4" t="n">
        <v>27.05130987393611</v>
      </c>
      <c r="E3396" s="4" t="n"/>
      <c r="F3396" s="4" t="n">
        <v>29.27034889820555</v>
      </c>
      <c r="G3396" s="4" t="n">
        <v>28.3</v>
      </c>
      <c r="H3396" s="5" t="n">
        <v>51.91235880808889</v>
      </c>
      <c r="I3396" s="5" t="n"/>
      <c r="J3396" s="5" t="n">
        <v>45.25924336916944</v>
      </c>
      <c r="K3396" s="5" t="n">
        <v>45</v>
      </c>
    </row>
    <row r="3397">
      <c r="A3397" s="2" t="n">
        <v>46238.91666666666</v>
      </c>
      <c r="B3397">
        <f>TEXT(A3397,"yyyy-mm")</f>
        <v/>
      </c>
      <c r="C3397" s="3">
        <f>HOUR(A3397)</f>
        <v/>
      </c>
      <c r="D3397" s="4" t="n">
        <v>27.33697727496111</v>
      </c>
      <c r="E3397" s="4" t="n"/>
      <c r="F3397" s="4" t="n">
        <v>29.34628585883889</v>
      </c>
      <c r="G3397" s="4" t="n">
        <v>27.4</v>
      </c>
      <c r="H3397" s="5" t="n">
        <v>47.74491965885</v>
      </c>
      <c r="I3397" s="5" t="n"/>
      <c r="J3397" s="5" t="n">
        <v>47.22553667494722</v>
      </c>
      <c r="K3397" s="5" t="n">
        <v>49</v>
      </c>
    </row>
    <row r="3398">
      <c r="A3398" s="2" t="n">
        <v>46238.95833333334</v>
      </c>
      <c r="B3398">
        <f>TEXT(A3398,"yyyy-mm")</f>
        <v/>
      </c>
      <c r="C3398" s="3">
        <f>HOUR(A3398)</f>
        <v/>
      </c>
      <c r="D3398" s="4" t="n">
        <v>27.42445145504166</v>
      </c>
      <c r="E3398" s="4" t="n"/>
      <c r="F3398" s="4" t="n">
        <v>29.37532049656112</v>
      </c>
      <c r="G3398" s="4" t="n">
        <v>26.7</v>
      </c>
      <c r="H3398" s="5" t="n">
        <v>47.09088976668056</v>
      </c>
      <c r="I3398" s="5" t="n"/>
      <c r="J3398" s="5" t="n">
        <v>47.33764701363888</v>
      </c>
      <c r="K3398" s="5" t="n">
        <v>53</v>
      </c>
    </row>
    <row r="3399">
      <c r="A3399" s="2" t="n">
        <v>46239</v>
      </c>
      <c r="B3399">
        <f>TEXT(A3399,"yyyy-mm")</f>
        <v/>
      </c>
      <c r="C3399" s="3">
        <f>HOUR(A3399)</f>
        <v/>
      </c>
      <c r="D3399" s="4" t="n">
        <v>27.39639267597778</v>
      </c>
      <c r="E3399" s="4" t="n"/>
      <c r="F3399" s="4" t="n">
        <v>29.35255535104444</v>
      </c>
      <c r="G3399" s="4" t="n">
        <v>25.7</v>
      </c>
      <c r="H3399" s="5" t="n">
        <v>46.94644709977222</v>
      </c>
      <c r="I3399" s="5" t="n"/>
      <c r="J3399" s="5" t="n">
        <v>47.00883693556944</v>
      </c>
      <c r="K3399" s="5" t="n">
        <v>59</v>
      </c>
    </row>
    <row r="3400">
      <c r="A3400" s="2" t="n">
        <v>46239.04166666666</v>
      </c>
      <c r="B3400">
        <f>TEXT(A3400,"yyyy-mm")</f>
        <v/>
      </c>
      <c r="C3400" s="3">
        <f>HOUR(A3400)</f>
        <v/>
      </c>
      <c r="D3400" s="4" t="n">
        <v>25.18749420907778</v>
      </c>
      <c r="E3400" s="4" t="n"/>
      <c r="F3400" s="4" t="n">
        <v>29.29988060431112</v>
      </c>
      <c r="G3400" s="4" t="n">
        <v>25</v>
      </c>
      <c r="H3400" s="5" t="n">
        <v>39.66296926129722</v>
      </c>
      <c r="I3400" s="5" t="n"/>
      <c r="J3400" s="5" t="n">
        <v>46.53335764195278</v>
      </c>
      <c r="K3400" s="5" t="n">
        <v>63</v>
      </c>
    </row>
    <row r="3401">
      <c r="A3401" s="2" t="n">
        <v>46239.08333333334</v>
      </c>
      <c r="B3401">
        <f>TEXT(A3401,"yyyy-mm")</f>
        <v/>
      </c>
      <c r="C3401" s="3">
        <f>HOUR(A3401)</f>
        <v/>
      </c>
      <c r="D3401" s="4" t="n">
        <v>25.27697575881666</v>
      </c>
      <c r="E3401" s="4" t="n"/>
      <c r="F3401" s="4" t="n">
        <v>29.22000481089445</v>
      </c>
      <c r="G3401" s="4" t="n">
        <v>24.1</v>
      </c>
      <c r="H3401" s="5" t="n">
        <v>41.24325954942778</v>
      </c>
      <c r="I3401" s="5" t="n"/>
      <c r="J3401" s="5" t="n">
        <v>45.56331756531944</v>
      </c>
      <c r="K3401" s="5" t="n">
        <v>67</v>
      </c>
    </row>
    <row r="3402">
      <c r="A3402" s="2" t="n">
        <v>46239.125</v>
      </c>
      <c r="B3402">
        <f>TEXT(A3402,"yyyy-mm")</f>
        <v/>
      </c>
      <c r="C3402" s="3">
        <f>HOUR(A3402)</f>
        <v/>
      </c>
      <c r="D3402" s="4" t="n">
        <v>26.49338025424444</v>
      </c>
      <c r="E3402" s="4" t="n"/>
      <c r="F3402" s="4" t="n">
        <v>29.21753066387778</v>
      </c>
      <c r="G3402" s="4" t="n">
        <v>22.8</v>
      </c>
      <c r="H3402" s="5" t="n">
        <v>45.68654029935556</v>
      </c>
      <c r="I3402" s="5" t="n"/>
      <c r="J3402" s="5" t="n">
        <v>45.90761044008889</v>
      </c>
      <c r="K3402" s="5" t="n">
        <v>72</v>
      </c>
    </row>
    <row r="3403">
      <c r="A3403" s="2" t="n">
        <v>46239.16666666666</v>
      </c>
      <c r="B3403">
        <f>TEXT(A3403,"yyyy-mm")</f>
        <v/>
      </c>
      <c r="C3403" s="3">
        <f>HOUR(A3403)</f>
        <v/>
      </c>
      <c r="D3403" s="4" t="n">
        <v>26.76341512666111</v>
      </c>
      <c r="E3403" s="4" t="n"/>
      <c r="F3403" s="4" t="n">
        <v>29.24738153817222</v>
      </c>
      <c r="G3403" s="4" t="n">
        <v>22.3</v>
      </c>
      <c r="H3403" s="5" t="n">
        <v>46.05673188395556</v>
      </c>
      <c r="I3403" s="5" t="n"/>
      <c r="J3403" s="5" t="n">
        <v>46.22812289633333</v>
      </c>
      <c r="K3403" s="5" t="n">
        <v>74</v>
      </c>
    </row>
    <row r="3404">
      <c r="A3404" s="2" t="n">
        <v>46239.20833333334</v>
      </c>
      <c r="B3404">
        <f>TEXT(A3404,"yyyy-mm")</f>
        <v/>
      </c>
      <c r="C3404" s="3">
        <f>HOUR(A3404)</f>
        <v/>
      </c>
      <c r="D3404" s="4" t="n">
        <v>26.83708687451944</v>
      </c>
      <c r="E3404" s="4" t="n"/>
      <c r="F3404" s="4" t="n">
        <v>29.27112134141667</v>
      </c>
      <c r="G3404" s="4" t="n">
        <v>21.8</v>
      </c>
      <c r="H3404" s="5" t="n">
        <v>46.130680802</v>
      </c>
      <c r="I3404" s="5" t="n"/>
      <c r="J3404" s="5" t="n">
        <v>46.40112430116944</v>
      </c>
      <c r="K3404" s="5" t="n">
        <v>77</v>
      </c>
    </row>
    <row r="3405">
      <c r="A3405" s="2" t="n">
        <v>46239.25</v>
      </c>
      <c r="B3405">
        <f>TEXT(A3405,"yyyy-mm")</f>
        <v/>
      </c>
      <c r="C3405" s="3">
        <f>HOUR(A3405)</f>
        <v/>
      </c>
      <c r="D3405" s="4" t="n">
        <v>27.16946131698889</v>
      </c>
      <c r="E3405" s="4" t="n"/>
      <c r="F3405" s="4" t="n">
        <v>29.30073518958611</v>
      </c>
      <c r="G3405" s="4" t="n">
        <v>22.1</v>
      </c>
      <c r="H3405" s="5" t="n">
        <v>46.26025328115</v>
      </c>
      <c r="I3405" s="5" t="n"/>
      <c r="J3405" s="5" t="n">
        <v>46.5188162465</v>
      </c>
      <c r="K3405" s="5" t="n">
        <v>76</v>
      </c>
    </row>
    <row r="3406">
      <c r="A3406" s="2" t="n">
        <v>46239.29166666666</v>
      </c>
      <c r="B3406">
        <f>TEXT(A3406,"yyyy-mm")</f>
        <v/>
      </c>
      <c r="C3406" s="3">
        <f>HOUR(A3406)</f>
        <v/>
      </c>
      <c r="D3406" s="4" t="n">
        <v>27.70795397956111</v>
      </c>
      <c r="E3406" s="4" t="n"/>
      <c r="F3406" s="4" t="n">
        <v>29.33531851637778</v>
      </c>
      <c r="G3406" s="4" t="n">
        <v>23.3</v>
      </c>
      <c r="H3406" s="5" t="n">
        <v>46.09444099673056</v>
      </c>
      <c r="I3406" s="5" t="n"/>
      <c r="J3406" s="5" t="n">
        <v>46.59985376790834</v>
      </c>
      <c r="K3406" s="5" t="n">
        <v>71</v>
      </c>
    </row>
    <row r="3407">
      <c r="A3407" s="2" t="n">
        <v>46239.33333333334</v>
      </c>
      <c r="B3407">
        <f>TEXT(A3407,"yyyy-mm")</f>
        <v/>
      </c>
      <c r="C3407" s="3">
        <f>HOUR(A3407)</f>
        <v/>
      </c>
      <c r="D3407" s="4" t="n">
        <v>28.20446368819445</v>
      </c>
      <c r="E3407" s="4" t="n"/>
      <c r="F3407" s="4" t="n">
        <v>29.45127198418889</v>
      </c>
      <c r="G3407" s="4" t="n">
        <v>25.4</v>
      </c>
      <c r="H3407" s="5" t="n">
        <v>46.14288688214722</v>
      </c>
      <c r="I3407" s="5" t="n"/>
      <c r="J3407" s="5" t="n">
        <v>46.55998727166111</v>
      </c>
      <c r="K3407" s="5" t="n">
        <v>62</v>
      </c>
    </row>
    <row r="3408">
      <c r="A3408" s="2" t="n">
        <v>46239.375</v>
      </c>
      <c r="B3408">
        <f>TEXT(A3408,"yyyy-mm")</f>
        <v/>
      </c>
      <c r="C3408" s="3">
        <f>HOUR(A3408)</f>
        <v/>
      </c>
      <c r="D3408" s="4" t="n">
        <v>27.28491952438056</v>
      </c>
      <c r="E3408" s="4" t="n"/>
      <c r="F3408" s="4" t="n">
        <v>29.46790888975555</v>
      </c>
      <c r="G3408" s="4" t="n">
        <v>27.5</v>
      </c>
      <c r="H3408" s="5" t="n">
        <v>38.11302263136111</v>
      </c>
      <c r="I3408" s="5" t="n"/>
      <c r="J3408" s="5" t="n">
        <v>46.49562048144444</v>
      </c>
      <c r="K3408" s="5" t="n">
        <v>53</v>
      </c>
    </row>
    <row r="3409">
      <c r="A3409" s="2" t="n">
        <v>46239.41666666666</v>
      </c>
      <c r="B3409">
        <f>TEXT(A3409,"yyyy-mm")</f>
        <v/>
      </c>
      <c r="C3409" s="3">
        <f>HOUR(A3409)</f>
        <v/>
      </c>
      <c r="D3409" s="4" t="n">
        <v>25.84523418976667</v>
      </c>
      <c r="E3409" s="4" t="n"/>
      <c r="F3409" s="4" t="n">
        <v>29.38177253114722</v>
      </c>
      <c r="G3409" s="4" t="n">
        <v>29.6</v>
      </c>
      <c r="H3409" s="5" t="n">
        <v>34.03812347899722</v>
      </c>
      <c r="I3409" s="5" t="n"/>
      <c r="J3409" s="5" t="n">
        <v>45.88535247505556</v>
      </c>
      <c r="K3409" s="5" t="n">
        <v>45</v>
      </c>
    </row>
    <row r="3410">
      <c r="A3410" s="2" t="n">
        <v>46239.45833333334</v>
      </c>
      <c r="B3410">
        <f>TEXT(A3410,"yyyy-mm")</f>
        <v/>
      </c>
      <c r="C3410" s="3">
        <f>HOUR(A3410)</f>
        <v/>
      </c>
      <c r="D3410" s="4" t="n">
        <v>25.43616477828056</v>
      </c>
      <c r="E3410" s="4" t="n"/>
      <c r="F3410" s="4" t="n">
        <v>29.26928475885833</v>
      </c>
      <c r="G3410" s="4" t="n">
        <v>31.1</v>
      </c>
      <c r="H3410" s="5" t="n">
        <v>34.364790144975</v>
      </c>
      <c r="I3410" s="5" t="n"/>
      <c r="J3410" s="5" t="n">
        <v>44.4545069995</v>
      </c>
      <c r="K3410" s="5" t="n">
        <v>39</v>
      </c>
    </row>
    <row r="3411">
      <c r="A3411" s="2" t="n">
        <v>46239.5</v>
      </c>
      <c r="B3411">
        <f>TEXT(A3411,"yyyy-mm")</f>
        <v/>
      </c>
      <c r="C3411" s="3">
        <f>HOUR(A3411)</f>
        <v/>
      </c>
      <c r="D3411" s="4" t="n">
        <v>25.38151185390278</v>
      </c>
      <c r="E3411" s="4" t="n"/>
      <c r="F3411" s="4" t="n">
        <v>29.263390242975</v>
      </c>
      <c r="G3411" s="4" t="n">
        <v>31.9</v>
      </c>
      <c r="H3411" s="5" t="n">
        <v>36.0273473224611</v>
      </c>
      <c r="I3411" s="5" t="n"/>
      <c r="J3411" s="5" t="n">
        <v>43.515718326075</v>
      </c>
      <c r="K3411" s="5" t="n">
        <v>34</v>
      </c>
    </row>
    <row r="3412">
      <c r="A3412" s="2" t="n">
        <v>46239.54166666666</v>
      </c>
      <c r="B3412">
        <f>TEXT(A3412,"yyyy-mm")</f>
        <v/>
      </c>
      <c r="C3412" s="3">
        <f>HOUR(A3412)</f>
        <v/>
      </c>
      <c r="D3412" s="4" t="n">
        <v>25.79661033369722</v>
      </c>
      <c r="E3412" s="4" t="n"/>
      <c r="F3412" s="4" t="n">
        <v>29.29154401146112</v>
      </c>
      <c r="G3412" s="4" t="n">
        <v>32.3</v>
      </c>
      <c r="H3412" s="5" t="n">
        <v>39.78289909056111</v>
      </c>
      <c r="I3412" s="5" t="n"/>
      <c r="J3412" s="5" t="n">
        <v>43.9410312618</v>
      </c>
      <c r="K3412" s="5" t="n">
        <v>34</v>
      </c>
    </row>
    <row r="3413">
      <c r="A3413" s="2" t="n">
        <v>46239.58333333334</v>
      </c>
      <c r="B3413">
        <f>TEXT(A3413,"yyyy-mm")</f>
        <v/>
      </c>
      <c r="C3413" s="3">
        <f>HOUR(A3413)</f>
        <v/>
      </c>
      <c r="D3413" s="4" t="n">
        <v>25.75338857229722</v>
      </c>
      <c r="E3413" s="4" t="n"/>
      <c r="F3413" s="4" t="n">
        <v>29.46998476869445</v>
      </c>
      <c r="G3413" s="4" t="n">
        <v>32.6</v>
      </c>
      <c r="H3413" s="5" t="n">
        <v>40.15533319283333</v>
      </c>
      <c r="I3413" s="5" t="n"/>
      <c r="J3413" s="5" t="n">
        <v>44.34907722848612</v>
      </c>
      <c r="K3413" s="5" t="n">
        <v>34</v>
      </c>
    </row>
    <row r="3414">
      <c r="A3414" s="2" t="n">
        <v>46239.625</v>
      </c>
      <c r="B3414">
        <f>TEXT(A3414,"yyyy-mm")</f>
        <v/>
      </c>
      <c r="C3414" s="3">
        <f>HOUR(A3414)</f>
        <v/>
      </c>
      <c r="D3414" s="4" t="n">
        <v>25.60025255621944</v>
      </c>
      <c r="E3414" s="4" t="n"/>
      <c r="F3414" s="4" t="n">
        <v>29.46840127553889</v>
      </c>
      <c r="G3414" s="4" t="n">
        <v>33.3</v>
      </c>
      <c r="H3414" s="5" t="n">
        <v>40.18815872133612</v>
      </c>
      <c r="I3414" s="5" t="n"/>
      <c r="J3414" s="5" t="n">
        <v>44.38997168317778</v>
      </c>
      <c r="K3414" s="5" t="n">
        <v>32</v>
      </c>
    </row>
    <row r="3415">
      <c r="A3415" s="2" t="n">
        <v>46239.66666666666</v>
      </c>
      <c r="B3415">
        <f>TEXT(A3415,"yyyy-mm")</f>
        <v/>
      </c>
      <c r="C3415" s="3">
        <f>HOUR(A3415)</f>
        <v/>
      </c>
      <c r="D3415" s="4" t="n">
        <v>25.57657642485</v>
      </c>
      <c r="E3415" s="4" t="n"/>
      <c r="F3415" s="4" t="n">
        <v>29.408676364</v>
      </c>
      <c r="G3415" s="4" t="n">
        <v>33</v>
      </c>
      <c r="H3415" s="5" t="n">
        <v>42.15718984283611</v>
      </c>
      <c r="I3415" s="5" t="n"/>
      <c r="J3415" s="5" t="n">
        <v>44.31301247655833</v>
      </c>
      <c r="K3415" s="5" t="n">
        <v>33</v>
      </c>
    </row>
    <row r="3416">
      <c r="A3416" s="2" t="n">
        <v>46239.70833333334</v>
      </c>
      <c r="B3416">
        <f>TEXT(A3416,"yyyy-mm")</f>
        <v/>
      </c>
      <c r="C3416" s="3">
        <f>HOUR(A3416)</f>
        <v/>
      </c>
      <c r="D3416" s="4" t="n">
        <v>25.60265620068333</v>
      </c>
      <c r="E3416" s="4" t="n"/>
      <c r="F3416" s="4" t="n">
        <v>29.37244720965</v>
      </c>
      <c r="G3416" s="4" t="n">
        <v>32.5</v>
      </c>
      <c r="H3416" s="5" t="n">
        <v>42.34282900266388</v>
      </c>
      <c r="I3416" s="5" t="n"/>
      <c r="J3416" s="5" t="n">
        <v>44.64954360866667</v>
      </c>
      <c r="K3416" s="5" t="n">
        <v>34</v>
      </c>
    </row>
    <row r="3417">
      <c r="A3417" s="2" t="n">
        <v>46239.75</v>
      </c>
      <c r="B3417">
        <f>TEXT(A3417,"yyyy-mm")</f>
        <v/>
      </c>
      <c r="C3417" s="3">
        <f>HOUR(A3417)</f>
        <v/>
      </c>
      <c r="D3417" s="4" t="n">
        <v>25.71676697286945</v>
      </c>
      <c r="E3417" s="4" t="n"/>
      <c r="F3417" s="4" t="n">
        <v>29.37308354413611</v>
      </c>
      <c r="G3417" s="4" t="n">
        <v>32</v>
      </c>
      <c r="H3417" s="5" t="n">
        <v>44.52198120295</v>
      </c>
      <c r="I3417" s="5" t="n"/>
      <c r="J3417" s="5" t="n">
        <v>44.73097411114167</v>
      </c>
      <c r="K3417" s="5" t="n">
        <v>36</v>
      </c>
    </row>
    <row r="3418">
      <c r="A3418" s="2" t="n">
        <v>46239.79166666666</v>
      </c>
      <c r="B3418">
        <f>TEXT(A3418,"yyyy-mm")</f>
        <v/>
      </c>
      <c r="C3418" s="3">
        <f>HOUR(A3418)</f>
        <v/>
      </c>
      <c r="D3418" s="4" t="n">
        <v>25.46907632032222</v>
      </c>
      <c r="E3418" s="4" t="n"/>
      <c r="F3418" s="4" t="n">
        <v>29.27740338295555</v>
      </c>
      <c r="G3418" s="4" t="n">
        <v>31.3</v>
      </c>
      <c r="H3418" s="5" t="n">
        <v>41.49227346096666</v>
      </c>
      <c r="I3418" s="5" t="n"/>
      <c r="J3418" s="5" t="n">
        <v>44.75731453189445</v>
      </c>
      <c r="K3418" s="5" t="n">
        <v>38</v>
      </c>
    </row>
    <row r="3419">
      <c r="A3419" s="2" t="n">
        <v>46239.83333333334</v>
      </c>
      <c r="B3419">
        <f>TEXT(A3419,"yyyy-mm")</f>
        <v/>
      </c>
      <c r="C3419" s="3">
        <f>HOUR(A3419)</f>
        <v/>
      </c>
      <c r="D3419" s="4" t="n">
        <v>25.62721683575278</v>
      </c>
      <c r="E3419" s="4" t="n"/>
      <c r="F3419" s="4" t="n">
        <v>28.61827825223333</v>
      </c>
      <c r="G3419" s="4" t="n">
        <v>30.2</v>
      </c>
      <c r="H3419" s="5" t="n">
        <v>45.85021531646667</v>
      </c>
      <c r="I3419" s="5" t="n"/>
      <c r="J3419" s="5" t="n">
        <v>48.29262865605833</v>
      </c>
      <c r="K3419" s="5" t="n">
        <v>47</v>
      </c>
    </row>
    <row r="3420">
      <c r="A3420" s="2" t="n">
        <v>46239.875</v>
      </c>
      <c r="B3420">
        <f>TEXT(A3420,"yyyy-mm")</f>
        <v/>
      </c>
      <c r="C3420" s="3">
        <f>HOUR(A3420)</f>
        <v/>
      </c>
      <c r="D3420" s="4" t="n">
        <v>25.60748531217222</v>
      </c>
      <c r="E3420" s="4" t="n"/>
      <c r="F3420" s="4" t="n">
        <v>29.03881366373055</v>
      </c>
      <c r="G3420" s="4" t="n">
        <v>29.2</v>
      </c>
      <c r="H3420" s="5" t="n">
        <v>42.48728584991667</v>
      </c>
      <c r="I3420" s="5" t="n"/>
      <c r="J3420" s="5" t="n">
        <v>46.69700802249167</v>
      </c>
      <c r="K3420" s="5" t="n">
        <v>50</v>
      </c>
    </row>
    <row r="3421">
      <c r="A3421" s="2" t="n">
        <v>46239.91666666666</v>
      </c>
      <c r="B3421">
        <f>TEXT(A3421,"yyyy-mm")</f>
        <v/>
      </c>
      <c r="C3421" s="3">
        <f>HOUR(A3421)</f>
        <v/>
      </c>
      <c r="D3421" s="4" t="n">
        <v>25.73253934499722</v>
      </c>
      <c r="E3421" s="4" t="n"/>
      <c r="F3421" s="4" t="n">
        <v>29.20441679752778</v>
      </c>
      <c r="G3421" s="4" t="n">
        <v>28.4</v>
      </c>
      <c r="H3421" s="5" t="n">
        <v>40.82363734455</v>
      </c>
      <c r="I3421" s="5" t="n"/>
      <c r="J3421" s="5" t="n">
        <v>46.04778904541666</v>
      </c>
      <c r="K3421" s="5" t="n">
        <v>54</v>
      </c>
    </row>
    <row r="3422">
      <c r="A3422" s="2" t="n">
        <v>46239.95833333334</v>
      </c>
      <c r="B3422">
        <f>TEXT(A3422,"yyyy-mm")</f>
        <v/>
      </c>
      <c r="C3422" s="3">
        <f>HOUR(A3422)</f>
        <v/>
      </c>
      <c r="D3422" s="4" t="n">
        <v>25.81198055374722</v>
      </c>
      <c r="E3422" s="4" t="n"/>
      <c r="F3422" s="4" t="n">
        <v>29.27808083537223</v>
      </c>
      <c r="G3422" s="4" t="n">
        <v>27.6</v>
      </c>
      <c r="H3422" s="5" t="n">
        <v>42.12303085484167</v>
      </c>
      <c r="I3422" s="5" t="n"/>
      <c r="J3422" s="5" t="n">
        <v>45.640848360225</v>
      </c>
      <c r="K3422" s="5" t="n">
        <v>56</v>
      </c>
    </row>
    <row r="3423">
      <c r="A3423" s="2" t="n">
        <v>46240</v>
      </c>
      <c r="B3423">
        <f>TEXT(A3423,"yyyy-mm")</f>
        <v/>
      </c>
      <c r="C3423" s="3">
        <f>HOUR(A3423)</f>
        <v/>
      </c>
      <c r="D3423" s="4" t="n">
        <v>26.54038110044167</v>
      </c>
      <c r="E3423" s="4" t="n"/>
      <c r="F3423" s="4" t="n">
        <v>29.36759874608056</v>
      </c>
      <c r="G3423" s="4" t="n">
        <v>27.3</v>
      </c>
      <c r="H3423" s="5" t="n">
        <v>43.61496825316112</v>
      </c>
      <c r="I3423" s="5" t="n"/>
      <c r="J3423" s="5" t="n">
        <v>45.49163106943612</v>
      </c>
      <c r="K3423" s="5" t="n">
        <v>58</v>
      </c>
    </row>
    <row r="3424">
      <c r="A3424" s="2" t="n">
        <v>46240.04166666666</v>
      </c>
      <c r="B3424">
        <f>TEXT(A3424,"yyyy-mm")</f>
        <v/>
      </c>
      <c r="C3424" s="3">
        <f>HOUR(A3424)</f>
        <v/>
      </c>
      <c r="D3424" s="4" t="n">
        <v>24.85352730868055</v>
      </c>
      <c r="E3424" s="4" t="n"/>
      <c r="F3424" s="4" t="n">
        <v>29.35592617866667</v>
      </c>
      <c r="G3424" s="4" t="n">
        <v>26.5</v>
      </c>
      <c r="H3424" s="5" t="n">
        <v>40.97173784089723</v>
      </c>
      <c r="I3424" s="5" t="n"/>
      <c r="J3424" s="5" t="n">
        <v>45.50330300912222</v>
      </c>
      <c r="K3424" s="5" t="n">
        <v>60</v>
      </c>
    </row>
    <row r="3425">
      <c r="A3425" s="2" t="n">
        <v>46240.08333333334</v>
      </c>
      <c r="B3425">
        <f>TEXT(A3425,"yyyy-mm")</f>
        <v/>
      </c>
      <c r="C3425" s="3">
        <f>HOUR(A3425)</f>
        <v/>
      </c>
      <c r="D3425" s="4" t="n">
        <v>25.48403116872778</v>
      </c>
      <c r="E3425" s="4" t="n"/>
      <c r="F3425" s="4" t="n">
        <v>29.29546465755556</v>
      </c>
      <c r="G3425" s="4" t="n">
        <v>25.5</v>
      </c>
      <c r="H3425" s="5" t="n">
        <v>42.41895379561388</v>
      </c>
      <c r="I3425" s="5" t="n"/>
      <c r="J3425" s="5" t="n">
        <v>45.09098348746111</v>
      </c>
      <c r="K3425" s="5" t="n">
        <v>64</v>
      </c>
    </row>
    <row r="3426">
      <c r="A3426" s="2" t="n">
        <v>46240.125</v>
      </c>
      <c r="B3426">
        <f>TEXT(A3426,"yyyy-mm")</f>
        <v/>
      </c>
      <c r="C3426" s="3">
        <f>HOUR(A3426)</f>
        <v/>
      </c>
      <c r="D3426" s="4" t="n">
        <v>26.64433138811667</v>
      </c>
      <c r="E3426" s="4" t="n"/>
      <c r="F3426" s="4" t="n">
        <v>29.32804036567222</v>
      </c>
      <c r="G3426" s="4" t="n">
        <v>23.6</v>
      </c>
      <c r="H3426" s="5" t="n">
        <v>47.29229902310556</v>
      </c>
      <c r="I3426" s="5" t="n"/>
      <c r="J3426" s="5" t="n">
        <v>45.37486948517778</v>
      </c>
      <c r="K3426" s="5" t="n">
        <v>72</v>
      </c>
    </row>
    <row r="3427">
      <c r="A3427" s="2" t="n">
        <v>46240.16666666666</v>
      </c>
      <c r="B3427">
        <f>TEXT(A3427,"yyyy-mm")</f>
        <v/>
      </c>
      <c r="C3427" s="3">
        <f>HOUR(A3427)</f>
        <v/>
      </c>
      <c r="D3427" s="4" t="n">
        <v>27.01492636960833</v>
      </c>
      <c r="E3427" s="4" t="n"/>
      <c r="F3427" s="4" t="n">
        <v>29.37709623066388</v>
      </c>
      <c r="G3427" s="4" t="n">
        <v>22.9</v>
      </c>
      <c r="H3427" s="5" t="n">
        <v>48.75843977132499</v>
      </c>
      <c r="I3427" s="5" t="n"/>
      <c r="J3427" s="5" t="n">
        <v>46.13984297603889</v>
      </c>
      <c r="K3427" s="5" t="n">
        <v>74</v>
      </c>
    </row>
    <row r="3428">
      <c r="A3428" s="2" t="n">
        <v>46240.20833333334</v>
      </c>
      <c r="B3428">
        <f>TEXT(A3428,"yyyy-mm")</f>
        <v/>
      </c>
      <c r="C3428" s="3">
        <f>HOUR(A3428)</f>
        <v/>
      </c>
      <c r="D3428" s="4" t="n">
        <v>27.18639219575278</v>
      </c>
      <c r="E3428" s="4" t="n"/>
      <c r="F3428" s="4" t="n">
        <v>29.41956042322222</v>
      </c>
      <c r="G3428" s="4" t="n">
        <v>22.1</v>
      </c>
      <c r="H3428" s="5" t="n">
        <v>48.85042859551111</v>
      </c>
      <c r="I3428" s="5" t="n"/>
      <c r="J3428" s="5" t="n">
        <v>46.51305504641112</v>
      </c>
      <c r="K3428" s="5" t="n">
        <v>79</v>
      </c>
    </row>
    <row r="3429">
      <c r="A3429" s="2" t="n">
        <v>46240.25</v>
      </c>
      <c r="B3429">
        <f>TEXT(A3429,"yyyy-mm")</f>
        <v/>
      </c>
      <c r="C3429" s="3">
        <f>HOUR(A3429)</f>
        <v/>
      </c>
      <c r="D3429" s="4" t="n">
        <v>27.41712064340556</v>
      </c>
      <c r="E3429" s="4" t="n"/>
      <c r="F3429" s="4" t="n">
        <v>29.50272485425833</v>
      </c>
      <c r="G3429" s="4" t="n">
        <v>22.1</v>
      </c>
      <c r="H3429" s="5" t="n">
        <v>49.53893614361944</v>
      </c>
      <c r="I3429" s="5" t="n"/>
      <c r="J3429" s="5" t="n">
        <v>46.73901559042222</v>
      </c>
      <c r="K3429" s="5" t="n">
        <v>80</v>
      </c>
    </row>
    <row r="3430">
      <c r="A3430" s="2" t="n">
        <v>46240.29166666666</v>
      </c>
      <c r="B3430">
        <f>TEXT(A3430,"yyyy-mm")</f>
        <v/>
      </c>
      <c r="C3430" s="3">
        <f>HOUR(A3430)</f>
        <v/>
      </c>
      <c r="D3430" s="4" t="n">
        <v>27.85175256864722</v>
      </c>
      <c r="E3430" s="4" t="n"/>
      <c r="F3430" s="4" t="n">
        <v>29.52674020652222</v>
      </c>
      <c r="G3430" s="4" t="n">
        <v>23.5</v>
      </c>
      <c r="H3430" s="5" t="n">
        <v>49.76882401336111</v>
      </c>
      <c r="I3430" s="5" t="n"/>
      <c r="J3430" s="5" t="n">
        <v>47.01148485512223</v>
      </c>
      <c r="K3430" s="5" t="n">
        <v>73</v>
      </c>
    </row>
    <row r="3431">
      <c r="A3431" s="2" t="n">
        <v>46240.33333333334</v>
      </c>
      <c r="B3431">
        <f>TEXT(A3431,"yyyy-mm")</f>
        <v/>
      </c>
      <c r="C3431" s="3">
        <f>HOUR(A3431)</f>
        <v/>
      </c>
      <c r="D3431" s="4" t="n">
        <v>28.33525520230555</v>
      </c>
      <c r="E3431" s="4" t="n"/>
      <c r="F3431" s="4" t="n">
        <v>29.59631039481389</v>
      </c>
      <c r="G3431" s="4" t="n">
        <v>25.6</v>
      </c>
      <c r="H3431" s="5" t="n">
        <v>49.70493584501667</v>
      </c>
      <c r="I3431" s="5" t="n"/>
      <c r="J3431" s="5" t="n">
        <v>47.09852228316389</v>
      </c>
      <c r="K3431" s="5" t="n">
        <v>62</v>
      </c>
    </row>
    <row r="3432">
      <c r="A3432" s="2" t="n">
        <v>46240.375</v>
      </c>
      <c r="B3432">
        <f>TEXT(A3432,"yyyy-mm")</f>
        <v/>
      </c>
      <c r="C3432" s="3">
        <f>HOUR(A3432)</f>
        <v/>
      </c>
      <c r="D3432" s="4" t="n">
        <v>27.62785420914445</v>
      </c>
      <c r="E3432" s="4" t="n"/>
      <c r="F3432" s="4" t="n">
        <v>29.64980307936666</v>
      </c>
      <c r="G3432" s="4" t="n">
        <v>28.5</v>
      </c>
      <c r="H3432" s="5" t="n">
        <v>41.02713671905833</v>
      </c>
      <c r="I3432" s="5" t="n"/>
      <c r="J3432" s="5" t="n">
        <v>47.07181309376111</v>
      </c>
      <c r="K3432" s="5" t="n">
        <v>51</v>
      </c>
    </row>
    <row r="3433">
      <c r="A3433" s="2" t="n">
        <v>46240.41666666666</v>
      </c>
      <c r="B3433">
        <f>TEXT(A3433,"yyyy-mm")</f>
        <v/>
      </c>
      <c r="C3433" s="3">
        <f>HOUR(A3433)</f>
        <v/>
      </c>
      <c r="D3433" s="4" t="n">
        <v>26.77180319056111</v>
      </c>
      <c r="E3433" s="4" t="n"/>
      <c r="F3433" s="4" t="n">
        <v>29.59845958818056</v>
      </c>
      <c r="G3433" s="4" t="n">
        <v>30.6</v>
      </c>
      <c r="H3433" s="5" t="n">
        <v>37.16193672851112</v>
      </c>
      <c r="I3433" s="5" t="n"/>
      <c r="J3433" s="5" t="n">
        <v>46.47061405657777</v>
      </c>
      <c r="K3433" s="5" t="n">
        <v>43</v>
      </c>
    </row>
    <row r="3434">
      <c r="A3434" s="2" t="n">
        <v>46240.45833333334</v>
      </c>
      <c r="B3434">
        <f>TEXT(A3434,"yyyy-mm")</f>
        <v/>
      </c>
      <c r="C3434" s="3">
        <f>HOUR(A3434)</f>
        <v/>
      </c>
      <c r="D3434" s="4" t="n">
        <v>26.32720735633333</v>
      </c>
      <c r="E3434" s="4" t="n"/>
      <c r="F3434" s="4" t="n">
        <v>29.60973985523611</v>
      </c>
      <c r="G3434" s="4" t="n">
        <v>32.2</v>
      </c>
      <c r="H3434" s="5" t="n">
        <v>36.85511740213333</v>
      </c>
      <c r="I3434" s="5" t="n"/>
      <c r="J3434" s="5" t="n">
        <v>45.80200252736945</v>
      </c>
      <c r="K3434" s="5" t="n">
        <v>36</v>
      </c>
    </row>
    <row r="3435">
      <c r="A3435" s="2" t="n">
        <v>46240.5</v>
      </c>
      <c r="B3435">
        <f>TEXT(A3435,"yyyy-mm")</f>
        <v/>
      </c>
      <c r="C3435" s="3">
        <f>HOUR(A3435)</f>
        <v/>
      </c>
      <c r="D3435" s="4" t="n">
        <v>25.91766605755</v>
      </c>
      <c r="E3435" s="4" t="n"/>
      <c r="F3435" s="4" t="n">
        <v>29.54646717327778</v>
      </c>
      <c r="G3435" s="4" t="n">
        <v>33.2</v>
      </c>
      <c r="H3435" s="5" t="n">
        <v>36.06466911605</v>
      </c>
      <c r="I3435" s="5" t="n"/>
      <c r="J3435" s="5" t="n">
        <v>45.04866969350278</v>
      </c>
      <c r="K3435" s="5" t="n">
        <v>33</v>
      </c>
    </row>
    <row r="3436">
      <c r="A3436" s="2" t="n">
        <v>46240.54166666666</v>
      </c>
      <c r="B3436">
        <f>TEXT(A3436,"yyyy-mm")</f>
        <v/>
      </c>
      <c r="C3436" s="3">
        <f>HOUR(A3436)</f>
        <v/>
      </c>
      <c r="D3436" s="4" t="n">
        <v>25.72822069751667</v>
      </c>
      <c r="E3436" s="4" t="n"/>
      <c r="F3436" s="4" t="n">
        <v>29.53071961279445</v>
      </c>
      <c r="G3436" s="4" t="n">
        <v>33.8</v>
      </c>
      <c r="H3436" s="5" t="n">
        <v>37.40741315913333</v>
      </c>
      <c r="I3436" s="5" t="n"/>
      <c r="J3436" s="5" t="n">
        <v>43.93930461573056</v>
      </c>
      <c r="K3436" s="5" t="n">
        <v>30</v>
      </c>
    </row>
    <row r="3437">
      <c r="A3437" s="2" t="n">
        <v>46240.58333333334</v>
      </c>
      <c r="B3437">
        <f>TEXT(A3437,"yyyy-mm")</f>
        <v/>
      </c>
      <c r="C3437" s="3">
        <f>HOUR(A3437)</f>
        <v/>
      </c>
      <c r="D3437" s="4" t="n">
        <v>27.06324777860556</v>
      </c>
      <c r="E3437" s="4" t="n"/>
      <c r="F3437" s="4" t="n">
        <v>29.58105806578611</v>
      </c>
      <c r="G3437" s="4" t="n">
        <v>34.1</v>
      </c>
      <c r="H3437" s="5" t="n">
        <v>42.61842968569722</v>
      </c>
      <c r="I3437" s="5" t="n"/>
      <c r="J3437" s="5" t="n">
        <v>44.43205378313611</v>
      </c>
      <c r="K3437" s="5" t="n">
        <v>30</v>
      </c>
    </row>
    <row r="3438">
      <c r="A3438" s="2" t="n">
        <v>46240.625</v>
      </c>
      <c r="B3438">
        <f>TEXT(A3438,"yyyy-mm")</f>
        <v/>
      </c>
      <c r="C3438" s="3">
        <f>HOUR(A3438)</f>
        <v/>
      </c>
      <c r="D3438" s="4" t="n">
        <v>27.75464959240556</v>
      </c>
      <c r="E3438" s="4" t="n"/>
      <c r="F3438" s="4" t="n">
        <v>29.64174486465556</v>
      </c>
      <c r="G3438" s="4" t="n">
        <v>34.9</v>
      </c>
      <c r="H3438" s="5" t="n">
        <v>43.92851113128055</v>
      </c>
      <c r="I3438" s="5" t="n"/>
      <c r="J3438" s="5" t="n">
        <v>45.03606494922778</v>
      </c>
      <c r="K3438" s="5" t="n">
        <v>28</v>
      </c>
    </row>
    <row r="3439">
      <c r="A3439" s="2" t="n">
        <v>46240.66666666666</v>
      </c>
      <c r="B3439">
        <f>TEXT(A3439,"yyyy-mm")</f>
        <v/>
      </c>
      <c r="C3439" s="3">
        <f>HOUR(A3439)</f>
        <v/>
      </c>
      <c r="D3439" s="4" t="n">
        <v>27.56377394013889</v>
      </c>
      <c r="E3439" s="4" t="n"/>
      <c r="F3439" s="4" t="n">
        <v>29.67237073691667</v>
      </c>
      <c r="G3439" s="4" t="n">
        <v>34.8</v>
      </c>
      <c r="H3439" s="5" t="n">
        <v>42.66889080186944</v>
      </c>
      <c r="I3439" s="5" t="n"/>
      <c r="J3439" s="5" t="n">
        <v>45.76129625316389</v>
      </c>
      <c r="K3439" s="5" t="n">
        <v>28</v>
      </c>
    </row>
    <row r="3440">
      <c r="A3440" s="2" t="n">
        <v>46240.70833333334</v>
      </c>
      <c r="B3440">
        <f>TEXT(A3440,"yyyy-mm")</f>
        <v/>
      </c>
      <c r="C3440" s="3">
        <f>HOUR(A3440)</f>
        <v/>
      </c>
      <c r="D3440" s="4" t="n">
        <v>25.94747734416111</v>
      </c>
      <c r="E3440" s="4" t="n"/>
      <c r="F3440" s="4" t="n">
        <v>29.65541418782778</v>
      </c>
      <c r="G3440" s="4" t="n">
        <v>34.4</v>
      </c>
      <c r="H3440" s="5" t="n">
        <v>38.75080587221667</v>
      </c>
      <c r="I3440" s="5" t="n"/>
      <c r="J3440" s="5" t="n">
        <v>45.37594338973056</v>
      </c>
      <c r="K3440" s="5" t="n">
        <v>29</v>
      </c>
    </row>
    <row r="3441">
      <c r="A3441" s="2" t="n">
        <v>46240.75</v>
      </c>
      <c r="B3441">
        <f>TEXT(A3441,"yyyy-mm")</f>
        <v/>
      </c>
      <c r="C3441" s="3">
        <f>HOUR(A3441)</f>
        <v/>
      </c>
      <c r="D3441" s="4" t="n">
        <v>25.79370285601111</v>
      </c>
      <c r="E3441" s="4" t="n"/>
      <c r="F3441" s="4" t="n">
        <v>29.60341936398333</v>
      </c>
      <c r="G3441" s="4" t="n">
        <v>33.9</v>
      </c>
      <c r="H3441" s="5" t="n">
        <v>41.21728697987223</v>
      </c>
      <c r="I3441" s="5" t="n"/>
      <c r="J3441" s="5" t="n">
        <v>45.13322983836111</v>
      </c>
      <c r="K3441" s="5" t="n">
        <v>30</v>
      </c>
    </row>
    <row r="3442">
      <c r="A3442" s="2" t="n">
        <v>46240.79166666666</v>
      </c>
      <c r="B3442">
        <f>TEXT(A3442,"yyyy-mm")</f>
        <v/>
      </c>
      <c r="C3442" s="3">
        <f>HOUR(A3442)</f>
        <v/>
      </c>
      <c r="D3442" s="4" t="n">
        <v>25.60040473033056</v>
      </c>
      <c r="E3442" s="4" t="n"/>
      <c r="F3442" s="4" t="n">
        <v>29.53195980928889</v>
      </c>
      <c r="G3442" s="4" t="n">
        <v>33.3</v>
      </c>
      <c r="H3442" s="5" t="n">
        <v>42.90319082486111</v>
      </c>
      <c r="I3442" s="5" t="n"/>
      <c r="J3442" s="5" t="n">
        <v>45.02492483473889</v>
      </c>
      <c r="K3442" s="5" t="n">
        <v>32</v>
      </c>
    </row>
    <row r="3443">
      <c r="A3443" s="2" t="n">
        <v>46240.83333333334</v>
      </c>
      <c r="B3443">
        <f>TEXT(A3443,"yyyy-mm")</f>
        <v/>
      </c>
      <c r="C3443" s="3">
        <f>HOUR(A3443)</f>
        <v/>
      </c>
      <c r="D3443" s="4" t="n">
        <v>25.74327865865278</v>
      </c>
      <c r="E3443" s="4" t="n"/>
      <c r="F3443" s="4" t="n">
        <v>29.53628780572778</v>
      </c>
      <c r="G3443" s="4" t="n">
        <v>31.8</v>
      </c>
      <c r="H3443" s="5" t="n">
        <v>46.3164497343</v>
      </c>
      <c r="I3443" s="5" t="n"/>
      <c r="J3443" s="5" t="n">
        <v>45.40076192468889</v>
      </c>
      <c r="K3443" s="5" t="n">
        <v>36</v>
      </c>
    </row>
    <row r="3444">
      <c r="A3444" s="2" t="n">
        <v>46240.875</v>
      </c>
      <c r="B3444">
        <f>TEXT(A3444,"yyyy-mm")</f>
        <v/>
      </c>
      <c r="C3444" s="3">
        <f>HOUR(A3444)</f>
        <v/>
      </c>
      <c r="D3444" s="4" t="n">
        <v>25.29760437831667</v>
      </c>
      <c r="E3444" s="4" t="n"/>
      <c r="F3444" s="4" t="n">
        <v>29.53111740813889</v>
      </c>
      <c r="G3444" s="4" t="n">
        <v>30.6</v>
      </c>
      <c r="H3444" s="5" t="n">
        <v>46.85429296595277</v>
      </c>
      <c r="I3444" s="5" t="n"/>
      <c r="J3444" s="5" t="n">
        <v>45.63425576597778</v>
      </c>
      <c r="K3444" s="5" t="n">
        <v>46</v>
      </c>
    </row>
    <row r="3445">
      <c r="A3445" s="2" t="n">
        <v>46240.91666666666</v>
      </c>
      <c r="B3445">
        <f>TEXT(A3445,"yyyy-mm")</f>
        <v/>
      </c>
      <c r="C3445" s="3">
        <f>HOUR(A3445)</f>
        <v/>
      </c>
      <c r="D3445" s="4" t="n">
        <v>25.25124089734167</v>
      </c>
      <c r="E3445" s="4" t="n"/>
      <c r="F3445" s="4" t="n">
        <v>29.49961116601945</v>
      </c>
      <c r="G3445" s="4" t="n">
        <v>29.9</v>
      </c>
      <c r="H3445" s="5" t="n">
        <v>48.56064601463611</v>
      </c>
      <c r="I3445" s="5" t="n"/>
      <c r="J3445" s="5" t="n">
        <v>45.8461958972139</v>
      </c>
      <c r="K3445" s="5" t="n">
        <v>49</v>
      </c>
    </row>
    <row r="3446">
      <c r="A3446" s="2" t="n">
        <v>46240.95833333334</v>
      </c>
      <c r="B3446">
        <f>TEXT(A3446,"yyyy-mm")</f>
        <v/>
      </c>
      <c r="C3446" s="3">
        <f>HOUR(A3446)</f>
        <v/>
      </c>
      <c r="D3446" s="4" t="n">
        <v>25.67865760024445</v>
      </c>
      <c r="E3446" s="4" t="n"/>
      <c r="F3446" s="4" t="n">
        <v>29.55877026866944</v>
      </c>
      <c r="G3446" s="4" t="n">
        <v>29.5</v>
      </c>
      <c r="H3446" s="5" t="n">
        <v>50.25295633763333</v>
      </c>
      <c r="I3446" s="5" t="n"/>
      <c r="J3446" s="5" t="n">
        <v>46.49452551436944</v>
      </c>
      <c r="K3446" s="5" t="n">
        <v>48</v>
      </c>
    </row>
    <row r="3447">
      <c r="A3447" s="2" t="n">
        <v>46241</v>
      </c>
      <c r="B3447">
        <f>TEXT(A3447,"yyyy-mm")</f>
        <v/>
      </c>
      <c r="C3447" s="3">
        <f>HOUR(A3447)</f>
        <v/>
      </c>
      <c r="D3447" s="4" t="n">
        <v>25.429731537675</v>
      </c>
      <c r="E3447" s="4" t="n"/>
      <c r="F3447" s="4" t="n">
        <v>29.51661087484167</v>
      </c>
      <c r="G3447" s="4" t="n">
        <v>28.7</v>
      </c>
      <c r="H3447" s="5" t="n">
        <v>49.88539804129999</v>
      </c>
      <c r="I3447" s="5" t="n"/>
      <c r="J3447" s="5" t="n">
        <v>46.3509790208</v>
      </c>
      <c r="K3447" s="5" t="n">
        <v>48</v>
      </c>
    </row>
    <row r="3448">
      <c r="A3448" s="2" t="n">
        <v>46241.04166666666</v>
      </c>
      <c r="B3448">
        <f>TEXT(A3448,"yyyy-mm")</f>
        <v/>
      </c>
      <c r="C3448" s="3">
        <f>HOUR(A3448)</f>
        <v/>
      </c>
      <c r="D3448" s="4" t="n">
        <v>26.27434841173056</v>
      </c>
      <c r="E3448" s="4" t="n"/>
      <c r="F3448" s="4" t="n">
        <v>29.58223709557222</v>
      </c>
      <c r="G3448" s="4" t="n">
        <v>27</v>
      </c>
      <c r="H3448" s="5" t="n">
        <v>51.10123694857222</v>
      </c>
      <c r="I3448" s="5" t="n"/>
      <c r="J3448" s="5" t="n">
        <v>46.8629225949</v>
      </c>
      <c r="K3448" s="5" t="n">
        <v>52</v>
      </c>
    </row>
    <row r="3449">
      <c r="A3449" s="2" t="n">
        <v>46241.08333333334</v>
      </c>
      <c r="B3449">
        <f>TEXT(A3449,"yyyy-mm")</f>
        <v/>
      </c>
      <c r="C3449" s="3">
        <f>HOUR(A3449)</f>
        <v/>
      </c>
      <c r="D3449" s="4" t="n">
        <v>26.93703734824723</v>
      </c>
      <c r="E3449" s="4" t="n"/>
      <c r="F3449" s="4" t="n">
        <v>29.60862109182223</v>
      </c>
      <c r="G3449" s="4" t="n">
        <v>25.6</v>
      </c>
      <c r="H3449" s="5" t="n">
        <v>49.16549348690278</v>
      </c>
      <c r="I3449" s="5" t="n"/>
      <c r="J3449" s="5" t="n">
        <v>47.10823377790278</v>
      </c>
      <c r="K3449" s="5" t="n">
        <v>54</v>
      </c>
    </row>
    <row r="3450">
      <c r="A3450" s="2" t="n">
        <v>46241.125</v>
      </c>
      <c r="B3450">
        <f>TEXT(A3450,"yyyy-mm")</f>
        <v/>
      </c>
      <c r="C3450" s="3">
        <f>HOUR(A3450)</f>
        <v/>
      </c>
      <c r="D3450" s="4" t="n">
        <v>27.22516663676389</v>
      </c>
      <c r="E3450" s="4" t="n"/>
      <c r="F3450" s="4" t="n">
        <v>29.62996469604167</v>
      </c>
      <c r="G3450" s="4" t="n">
        <v>24.2</v>
      </c>
      <c r="H3450" s="5" t="n">
        <v>47.55442464507778</v>
      </c>
      <c r="I3450" s="5" t="n"/>
      <c r="J3450" s="5" t="n">
        <v>47.21553562268056</v>
      </c>
      <c r="K3450" s="5" t="n">
        <v>56</v>
      </c>
    </row>
    <row r="3451">
      <c r="A3451" s="2" t="n">
        <v>46241.16666666666</v>
      </c>
      <c r="B3451">
        <f>TEXT(A3451,"yyyy-mm")</f>
        <v/>
      </c>
      <c r="C3451" s="3">
        <f>HOUR(A3451)</f>
        <v/>
      </c>
      <c r="D3451" s="4" t="n">
        <v>27.37970611956111</v>
      </c>
      <c r="E3451" s="4" t="n"/>
      <c r="F3451" s="4" t="n">
        <v>29.64337109378333</v>
      </c>
      <c r="G3451" s="4" t="n">
        <v>23.4</v>
      </c>
      <c r="H3451" s="5" t="n">
        <v>46.22883092553889</v>
      </c>
      <c r="I3451" s="5" t="n"/>
      <c r="J3451" s="5" t="n">
        <v>47.24315110430556</v>
      </c>
      <c r="K3451" s="5" t="n">
        <v>57</v>
      </c>
    </row>
    <row r="3452">
      <c r="A3452" s="2" t="n">
        <v>46241.20833333334</v>
      </c>
      <c r="B3452">
        <f>TEXT(A3452,"yyyy-mm")</f>
        <v/>
      </c>
      <c r="C3452" s="3">
        <f>HOUR(A3452)</f>
        <v/>
      </c>
      <c r="D3452" s="4" t="n">
        <v>27.49430330769444</v>
      </c>
      <c r="E3452" s="4" t="n"/>
      <c r="F3452" s="4" t="n">
        <v>29.65777007179722</v>
      </c>
      <c r="G3452" s="4" t="n">
        <v>22.7</v>
      </c>
      <c r="H3452" s="5" t="n">
        <v>45.63413807264723</v>
      </c>
      <c r="I3452" s="5" t="n"/>
      <c r="J3452" s="5" t="n">
        <v>47.24157325631944</v>
      </c>
      <c r="K3452" s="5" t="n">
        <v>59</v>
      </c>
    </row>
    <row r="3453">
      <c r="A3453" s="2" t="n">
        <v>46241.25</v>
      </c>
      <c r="B3453">
        <f>TEXT(A3453,"yyyy-mm")</f>
        <v/>
      </c>
      <c r="C3453" s="3">
        <f>HOUR(A3453)</f>
        <v/>
      </c>
      <c r="D3453" s="4" t="n">
        <v>27.78675337671111</v>
      </c>
      <c r="E3453" s="4" t="n"/>
      <c r="F3453" s="4" t="n">
        <v>29.68365149096111</v>
      </c>
      <c r="G3453" s="4" t="n">
        <v>22.8</v>
      </c>
      <c r="H3453" s="5" t="n">
        <v>44.60168095769723</v>
      </c>
      <c r="I3453" s="5" t="n"/>
      <c r="J3453" s="5" t="n">
        <v>47.18779060933889</v>
      </c>
      <c r="K3453" s="5" t="n">
        <v>58</v>
      </c>
    </row>
    <row r="3454">
      <c r="A3454" s="2" t="n">
        <v>46241.29166666666</v>
      </c>
      <c r="B3454">
        <f>TEXT(A3454,"yyyy-mm")</f>
        <v/>
      </c>
      <c r="C3454" s="3">
        <f>HOUR(A3454)</f>
        <v/>
      </c>
      <c r="D3454" s="4" t="n">
        <v>28.31931797158889</v>
      </c>
      <c r="E3454" s="4" t="n"/>
      <c r="F3454" s="4" t="n">
        <v>29.72404023895277</v>
      </c>
      <c r="G3454" s="4" t="n">
        <v>24</v>
      </c>
      <c r="H3454" s="5" t="n">
        <v>44.74860234263611</v>
      </c>
      <c r="I3454" s="5" t="n"/>
      <c r="J3454" s="5" t="n">
        <v>47.171908931675</v>
      </c>
      <c r="K3454" s="5" t="n">
        <v>55</v>
      </c>
    </row>
    <row r="3455">
      <c r="A3455" s="2" t="n">
        <v>46241.33333333334</v>
      </c>
      <c r="B3455">
        <f>TEXT(A3455,"yyyy-mm")</f>
        <v/>
      </c>
      <c r="C3455" s="3">
        <f>HOUR(A3455)</f>
        <v/>
      </c>
      <c r="D3455" s="4" t="n">
        <v>28.37808458551111</v>
      </c>
      <c r="E3455" s="4" t="n"/>
      <c r="F3455" s="4" t="n">
        <v>29.76422716701111</v>
      </c>
      <c r="G3455" s="4" t="n">
        <v>26.2</v>
      </c>
      <c r="H3455" s="5" t="n">
        <v>42.29240168276944</v>
      </c>
      <c r="I3455" s="5" t="n"/>
      <c r="J3455" s="5" t="n">
        <v>47.17225383936945</v>
      </c>
      <c r="K3455" s="5" t="n">
        <v>48</v>
      </c>
    </row>
    <row r="3456">
      <c r="A3456" s="2" t="n">
        <v>46241.375</v>
      </c>
      <c r="B3456">
        <f>TEXT(A3456,"yyyy-mm")</f>
        <v/>
      </c>
      <c r="C3456" s="3">
        <f>HOUR(A3456)</f>
        <v/>
      </c>
      <c r="D3456" s="4" t="n">
        <v>26.67204107555834</v>
      </c>
      <c r="E3456" s="4" t="n"/>
      <c r="F3456" s="4" t="n">
        <v>29.77685378103612</v>
      </c>
      <c r="G3456" s="4" t="n">
        <v>28.9</v>
      </c>
      <c r="H3456" s="5" t="n">
        <v>34.5222634018</v>
      </c>
      <c r="I3456" s="5" t="n"/>
      <c r="J3456" s="5" t="n">
        <v>46.42142130384167</v>
      </c>
      <c r="K3456" s="5" t="n">
        <v>44</v>
      </c>
    </row>
    <row r="3457">
      <c r="A3457" s="2" t="n">
        <v>46241.41666666666</v>
      </c>
      <c r="B3457">
        <f>TEXT(A3457,"yyyy-mm")</f>
        <v/>
      </c>
      <c r="C3457" s="3">
        <f>HOUR(A3457)</f>
        <v/>
      </c>
      <c r="D3457" s="4" t="n">
        <v>26.35350156936667</v>
      </c>
      <c r="E3457" s="4" t="n"/>
      <c r="F3457" s="4" t="n">
        <v>29.72667938219723</v>
      </c>
      <c r="G3457" s="4" t="n">
        <v>31.4</v>
      </c>
      <c r="H3457" s="5" t="n">
        <v>33.91761164036389</v>
      </c>
      <c r="I3457" s="5" t="n"/>
      <c r="J3457" s="5" t="n">
        <v>45.46471750762222</v>
      </c>
      <c r="K3457" s="5" t="n">
        <v>37</v>
      </c>
    </row>
    <row r="3458">
      <c r="A3458" s="2" t="n">
        <v>46241.45833333334</v>
      </c>
      <c r="B3458">
        <f>TEXT(A3458,"yyyy-mm")</f>
        <v/>
      </c>
      <c r="C3458" s="3">
        <f>HOUR(A3458)</f>
        <v/>
      </c>
      <c r="D3458" s="4" t="n">
        <v>26.27254168271666</v>
      </c>
      <c r="E3458" s="4" t="n"/>
      <c r="F3458" s="4" t="n">
        <v>29.68315949844722</v>
      </c>
      <c r="G3458" s="4" t="n">
        <v>33.2</v>
      </c>
      <c r="H3458" s="5" t="n">
        <v>34.67045079302778</v>
      </c>
      <c r="I3458" s="5" t="n"/>
      <c r="J3458" s="5" t="n">
        <v>45.02785113976111</v>
      </c>
      <c r="K3458" s="5" t="n">
        <v>32</v>
      </c>
    </row>
    <row r="3459">
      <c r="A3459" s="2" t="n">
        <v>46241.5</v>
      </c>
      <c r="B3459">
        <f>TEXT(A3459,"yyyy-mm")</f>
        <v/>
      </c>
      <c r="C3459" s="3">
        <f>HOUR(A3459)</f>
        <v/>
      </c>
      <c r="D3459" s="4" t="n">
        <v>26.43754843223056</v>
      </c>
      <c r="E3459" s="4" t="n"/>
      <c r="F3459" s="4" t="n">
        <v>29.66251774621389</v>
      </c>
      <c r="G3459" s="4" t="n">
        <v>34.3</v>
      </c>
      <c r="H3459" s="5" t="n">
        <v>38.00709624640833</v>
      </c>
      <c r="I3459" s="5" t="n"/>
      <c r="J3459" s="5" t="n">
        <v>44.86109949453888</v>
      </c>
      <c r="K3459" s="5" t="n">
        <v>27</v>
      </c>
    </row>
    <row r="3460">
      <c r="A3460" s="2" t="n">
        <v>46241.54166666666</v>
      </c>
      <c r="B3460">
        <f>TEXT(A3460,"yyyy-mm")</f>
        <v/>
      </c>
      <c r="C3460" s="3">
        <f>HOUR(A3460)</f>
        <v/>
      </c>
      <c r="D3460" s="4" t="n">
        <v>26.29786819236389</v>
      </c>
      <c r="E3460" s="4" t="n"/>
      <c r="F3460" s="4" t="n">
        <v>29.68127518025</v>
      </c>
      <c r="G3460" s="4" t="n">
        <v>34.9</v>
      </c>
      <c r="H3460" s="5" t="n">
        <v>38.342655619175</v>
      </c>
      <c r="I3460" s="5" t="n"/>
      <c r="J3460" s="5" t="n">
        <v>44.84292700280833</v>
      </c>
      <c r="K3460" s="5" t="n">
        <v>26</v>
      </c>
    </row>
    <row r="3461">
      <c r="A3461" s="2" t="n">
        <v>46241.58333333334</v>
      </c>
      <c r="B3461">
        <f>TEXT(A3461,"yyyy-mm")</f>
        <v/>
      </c>
      <c r="C3461" s="3">
        <f>HOUR(A3461)</f>
        <v/>
      </c>
      <c r="D3461" s="4" t="n">
        <v>26.11779836227222</v>
      </c>
      <c r="E3461" s="4" t="n"/>
      <c r="F3461" s="4" t="n">
        <v>29.72672221151389</v>
      </c>
      <c r="G3461" s="4" t="n">
        <v>35.1</v>
      </c>
      <c r="H3461" s="5" t="n">
        <v>38.61120984198056</v>
      </c>
      <c r="I3461" s="5" t="n"/>
      <c r="J3461" s="5" t="n">
        <v>44.74443326927778</v>
      </c>
      <c r="K3461" s="5" t="n">
        <v>25</v>
      </c>
    </row>
    <row r="3462">
      <c r="A3462" s="2" t="n">
        <v>46241.625</v>
      </c>
      <c r="B3462">
        <f>TEXT(A3462,"yyyy-mm")</f>
        <v/>
      </c>
      <c r="C3462" s="3">
        <f>HOUR(A3462)</f>
        <v/>
      </c>
      <c r="D3462" s="4" t="n">
        <v>25.96690647398333</v>
      </c>
      <c r="E3462" s="4" t="n"/>
      <c r="F3462" s="4" t="n">
        <v>29.72906335227778</v>
      </c>
      <c r="G3462" s="4" t="n">
        <v>36.1</v>
      </c>
      <c r="H3462" s="5" t="n">
        <v>38.69174322918334</v>
      </c>
      <c r="I3462" s="5" t="n"/>
      <c r="J3462" s="5" t="n">
        <v>44.57152244835</v>
      </c>
      <c r="K3462" s="5" t="n">
        <v>22</v>
      </c>
    </row>
    <row r="3463">
      <c r="A3463" s="2" t="n">
        <v>46241.66666666666</v>
      </c>
      <c r="B3463">
        <f>TEXT(A3463,"yyyy-mm")</f>
        <v/>
      </c>
      <c r="C3463" s="3">
        <f>HOUR(A3463)</f>
        <v/>
      </c>
      <c r="D3463" s="4" t="n">
        <v>25.88222342366667</v>
      </c>
      <c r="E3463" s="4" t="n"/>
      <c r="F3463" s="4" t="n">
        <v>29.72215873142778</v>
      </c>
      <c r="G3463" s="4" t="n">
        <v>35.7</v>
      </c>
      <c r="H3463" s="5" t="n">
        <v>40.16427124745</v>
      </c>
      <c r="I3463" s="5" t="n"/>
      <c r="J3463" s="5" t="n">
        <v>44.43751890893333</v>
      </c>
      <c r="K3463" s="5" t="n">
        <v>23</v>
      </c>
    </row>
    <row r="3464">
      <c r="A3464" s="2" t="n">
        <v>46241.70833333334</v>
      </c>
      <c r="B3464">
        <f>TEXT(A3464,"yyyy-mm")</f>
        <v/>
      </c>
      <c r="C3464" s="3">
        <f>HOUR(A3464)</f>
        <v/>
      </c>
      <c r="D3464" s="4" t="n">
        <v>25.86448397863611</v>
      </c>
      <c r="E3464" s="4" t="n"/>
      <c r="F3464" s="4" t="n">
        <v>29.76051988612778</v>
      </c>
      <c r="G3464" s="4" t="n">
        <v>35.2</v>
      </c>
      <c r="H3464" s="5" t="n">
        <v>39.41878150475556</v>
      </c>
      <c r="I3464" s="5" t="n"/>
      <c r="J3464" s="5" t="n">
        <v>44.42738742393889</v>
      </c>
      <c r="K3464" s="5" t="n">
        <v>24</v>
      </c>
    </row>
    <row r="3465">
      <c r="A3465" s="2" t="n">
        <v>46241.75</v>
      </c>
      <c r="B3465">
        <f>TEXT(A3465,"yyyy-mm")</f>
        <v/>
      </c>
      <c r="C3465" s="3">
        <f>HOUR(A3465)</f>
        <v/>
      </c>
      <c r="D3465" s="4" t="n">
        <v>25.93654082919722</v>
      </c>
      <c r="E3465" s="4" t="n"/>
      <c r="F3465" s="4" t="n">
        <v>29.74410102573889</v>
      </c>
      <c r="G3465" s="4" t="n">
        <v>34.5</v>
      </c>
      <c r="H3465" s="5" t="n">
        <v>40.841851189875</v>
      </c>
      <c r="I3465" s="5" t="n"/>
      <c r="J3465" s="5" t="n">
        <v>44.49452141121389</v>
      </c>
      <c r="K3465" s="5" t="n">
        <v>25</v>
      </c>
    </row>
    <row r="3466">
      <c r="A3466" s="2" t="n">
        <v>46241.79166666666</v>
      </c>
      <c r="B3466">
        <f>TEXT(A3466,"yyyy-mm")</f>
        <v/>
      </c>
      <c r="C3466" s="3">
        <f>HOUR(A3466)</f>
        <v/>
      </c>
      <c r="D3466" s="4" t="n">
        <v>26.06098976795556</v>
      </c>
      <c r="E3466" s="4" t="n"/>
      <c r="F3466" s="4" t="n">
        <v>29.73169417883055</v>
      </c>
      <c r="G3466" s="4" t="n">
        <v>33.8</v>
      </c>
      <c r="H3466" s="5" t="n">
        <v>42.28221095703611</v>
      </c>
      <c r="I3466" s="5" t="n"/>
      <c r="J3466" s="5" t="n">
        <v>44.84772497196388</v>
      </c>
      <c r="K3466" s="5" t="n">
        <v>27</v>
      </c>
    </row>
    <row r="3467">
      <c r="A3467" s="2" t="n">
        <v>46241.83333333334</v>
      </c>
      <c r="B3467">
        <f>TEXT(A3467,"yyyy-mm")</f>
        <v/>
      </c>
      <c r="C3467" s="3">
        <f>HOUR(A3467)</f>
        <v/>
      </c>
      <c r="D3467" s="4" t="n">
        <v>25.830132952125</v>
      </c>
      <c r="E3467" s="4" t="n"/>
      <c r="F3467" s="4" t="n">
        <v>29.795144221825</v>
      </c>
      <c r="G3467" s="4" t="n">
        <v>32.7</v>
      </c>
      <c r="H3467" s="5" t="n">
        <v>42.01050214785555</v>
      </c>
      <c r="I3467" s="5" t="n"/>
      <c r="J3467" s="5" t="n">
        <v>44.78176978169722</v>
      </c>
      <c r="K3467" s="5" t="n">
        <v>30</v>
      </c>
    </row>
    <row r="3468">
      <c r="A3468" s="2" t="n">
        <v>46241.875</v>
      </c>
      <c r="B3468">
        <f>TEXT(A3468,"yyyy-mm")</f>
        <v/>
      </c>
      <c r="C3468" s="3">
        <f>HOUR(A3468)</f>
        <v/>
      </c>
      <c r="D3468" s="4" t="n">
        <v>25.97466278431111</v>
      </c>
      <c r="E3468" s="4" t="n"/>
      <c r="F3468" s="4" t="n">
        <v>29.80981572573056</v>
      </c>
      <c r="G3468" s="4" t="n">
        <v>31.1</v>
      </c>
      <c r="H3468" s="5" t="n">
        <v>39.75139005021112</v>
      </c>
      <c r="I3468" s="5" t="n"/>
      <c r="J3468" s="5" t="n">
        <v>44.69114454918334</v>
      </c>
      <c r="K3468" s="5" t="n">
        <v>38</v>
      </c>
    </row>
    <row r="3469">
      <c r="A3469" s="2" t="n">
        <v>46241.91666666666</v>
      </c>
      <c r="B3469">
        <f>TEXT(A3469,"yyyy-mm")</f>
        <v/>
      </c>
      <c r="C3469" s="3">
        <f>HOUR(A3469)</f>
        <v/>
      </c>
      <c r="D3469" s="4" t="n">
        <v>26.24251790613889</v>
      </c>
      <c r="E3469" s="4" t="n"/>
      <c r="F3469" s="4" t="n">
        <v>29.84958403635834</v>
      </c>
      <c r="G3469" s="4" t="n">
        <v>30.3</v>
      </c>
      <c r="H3469" s="5" t="n">
        <v>39.93347182021111</v>
      </c>
      <c r="I3469" s="5" t="n"/>
      <c r="J3469" s="5" t="n">
        <v>44.56196109865</v>
      </c>
      <c r="K3469" s="5" t="n">
        <v>37</v>
      </c>
    </row>
    <row r="3470">
      <c r="A3470" s="2" t="n">
        <v>46241.95833333334</v>
      </c>
      <c r="B3470">
        <f>TEXT(A3470,"yyyy-mm")</f>
        <v/>
      </c>
      <c r="C3470" s="3">
        <f>HOUR(A3470)</f>
        <v/>
      </c>
      <c r="D3470" s="4" t="n">
        <v>26.11554948001111</v>
      </c>
      <c r="E3470" s="4" t="n"/>
      <c r="F3470" s="4" t="n">
        <v>29.86265982273333</v>
      </c>
      <c r="G3470" s="4" t="n">
        <v>29.6</v>
      </c>
      <c r="H3470" s="5" t="n">
        <v>37.7638833203</v>
      </c>
      <c r="I3470" s="5" t="n"/>
      <c r="J3470" s="5" t="n">
        <v>44.27546102734723</v>
      </c>
      <c r="K3470" s="5" t="n">
        <v>37</v>
      </c>
    </row>
    <row r="3471">
      <c r="A3471" s="2" t="n">
        <v>46242</v>
      </c>
      <c r="B3471">
        <f>TEXT(A3471,"yyyy-mm")</f>
        <v/>
      </c>
      <c r="C3471" s="3">
        <f>HOUR(A3471)</f>
        <v/>
      </c>
      <c r="D3471" s="4" t="n">
        <v>25.75940420108334</v>
      </c>
      <c r="E3471" s="4" t="n"/>
      <c r="F3471" s="4" t="n">
        <v>29.75385650750278</v>
      </c>
      <c r="G3471" s="4" t="n">
        <v>28.9</v>
      </c>
      <c r="H3471" s="5" t="n">
        <v>39.28271857343334</v>
      </c>
      <c r="I3471" s="5" t="n"/>
      <c r="J3471" s="5" t="n">
        <v>43.67116088721944</v>
      </c>
      <c r="K3471" s="5" t="n">
        <v>39</v>
      </c>
    </row>
    <row r="3472">
      <c r="A3472" s="2" t="n">
        <v>46242.04166666666</v>
      </c>
      <c r="B3472">
        <f>TEXT(A3472,"yyyy-mm")</f>
        <v/>
      </c>
      <c r="C3472" s="3">
        <f>HOUR(A3472)</f>
        <v/>
      </c>
      <c r="D3472" s="4" t="n">
        <v>25.47358243786667</v>
      </c>
      <c r="E3472" s="4" t="n"/>
      <c r="F3472" s="4" t="n">
        <v>29.77341672860834</v>
      </c>
      <c r="G3472" s="4" t="n">
        <v>28</v>
      </c>
      <c r="H3472" s="5" t="n">
        <v>40.28614051744445</v>
      </c>
      <c r="I3472" s="5" t="n"/>
      <c r="J3472" s="5" t="n">
        <v>43.93428740171944</v>
      </c>
      <c r="K3472" s="5" t="n">
        <v>40</v>
      </c>
    </row>
    <row r="3473">
      <c r="A3473" s="2" t="n">
        <v>46242.08333333334</v>
      </c>
      <c r="B3473">
        <f>TEXT(A3473,"yyyy-mm")</f>
        <v/>
      </c>
      <c r="C3473" s="3">
        <f>HOUR(A3473)</f>
        <v/>
      </c>
      <c r="D3473" s="4" t="n">
        <v>24.45235012725833</v>
      </c>
      <c r="E3473" s="4" t="n"/>
      <c r="F3473" s="4" t="n">
        <v>29.72732692189444</v>
      </c>
      <c r="G3473" s="4" t="n">
        <v>26.8</v>
      </c>
      <c r="H3473" s="5" t="n">
        <v>38.04936700262778</v>
      </c>
      <c r="I3473" s="5" t="n"/>
      <c r="J3473" s="5" t="n">
        <v>43.61501241689445</v>
      </c>
      <c r="K3473" s="5" t="n">
        <v>45</v>
      </c>
    </row>
    <row r="3474">
      <c r="A3474" s="2" t="n">
        <v>46242.125</v>
      </c>
      <c r="B3474">
        <f>TEXT(A3474,"yyyy-mm")</f>
        <v/>
      </c>
      <c r="C3474" s="3">
        <f>HOUR(A3474)</f>
        <v/>
      </c>
      <c r="D3474" s="4" t="n">
        <v>25.32521709977778</v>
      </c>
      <c r="E3474" s="4" t="n"/>
      <c r="F3474" s="4" t="n">
        <v>29.66997435070833</v>
      </c>
      <c r="G3474" s="4" t="n">
        <v>25.8</v>
      </c>
      <c r="H3474" s="5" t="n">
        <v>41.00235177273888</v>
      </c>
      <c r="I3474" s="5" t="n"/>
      <c r="J3474" s="5" t="n">
        <v>42.87148932901389</v>
      </c>
      <c r="K3474" s="5" t="n">
        <v>51</v>
      </c>
    </row>
    <row r="3475">
      <c r="A3475" s="2" t="n">
        <v>46242.16666666666</v>
      </c>
      <c r="B3475">
        <f>TEXT(A3475,"yyyy-mm")</f>
        <v/>
      </c>
      <c r="C3475" s="3">
        <f>HOUR(A3475)</f>
        <v/>
      </c>
      <c r="D3475" s="4" t="n">
        <v>26.68563891149167</v>
      </c>
      <c r="E3475" s="4" t="n"/>
      <c r="F3475" s="4" t="n">
        <v>29.73376411560277</v>
      </c>
      <c r="G3475" s="4" t="n">
        <v>24.6</v>
      </c>
      <c r="H3475" s="5" t="n">
        <v>43.32247952712778</v>
      </c>
      <c r="I3475" s="5" t="n"/>
      <c r="J3475" s="5" t="n">
        <v>43.73814789921389</v>
      </c>
      <c r="K3475" s="5" t="n">
        <v>58</v>
      </c>
    </row>
    <row r="3476">
      <c r="A3476" s="2" t="n">
        <v>46242.20833333334</v>
      </c>
      <c r="B3476">
        <f>TEXT(A3476,"yyyy-mm")</f>
        <v/>
      </c>
      <c r="C3476" s="3">
        <f>HOUR(A3476)</f>
        <v/>
      </c>
      <c r="D3476" s="4" t="n">
        <v>27.17304457752778</v>
      </c>
      <c r="E3476" s="4" t="n"/>
      <c r="F3476" s="4" t="n">
        <v>29.82989531218889</v>
      </c>
      <c r="G3476" s="4" t="n">
        <v>23.8</v>
      </c>
      <c r="H3476" s="5" t="n">
        <v>44.30637076383888</v>
      </c>
      <c r="I3476" s="5" t="n"/>
      <c r="J3476" s="5" t="n">
        <v>44.18823066146945</v>
      </c>
      <c r="K3476" s="5" t="n">
        <v>63</v>
      </c>
    </row>
    <row r="3477">
      <c r="A3477" s="2" t="n">
        <v>46242.25</v>
      </c>
      <c r="B3477">
        <f>TEXT(A3477,"yyyy-mm")</f>
        <v/>
      </c>
      <c r="C3477" s="3">
        <f>HOUR(A3477)</f>
        <v/>
      </c>
      <c r="D3477" s="4" t="n">
        <v>27.49991347096944</v>
      </c>
      <c r="E3477" s="4" t="n"/>
      <c r="F3477" s="4" t="n">
        <v>29.85999225985833</v>
      </c>
      <c r="G3477" s="4" t="n">
        <v>23.9</v>
      </c>
      <c r="H3477" s="5" t="n">
        <v>43.68185573046667</v>
      </c>
      <c r="I3477" s="5" t="n"/>
      <c r="J3477" s="5" t="n">
        <v>44.59030313558333</v>
      </c>
      <c r="K3477" s="5" t="n">
        <v>63</v>
      </c>
    </row>
    <row r="3478">
      <c r="A3478" s="2" t="n">
        <v>46242.29166666666</v>
      </c>
      <c r="B3478">
        <f>TEXT(A3478,"yyyy-mm")</f>
        <v/>
      </c>
      <c r="C3478" s="3">
        <f>HOUR(A3478)</f>
        <v/>
      </c>
      <c r="D3478" s="4" t="n">
        <v>27.752571726625</v>
      </c>
      <c r="E3478" s="4" t="n"/>
      <c r="F3478" s="4" t="n">
        <v>29.89912315616944</v>
      </c>
      <c r="G3478" s="4" t="n">
        <v>25</v>
      </c>
      <c r="H3478" s="5" t="n">
        <v>43.79244535021112</v>
      </c>
      <c r="I3478" s="5" t="n"/>
      <c r="J3478" s="5" t="n">
        <v>44.89010202415556</v>
      </c>
      <c r="K3478" s="5" t="n">
        <v>59</v>
      </c>
    </row>
    <row r="3479">
      <c r="A3479" s="2" t="n">
        <v>46242.33333333334</v>
      </c>
      <c r="B3479">
        <f>TEXT(A3479,"yyyy-mm")</f>
        <v/>
      </c>
      <c r="C3479" s="3">
        <f>HOUR(A3479)</f>
        <v/>
      </c>
      <c r="D3479" s="4" t="n">
        <v>28.25077345878611</v>
      </c>
      <c r="E3479" s="4" t="n"/>
      <c r="F3479" s="4" t="n">
        <v>29.94976411830278</v>
      </c>
      <c r="G3479" s="4" t="n">
        <v>26</v>
      </c>
      <c r="H3479" s="5" t="n">
        <v>44.33990239623333</v>
      </c>
      <c r="I3479" s="5" t="n"/>
      <c r="J3479" s="5" t="n">
        <v>45.13112962063056</v>
      </c>
      <c r="K3479" s="5" t="n">
        <v>54</v>
      </c>
    </row>
    <row r="3480">
      <c r="A3480" s="2" t="n">
        <v>46242.375</v>
      </c>
      <c r="B3480">
        <f>TEXT(A3480,"yyyy-mm")</f>
        <v/>
      </c>
      <c r="C3480" s="3">
        <f>HOUR(A3480)</f>
        <v/>
      </c>
      <c r="D3480" s="4" t="n">
        <v>26.92044455535278</v>
      </c>
      <c r="E3480" s="4" t="n"/>
      <c r="F3480" s="4" t="n">
        <v>29.98948539296389</v>
      </c>
      <c r="G3480" s="4" t="n">
        <v>26.8</v>
      </c>
      <c r="H3480" s="5" t="n">
        <v>35.95438289501944</v>
      </c>
      <c r="I3480" s="5" t="n"/>
      <c r="J3480" s="5" t="n">
        <v>44.98993594691945</v>
      </c>
      <c r="K3480" s="5" t="n">
        <v>55</v>
      </c>
    </row>
    <row r="3481">
      <c r="A3481" s="2" t="n">
        <v>46242.41666666666</v>
      </c>
      <c r="B3481">
        <f>TEXT(A3481,"yyyy-mm")</f>
        <v/>
      </c>
      <c r="C3481" s="3">
        <f>HOUR(A3481)</f>
        <v/>
      </c>
      <c r="D3481" s="4" t="n">
        <v>25.76186284731389</v>
      </c>
      <c r="E3481" s="4" t="n"/>
      <c r="F3481" s="4" t="n">
        <v>29.87722613173333</v>
      </c>
      <c r="G3481" s="4" t="n">
        <v>28.6</v>
      </c>
      <c r="H3481" s="5" t="n">
        <v>33.23488579276667</v>
      </c>
      <c r="I3481" s="5" t="n"/>
      <c r="J3481" s="5" t="n">
        <v>43.8475277405</v>
      </c>
      <c r="K3481" s="5" t="n">
        <v>49</v>
      </c>
    </row>
    <row r="3482">
      <c r="A3482" s="2" t="n">
        <v>46242.45833333334</v>
      </c>
      <c r="B3482">
        <f>TEXT(A3482,"yyyy-mm")</f>
        <v/>
      </c>
      <c r="C3482" s="3">
        <f>HOUR(A3482)</f>
        <v/>
      </c>
      <c r="D3482" s="4" t="n">
        <v>25.57232802999722</v>
      </c>
      <c r="E3482" s="4" t="n"/>
      <c r="F3482" s="4" t="n">
        <v>29.83068454393611</v>
      </c>
      <c r="G3482" s="4" t="n">
        <v>30.5</v>
      </c>
      <c r="H3482" s="5" t="n">
        <v>34.83037663344722</v>
      </c>
      <c r="I3482" s="5" t="n"/>
      <c r="J3482" s="5" t="n">
        <v>43.37461760583611</v>
      </c>
      <c r="K3482" s="5" t="n">
        <v>43</v>
      </c>
    </row>
    <row r="3483">
      <c r="A3483" s="2" t="n">
        <v>46242.5</v>
      </c>
      <c r="B3483">
        <f>TEXT(A3483,"yyyy-mm")</f>
        <v/>
      </c>
      <c r="C3483" s="3">
        <f>HOUR(A3483)</f>
        <v/>
      </c>
      <c r="D3483" s="4" t="n">
        <v>25.52084262018611</v>
      </c>
      <c r="E3483" s="4" t="n"/>
      <c r="F3483" s="4" t="n">
        <v>29.85087318772223</v>
      </c>
      <c r="G3483" s="4" t="n">
        <v>31.8</v>
      </c>
      <c r="H3483" s="5" t="n">
        <v>38.48189656718333</v>
      </c>
      <c r="I3483" s="5" t="n"/>
      <c r="J3483" s="5" t="n">
        <v>43.63003923198611</v>
      </c>
      <c r="K3483" s="5" t="n">
        <v>38</v>
      </c>
    </row>
    <row r="3484">
      <c r="A3484" s="2" t="n">
        <v>46242.54166666666</v>
      </c>
      <c r="B3484">
        <f>TEXT(A3484,"yyyy-mm")</f>
        <v/>
      </c>
      <c r="C3484" s="3">
        <f>HOUR(A3484)</f>
        <v/>
      </c>
      <c r="D3484" s="4" t="n">
        <v>25.35166163914722</v>
      </c>
      <c r="E3484" s="4" t="n"/>
      <c r="F3484" s="4" t="n">
        <v>29.04973177338056</v>
      </c>
      <c r="G3484" s="4" t="n">
        <v>33.3</v>
      </c>
      <c r="H3484" s="5" t="n">
        <v>38.88112887363333</v>
      </c>
      <c r="I3484" s="5" t="n"/>
      <c r="J3484" s="5" t="n">
        <v>43.14935888534166</v>
      </c>
      <c r="K3484" s="5" t="n">
        <v>33</v>
      </c>
    </row>
    <row r="3485">
      <c r="A3485" s="2" t="n">
        <v>46242.58333333334</v>
      </c>
      <c r="B3485">
        <f>TEXT(A3485,"yyyy-mm")</f>
        <v/>
      </c>
      <c r="C3485" s="3">
        <f>HOUR(A3485)</f>
        <v/>
      </c>
      <c r="D3485" s="4" t="n">
        <v>25.23366512923333</v>
      </c>
      <c r="E3485" s="4" t="n"/>
      <c r="F3485" s="4" t="n">
        <v>28.09748659985</v>
      </c>
      <c r="G3485" s="4" t="n">
        <v>32.6</v>
      </c>
      <c r="H3485" s="5" t="n">
        <v>38.28242562013889</v>
      </c>
      <c r="I3485" s="5" t="n"/>
      <c r="J3485" s="5" t="n">
        <v>42.89164733702778</v>
      </c>
      <c r="K3485" s="5" t="n">
        <v>34</v>
      </c>
    </row>
    <row r="3486">
      <c r="A3486" s="2" t="n">
        <v>46242.625</v>
      </c>
      <c r="B3486">
        <f>TEXT(A3486,"yyyy-mm")</f>
        <v/>
      </c>
      <c r="C3486" s="3">
        <f>HOUR(A3486)</f>
        <v/>
      </c>
      <c r="D3486" s="4" t="n">
        <v>25.62351577094723</v>
      </c>
      <c r="E3486" s="4" t="n"/>
      <c r="F3486" s="4" t="n">
        <v>29.00320694498333</v>
      </c>
      <c r="G3486" s="4" t="n">
        <v>33.1</v>
      </c>
      <c r="H3486" s="5" t="n">
        <v>39.06482945656112</v>
      </c>
      <c r="I3486" s="5" t="n"/>
      <c r="J3486" s="5" t="n">
        <v>43.26859564805</v>
      </c>
      <c r="K3486" s="5" t="n">
        <v>29</v>
      </c>
    </row>
    <row r="3487">
      <c r="A3487" s="2" t="n">
        <v>46242.66666666666</v>
      </c>
      <c r="B3487">
        <f>TEXT(A3487,"yyyy-mm")</f>
        <v/>
      </c>
      <c r="C3487" s="3">
        <f>HOUR(A3487)</f>
        <v/>
      </c>
      <c r="D3487" s="4" t="n">
        <v>25.49109325339167</v>
      </c>
      <c r="E3487" s="4" t="n"/>
      <c r="F3487" s="4" t="n">
        <v>29.35838449762777</v>
      </c>
      <c r="G3487" s="4" t="n">
        <v>33.5</v>
      </c>
      <c r="H3487" s="5" t="n">
        <v>36.359748352125</v>
      </c>
      <c r="I3487" s="5" t="n"/>
      <c r="J3487" s="5" t="n">
        <v>43.14489365748611</v>
      </c>
      <c r="K3487" s="5" t="n">
        <v>28</v>
      </c>
    </row>
    <row r="3488">
      <c r="A3488" s="2" t="n">
        <v>46242.70833333334</v>
      </c>
      <c r="B3488">
        <f>TEXT(A3488,"yyyy-mm")</f>
        <v/>
      </c>
      <c r="C3488" s="3">
        <f>HOUR(A3488)</f>
        <v/>
      </c>
      <c r="D3488" s="4" t="n">
        <v>25.53196375596944</v>
      </c>
      <c r="E3488" s="4" t="n"/>
      <c r="F3488" s="4" t="n">
        <v>28.73653102401667</v>
      </c>
      <c r="G3488" s="4" t="n">
        <v>33.5</v>
      </c>
      <c r="H3488" s="5" t="n">
        <v>37.16188604347778</v>
      </c>
      <c r="I3488" s="5" t="n"/>
      <c r="J3488" s="5" t="n">
        <v>41.47090995048611</v>
      </c>
      <c r="K3488" s="5" t="n">
        <v>26</v>
      </c>
    </row>
    <row r="3489">
      <c r="A3489" s="2" t="n">
        <v>46242.75</v>
      </c>
      <c r="B3489">
        <f>TEXT(A3489,"yyyy-mm")</f>
        <v/>
      </c>
      <c r="C3489" s="3">
        <f>HOUR(A3489)</f>
        <v/>
      </c>
      <c r="D3489" s="4" t="n">
        <v>27.067345717125</v>
      </c>
      <c r="E3489" s="4" t="n"/>
      <c r="F3489" s="4" t="n">
        <v>29.21925731855278</v>
      </c>
      <c r="G3489" s="4" t="n">
        <v>31.8</v>
      </c>
      <c r="H3489" s="5" t="n">
        <v>42.02826943801944</v>
      </c>
      <c r="I3489" s="5" t="n"/>
      <c r="J3489" s="5" t="n">
        <v>43.00911039051667</v>
      </c>
      <c r="K3489" s="5" t="n">
        <v>30</v>
      </c>
    </row>
    <row r="3490">
      <c r="A3490" s="2" t="n">
        <v>46242.79166666666</v>
      </c>
      <c r="B3490">
        <f>TEXT(A3490,"yyyy-mm")</f>
        <v/>
      </c>
      <c r="C3490" s="3">
        <f>HOUR(A3490)</f>
        <v/>
      </c>
      <c r="D3490" s="4" t="n">
        <v>27.71595923181667</v>
      </c>
      <c r="E3490" s="4" t="n"/>
      <c r="F3490" s="4" t="n">
        <v>29.48698098756667</v>
      </c>
      <c r="G3490" s="4" t="n">
        <v>29.7</v>
      </c>
      <c r="H3490" s="5" t="n">
        <v>43.87335859189722</v>
      </c>
      <c r="I3490" s="5" t="n"/>
      <c r="J3490" s="5" t="n">
        <v>43.50593920381389</v>
      </c>
      <c r="K3490" s="5" t="n">
        <v>43</v>
      </c>
    </row>
    <row r="3491">
      <c r="A3491" s="2" t="n">
        <v>46242.83333333334</v>
      </c>
      <c r="B3491">
        <f>TEXT(A3491,"yyyy-mm")</f>
        <v/>
      </c>
      <c r="C3491" s="3">
        <f>HOUR(A3491)</f>
        <v/>
      </c>
      <c r="D3491" s="4" t="n">
        <v>27.83281757116111</v>
      </c>
      <c r="E3491" s="4" t="n"/>
      <c r="F3491" s="4" t="n">
        <v>29.66327884205278</v>
      </c>
      <c r="G3491" s="4" t="n">
        <v>28.9</v>
      </c>
      <c r="H3491" s="5" t="n">
        <v>45.32968426886944</v>
      </c>
      <c r="I3491" s="5" t="n"/>
      <c r="J3491" s="5" t="n">
        <v>44.01187455207778</v>
      </c>
      <c r="K3491" s="5" t="n">
        <v>50</v>
      </c>
    </row>
    <row r="3492">
      <c r="A3492" s="2" t="n">
        <v>46242.875</v>
      </c>
      <c r="B3492">
        <f>TEXT(A3492,"yyyy-mm")</f>
        <v/>
      </c>
      <c r="C3492" s="3">
        <f>HOUR(A3492)</f>
        <v/>
      </c>
      <c r="D3492" s="4" t="n">
        <v>27.75746365134722</v>
      </c>
      <c r="E3492" s="4" t="n"/>
      <c r="F3492" s="4" t="n">
        <v>29.77087193798056</v>
      </c>
      <c r="G3492" s="4" t="n">
        <v>27</v>
      </c>
      <c r="H3492" s="5" t="n">
        <v>47.21745645754444</v>
      </c>
      <c r="I3492" s="5" t="n"/>
      <c r="J3492" s="5" t="n">
        <v>44.58738560948333</v>
      </c>
      <c r="K3492" s="5" t="n">
        <v>55</v>
      </c>
    </row>
    <row r="3493">
      <c r="A3493" s="2" t="n">
        <v>46242.91666666666</v>
      </c>
      <c r="B3493">
        <f>TEXT(A3493,"yyyy-mm")</f>
        <v/>
      </c>
      <c r="C3493" s="3">
        <f>HOUR(A3493)</f>
        <v/>
      </c>
      <c r="D3493" s="4" t="n">
        <v>27.60533471896944</v>
      </c>
      <c r="E3493" s="4" t="n"/>
      <c r="F3493" s="4" t="n">
        <v>29.83770727153889</v>
      </c>
      <c r="G3493" s="4" t="n">
        <v>25.9</v>
      </c>
      <c r="H3493" s="5" t="n">
        <v>49.63318773861666</v>
      </c>
      <c r="I3493" s="5" t="n"/>
      <c r="J3493" s="5" t="n">
        <v>45.00614667323611</v>
      </c>
      <c r="K3493" s="5" t="n">
        <v>61</v>
      </c>
    </row>
    <row r="3494">
      <c r="A3494" s="2" t="n">
        <v>46242.95833333334</v>
      </c>
      <c r="B3494">
        <f>TEXT(A3494,"yyyy-mm")</f>
        <v/>
      </c>
      <c r="C3494" s="3">
        <f>HOUR(A3494)</f>
        <v/>
      </c>
      <c r="D3494" s="4" t="n">
        <v>27.59848558270556</v>
      </c>
      <c r="E3494" s="4" t="n"/>
      <c r="F3494" s="4" t="n">
        <v>29.90095539704722</v>
      </c>
      <c r="G3494" s="4" t="n">
        <v>24.8</v>
      </c>
      <c r="H3494" s="5" t="n">
        <v>50.17344204507222</v>
      </c>
      <c r="I3494" s="5" t="n"/>
      <c r="J3494" s="5" t="n">
        <v>45.31613923355278</v>
      </c>
      <c r="K3494" s="5" t="n">
        <v>65</v>
      </c>
    </row>
    <row r="3495">
      <c r="A3495" s="2" t="n">
        <v>46243</v>
      </c>
      <c r="B3495">
        <f>TEXT(A3495,"yyyy-mm")</f>
        <v/>
      </c>
      <c r="C3495" s="3">
        <f>HOUR(A3495)</f>
        <v/>
      </c>
      <c r="D3495" s="4" t="n">
        <v>27.36676481672222</v>
      </c>
      <c r="E3495" s="4" t="n"/>
      <c r="F3495" s="4" t="n">
        <v>29.95692753355278</v>
      </c>
      <c r="G3495" s="4" t="n">
        <v>23.5</v>
      </c>
      <c r="H3495" s="5" t="n">
        <v>49.007217954</v>
      </c>
      <c r="I3495" s="5" t="n"/>
      <c r="J3495" s="5" t="n">
        <v>45.59205409195278</v>
      </c>
      <c r="K3495" s="5" t="n">
        <v>70</v>
      </c>
    </row>
    <row r="3496">
      <c r="A3496" s="2" t="n">
        <v>46243.04166666666</v>
      </c>
      <c r="B3496">
        <f>TEXT(A3496,"yyyy-mm")</f>
        <v/>
      </c>
      <c r="C3496" s="3">
        <f>HOUR(A3496)</f>
        <v/>
      </c>
      <c r="D3496" s="4" t="n">
        <v>25.62672287359166</v>
      </c>
      <c r="E3496" s="4" t="n"/>
      <c r="F3496" s="4" t="n">
        <v>29.95246149053333</v>
      </c>
      <c r="G3496" s="4" t="n">
        <v>22.6</v>
      </c>
      <c r="H3496" s="5" t="n">
        <v>44.23119325203889</v>
      </c>
      <c r="I3496" s="5" t="n"/>
      <c r="J3496" s="5" t="n">
        <v>45.60616515431389</v>
      </c>
      <c r="K3496" s="5" t="n">
        <v>78</v>
      </c>
    </row>
    <row r="3497">
      <c r="A3497" s="2" t="n">
        <v>46243.08333333334</v>
      </c>
      <c r="B3497">
        <f>TEXT(A3497,"yyyy-mm")</f>
        <v/>
      </c>
      <c r="C3497" s="3">
        <f>HOUR(A3497)</f>
        <v/>
      </c>
      <c r="D3497" s="4" t="n">
        <v>25.94919350751111</v>
      </c>
      <c r="E3497" s="4" t="n"/>
      <c r="F3497" s="4" t="n">
        <v>29.96351046005</v>
      </c>
      <c r="G3497" s="4" t="n">
        <v>21.8</v>
      </c>
      <c r="H3497" s="5" t="n">
        <v>54.77544214701111</v>
      </c>
      <c r="I3497" s="5" t="n"/>
      <c r="J3497" s="5" t="n">
        <v>45.80093922319722</v>
      </c>
      <c r="K3497" s="5" t="n">
        <v>84</v>
      </c>
    </row>
    <row r="3498">
      <c r="A3498" s="2" t="n">
        <v>46243.125</v>
      </c>
      <c r="B3498">
        <f>TEXT(A3498,"yyyy-mm")</f>
        <v/>
      </c>
      <c r="C3498" s="3">
        <f>HOUR(A3498)</f>
        <v/>
      </c>
      <c r="D3498" s="4" t="n">
        <v>25.81272529536389</v>
      </c>
      <c r="E3498" s="4" t="n"/>
      <c r="F3498" s="4" t="n">
        <v>29.98813897060556</v>
      </c>
      <c r="G3498" s="4" t="n">
        <v>20.8</v>
      </c>
      <c r="H3498" s="5" t="n">
        <v>55.94662329577501</v>
      </c>
      <c r="I3498" s="5" t="n"/>
      <c r="J3498" s="5" t="n">
        <v>46.16519072459167</v>
      </c>
      <c r="K3498" s="5" t="n">
        <v>86</v>
      </c>
    </row>
    <row r="3499">
      <c r="A3499" s="2" t="n">
        <v>46243.16666666666</v>
      </c>
      <c r="B3499">
        <f>TEXT(A3499,"yyyy-mm")</f>
        <v/>
      </c>
      <c r="C3499" s="3">
        <f>HOUR(A3499)</f>
        <v/>
      </c>
      <c r="D3499" s="4" t="n">
        <v>25.39903867917777</v>
      </c>
      <c r="E3499" s="4" t="n"/>
      <c r="F3499" s="4" t="n">
        <v>29.98591480746667</v>
      </c>
      <c r="G3499" s="4" t="n">
        <v>20.4</v>
      </c>
      <c r="H3499" s="5" t="n">
        <v>57.35183263089723</v>
      </c>
      <c r="I3499" s="5" t="n"/>
      <c r="J3499" s="5" t="n">
        <v>46.53230219890833</v>
      </c>
      <c r="K3499" s="5" t="n">
        <v>89</v>
      </c>
    </row>
    <row r="3500">
      <c r="A3500" s="2" t="n">
        <v>46243.20833333334</v>
      </c>
      <c r="B3500">
        <f>TEXT(A3500,"yyyy-mm")</f>
        <v/>
      </c>
      <c r="C3500" s="3">
        <f>HOUR(A3500)</f>
        <v/>
      </c>
      <c r="D3500" s="4" t="n">
        <v>25.16484079785833</v>
      </c>
      <c r="E3500" s="4" t="n"/>
      <c r="F3500" s="4" t="n">
        <v>29.98944612130278</v>
      </c>
      <c r="G3500" s="4" t="n">
        <v>20</v>
      </c>
      <c r="H3500" s="5" t="n">
        <v>59.58995291516388</v>
      </c>
      <c r="I3500" s="5" t="n"/>
      <c r="J3500" s="5" t="n">
        <v>46.82619993580556</v>
      </c>
      <c r="K3500" s="5" t="n">
        <v>91</v>
      </c>
    </row>
    <row r="3501">
      <c r="A3501" s="2" t="n">
        <v>46243.25</v>
      </c>
      <c r="B3501">
        <f>TEXT(A3501,"yyyy-mm")</f>
        <v/>
      </c>
      <c r="C3501" s="3">
        <f>HOUR(A3501)</f>
        <v/>
      </c>
      <c r="D3501" s="4" t="n">
        <v>25.73770027303055</v>
      </c>
      <c r="E3501" s="4" t="n"/>
      <c r="F3501" s="4" t="n">
        <v>30.00091835870833</v>
      </c>
      <c r="G3501" s="4" t="n">
        <v>20</v>
      </c>
      <c r="H3501" s="5" t="n">
        <v>58.86931714606944</v>
      </c>
      <c r="I3501" s="5" t="n"/>
      <c r="J3501" s="5" t="n">
        <v>47.11843163948334</v>
      </c>
      <c r="K3501" s="5" t="n">
        <v>91</v>
      </c>
    </row>
    <row r="3502">
      <c r="A3502" s="2" t="n">
        <v>46243.29166666666</v>
      </c>
      <c r="B3502">
        <f>TEXT(A3502,"yyyy-mm")</f>
        <v/>
      </c>
      <c r="C3502" s="3">
        <f>HOUR(A3502)</f>
        <v/>
      </c>
      <c r="D3502" s="4" t="n">
        <v>25.92154504826111</v>
      </c>
      <c r="E3502" s="4" t="n"/>
      <c r="F3502" s="4" t="n">
        <v>30.01625549410278</v>
      </c>
      <c r="G3502" s="4" t="n">
        <v>20.8</v>
      </c>
      <c r="H3502" s="5" t="n">
        <v>58.97475622619167</v>
      </c>
      <c r="I3502" s="5" t="n"/>
      <c r="J3502" s="5" t="n">
        <v>47.38352253185</v>
      </c>
      <c r="K3502" s="5" t="n">
        <v>86</v>
      </c>
    </row>
    <row r="3503">
      <c r="A3503" s="2" t="n">
        <v>46243.33333333334</v>
      </c>
      <c r="B3503">
        <f>TEXT(A3503,"yyyy-mm")</f>
        <v/>
      </c>
      <c r="C3503" s="3">
        <f>HOUR(A3503)</f>
        <v/>
      </c>
      <c r="D3503" s="4" t="n">
        <v>26.73497714466944</v>
      </c>
      <c r="E3503" s="4" t="n"/>
      <c r="F3503" s="4" t="n">
        <v>30.02455743329723</v>
      </c>
      <c r="G3503" s="4" t="n">
        <v>21.8</v>
      </c>
      <c r="H3503" s="5" t="n">
        <v>56.58308933229446</v>
      </c>
      <c r="I3503" s="5" t="n"/>
      <c r="J3503" s="5" t="n">
        <v>47.608306205225</v>
      </c>
      <c r="K3503" s="5" t="n">
        <v>81</v>
      </c>
    </row>
    <row r="3504">
      <c r="A3504" s="2" t="n">
        <v>46243.375</v>
      </c>
      <c r="B3504">
        <f>TEXT(A3504,"yyyy-mm")</f>
        <v/>
      </c>
      <c r="C3504" s="3">
        <f>HOUR(A3504)</f>
        <v/>
      </c>
      <c r="D3504" s="4" t="n">
        <v>27.59929118237778</v>
      </c>
      <c r="E3504" s="4" t="n"/>
      <c r="F3504" s="4" t="n">
        <v>30.09257548667778</v>
      </c>
      <c r="G3504" s="4" t="n">
        <v>22.2</v>
      </c>
      <c r="H3504" s="5" t="n">
        <v>54.23415278744722</v>
      </c>
      <c r="I3504" s="5" t="n"/>
      <c r="J3504" s="5" t="n">
        <v>47.63878102054166</v>
      </c>
      <c r="K3504" s="5" t="n">
        <v>79</v>
      </c>
    </row>
    <row r="3505">
      <c r="A3505" s="2" t="n">
        <v>46243.41666666666</v>
      </c>
      <c r="B3505">
        <f>TEXT(A3505,"yyyy-mm")</f>
        <v/>
      </c>
      <c r="C3505" s="3">
        <f>HOUR(A3505)</f>
        <v/>
      </c>
      <c r="D3505" s="4" t="n">
        <v>27.74663149056945</v>
      </c>
      <c r="E3505" s="4" t="n"/>
      <c r="F3505" s="4" t="n">
        <v>30.126990968875</v>
      </c>
      <c r="G3505" s="4" t="n">
        <v>22.9</v>
      </c>
      <c r="H3505" s="5" t="n">
        <v>54.39152183611111</v>
      </c>
      <c r="I3505" s="5" t="n"/>
      <c r="J3505" s="5" t="n">
        <v>47.69932711325279</v>
      </c>
      <c r="K3505" s="5" t="n">
        <v>77</v>
      </c>
    </row>
    <row r="3506">
      <c r="A3506" s="2" t="n">
        <v>46243.45833333334</v>
      </c>
      <c r="B3506">
        <f>TEXT(A3506,"yyyy-mm")</f>
        <v/>
      </c>
      <c r="C3506" s="3">
        <f>HOUR(A3506)</f>
        <v/>
      </c>
      <c r="D3506" s="4" t="n">
        <v>26.40529090200278</v>
      </c>
      <c r="E3506" s="4" t="n"/>
      <c r="F3506" s="4" t="n">
        <v>30.12952931589444</v>
      </c>
      <c r="G3506" s="4" t="n">
        <v>24</v>
      </c>
      <c r="H3506" s="5" t="n">
        <v>46.40571762486667</v>
      </c>
      <c r="I3506" s="5" t="n"/>
      <c r="J3506" s="5" t="n">
        <v>47.78302294754167</v>
      </c>
      <c r="K3506" s="5" t="n">
        <v>72</v>
      </c>
    </row>
    <row r="3507">
      <c r="A3507" s="2" t="n">
        <v>46243.5</v>
      </c>
      <c r="B3507">
        <f>TEXT(A3507,"yyyy-mm")</f>
        <v/>
      </c>
      <c r="C3507" s="3">
        <f>HOUR(A3507)</f>
        <v/>
      </c>
      <c r="D3507" s="4" t="n">
        <v>25.24049895761389</v>
      </c>
      <c r="E3507" s="4" t="n"/>
      <c r="F3507" s="4" t="n">
        <v>30.13353721269722</v>
      </c>
      <c r="G3507" s="4" t="n">
        <v>24.8</v>
      </c>
      <c r="H3507" s="5" t="n">
        <v>42.87740619974445</v>
      </c>
      <c r="I3507" s="5" t="n"/>
      <c r="J3507" s="5" t="n">
        <v>47.62966277426667</v>
      </c>
      <c r="K3507" s="5" t="n">
        <v>67</v>
      </c>
    </row>
    <row r="3508">
      <c r="A3508" s="2" t="n">
        <v>46243.54166666666</v>
      </c>
      <c r="B3508">
        <f>TEXT(A3508,"yyyy-mm")</f>
        <v/>
      </c>
      <c r="C3508" s="3">
        <f>HOUR(A3508)</f>
        <v/>
      </c>
      <c r="D3508" s="4" t="n">
        <v>25.11965950465278</v>
      </c>
      <c r="E3508" s="4" t="n"/>
      <c r="F3508" s="4" t="n">
        <v>30.07285928083056</v>
      </c>
      <c r="G3508" s="4" t="n">
        <v>25.5</v>
      </c>
      <c r="H3508" s="5" t="n">
        <v>44.427004613725</v>
      </c>
      <c r="I3508" s="5" t="n"/>
      <c r="J3508" s="5" t="n">
        <v>47.51670152787222</v>
      </c>
      <c r="K3508" s="5" t="n">
        <v>63</v>
      </c>
    </row>
    <row r="3509">
      <c r="A3509" s="2" t="n">
        <v>46243.58333333334</v>
      </c>
      <c r="B3509">
        <f>TEXT(A3509,"yyyy-mm")</f>
        <v/>
      </c>
      <c r="C3509" s="3">
        <f>HOUR(A3509)</f>
        <v/>
      </c>
      <c r="D3509" s="4" t="n">
        <v>25.64752132351112</v>
      </c>
      <c r="E3509" s="4" t="n"/>
      <c r="F3509" s="4" t="n">
        <v>30.07489255389167</v>
      </c>
      <c r="G3509" s="4" t="n">
        <v>26.1</v>
      </c>
      <c r="H3509" s="5" t="n">
        <v>49.96371892355833</v>
      </c>
      <c r="I3509" s="5" t="n"/>
      <c r="J3509" s="5" t="n">
        <v>47.78818521967222</v>
      </c>
      <c r="K3509" s="5" t="n">
        <v>58</v>
      </c>
    </row>
    <row r="3510">
      <c r="A3510" s="2" t="n">
        <v>46243.625</v>
      </c>
      <c r="B3510">
        <f>TEXT(A3510,"yyyy-mm")</f>
        <v/>
      </c>
      <c r="C3510" s="3">
        <f>HOUR(A3510)</f>
        <v/>
      </c>
      <c r="D3510" s="4" t="n">
        <v>25.26187610485556</v>
      </c>
      <c r="E3510" s="4" t="n"/>
      <c r="F3510" s="4" t="n">
        <v>30.08668913711666</v>
      </c>
      <c r="G3510" s="4" t="n">
        <v>26.9</v>
      </c>
      <c r="H3510" s="5" t="n">
        <v>44.89450776985556</v>
      </c>
      <c r="I3510" s="5" t="n"/>
      <c r="J3510" s="5" t="n">
        <v>47.81401387925833</v>
      </c>
      <c r="K3510" s="5" t="n">
        <v>53</v>
      </c>
    </row>
    <row r="3511">
      <c r="A3511" s="2" t="n">
        <v>46243.66666666666</v>
      </c>
      <c r="B3511">
        <f>TEXT(A3511,"yyyy-mm")</f>
        <v/>
      </c>
      <c r="C3511" s="3">
        <f>HOUR(A3511)</f>
        <v/>
      </c>
      <c r="D3511" s="4" t="n">
        <v>25.66157549034167</v>
      </c>
      <c r="E3511" s="4" t="n"/>
      <c r="F3511" s="4" t="n">
        <v>30.07866662598333</v>
      </c>
      <c r="G3511" s="4" t="n">
        <v>27.4</v>
      </c>
      <c r="H3511" s="5" t="n">
        <v>48.45697356423333</v>
      </c>
      <c r="I3511" s="5" t="n"/>
      <c r="J3511" s="5" t="n">
        <v>47.83090557946111</v>
      </c>
      <c r="K3511" s="5" t="n">
        <v>50</v>
      </c>
    </row>
    <row r="3512">
      <c r="A3512" s="2" t="n">
        <v>46243.70833333334</v>
      </c>
      <c r="B3512">
        <f>TEXT(A3512,"yyyy-mm")</f>
        <v/>
      </c>
      <c r="C3512" s="3">
        <f>HOUR(A3512)</f>
        <v/>
      </c>
      <c r="D3512" s="4" t="n">
        <v>25.16647709796389</v>
      </c>
      <c r="E3512" s="4" t="n"/>
      <c r="F3512" s="4" t="n">
        <v>30.03966135117778</v>
      </c>
      <c r="G3512" s="4" t="n">
        <v>27.4</v>
      </c>
      <c r="H3512" s="5" t="n">
        <v>44.69229408032501</v>
      </c>
      <c r="I3512" s="5" t="n"/>
      <c r="J3512" s="5" t="n">
        <v>47.67617857636389</v>
      </c>
      <c r="K3512" s="5" t="n">
        <v>48</v>
      </c>
    </row>
    <row r="3513">
      <c r="A3513" s="2" t="n">
        <v>46243.75</v>
      </c>
      <c r="B3513">
        <f>TEXT(A3513,"yyyy-mm")</f>
        <v/>
      </c>
      <c r="C3513" s="3">
        <f>HOUR(A3513)</f>
        <v/>
      </c>
      <c r="D3513" s="4" t="n">
        <v>25.69991473642222</v>
      </c>
      <c r="E3513" s="4" t="n"/>
      <c r="F3513" s="4" t="n">
        <v>30.04291671345</v>
      </c>
      <c r="G3513" s="4" t="n">
        <v>26.8</v>
      </c>
      <c r="H3513" s="5" t="n">
        <v>47.21019902656945</v>
      </c>
      <c r="I3513" s="5" t="n"/>
      <c r="J3513" s="5" t="n">
        <v>47.62135710908611</v>
      </c>
      <c r="K3513" s="5" t="n">
        <v>49</v>
      </c>
    </row>
    <row r="3514">
      <c r="A3514" s="2" t="n">
        <v>46243.79166666666</v>
      </c>
      <c r="B3514">
        <f>TEXT(A3514,"yyyy-mm")</f>
        <v/>
      </c>
      <c r="C3514" s="3">
        <f>HOUR(A3514)</f>
        <v/>
      </c>
      <c r="D3514" s="4" t="n">
        <v>25.47163491429722</v>
      </c>
      <c r="E3514" s="4" t="n"/>
      <c r="F3514" s="4" t="n">
        <v>30.10382989281111</v>
      </c>
      <c r="G3514" s="4" t="n">
        <v>26</v>
      </c>
      <c r="H3514" s="5" t="n">
        <v>48.66335877218055</v>
      </c>
      <c r="I3514" s="5" t="n"/>
      <c r="J3514" s="5" t="n">
        <v>47.28559341467778</v>
      </c>
      <c r="K3514" s="5" t="n">
        <v>51</v>
      </c>
    </row>
    <row r="3515">
      <c r="A3515" s="2" t="n">
        <v>46243.83333333334</v>
      </c>
      <c r="B3515">
        <f>TEXT(A3515,"yyyy-mm")</f>
        <v/>
      </c>
      <c r="C3515" s="3">
        <f>HOUR(A3515)</f>
        <v/>
      </c>
      <c r="D3515" s="4" t="n">
        <v>26.13528481828056</v>
      </c>
      <c r="E3515" s="4" t="n"/>
      <c r="F3515" s="4" t="n">
        <v>30.17322059041667</v>
      </c>
      <c r="G3515" s="4" t="n">
        <v>24.9</v>
      </c>
      <c r="H3515" s="5" t="n">
        <v>48.82848099555278</v>
      </c>
      <c r="I3515" s="5" t="n"/>
      <c r="J3515" s="5" t="n">
        <v>47.22236790913333</v>
      </c>
      <c r="K3515" s="5" t="n">
        <v>54</v>
      </c>
    </row>
    <row r="3516">
      <c r="A3516" s="2" t="n">
        <v>46243.875</v>
      </c>
      <c r="B3516">
        <f>TEXT(A3516,"yyyy-mm")</f>
        <v/>
      </c>
      <c r="C3516" s="3">
        <f>HOUR(A3516)</f>
        <v/>
      </c>
      <c r="D3516" s="4" t="n">
        <v>24.32610968436667</v>
      </c>
      <c r="E3516" s="4" t="n"/>
      <c r="F3516" s="4" t="n">
        <v>30.03771710013333</v>
      </c>
      <c r="G3516" s="4" t="n">
        <v>23.5</v>
      </c>
      <c r="H3516" s="5" t="n">
        <v>41.97886933041945</v>
      </c>
      <c r="I3516" s="5" t="n"/>
      <c r="J3516" s="5" t="n">
        <v>47.13386705332778</v>
      </c>
      <c r="K3516" s="5" t="n">
        <v>58</v>
      </c>
    </row>
    <row r="3517">
      <c r="A3517" s="2" t="n">
        <v>46243.91666666666</v>
      </c>
      <c r="B3517">
        <f>TEXT(A3517,"yyyy-mm")</f>
        <v/>
      </c>
      <c r="C3517" s="3">
        <f>HOUR(A3517)</f>
        <v/>
      </c>
      <c r="D3517" s="4" t="n">
        <v>23.55795835234444</v>
      </c>
      <c r="E3517" s="4" t="n"/>
      <c r="F3517" s="4" t="n">
        <v>29.966161331825</v>
      </c>
      <c r="G3517" s="4" t="n">
        <v>22.9</v>
      </c>
      <c r="H3517" s="5" t="n">
        <v>40.57875057346389</v>
      </c>
      <c r="I3517" s="5" t="n"/>
      <c r="J3517" s="5" t="n">
        <v>46.52847614040556</v>
      </c>
      <c r="K3517" s="5" t="n">
        <v>58</v>
      </c>
    </row>
    <row r="3518">
      <c r="A3518" s="2" t="n">
        <v>46243.95833333334</v>
      </c>
      <c r="B3518">
        <f>TEXT(A3518,"yyyy-mm")</f>
        <v/>
      </c>
      <c r="C3518" s="3">
        <f>HOUR(A3518)</f>
        <v/>
      </c>
      <c r="D3518" s="4" t="n">
        <v>23.45367419314167</v>
      </c>
      <c r="E3518" s="4" t="n"/>
      <c r="F3518" s="4" t="n">
        <v>30.01588081316945</v>
      </c>
      <c r="G3518" s="4" t="n">
        <v>22.1</v>
      </c>
      <c r="H3518" s="5" t="n">
        <v>39.29095971361389</v>
      </c>
      <c r="I3518" s="5" t="n"/>
      <c r="J3518" s="5" t="n">
        <v>45.82229806114167</v>
      </c>
      <c r="K3518" s="5" t="n">
        <v>58</v>
      </c>
    </row>
    <row r="3519">
      <c r="A3519" s="2" t="n">
        <v>46244</v>
      </c>
      <c r="B3519">
        <f>TEXT(A3519,"yyyy-mm")</f>
        <v/>
      </c>
      <c r="C3519" s="3">
        <f>HOUR(A3519)</f>
        <v/>
      </c>
      <c r="D3519" s="4" t="n">
        <v>23.28791476348056</v>
      </c>
      <c r="E3519" s="4" t="n"/>
      <c r="F3519" s="4" t="n">
        <v>29.95001485018055</v>
      </c>
      <c r="G3519" s="4" t="n">
        <v>21.3</v>
      </c>
      <c r="H3519" s="5" t="n">
        <v>37.98458535471389</v>
      </c>
      <c r="I3519" s="5" t="n"/>
      <c r="J3519" s="5" t="n">
        <v>45.4469078171</v>
      </c>
      <c r="K3519" s="5" t="n">
        <v>59</v>
      </c>
    </row>
    <row r="3520">
      <c r="A3520" s="2" t="n">
        <v>46244.04166666666</v>
      </c>
      <c r="B3520">
        <f>TEXT(A3520,"yyyy-mm")</f>
        <v/>
      </c>
      <c r="C3520" s="3">
        <f>HOUR(A3520)</f>
        <v/>
      </c>
      <c r="D3520" s="4" t="n">
        <v>23.03394823839722</v>
      </c>
      <c r="E3520" s="4" t="n"/>
      <c r="F3520" s="4" t="n">
        <v>29.87792578421667</v>
      </c>
      <c r="G3520" s="4" t="n">
        <v>20.6</v>
      </c>
      <c r="H3520" s="5" t="n">
        <v>37.83766623871389</v>
      </c>
      <c r="I3520" s="5" t="n"/>
      <c r="J3520" s="5" t="n">
        <v>44.91880062468334</v>
      </c>
      <c r="K3520" s="5" t="n">
        <v>61</v>
      </c>
    </row>
    <row r="3521">
      <c r="A3521" s="2" t="n">
        <v>46244.08333333334</v>
      </c>
      <c r="B3521">
        <f>TEXT(A3521,"yyyy-mm")</f>
        <v/>
      </c>
      <c r="C3521" s="3">
        <f>HOUR(A3521)</f>
        <v/>
      </c>
      <c r="D3521" s="4" t="n">
        <v>24.04252326095555</v>
      </c>
      <c r="E3521" s="4" t="n"/>
      <c r="F3521" s="4" t="n">
        <v>29.82712425634167</v>
      </c>
      <c r="G3521" s="4" t="n">
        <v>20</v>
      </c>
      <c r="H3521" s="5" t="n">
        <v>41.92528276243056</v>
      </c>
      <c r="I3521" s="5" t="n"/>
      <c r="J3521" s="5" t="n">
        <v>45.29709938681111</v>
      </c>
      <c r="K3521" s="5" t="n">
        <v>63</v>
      </c>
    </row>
    <row r="3522">
      <c r="A3522" s="2" t="n">
        <v>46244.125</v>
      </c>
      <c r="B3522">
        <f>TEXT(A3522,"yyyy-mm")</f>
        <v/>
      </c>
      <c r="C3522" s="3">
        <f>HOUR(A3522)</f>
        <v/>
      </c>
      <c r="D3522" s="4" t="n">
        <v>24.96714591109444</v>
      </c>
      <c r="E3522" s="4" t="n"/>
      <c r="F3522" s="4" t="n">
        <v>29.84181486788333</v>
      </c>
      <c r="G3522" s="4" t="n">
        <v>19.1</v>
      </c>
      <c r="H3522" s="5" t="n">
        <v>44.93385395646389</v>
      </c>
      <c r="I3522" s="5" t="n"/>
      <c r="J3522" s="5" t="n">
        <v>45.68501496658333</v>
      </c>
      <c r="K3522" s="5" t="n">
        <v>67</v>
      </c>
    </row>
    <row r="3523">
      <c r="A3523" s="2" t="n">
        <v>46244.16666666666</v>
      </c>
      <c r="B3523">
        <f>TEXT(A3523,"yyyy-mm")</f>
        <v/>
      </c>
      <c r="C3523" s="3">
        <f>HOUR(A3523)</f>
        <v/>
      </c>
      <c r="D3523" s="4" t="n">
        <v>25.231014106475</v>
      </c>
      <c r="E3523" s="4" t="n"/>
      <c r="F3523" s="4" t="n">
        <v>29.81008711951389</v>
      </c>
      <c r="G3523" s="4" t="n">
        <v>18.6</v>
      </c>
      <c r="H3523" s="5" t="n">
        <v>45.53481507105278</v>
      </c>
      <c r="I3523" s="5" t="n"/>
      <c r="J3523" s="5" t="n">
        <v>45.86429097163611</v>
      </c>
      <c r="K3523" s="5" t="n">
        <v>70</v>
      </c>
    </row>
    <row r="3524">
      <c r="A3524" s="2" t="n">
        <v>46244.20833333334</v>
      </c>
      <c r="B3524">
        <f>TEXT(A3524,"yyyy-mm")</f>
        <v/>
      </c>
      <c r="C3524" s="3">
        <f>HOUR(A3524)</f>
        <v/>
      </c>
      <c r="D3524" s="4" t="n">
        <v>25.3553309843</v>
      </c>
      <c r="E3524" s="4" t="n"/>
      <c r="F3524" s="4" t="n">
        <v>29.81705555280556</v>
      </c>
      <c r="G3524" s="4" t="n">
        <v>18.2</v>
      </c>
      <c r="H3524" s="5" t="n">
        <v>45.32183178346667</v>
      </c>
      <c r="I3524" s="5" t="n"/>
      <c r="J3524" s="5" t="n">
        <v>45.95084856282222</v>
      </c>
      <c r="K3524" s="5" t="n">
        <v>72</v>
      </c>
    </row>
    <row r="3525">
      <c r="A3525" s="2" t="n">
        <v>46244.25</v>
      </c>
      <c r="B3525">
        <f>TEXT(A3525,"yyyy-mm")</f>
        <v/>
      </c>
      <c r="C3525" s="3">
        <f>HOUR(A3525)</f>
        <v/>
      </c>
      <c r="D3525" s="4" t="n">
        <v>25.675920768425</v>
      </c>
      <c r="E3525" s="4" t="n"/>
      <c r="F3525" s="4" t="n">
        <v>29.821194575625</v>
      </c>
      <c r="G3525" s="4" t="n">
        <v>18</v>
      </c>
      <c r="H3525" s="5" t="n">
        <v>44.29745255610555</v>
      </c>
      <c r="I3525" s="5" t="n"/>
      <c r="J3525" s="5" t="n">
        <v>45.98652278522221</v>
      </c>
      <c r="K3525" s="5" t="n">
        <v>73</v>
      </c>
    </row>
    <row r="3526">
      <c r="A3526" s="2" t="n">
        <v>46244.29166666666</v>
      </c>
      <c r="B3526">
        <f>TEXT(A3526,"yyyy-mm")</f>
        <v/>
      </c>
      <c r="C3526" s="3">
        <f>HOUR(A3526)</f>
        <v/>
      </c>
      <c r="D3526" s="4" t="n">
        <v>26.23160416209722</v>
      </c>
      <c r="E3526" s="4" t="n"/>
      <c r="F3526" s="4" t="n">
        <v>29.83617518003055</v>
      </c>
      <c r="G3526" s="4" t="n">
        <v>18.8</v>
      </c>
      <c r="H3526" s="5" t="n">
        <v>43.27389421895001</v>
      </c>
      <c r="I3526" s="5" t="n"/>
      <c r="J3526" s="5" t="n">
        <v>45.88327766994166</v>
      </c>
      <c r="K3526" s="5" t="n">
        <v>70</v>
      </c>
    </row>
    <row r="3527">
      <c r="A3527" s="2" t="n">
        <v>46244.33333333334</v>
      </c>
      <c r="B3527">
        <f>TEXT(A3527,"yyyy-mm")</f>
        <v/>
      </c>
      <c r="C3527" s="3">
        <f>HOUR(A3527)</f>
        <v/>
      </c>
      <c r="D3527" s="4" t="n">
        <v>26.75093185112778</v>
      </c>
      <c r="E3527" s="4" t="n"/>
      <c r="F3527" s="4" t="n">
        <v>29.86492342861945</v>
      </c>
      <c r="G3527" s="4" t="n">
        <v>20.1</v>
      </c>
      <c r="H3527" s="5" t="n">
        <v>42.86579243619167</v>
      </c>
      <c r="I3527" s="5" t="n"/>
      <c r="J3527" s="5" t="n">
        <v>45.84136763187778</v>
      </c>
      <c r="K3527" s="5" t="n">
        <v>65</v>
      </c>
    </row>
    <row r="3528">
      <c r="A3528" s="2" t="n">
        <v>46244.375</v>
      </c>
      <c r="B3528">
        <f>TEXT(A3528,"yyyy-mm")</f>
        <v/>
      </c>
      <c r="C3528" s="3">
        <f>HOUR(A3528)</f>
        <v/>
      </c>
      <c r="D3528" s="4" t="n">
        <v>25.85731375346389</v>
      </c>
      <c r="E3528" s="4" t="n"/>
      <c r="F3528" s="4" t="n">
        <v>29.85198967088056</v>
      </c>
      <c r="G3528" s="4" t="n">
        <v>22.3</v>
      </c>
      <c r="H3528" s="5" t="n">
        <v>37.68703528903334</v>
      </c>
      <c r="I3528" s="5" t="n"/>
      <c r="J3528" s="5" t="n">
        <v>44.81227668401944</v>
      </c>
      <c r="K3528" s="5" t="n">
        <v>59</v>
      </c>
    </row>
    <row r="3529">
      <c r="A3529" s="2" t="n">
        <v>46244.41666666666</v>
      </c>
      <c r="B3529">
        <f>TEXT(A3529,"yyyy-mm")</f>
        <v/>
      </c>
      <c r="C3529" s="3">
        <f>HOUR(A3529)</f>
        <v/>
      </c>
      <c r="D3529" s="4" t="n">
        <v>26.55004463651944</v>
      </c>
      <c r="E3529" s="4" t="n"/>
      <c r="F3529" s="4" t="n">
        <v>29.90877637808333</v>
      </c>
      <c r="G3529" s="4" t="n">
        <v>24</v>
      </c>
      <c r="H3529" s="5" t="n">
        <v>40.73236260546111</v>
      </c>
      <c r="I3529" s="5" t="n"/>
      <c r="J3529" s="5" t="n">
        <v>44.76582103895</v>
      </c>
      <c r="K3529" s="5" t="n">
        <v>53</v>
      </c>
    </row>
    <row r="3530">
      <c r="A3530" s="2" t="n">
        <v>46244.45833333334</v>
      </c>
      <c r="B3530">
        <f>TEXT(A3530,"yyyy-mm")</f>
        <v/>
      </c>
      <c r="C3530" s="3">
        <f>HOUR(A3530)</f>
        <v/>
      </c>
      <c r="D3530" s="4" t="n">
        <v>27.0284089164</v>
      </c>
      <c r="E3530" s="4" t="n"/>
      <c r="F3530" s="4" t="n">
        <v>29.95932793855</v>
      </c>
      <c r="G3530" s="4" t="n">
        <v>25.2</v>
      </c>
      <c r="H3530" s="5" t="n">
        <v>41.00132698742778</v>
      </c>
      <c r="I3530" s="5" t="n"/>
      <c r="J3530" s="5" t="n">
        <v>44.91396574197501</v>
      </c>
      <c r="K3530" s="5" t="n">
        <v>46</v>
      </c>
    </row>
    <row r="3531">
      <c r="A3531" s="2" t="n">
        <v>46244.5</v>
      </c>
      <c r="B3531">
        <f>TEXT(A3531,"yyyy-mm")</f>
        <v/>
      </c>
      <c r="C3531" s="3">
        <f>HOUR(A3531)</f>
        <v/>
      </c>
      <c r="D3531" s="4" t="n">
        <v>26.56597277306389</v>
      </c>
      <c r="E3531" s="4" t="n"/>
      <c r="F3531" s="4" t="n">
        <v>30.02365880839444</v>
      </c>
      <c r="G3531" s="4" t="n">
        <v>26.2</v>
      </c>
      <c r="H3531" s="5" t="n">
        <v>38.69844288203889</v>
      </c>
      <c r="I3531" s="5" t="n"/>
      <c r="J3531" s="5" t="n">
        <v>44.98421186431944</v>
      </c>
      <c r="K3531" s="5" t="n">
        <v>43</v>
      </c>
    </row>
    <row r="3532">
      <c r="A3532" s="2" t="n">
        <v>46244.54166666666</v>
      </c>
      <c r="B3532">
        <f>TEXT(A3532,"yyyy-mm")</f>
        <v/>
      </c>
      <c r="C3532" s="3">
        <f>HOUR(A3532)</f>
        <v/>
      </c>
      <c r="D3532" s="4" t="n">
        <v>25.09338242144445</v>
      </c>
      <c r="E3532" s="4" t="n"/>
      <c r="F3532" s="4" t="n">
        <v>30.01145262807778</v>
      </c>
      <c r="G3532" s="4" t="n">
        <v>26.9</v>
      </c>
      <c r="H3532" s="5" t="n">
        <v>34.2458413663</v>
      </c>
      <c r="I3532" s="5" t="n"/>
      <c r="J3532" s="5" t="n">
        <v>44.74369553963334</v>
      </c>
      <c r="K3532" s="5" t="n">
        <v>40</v>
      </c>
    </row>
    <row r="3533">
      <c r="A3533" s="2" t="n">
        <v>46244.58333333334</v>
      </c>
      <c r="B3533">
        <f>TEXT(A3533,"yyyy-mm")</f>
        <v/>
      </c>
      <c r="C3533" s="3">
        <f>HOUR(A3533)</f>
        <v/>
      </c>
      <c r="D3533" s="4" t="n">
        <v>24.83921754493333</v>
      </c>
      <c r="E3533" s="4" t="n"/>
      <c r="F3533" s="4" t="n">
        <v>29.98166806762222</v>
      </c>
      <c r="G3533" s="4" t="n">
        <v>27.4</v>
      </c>
      <c r="H3533" s="5" t="n">
        <v>36.66591701570555</v>
      </c>
      <c r="I3533" s="5" t="n"/>
      <c r="J3533" s="5" t="n">
        <v>44.57426439636389</v>
      </c>
      <c r="K3533" s="5" t="n">
        <v>39</v>
      </c>
    </row>
    <row r="3534">
      <c r="A3534" s="2" t="n">
        <v>46244.625</v>
      </c>
      <c r="B3534">
        <f>TEXT(A3534,"yyyy-mm")</f>
        <v/>
      </c>
      <c r="C3534" s="3">
        <f>HOUR(A3534)</f>
        <v/>
      </c>
      <c r="D3534" s="4" t="n">
        <v>25.07390635055556</v>
      </c>
      <c r="E3534" s="4" t="n"/>
      <c r="F3534" s="4" t="n">
        <v>29.972336208925</v>
      </c>
      <c r="G3534" s="4" t="n">
        <v>28</v>
      </c>
      <c r="H3534" s="5" t="n">
        <v>43.58572955627501</v>
      </c>
      <c r="I3534" s="5" t="n"/>
      <c r="J3534" s="5" t="n">
        <v>44.64195455208611</v>
      </c>
      <c r="K3534" s="5" t="n">
        <v>35</v>
      </c>
    </row>
    <row r="3535">
      <c r="A3535" s="2" t="n">
        <v>46244.66666666666</v>
      </c>
      <c r="B3535">
        <f>TEXT(A3535,"yyyy-mm")</f>
        <v/>
      </c>
      <c r="C3535" s="3">
        <f>HOUR(A3535)</f>
        <v/>
      </c>
      <c r="D3535" s="4" t="n">
        <v>24.75922523546944</v>
      </c>
      <c r="E3535" s="4" t="n"/>
      <c r="F3535" s="4" t="n">
        <v>30.01719443697778</v>
      </c>
      <c r="G3535" s="4" t="n">
        <v>28.1</v>
      </c>
      <c r="H3535" s="5" t="n">
        <v>41.55622997336666</v>
      </c>
      <c r="I3535" s="5" t="n"/>
      <c r="J3535" s="5" t="n">
        <v>44.60316127759444</v>
      </c>
      <c r="K3535" s="5" t="n">
        <v>34</v>
      </c>
    </row>
    <row r="3536">
      <c r="A3536" s="2" t="n">
        <v>46244.70833333334</v>
      </c>
      <c r="B3536">
        <f>TEXT(A3536,"yyyy-mm")</f>
        <v/>
      </c>
      <c r="C3536" s="3">
        <f>HOUR(A3536)</f>
        <v/>
      </c>
      <c r="D3536" s="4" t="n">
        <v>24.28441506693056</v>
      </c>
      <c r="E3536" s="4" t="n"/>
      <c r="F3536" s="4" t="n">
        <v>30.01733519826389</v>
      </c>
      <c r="G3536" s="4" t="n">
        <v>27.9</v>
      </c>
      <c r="H3536" s="5" t="n">
        <v>38.91573373649722</v>
      </c>
      <c r="I3536" s="5" t="n"/>
      <c r="J3536" s="5" t="n">
        <v>44.46987748313889</v>
      </c>
      <c r="K3536" s="5" t="n">
        <v>34</v>
      </c>
    </row>
    <row r="3537">
      <c r="A3537" s="2" t="n">
        <v>46244.75</v>
      </c>
      <c r="B3537">
        <f>TEXT(A3537,"yyyy-mm")</f>
        <v/>
      </c>
      <c r="C3537" s="3">
        <f>HOUR(A3537)</f>
        <v/>
      </c>
      <c r="D3537" s="4" t="n">
        <v>25.53141469965277</v>
      </c>
      <c r="E3537" s="4" t="n"/>
      <c r="F3537" s="4" t="n">
        <v>30.01200165789722</v>
      </c>
      <c r="G3537" s="4" t="n">
        <v>27.4</v>
      </c>
      <c r="H3537" s="5" t="n">
        <v>44.82205896074166</v>
      </c>
      <c r="I3537" s="5" t="n"/>
      <c r="J3537" s="5" t="n">
        <v>44.42906679295277</v>
      </c>
      <c r="K3537" s="5" t="n">
        <v>35</v>
      </c>
    </row>
    <row r="3538">
      <c r="A3538" s="2" t="n">
        <v>46244.79166666666</v>
      </c>
      <c r="B3538">
        <f>TEXT(A3538,"yyyy-mm")</f>
        <v/>
      </c>
      <c r="C3538" s="3">
        <f>HOUR(A3538)</f>
        <v/>
      </c>
      <c r="D3538" s="4" t="n">
        <v>24.47088075173611</v>
      </c>
      <c r="E3538" s="4" t="n"/>
      <c r="F3538" s="4" t="n">
        <v>29.97776318393611</v>
      </c>
      <c r="G3538" s="4" t="n">
        <v>26.5</v>
      </c>
      <c r="H3538" s="5" t="n">
        <v>38.528935398075</v>
      </c>
      <c r="I3538" s="5" t="n"/>
      <c r="J3538" s="5" t="n">
        <v>44.42223739586111</v>
      </c>
      <c r="K3538" s="5" t="n">
        <v>38</v>
      </c>
    </row>
    <row r="3539">
      <c r="A3539" s="2" t="n">
        <v>46244.83333333334</v>
      </c>
      <c r="B3539">
        <f>TEXT(A3539,"yyyy-mm")</f>
        <v/>
      </c>
      <c r="C3539" s="3">
        <f>HOUR(A3539)</f>
        <v/>
      </c>
      <c r="D3539" s="4" t="n">
        <v>23.95901968636112</v>
      </c>
      <c r="E3539" s="4" t="n"/>
      <c r="F3539" s="4" t="n">
        <v>29.91763715337778</v>
      </c>
      <c r="G3539" s="4" t="n">
        <v>25.1</v>
      </c>
      <c r="H3539" s="5" t="n">
        <v>40.04445932714722</v>
      </c>
      <c r="I3539" s="5" t="n"/>
      <c r="J3539" s="5" t="n">
        <v>43.89989213320556</v>
      </c>
      <c r="K3539" s="5" t="n">
        <v>45</v>
      </c>
    </row>
    <row r="3540">
      <c r="A3540" s="2" t="n">
        <v>46244.875</v>
      </c>
      <c r="B3540">
        <f>TEXT(A3540,"yyyy-mm")</f>
        <v/>
      </c>
      <c r="C3540" s="3">
        <f>HOUR(A3540)</f>
        <v/>
      </c>
      <c r="D3540" s="4" t="n">
        <v>24.87417274894166</v>
      </c>
      <c r="E3540" s="4" t="n"/>
      <c r="F3540" s="4" t="n">
        <v>29.9784851477</v>
      </c>
      <c r="G3540" s="4" t="n">
        <v>23.8</v>
      </c>
      <c r="H3540" s="5" t="n">
        <v>48.11828160977223</v>
      </c>
      <c r="I3540" s="5" t="n"/>
      <c r="J3540" s="5" t="n">
        <v>43.97321357435001</v>
      </c>
      <c r="K3540" s="5" t="n">
        <v>49</v>
      </c>
    </row>
    <row r="3541">
      <c r="A3541" s="2" t="n">
        <v>46244.91666666666</v>
      </c>
      <c r="B3541">
        <f>TEXT(A3541,"yyyy-mm")</f>
        <v/>
      </c>
      <c r="C3541" s="3">
        <f>HOUR(A3541)</f>
        <v/>
      </c>
      <c r="D3541" s="4" t="n">
        <v>25.03642170455556</v>
      </c>
      <c r="E3541" s="4" t="n"/>
      <c r="F3541" s="4" t="n">
        <v>30.00669442375</v>
      </c>
      <c r="G3541" s="4" t="n">
        <v>22.7</v>
      </c>
      <c r="H3541" s="5" t="n">
        <v>49.09516934119166</v>
      </c>
      <c r="I3541" s="5" t="n"/>
      <c r="J3541" s="5" t="n">
        <v>44.27989705470834</v>
      </c>
      <c r="K3541" s="5" t="n">
        <v>54</v>
      </c>
    </row>
    <row r="3542">
      <c r="A3542" s="2" t="n">
        <v>46244.95833333334</v>
      </c>
      <c r="B3542">
        <f>TEXT(A3542,"yyyy-mm")</f>
        <v/>
      </c>
      <c r="C3542" s="3">
        <f>HOUR(A3542)</f>
        <v/>
      </c>
      <c r="D3542" s="4" t="n">
        <v>24.45186721178611</v>
      </c>
      <c r="E3542" s="4" t="n"/>
      <c r="F3542" s="4" t="n">
        <v>30.01777438734445</v>
      </c>
      <c r="G3542" s="4" t="n">
        <v>21.9</v>
      </c>
      <c r="H3542" s="5" t="n">
        <v>39.21077086725556</v>
      </c>
      <c r="I3542" s="5" t="n"/>
      <c r="J3542" s="5" t="n">
        <v>44.37879156163334</v>
      </c>
      <c r="K3542" s="5" t="n">
        <v>57</v>
      </c>
    </row>
    <row r="3543">
      <c r="A3543" s="2" t="n">
        <v>46245</v>
      </c>
      <c r="B3543">
        <f>TEXT(A3543,"yyyy-mm")</f>
        <v/>
      </c>
      <c r="C3543" s="3">
        <f>HOUR(A3543)</f>
        <v/>
      </c>
      <c r="D3543" s="4" t="n">
        <v>24.66680789503611</v>
      </c>
      <c r="E3543" s="4" t="n"/>
      <c r="F3543" s="4" t="n">
        <v>30.00082703648055</v>
      </c>
      <c r="G3543" s="4" t="n">
        <v>21.2</v>
      </c>
      <c r="H3543" s="5" t="n">
        <v>37.01531714576667</v>
      </c>
      <c r="I3543" s="5" t="n"/>
      <c r="J3543" s="5" t="n">
        <v>44.17956236799722</v>
      </c>
      <c r="K3543" s="5" t="n">
        <v>59</v>
      </c>
    </row>
    <row r="3544">
      <c r="A3544" s="2" t="n">
        <v>46245.04166666666</v>
      </c>
      <c r="B3544">
        <f>TEXT(A3544,"yyyy-mm")</f>
        <v/>
      </c>
      <c r="C3544" s="3">
        <f>HOUR(A3544)</f>
        <v/>
      </c>
      <c r="D3544" s="4" t="n">
        <v>25.08363569751944</v>
      </c>
      <c r="E3544" s="4" t="n"/>
      <c r="F3544" s="4" t="n">
        <v>29.983761708325</v>
      </c>
      <c r="G3544" s="4" t="n">
        <v>20.6</v>
      </c>
      <c r="H3544" s="5" t="n">
        <v>42.18240571196944</v>
      </c>
      <c r="I3544" s="5" t="n"/>
      <c r="J3544" s="5" t="n">
        <v>43.96689432802777</v>
      </c>
      <c r="K3544" s="5" t="n">
        <v>61</v>
      </c>
    </row>
    <row r="3545">
      <c r="A3545" s="2" t="n">
        <v>46245.08333333334</v>
      </c>
      <c r="B3545">
        <f>TEXT(A3545,"yyyy-mm")</f>
        <v/>
      </c>
      <c r="C3545" s="3">
        <f>HOUR(A3545)</f>
        <v/>
      </c>
      <c r="D3545" s="4" t="n">
        <v>23.84976525773611</v>
      </c>
      <c r="E3545" s="4" t="n"/>
      <c r="F3545" s="4" t="n">
        <v>29.81485848519166</v>
      </c>
      <c r="G3545" s="4" t="n">
        <v>20.1</v>
      </c>
      <c r="H3545" s="5" t="n">
        <v>42.70961144101944</v>
      </c>
      <c r="I3545" s="5" t="n"/>
      <c r="J3545" s="5" t="n">
        <v>42.95905447006111</v>
      </c>
      <c r="K3545" s="5" t="n">
        <v>63</v>
      </c>
    </row>
    <row r="3546">
      <c r="A3546" s="2" t="n">
        <v>46245.125</v>
      </c>
      <c r="B3546">
        <f>TEXT(A3546,"yyyy-mm")</f>
        <v/>
      </c>
      <c r="C3546" s="3">
        <f>HOUR(A3546)</f>
        <v/>
      </c>
      <c r="D3546" s="4" t="n">
        <v>23.00921408278611</v>
      </c>
      <c r="E3546" s="4" t="n"/>
      <c r="F3546" s="4" t="n">
        <v>29.64873714392222</v>
      </c>
      <c r="G3546" s="4" t="n">
        <v>18.8</v>
      </c>
      <c r="H3546" s="5" t="n">
        <v>44.79366197828612</v>
      </c>
      <c r="I3546" s="5" t="n"/>
      <c r="J3546" s="5" t="n">
        <v>42.72491836416666</v>
      </c>
      <c r="K3546" s="5" t="n">
        <v>67</v>
      </c>
    </row>
    <row r="3547">
      <c r="A3547" s="2" t="n">
        <v>46245.16666666666</v>
      </c>
      <c r="B3547">
        <f>TEXT(A3547,"yyyy-mm")</f>
        <v/>
      </c>
      <c r="C3547" s="3">
        <f>HOUR(A3547)</f>
        <v/>
      </c>
      <c r="D3547" s="4" t="n">
        <v>22.74692422635833</v>
      </c>
      <c r="E3547" s="4" t="n"/>
      <c r="F3547" s="4" t="n">
        <v>29.59401825814444</v>
      </c>
      <c r="G3547" s="4" t="n">
        <v>18.3</v>
      </c>
      <c r="H3547" s="5" t="n">
        <v>45.86206963259722</v>
      </c>
      <c r="I3547" s="5" t="n"/>
      <c r="J3547" s="5" t="n">
        <v>42.73976806715277</v>
      </c>
      <c r="K3547" s="5" t="n">
        <v>70</v>
      </c>
    </row>
    <row r="3548">
      <c r="A3548" s="2" t="n">
        <v>46245.20833333334</v>
      </c>
      <c r="B3548">
        <f>TEXT(A3548,"yyyy-mm")</f>
        <v/>
      </c>
      <c r="C3548" s="3">
        <f>HOUR(A3548)</f>
        <v/>
      </c>
      <c r="D3548" s="4" t="n">
        <v>22.83803834741945</v>
      </c>
      <c r="E3548" s="4" t="n"/>
      <c r="F3548" s="4" t="n">
        <v>29.53527159325555</v>
      </c>
      <c r="G3548" s="4" t="n">
        <v>17.9</v>
      </c>
      <c r="H3548" s="5" t="n">
        <v>45.876531628225</v>
      </c>
      <c r="I3548" s="5" t="n"/>
      <c r="J3548" s="5" t="n">
        <v>42.72074528528611</v>
      </c>
      <c r="K3548" s="5" t="n">
        <v>72</v>
      </c>
    </row>
    <row r="3549">
      <c r="A3549" s="2" t="n">
        <v>46245.25</v>
      </c>
      <c r="B3549">
        <f>TEXT(A3549,"yyyy-mm")</f>
        <v/>
      </c>
      <c r="C3549" s="3">
        <f>HOUR(A3549)</f>
        <v/>
      </c>
      <c r="D3549" s="4" t="n">
        <v>23.58175814554444</v>
      </c>
      <c r="E3549" s="4" t="n"/>
      <c r="F3549" s="4" t="n">
        <v>29.54392484461389</v>
      </c>
      <c r="G3549" s="4" t="n">
        <v>17.8</v>
      </c>
      <c r="H3549" s="5" t="n">
        <v>44.02861088836111</v>
      </c>
      <c r="I3549" s="5" t="n"/>
      <c r="J3549" s="5" t="n">
        <v>42.79250975926945</v>
      </c>
      <c r="K3549" s="5" t="n">
        <v>72</v>
      </c>
    </row>
    <row r="3550">
      <c r="A3550" s="2" t="n">
        <v>46245.29166666666</v>
      </c>
      <c r="B3550">
        <f>TEXT(A3550,"yyyy-mm")</f>
        <v/>
      </c>
      <c r="C3550" s="3">
        <f>HOUR(A3550)</f>
        <v/>
      </c>
      <c r="D3550" s="4" t="n">
        <v>24.45661688229722</v>
      </c>
      <c r="E3550" s="4" t="n"/>
      <c r="F3550" s="4" t="n">
        <v>29.61325963123889</v>
      </c>
      <c r="G3550" s="4" t="n">
        <v>18.7</v>
      </c>
      <c r="H3550" s="5" t="n">
        <v>42.54674238927223</v>
      </c>
      <c r="I3550" s="5" t="n"/>
      <c r="J3550" s="5" t="n">
        <v>43.05420621073056</v>
      </c>
      <c r="K3550" s="5" t="n">
        <v>70</v>
      </c>
    </row>
    <row r="3551">
      <c r="A3551" s="2" t="n">
        <v>46245.33333333334</v>
      </c>
      <c r="B3551">
        <f>TEXT(A3551,"yyyy-mm")</f>
        <v/>
      </c>
      <c r="C3551" s="3">
        <f>HOUR(A3551)</f>
        <v/>
      </c>
      <c r="D3551" s="4" t="n">
        <v>25.65852507615834</v>
      </c>
      <c r="E3551" s="4" t="n"/>
      <c r="F3551" s="4" t="n">
        <v>29.68734931631944</v>
      </c>
      <c r="G3551" s="4" t="n">
        <v>20.2</v>
      </c>
      <c r="H3551" s="5" t="n">
        <v>40.242643714075</v>
      </c>
      <c r="I3551" s="5" t="n"/>
      <c r="J3551" s="5" t="n">
        <v>43.29962781770278</v>
      </c>
      <c r="K3551" s="5" t="n">
        <v>63</v>
      </c>
    </row>
    <row r="3552">
      <c r="A3552" s="2" t="n">
        <v>46245.375</v>
      </c>
      <c r="B3552">
        <f>TEXT(A3552,"yyyy-mm")</f>
        <v/>
      </c>
      <c r="C3552" s="3">
        <f>HOUR(A3552)</f>
        <v/>
      </c>
      <c r="D3552" s="4" t="n">
        <v>26.33498197455833</v>
      </c>
      <c r="E3552" s="4" t="n"/>
      <c r="F3552" s="4" t="n">
        <v>29.81938266465</v>
      </c>
      <c r="G3552" s="4" t="n">
        <v>22.3</v>
      </c>
      <c r="H3552" s="5" t="n">
        <v>40.07873465578611</v>
      </c>
      <c r="I3552" s="5" t="n"/>
      <c r="J3552" s="5" t="n">
        <v>43.36591526178333</v>
      </c>
      <c r="K3552" s="5" t="n">
        <v>56</v>
      </c>
    </row>
    <row r="3553">
      <c r="A3553" s="2" t="n">
        <v>46245.41666666666</v>
      </c>
      <c r="B3553">
        <f>TEXT(A3553,"yyyy-mm")</f>
        <v/>
      </c>
      <c r="C3553" s="3">
        <f>HOUR(A3553)</f>
        <v/>
      </c>
      <c r="D3553" s="4" t="n">
        <v>26.78846299271945</v>
      </c>
      <c r="E3553" s="4" t="n"/>
      <c r="F3553" s="4" t="n">
        <v>29.93243544653611</v>
      </c>
      <c r="G3553" s="4" t="n">
        <v>24.3</v>
      </c>
      <c r="H3553" s="5" t="n">
        <v>40.59654439938611</v>
      </c>
      <c r="I3553" s="5" t="n"/>
      <c r="J3553" s="5" t="n">
        <v>43.4476375884</v>
      </c>
      <c r="K3553" s="5" t="n">
        <v>51</v>
      </c>
    </row>
    <row r="3554">
      <c r="A3554" s="2" t="n">
        <v>46245.45833333334</v>
      </c>
      <c r="B3554">
        <f>TEXT(A3554,"yyyy-mm")</f>
        <v/>
      </c>
      <c r="C3554" s="3">
        <f>HOUR(A3554)</f>
        <v/>
      </c>
      <c r="D3554" s="4" t="n">
        <v>27.215297833675</v>
      </c>
      <c r="E3554" s="4" t="n"/>
      <c r="F3554" s="4" t="n">
        <v>29.97197148483611</v>
      </c>
      <c r="G3554" s="4" t="n">
        <v>26.1</v>
      </c>
      <c r="H3554" s="5" t="n">
        <v>40.70434605071944</v>
      </c>
      <c r="I3554" s="5" t="n"/>
      <c r="J3554" s="5" t="n">
        <v>43.62576831537501</v>
      </c>
      <c r="K3554" s="5" t="n">
        <v>47</v>
      </c>
    </row>
    <row r="3555">
      <c r="A3555" s="2" t="n">
        <v>46245.5</v>
      </c>
      <c r="B3555">
        <f>TEXT(A3555,"yyyy-mm")</f>
        <v/>
      </c>
      <c r="C3555" s="3">
        <f>HOUR(A3555)</f>
        <v/>
      </c>
      <c r="D3555" s="4" t="n">
        <v>26.145864682675</v>
      </c>
      <c r="E3555" s="4" t="n"/>
      <c r="F3555" s="4" t="n">
        <v>30.04885674910278</v>
      </c>
      <c r="G3555" s="4" t="n">
        <v>27.6</v>
      </c>
      <c r="H3555" s="5" t="n">
        <v>34.78183367301944</v>
      </c>
      <c r="I3555" s="5" t="n"/>
      <c r="J3555" s="5" t="n">
        <v>43.41847574036667</v>
      </c>
      <c r="K3555" s="5" t="n">
        <v>42</v>
      </c>
    </row>
    <row r="3556">
      <c r="A3556" s="2" t="n">
        <v>46245.54166666666</v>
      </c>
      <c r="B3556">
        <f>TEXT(A3556,"yyyy-mm")</f>
        <v/>
      </c>
      <c r="C3556" s="3">
        <f>HOUR(A3556)</f>
        <v/>
      </c>
      <c r="D3556" s="4" t="n">
        <v>25.06010750126389</v>
      </c>
      <c r="E3556" s="4" t="n"/>
      <c r="F3556" s="4" t="n">
        <v>29.93280178695833</v>
      </c>
      <c r="G3556" s="4" t="n">
        <v>28.6</v>
      </c>
      <c r="H3556" s="5" t="n">
        <v>33.94866012841111</v>
      </c>
      <c r="I3556" s="5" t="n"/>
      <c r="J3556" s="5" t="n">
        <v>42.60366491542222</v>
      </c>
      <c r="K3556" s="5" t="n">
        <v>40</v>
      </c>
    </row>
    <row r="3557">
      <c r="A3557" s="2" t="n">
        <v>46245.58333333334</v>
      </c>
      <c r="B3557">
        <f>TEXT(A3557,"yyyy-mm")</f>
        <v/>
      </c>
      <c r="C3557" s="3">
        <f>HOUR(A3557)</f>
        <v/>
      </c>
      <c r="D3557" s="4" t="n">
        <v>25.82767816746389</v>
      </c>
      <c r="E3557" s="4" t="n"/>
      <c r="F3557" s="4" t="n">
        <v>29.90061452726111</v>
      </c>
      <c r="G3557" s="4" t="n">
        <v>29.2</v>
      </c>
      <c r="H3557" s="5" t="n">
        <v>37.30524669728333</v>
      </c>
      <c r="I3557" s="5" t="n"/>
      <c r="J3557" s="5" t="n">
        <v>42.41808483771389</v>
      </c>
      <c r="K3557" s="5" t="n">
        <v>39</v>
      </c>
    </row>
    <row r="3558">
      <c r="A3558" s="2" t="n">
        <v>46245.625</v>
      </c>
      <c r="B3558">
        <f>TEXT(A3558,"yyyy-mm")</f>
        <v/>
      </c>
      <c r="C3558" s="3">
        <f>HOUR(A3558)</f>
        <v/>
      </c>
      <c r="D3558" s="4" t="n">
        <v>25.13959131197222</v>
      </c>
      <c r="E3558" s="4" t="n"/>
      <c r="F3558" s="4" t="n">
        <v>29.93647746905556</v>
      </c>
      <c r="G3558" s="4" t="n">
        <v>29.5</v>
      </c>
      <c r="H3558" s="5" t="n">
        <v>35.93331769480556</v>
      </c>
      <c r="I3558" s="5" t="n"/>
      <c r="J3558" s="5" t="n">
        <v>42.40798519113333</v>
      </c>
      <c r="K3558" s="5" t="n">
        <v>39</v>
      </c>
    </row>
    <row r="3559">
      <c r="A3559" s="2" t="n">
        <v>46245.66666666666</v>
      </c>
      <c r="B3559">
        <f>TEXT(A3559,"yyyy-mm")</f>
        <v/>
      </c>
      <c r="C3559" s="3">
        <f>HOUR(A3559)</f>
        <v/>
      </c>
      <c r="D3559" s="4" t="n">
        <v>24.89635855215278</v>
      </c>
      <c r="E3559" s="4" t="n"/>
      <c r="F3559" s="4" t="n">
        <v>29.92307404615833</v>
      </c>
      <c r="G3559" s="4" t="n">
        <v>29.6</v>
      </c>
      <c r="H3559" s="5" t="n">
        <v>40.61232933605277</v>
      </c>
      <c r="I3559" s="5" t="n"/>
      <c r="J3559" s="5" t="n">
        <v>42.40085460666111</v>
      </c>
      <c r="K3559" s="5" t="n">
        <v>39</v>
      </c>
    </row>
    <row r="3560">
      <c r="A3560" s="2" t="n">
        <v>46245.70833333334</v>
      </c>
      <c r="B3560">
        <f>TEXT(A3560,"yyyy-mm")</f>
        <v/>
      </c>
      <c r="C3560" s="3">
        <f>HOUR(A3560)</f>
        <v/>
      </c>
      <c r="D3560" s="4" t="n">
        <v>24.89744293086945</v>
      </c>
      <c r="E3560" s="4" t="n"/>
      <c r="F3560" s="4" t="n">
        <v>29.89280576391389</v>
      </c>
      <c r="G3560" s="4" t="n">
        <v>29.5</v>
      </c>
      <c r="H3560" s="5" t="n">
        <v>40.61241208945278</v>
      </c>
      <c r="I3560" s="5" t="n"/>
      <c r="J3560" s="5" t="n">
        <v>42.59862789131667</v>
      </c>
      <c r="K3560" s="5" t="n">
        <v>40</v>
      </c>
    </row>
    <row r="3561">
      <c r="A3561" s="2" t="n">
        <v>46245.75</v>
      </c>
      <c r="B3561">
        <f>TEXT(A3561,"yyyy-mm")</f>
        <v/>
      </c>
      <c r="C3561" s="3">
        <f>HOUR(A3561)</f>
        <v/>
      </c>
      <c r="D3561" s="4" t="n">
        <v>25.11152385973333</v>
      </c>
      <c r="E3561" s="4" t="n"/>
      <c r="F3561" s="4" t="n">
        <v>29.86578236759444</v>
      </c>
      <c r="G3561" s="4" t="n">
        <v>29</v>
      </c>
      <c r="H3561" s="5" t="n">
        <v>44.85531635637222</v>
      </c>
      <c r="I3561" s="5" t="n"/>
      <c r="J3561" s="5" t="n">
        <v>42.82694440993333</v>
      </c>
      <c r="K3561" s="5" t="n">
        <v>42</v>
      </c>
    </row>
    <row r="3562">
      <c r="A3562" s="2" t="n">
        <v>46245.79166666666</v>
      </c>
      <c r="B3562">
        <f>TEXT(A3562,"yyyy-mm")</f>
        <v/>
      </c>
      <c r="C3562" s="3">
        <f>HOUR(A3562)</f>
        <v/>
      </c>
      <c r="D3562" s="4" t="n">
        <v>24.99816628192222</v>
      </c>
      <c r="E3562" s="4" t="n"/>
      <c r="F3562" s="4" t="n">
        <v>29.87977326925555</v>
      </c>
      <c r="G3562" s="4" t="n">
        <v>28.4</v>
      </c>
      <c r="H3562" s="5" t="n">
        <v>42.82391568875833</v>
      </c>
      <c r="I3562" s="5" t="n"/>
      <c r="J3562" s="5" t="n">
        <v>43.22358596573611</v>
      </c>
      <c r="K3562" s="5" t="n">
        <v>44</v>
      </c>
    </row>
    <row r="3563">
      <c r="A3563" s="2" t="n">
        <v>46245.83333333334</v>
      </c>
      <c r="B3563">
        <f>TEXT(A3563,"yyyy-mm")</f>
        <v/>
      </c>
      <c r="C3563" s="3">
        <f>HOUR(A3563)</f>
        <v/>
      </c>
      <c r="D3563" s="4" t="n">
        <v>24.73765250590833</v>
      </c>
      <c r="E3563" s="4" t="n"/>
      <c r="F3563" s="4" t="n">
        <v>29.85446469058889</v>
      </c>
      <c r="G3563" s="4" t="n">
        <v>27</v>
      </c>
      <c r="H3563" s="5" t="n">
        <v>41.88231025875556</v>
      </c>
      <c r="I3563" s="5" t="n"/>
      <c r="J3563" s="5" t="n">
        <v>43.17834238119166</v>
      </c>
      <c r="K3563" s="5" t="n">
        <v>53</v>
      </c>
    </row>
    <row r="3564">
      <c r="A3564" s="2" t="n">
        <v>46245.875</v>
      </c>
      <c r="B3564">
        <f>TEXT(A3564,"yyyy-mm")</f>
        <v/>
      </c>
      <c r="C3564" s="3">
        <f>HOUR(A3564)</f>
        <v/>
      </c>
      <c r="D3564" s="4" t="n">
        <v>24.71590438555</v>
      </c>
      <c r="E3564" s="4" t="n"/>
      <c r="F3564" s="4" t="n">
        <v>29.81863912351389</v>
      </c>
      <c r="G3564" s="4" t="n">
        <v>26.1</v>
      </c>
      <c r="H3564" s="5" t="n">
        <v>37.73590870736111</v>
      </c>
      <c r="I3564" s="5" t="n"/>
      <c r="J3564" s="5" t="n">
        <v>42.89305976461111</v>
      </c>
      <c r="K3564" s="5" t="n">
        <v>58</v>
      </c>
    </row>
    <row r="3565">
      <c r="A3565" s="2" t="n">
        <v>46245.91666666666</v>
      </c>
      <c r="B3565">
        <f>TEXT(A3565,"yyyy-mm")</f>
        <v/>
      </c>
      <c r="C3565" s="3">
        <f>HOUR(A3565)</f>
        <v/>
      </c>
      <c r="D3565" s="4" t="n">
        <v>25.76287194864722</v>
      </c>
      <c r="E3565" s="4" t="n"/>
      <c r="F3565" s="4" t="n">
        <v>29.86840284368333</v>
      </c>
      <c r="G3565" s="4" t="n">
        <v>25.4</v>
      </c>
      <c r="H3565" s="5" t="n">
        <v>40.93501897495833</v>
      </c>
      <c r="I3565" s="5" t="n"/>
      <c r="J3565" s="5" t="n">
        <v>42.71226556840556</v>
      </c>
      <c r="K3565" s="5" t="n">
        <v>59</v>
      </c>
    </row>
    <row r="3566">
      <c r="A3566" s="2" t="n">
        <v>46245.95833333334</v>
      </c>
      <c r="B3566">
        <f>TEXT(A3566,"yyyy-mm")</f>
        <v/>
      </c>
      <c r="C3566" s="3">
        <f>HOUR(A3566)</f>
        <v/>
      </c>
      <c r="D3566" s="4" t="n">
        <v>26.55510458735278</v>
      </c>
      <c r="E3566" s="4" t="n"/>
      <c r="F3566" s="4" t="n">
        <v>29.94195366328611</v>
      </c>
      <c r="G3566" s="4" t="n">
        <v>24.4</v>
      </c>
      <c r="H3566" s="5" t="n">
        <v>44.41503022695</v>
      </c>
      <c r="I3566" s="5" t="n"/>
      <c r="J3566" s="5" t="n">
        <v>43.06053212279445</v>
      </c>
      <c r="K3566" s="5" t="n">
        <v>63</v>
      </c>
    </row>
    <row r="3567">
      <c r="A3567" s="2" t="n">
        <v>46246</v>
      </c>
      <c r="B3567">
        <f>TEXT(A3567,"yyyy-mm")</f>
        <v/>
      </c>
      <c r="C3567" s="3">
        <f>HOUR(A3567)</f>
        <v/>
      </c>
      <c r="D3567" s="4" t="n">
        <v>26.01752418383056</v>
      </c>
      <c r="E3567" s="4" t="n"/>
      <c r="F3567" s="4" t="n">
        <v>29.985082118525</v>
      </c>
      <c r="G3567" s="4" t="n">
        <v>23.2</v>
      </c>
      <c r="H3567" s="5" t="n">
        <v>40.22457128144166</v>
      </c>
      <c r="I3567" s="5" t="n"/>
      <c r="J3567" s="5" t="n">
        <v>43.29524058003889</v>
      </c>
      <c r="K3567" s="5" t="n">
        <v>67</v>
      </c>
    </row>
    <row r="3568">
      <c r="A3568" s="2" t="n">
        <v>46246.04166666666</v>
      </c>
      <c r="B3568">
        <f>TEXT(A3568,"yyyy-mm")</f>
        <v/>
      </c>
      <c r="C3568" s="3">
        <f>HOUR(A3568)</f>
        <v/>
      </c>
      <c r="D3568" s="4" t="n">
        <v>24.40177690230556</v>
      </c>
      <c r="E3568" s="4" t="n"/>
      <c r="F3568" s="4" t="n">
        <v>29.87600949174444</v>
      </c>
      <c r="G3568" s="4" t="n">
        <v>22.4</v>
      </c>
      <c r="H3568" s="5" t="n">
        <v>38.24128854676667</v>
      </c>
      <c r="I3568" s="5" t="n"/>
      <c r="J3568" s="5" t="n">
        <v>42.87304041755</v>
      </c>
      <c r="K3568" s="5" t="n">
        <v>69</v>
      </c>
    </row>
    <row r="3569">
      <c r="A3569" s="2" t="n">
        <v>46246.08333333334</v>
      </c>
      <c r="B3569">
        <f>TEXT(A3569,"yyyy-mm")</f>
        <v/>
      </c>
      <c r="C3569" s="3">
        <f>HOUR(A3569)</f>
        <v/>
      </c>
      <c r="D3569" s="4" t="n">
        <v>23.69255857455833</v>
      </c>
      <c r="E3569" s="4" t="n"/>
      <c r="F3569" s="4" t="n">
        <v>29.95153127487222</v>
      </c>
      <c r="G3569" s="4" t="n">
        <v>22</v>
      </c>
      <c r="H3569" s="5" t="n">
        <v>37.74422474325278</v>
      </c>
      <c r="I3569" s="5" t="n"/>
      <c r="J3569" s="5" t="n">
        <v>41.72394203202778</v>
      </c>
      <c r="K3569" s="5" t="n">
        <v>69</v>
      </c>
    </row>
    <row r="3570">
      <c r="A3570" s="2" t="n">
        <v>46246.125</v>
      </c>
      <c r="B3570">
        <f>TEXT(A3570,"yyyy-mm")</f>
        <v/>
      </c>
      <c r="C3570" s="3">
        <f>HOUR(A3570)</f>
        <v/>
      </c>
      <c r="D3570" s="4" t="n">
        <v>25.1655813518</v>
      </c>
      <c r="E3570" s="4" t="n"/>
      <c r="F3570" s="4" t="n">
        <v>29.792259114075</v>
      </c>
      <c r="G3570" s="4" t="n">
        <v>20.9</v>
      </c>
      <c r="H3570" s="5" t="n">
        <v>42.27388697719723</v>
      </c>
      <c r="I3570" s="5" t="n"/>
      <c r="J3570" s="5" t="n">
        <v>42.41311670839166</v>
      </c>
      <c r="K3570" s="5" t="n">
        <v>74</v>
      </c>
    </row>
    <row r="3571">
      <c r="A3571" s="2" t="n">
        <v>46246.16666666666</v>
      </c>
      <c r="B3571">
        <f>TEXT(A3571,"yyyy-mm")</f>
        <v/>
      </c>
      <c r="C3571" s="3">
        <f>HOUR(A3571)</f>
        <v/>
      </c>
      <c r="D3571" s="4" t="n">
        <v>25.71402307199167</v>
      </c>
      <c r="E3571" s="4" t="n"/>
      <c r="F3571" s="4" t="n">
        <v>29.84086431056389</v>
      </c>
      <c r="G3571" s="4" t="n">
        <v>20.7</v>
      </c>
      <c r="H3571" s="5" t="n">
        <v>44.75940011567221</v>
      </c>
      <c r="I3571" s="5" t="n"/>
      <c r="J3571" s="5" t="n">
        <v>43.01094287918889</v>
      </c>
      <c r="K3571" s="5" t="n">
        <v>72</v>
      </c>
    </row>
    <row r="3572">
      <c r="A3572" s="2" t="n">
        <v>46246.20833333334</v>
      </c>
      <c r="B3572">
        <f>TEXT(A3572,"yyyy-mm")</f>
        <v/>
      </c>
      <c r="C3572" s="3">
        <f>HOUR(A3572)</f>
        <v/>
      </c>
      <c r="D3572" s="4" t="n">
        <v>25.92945228898889</v>
      </c>
      <c r="E3572" s="4" t="n"/>
      <c r="F3572" s="4" t="n">
        <v>29.85553222309722</v>
      </c>
      <c r="G3572" s="4" t="n">
        <v>19.9</v>
      </c>
      <c r="H3572" s="5" t="n">
        <v>45.43380397735833</v>
      </c>
      <c r="I3572" s="5" t="n"/>
      <c r="J3572" s="5" t="n">
        <v>43.45689103669167</v>
      </c>
      <c r="K3572" s="5" t="n">
        <v>72</v>
      </c>
    </row>
    <row r="3573">
      <c r="A3573" s="2" t="n">
        <v>46246.25</v>
      </c>
      <c r="B3573">
        <f>TEXT(A3573,"yyyy-mm")</f>
        <v/>
      </c>
      <c r="C3573" s="3">
        <f>HOUR(A3573)</f>
        <v/>
      </c>
      <c r="D3573" s="4" t="n">
        <v>26.06754039790278</v>
      </c>
      <c r="E3573" s="4" t="n"/>
      <c r="F3573" s="4" t="n">
        <v>29.88436540141944</v>
      </c>
      <c r="G3573" s="4" t="n">
        <v>19.4</v>
      </c>
      <c r="H3573" s="5" t="n">
        <v>45.03520489374722</v>
      </c>
      <c r="I3573" s="5" t="n"/>
      <c r="J3573" s="5" t="n">
        <v>43.75547909871111</v>
      </c>
      <c r="K3573" s="5" t="n">
        <v>74</v>
      </c>
    </row>
    <row r="3574">
      <c r="A3574" s="2" t="n">
        <v>46246.29166666666</v>
      </c>
      <c r="B3574">
        <f>TEXT(A3574,"yyyy-mm")</f>
        <v/>
      </c>
      <c r="C3574" s="3">
        <f>HOUR(A3574)</f>
        <v/>
      </c>
      <c r="D3574" s="4" t="n">
        <v>26.41109766736945</v>
      </c>
      <c r="E3574" s="4" t="n"/>
      <c r="F3574" s="4" t="n">
        <v>29.91408782614444</v>
      </c>
      <c r="G3574" s="4" t="n">
        <v>19.8</v>
      </c>
      <c r="H3574" s="5" t="n">
        <v>44.49235717755</v>
      </c>
      <c r="I3574" s="5" t="n"/>
      <c r="J3574" s="5" t="n">
        <v>43.96633742459167</v>
      </c>
      <c r="K3574" s="5" t="n">
        <v>72</v>
      </c>
    </row>
    <row r="3575">
      <c r="A3575" s="2" t="n">
        <v>46246.33333333334</v>
      </c>
      <c r="B3575">
        <f>TEXT(A3575,"yyyy-mm")</f>
        <v/>
      </c>
      <c r="C3575" s="3">
        <f>HOUR(A3575)</f>
        <v/>
      </c>
      <c r="D3575" s="4" t="n">
        <v>26.73212830212222</v>
      </c>
      <c r="E3575" s="4" t="n"/>
      <c r="F3575" s="4" t="n">
        <v>29.93822557131389</v>
      </c>
      <c r="G3575" s="4" t="n">
        <v>20.6</v>
      </c>
      <c r="H3575" s="5" t="n">
        <v>44.58487750123334</v>
      </c>
      <c r="I3575" s="5" t="n"/>
      <c r="J3575" s="5" t="n">
        <v>44.134965497275</v>
      </c>
      <c r="K3575" s="5" t="n">
        <v>68</v>
      </c>
    </row>
    <row r="3576">
      <c r="A3576" s="2" t="n">
        <v>46246.375</v>
      </c>
      <c r="B3576">
        <f>TEXT(A3576,"yyyy-mm")</f>
        <v/>
      </c>
      <c r="C3576" s="3">
        <f>HOUR(A3576)</f>
        <v/>
      </c>
      <c r="D3576" s="4" t="n">
        <v>27.07203682963333</v>
      </c>
      <c r="E3576" s="4" t="n"/>
      <c r="F3576" s="4" t="n">
        <v>29.97150766821112</v>
      </c>
      <c r="G3576" s="4" t="n">
        <v>21.4</v>
      </c>
      <c r="H3576" s="5" t="n">
        <v>44.89461528278056</v>
      </c>
      <c r="I3576" s="5" t="n"/>
      <c r="J3576" s="5" t="n">
        <v>44.27376488100556</v>
      </c>
      <c r="K3576" s="5" t="n">
        <v>63</v>
      </c>
    </row>
    <row r="3577">
      <c r="A3577" s="2" t="n">
        <v>46246.41666666666</v>
      </c>
      <c r="B3577">
        <f>TEXT(A3577,"yyyy-mm")</f>
        <v/>
      </c>
      <c r="C3577" s="3">
        <f>HOUR(A3577)</f>
        <v/>
      </c>
      <c r="D3577" s="4" t="n">
        <v>27.35395892955556</v>
      </c>
      <c r="E3577" s="4" t="n"/>
      <c r="F3577" s="4" t="n">
        <v>30.03287811258333</v>
      </c>
      <c r="G3577" s="4" t="n">
        <v>22.4</v>
      </c>
      <c r="H3577" s="5" t="n">
        <v>45.07543955787778</v>
      </c>
      <c r="I3577" s="5" t="n"/>
      <c r="J3577" s="5" t="n">
        <v>44.34488244452222</v>
      </c>
      <c r="K3577" s="5" t="n">
        <v>58</v>
      </c>
    </row>
    <row r="3578">
      <c r="A3578" s="2" t="n">
        <v>46246.45833333334</v>
      </c>
      <c r="B3578">
        <f>TEXT(A3578,"yyyy-mm")</f>
        <v/>
      </c>
      <c r="C3578" s="3">
        <f>HOUR(A3578)</f>
        <v/>
      </c>
      <c r="D3578" s="4" t="n">
        <v>26.73096258098333</v>
      </c>
      <c r="E3578" s="4" t="n"/>
      <c r="F3578" s="4" t="n">
        <v>30.07646173865277</v>
      </c>
      <c r="G3578" s="4" t="n">
        <v>23.6</v>
      </c>
      <c r="H3578" s="5" t="n">
        <v>40.66290831727778</v>
      </c>
      <c r="I3578" s="5" t="n"/>
      <c r="J3578" s="5" t="n">
        <v>44.299174916425</v>
      </c>
      <c r="K3578" s="5" t="n">
        <v>50</v>
      </c>
    </row>
    <row r="3579">
      <c r="A3579" s="2" t="n">
        <v>46246.5</v>
      </c>
      <c r="B3579">
        <f>TEXT(A3579,"yyyy-mm")</f>
        <v/>
      </c>
      <c r="C3579" s="3">
        <f>HOUR(A3579)</f>
        <v/>
      </c>
      <c r="D3579" s="4" t="n">
        <v>25.75552852545277</v>
      </c>
      <c r="E3579" s="4" t="n"/>
      <c r="F3579" s="4" t="n">
        <v>29.98429860138333</v>
      </c>
      <c r="G3579" s="4" t="n">
        <v>24.3</v>
      </c>
      <c r="H3579" s="5" t="n">
        <v>34.26103451920556</v>
      </c>
      <c r="I3579" s="5" t="n"/>
      <c r="J3579" s="5" t="n">
        <v>43.56692460045278</v>
      </c>
      <c r="K3579" s="5" t="n">
        <v>43</v>
      </c>
    </row>
    <row r="3580">
      <c r="A3580" s="2" t="n">
        <v>46246.54166666666</v>
      </c>
      <c r="B3580">
        <f>TEXT(A3580,"yyyy-mm")</f>
        <v/>
      </c>
      <c r="C3580" s="3">
        <f>HOUR(A3580)</f>
        <v/>
      </c>
      <c r="D3580" s="4" t="n">
        <v>26.66819499748334</v>
      </c>
      <c r="E3580" s="4" t="n"/>
      <c r="F3580" s="4" t="n">
        <v>30.03833798612222</v>
      </c>
      <c r="G3580" s="4" t="n">
        <v>24.9</v>
      </c>
      <c r="H3580" s="5" t="n">
        <v>32.599888422925</v>
      </c>
      <c r="I3580" s="5" t="n"/>
      <c r="J3580" s="5" t="n">
        <v>42.99326632922777</v>
      </c>
      <c r="K3580" s="5" t="n">
        <v>36</v>
      </c>
    </row>
    <row r="3581">
      <c r="A3581" s="2" t="n">
        <v>46246.58333333334</v>
      </c>
      <c r="B3581">
        <f>TEXT(A3581,"yyyy-mm")</f>
        <v/>
      </c>
      <c r="C3581" s="3">
        <f>HOUR(A3581)</f>
        <v/>
      </c>
      <c r="D3581" s="4" t="n">
        <v>26.81299119383056</v>
      </c>
      <c r="E3581" s="4" t="n"/>
      <c r="F3581" s="4" t="n">
        <v>29.87828612476389</v>
      </c>
      <c r="G3581" s="4" t="n">
        <v>25</v>
      </c>
      <c r="H3581" s="5" t="n">
        <v>31.326697517025</v>
      </c>
      <c r="I3581" s="5" t="n"/>
      <c r="J3581" s="5" t="n">
        <v>41.89221103409444</v>
      </c>
      <c r="K3581" s="5" t="n">
        <v>34</v>
      </c>
    </row>
    <row r="3582">
      <c r="A3582" s="2" t="n">
        <v>46246.625</v>
      </c>
      <c r="B3582">
        <f>TEXT(A3582,"yyyy-mm")</f>
        <v/>
      </c>
      <c r="C3582" s="3">
        <f>HOUR(A3582)</f>
        <v/>
      </c>
      <c r="D3582" s="4" t="n">
        <v>26.79819757788889</v>
      </c>
      <c r="E3582" s="4" t="n"/>
      <c r="F3582" s="4" t="n">
        <v>29.04582152663889</v>
      </c>
      <c r="G3582" s="4" t="n">
        <v>25.3</v>
      </c>
      <c r="H3582" s="5" t="n">
        <v>30.44075499133056</v>
      </c>
      <c r="I3582" s="5" t="n"/>
      <c r="J3582" s="5" t="n">
        <v>38.22447736933055</v>
      </c>
      <c r="K3582" s="5" t="n">
        <v>31</v>
      </c>
    </row>
    <row r="3583">
      <c r="A3583" s="2" t="n">
        <v>46246.66666666666</v>
      </c>
      <c r="B3583">
        <f>TEXT(A3583,"yyyy-mm")</f>
        <v/>
      </c>
      <c r="C3583" s="3">
        <f>HOUR(A3583)</f>
        <v/>
      </c>
      <c r="D3583" s="4" t="n">
        <v>26.58678716587778</v>
      </c>
      <c r="E3583" s="4" t="n"/>
      <c r="F3583" s="4" t="n">
        <v>28.80531679791945</v>
      </c>
      <c r="G3583" s="4" t="n">
        <v>24.7</v>
      </c>
      <c r="H3583" s="5" t="n">
        <v>31.02431267397778</v>
      </c>
      <c r="I3583" s="5" t="n"/>
      <c r="J3583" s="5" t="n">
        <v>38.43558590276389</v>
      </c>
      <c r="K3583" s="5" t="n">
        <v>32</v>
      </c>
    </row>
    <row r="3584">
      <c r="A3584" s="2" t="n">
        <v>46246.70833333334</v>
      </c>
      <c r="B3584">
        <f>TEXT(A3584,"yyyy-mm")</f>
        <v/>
      </c>
      <c r="C3584" s="3">
        <f>HOUR(A3584)</f>
        <v/>
      </c>
      <c r="D3584" s="4" t="n">
        <v>26.39568852863333</v>
      </c>
      <c r="E3584" s="4" t="n"/>
      <c r="F3584" s="4" t="n">
        <v>29.17865325246389</v>
      </c>
      <c r="G3584" s="4" t="n">
        <v>24</v>
      </c>
      <c r="H3584" s="5" t="n">
        <v>31.23851641637222</v>
      </c>
      <c r="I3584" s="5" t="n"/>
      <c r="J3584" s="5" t="n">
        <v>39.90995366678889</v>
      </c>
      <c r="K3584" s="5" t="n">
        <v>33</v>
      </c>
    </row>
    <row r="3585">
      <c r="A3585" s="2" t="n">
        <v>46246.75</v>
      </c>
      <c r="B3585">
        <f>TEXT(A3585,"yyyy-mm")</f>
        <v/>
      </c>
      <c r="C3585" s="3">
        <f>HOUR(A3585)</f>
        <v/>
      </c>
      <c r="D3585" s="4" t="n">
        <v>26.02583415380555</v>
      </c>
      <c r="E3585" s="4" t="n"/>
      <c r="F3585" s="4" t="n">
        <v>29.54317372876111</v>
      </c>
      <c r="G3585" s="4" t="n">
        <v>23</v>
      </c>
      <c r="H3585" s="5" t="n">
        <v>30.9343435258</v>
      </c>
      <c r="I3585" s="5" t="n"/>
      <c r="J3585" s="5" t="n">
        <v>40.80390381766389</v>
      </c>
      <c r="K3585" s="5" t="n">
        <v>37</v>
      </c>
    </row>
    <row r="3586">
      <c r="A3586" s="2" t="n">
        <v>46246.79166666666</v>
      </c>
      <c r="B3586">
        <f>TEXT(A3586,"yyyy-mm")</f>
        <v/>
      </c>
      <c r="C3586" s="3">
        <f>HOUR(A3586)</f>
        <v/>
      </c>
      <c r="D3586" s="4" t="n">
        <v>25.42528437925</v>
      </c>
      <c r="E3586" s="4" t="n"/>
      <c r="F3586" s="4" t="n">
        <v>29.68687328719445</v>
      </c>
      <c r="G3586" s="4" t="n">
        <v>22.2</v>
      </c>
      <c r="H3586" s="5" t="n">
        <v>32.44046169741667</v>
      </c>
      <c r="I3586" s="5" t="n"/>
      <c r="J3586" s="5" t="n">
        <v>41.17292502045</v>
      </c>
      <c r="K3586" s="5" t="n">
        <v>39</v>
      </c>
    </row>
    <row r="3587">
      <c r="A3587" s="2" t="n">
        <v>46246.83333333334</v>
      </c>
      <c r="B3587">
        <f>TEXT(A3587,"yyyy-mm")</f>
        <v/>
      </c>
      <c r="C3587" s="3">
        <f>HOUR(A3587)</f>
        <v/>
      </c>
      <c r="D3587" s="4" t="n">
        <v>24.67390427930833</v>
      </c>
      <c r="E3587" s="4" t="n"/>
      <c r="F3587" s="4" t="n">
        <v>29.73947999952222</v>
      </c>
      <c r="G3587" s="4" t="n">
        <v>21.1</v>
      </c>
      <c r="H3587" s="5" t="n">
        <v>34.24779070310833</v>
      </c>
      <c r="I3587" s="5" t="n"/>
      <c r="J3587" s="5" t="n">
        <v>41.33131911188055</v>
      </c>
      <c r="K3587" s="5" t="n">
        <v>43</v>
      </c>
    </row>
    <row r="3588">
      <c r="A3588" s="2" t="n">
        <v>46246.875</v>
      </c>
      <c r="B3588">
        <f>TEXT(A3588,"yyyy-mm")</f>
        <v/>
      </c>
      <c r="C3588" s="3">
        <f>HOUR(A3588)</f>
        <v/>
      </c>
      <c r="D3588" s="4" t="n">
        <v>24.12523445698889</v>
      </c>
      <c r="E3588" s="4" t="n"/>
      <c r="F3588" s="4" t="n">
        <v>29.77369590826111</v>
      </c>
      <c r="G3588" s="4" t="n">
        <v>19.7</v>
      </c>
      <c r="H3588" s="5" t="n">
        <v>36.11842877210556</v>
      </c>
      <c r="I3588" s="5" t="n"/>
      <c r="J3588" s="5" t="n">
        <v>41.38720626508889</v>
      </c>
      <c r="K3588" s="5" t="n">
        <v>46</v>
      </c>
    </row>
    <row r="3589">
      <c r="A3589" s="2" t="n">
        <v>46246.91666666666</v>
      </c>
      <c r="B3589">
        <f>TEXT(A3589,"yyyy-mm")</f>
        <v/>
      </c>
      <c r="C3589" s="3">
        <f>HOUR(A3589)</f>
        <v/>
      </c>
      <c r="D3589" s="4" t="n">
        <v>24.15740183233333</v>
      </c>
      <c r="E3589" s="4" t="n"/>
      <c r="F3589" s="4" t="n">
        <v>29.79964457212777</v>
      </c>
      <c r="G3589" s="4" t="n">
        <v>18.6</v>
      </c>
      <c r="H3589" s="5" t="n">
        <v>37.42401603718333</v>
      </c>
      <c r="I3589" s="5" t="n"/>
      <c r="J3589" s="5" t="n">
        <v>41.51310162652778</v>
      </c>
      <c r="K3589" s="5" t="n">
        <v>49</v>
      </c>
    </row>
    <row r="3590">
      <c r="A3590" s="2" t="n">
        <v>46246.95833333334</v>
      </c>
      <c r="B3590">
        <f>TEXT(A3590,"yyyy-mm")</f>
        <v/>
      </c>
      <c r="C3590" s="3">
        <f>HOUR(A3590)</f>
        <v/>
      </c>
      <c r="D3590" s="4" t="n">
        <v>23.94168554431944</v>
      </c>
      <c r="E3590" s="4" t="n"/>
      <c r="F3590" s="4" t="n">
        <v>29.82775139700556</v>
      </c>
      <c r="G3590" s="4" t="n">
        <v>17.6</v>
      </c>
      <c r="H3590" s="5" t="n">
        <v>37.40717150651667</v>
      </c>
      <c r="I3590" s="5" t="n"/>
      <c r="J3590" s="5" t="n">
        <v>41.56883784360834</v>
      </c>
      <c r="K3590" s="5" t="n">
        <v>52</v>
      </c>
    </row>
    <row r="3591">
      <c r="A3591" s="2" t="n">
        <v>46247</v>
      </c>
      <c r="B3591">
        <f>TEXT(A3591,"yyyy-mm")</f>
        <v/>
      </c>
      <c r="C3591" s="3">
        <f>HOUR(A3591)</f>
        <v/>
      </c>
      <c r="D3591" s="4" t="n">
        <v>23.40760623858889</v>
      </c>
      <c r="E3591" s="4" t="n"/>
      <c r="F3591" s="4" t="n">
        <v>29.82604800497778</v>
      </c>
      <c r="G3591" s="4" t="n">
        <v>16.6</v>
      </c>
      <c r="H3591" s="5" t="n">
        <v>38.33320830254723</v>
      </c>
      <c r="I3591" s="5" t="n"/>
      <c r="J3591" s="5" t="n">
        <v>41.57218597745</v>
      </c>
      <c r="K3591" s="5" t="n">
        <v>55</v>
      </c>
    </row>
    <row r="3592">
      <c r="A3592" s="2" t="n">
        <v>46247.04166666666</v>
      </c>
      <c r="B3592">
        <f>TEXT(A3592,"yyyy-mm")</f>
        <v/>
      </c>
      <c r="C3592" s="3">
        <f>HOUR(A3592)</f>
        <v/>
      </c>
      <c r="D3592" s="4" t="n">
        <v>22.32530912445278</v>
      </c>
      <c r="E3592" s="4" t="n"/>
      <c r="F3592" s="4" t="n">
        <v>29.76863583929444</v>
      </c>
      <c r="G3592" s="4" t="n">
        <v>15.8</v>
      </c>
      <c r="H3592" s="5" t="n">
        <v>40.31420217377778</v>
      </c>
      <c r="I3592" s="5" t="n"/>
      <c r="J3592" s="5" t="n">
        <v>41.55323708865</v>
      </c>
      <c r="K3592" s="5" t="n">
        <v>59</v>
      </c>
    </row>
    <row r="3593">
      <c r="A3593" s="2" t="n">
        <v>46247.08333333334</v>
      </c>
      <c r="B3593">
        <f>TEXT(A3593,"yyyy-mm")</f>
        <v/>
      </c>
      <c r="C3593" s="3">
        <f>HOUR(A3593)</f>
        <v/>
      </c>
      <c r="D3593" s="4" t="n">
        <v>22.10992330863333</v>
      </c>
      <c r="E3593" s="4" t="n"/>
      <c r="F3593" s="4" t="n">
        <v>29.74057719234166</v>
      </c>
      <c r="G3593" s="4" t="n">
        <v>15</v>
      </c>
      <c r="H3593" s="5" t="n">
        <v>39.97263126170556</v>
      </c>
      <c r="I3593" s="5" t="n"/>
      <c r="J3593" s="5" t="n">
        <v>41.42164339259444</v>
      </c>
      <c r="K3593" s="5" t="n">
        <v>63</v>
      </c>
    </row>
    <row r="3594">
      <c r="A3594" s="2" t="n">
        <v>46247.125</v>
      </c>
      <c r="B3594">
        <f>TEXT(A3594,"yyyy-mm")</f>
        <v/>
      </c>
      <c r="C3594" s="3">
        <f>HOUR(A3594)</f>
        <v/>
      </c>
      <c r="D3594" s="4" t="n">
        <v>21.70911728023055</v>
      </c>
      <c r="E3594" s="4" t="n"/>
      <c r="F3594" s="4" t="n">
        <v>29.68262522375555</v>
      </c>
      <c r="G3594" s="4" t="n">
        <v>13.4</v>
      </c>
      <c r="H3594" s="5" t="n">
        <v>40.13080319450555</v>
      </c>
      <c r="I3594" s="5" t="n"/>
      <c r="J3594" s="5" t="n">
        <v>41.17022270833611</v>
      </c>
      <c r="K3594" s="5" t="n">
        <v>67</v>
      </c>
    </row>
    <row r="3595">
      <c r="A3595" s="2" t="n">
        <v>46247.16666666666</v>
      </c>
      <c r="B3595">
        <f>TEXT(A3595,"yyyy-mm")</f>
        <v/>
      </c>
      <c r="C3595" s="3">
        <f>HOUR(A3595)</f>
        <v/>
      </c>
      <c r="D3595" s="4" t="n">
        <v>21.36078573061111</v>
      </c>
      <c r="E3595" s="4" t="n"/>
      <c r="F3595" s="4" t="n">
        <v>29.62806296411667</v>
      </c>
      <c r="G3595" s="4" t="n">
        <v>12.9</v>
      </c>
      <c r="H3595" s="5" t="n">
        <v>40.60288389877222</v>
      </c>
      <c r="I3595" s="5" t="n"/>
      <c r="J3595" s="5" t="n">
        <v>40.83761123272222</v>
      </c>
      <c r="K3595" s="5" t="n">
        <v>70</v>
      </c>
    </row>
    <row r="3596">
      <c r="A3596" s="2" t="n">
        <v>46247.20833333334</v>
      </c>
      <c r="B3596">
        <f>TEXT(A3596,"yyyy-mm")</f>
        <v/>
      </c>
      <c r="C3596" s="3">
        <f>HOUR(A3596)</f>
        <v/>
      </c>
      <c r="D3596" s="4" t="n">
        <v>21.054191101025</v>
      </c>
      <c r="E3596" s="4" t="n"/>
      <c r="F3596" s="4" t="n">
        <v>29.61434454239722</v>
      </c>
      <c r="G3596" s="4" t="n">
        <v>12.4</v>
      </c>
      <c r="H3596" s="5" t="n">
        <v>41.24068285000556</v>
      </c>
      <c r="I3596" s="5" t="n"/>
      <c r="J3596" s="5" t="n">
        <v>40.55221895269722</v>
      </c>
      <c r="K3596" s="5" t="n">
        <v>72</v>
      </c>
    </row>
    <row r="3597">
      <c r="A3597" s="2" t="n">
        <v>46247.25</v>
      </c>
      <c r="B3597">
        <f>TEXT(A3597,"yyyy-mm")</f>
        <v/>
      </c>
      <c r="C3597" s="3">
        <f>HOUR(A3597)</f>
        <v/>
      </c>
      <c r="D3597" s="4" t="n">
        <v>22.23477832570833</v>
      </c>
      <c r="E3597" s="4" t="n"/>
      <c r="F3597" s="4" t="n">
        <v>29.557162182425</v>
      </c>
      <c r="G3597" s="4" t="n">
        <v>12.2</v>
      </c>
      <c r="H3597" s="5" t="n">
        <v>38.85725785438056</v>
      </c>
      <c r="I3597" s="5" t="n"/>
      <c r="J3597" s="5" t="n">
        <v>40.53822438874445</v>
      </c>
      <c r="K3597" s="5" t="n">
        <v>72</v>
      </c>
    </row>
    <row r="3598">
      <c r="A3598" s="2" t="n">
        <v>46247.29166666666</v>
      </c>
      <c r="B3598">
        <f>TEXT(A3598,"yyyy-mm")</f>
        <v/>
      </c>
      <c r="C3598" s="3">
        <f>HOUR(A3598)</f>
        <v/>
      </c>
      <c r="D3598" s="4" t="n">
        <v>23.56593844348889</v>
      </c>
      <c r="E3598" s="4" t="n"/>
      <c r="F3598" s="4" t="n">
        <v>29.55497989275</v>
      </c>
      <c r="G3598" s="4" t="n">
        <v>13.2</v>
      </c>
      <c r="H3598" s="5" t="n">
        <v>36.08524812001389</v>
      </c>
      <c r="I3598" s="5" t="n"/>
      <c r="J3598" s="5" t="n">
        <v>40.77989809555556</v>
      </c>
      <c r="K3598" s="5" t="n">
        <v>67</v>
      </c>
    </row>
    <row r="3599">
      <c r="A3599" s="2" t="n">
        <v>46247.33333333334</v>
      </c>
      <c r="B3599">
        <f>TEXT(A3599,"yyyy-mm")</f>
        <v/>
      </c>
      <c r="C3599" s="3">
        <f>HOUR(A3599)</f>
        <v/>
      </c>
      <c r="D3599" s="4" t="n">
        <v>24.82108665635</v>
      </c>
      <c r="E3599" s="4" t="n"/>
      <c r="F3599" s="4" t="n">
        <v>29.61901051564167</v>
      </c>
      <c r="G3599" s="4" t="n">
        <v>14.7</v>
      </c>
      <c r="H3599" s="5" t="n">
        <v>33.91127607790556</v>
      </c>
      <c r="I3599" s="5" t="n"/>
      <c r="J3599" s="5" t="n">
        <v>40.91734477334445</v>
      </c>
      <c r="K3599" s="5" t="n">
        <v>61</v>
      </c>
    </row>
    <row r="3600">
      <c r="A3600" s="2" t="n">
        <v>46247.375</v>
      </c>
      <c r="B3600">
        <f>TEXT(A3600,"yyyy-mm")</f>
        <v/>
      </c>
      <c r="C3600" s="3">
        <f>HOUR(A3600)</f>
        <v/>
      </c>
      <c r="D3600" s="4" t="n">
        <v>25.87208776921944</v>
      </c>
      <c r="E3600" s="4" t="n"/>
      <c r="F3600" s="4" t="n">
        <v>29.6835670177</v>
      </c>
      <c r="G3600" s="4" t="n">
        <v>16.8</v>
      </c>
      <c r="H3600" s="5" t="n">
        <v>31.817691809375</v>
      </c>
      <c r="I3600" s="5" t="n"/>
      <c r="J3600" s="5" t="n">
        <v>41.01137043620277</v>
      </c>
      <c r="K3600" s="5" t="n">
        <v>54</v>
      </c>
    </row>
    <row r="3601">
      <c r="A3601" s="2" t="n">
        <v>46247.41666666666</v>
      </c>
      <c r="B3601">
        <f>TEXT(A3601,"yyyy-mm")</f>
        <v/>
      </c>
      <c r="C3601" s="3">
        <f>HOUR(A3601)</f>
        <v/>
      </c>
      <c r="D3601" s="4" t="n">
        <v>26.21398603806666</v>
      </c>
      <c r="E3601" s="4" t="n"/>
      <c r="F3601" s="4" t="n">
        <v>29.74766784081389</v>
      </c>
      <c r="G3601" s="4" t="n">
        <v>18.5</v>
      </c>
      <c r="H3601" s="5" t="n">
        <v>29.80465345235833</v>
      </c>
      <c r="I3601" s="5" t="n"/>
      <c r="J3601" s="5" t="n">
        <v>41.03467536995556</v>
      </c>
      <c r="K3601" s="5" t="n">
        <v>45</v>
      </c>
    </row>
    <row r="3602">
      <c r="A3602" s="2" t="n">
        <v>46247.45833333334</v>
      </c>
      <c r="B3602">
        <f>TEXT(A3602,"yyyy-mm")</f>
        <v/>
      </c>
      <c r="C3602" s="3">
        <f>HOUR(A3602)</f>
        <v/>
      </c>
      <c r="D3602" s="4" t="n">
        <v>26.29704907615833</v>
      </c>
      <c r="E3602" s="4" t="n"/>
      <c r="F3602" s="4" t="n">
        <v>29.74419158503611</v>
      </c>
      <c r="G3602" s="4" t="n">
        <v>19.8</v>
      </c>
      <c r="H3602" s="5" t="n">
        <v>29.61825151037222</v>
      </c>
      <c r="I3602" s="5" t="n"/>
      <c r="J3602" s="5" t="n">
        <v>41.06955535769167</v>
      </c>
      <c r="K3602" s="5" t="n">
        <v>39</v>
      </c>
    </row>
    <row r="3603">
      <c r="A3603" s="2" t="n">
        <v>46247.5</v>
      </c>
      <c r="B3603">
        <f>TEXT(A3603,"yyyy-mm")</f>
        <v/>
      </c>
      <c r="C3603" s="3">
        <f>HOUR(A3603)</f>
        <v/>
      </c>
      <c r="D3603" s="4" t="n">
        <v>26.06527968749167</v>
      </c>
      <c r="E3603" s="4" t="n"/>
      <c r="F3603" s="4" t="n">
        <v>29.73861104728611</v>
      </c>
      <c r="G3603" s="4" t="n">
        <v>21.2</v>
      </c>
      <c r="H3603" s="5" t="n">
        <v>29.56217134696111</v>
      </c>
      <c r="I3603" s="5" t="n"/>
      <c r="J3603" s="5" t="n">
        <v>41.00811196630556</v>
      </c>
      <c r="K3603" s="5" t="n">
        <v>35</v>
      </c>
    </row>
    <row r="3604">
      <c r="A3604" s="2" t="n">
        <v>46247.54166666666</v>
      </c>
      <c r="B3604">
        <f>TEXT(A3604,"yyyy-mm")</f>
        <v/>
      </c>
      <c r="C3604" s="3">
        <f>HOUR(A3604)</f>
        <v/>
      </c>
      <c r="D3604" s="4" t="n">
        <v>26.01822325735833</v>
      </c>
      <c r="E3604" s="4" t="n"/>
      <c r="F3604" s="4" t="n">
        <v>29.73661111471944</v>
      </c>
      <c r="G3604" s="4" t="n">
        <v>21.8</v>
      </c>
      <c r="H3604" s="5" t="n">
        <v>29.60956082371389</v>
      </c>
      <c r="I3604" s="5" t="n"/>
      <c r="J3604" s="5" t="n">
        <v>40.79969641166667</v>
      </c>
      <c r="K3604" s="5" t="n">
        <v>34</v>
      </c>
    </row>
    <row r="3605">
      <c r="A3605" s="2" t="n">
        <v>46247.58333333334</v>
      </c>
      <c r="B3605">
        <f>TEXT(A3605,"yyyy-mm")</f>
        <v/>
      </c>
      <c r="C3605" s="3">
        <f>HOUR(A3605)</f>
        <v/>
      </c>
      <c r="D3605" s="4" t="n">
        <v>25.87216615897778</v>
      </c>
      <c r="E3605" s="4" t="n"/>
      <c r="F3605" s="4" t="n">
        <v>29.725637336575</v>
      </c>
      <c r="G3605" s="4" t="n">
        <v>21.2</v>
      </c>
      <c r="H3605" s="5" t="n">
        <v>29.36968137738333</v>
      </c>
      <c r="I3605" s="5" t="n"/>
      <c r="J3605" s="5" t="n">
        <v>40.61997310915277</v>
      </c>
      <c r="K3605" s="5" t="n">
        <v>35</v>
      </c>
    </row>
    <row r="3606">
      <c r="A3606" s="2" t="n">
        <v>46247.625</v>
      </c>
      <c r="B3606">
        <f>TEXT(A3606,"yyyy-mm")</f>
        <v/>
      </c>
      <c r="C3606" s="3">
        <f>HOUR(A3606)</f>
        <v/>
      </c>
      <c r="D3606" s="4" t="n">
        <v>25.78712779241667</v>
      </c>
      <c r="E3606" s="4" t="n"/>
      <c r="F3606" s="4" t="n">
        <v>29.74234284131389</v>
      </c>
      <c r="G3606" s="4" t="n">
        <v>21.9</v>
      </c>
      <c r="H3606" s="5" t="n">
        <v>29.78679510363612</v>
      </c>
      <c r="I3606" s="5" t="n"/>
      <c r="J3606" s="5" t="n">
        <v>40.45030108981111</v>
      </c>
      <c r="K3606" s="5" t="n">
        <v>32</v>
      </c>
    </row>
    <row r="3607">
      <c r="A3607" s="2" t="n">
        <v>46247.66666666666</v>
      </c>
      <c r="B3607">
        <f>TEXT(A3607,"yyyy-mm")</f>
        <v/>
      </c>
      <c r="C3607" s="3">
        <f>HOUR(A3607)</f>
        <v/>
      </c>
      <c r="D3607" s="4" t="n">
        <v>25.67045753441112</v>
      </c>
      <c r="E3607" s="4" t="n"/>
      <c r="F3607" s="4" t="n">
        <v>29.75179964173333</v>
      </c>
      <c r="G3607" s="4" t="n">
        <v>22.1</v>
      </c>
      <c r="H3607" s="5" t="n">
        <v>29.62307414311111</v>
      </c>
      <c r="I3607" s="5" t="n"/>
      <c r="J3607" s="5" t="n">
        <v>40.34900163438333</v>
      </c>
      <c r="K3607" s="5" t="n">
        <v>32</v>
      </c>
    </row>
    <row r="3608">
      <c r="A3608" s="2" t="n">
        <v>46247.70833333334</v>
      </c>
      <c r="B3608">
        <f>TEXT(A3608,"yyyy-mm")</f>
        <v/>
      </c>
      <c r="C3608" s="3">
        <f>HOUR(A3608)</f>
        <v/>
      </c>
      <c r="D3608" s="4" t="n">
        <v>25.55628838118889</v>
      </c>
      <c r="E3608" s="4" t="n"/>
      <c r="F3608" s="4" t="n">
        <v>29.80528434342777</v>
      </c>
      <c r="G3608" s="4" t="n">
        <v>21.9</v>
      </c>
      <c r="H3608" s="5" t="n">
        <v>29.17534811835556</v>
      </c>
      <c r="I3608" s="5" t="n"/>
      <c r="J3608" s="5" t="n">
        <v>40.18415980441944</v>
      </c>
      <c r="K3608" s="5" t="n">
        <v>32</v>
      </c>
    </row>
    <row r="3609">
      <c r="A3609" s="2" t="n">
        <v>46247.75</v>
      </c>
      <c r="B3609">
        <f>TEXT(A3609,"yyyy-mm")</f>
        <v/>
      </c>
      <c r="C3609" s="3">
        <f>HOUR(A3609)</f>
        <v/>
      </c>
      <c r="D3609" s="4" t="n">
        <v>25.358994104</v>
      </c>
      <c r="E3609" s="4" t="n"/>
      <c r="F3609" s="4" t="n">
        <v>29.78571106565833</v>
      </c>
      <c r="G3609" s="4" t="n">
        <v>21.2</v>
      </c>
      <c r="H3609" s="5" t="n">
        <v>30.08125229440556</v>
      </c>
      <c r="I3609" s="5" t="n"/>
      <c r="J3609" s="5" t="n">
        <v>40.14170668200556</v>
      </c>
      <c r="K3609" s="5" t="n">
        <v>35</v>
      </c>
    </row>
    <row r="3610">
      <c r="A3610" s="2" t="n">
        <v>46247.79166666666</v>
      </c>
      <c r="B3610">
        <f>TEXT(A3610,"yyyy-mm")</f>
        <v/>
      </c>
      <c r="C3610" s="3">
        <f>HOUR(A3610)</f>
        <v/>
      </c>
      <c r="D3610" s="4" t="n">
        <v>24.90940337765834</v>
      </c>
      <c r="E3610" s="4" t="n"/>
      <c r="F3610" s="4" t="n">
        <v>29.750441336475</v>
      </c>
      <c r="G3610" s="4" t="n">
        <v>20.6</v>
      </c>
      <c r="H3610" s="5" t="n">
        <v>30.74094818450834</v>
      </c>
      <c r="I3610" s="5" t="n"/>
      <c r="J3610" s="5" t="n">
        <v>40.07541125312222</v>
      </c>
      <c r="K3610" s="5" t="n">
        <v>38</v>
      </c>
    </row>
    <row r="3611">
      <c r="A3611" s="2" t="n">
        <v>46247.83333333334</v>
      </c>
      <c r="B3611">
        <f>TEXT(A3611,"yyyy-mm")</f>
        <v/>
      </c>
      <c r="C3611" s="3">
        <f>HOUR(A3611)</f>
        <v/>
      </c>
      <c r="D3611" s="4" t="n">
        <v>24.46408604428889</v>
      </c>
      <c r="E3611" s="4" t="n"/>
      <c r="F3611" s="4" t="n">
        <v>29.69451732197222</v>
      </c>
      <c r="G3611" s="4" t="n">
        <v>19.5</v>
      </c>
      <c r="H3611" s="5" t="n">
        <v>31.65181657442222</v>
      </c>
      <c r="I3611" s="5" t="n"/>
      <c r="J3611" s="5" t="n">
        <v>39.97905587686666</v>
      </c>
      <c r="K3611" s="5" t="n">
        <v>43</v>
      </c>
    </row>
    <row r="3612">
      <c r="A3612" s="2" t="n">
        <v>46247.875</v>
      </c>
      <c r="B3612">
        <f>TEXT(A3612,"yyyy-mm")</f>
        <v/>
      </c>
      <c r="C3612" s="3">
        <f>HOUR(A3612)</f>
        <v/>
      </c>
      <c r="D3612" s="4" t="n">
        <v>23.88908667035556</v>
      </c>
      <c r="E3612" s="4" t="n"/>
      <c r="F3612" s="4" t="n">
        <v>29.67303068984167</v>
      </c>
      <c r="G3612" s="4" t="n">
        <v>18</v>
      </c>
      <c r="H3612" s="5" t="n">
        <v>33.57495157565</v>
      </c>
      <c r="I3612" s="5" t="n"/>
      <c r="J3612" s="5" t="n">
        <v>39.95365435418611</v>
      </c>
      <c r="K3612" s="5" t="n">
        <v>49</v>
      </c>
    </row>
    <row r="3613">
      <c r="A3613" s="2" t="n">
        <v>46247.91666666666</v>
      </c>
      <c r="B3613">
        <f>TEXT(A3613,"yyyy-mm")</f>
        <v/>
      </c>
      <c r="C3613" s="3">
        <f>HOUR(A3613)</f>
        <v/>
      </c>
      <c r="D3613" s="4" t="n">
        <v>23.50147600901111</v>
      </c>
      <c r="E3613" s="4" t="n"/>
      <c r="F3613" s="4" t="n">
        <v>29.68183310901389</v>
      </c>
      <c r="G3613" s="4" t="n">
        <v>17.2</v>
      </c>
      <c r="H3613" s="5" t="n">
        <v>34.62148258291389</v>
      </c>
      <c r="I3613" s="5" t="n"/>
      <c r="J3613" s="5" t="n">
        <v>40.0053676918</v>
      </c>
      <c r="K3613" s="5" t="n">
        <v>52</v>
      </c>
    </row>
    <row r="3614">
      <c r="A3614" s="2" t="n">
        <v>46247.95833333334</v>
      </c>
      <c r="B3614">
        <f>TEXT(A3614,"yyyy-mm")</f>
        <v/>
      </c>
      <c r="C3614" s="3">
        <f>HOUR(A3614)</f>
        <v/>
      </c>
      <c r="D3614" s="4" t="n">
        <v>23.35552432801667</v>
      </c>
      <c r="E3614" s="4" t="n"/>
      <c r="F3614" s="4" t="n">
        <v>29.67149842988333</v>
      </c>
      <c r="G3614" s="4" t="n">
        <v>16.3</v>
      </c>
      <c r="H3614" s="5" t="n">
        <v>34.38776797691944</v>
      </c>
      <c r="I3614" s="5" t="n"/>
      <c r="J3614" s="5" t="n">
        <v>40.04233608661666</v>
      </c>
      <c r="K3614" s="5" t="n">
        <v>56</v>
      </c>
    </row>
    <row r="3615">
      <c r="A3615" s="2" t="n">
        <v>46248</v>
      </c>
      <c r="B3615">
        <f>TEXT(A3615,"yyyy-mm")</f>
        <v/>
      </c>
      <c r="C3615" s="3">
        <f>HOUR(A3615)</f>
        <v/>
      </c>
      <c r="D3615" s="4" t="n">
        <v>22.6856375941</v>
      </c>
      <c r="E3615" s="4" t="n"/>
      <c r="F3615" s="4" t="n">
        <v>29.63846315568611</v>
      </c>
      <c r="G3615" s="4" t="n">
        <v>15.3</v>
      </c>
      <c r="H3615" s="5" t="n">
        <v>36.0498881409</v>
      </c>
      <c r="I3615" s="5" t="n"/>
      <c r="J3615" s="5" t="n">
        <v>39.95619235112501</v>
      </c>
      <c r="K3615" s="5" t="n">
        <v>60</v>
      </c>
    </row>
    <row r="3616">
      <c r="A3616" s="2" t="n">
        <v>46248.04166666666</v>
      </c>
      <c r="B3616">
        <f>TEXT(A3616,"yyyy-mm")</f>
        <v/>
      </c>
      <c r="C3616" s="3">
        <f>HOUR(A3616)</f>
        <v/>
      </c>
      <c r="D3616" s="4" t="n">
        <v>21.77105762295277</v>
      </c>
      <c r="E3616" s="4" t="n"/>
      <c r="F3616" s="4" t="n">
        <v>29.58190926721389</v>
      </c>
      <c r="G3616" s="4" t="n">
        <v>14.5</v>
      </c>
      <c r="H3616" s="5" t="n">
        <v>38.16280391079444</v>
      </c>
      <c r="I3616" s="5" t="n"/>
      <c r="J3616" s="5" t="n">
        <v>39.78605125845</v>
      </c>
      <c r="K3616" s="5" t="n">
        <v>65</v>
      </c>
    </row>
    <row r="3617">
      <c r="A3617" s="2" t="n">
        <v>46248.08333333334</v>
      </c>
      <c r="B3617">
        <f>TEXT(A3617,"yyyy-mm")</f>
        <v/>
      </c>
      <c r="C3617" s="3">
        <f>HOUR(A3617)</f>
        <v/>
      </c>
      <c r="D3617" s="4" t="n">
        <v>21.12028329433056</v>
      </c>
      <c r="E3617" s="4" t="n"/>
      <c r="F3617" s="4" t="n">
        <v>29.53404792373056</v>
      </c>
      <c r="G3617" s="4" t="n">
        <v>13.7</v>
      </c>
      <c r="H3617" s="5" t="n">
        <v>39.08974560873333</v>
      </c>
      <c r="I3617" s="5" t="n"/>
      <c r="J3617" s="5" t="n">
        <v>39.62983307115555</v>
      </c>
      <c r="K3617" s="5" t="n">
        <v>68</v>
      </c>
    </row>
    <row r="3618">
      <c r="A3618" s="2" t="n">
        <v>46248.125</v>
      </c>
      <c r="B3618">
        <f>TEXT(A3618,"yyyy-mm")</f>
        <v/>
      </c>
      <c r="C3618" s="3">
        <f>HOUR(A3618)</f>
        <v/>
      </c>
      <c r="D3618" s="4" t="n">
        <v>20.72869816291944</v>
      </c>
      <c r="E3618" s="4" t="n"/>
      <c r="F3618" s="4" t="n">
        <v>29.50610368254445</v>
      </c>
      <c r="G3618" s="4" t="n">
        <v>12.4</v>
      </c>
      <c r="H3618" s="5" t="n">
        <v>40.06996295998611</v>
      </c>
      <c r="I3618" s="5" t="n"/>
      <c r="J3618" s="5" t="n">
        <v>39.52549746313889</v>
      </c>
      <c r="K3618" s="5" t="n">
        <v>71</v>
      </c>
    </row>
    <row r="3619">
      <c r="A3619" s="2" t="n">
        <v>46248.16666666666</v>
      </c>
      <c r="B3619">
        <f>TEXT(A3619,"yyyy-mm")</f>
        <v/>
      </c>
      <c r="C3619" s="3">
        <f>HOUR(A3619)</f>
        <v/>
      </c>
      <c r="D3619" s="4" t="n">
        <v>20.29129573294722</v>
      </c>
      <c r="E3619" s="4" t="n"/>
      <c r="F3619" s="4" t="n">
        <v>29.40787531416112</v>
      </c>
      <c r="G3619" s="4" t="n">
        <v>11.9</v>
      </c>
      <c r="H3619" s="5" t="n">
        <v>41.25206182884722</v>
      </c>
      <c r="I3619" s="5" t="n"/>
      <c r="J3619" s="5" t="n">
        <v>38.91311665233889</v>
      </c>
      <c r="K3619" s="5" t="n">
        <v>74</v>
      </c>
    </row>
    <row r="3620">
      <c r="A3620" s="2" t="n">
        <v>46248.20833333334</v>
      </c>
      <c r="B3620">
        <f>TEXT(A3620,"yyyy-mm")</f>
        <v/>
      </c>
      <c r="C3620" s="3">
        <f>HOUR(A3620)</f>
        <v/>
      </c>
      <c r="D3620" s="4" t="n">
        <v>19.98269551113055</v>
      </c>
      <c r="E3620" s="4" t="n"/>
      <c r="F3620" s="4" t="n">
        <v>29.33663141291111</v>
      </c>
      <c r="G3620" s="4" t="n">
        <v>11.4</v>
      </c>
      <c r="H3620" s="5" t="n">
        <v>42.28802459543056</v>
      </c>
      <c r="I3620" s="5" t="n"/>
      <c r="J3620" s="5" t="n">
        <v>38.67334788847223</v>
      </c>
      <c r="K3620" s="5" t="n">
        <v>76</v>
      </c>
    </row>
    <row r="3621">
      <c r="A3621" s="2" t="n">
        <v>46248.25</v>
      </c>
      <c r="B3621">
        <f>TEXT(A3621,"yyyy-mm")</f>
        <v/>
      </c>
      <c r="C3621" s="3">
        <f>HOUR(A3621)</f>
        <v/>
      </c>
      <c r="D3621" s="4" t="n">
        <v>21.54749846071944</v>
      </c>
      <c r="E3621" s="4" t="n"/>
      <c r="F3621" s="4" t="n">
        <v>29.32277954871667</v>
      </c>
      <c r="G3621" s="4" t="n">
        <v>11.3</v>
      </c>
      <c r="H3621" s="5" t="n">
        <v>39.57026066263889</v>
      </c>
      <c r="I3621" s="5" t="n"/>
      <c r="J3621" s="5" t="n">
        <v>38.93949849255834</v>
      </c>
      <c r="K3621" s="5" t="n">
        <v>77</v>
      </c>
    </row>
    <row r="3622">
      <c r="A3622" s="2" t="n">
        <v>46248.29166666666</v>
      </c>
      <c r="B3622">
        <f>TEXT(A3622,"yyyy-mm")</f>
        <v/>
      </c>
      <c r="C3622" s="3">
        <f>HOUR(A3622)</f>
        <v/>
      </c>
      <c r="D3622" s="4" t="n">
        <v>23.40785374378611</v>
      </c>
      <c r="E3622" s="4" t="n"/>
      <c r="F3622" s="4" t="n">
        <v>29.357452191625</v>
      </c>
      <c r="G3622" s="4" t="n">
        <v>12.3</v>
      </c>
      <c r="H3622" s="5" t="n">
        <v>36.19986165494444</v>
      </c>
      <c r="I3622" s="5" t="n"/>
      <c r="J3622" s="5" t="n">
        <v>39.43895753550278</v>
      </c>
      <c r="K3622" s="5" t="n">
        <v>72</v>
      </c>
    </row>
    <row r="3623">
      <c r="A3623" s="2" t="n">
        <v>46248.33333333334</v>
      </c>
      <c r="B3623">
        <f>TEXT(A3623,"yyyy-mm")</f>
        <v/>
      </c>
      <c r="C3623" s="3">
        <f>HOUR(A3623)</f>
        <v/>
      </c>
      <c r="D3623" s="4" t="n">
        <v>24.69999869787778</v>
      </c>
      <c r="E3623" s="4" t="n"/>
      <c r="F3623" s="4" t="n">
        <v>29.42309668718056</v>
      </c>
      <c r="G3623" s="4" t="n">
        <v>14</v>
      </c>
      <c r="H3623" s="5" t="n">
        <v>34.25487649736389</v>
      </c>
      <c r="I3623" s="5" t="n"/>
      <c r="J3623" s="5" t="n">
        <v>39.63475451603611</v>
      </c>
      <c r="K3623" s="5" t="n">
        <v>65</v>
      </c>
    </row>
    <row r="3624">
      <c r="A3624" s="2" t="n">
        <v>46248.375</v>
      </c>
      <c r="B3624">
        <f>TEXT(A3624,"yyyy-mm")</f>
        <v/>
      </c>
      <c r="C3624" s="3">
        <f>HOUR(A3624)</f>
        <v/>
      </c>
      <c r="D3624" s="4" t="n">
        <v>25.55262289800278</v>
      </c>
      <c r="E3624" s="4" t="n"/>
      <c r="F3624" s="4" t="n">
        <v>29.50586853920555</v>
      </c>
      <c r="G3624" s="4" t="n">
        <v>16.2</v>
      </c>
      <c r="H3624" s="5" t="n">
        <v>32.5407349352</v>
      </c>
      <c r="I3624" s="5" t="n"/>
      <c r="J3624" s="5" t="n">
        <v>39.85214570596389</v>
      </c>
      <c r="K3624" s="5" t="n">
        <v>57</v>
      </c>
    </row>
    <row r="3625">
      <c r="A3625" s="2" t="n">
        <v>46248.41666666666</v>
      </c>
      <c r="B3625">
        <f>TEXT(A3625,"yyyy-mm")</f>
        <v/>
      </c>
      <c r="C3625" s="3">
        <f>HOUR(A3625)</f>
        <v/>
      </c>
      <c r="D3625" s="4" t="n">
        <v>25.92730735642778</v>
      </c>
      <c r="E3625" s="4" t="n"/>
      <c r="F3625" s="4" t="n">
        <v>29.55959082784166</v>
      </c>
      <c r="G3625" s="4" t="n">
        <v>17.8</v>
      </c>
      <c r="H3625" s="5" t="n">
        <v>31.11713331670555</v>
      </c>
      <c r="I3625" s="5" t="n"/>
      <c r="J3625" s="5" t="n">
        <v>40.07844354908333</v>
      </c>
      <c r="K3625" s="5" t="n">
        <v>50</v>
      </c>
    </row>
    <row r="3626">
      <c r="A3626" s="2" t="n">
        <v>46248.45833333334</v>
      </c>
      <c r="B3626">
        <f>TEXT(A3626,"yyyy-mm")</f>
        <v/>
      </c>
      <c r="C3626" s="3">
        <f>HOUR(A3626)</f>
        <v/>
      </c>
      <c r="D3626" s="4" t="n">
        <v>25.78641524736111</v>
      </c>
      <c r="E3626" s="4" t="n"/>
      <c r="F3626" s="4" t="n">
        <v>29.57211110038333</v>
      </c>
      <c r="G3626" s="4" t="n">
        <v>19.1</v>
      </c>
      <c r="H3626" s="5" t="n">
        <v>29.56376903320556</v>
      </c>
      <c r="I3626" s="5" t="n"/>
      <c r="J3626" s="5" t="n">
        <v>40.18078220505556</v>
      </c>
      <c r="K3626" s="5" t="n">
        <v>42</v>
      </c>
    </row>
    <row r="3627">
      <c r="A3627" s="2" t="n">
        <v>46248.5</v>
      </c>
      <c r="B3627">
        <f>TEXT(A3627,"yyyy-mm")</f>
        <v/>
      </c>
      <c r="C3627" s="3">
        <f>HOUR(A3627)</f>
        <v/>
      </c>
      <c r="D3627" s="4" t="n">
        <v>25.78677754599167</v>
      </c>
      <c r="E3627" s="4" t="n"/>
      <c r="F3627" s="4" t="n">
        <v>29.22351060883055</v>
      </c>
      <c r="G3627" s="4" t="n">
        <v>20.2</v>
      </c>
      <c r="H3627" s="5" t="n">
        <v>28.78565012268889</v>
      </c>
      <c r="I3627" s="5" t="n"/>
      <c r="J3627" s="5" t="n">
        <v>38.24756251096667</v>
      </c>
      <c r="K3627" s="5" t="n">
        <v>37</v>
      </c>
    </row>
    <row r="3628">
      <c r="A3628" s="2" t="n">
        <v>46248.54166666666</v>
      </c>
      <c r="B3628">
        <f>TEXT(A3628,"yyyy-mm")</f>
        <v/>
      </c>
      <c r="C3628" s="3">
        <f>HOUR(A3628)</f>
        <v/>
      </c>
      <c r="D3628" s="4" t="n">
        <v>25.41018982863333</v>
      </c>
      <c r="E3628" s="4" t="n"/>
      <c r="F3628" s="4" t="n">
        <v>29.385057767925</v>
      </c>
      <c r="G3628" s="4" t="n">
        <v>21.1</v>
      </c>
      <c r="H3628" s="5" t="n">
        <v>28.66422141810556</v>
      </c>
      <c r="I3628" s="5" t="n"/>
      <c r="J3628" s="5" t="n">
        <v>39.00648830009445</v>
      </c>
      <c r="K3628" s="5" t="n">
        <v>33</v>
      </c>
    </row>
    <row r="3629">
      <c r="A3629" s="2" t="n">
        <v>46248.58333333334</v>
      </c>
      <c r="B3629">
        <f>TEXT(A3629,"yyyy-mm")</f>
        <v/>
      </c>
      <c r="C3629" s="3">
        <f>HOUR(A3629)</f>
        <v/>
      </c>
      <c r="D3629" s="4" t="n">
        <v>25.03749649416666</v>
      </c>
      <c r="E3629" s="4" t="n"/>
      <c r="F3629" s="4" t="n">
        <v>29.502234020575</v>
      </c>
      <c r="G3629" s="4" t="n">
        <v>20.3</v>
      </c>
      <c r="H3629" s="5" t="n">
        <v>29.29040157611945</v>
      </c>
      <c r="I3629" s="5" t="n"/>
      <c r="J3629" s="5" t="n">
        <v>38.84086871928334</v>
      </c>
      <c r="K3629" s="5" t="n">
        <v>36</v>
      </c>
    </row>
    <row r="3630">
      <c r="A3630" s="2" t="n">
        <v>46248.625</v>
      </c>
      <c r="B3630">
        <f>TEXT(A3630,"yyyy-mm")</f>
        <v/>
      </c>
      <c r="C3630" s="3">
        <f>HOUR(A3630)</f>
        <v/>
      </c>
      <c r="D3630" s="4" t="n">
        <v>24.94133118064444</v>
      </c>
      <c r="E3630" s="4" t="n"/>
      <c r="F3630" s="4" t="n">
        <v>29.63354640753611</v>
      </c>
      <c r="G3630" s="4" t="n">
        <v>21.8</v>
      </c>
      <c r="H3630" s="5" t="n">
        <v>29.64816498493333</v>
      </c>
      <c r="I3630" s="5" t="n"/>
      <c r="J3630" s="5" t="n">
        <v>38.90398402411945</v>
      </c>
      <c r="K3630" s="5" t="n">
        <v>31</v>
      </c>
    </row>
    <row r="3631">
      <c r="A3631" s="2" t="n">
        <v>46248.66666666666</v>
      </c>
      <c r="B3631">
        <f>TEXT(A3631,"yyyy-mm")</f>
        <v/>
      </c>
      <c r="C3631" s="3">
        <f>HOUR(A3631)</f>
        <v/>
      </c>
      <c r="D3631" s="4" t="n">
        <v>25.05875003523889</v>
      </c>
      <c r="E3631" s="4" t="n"/>
      <c r="F3631" s="4" t="n">
        <v>29.37562955793889</v>
      </c>
      <c r="G3631" s="4" t="n">
        <v>21.6</v>
      </c>
      <c r="H3631" s="5" t="n">
        <v>30.58577030798056</v>
      </c>
      <c r="I3631" s="5" t="n"/>
      <c r="J3631" s="5" t="n">
        <v>39.22013540622778</v>
      </c>
      <c r="K3631" s="5" t="n">
        <v>32</v>
      </c>
    </row>
    <row r="3632">
      <c r="A3632" s="2" t="n">
        <v>46248.70833333334</v>
      </c>
      <c r="B3632">
        <f>TEXT(A3632,"yyyy-mm")</f>
        <v/>
      </c>
      <c r="C3632" s="3">
        <f>HOUR(A3632)</f>
        <v/>
      </c>
      <c r="D3632" s="4" t="n">
        <v>25.00863840112778</v>
      </c>
      <c r="E3632" s="4" t="n"/>
      <c r="F3632" s="4" t="n">
        <v>29.41277630017778</v>
      </c>
      <c r="G3632" s="4" t="n">
        <v>21.6</v>
      </c>
      <c r="H3632" s="5" t="n">
        <v>30.51419935357778</v>
      </c>
      <c r="I3632" s="5" t="n"/>
      <c r="J3632" s="5" t="n">
        <v>39.65182832008611</v>
      </c>
      <c r="K3632" s="5" t="n">
        <v>32</v>
      </c>
    </row>
    <row r="3633">
      <c r="A3633" s="2" t="n">
        <v>46248.75</v>
      </c>
      <c r="B3633">
        <f>TEXT(A3633,"yyyy-mm")</f>
        <v/>
      </c>
      <c r="C3633" s="3">
        <f>HOUR(A3633)</f>
        <v/>
      </c>
      <c r="D3633" s="4" t="n">
        <v>24.56424618834167</v>
      </c>
      <c r="E3633" s="4" t="n"/>
      <c r="F3633" s="4" t="n">
        <v>29.447339025625</v>
      </c>
      <c r="G3633" s="4" t="n">
        <v>21.1</v>
      </c>
      <c r="H3633" s="5" t="n">
        <v>29.89047867318056</v>
      </c>
      <c r="I3633" s="5" t="n"/>
      <c r="J3633" s="5" t="n">
        <v>39.58537188719166</v>
      </c>
      <c r="K3633" s="5" t="n">
        <v>33</v>
      </c>
    </row>
    <row r="3634">
      <c r="A3634" s="2" t="n">
        <v>46248.79166666666</v>
      </c>
      <c r="B3634">
        <f>TEXT(A3634,"yyyy-mm")</f>
        <v/>
      </c>
      <c r="C3634" s="3">
        <f>HOUR(A3634)</f>
        <v/>
      </c>
      <c r="D3634" s="4" t="n">
        <v>23.91286069066111</v>
      </c>
      <c r="E3634" s="4" t="n"/>
      <c r="F3634" s="4" t="n">
        <v>29.43210048498611</v>
      </c>
      <c r="G3634" s="4" t="n">
        <v>20.5</v>
      </c>
      <c r="H3634" s="5" t="n">
        <v>29.1733981821</v>
      </c>
      <c r="I3634" s="5" t="n"/>
      <c r="J3634" s="5" t="n">
        <v>39.32053612888611</v>
      </c>
      <c r="K3634" s="5" t="n">
        <v>34</v>
      </c>
    </row>
    <row r="3635">
      <c r="A3635" s="2" t="n">
        <v>46248.83333333334</v>
      </c>
      <c r="B3635">
        <f>TEXT(A3635,"yyyy-mm")</f>
        <v/>
      </c>
      <c r="C3635" s="3">
        <f>HOUR(A3635)</f>
        <v/>
      </c>
      <c r="D3635" s="4" t="n">
        <v>23.24886544056666</v>
      </c>
      <c r="E3635" s="4" t="n"/>
      <c r="F3635" s="4" t="n">
        <v>29.32613275998056</v>
      </c>
      <c r="G3635" s="4" t="n">
        <v>19.2</v>
      </c>
      <c r="H3635" s="5" t="n">
        <v>30.94290959458333</v>
      </c>
      <c r="I3635" s="5" t="n"/>
      <c r="J3635" s="5" t="n">
        <v>38.6854032873139</v>
      </c>
      <c r="K3635" s="5" t="n">
        <v>41</v>
      </c>
    </row>
    <row r="3636">
      <c r="A3636" s="2" t="n">
        <v>46248.875</v>
      </c>
      <c r="B3636">
        <f>TEXT(A3636,"yyyy-mm")</f>
        <v/>
      </c>
      <c r="C3636" s="3">
        <f>HOUR(A3636)</f>
        <v/>
      </c>
      <c r="D3636" s="4" t="n">
        <v>22.67055143855278</v>
      </c>
      <c r="E3636" s="4" t="n"/>
      <c r="F3636" s="4" t="n">
        <v>29.32585648429444</v>
      </c>
      <c r="G3636" s="4" t="n">
        <v>18.2</v>
      </c>
      <c r="H3636" s="5" t="n">
        <v>33.21554600638333</v>
      </c>
      <c r="I3636" s="5" t="n"/>
      <c r="J3636" s="5" t="n">
        <v>38.67285652248889</v>
      </c>
      <c r="K3636" s="5" t="n">
        <v>45</v>
      </c>
    </row>
    <row r="3637">
      <c r="A3637" s="2" t="n">
        <v>46248.91666666666</v>
      </c>
      <c r="B3637">
        <f>TEXT(A3637,"yyyy-mm")</f>
        <v/>
      </c>
      <c r="C3637" s="3">
        <f>HOUR(A3637)</f>
        <v/>
      </c>
      <c r="D3637" s="4" t="n">
        <v>22.34838911540277</v>
      </c>
      <c r="E3637" s="4" t="n"/>
      <c r="F3637" s="4" t="n">
        <v>29.29766369233333</v>
      </c>
      <c r="G3637" s="4" t="n">
        <v>17</v>
      </c>
      <c r="H3637" s="5" t="n">
        <v>34.92369502129444</v>
      </c>
      <c r="I3637" s="5" t="n"/>
      <c r="J3637" s="5" t="n">
        <v>38.62825770909722</v>
      </c>
      <c r="K3637" s="5" t="n">
        <v>51</v>
      </c>
    </row>
    <row r="3638">
      <c r="A3638" s="2" t="n">
        <v>46248.95833333334</v>
      </c>
      <c r="B3638">
        <f>TEXT(A3638,"yyyy-mm")</f>
        <v/>
      </c>
      <c r="C3638" s="3">
        <f>HOUR(A3638)</f>
        <v/>
      </c>
      <c r="D3638" s="4" t="n">
        <v>21.93734446761389</v>
      </c>
      <c r="E3638" s="4" t="n"/>
      <c r="F3638" s="4" t="n">
        <v>29.28619309325278</v>
      </c>
      <c r="G3638" s="4" t="n">
        <v>16</v>
      </c>
      <c r="H3638" s="5" t="n">
        <v>36.40144980043889</v>
      </c>
      <c r="I3638" s="5" t="n"/>
      <c r="J3638" s="5" t="n">
        <v>38.61753176701389</v>
      </c>
      <c r="K3638" s="5" t="n">
        <v>55</v>
      </c>
    </row>
    <row r="3639">
      <c r="A3639" s="2" t="n">
        <v>46249</v>
      </c>
      <c r="B3639">
        <f>TEXT(A3639,"yyyy-mm")</f>
        <v/>
      </c>
      <c r="C3639" s="3">
        <f>HOUR(A3639)</f>
        <v/>
      </c>
      <c r="D3639" s="4" t="n">
        <v>21.95341593008611</v>
      </c>
      <c r="E3639" s="4" t="n"/>
      <c r="F3639" s="4" t="n">
        <v>29.293382942625</v>
      </c>
      <c r="G3639" s="4" t="n">
        <v>15.3</v>
      </c>
      <c r="H3639" s="5" t="n">
        <v>36.25418741698056</v>
      </c>
      <c r="I3639" s="5" t="n"/>
      <c r="J3639" s="5" t="n">
        <v>38.56192424764166</v>
      </c>
      <c r="K3639" s="5" t="n">
        <v>58</v>
      </c>
    </row>
    <row r="3640">
      <c r="A3640" s="2" t="n">
        <v>46249.04166666666</v>
      </c>
      <c r="B3640">
        <f>TEXT(A3640,"yyyy-mm")</f>
        <v/>
      </c>
      <c r="C3640" s="3">
        <f>HOUR(A3640)</f>
        <v/>
      </c>
      <c r="D3640" s="4" t="n">
        <v>22.10273824831112</v>
      </c>
      <c r="E3640" s="4" t="n"/>
      <c r="F3640" s="4" t="n">
        <v>29.20957438160278</v>
      </c>
      <c r="G3640" s="4" t="n">
        <v>14.4</v>
      </c>
      <c r="H3640" s="5" t="n">
        <v>36.16302871886667</v>
      </c>
      <c r="I3640" s="5" t="n"/>
      <c r="J3640" s="5" t="n">
        <v>38.41597929755833</v>
      </c>
      <c r="K3640" s="5" t="n">
        <v>63</v>
      </c>
    </row>
    <row r="3641">
      <c r="A3641" s="2" t="n">
        <v>46249.08333333334</v>
      </c>
      <c r="B3641">
        <f>TEXT(A3641,"yyyy-mm")</f>
        <v/>
      </c>
      <c r="C3641" s="3">
        <f>HOUR(A3641)</f>
        <v/>
      </c>
      <c r="D3641" s="4" t="n">
        <v>21.41344551008611</v>
      </c>
      <c r="E3641" s="4" t="n"/>
      <c r="F3641" s="4" t="n">
        <v>29.15768395286944</v>
      </c>
      <c r="G3641" s="4" t="n">
        <v>13.7</v>
      </c>
      <c r="H3641" s="5" t="n">
        <v>38.64106839496944</v>
      </c>
      <c r="I3641" s="5" t="n"/>
      <c r="J3641" s="5" t="n">
        <v>38.50362051588056</v>
      </c>
      <c r="K3641" s="5" t="n">
        <v>66</v>
      </c>
    </row>
    <row r="3642">
      <c r="A3642" s="2" t="n">
        <v>46249.125</v>
      </c>
      <c r="B3642">
        <f>TEXT(A3642,"yyyy-mm")</f>
        <v/>
      </c>
      <c r="C3642" s="3">
        <f>HOUR(A3642)</f>
        <v/>
      </c>
      <c r="D3642" s="4" t="n">
        <v>20.72836060933611</v>
      </c>
      <c r="E3642" s="4" t="n"/>
      <c r="F3642" s="4" t="n">
        <v>29.10199090443611</v>
      </c>
      <c r="G3642" s="4" t="n">
        <v>12.5</v>
      </c>
      <c r="H3642" s="5" t="n">
        <v>40.12313360499167</v>
      </c>
      <c r="I3642" s="5" t="n"/>
      <c r="J3642" s="5" t="n">
        <v>38.41644424447778</v>
      </c>
      <c r="K3642" s="5" t="n">
        <v>69</v>
      </c>
    </row>
    <row r="3643">
      <c r="A3643" s="2" t="n">
        <v>46249.16666666666</v>
      </c>
      <c r="B3643">
        <f>TEXT(A3643,"yyyy-mm")</f>
        <v/>
      </c>
      <c r="C3643" s="3">
        <f>HOUR(A3643)</f>
        <v/>
      </c>
      <c r="D3643" s="4" t="n">
        <v>20.25243085498612</v>
      </c>
      <c r="E3643" s="4" t="n"/>
      <c r="F3643" s="4" t="n">
        <v>29.04616225031112</v>
      </c>
      <c r="G3643" s="4" t="n">
        <v>11.8</v>
      </c>
      <c r="H3643" s="5" t="n">
        <v>41.48872111843333</v>
      </c>
      <c r="I3643" s="5" t="n"/>
      <c r="J3643" s="5" t="n">
        <v>38.359828039675</v>
      </c>
      <c r="K3643" s="5" t="n">
        <v>73</v>
      </c>
    </row>
    <row r="3644">
      <c r="A3644" s="2" t="n">
        <v>46249.20833333334</v>
      </c>
      <c r="B3644">
        <f>TEXT(A3644,"yyyy-mm")</f>
        <v/>
      </c>
      <c r="C3644" s="3">
        <f>HOUR(A3644)</f>
        <v/>
      </c>
      <c r="D3644" s="4" t="n">
        <v>19.99001240436111</v>
      </c>
      <c r="E3644" s="4" t="n"/>
      <c r="F3644" s="4" t="n">
        <v>29.00240906998333</v>
      </c>
      <c r="G3644" s="4" t="n">
        <v>11.3</v>
      </c>
      <c r="H3644" s="5" t="n">
        <v>42.45761943775278</v>
      </c>
      <c r="I3644" s="5" t="n"/>
      <c r="J3644" s="5" t="n">
        <v>38.35615598290278</v>
      </c>
      <c r="K3644" s="5" t="n">
        <v>76</v>
      </c>
    </row>
    <row r="3645">
      <c r="A3645" s="2" t="n">
        <v>46249.25</v>
      </c>
      <c r="B3645">
        <f>TEXT(A3645,"yyyy-mm")</f>
        <v/>
      </c>
      <c r="C3645" s="3">
        <f>HOUR(A3645)</f>
        <v/>
      </c>
      <c r="D3645" s="4" t="n">
        <v>21.42783887003611</v>
      </c>
      <c r="E3645" s="4" t="n"/>
      <c r="F3645" s="4" t="n">
        <v>28.98194725577222</v>
      </c>
      <c r="G3645" s="4" t="n">
        <v>11.3</v>
      </c>
      <c r="H3645" s="5" t="n">
        <v>39.17302960583056</v>
      </c>
      <c r="I3645" s="5" t="n"/>
      <c r="J3645" s="5" t="n">
        <v>38.66431834102777</v>
      </c>
      <c r="K3645" s="5" t="n">
        <v>77</v>
      </c>
    </row>
    <row r="3646">
      <c r="A3646" s="2" t="n">
        <v>46249.29166666666</v>
      </c>
      <c r="B3646">
        <f>TEXT(A3646,"yyyy-mm")</f>
        <v/>
      </c>
      <c r="C3646" s="3">
        <f>HOUR(A3646)</f>
        <v/>
      </c>
      <c r="D3646" s="4" t="n">
        <v>23.35406384685556</v>
      </c>
      <c r="E3646" s="4" t="n"/>
      <c r="F3646" s="4" t="n">
        <v>29.0322313006</v>
      </c>
      <c r="G3646" s="4" t="n">
        <v>12.4</v>
      </c>
      <c r="H3646" s="5" t="n">
        <v>33.75256814450555</v>
      </c>
      <c r="I3646" s="5" t="n"/>
      <c r="J3646" s="5" t="n">
        <v>38.8348999834</v>
      </c>
      <c r="K3646" s="5" t="n">
        <v>72</v>
      </c>
    </row>
    <row r="3647">
      <c r="A3647" s="2" t="n">
        <v>46249.33333333334</v>
      </c>
      <c r="B3647">
        <f>TEXT(A3647,"yyyy-mm")</f>
        <v/>
      </c>
      <c r="C3647" s="3">
        <f>HOUR(A3647)</f>
        <v/>
      </c>
      <c r="D3647" s="4" t="n">
        <v>24.71223073166666</v>
      </c>
      <c r="E3647" s="4" t="n"/>
      <c r="F3647" s="4" t="n">
        <v>29.11376370547778</v>
      </c>
      <c r="G3647" s="4" t="n">
        <v>14.7</v>
      </c>
      <c r="H3647" s="5" t="n">
        <v>30.73619221803611</v>
      </c>
      <c r="I3647" s="5" t="n"/>
      <c r="J3647" s="5" t="n">
        <v>38.99224625987223</v>
      </c>
      <c r="K3647" s="5" t="n">
        <v>63</v>
      </c>
    </row>
    <row r="3648">
      <c r="A3648" s="2" t="n">
        <v>46249.375</v>
      </c>
      <c r="B3648">
        <f>TEXT(A3648,"yyyy-mm")</f>
        <v/>
      </c>
      <c r="C3648" s="3">
        <f>HOUR(A3648)</f>
        <v/>
      </c>
      <c r="D3648" s="4" t="n">
        <v>25.68949100758056</v>
      </c>
      <c r="E3648" s="4" t="n"/>
      <c r="F3648" s="4" t="n">
        <v>29.18223274298889</v>
      </c>
      <c r="G3648" s="4" t="n">
        <v>17.9</v>
      </c>
      <c r="H3648" s="5" t="n">
        <v>28.27662229130833</v>
      </c>
      <c r="I3648" s="5" t="n"/>
      <c r="J3648" s="5" t="n">
        <v>39.04947021549167</v>
      </c>
      <c r="K3648" s="5" t="n">
        <v>51</v>
      </c>
    </row>
    <row r="3649">
      <c r="A3649" s="2" t="n">
        <v>46249.41666666666</v>
      </c>
      <c r="B3649">
        <f>TEXT(A3649,"yyyy-mm")</f>
        <v/>
      </c>
      <c r="C3649" s="3">
        <f>HOUR(A3649)</f>
        <v/>
      </c>
      <c r="D3649" s="4" t="n">
        <v>26.02720700608333</v>
      </c>
      <c r="E3649" s="4" t="n"/>
      <c r="F3649" s="4" t="n">
        <v>29.25920353991389</v>
      </c>
      <c r="G3649" s="4" t="n">
        <v>20</v>
      </c>
      <c r="H3649" s="5" t="n">
        <v>28.63198539828055</v>
      </c>
      <c r="I3649" s="5" t="n"/>
      <c r="J3649" s="5" t="n">
        <v>39.21210178867778</v>
      </c>
      <c r="K3649" s="5" t="n">
        <v>39</v>
      </c>
    </row>
    <row r="3650">
      <c r="A3650" s="2" t="n">
        <v>46249.45833333334</v>
      </c>
      <c r="B3650">
        <f>TEXT(A3650,"yyyy-mm")</f>
        <v/>
      </c>
      <c r="C3650" s="3">
        <f>HOUR(A3650)</f>
        <v/>
      </c>
      <c r="D3650" s="4" t="n">
        <v>25.981292726775</v>
      </c>
      <c r="E3650" s="4" t="n"/>
      <c r="F3650" s="4" t="n">
        <v>29.27655263708611</v>
      </c>
      <c r="G3650" s="4" t="n">
        <v>21.2</v>
      </c>
      <c r="H3650" s="5" t="n">
        <v>27.92113469879722</v>
      </c>
      <c r="I3650" s="5" t="n"/>
      <c r="J3650" s="5" t="n">
        <v>39.26507706752501</v>
      </c>
      <c r="K3650" s="5" t="n">
        <v>32</v>
      </c>
    </row>
    <row r="3651">
      <c r="A3651" s="2" t="n">
        <v>46249.5</v>
      </c>
      <c r="B3651">
        <f>TEXT(A3651,"yyyy-mm")</f>
        <v/>
      </c>
      <c r="C3651" s="3">
        <f>HOUR(A3651)</f>
        <v/>
      </c>
      <c r="D3651" s="4" t="n">
        <v>25.84659524546944</v>
      </c>
      <c r="E3651" s="4" t="n"/>
      <c r="F3651" s="4" t="n">
        <v>29.27391677329445</v>
      </c>
      <c r="G3651" s="4" t="n">
        <v>22</v>
      </c>
      <c r="H3651" s="5" t="n">
        <v>26.695452997775</v>
      </c>
      <c r="I3651" s="5" t="n"/>
      <c r="J3651" s="5" t="n">
        <v>39.20749852489167</v>
      </c>
      <c r="K3651" s="5" t="n">
        <v>30</v>
      </c>
    </row>
    <row r="3652">
      <c r="A3652" s="2" t="n">
        <v>46249.54166666666</v>
      </c>
      <c r="B3652">
        <f>TEXT(A3652,"yyyy-mm")</f>
        <v/>
      </c>
      <c r="C3652" s="3">
        <f>HOUR(A3652)</f>
        <v/>
      </c>
      <c r="D3652" s="4" t="n">
        <v>25.54279209947222</v>
      </c>
      <c r="E3652" s="4" t="n"/>
      <c r="F3652" s="4" t="n">
        <v>29.26852908698611</v>
      </c>
      <c r="G3652" s="4" t="n">
        <v>22.6</v>
      </c>
      <c r="H3652" s="5" t="n">
        <v>28.02779766016111</v>
      </c>
      <c r="I3652" s="5" t="n"/>
      <c r="J3652" s="5" t="n">
        <v>39.12572555237778</v>
      </c>
      <c r="K3652" s="5" t="n">
        <v>30</v>
      </c>
    </row>
    <row r="3653">
      <c r="A3653" s="2" t="n">
        <v>46249.58333333334</v>
      </c>
      <c r="B3653">
        <f>TEXT(A3653,"yyyy-mm")</f>
        <v/>
      </c>
      <c r="C3653" s="3">
        <f>HOUR(A3653)</f>
        <v/>
      </c>
      <c r="D3653" s="4" t="n">
        <v>25.58769851071111</v>
      </c>
      <c r="E3653" s="4" t="n"/>
      <c r="F3653" s="4" t="n">
        <v>29.36521087066111</v>
      </c>
      <c r="G3653" s="4" t="n">
        <v>23.6</v>
      </c>
      <c r="H3653" s="5" t="n">
        <v>29.10366647305555</v>
      </c>
      <c r="I3653" s="5" t="n"/>
      <c r="J3653" s="5" t="n">
        <v>38.92781960961944</v>
      </c>
      <c r="K3653" s="5" t="n">
        <v>29</v>
      </c>
    </row>
    <row r="3654">
      <c r="A3654" s="2" t="n">
        <v>46249.625</v>
      </c>
      <c r="B3654">
        <f>TEXT(A3654,"yyyy-mm")</f>
        <v/>
      </c>
      <c r="C3654" s="3">
        <f>HOUR(A3654)</f>
        <v/>
      </c>
      <c r="D3654" s="4" t="n">
        <v>25.90612791397222</v>
      </c>
      <c r="E3654" s="4" t="n"/>
      <c r="F3654" s="4" t="n">
        <v>29.49379200880918</v>
      </c>
      <c r="G3654" s="4" t="n">
        <v>25</v>
      </c>
      <c r="H3654" s="5" t="n">
        <v>29.66442414112778</v>
      </c>
      <c r="I3654" s="5" t="n"/>
      <c r="J3654" s="5" t="n">
        <v>38.65700338653875</v>
      </c>
      <c r="K3654" s="5" t="n">
        <v>27</v>
      </c>
    </row>
    <row r="3655">
      <c r="A3655" s="2" t="n">
        <v>46249.66666666666</v>
      </c>
      <c r="B3655">
        <f>TEXT(A3655,"yyyy-mm")</f>
        <v/>
      </c>
      <c r="C3655" s="3">
        <f>HOUR(A3655)</f>
        <v/>
      </c>
      <c r="D3655" s="4" t="n">
        <v>25.93657742485</v>
      </c>
      <c r="E3655" s="4" t="n"/>
      <c r="F3655" s="4" t="n">
        <v>28.89612703220556</v>
      </c>
      <c r="G3655" s="4" t="n">
        <v>24.3</v>
      </c>
      <c r="H3655" s="5" t="n">
        <v>30.26937737055556</v>
      </c>
      <c r="I3655" s="5" t="n"/>
      <c r="J3655" s="5" t="n">
        <v>38.96250855435278</v>
      </c>
      <c r="K3655" s="5" t="n">
        <v>29</v>
      </c>
    </row>
    <row r="3656">
      <c r="A3656" s="2" t="n">
        <v>46249.70833333334</v>
      </c>
      <c r="B3656">
        <f>TEXT(A3656,"yyyy-mm")</f>
        <v/>
      </c>
      <c r="C3656" s="3">
        <f>HOUR(A3656)</f>
        <v/>
      </c>
      <c r="D3656" s="4" t="n">
        <v>25.74715690523056</v>
      </c>
      <c r="E3656" s="4" t="n"/>
      <c r="F3656" s="4" t="n">
        <v>29.16374209814167</v>
      </c>
      <c r="G3656" s="4" t="n">
        <v>23.9</v>
      </c>
      <c r="H3656" s="5" t="n">
        <v>30.63770004261111</v>
      </c>
      <c r="I3656" s="5" t="n"/>
      <c r="J3656" s="5" t="n">
        <v>39.14811973065</v>
      </c>
      <c r="K3656" s="5" t="n">
        <v>32</v>
      </c>
    </row>
    <row r="3657">
      <c r="A3657" s="2" t="n">
        <v>46249.75</v>
      </c>
      <c r="B3657">
        <f>TEXT(A3657,"yyyy-mm")</f>
        <v/>
      </c>
      <c r="C3657" s="3">
        <f>HOUR(A3657)</f>
        <v/>
      </c>
      <c r="D3657" s="4" t="n">
        <v>25.52063671838333</v>
      </c>
      <c r="E3657" s="4" t="n"/>
      <c r="F3657" s="4" t="n">
        <v>29.22814218466388</v>
      </c>
      <c r="G3657" s="4" t="n">
        <v>23.3</v>
      </c>
      <c r="H3657" s="5" t="n">
        <v>31.43118777435833</v>
      </c>
      <c r="I3657" s="5" t="n"/>
      <c r="J3657" s="5" t="n">
        <v>39.08855452916112</v>
      </c>
      <c r="K3657" s="5" t="n">
        <v>35</v>
      </c>
    </row>
    <row r="3658">
      <c r="A3658" s="2" t="n">
        <v>46249.79166666666</v>
      </c>
      <c r="B3658">
        <f>TEXT(A3658,"yyyy-mm")</f>
        <v/>
      </c>
      <c r="C3658" s="3">
        <f>HOUR(A3658)</f>
        <v/>
      </c>
      <c r="D3658" s="4" t="n">
        <v>25.12839457873333</v>
      </c>
      <c r="E3658" s="4" t="n"/>
      <c r="F3658" s="4" t="n">
        <v>29.21935496943611</v>
      </c>
      <c r="G3658" s="4" t="n">
        <v>22.4</v>
      </c>
      <c r="H3658" s="5" t="n">
        <v>32.92821971884445</v>
      </c>
      <c r="I3658" s="5" t="n"/>
      <c r="J3658" s="5" t="n">
        <v>39.10963028851111</v>
      </c>
      <c r="K3658" s="5" t="n">
        <v>39</v>
      </c>
    </row>
    <row r="3659">
      <c r="A3659" s="2" t="n">
        <v>46249.83333333334</v>
      </c>
      <c r="B3659">
        <f>TEXT(A3659,"yyyy-mm")</f>
        <v/>
      </c>
      <c r="C3659" s="3">
        <f>HOUR(A3659)</f>
        <v/>
      </c>
      <c r="D3659" s="4" t="n">
        <v>24.54684921392777</v>
      </c>
      <c r="E3659" s="4" t="n"/>
      <c r="F3659" s="4" t="n">
        <v>29.18024980533333</v>
      </c>
      <c r="G3659" s="4" t="n">
        <v>21.1</v>
      </c>
      <c r="H3659" s="5" t="n">
        <v>35.35441476849444</v>
      </c>
      <c r="I3659" s="5" t="n"/>
      <c r="J3659" s="5" t="n">
        <v>39.21026289688056</v>
      </c>
      <c r="K3659" s="5" t="n">
        <v>46</v>
      </c>
    </row>
    <row r="3660">
      <c r="A3660" s="2" t="n">
        <v>46249.875</v>
      </c>
      <c r="B3660">
        <f>TEXT(A3660,"yyyy-mm")</f>
        <v/>
      </c>
      <c r="C3660" s="3">
        <f>HOUR(A3660)</f>
        <v/>
      </c>
      <c r="D3660" s="4" t="n">
        <v>23.89824359647222</v>
      </c>
      <c r="E3660" s="4" t="n"/>
      <c r="F3660" s="4" t="n">
        <v>29.19625809580833</v>
      </c>
      <c r="G3660" s="4" t="n">
        <v>19.9</v>
      </c>
      <c r="H3660" s="5" t="n">
        <v>38.30372614381944</v>
      </c>
      <c r="I3660" s="5" t="n"/>
      <c r="J3660" s="5" t="n">
        <v>39.35888656496389</v>
      </c>
      <c r="K3660" s="5" t="n">
        <v>54</v>
      </c>
    </row>
    <row r="3661">
      <c r="A3661" s="2" t="n">
        <v>46249.91666666666</v>
      </c>
      <c r="B3661">
        <f>TEXT(A3661,"yyyy-mm")</f>
        <v/>
      </c>
      <c r="C3661" s="3">
        <f>HOUR(A3661)</f>
        <v/>
      </c>
      <c r="D3661" s="4" t="n">
        <v>24.07718145506666</v>
      </c>
      <c r="E3661" s="4" t="n"/>
      <c r="F3661" s="4" t="n">
        <v>29.24233368486111</v>
      </c>
      <c r="G3661" s="4" t="n">
        <v>19.1</v>
      </c>
      <c r="H3661" s="5" t="n">
        <v>38.677839131775</v>
      </c>
      <c r="I3661" s="5" t="n"/>
      <c r="J3661" s="5" t="n">
        <v>39.516837836875</v>
      </c>
      <c r="K3661" s="5" t="n">
        <v>56</v>
      </c>
    </row>
    <row r="3662">
      <c r="A3662" s="2" t="n">
        <v>46249.95833333334</v>
      </c>
      <c r="B3662">
        <f>TEXT(A3662,"yyyy-mm")</f>
        <v/>
      </c>
      <c r="C3662" s="3">
        <f>HOUR(A3662)</f>
        <v/>
      </c>
      <c r="D3662" s="4" t="n">
        <v>24.06018697433056</v>
      </c>
      <c r="E3662" s="4" t="n"/>
      <c r="F3662" s="4" t="n">
        <v>29.24858977213889</v>
      </c>
      <c r="G3662" s="4" t="n">
        <v>18</v>
      </c>
      <c r="H3662" s="5" t="n">
        <v>39.18021973258889</v>
      </c>
      <c r="I3662" s="5" t="n"/>
      <c r="J3662" s="5" t="n">
        <v>39.69685219529167</v>
      </c>
      <c r="K3662" s="5" t="n">
        <v>62</v>
      </c>
    </row>
    <row r="3663">
      <c r="A3663" s="2" t="n">
        <v>46250</v>
      </c>
      <c r="B3663">
        <f>TEXT(A3663,"yyyy-mm")</f>
        <v/>
      </c>
      <c r="C3663" s="3">
        <f>HOUR(A3663)</f>
        <v/>
      </c>
      <c r="D3663" s="4" t="n">
        <v>24.02003506786111</v>
      </c>
      <c r="E3663" s="4" t="n"/>
      <c r="F3663" s="4" t="n">
        <v>29.29833505507222</v>
      </c>
      <c r="G3663" s="4" t="n">
        <v>17.2</v>
      </c>
      <c r="H3663" s="5" t="n">
        <v>39.62997373391667</v>
      </c>
      <c r="I3663" s="5" t="n"/>
      <c r="J3663" s="5" t="n">
        <v>39.78271333459445</v>
      </c>
      <c r="K3663" s="5" t="n">
        <v>66</v>
      </c>
    </row>
    <row r="3664">
      <c r="A3664" s="2" t="n">
        <v>46250.04166666666</v>
      </c>
      <c r="B3664">
        <f>TEXT(A3664,"yyyy-mm")</f>
        <v/>
      </c>
      <c r="C3664" s="3">
        <f>HOUR(A3664)</f>
        <v/>
      </c>
      <c r="D3664" s="4" t="n">
        <v>23.33212410515833</v>
      </c>
      <c r="E3664" s="4" t="n"/>
      <c r="F3664" s="4" t="n">
        <v>29.24818198951111</v>
      </c>
      <c r="G3664" s="4" t="n">
        <v>16.6</v>
      </c>
      <c r="H3664" s="5" t="n">
        <v>41.35876242688055</v>
      </c>
      <c r="I3664" s="5" t="n"/>
      <c r="J3664" s="5" t="n">
        <v>39.97812075164167</v>
      </c>
      <c r="K3664" s="5" t="n">
        <v>68</v>
      </c>
    </row>
    <row r="3665">
      <c r="A3665" s="2" t="n">
        <v>46250.08333333334</v>
      </c>
      <c r="B3665">
        <f>TEXT(A3665,"yyyy-mm")</f>
        <v/>
      </c>
      <c r="C3665" s="3">
        <f>HOUR(A3665)</f>
        <v/>
      </c>
      <c r="D3665" s="4" t="n">
        <v>23.21899221383612</v>
      </c>
      <c r="E3665" s="4" t="n"/>
      <c r="F3665" s="4" t="n">
        <v>29.20299979951389</v>
      </c>
      <c r="G3665" s="4" t="n">
        <v>16.2</v>
      </c>
      <c r="H3665" s="5" t="n">
        <v>42.40287749606667</v>
      </c>
      <c r="I3665" s="5" t="n"/>
      <c r="J3665" s="5" t="n">
        <v>40.16212996039722</v>
      </c>
      <c r="K3665" s="5" t="n">
        <v>70</v>
      </c>
    </row>
    <row r="3666">
      <c r="A3666" s="2" t="n">
        <v>46250.125</v>
      </c>
      <c r="B3666">
        <f>TEXT(A3666,"yyyy-mm")</f>
        <v/>
      </c>
      <c r="C3666" s="3">
        <f>HOUR(A3666)</f>
        <v/>
      </c>
      <c r="D3666" s="4" t="n">
        <v>22.826800311325</v>
      </c>
      <c r="E3666" s="4" t="n"/>
      <c r="F3666" s="4" t="n">
        <v>29.16793236778333</v>
      </c>
      <c r="G3666" s="4" t="n">
        <v>15.5</v>
      </c>
      <c r="H3666" s="5" t="n">
        <v>43.17383538107222</v>
      </c>
      <c r="I3666" s="5" t="n"/>
      <c r="J3666" s="5" t="n">
        <v>40.35336117618889</v>
      </c>
      <c r="K3666" s="5" t="n">
        <v>73</v>
      </c>
    </row>
    <row r="3667">
      <c r="A3667" s="2" t="n">
        <v>46250.16666666666</v>
      </c>
      <c r="B3667">
        <f>TEXT(A3667,"yyyy-mm")</f>
        <v/>
      </c>
      <c r="C3667" s="3">
        <f>HOUR(A3667)</f>
        <v/>
      </c>
      <c r="D3667" s="4" t="n">
        <v>22.49080508131945</v>
      </c>
      <c r="E3667" s="4" t="n"/>
      <c r="F3667" s="4" t="n">
        <v>29.09141026933056</v>
      </c>
      <c r="G3667" s="4" t="n">
        <v>15.2</v>
      </c>
      <c r="H3667" s="5" t="n">
        <v>43.98410152608611</v>
      </c>
      <c r="I3667" s="5" t="n"/>
      <c r="J3667" s="5" t="n">
        <v>40.48404500656667</v>
      </c>
      <c r="K3667" s="5" t="n">
        <v>74</v>
      </c>
    </row>
    <row r="3668">
      <c r="A3668" s="2" t="n">
        <v>46250.20833333334</v>
      </c>
      <c r="B3668">
        <f>TEXT(A3668,"yyyy-mm")</f>
        <v/>
      </c>
      <c r="C3668" s="3">
        <f>HOUR(A3668)</f>
        <v/>
      </c>
      <c r="D3668" s="4" t="n">
        <v>22.71737881000833</v>
      </c>
      <c r="E3668" s="4" t="n"/>
      <c r="F3668" s="4" t="n">
        <v>29.06819310624445</v>
      </c>
      <c r="G3668" s="4" t="n">
        <v>15</v>
      </c>
      <c r="H3668" s="5" t="n">
        <v>43.71865267445278</v>
      </c>
      <c r="I3668" s="5" t="n"/>
      <c r="J3668" s="5" t="n">
        <v>40.58062654439167</v>
      </c>
      <c r="K3668" s="5" t="n">
        <v>74</v>
      </c>
    </row>
    <row r="3669">
      <c r="A3669" s="2" t="n">
        <v>46250.25</v>
      </c>
      <c r="B3669">
        <f>TEXT(A3669,"yyyy-mm")</f>
        <v/>
      </c>
      <c r="C3669" s="3">
        <f>HOUR(A3669)</f>
        <v/>
      </c>
      <c r="D3669" s="4" t="n">
        <v>23.48277933569722</v>
      </c>
      <c r="E3669" s="4" t="n"/>
      <c r="F3669" s="4" t="n">
        <v>29.04960925235</v>
      </c>
      <c r="G3669" s="4" t="n">
        <v>15</v>
      </c>
      <c r="H3669" s="5" t="n">
        <v>42.32466794291111</v>
      </c>
      <c r="I3669" s="5" t="n"/>
      <c r="J3669" s="5" t="n">
        <v>40.68248522859444</v>
      </c>
      <c r="K3669" s="5" t="n">
        <v>74</v>
      </c>
    </row>
    <row r="3670">
      <c r="A3670" s="2" t="n">
        <v>46250.29166666666</v>
      </c>
      <c r="B3670">
        <f>TEXT(A3670,"yyyy-mm")</f>
        <v/>
      </c>
      <c r="C3670" s="3">
        <f>HOUR(A3670)</f>
        <v/>
      </c>
      <c r="D3670" s="4" t="n">
        <v>24.92199896808889</v>
      </c>
      <c r="E3670" s="4" t="n"/>
      <c r="F3670" s="4" t="n">
        <v>29.07417639288889</v>
      </c>
      <c r="G3670" s="4" t="n">
        <v>16.5</v>
      </c>
      <c r="H3670" s="5" t="n">
        <v>39.59452798543334</v>
      </c>
      <c r="I3670" s="5" t="n"/>
      <c r="J3670" s="5" t="n">
        <v>40.78193341158889</v>
      </c>
      <c r="K3670" s="5" t="n">
        <v>69</v>
      </c>
    </row>
    <row r="3671">
      <c r="A3671" s="2" t="n">
        <v>46250.33333333334</v>
      </c>
      <c r="B3671">
        <f>TEXT(A3671,"yyyy-mm")</f>
        <v/>
      </c>
      <c r="C3671" s="3">
        <f>HOUR(A3671)</f>
        <v/>
      </c>
      <c r="D3671" s="4" t="n">
        <v>26.04074661443612</v>
      </c>
      <c r="E3671" s="4" t="n"/>
      <c r="F3671" s="4" t="n">
        <v>29.13306337154167</v>
      </c>
      <c r="G3671" s="4" t="n">
        <v>18.9</v>
      </c>
      <c r="H3671" s="5" t="n">
        <v>39.23586833309722</v>
      </c>
      <c r="I3671" s="5" t="n"/>
      <c r="J3671" s="5" t="n">
        <v>40.89540331784445</v>
      </c>
      <c r="K3671" s="5" t="n">
        <v>61</v>
      </c>
    </row>
    <row r="3672">
      <c r="A3672" s="2" t="n">
        <v>46250.375</v>
      </c>
      <c r="B3672">
        <f>TEXT(A3672,"yyyy-mm")</f>
        <v/>
      </c>
      <c r="C3672" s="3">
        <f>HOUR(A3672)</f>
        <v/>
      </c>
      <c r="D3672" s="4" t="n">
        <v>26.70487625099722</v>
      </c>
      <c r="E3672" s="4" t="n"/>
      <c r="F3672" s="4" t="n">
        <v>29.18217577526111</v>
      </c>
      <c r="G3672" s="4" t="n">
        <v>22.1</v>
      </c>
      <c r="H3672" s="5" t="n">
        <v>38.3847538701</v>
      </c>
      <c r="I3672" s="5" t="n"/>
      <c r="J3672" s="5" t="n">
        <v>40.98631986246945</v>
      </c>
      <c r="K3672" s="5" t="n">
        <v>52</v>
      </c>
    </row>
    <row r="3673">
      <c r="A3673" s="2" t="n">
        <v>46250.41666666666</v>
      </c>
      <c r="B3673">
        <f>TEXT(A3673,"yyyy-mm")</f>
        <v/>
      </c>
      <c r="C3673" s="3">
        <f>HOUR(A3673)</f>
        <v/>
      </c>
      <c r="D3673" s="4" t="n">
        <v>26.96542744592222</v>
      </c>
      <c r="E3673" s="4" t="n"/>
      <c r="F3673" s="4" t="n">
        <v>29.22914340436944</v>
      </c>
      <c r="G3673" s="4" t="n">
        <v>24.4</v>
      </c>
      <c r="H3673" s="5" t="n">
        <v>37.99177618099444</v>
      </c>
      <c r="I3673" s="5" t="n"/>
      <c r="J3673" s="5" t="n">
        <v>41.04909197548611</v>
      </c>
      <c r="K3673" s="5" t="n">
        <v>44</v>
      </c>
    </row>
    <row r="3674">
      <c r="A3674" s="2" t="n">
        <v>46250.45833333334</v>
      </c>
      <c r="B3674">
        <f>TEXT(A3674,"yyyy-mm")</f>
        <v/>
      </c>
      <c r="C3674" s="3">
        <f>HOUR(A3674)</f>
        <v/>
      </c>
      <c r="D3674" s="4" t="n">
        <v>26.94045011823055</v>
      </c>
      <c r="E3674" s="4" t="n"/>
      <c r="F3674" s="4" t="n">
        <v>29.27158888518055</v>
      </c>
      <c r="G3674" s="4" t="n">
        <v>25.8</v>
      </c>
      <c r="H3674" s="5" t="n">
        <v>37.39715790096945</v>
      </c>
      <c r="I3674" s="5" t="n"/>
      <c r="J3674" s="5" t="n">
        <v>41.08766743414444</v>
      </c>
      <c r="K3674" s="5" t="n">
        <v>39</v>
      </c>
    </row>
    <row r="3675">
      <c r="A3675" s="2" t="n">
        <v>46250.5</v>
      </c>
      <c r="B3675">
        <f>TEXT(A3675,"yyyy-mm")</f>
        <v/>
      </c>
      <c r="C3675" s="3">
        <f>HOUR(A3675)</f>
        <v/>
      </c>
      <c r="D3675" s="4" t="n">
        <v>26.95387612034166</v>
      </c>
      <c r="E3675" s="4" t="n"/>
      <c r="F3675" s="4" t="n">
        <v>29.308365617825</v>
      </c>
      <c r="G3675" s="4" t="n">
        <v>26.9</v>
      </c>
      <c r="H3675" s="5" t="n">
        <v>36.72364181441944</v>
      </c>
      <c r="I3675" s="5" t="n"/>
      <c r="J3675" s="5" t="n">
        <v>41.11323467558334</v>
      </c>
      <c r="K3675" s="5" t="n">
        <v>34</v>
      </c>
    </row>
    <row r="3676">
      <c r="A3676" s="2" t="n">
        <v>46250.54166666666</v>
      </c>
      <c r="B3676">
        <f>TEXT(A3676,"yyyy-mm")</f>
        <v/>
      </c>
      <c r="C3676" s="3">
        <f>HOUR(A3676)</f>
        <v/>
      </c>
      <c r="D3676" s="4" t="n">
        <v>26.91544385953055</v>
      </c>
      <c r="E3676" s="4" t="n"/>
      <c r="F3676" s="4" t="n">
        <v>29.32622504893056</v>
      </c>
      <c r="G3676" s="4" t="n">
        <v>28.1</v>
      </c>
      <c r="H3676" s="5" t="n">
        <v>36.48965698674444</v>
      </c>
      <c r="I3676" s="5" t="n"/>
      <c r="J3676" s="5" t="n">
        <v>41.22226558236111</v>
      </c>
      <c r="K3676" s="5" t="n">
        <v>30</v>
      </c>
    </row>
    <row r="3677">
      <c r="A3677" s="2" t="n">
        <v>46250.58333333334</v>
      </c>
      <c r="B3677">
        <f>TEXT(A3677,"yyyy-mm")</f>
        <v/>
      </c>
      <c r="C3677" s="3">
        <f>HOUR(A3677)</f>
        <v/>
      </c>
      <c r="D3677" s="4" t="n">
        <v>26.88759744281944</v>
      </c>
      <c r="E3677" s="4" t="n"/>
      <c r="F3677" s="4" t="n">
        <v>29.33080375860278</v>
      </c>
      <c r="G3677" s="4" t="n">
        <v>28.4</v>
      </c>
      <c r="H3677" s="5" t="n">
        <v>36.15326478627778</v>
      </c>
      <c r="I3677" s="5" t="n"/>
      <c r="J3677" s="5" t="n">
        <v>41.40670360436667</v>
      </c>
      <c r="K3677" s="5" t="n">
        <v>30</v>
      </c>
    </row>
    <row r="3678">
      <c r="A3678" s="2" t="n">
        <v>46250.625</v>
      </c>
      <c r="B3678">
        <f>TEXT(A3678,"yyyy-mm")</f>
        <v/>
      </c>
      <c r="C3678" s="3">
        <f>HOUR(A3678)</f>
        <v/>
      </c>
      <c r="D3678" s="4" t="n">
        <v>27.00982334848056</v>
      </c>
      <c r="E3678" s="4" t="n"/>
      <c r="F3678" s="4" t="n">
        <v>29.35039345730556</v>
      </c>
      <c r="G3678" s="4" t="n">
        <v>29.6</v>
      </c>
      <c r="H3678" s="5" t="n">
        <v>36.50802327271111</v>
      </c>
      <c r="I3678" s="5" t="n"/>
      <c r="J3678" s="5" t="n">
        <v>41.52646331217501</v>
      </c>
      <c r="K3678" s="5" t="n">
        <v>27</v>
      </c>
    </row>
    <row r="3679">
      <c r="A3679" s="2" t="n">
        <v>46250.66666666666</v>
      </c>
      <c r="B3679">
        <f>TEXT(A3679,"yyyy-mm")</f>
        <v/>
      </c>
      <c r="C3679" s="3">
        <f>HOUR(A3679)</f>
        <v/>
      </c>
      <c r="D3679" s="4" t="n">
        <v>27.04741199871944</v>
      </c>
      <c r="E3679" s="4" t="n"/>
      <c r="F3679" s="4" t="n">
        <v>29.3551387369</v>
      </c>
      <c r="G3679" s="4" t="n">
        <v>29.2</v>
      </c>
      <c r="H3679" s="5" t="n">
        <v>35.953114888</v>
      </c>
      <c r="I3679" s="5" t="n"/>
      <c r="J3679" s="5" t="n">
        <v>41.59357362108889</v>
      </c>
      <c r="K3679" s="5" t="n">
        <v>27</v>
      </c>
    </row>
    <row r="3680">
      <c r="A3680" s="2" t="n">
        <v>46250.70833333334</v>
      </c>
      <c r="B3680">
        <f>TEXT(A3680,"yyyy-mm")</f>
        <v/>
      </c>
      <c r="C3680" s="3">
        <f>HOUR(A3680)</f>
        <v/>
      </c>
      <c r="D3680" s="4" t="n">
        <v>26.96045714014445</v>
      </c>
      <c r="E3680" s="4" t="n"/>
      <c r="F3680" s="4" t="n">
        <v>29.35458327659167</v>
      </c>
      <c r="G3680" s="4" t="n">
        <v>28.9</v>
      </c>
      <c r="H3680" s="5" t="n">
        <v>35.451502146275</v>
      </c>
      <c r="I3680" s="5" t="n"/>
      <c r="J3680" s="5" t="n">
        <v>41.64197369685834</v>
      </c>
      <c r="K3680" s="5" t="n">
        <v>28</v>
      </c>
    </row>
    <row r="3681">
      <c r="A3681" s="2" t="n">
        <v>46250.75</v>
      </c>
      <c r="B3681">
        <f>TEXT(A3681,"yyyy-mm")</f>
        <v/>
      </c>
      <c r="C3681" s="3">
        <f>HOUR(A3681)</f>
        <v/>
      </c>
      <c r="D3681" s="4" t="n">
        <v>26.90813183943056</v>
      </c>
      <c r="E3681" s="4" t="n"/>
      <c r="F3681" s="4" t="n">
        <v>29.3408877062</v>
      </c>
      <c r="G3681" s="4" t="n">
        <v>28.2</v>
      </c>
      <c r="H3681" s="5" t="n">
        <v>35.21034591968889</v>
      </c>
      <c r="I3681" s="5" t="n"/>
      <c r="J3681" s="5" t="n">
        <v>41.64094049867778</v>
      </c>
      <c r="K3681" s="5" t="n">
        <v>31</v>
      </c>
    </row>
    <row r="3682">
      <c r="A3682" s="2" t="n">
        <v>46250.79166666666</v>
      </c>
      <c r="B3682">
        <f>TEXT(A3682,"yyyy-mm")</f>
        <v/>
      </c>
      <c r="C3682" s="3">
        <f>HOUR(A3682)</f>
        <v/>
      </c>
      <c r="D3682" s="4" t="n">
        <v>26.76926948222778</v>
      </c>
      <c r="E3682" s="4" t="n"/>
      <c r="F3682" s="4" t="n">
        <v>29.33652811130278</v>
      </c>
      <c r="G3682" s="4" t="n">
        <v>26.6</v>
      </c>
      <c r="H3682" s="5" t="n">
        <v>35.71516688059167</v>
      </c>
      <c r="I3682" s="5" t="n"/>
      <c r="J3682" s="5" t="n">
        <v>41.61338689683611</v>
      </c>
      <c r="K3682" s="5" t="n">
        <v>37</v>
      </c>
    </row>
    <row r="3683">
      <c r="A3683" s="2" t="n">
        <v>46250.83333333334</v>
      </c>
      <c r="B3683">
        <f>TEXT(A3683,"yyyy-mm")</f>
        <v/>
      </c>
      <c r="C3683" s="3">
        <f>HOUR(A3683)</f>
        <v/>
      </c>
      <c r="D3683" s="4" t="n">
        <v>26.30073714945</v>
      </c>
      <c r="E3683" s="4" t="n"/>
      <c r="F3683" s="4" t="n">
        <v>29.3275264831</v>
      </c>
      <c r="G3683" s="4" t="n">
        <v>24.9</v>
      </c>
      <c r="H3683" s="5" t="n">
        <v>37.59205348376111</v>
      </c>
      <c r="I3683" s="5" t="n"/>
      <c r="J3683" s="5" t="n">
        <v>41.62278275938611</v>
      </c>
      <c r="K3683" s="5" t="n">
        <v>44</v>
      </c>
    </row>
    <row r="3684">
      <c r="A3684" s="2" t="n">
        <v>46250.875</v>
      </c>
      <c r="B3684">
        <f>TEXT(A3684,"yyyy-mm")</f>
        <v/>
      </c>
      <c r="C3684" s="3">
        <f>HOUR(A3684)</f>
        <v/>
      </c>
      <c r="D3684" s="4" t="n">
        <v>25.90424017323611</v>
      </c>
      <c r="E3684" s="4" t="n"/>
      <c r="F3684" s="4" t="n">
        <v>29.31763564023889</v>
      </c>
      <c r="G3684" s="4" t="n">
        <v>23.6</v>
      </c>
      <c r="H3684" s="5" t="n">
        <v>38.98087650725</v>
      </c>
      <c r="I3684" s="5" t="n"/>
      <c r="J3684" s="5" t="n">
        <v>41.68845753661945</v>
      </c>
      <c r="K3684" s="5" t="n">
        <v>49</v>
      </c>
    </row>
    <row r="3685">
      <c r="A3685" s="2" t="n">
        <v>46250.91666666666</v>
      </c>
      <c r="B3685">
        <f>TEXT(A3685,"yyyy-mm")</f>
        <v/>
      </c>
      <c r="C3685" s="3">
        <f>HOUR(A3685)</f>
        <v/>
      </c>
      <c r="D3685" s="4" t="n">
        <v>25.62669708395833</v>
      </c>
      <c r="E3685" s="4" t="n"/>
      <c r="F3685" s="4" t="n">
        <v>29.30710813557222</v>
      </c>
      <c r="G3685" s="4" t="n">
        <v>22.6</v>
      </c>
      <c r="H3685" s="5" t="n">
        <v>40.09530526297778</v>
      </c>
      <c r="I3685" s="5" t="n"/>
      <c r="J3685" s="5" t="n">
        <v>41.76435379593334</v>
      </c>
      <c r="K3685" s="5" t="n">
        <v>52</v>
      </c>
    </row>
    <row r="3686">
      <c r="A3686" s="2" t="n">
        <v>46250.95833333334</v>
      </c>
      <c r="B3686">
        <f>TEXT(A3686,"yyyy-mm")</f>
        <v/>
      </c>
      <c r="C3686" s="3">
        <f>HOUR(A3686)</f>
        <v/>
      </c>
      <c r="D3686" s="4" t="n">
        <v>25.75032236210556</v>
      </c>
      <c r="E3686" s="4" t="n"/>
      <c r="F3686" s="4" t="n">
        <v>29.302080183475</v>
      </c>
      <c r="G3686" s="4" t="n">
        <v>21.7</v>
      </c>
      <c r="H3686" s="5" t="n">
        <v>40.15410937213611</v>
      </c>
      <c r="I3686" s="5" t="n"/>
      <c r="J3686" s="5" t="n">
        <v>41.85262093577778</v>
      </c>
      <c r="K3686" s="5" t="n">
        <v>53</v>
      </c>
    </row>
    <row r="3687">
      <c r="A3687" s="2" t="n">
        <v>46251</v>
      </c>
      <c r="B3687">
        <f>TEXT(A3687,"yyyy-mm")</f>
        <v/>
      </c>
      <c r="C3687" s="3">
        <f>HOUR(A3687)</f>
        <v/>
      </c>
      <c r="D3687" s="4" t="n">
        <v>25.52771270108056</v>
      </c>
      <c r="E3687" s="4" t="n"/>
      <c r="F3687" s="4" t="n">
        <v>29.28635963245</v>
      </c>
      <c r="G3687" s="4" t="n">
        <v>20.8</v>
      </c>
      <c r="H3687" s="5" t="n">
        <v>40.40958368104722</v>
      </c>
      <c r="I3687" s="5" t="n"/>
      <c r="J3687" s="5" t="n">
        <v>41.92784412259167</v>
      </c>
      <c r="K3687" s="5" t="n">
        <v>55</v>
      </c>
    </row>
    <row r="3688">
      <c r="A3688" s="2" t="n">
        <v>46251.04166666666</v>
      </c>
      <c r="B3688">
        <f>TEXT(A3688,"yyyy-mm")</f>
        <v/>
      </c>
      <c r="C3688" s="3">
        <f>HOUR(A3688)</f>
        <v/>
      </c>
      <c r="D3688" s="4" t="n">
        <v>25.21345138530556</v>
      </c>
      <c r="E3688" s="4" t="n"/>
      <c r="F3688" s="4" t="n">
        <v>29.28432822956944</v>
      </c>
      <c r="G3688" s="4" t="n">
        <v>20.1</v>
      </c>
      <c r="H3688" s="5" t="n">
        <v>40.98156730295278</v>
      </c>
      <c r="I3688" s="5" t="n"/>
      <c r="J3688" s="5" t="n">
        <v>41.98350445129722</v>
      </c>
      <c r="K3688" s="5" t="n">
        <v>56</v>
      </c>
    </row>
    <row r="3689">
      <c r="A3689" s="2" t="n">
        <v>46251.08333333334</v>
      </c>
      <c r="B3689">
        <f>TEXT(A3689,"yyyy-mm")</f>
        <v/>
      </c>
      <c r="C3689" s="3">
        <f>HOUR(A3689)</f>
        <v/>
      </c>
      <c r="D3689" s="4" t="n">
        <v>24.70105584476945</v>
      </c>
      <c r="E3689" s="4" t="n"/>
      <c r="F3689" s="4" t="n">
        <v>29.25980096148889</v>
      </c>
      <c r="G3689" s="4" t="n">
        <v>19.4</v>
      </c>
      <c r="H3689" s="5" t="n">
        <v>41.75170834985833</v>
      </c>
      <c r="I3689" s="5" t="n"/>
      <c r="J3689" s="5" t="n">
        <v>42.03481541011944</v>
      </c>
      <c r="K3689" s="5" t="n">
        <v>58</v>
      </c>
    </row>
    <row r="3690">
      <c r="A3690" s="2" t="n">
        <v>46251.125</v>
      </c>
      <c r="B3690">
        <f>TEXT(A3690,"yyyy-mm")</f>
        <v/>
      </c>
      <c r="C3690" s="3">
        <f>HOUR(A3690)</f>
        <v/>
      </c>
      <c r="D3690" s="4" t="n">
        <v>24.13795853523889</v>
      </c>
      <c r="E3690" s="4" t="n"/>
      <c r="F3690" s="4" t="n">
        <v>29.22738586185278</v>
      </c>
      <c r="G3690" s="4" t="n">
        <v>18.3</v>
      </c>
      <c r="H3690" s="5" t="n">
        <v>41.91750009683055</v>
      </c>
      <c r="I3690" s="5" t="n"/>
      <c r="J3690" s="5" t="n">
        <v>42.02523380334723</v>
      </c>
      <c r="K3690" s="5" t="n">
        <v>62</v>
      </c>
    </row>
    <row r="3691">
      <c r="A3691" s="2" t="n">
        <v>46251.16666666666</v>
      </c>
      <c r="B3691">
        <f>TEXT(A3691,"yyyy-mm")</f>
        <v/>
      </c>
      <c r="C3691" s="3">
        <f>HOUR(A3691)</f>
        <v/>
      </c>
      <c r="D3691" s="4" t="n">
        <v>24.44122520168889</v>
      </c>
      <c r="E3691" s="4" t="n"/>
      <c r="F3691" s="4" t="n">
        <v>29.20241005580833</v>
      </c>
      <c r="G3691" s="4" t="n">
        <v>17.8</v>
      </c>
      <c r="H3691" s="5" t="n">
        <v>41.50972917816944</v>
      </c>
      <c r="I3691" s="5" t="n"/>
      <c r="J3691" s="5" t="n">
        <v>41.98986122930278</v>
      </c>
      <c r="K3691" s="5" t="n">
        <v>63</v>
      </c>
    </row>
    <row r="3692">
      <c r="A3692" s="2" t="n">
        <v>46251.20833333334</v>
      </c>
      <c r="B3692">
        <f>TEXT(A3692,"yyyy-mm")</f>
        <v/>
      </c>
      <c r="C3692" s="3">
        <f>HOUR(A3692)</f>
        <v/>
      </c>
      <c r="D3692" s="4" t="n">
        <v>24.31174906923333</v>
      </c>
      <c r="E3692" s="4" t="n"/>
      <c r="F3692" s="4" t="n">
        <v>29.17869241428333</v>
      </c>
      <c r="G3692" s="4" t="n">
        <v>17.5</v>
      </c>
      <c r="H3692" s="5" t="n">
        <v>41.29578949852223</v>
      </c>
      <c r="I3692" s="5" t="n"/>
      <c r="J3692" s="5" t="n">
        <v>41.98010792089166</v>
      </c>
      <c r="K3692" s="5" t="n">
        <v>63</v>
      </c>
    </row>
    <row r="3693">
      <c r="A3693" s="2" t="n">
        <v>46251.25</v>
      </c>
      <c r="B3693">
        <f>TEXT(A3693,"yyyy-mm")</f>
        <v/>
      </c>
      <c r="C3693" s="3">
        <f>HOUR(A3693)</f>
        <v/>
      </c>
      <c r="D3693" s="4" t="n">
        <v>24.88212939700556</v>
      </c>
      <c r="E3693" s="4" t="n"/>
      <c r="F3693" s="4" t="n">
        <v>29.16230581442223</v>
      </c>
      <c r="G3693" s="4" t="n">
        <v>17.7</v>
      </c>
      <c r="H3693" s="5" t="n">
        <v>39.56855825110278</v>
      </c>
      <c r="I3693" s="5" t="n"/>
      <c r="J3693" s="5" t="n">
        <v>41.940994619675</v>
      </c>
      <c r="K3693" s="5" t="n">
        <v>62</v>
      </c>
    </row>
    <row r="3694">
      <c r="A3694" s="2" t="n">
        <v>46251.29166666666</v>
      </c>
      <c r="B3694">
        <f>TEXT(A3694,"yyyy-mm")</f>
        <v/>
      </c>
      <c r="C3694" s="3">
        <f>HOUR(A3694)</f>
        <v/>
      </c>
      <c r="D3694" s="4" t="n">
        <v>26.05040427311389</v>
      </c>
      <c r="E3694" s="4" t="n"/>
      <c r="F3694" s="4" t="n">
        <v>29.18328167940278</v>
      </c>
      <c r="G3694" s="4" t="n">
        <v>19.1</v>
      </c>
      <c r="H3694" s="5" t="n">
        <v>37.3288730948</v>
      </c>
      <c r="I3694" s="5" t="n"/>
      <c r="J3694" s="5" t="n">
        <v>41.89518741398056</v>
      </c>
      <c r="K3694" s="5" t="n">
        <v>58</v>
      </c>
    </row>
    <row r="3695">
      <c r="A3695" s="2" t="n">
        <v>46251.33333333334</v>
      </c>
      <c r="B3695">
        <f>TEXT(A3695,"yyyy-mm")</f>
        <v/>
      </c>
      <c r="C3695" s="3">
        <f>HOUR(A3695)</f>
        <v/>
      </c>
      <c r="D3695" s="4" t="n">
        <v>26.97954404748889</v>
      </c>
      <c r="E3695" s="4" t="n"/>
      <c r="F3695" s="4" t="n">
        <v>29.22470417906666</v>
      </c>
      <c r="G3695" s="4" t="n">
        <v>21.3</v>
      </c>
      <c r="H3695" s="5" t="n">
        <v>36.75245346531667</v>
      </c>
      <c r="I3695" s="5" t="n"/>
      <c r="J3695" s="5" t="n">
        <v>41.88086058037222</v>
      </c>
      <c r="K3695" s="5" t="n">
        <v>52</v>
      </c>
    </row>
    <row r="3696">
      <c r="A3696" s="2" t="n">
        <v>46251.375</v>
      </c>
      <c r="B3696">
        <f>TEXT(A3696,"yyyy-mm")</f>
        <v/>
      </c>
      <c r="C3696" s="3">
        <f>HOUR(A3696)</f>
        <v/>
      </c>
      <c r="D3696" s="4" t="n">
        <v>27.62830103718611</v>
      </c>
      <c r="E3696" s="4" t="n"/>
      <c r="F3696" s="4" t="n">
        <v>29.27970054256112</v>
      </c>
      <c r="G3696" s="4" t="n">
        <v>24.1</v>
      </c>
      <c r="H3696" s="5" t="n">
        <v>34.9490937993361</v>
      </c>
      <c r="I3696" s="5" t="n"/>
      <c r="J3696" s="5" t="n">
        <v>41.91594807432778</v>
      </c>
      <c r="K3696" s="5" t="n">
        <v>46</v>
      </c>
    </row>
    <row r="3697">
      <c r="A3697" s="2" t="n">
        <v>46251.41666666666</v>
      </c>
      <c r="B3697">
        <f>TEXT(A3697,"yyyy-mm")</f>
        <v/>
      </c>
      <c r="C3697" s="3">
        <f>HOUR(A3697)</f>
        <v/>
      </c>
      <c r="D3697" s="4" t="n">
        <v>26.81425819890833</v>
      </c>
      <c r="E3697" s="4" t="n"/>
      <c r="F3697" s="4" t="n">
        <v>29.340890570875</v>
      </c>
      <c r="G3697" s="4" t="n">
        <v>26.4</v>
      </c>
      <c r="H3697" s="5" t="n">
        <v>33.36044665685</v>
      </c>
      <c r="I3697" s="5" t="n"/>
      <c r="J3697" s="5" t="n">
        <v>41.87937320171111</v>
      </c>
      <c r="K3697" s="5" t="n">
        <v>40</v>
      </c>
    </row>
    <row r="3698">
      <c r="A3698" s="2" t="n">
        <v>46251.45833333334</v>
      </c>
      <c r="B3698">
        <f>TEXT(A3698,"yyyy-mm")</f>
        <v/>
      </c>
      <c r="C3698" s="3">
        <f>HOUR(A3698)</f>
        <v/>
      </c>
      <c r="D3698" s="4" t="n">
        <v>24.98132568994722</v>
      </c>
      <c r="E3698" s="4" t="n"/>
      <c r="F3698" s="4" t="n">
        <v>29.287878082475</v>
      </c>
      <c r="G3698" s="4" t="n">
        <v>28.3</v>
      </c>
      <c r="H3698" s="5" t="n">
        <v>31.84976913835278</v>
      </c>
      <c r="I3698" s="5" t="n"/>
      <c r="J3698" s="5" t="n">
        <v>41.64659200872222</v>
      </c>
      <c r="K3698" s="5" t="n">
        <v>33</v>
      </c>
    </row>
    <row r="3699">
      <c r="A3699" s="2" t="n">
        <v>46251.5</v>
      </c>
      <c r="B3699">
        <f>TEXT(A3699,"yyyy-mm")</f>
        <v/>
      </c>
      <c r="C3699" s="3">
        <f>HOUR(A3699)</f>
        <v/>
      </c>
      <c r="D3699" s="4" t="n">
        <v>24.90944102841111</v>
      </c>
      <c r="E3699" s="4" t="n"/>
      <c r="F3699" s="4" t="n">
        <v>29.23835788196666</v>
      </c>
      <c r="G3699" s="4" t="n">
        <v>29.4</v>
      </c>
      <c r="H3699" s="5" t="n">
        <v>31.70987234998056</v>
      </c>
      <c r="I3699" s="5" t="n"/>
      <c r="J3699" s="5" t="n">
        <v>41.30291950935</v>
      </c>
      <c r="K3699" s="5" t="n">
        <v>27</v>
      </c>
    </row>
    <row r="3700">
      <c r="A3700" s="2" t="n">
        <v>46251.54166666666</v>
      </c>
      <c r="B3700">
        <f>TEXT(A3700,"yyyy-mm")</f>
        <v/>
      </c>
      <c r="C3700" s="3">
        <f>HOUR(A3700)</f>
        <v/>
      </c>
      <c r="D3700" s="4" t="n">
        <v>24.693702288</v>
      </c>
      <c r="E3700" s="4" t="n"/>
      <c r="F3700" s="4" t="n">
        <v>29.217718962975</v>
      </c>
      <c r="G3700" s="4" t="n">
        <v>30</v>
      </c>
      <c r="H3700" s="5" t="n">
        <v>33.04629049636389</v>
      </c>
      <c r="I3700" s="5" t="n"/>
      <c r="J3700" s="5" t="n">
        <v>41.01939260647222</v>
      </c>
      <c r="K3700" s="5" t="n">
        <v>26</v>
      </c>
    </row>
    <row r="3701">
      <c r="A3701" s="2" t="n">
        <v>46251.58333333334</v>
      </c>
      <c r="B3701">
        <f>TEXT(A3701,"yyyy-mm")</f>
        <v/>
      </c>
      <c r="C3701" s="3">
        <f>HOUR(A3701)</f>
        <v/>
      </c>
      <c r="D3701" s="4" t="n">
        <v>24.77164658865</v>
      </c>
      <c r="E3701" s="4" t="n"/>
      <c r="F3701" s="4" t="n">
        <v>29.22180851294445</v>
      </c>
      <c r="G3701" s="4" t="n">
        <v>30.3</v>
      </c>
      <c r="H3701" s="5" t="n">
        <v>34.92129696992222</v>
      </c>
      <c r="I3701" s="5" t="n"/>
      <c r="J3701" s="5" t="n">
        <v>40.89880333281389</v>
      </c>
      <c r="K3701" s="5" t="n">
        <v>26</v>
      </c>
    </row>
    <row r="3702">
      <c r="A3702" s="2" t="n">
        <v>46251.625</v>
      </c>
      <c r="B3702">
        <f>TEXT(A3702,"yyyy-mm")</f>
        <v/>
      </c>
      <c r="C3702" s="3">
        <f>HOUR(A3702)</f>
        <v/>
      </c>
      <c r="D3702" s="4" t="n">
        <v>25.46107250888611</v>
      </c>
      <c r="E3702" s="4" t="n"/>
      <c r="F3702" s="4" t="n">
        <v>29.2566499188</v>
      </c>
      <c r="G3702" s="4" t="n">
        <v>31.2</v>
      </c>
      <c r="H3702" s="5" t="n">
        <v>39.11581301300834</v>
      </c>
      <c r="I3702" s="5" t="n"/>
      <c r="J3702" s="5" t="n">
        <v>40.93784604201389</v>
      </c>
      <c r="K3702" s="5" t="n">
        <v>25</v>
      </c>
    </row>
    <row r="3703">
      <c r="A3703" s="2" t="n">
        <v>46251.66666666666</v>
      </c>
      <c r="B3703">
        <f>TEXT(A3703,"yyyy-mm")</f>
        <v/>
      </c>
      <c r="C3703" s="3">
        <f>HOUR(A3703)</f>
        <v/>
      </c>
      <c r="D3703" s="4" t="n">
        <v>25.03521856941111</v>
      </c>
      <c r="E3703" s="4" t="n"/>
      <c r="F3703" s="4" t="n">
        <v>28.93200046125278</v>
      </c>
      <c r="G3703" s="4" t="n">
        <v>30.8</v>
      </c>
      <c r="H3703" s="5" t="n">
        <v>35.44012137836111</v>
      </c>
      <c r="I3703" s="5" t="n"/>
      <c r="J3703" s="5" t="n">
        <v>40.31197368739166</v>
      </c>
      <c r="K3703" s="5" t="n">
        <v>26</v>
      </c>
    </row>
    <row r="3704">
      <c r="A3704" s="2" t="n">
        <v>46251.70833333334</v>
      </c>
      <c r="B3704">
        <f>TEXT(A3704,"yyyy-mm")</f>
        <v/>
      </c>
      <c r="C3704" s="3">
        <f>HOUR(A3704)</f>
        <v/>
      </c>
      <c r="D3704" s="4" t="n">
        <v>25.00023481938333</v>
      </c>
      <c r="E3704" s="4" t="n"/>
      <c r="F3704" s="4" t="n">
        <v>29.00794241765269</v>
      </c>
      <c r="G3704" s="4" t="n">
        <v>30.4</v>
      </c>
      <c r="H3704" s="5" t="n">
        <v>37.97223872204444</v>
      </c>
      <c r="I3704" s="5" t="n"/>
      <c r="J3704" s="5" t="n">
        <v>40.18470330075657</v>
      </c>
      <c r="K3704" s="5" t="n">
        <v>27</v>
      </c>
    </row>
    <row r="3705">
      <c r="A3705" s="2" t="n">
        <v>46251.75</v>
      </c>
      <c r="B3705">
        <f>TEXT(A3705,"yyyy-mm")</f>
        <v/>
      </c>
      <c r="C3705" s="3">
        <f>HOUR(A3705)</f>
        <v/>
      </c>
      <c r="D3705" s="4" t="n">
        <v>24.63983400996389</v>
      </c>
      <c r="E3705" s="4" t="n"/>
      <c r="F3705" s="4" t="n">
        <v>29.24285827248461</v>
      </c>
      <c r="G3705" s="4" t="n">
        <v>29.8</v>
      </c>
      <c r="H3705" s="5" t="n">
        <v>35.52138038525833</v>
      </c>
      <c r="I3705" s="5" t="n"/>
      <c r="J3705" s="5" t="n">
        <v>40.42770753179003</v>
      </c>
      <c r="K3705" s="5" t="n">
        <v>29</v>
      </c>
    </row>
    <row r="3706">
      <c r="A3706" s="2" t="n">
        <v>46251.79166666666</v>
      </c>
      <c r="B3706">
        <f>TEXT(A3706,"yyyy-mm")</f>
        <v/>
      </c>
      <c r="C3706" s="3">
        <f>HOUR(A3706)</f>
        <v/>
      </c>
      <c r="D3706" s="4" t="n">
        <v>24.70685968162222</v>
      </c>
      <c r="E3706" s="4" t="n"/>
      <c r="F3706" s="4" t="n">
        <v>29.03525549695277</v>
      </c>
      <c r="G3706" s="4" t="n">
        <v>28.6</v>
      </c>
      <c r="H3706" s="5" t="n">
        <v>38.358119959425</v>
      </c>
      <c r="I3706" s="5" t="n"/>
      <c r="J3706" s="5" t="n">
        <v>40.43428119369722</v>
      </c>
      <c r="K3706" s="5" t="n">
        <v>34</v>
      </c>
    </row>
    <row r="3707">
      <c r="A3707" s="2" t="n">
        <v>46251.83333333334</v>
      </c>
      <c r="B3707">
        <f>TEXT(A3707,"yyyy-mm")</f>
        <v/>
      </c>
      <c r="C3707" s="3">
        <f>HOUR(A3707)</f>
        <v/>
      </c>
      <c r="D3707" s="4" t="n">
        <v>25.58061022034444</v>
      </c>
      <c r="E3707" s="4" t="n"/>
      <c r="F3707" s="4" t="n">
        <v>29.10312011670834</v>
      </c>
      <c r="G3707" s="4" t="n">
        <v>26.4</v>
      </c>
      <c r="H3707" s="5" t="n">
        <v>39.26647492243611</v>
      </c>
      <c r="I3707" s="5" t="n"/>
      <c r="J3707" s="5" t="n">
        <v>40.78682932542778</v>
      </c>
      <c r="K3707" s="5" t="n">
        <v>41</v>
      </c>
    </row>
    <row r="3708">
      <c r="A3708" s="2" t="n">
        <v>46251.875</v>
      </c>
      <c r="B3708">
        <f>TEXT(A3708,"yyyy-mm")</f>
        <v/>
      </c>
      <c r="C3708" s="3">
        <f>HOUR(A3708)</f>
        <v/>
      </c>
      <c r="D3708" s="4" t="n">
        <v>25.83640088202777</v>
      </c>
      <c r="E3708" s="4" t="n"/>
      <c r="F3708" s="4" t="n">
        <v>29.11976756635</v>
      </c>
      <c r="G3708" s="4" t="n">
        <v>25.3</v>
      </c>
      <c r="H3708" s="5" t="n">
        <v>38.53653615041111</v>
      </c>
      <c r="I3708" s="5" t="n"/>
      <c r="J3708" s="5" t="n">
        <v>41.05991040239167</v>
      </c>
      <c r="K3708" s="5" t="n">
        <v>41</v>
      </c>
    </row>
    <row r="3709">
      <c r="A3709" s="2" t="n">
        <v>46251.91666666666</v>
      </c>
      <c r="B3709">
        <f>TEXT(A3709,"yyyy-mm")</f>
        <v/>
      </c>
      <c r="C3709" s="3">
        <f>HOUR(A3709)</f>
        <v/>
      </c>
      <c r="D3709" s="4" t="n">
        <v>25.97556774902778</v>
      </c>
      <c r="E3709" s="4" t="n"/>
      <c r="F3709" s="4" t="n">
        <v>29.13029301775278</v>
      </c>
      <c r="G3709" s="4" t="n">
        <v>24.5</v>
      </c>
      <c r="H3709" s="5" t="n">
        <v>40.51233892255556</v>
      </c>
      <c r="I3709" s="5" t="n"/>
      <c r="J3709" s="5" t="n">
        <v>41.25018109206389</v>
      </c>
      <c r="K3709" s="5" t="n">
        <v>40</v>
      </c>
    </row>
    <row r="3710">
      <c r="A3710" s="2" t="n">
        <v>46251.95833333334</v>
      </c>
      <c r="B3710">
        <f>TEXT(A3710,"yyyy-mm")</f>
        <v/>
      </c>
      <c r="C3710" s="3">
        <f>HOUR(A3710)</f>
        <v/>
      </c>
      <c r="D3710" s="4" t="n">
        <v>26.215825553775</v>
      </c>
      <c r="E3710" s="4" t="n"/>
      <c r="F3710" s="4" t="n">
        <v>29.19403217953611</v>
      </c>
      <c r="G3710" s="4" t="n">
        <v>23.3</v>
      </c>
      <c r="H3710" s="5" t="n">
        <v>39.514254246275</v>
      </c>
      <c r="I3710" s="5" t="n"/>
      <c r="J3710" s="5" t="n">
        <v>41.37138279711944</v>
      </c>
      <c r="K3710" s="5" t="n">
        <v>44</v>
      </c>
    </row>
    <row r="3711">
      <c r="A3711" s="2" t="n">
        <v>46252</v>
      </c>
      <c r="B3711">
        <f>TEXT(A3711,"yyyy-mm")</f>
        <v/>
      </c>
      <c r="C3711" s="3">
        <f>HOUR(A3711)</f>
        <v/>
      </c>
      <c r="D3711" s="4" t="n">
        <v>26.08976640323333</v>
      </c>
      <c r="E3711" s="4" t="n"/>
      <c r="F3711" s="4" t="n">
        <v>29.22189538596945</v>
      </c>
      <c r="G3711" s="4" t="n">
        <v>22.4</v>
      </c>
      <c r="H3711" s="5" t="n">
        <v>36.90737302803611</v>
      </c>
      <c r="I3711" s="5" t="n"/>
      <c r="J3711" s="5" t="n">
        <v>41.42711333250278</v>
      </c>
      <c r="K3711" s="5" t="n">
        <v>47</v>
      </c>
    </row>
    <row r="3712">
      <c r="A3712" s="2" t="n">
        <v>46252.04166666666</v>
      </c>
      <c r="B3712">
        <f>TEXT(A3712,"yyyy-mm")</f>
        <v/>
      </c>
      <c r="C3712" s="3">
        <f>HOUR(A3712)</f>
        <v/>
      </c>
      <c r="D3712" s="4" t="n">
        <v>25.94640677324722</v>
      </c>
      <c r="E3712" s="4" t="n"/>
      <c r="F3712" s="4" t="n">
        <v>29.23741821001389</v>
      </c>
      <c r="G3712" s="4" t="n">
        <v>21.8</v>
      </c>
      <c r="H3712" s="5" t="n">
        <v>38.64062450024722</v>
      </c>
      <c r="I3712" s="5" t="n"/>
      <c r="J3712" s="5" t="n">
        <v>41.51596444131111</v>
      </c>
      <c r="K3712" s="5" t="n">
        <v>48</v>
      </c>
    </row>
    <row r="3713">
      <c r="A3713" s="2" t="n">
        <v>46252.08333333334</v>
      </c>
      <c r="B3713">
        <f>TEXT(A3713,"yyyy-mm")</f>
        <v/>
      </c>
      <c r="C3713" s="3">
        <f>HOUR(A3713)</f>
        <v/>
      </c>
      <c r="D3713" s="4" t="n">
        <v>25.62685595199722</v>
      </c>
      <c r="E3713" s="4" t="n"/>
      <c r="F3713" s="4" t="n">
        <v>29.25869732946945</v>
      </c>
      <c r="G3713" s="4" t="n">
        <v>21.3</v>
      </c>
      <c r="H3713" s="5" t="n">
        <v>39.43527259595277</v>
      </c>
      <c r="I3713" s="5" t="n"/>
      <c r="J3713" s="5" t="n">
        <v>41.63564349574444</v>
      </c>
      <c r="K3713" s="5" t="n">
        <v>48</v>
      </c>
    </row>
    <row r="3714">
      <c r="A3714" s="2" t="n">
        <v>46252.125</v>
      </c>
      <c r="B3714">
        <f>TEXT(A3714,"yyyy-mm")</f>
        <v/>
      </c>
      <c r="C3714" s="3">
        <f>HOUR(A3714)</f>
        <v/>
      </c>
      <c r="D3714" s="4" t="n">
        <v>25.58786677015277</v>
      </c>
      <c r="E3714" s="4" t="n"/>
      <c r="F3714" s="4" t="n">
        <v>29.23932701908333</v>
      </c>
      <c r="G3714" s="4" t="n">
        <v>20.1</v>
      </c>
      <c r="H3714" s="5" t="n">
        <v>38.53279423084444</v>
      </c>
      <c r="I3714" s="5" t="n"/>
      <c r="J3714" s="5" t="n">
        <v>41.63093859040277</v>
      </c>
      <c r="K3714" s="5" t="n">
        <v>52</v>
      </c>
    </row>
    <row r="3715">
      <c r="A3715" s="2" t="n">
        <v>46252.16666666666</v>
      </c>
      <c r="B3715">
        <f>TEXT(A3715,"yyyy-mm")</f>
        <v/>
      </c>
      <c r="C3715" s="3">
        <f>HOUR(A3715)</f>
        <v/>
      </c>
      <c r="D3715" s="4" t="n">
        <v>25.49877103948889</v>
      </c>
      <c r="E3715" s="4" t="n"/>
      <c r="F3715" s="4" t="n">
        <v>29.210580211725</v>
      </c>
      <c r="G3715" s="4" t="n">
        <v>19.6</v>
      </c>
      <c r="H3715" s="5" t="n">
        <v>37.87386930355277</v>
      </c>
      <c r="I3715" s="5" t="n"/>
      <c r="J3715" s="5" t="n">
        <v>41.55865606154722</v>
      </c>
      <c r="K3715" s="5" t="n">
        <v>53</v>
      </c>
    </row>
    <row r="3716">
      <c r="A3716" s="2" t="n">
        <v>46252.20833333334</v>
      </c>
      <c r="B3716">
        <f>TEXT(A3716,"yyyy-mm")</f>
        <v/>
      </c>
      <c r="C3716" s="3">
        <f>HOUR(A3716)</f>
        <v/>
      </c>
      <c r="D3716" s="4" t="n">
        <v>25.55950236091389</v>
      </c>
      <c r="E3716" s="4" t="n"/>
      <c r="F3716" s="4" t="n">
        <v>29.19552331066112</v>
      </c>
      <c r="G3716" s="4" t="n">
        <v>19.2</v>
      </c>
      <c r="H3716" s="5" t="n">
        <v>37.04327844267777</v>
      </c>
      <c r="I3716" s="5" t="n"/>
      <c r="J3716" s="5" t="n">
        <v>41.46633556503611</v>
      </c>
      <c r="K3716" s="5" t="n">
        <v>54</v>
      </c>
    </row>
    <row r="3717">
      <c r="A3717" s="2" t="n">
        <v>46252.25</v>
      </c>
      <c r="B3717">
        <f>TEXT(A3717,"yyyy-mm")</f>
        <v/>
      </c>
      <c r="C3717" s="3">
        <f>HOUR(A3717)</f>
        <v/>
      </c>
      <c r="D3717" s="4" t="n">
        <v>25.72853718863611</v>
      </c>
      <c r="E3717" s="4" t="n"/>
      <c r="F3717" s="4" t="n">
        <v>29.17702900528333</v>
      </c>
      <c r="G3717" s="4" t="n">
        <v>18.9</v>
      </c>
      <c r="H3717" s="5" t="n">
        <v>36.15829970136111</v>
      </c>
      <c r="I3717" s="5" t="n"/>
      <c r="J3717" s="5" t="n">
        <v>41.36811425893889</v>
      </c>
      <c r="K3717" s="5" t="n">
        <v>55</v>
      </c>
    </row>
    <row r="3718">
      <c r="A3718" s="2" t="n">
        <v>46252.29166666666</v>
      </c>
      <c r="B3718">
        <f>TEXT(A3718,"yyyy-mm")</f>
        <v/>
      </c>
      <c r="C3718" s="3">
        <f>HOUR(A3718)</f>
        <v/>
      </c>
      <c r="D3718" s="4" t="n">
        <v>26.37885620108056</v>
      </c>
      <c r="E3718" s="4" t="n"/>
      <c r="F3718" s="4" t="n">
        <v>29.19272893432778</v>
      </c>
      <c r="G3718" s="4" t="n">
        <v>19.9</v>
      </c>
      <c r="H3718" s="5" t="n">
        <v>35.49345678131112</v>
      </c>
      <c r="I3718" s="5" t="n"/>
      <c r="J3718" s="5" t="n">
        <v>41.36286165922223</v>
      </c>
      <c r="K3718" s="5" t="n">
        <v>53</v>
      </c>
    </row>
    <row r="3719">
      <c r="A3719" s="2" t="n">
        <v>46252.33333333334</v>
      </c>
      <c r="B3719">
        <f>TEXT(A3719,"yyyy-mm")</f>
        <v/>
      </c>
      <c r="C3719" s="3">
        <f>HOUR(A3719)</f>
        <v/>
      </c>
      <c r="D3719" s="4" t="n">
        <v>27.09073645394167</v>
      </c>
      <c r="E3719" s="4" t="n"/>
      <c r="F3719" s="4" t="n">
        <v>29.23375486463889</v>
      </c>
      <c r="G3719" s="4" t="n">
        <v>21.8</v>
      </c>
      <c r="H3719" s="5" t="n">
        <v>35.60205381030278</v>
      </c>
      <c r="I3719" s="5" t="n"/>
      <c r="J3719" s="5" t="n">
        <v>41.39631503395</v>
      </c>
      <c r="K3719" s="5" t="n">
        <v>47</v>
      </c>
    </row>
    <row r="3720">
      <c r="A3720" s="2" t="n">
        <v>46252.375</v>
      </c>
      <c r="B3720">
        <f>TEXT(A3720,"yyyy-mm")</f>
        <v/>
      </c>
      <c r="C3720" s="3">
        <f>HOUR(A3720)</f>
        <v/>
      </c>
      <c r="D3720" s="4" t="n">
        <v>27.66023297483889</v>
      </c>
      <c r="E3720" s="4" t="n"/>
      <c r="F3720" s="4" t="n">
        <v>29.27825893311389</v>
      </c>
      <c r="G3720" s="4" t="n">
        <v>24.5</v>
      </c>
      <c r="H3720" s="5" t="n">
        <v>36.06392653839723</v>
      </c>
      <c r="I3720" s="5" t="n"/>
      <c r="J3720" s="5" t="n">
        <v>41.48884347498611</v>
      </c>
      <c r="K3720" s="5" t="n">
        <v>41</v>
      </c>
    </row>
    <row r="3721">
      <c r="A3721" s="2" t="n">
        <v>46252.41666666666</v>
      </c>
      <c r="B3721">
        <f>TEXT(A3721,"yyyy-mm")</f>
        <v/>
      </c>
      <c r="C3721" s="3">
        <f>HOUR(A3721)</f>
        <v/>
      </c>
      <c r="D3721" s="4" t="n">
        <v>27.37784554686111</v>
      </c>
      <c r="E3721" s="4" t="n"/>
      <c r="F3721" s="4" t="n">
        <v>29.33289219983056</v>
      </c>
      <c r="G3721" s="4" t="n">
        <v>26.9</v>
      </c>
      <c r="H3721" s="5" t="n">
        <v>33.98721409613611</v>
      </c>
      <c r="I3721" s="5" t="n"/>
      <c r="J3721" s="5" t="n">
        <v>41.50107366625834</v>
      </c>
      <c r="K3721" s="5" t="n">
        <v>38</v>
      </c>
    </row>
    <row r="3722">
      <c r="A3722" s="2" t="n">
        <v>46252.45833333334</v>
      </c>
      <c r="B3722">
        <f>TEXT(A3722,"yyyy-mm")</f>
        <v/>
      </c>
      <c r="C3722" s="3">
        <f>HOUR(A3722)</f>
        <v/>
      </c>
      <c r="D3722" s="4" t="n">
        <v>26.84899997558056</v>
      </c>
      <c r="E3722" s="4" t="n"/>
      <c r="F3722" s="4" t="n">
        <v>29.33414501386666</v>
      </c>
      <c r="G3722" s="4" t="n">
        <v>29.1</v>
      </c>
      <c r="H3722" s="5" t="n">
        <v>34.369001200075</v>
      </c>
      <c r="I3722" s="5" t="n"/>
      <c r="J3722" s="5" t="n">
        <v>41.37384866105555</v>
      </c>
      <c r="K3722" s="5" t="n">
        <v>34</v>
      </c>
    </row>
    <row r="3723">
      <c r="A3723" s="2" t="n">
        <v>46252.5</v>
      </c>
      <c r="B3723">
        <f>TEXT(A3723,"yyyy-mm")</f>
        <v/>
      </c>
      <c r="C3723" s="3">
        <f>HOUR(A3723)</f>
        <v/>
      </c>
      <c r="D3723" s="4" t="n">
        <v>27.01495827139166</v>
      </c>
      <c r="E3723" s="4" t="n"/>
      <c r="F3723" s="4" t="n">
        <v>29.45092298621111</v>
      </c>
      <c r="G3723" s="4" t="n">
        <v>30.7</v>
      </c>
      <c r="H3723" s="5" t="n">
        <v>34.83142198072778</v>
      </c>
      <c r="I3723" s="5" t="n"/>
      <c r="J3723" s="5" t="n">
        <v>41.34781436053056</v>
      </c>
      <c r="K3723" s="5" t="n">
        <v>28</v>
      </c>
    </row>
    <row r="3724">
      <c r="A3724" s="2" t="n">
        <v>46252.54166666666</v>
      </c>
      <c r="B3724">
        <f>TEXT(A3724,"yyyy-mm")</f>
        <v/>
      </c>
      <c r="C3724" s="3">
        <f>HOUR(A3724)</f>
        <v/>
      </c>
      <c r="D3724" s="4" t="n">
        <v>26.36</v>
      </c>
      <c r="E3724" s="4" t="n"/>
      <c r="F3724" s="4" t="n">
        <v>29.06462974934166</v>
      </c>
      <c r="G3724" s="4" t="n">
        <v>31.2</v>
      </c>
      <c r="H3724" s="5" t="n">
        <v>32</v>
      </c>
      <c r="I3724" s="5" t="n"/>
      <c r="J3724" s="5" t="n">
        <v>40.05311623532778</v>
      </c>
      <c r="K3724" s="5" t="n">
        <v>25</v>
      </c>
    </row>
    <row r="3725">
      <c r="A3725" s="2" t="n">
        <v>46252.58333333334</v>
      </c>
      <c r="B3725">
        <f>TEXT(A3725,"yyyy-mm")</f>
        <v/>
      </c>
      <c r="C3725" s="3">
        <f>HOUR(A3725)</f>
        <v/>
      </c>
      <c r="D3725" s="4" t="n">
        <v>26.36</v>
      </c>
      <c r="E3725" s="4" t="n"/>
      <c r="F3725" s="4" t="n">
        <v>28.73566344400833</v>
      </c>
      <c r="G3725" s="4" t="n">
        <v>31.4</v>
      </c>
      <c r="H3725" s="5" t="n">
        <v>32</v>
      </c>
      <c r="I3725" s="5" t="n"/>
      <c r="J3725" s="5" t="n">
        <v>40.66306780605556</v>
      </c>
      <c r="K3725" s="5" t="n">
        <v>25</v>
      </c>
    </row>
    <row r="3726">
      <c r="A3726" s="2" t="n">
        <v>46252.625</v>
      </c>
      <c r="B3726">
        <f>TEXT(A3726,"yyyy-mm")</f>
        <v/>
      </c>
      <c r="C3726" s="3">
        <f>HOUR(A3726)</f>
        <v/>
      </c>
      <c r="D3726" s="4" t="n">
        <v>26.36</v>
      </c>
      <c r="E3726" s="4" t="n"/>
      <c r="F3726" s="4" t="n">
        <v>28.58450143785</v>
      </c>
      <c r="G3726" s="4" t="n">
        <v>32.2</v>
      </c>
      <c r="H3726" s="5" t="n">
        <v>32</v>
      </c>
      <c r="I3726" s="5" t="n"/>
      <c r="J3726" s="5" t="n">
        <v>39.87728617216666</v>
      </c>
      <c r="K3726" s="5" t="n">
        <v>23</v>
      </c>
    </row>
    <row r="3727">
      <c r="A3727" s="2" t="n">
        <v>46252.66666666666</v>
      </c>
      <c r="B3727">
        <f>TEXT(A3727,"yyyy-mm")</f>
        <v/>
      </c>
      <c r="C3727" s="3">
        <f>HOUR(A3727)</f>
        <v/>
      </c>
      <c r="D3727" s="4" t="n">
        <v>26.36</v>
      </c>
      <c r="E3727" s="4" t="n"/>
      <c r="F3727" s="4" t="n">
        <v>28.86199975635</v>
      </c>
      <c r="G3727" s="4" t="n">
        <v>31.7</v>
      </c>
      <c r="H3727" s="5" t="n">
        <v>32</v>
      </c>
      <c r="I3727" s="5" t="n"/>
      <c r="J3727" s="5" t="n">
        <v>39.47094126459445</v>
      </c>
      <c r="K3727" s="5" t="n">
        <v>23</v>
      </c>
    </row>
    <row r="3728">
      <c r="A3728" s="2" t="n">
        <v>46252.70833333334</v>
      </c>
      <c r="B3728">
        <f>TEXT(A3728,"yyyy-mm")</f>
        <v/>
      </c>
      <c r="C3728" s="3">
        <f>HOUR(A3728)</f>
        <v/>
      </c>
      <c r="D3728" s="4" t="n">
        <v>26.36</v>
      </c>
      <c r="E3728" s="4" t="n"/>
      <c r="F3728" s="4" t="n">
        <v>29.11599473784445</v>
      </c>
      <c r="G3728" s="4" t="n">
        <v>31.1</v>
      </c>
      <c r="H3728" s="5" t="n">
        <v>32</v>
      </c>
      <c r="I3728" s="5" t="n"/>
      <c r="J3728" s="5" t="n">
        <v>39.48702737515278</v>
      </c>
      <c r="K3728" s="5" t="n">
        <v>24</v>
      </c>
    </row>
    <row r="3729">
      <c r="A3729" s="2" t="n">
        <v>46252.75</v>
      </c>
      <c r="B3729">
        <f>TEXT(A3729,"yyyy-mm")</f>
        <v/>
      </c>
      <c r="C3729" s="3">
        <f>HOUR(A3729)</f>
        <v/>
      </c>
      <c r="D3729" s="4" t="n">
        <v>26.36</v>
      </c>
      <c r="E3729" s="4" t="n"/>
      <c r="F3729" s="4" t="n">
        <v>29.17639171905833</v>
      </c>
      <c r="G3729" s="4" t="n">
        <v>30.1</v>
      </c>
      <c r="H3729" s="5" t="n">
        <v>32</v>
      </c>
      <c r="I3729" s="5" t="n"/>
      <c r="J3729" s="5" t="n">
        <v>39.69472791473888</v>
      </c>
      <c r="K3729" s="5" t="n">
        <v>26</v>
      </c>
    </row>
    <row r="3730">
      <c r="A3730" s="2" t="n">
        <v>46252.79166666666</v>
      </c>
      <c r="B3730">
        <f>TEXT(A3730,"yyyy-mm")</f>
        <v/>
      </c>
      <c r="C3730" s="3">
        <f>HOUR(A3730)</f>
        <v/>
      </c>
      <c r="D3730" s="4" t="n">
        <v>26.36</v>
      </c>
      <c r="E3730" s="4" t="n"/>
      <c r="F3730" s="4" t="n">
        <v>29.17806217655833</v>
      </c>
      <c r="G3730" s="4" t="n">
        <v>28.7</v>
      </c>
      <c r="H3730" s="5" t="n">
        <v>32</v>
      </c>
      <c r="I3730" s="5" t="n"/>
      <c r="J3730" s="5" t="n">
        <v>39.65586361478611</v>
      </c>
      <c r="K3730" s="5" t="n">
        <v>31</v>
      </c>
    </row>
    <row r="3731">
      <c r="A3731" s="2" t="n">
        <v>46252.83333333334</v>
      </c>
      <c r="B3731">
        <f>TEXT(A3731,"yyyy-mm")</f>
        <v/>
      </c>
      <c r="C3731" s="3">
        <f>HOUR(A3731)</f>
        <v/>
      </c>
      <c r="D3731" s="4" t="n">
        <v>26.36</v>
      </c>
      <c r="E3731" s="4" t="n"/>
      <c r="F3731" s="4" t="n">
        <v>29.19497255228889</v>
      </c>
      <c r="G3731" s="4" t="n">
        <v>27</v>
      </c>
      <c r="H3731" s="5" t="n">
        <v>32</v>
      </c>
      <c r="I3731" s="5" t="n"/>
      <c r="J3731" s="5" t="n">
        <v>39.54717900269444</v>
      </c>
      <c r="K3731" s="5" t="n">
        <v>33</v>
      </c>
    </row>
    <row r="3732">
      <c r="A3732" s="2" t="n">
        <v>46252.875</v>
      </c>
      <c r="B3732">
        <f>TEXT(A3732,"yyyy-mm")</f>
        <v/>
      </c>
      <c r="C3732" s="3">
        <f>HOUR(A3732)</f>
        <v/>
      </c>
      <c r="D3732" s="4" t="n">
        <v>26.36</v>
      </c>
      <c r="E3732" s="4" t="n"/>
      <c r="F3732" s="4" t="n">
        <v>29.08104740316389</v>
      </c>
      <c r="G3732" s="4" t="n">
        <v>25.6</v>
      </c>
      <c r="H3732" s="5" t="n">
        <v>32</v>
      </c>
      <c r="I3732" s="5" t="n"/>
      <c r="J3732" s="5" t="n">
        <v>40.25686220140278</v>
      </c>
      <c r="K3732" s="5" t="n">
        <v>35</v>
      </c>
    </row>
    <row r="3733">
      <c r="A3733" s="2" t="n">
        <v>46252.91666666666</v>
      </c>
      <c r="B3733">
        <f>TEXT(A3733,"yyyy-mm")</f>
        <v/>
      </c>
      <c r="C3733" s="3">
        <f>HOUR(A3733)</f>
        <v/>
      </c>
      <c r="D3733" s="4" t="n">
        <v>26.36</v>
      </c>
      <c r="E3733" s="4" t="n"/>
      <c r="F3733" s="4" t="n">
        <v>28.876989592375</v>
      </c>
      <c r="G3733" s="4" t="n">
        <v>24.8</v>
      </c>
      <c r="H3733" s="5" t="n">
        <v>32</v>
      </c>
      <c r="I3733" s="5" t="n"/>
      <c r="J3733" s="5" t="n">
        <v>41.57828277519167</v>
      </c>
      <c r="K3733" s="5" t="n">
        <v>36</v>
      </c>
    </row>
    <row r="3734">
      <c r="A3734" s="2" t="n">
        <v>46252.95833333334</v>
      </c>
      <c r="B3734">
        <f>TEXT(A3734,"yyyy-mm")</f>
        <v/>
      </c>
      <c r="C3734" s="3">
        <f>HOUR(A3734)</f>
        <v/>
      </c>
      <c r="D3734" s="4" t="n">
        <v>26.36</v>
      </c>
      <c r="E3734" s="4" t="n"/>
      <c r="F3734" s="4" t="n">
        <v>29.218671457825</v>
      </c>
      <c r="G3734" s="4" t="n">
        <v>24.2</v>
      </c>
      <c r="H3734" s="5" t="n">
        <v>32</v>
      </c>
      <c r="I3734" s="5" t="n"/>
      <c r="J3734" s="5" t="n">
        <v>40.88925330077777</v>
      </c>
      <c r="K3734" s="5" t="n">
        <v>36</v>
      </c>
    </row>
    <row r="3735">
      <c r="A3735" s="2" t="n">
        <v>46253</v>
      </c>
      <c r="B3735">
        <f>TEXT(A3735,"yyyy-mm")</f>
        <v/>
      </c>
      <c r="C3735" s="3">
        <f>HOUR(A3735)</f>
        <v/>
      </c>
      <c r="D3735" s="4" t="n">
        <v>26.36</v>
      </c>
      <c r="E3735" s="4" t="n"/>
      <c r="F3735" s="4" t="n">
        <v>29.25468964575</v>
      </c>
      <c r="G3735" s="4" t="n">
        <v>23.4</v>
      </c>
      <c r="H3735" s="5" t="n">
        <v>32</v>
      </c>
      <c r="I3735" s="5" t="n"/>
      <c r="J3735" s="5" t="n">
        <v>40.92798514508333</v>
      </c>
      <c r="K3735" s="5" t="n">
        <v>38</v>
      </c>
    </row>
    <row r="3736">
      <c r="A3736" s="2" t="n">
        <v>46253.04166666666</v>
      </c>
      <c r="B3736">
        <f>TEXT(A3736,"yyyy-mm")</f>
        <v/>
      </c>
      <c r="C3736" s="3">
        <f>HOUR(A3736)</f>
        <v/>
      </c>
      <c r="D3736" s="4" t="n">
        <v>26.36</v>
      </c>
      <c r="E3736" s="4" t="n"/>
      <c r="F3736" s="4" t="n">
        <v>29.29659127043889</v>
      </c>
      <c r="G3736" s="4" t="n">
        <v>21.7</v>
      </c>
      <c r="H3736" s="5" t="n">
        <v>32</v>
      </c>
      <c r="I3736" s="5" t="n"/>
      <c r="J3736" s="5" t="n">
        <v>41.11338594389445</v>
      </c>
      <c r="K3736" s="5" t="n">
        <v>51</v>
      </c>
    </row>
    <row r="3737">
      <c r="A3737" s="2" t="n">
        <v>46253.08333333334</v>
      </c>
      <c r="B3737">
        <f>TEXT(A3737,"yyyy-mm")</f>
        <v/>
      </c>
      <c r="C3737" s="3">
        <f>HOUR(A3737)</f>
        <v/>
      </c>
      <c r="D3737" s="4" t="n">
        <v>26.36</v>
      </c>
      <c r="E3737" s="4" t="n"/>
      <c r="F3737" s="4" t="n">
        <v>29.29788885864722</v>
      </c>
      <c r="G3737" s="4" t="n">
        <v>20.4</v>
      </c>
      <c r="H3737" s="5" t="n">
        <v>32</v>
      </c>
      <c r="I3737" s="5" t="n"/>
      <c r="J3737" s="5" t="n">
        <v>41.32183139683611</v>
      </c>
      <c r="K3737" s="5" t="n">
        <v>64</v>
      </c>
    </row>
    <row r="3738">
      <c r="A3738" s="2" t="n">
        <v>46253.125</v>
      </c>
      <c r="B3738">
        <f>TEXT(A3738,"yyyy-mm")</f>
        <v/>
      </c>
      <c r="C3738" s="3">
        <f>HOUR(A3738)</f>
        <v/>
      </c>
      <c r="D3738" s="4" t="n">
        <v>26.36</v>
      </c>
      <c r="E3738" s="4" t="n"/>
      <c r="F3738" s="4" t="n">
        <v>29.29639280666945</v>
      </c>
      <c r="G3738" s="4" t="n">
        <v>18.7</v>
      </c>
      <c r="H3738" s="5" t="n">
        <v>32</v>
      </c>
      <c r="I3738" s="5" t="n"/>
      <c r="J3738" s="5" t="n">
        <v>41.48015596329167</v>
      </c>
      <c r="K3738" s="5" t="n">
        <v>75</v>
      </c>
    </row>
    <row r="3739">
      <c r="A3739" s="2" t="n">
        <v>46253.16666666666</v>
      </c>
      <c r="B3739">
        <f>TEXT(A3739,"yyyy-mm")</f>
        <v/>
      </c>
      <c r="C3739" s="3">
        <f>HOUR(A3739)</f>
        <v/>
      </c>
      <c r="D3739" s="4" t="n">
        <v>26.36</v>
      </c>
      <c r="E3739" s="4" t="n"/>
      <c r="F3739" s="4" t="n">
        <v>29.29591529440833</v>
      </c>
      <c r="G3739" s="4" t="n">
        <v>18.4</v>
      </c>
      <c r="H3739" s="5" t="n">
        <v>32</v>
      </c>
      <c r="I3739" s="5" t="n"/>
      <c r="J3739" s="5" t="n">
        <v>41.62464960433889</v>
      </c>
      <c r="K3739" s="5" t="n">
        <v>80</v>
      </c>
    </row>
    <row r="3740">
      <c r="A3740" s="2" t="n">
        <v>46253.20833333334</v>
      </c>
      <c r="B3740">
        <f>TEXT(A3740,"yyyy-mm")</f>
        <v/>
      </c>
      <c r="C3740" s="3">
        <f>HOUR(A3740)</f>
        <v/>
      </c>
      <c r="D3740" s="4" t="n">
        <v>26.36</v>
      </c>
      <c r="E3740" s="4" t="n"/>
      <c r="F3740" s="4" t="n">
        <v>29.29133143736667</v>
      </c>
      <c r="G3740" s="4" t="n">
        <v>17.8</v>
      </c>
      <c r="H3740" s="5" t="n">
        <v>32</v>
      </c>
      <c r="I3740" s="5" t="n"/>
      <c r="J3740" s="5" t="n">
        <v>41.90565914638611</v>
      </c>
      <c r="K3740" s="5" t="n">
        <v>83</v>
      </c>
    </row>
    <row r="3741">
      <c r="A3741" s="2" t="n">
        <v>46253.25</v>
      </c>
      <c r="B3741">
        <f>TEXT(A3741,"yyyy-mm")</f>
        <v/>
      </c>
      <c r="C3741" s="3">
        <f>HOUR(A3741)</f>
        <v/>
      </c>
      <c r="D3741" s="4" t="n">
        <v>26.36</v>
      </c>
      <c r="E3741" s="4" t="n"/>
      <c r="F3741" s="4" t="n">
        <v>29.29300135940555</v>
      </c>
      <c r="G3741" s="4" t="n">
        <v>17</v>
      </c>
      <c r="H3741" s="5" t="n">
        <v>32</v>
      </c>
      <c r="I3741" s="5" t="n"/>
      <c r="J3741" s="5" t="n">
        <v>42.133987105075</v>
      </c>
      <c r="K3741" s="5" t="n">
        <v>82</v>
      </c>
    </row>
    <row r="3742">
      <c r="A3742" s="2" t="n">
        <v>46253.29166666666</v>
      </c>
      <c r="B3742">
        <f>TEXT(A3742,"yyyy-mm")</f>
        <v/>
      </c>
      <c r="C3742" s="3">
        <f>HOUR(A3742)</f>
        <v/>
      </c>
      <c r="D3742" s="4" t="n">
        <v>26.36</v>
      </c>
      <c r="E3742" s="4" t="n"/>
      <c r="F3742" s="4" t="n">
        <v>29.31597962458056</v>
      </c>
      <c r="G3742" s="4" t="n">
        <v>17.1</v>
      </c>
      <c r="H3742" s="5" t="n">
        <v>32</v>
      </c>
      <c r="I3742" s="5" t="n"/>
      <c r="J3742" s="5" t="n">
        <v>42.18587940731389</v>
      </c>
      <c r="K3742" s="5" t="n">
        <v>79</v>
      </c>
    </row>
    <row r="3743">
      <c r="A3743" s="2" t="n">
        <v>46253.33333333334</v>
      </c>
      <c r="B3743">
        <f>TEXT(A3743,"yyyy-mm")</f>
        <v/>
      </c>
      <c r="C3743" s="3">
        <f>HOUR(A3743)</f>
        <v/>
      </c>
      <c r="D3743" s="4" t="n">
        <v>26.36</v>
      </c>
      <c r="E3743" s="4" t="n"/>
      <c r="F3743" s="4" t="n">
        <v>29.31332551059722</v>
      </c>
      <c r="G3743" s="4" t="n">
        <v>17.8</v>
      </c>
      <c r="H3743" s="5" t="n">
        <v>32</v>
      </c>
      <c r="I3743" s="5" t="n"/>
      <c r="J3743" s="5" t="n">
        <v>42.23723805083889</v>
      </c>
      <c r="K3743" s="5" t="n">
        <v>74</v>
      </c>
    </row>
    <row r="3744">
      <c r="A3744" s="2" t="n">
        <v>46253.375</v>
      </c>
      <c r="B3744">
        <f>TEXT(A3744,"yyyy-mm")</f>
        <v/>
      </c>
      <c r="C3744" s="3">
        <f>HOUR(A3744)</f>
        <v/>
      </c>
      <c r="D3744" s="4" t="n">
        <v>26.36</v>
      </c>
      <c r="E3744" s="4" t="n"/>
      <c r="F3744" s="4" t="n">
        <v>29.29655706515278</v>
      </c>
      <c r="G3744" s="4" t="n">
        <v>18.8</v>
      </c>
      <c r="H3744" s="5" t="n">
        <v>32</v>
      </c>
      <c r="I3744" s="5" t="n"/>
      <c r="J3744" s="5" t="n">
        <v>42.28600526535833</v>
      </c>
      <c r="K3744" s="5" t="n">
        <v>65</v>
      </c>
    </row>
    <row r="3745">
      <c r="A3745" s="2" t="n">
        <v>46253.41666666666</v>
      </c>
      <c r="B3745">
        <f>TEXT(A3745,"yyyy-mm")</f>
        <v/>
      </c>
      <c r="C3745" s="3">
        <f>HOUR(A3745)</f>
        <v/>
      </c>
      <c r="D3745" s="4" t="n">
        <v>26.36</v>
      </c>
      <c r="E3745" s="4" t="n"/>
      <c r="F3745" s="4" t="n">
        <v>29.29536295811389</v>
      </c>
      <c r="G3745" s="4" t="n">
        <v>20.2</v>
      </c>
      <c r="H3745" s="5" t="n">
        <v>32</v>
      </c>
      <c r="I3745" s="5" t="n"/>
      <c r="J3745" s="5" t="n">
        <v>42.30460957874445</v>
      </c>
      <c r="K3745" s="5" t="n">
        <v>58</v>
      </c>
    </row>
    <row r="3746">
      <c r="A3746" s="2" t="n">
        <v>46253.45833333334</v>
      </c>
      <c r="B3746">
        <f>TEXT(A3746,"yyyy-mm")</f>
        <v/>
      </c>
      <c r="C3746" s="3">
        <f>HOUR(A3746)</f>
        <v/>
      </c>
      <c r="D3746" s="4" t="n">
        <v>26.36</v>
      </c>
      <c r="E3746" s="4" t="n"/>
      <c r="F3746" s="4" t="n">
        <v>29.38270742346389</v>
      </c>
      <c r="G3746" s="4" t="n">
        <v>19.5</v>
      </c>
      <c r="H3746" s="5" t="n">
        <v>32</v>
      </c>
      <c r="I3746" s="5" t="n"/>
      <c r="J3746" s="5" t="n">
        <v>42.16012270634167</v>
      </c>
      <c r="K3746" s="5" t="n">
        <v>59</v>
      </c>
    </row>
    <row r="3747">
      <c r="A3747" s="2" t="n">
        <v>46253.5</v>
      </c>
      <c r="B3747">
        <f>TEXT(A3747,"yyyy-mm")</f>
        <v/>
      </c>
      <c r="C3747" s="3">
        <f>HOUR(A3747)</f>
        <v/>
      </c>
      <c r="D3747" s="4" t="n">
        <v>26.36</v>
      </c>
      <c r="E3747" s="4" t="n"/>
      <c r="F3747" s="4" t="n">
        <v>29.37386387200833</v>
      </c>
      <c r="G3747" s="4" t="n">
        <v>19.6</v>
      </c>
      <c r="H3747" s="5" t="n">
        <v>32</v>
      </c>
      <c r="I3747" s="5" t="n"/>
      <c r="J3747" s="5" t="n">
        <v>42.26120029167222</v>
      </c>
      <c r="K3747" s="5" t="n">
        <v>58</v>
      </c>
    </row>
    <row r="3748">
      <c r="A3748" s="2" t="n">
        <v>46253.54166666666</v>
      </c>
      <c r="B3748">
        <f>TEXT(A3748,"yyyy-mm")</f>
        <v/>
      </c>
      <c r="C3748" s="3">
        <f>HOUR(A3748)</f>
        <v/>
      </c>
      <c r="D3748" s="4" t="n">
        <v>26.36</v>
      </c>
      <c r="E3748" s="4" t="n"/>
      <c r="F3748" s="4" t="n">
        <v>29.36379669064167</v>
      </c>
      <c r="G3748" s="4" t="n">
        <v>20.9</v>
      </c>
      <c r="H3748" s="5" t="n">
        <v>32</v>
      </c>
      <c r="I3748" s="5" t="n"/>
      <c r="J3748" s="5" t="n">
        <v>42.3056759155</v>
      </c>
      <c r="K3748" s="5" t="n">
        <v>51</v>
      </c>
    </row>
    <row r="3749">
      <c r="A3749" s="2" t="n">
        <v>46253.58333333334</v>
      </c>
      <c r="B3749">
        <f>TEXT(A3749,"yyyy-mm")</f>
        <v/>
      </c>
      <c r="C3749" s="3">
        <f>HOUR(A3749)</f>
        <v/>
      </c>
      <c r="D3749" s="4" t="n">
        <v>26.36</v>
      </c>
      <c r="E3749" s="4" t="n"/>
      <c r="F3749" s="4" t="n">
        <v>29.38885764627777</v>
      </c>
      <c r="G3749" s="4" t="n">
        <v>23.3</v>
      </c>
      <c r="H3749" s="5" t="n">
        <v>32</v>
      </c>
      <c r="I3749" s="5" t="n"/>
      <c r="J3749" s="5" t="n">
        <v>42.25721960466944</v>
      </c>
      <c r="K3749" s="5" t="n">
        <v>39</v>
      </c>
    </row>
    <row r="3750">
      <c r="A3750" s="2" t="n">
        <v>46253.625</v>
      </c>
      <c r="B3750">
        <f>TEXT(A3750,"yyyy-mm")</f>
        <v/>
      </c>
      <c r="C3750" s="3">
        <f>HOUR(A3750)</f>
        <v/>
      </c>
      <c r="D3750" s="4" t="n">
        <v>26.36</v>
      </c>
      <c r="E3750" s="4" t="n"/>
      <c r="F3750" s="4" t="n">
        <v>29.38175472238056</v>
      </c>
      <c r="G3750" s="4" t="n">
        <v>23.2</v>
      </c>
      <c r="H3750" s="5" t="n">
        <v>32</v>
      </c>
      <c r="I3750" s="5" t="n"/>
      <c r="J3750" s="5" t="n">
        <v>42.21165404676945</v>
      </c>
      <c r="K3750" s="5" t="n">
        <v>40</v>
      </c>
    </row>
    <row r="3751">
      <c r="A3751" s="2" t="n">
        <v>46253.66666666666</v>
      </c>
      <c r="B3751">
        <f>TEXT(A3751,"yyyy-mm")</f>
        <v/>
      </c>
      <c r="C3751" s="3">
        <f>HOUR(A3751)</f>
        <v/>
      </c>
      <c r="D3751" s="4" t="n">
        <v>26.36</v>
      </c>
      <c r="E3751" s="4" t="n"/>
      <c r="F3751" s="4" t="n">
        <v>29.40039498512222</v>
      </c>
      <c r="G3751" s="4" t="n">
        <v>23.6</v>
      </c>
      <c r="H3751" s="5" t="n">
        <v>32</v>
      </c>
      <c r="I3751" s="5" t="n"/>
      <c r="J3751" s="5" t="n">
        <v>42.14007499433333</v>
      </c>
      <c r="K3751" s="5" t="n">
        <v>37</v>
      </c>
    </row>
    <row r="3752">
      <c r="A3752" s="2" t="n">
        <v>46253.70833333334</v>
      </c>
      <c r="B3752">
        <f>TEXT(A3752,"yyyy-mm")</f>
        <v/>
      </c>
      <c r="C3752" s="3">
        <f>HOUR(A3752)</f>
        <v/>
      </c>
      <c r="D3752" s="4" t="n">
        <v>26.36</v>
      </c>
      <c r="E3752" s="4" t="n"/>
      <c r="F3752" s="4" t="n">
        <v>29.41591664498056</v>
      </c>
      <c r="G3752" s="4" t="n">
        <v>23.5</v>
      </c>
      <c r="H3752" s="5" t="n">
        <v>32</v>
      </c>
      <c r="I3752" s="5" t="n"/>
      <c r="J3752" s="5" t="n">
        <v>42.09630346482778</v>
      </c>
      <c r="K3752" s="5" t="n">
        <v>37</v>
      </c>
    </row>
    <row r="3753">
      <c r="A3753" s="2" t="n">
        <v>46253.75</v>
      </c>
      <c r="B3753">
        <f>TEXT(A3753,"yyyy-mm")</f>
        <v/>
      </c>
      <c r="C3753" s="3">
        <f>HOUR(A3753)</f>
        <v/>
      </c>
      <c r="D3753" s="4" t="n">
        <v>26.36</v>
      </c>
      <c r="E3753" s="4" t="n"/>
      <c r="F3753" s="4" t="n">
        <v>29.43172360046389</v>
      </c>
      <c r="G3753" s="4" t="n">
        <v>23.1</v>
      </c>
      <c r="H3753" s="5" t="n">
        <v>32</v>
      </c>
      <c r="I3753" s="5" t="n"/>
      <c r="J3753" s="5" t="n">
        <v>42.06238159103611</v>
      </c>
      <c r="K3753" s="5" t="n">
        <v>39</v>
      </c>
    </row>
    <row r="3754">
      <c r="A3754" s="2" t="n">
        <v>46253.79166666666</v>
      </c>
      <c r="B3754">
        <f>TEXT(A3754,"yyyy-mm")</f>
        <v/>
      </c>
      <c r="C3754" s="3">
        <f>HOUR(A3754)</f>
        <v/>
      </c>
      <c r="D3754" s="4" t="n">
        <v>26.36</v>
      </c>
      <c r="E3754" s="4" t="n"/>
      <c r="F3754" s="4" t="n">
        <v>29.43491676827778</v>
      </c>
      <c r="G3754" s="4" t="n">
        <v>22.3</v>
      </c>
      <c r="H3754" s="5" t="n">
        <v>32</v>
      </c>
      <c r="I3754" s="5" t="n"/>
      <c r="J3754" s="5" t="n">
        <v>42.04593867205278</v>
      </c>
      <c r="K3754" s="5" t="n">
        <v>42</v>
      </c>
    </row>
    <row r="3755">
      <c r="A3755" s="2" t="n">
        <v>46253.83333333334</v>
      </c>
      <c r="B3755">
        <f>TEXT(A3755,"yyyy-mm")</f>
        <v/>
      </c>
      <c r="C3755" s="3">
        <f>HOUR(A3755)</f>
        <v/>
      </c>
      <c r="D3755" s="4" t="n">
        <v>26.36</v>
      </c>
      <c r="E3755" s="4" t="n"/>
      <c r="F3755" s="4" t="n">
        <v>29.43614016619444</v>
      </c>
      <c r="G3755" s="4" t="n">
        <v>21.6</v>
      </c>
      <c r="H3755" s="5" t="n">
        <v>32</v>
      </c>
      <c r="I3755" s="5" t="n"/>
      <c r="J3755" s="5" t="n">
        <v>41.95070670851667</v>
      </c>
      <c r="K3755" s="5" t="n">
        <v>45</v>
      </c>
    </row>
    <row r="3756">
      <c r="A3756" s="2" t="n">
        <v>46253.875</v>
      </c>
      <c r="B3756">
        <f>TEXT(A3756,"yyyy-mm")</f>
        <v/>
      </c>
      <c r="C3756" s="3">
        <f>HOUR(A3756)</f>
        <v/>
      </c>
      <c r="D3756" s="4" t="n">
        <v>26.36</v>
      </c>
      <c r="E3756" s="4" t="n"/>
      <c r="F3756" s="4" t="n">
        <v>29.44741758780278</v>
      </c>
      <c r="G3756" s="4" t="n">
        <v>20.9</v>
      </c>
      <c r="H3756" s="5" t="n">
        <v>32</v>
      </c>
      <c r="I3756" s="5" t="n"/>
      <c r="J3756" s="5" t="n">
        <v>41.9175599727</v>
      </c>
      <c r="K3756" s="5" t="n">
        <v>47</v>
      </c>
    </row>
    <row r="3757">
      <c r="A3757" s="2" t="n">
        <v>46253.91666666666</v>
      </c>
      <c r="B3757">
        <f>TEXT(A3757,"yyyy-mm")</f>
        <v/>
      </c>
      <c r="C3757" s="3">
        <f>HOUR(A3757)</f>
        <v/>
      </c>
      <c r="D3757" s="4" t="n">
        <v>26.36</v>
      </c>
      <c r="E3757" s="4" t="n"/>
      <c r="F3757" s="4" t="n">
        <v>29.46388990194444</v>
      </c>
      <c r="G3757" s="4" t="n">
        <v>20.1</v>
      </c>
      <c r="H3757" s="5" t="n">
        <v>32</v>
      </c>
      <c r="I3757" s="5" t="n"/>
      <c r="J3757" s="5" t="n">
        <v>41.91391236017778</v>
      </c>
      <c r="K3757" s="5" t="n">
        <v>51</v>
      </c>
    </row>
    <row r="3758">
      <c r="A3758" s="2" t="n">
        <v>46253.95833333334</v>
      </c>
      <c r="B3758">
        <f>TEXT(A3758,"yyyy-mm")</f>
        <v/>
      </c>
      <c r="C3758" s="3">
        <f>HOUR(A3758)</f>
        <v/>
      </c>
      <c r="D3758" s="4" t="n">
        <v>26.36</v>
      </c>
      <c r="E3758" s="4" t="n"/>
      <c r="F3758" s="4" t="n">
        <v>29.46803116168612</v>
      </c>
      <c r="G3758" s="4" t="n">
        <v>18.7</v>
      </c>
      <c r="H3758" s="5" t="n">
        <v>32</v>
      </c>
      <c r="I3758" s="5" t="n"/>
      <c r="J3758" s="5" t="n">
        <v>41.875626703975</v>
      </c>
      <c r="K3758" s="5" t="n">
        <v>59</v>
      </c>
    </row>
    <row r="3759">
      <c r="A3759" s="2" t="n">
        <v>46254</v>
      </c>
      <c r="B3759">
        <f>TEXT(A3759,"yyyy-mm")</f>
        <v/>
      </c>
      <c r="C3759" s="3">
        <f>HOUR(A3759)</f>
        <v/>
      </c>
      <c r="D3759" s="4" t="n">
        <v>26.36</v>
      </c>
      <c r="E3759" s="4" t="n"/>
      <c r="F3759" s="4" t="n">
        <v>29.44340586161944</v>
      </c>
      <c r="G3759" s="4" t="n">
        <v>17.8</v>
      </c>
      <c r="H3759" s="5" t="n">
        <v>32</v>
      </c>
      <c r="I3759" s="5" t="n"/>
      <c r="J3759" s="5" t="n">
        <v>41.87951005317223</v>
      </c>
      <c r="K3759" s="5" t="n">
        <v>64</v>
      </c>
    </row>
    <row r="3760">
      <c r="A3760" s="2" t="n">
        <v>46254.04166666666</v>
      </c>
      <c r="B3760">
        <f>TEXT(A3760,"yyyy-mm")</f>
        <v/>
      </c>
      <c r="C3760" s="3">
        <f>HOUR(A3760)</f>
        <v/>
      </c>
      <c r="D3760" s="4" t="n">
        <v>26.36</v>
      </c>
      <c r="E3760" s="4" t="n"/>
      <c r="F3760" s="4" t="n">
        <v>29.38121465483056</v>
      </c>
      <c r="G3760" s="4" t="n">
        <v>17.4</v>
      </c>
      <c r="H3760" s="5" t="n">
        <v>32</v>
      </c>
      <c r="I3760" s="5" t="n"/>
      <c r="J3760" s="5" t="n">
        <v>41.938752139375</v>
      </c>
      <c r="K3760" s="5" t="n">
        <v>65</v>
      </c>
    </row>
    <row r="3761">
      <c r="A3761" s="2" t="n">
        <v>46254.08333333334</v>
      </c>
      <c r="B3761">
        <f>TEXT(A3761,"yyyy-mm")</f>
        <v/>
      </c>
      <c r="C3761" s="3">
        <f>HOUR(A3761)</f>
        <v/>
      </c>
      <c r="D3761" s="4" t="n">
        <v>26.36</v>
      </c>
      <c r="E3761" s="4" t="n"/>
      <c r="F3761" s="4" t="n">
        <v>29.34018862500556</v>
      </c>
      <c r="G3761" s="4" t="n">
        <v>16.9</v>
      </c>
      <c r="H3761" s="5" t="n">
        <v>32</v>
      </c>
      <c r="I3761" s="5" t="n"/>
      <c r="J3761" s="5" t="n">
        <v>41.90838091775834</v>
      </c>
      <c r="K3761" s="5" t="n">
        <v>66</v>
      </c>
    </row>
    <row r="3762">
      <c r="A3762" s="2" t="n">
        <v>46254.125</v>
      </c>
      <c r="B3762">
        <f>TEXT(A3762,"yyyy-mm")</f>
        <v/>
      </c>
      <c r="C3762" s="3">
        <f>HOUR(A3762)</f>
        <v/>
      </c>
      <c r="D3762" s="4" t="n">
        <v>26.36</v>
      </c>
      <c r="E3762" s="4" t="n"/>
      <c r="F3762" s="4" t="n">
        <v>29.30346751908333</v>
      </c>
      <c r="G3762" s="4" t="n">
        <v>15.8</v>
      </c>
      <c r="H3762" s="5" t="n">
        <v>32</v>
      </c>
      <c r="I3762" s="5" t="n"/>
      <c r="J3762" s="5" t="n">
        <v>41.86669128565556</v>
      </c>
      <c r="K3762" s="5" t="n">
        <v>68</v>
      </c>
    </row>
    <row r="3763">
      <c r="A3763" s="2" t="n">
        <v>46254.16666666666</v>
      </c>
      <c r="B3763">
        <f>TEXT(A3763,"yyyy-mm")</f>
        <v/>
      </c>
      <c r="C3763" s="3">
        <f>HOUR(A3763)</f>
        <v/>
      </c>
      <c r="D3763" s="4" t="n">
        <v>26.36</v>
      </c>
      <c r="E3763" s="4" t="n"/>
      <c r="F3763" s="4" t="n">
        <v>29.26696436674722</v>
      </c>
      <c r="G3763" s="4" t="n">
        <v>15.2</v>
      </c>
      <c r="H3763" s="5" t="n">
        <v>32</v>
      </c>
      <c r="I3763" s="5" t="n"/>
      <c r="J3763" s="5" t="n">
        <v>41.81462808889167</v>
      </c>
      <c r="K3763" s="5" t="n">
        <v>70</v>
      </c>
    </row>
    <row r="3764">
      <c r="A3764" s="2" t="n">
        <v>46254.20833333334</v>
      </c>
      <c r="B3764">
        <f>TEXT(A3764,"yyyy-mm")</f>
        <v/>
      </c>
      <c r="C3764" s="3">
        <f>HOUR(A3764)</f>
        <v/>
      </c>
      <c r="D3764" s="4" t="n">
        <v>26.36</v>
      </c>
      <c r="E3764" s="4" t="n"/>
      <c r="F3764" s="4" t="n">
        <v>29.23213397496944</v>
      </c>
      <c r="G3764" s="4" t="n">
        <v>14.7</v>
      </c>
      <c r="H3764" s="5" t="n">
        <v>32</v>
      </c>
      <c r="I3764" s="5" t="n"/>
      <c r="J3764" s="5" t="n">
        <v>41.74218640499167</v>
      </c>
      <c r="K3764" s="5" t="n">
        <v>74</v>
      </c>
    </row>
    <row r="3765">
      <c r="A3765" s="2" t="n">
        <v>46254.25</v>
      </c>
      <c r="B3765">
        <f>TEXT(A3765,"yyyy-mm")</f>
        <v/>
      </c>
      <c r="C3765" s="3">
        <f>HOUR(A3765)</f>
        <v/>
      </c>
      <c r="D3765" s="4" t="n">
        <v>26.36</v>
      </c>
      <c r="E3765" s="4" t="n"/>
      <c r="F3765" s="4" t="n">
        <v>29.22339321245833</v>
      </c>
      <c r="G3765" s="4" t="n">
        <v>14.5</v>
      </c>
      <c r="H3765" s="5" t="n">
        <v>32</v>
      </c>
      <c r="I3765" s="5" t="n"/>
      <c r="J3765" s="5" t="n">
        <v>41.66222565652777</v>
      </c>
      <c r="K3765" s="5" t="n">
        <v>76</v>
      </c>
    </row>
    <row r="3766">
      <c r="A3766" s="2" t="n">
        <v>46254.29166666666</v>
      </c>
      <c r="B3766">
        <f>TEXT(A3766,"yyyy-mm")</f>
        <v/>
      </c>
      <c r="C3766" s="3">
        <f>HOUR(A3766)</f>
        <v/>
      </c>
      <c r="D3766" s="4" t="n">
        <v>26.36</v>
      </c>
      <c r="E3766" s="4" t="n"/>
      <c r="F3766" s="4" t="n">
        <v>29.25372693915556</v>
      </c>
      <c r="G3766" s="4" t="n">
        <v>15.7</v>
      </c>
      <c r="H3766" s="5" t="n">
        <v>32</v>
      </c>
      <c r="I3766" s="5" t="n"/>
      <c r="J3766" s="5" t="n">
        <v>41.66689080155277</v>
      </c>
      <c r="K3766" s="5" t="n">
        <v>71</v>
      </c>
    </row>
    <row r="3767">
      <c r="A3767" s="2" t="n">
        <v>46254.33333333334</v>
      </c>
      <c r="B3767">
        <f>TEXT(A3767,"yyyy-mm")</f>
        <v/>
      </c>
      <c r="C3767" s="3">
        <f>HOUR(A3767)</f>
        <v/>
      </c>
      <c r="D3767" s="4" t="n">
        <v>26.36</v>
      </c>
      <c r="E3767" s="4" t="n"/>
      <c r="F3767" s="4" t="n">
        <v>29.31353871106111</v>
      </c>
      <c r="G3767" s="4" t="n">
        <v>18.1</v>
      </c>
      <c r="H3767" s="5" t="n">
        <v>32</v>
      </c>
      <c r="I3767" s="5" t="n"/>
      <c r="J3767" s="5" t="n">
        <v>41.73434730345556</v>
      </c>
      <c r="K3767" s="5" t="n">
        <v>62</v>
      </c>
    </row>
    <row r="3768">
      <c r="A3768" s="2" t="n">
        <v>46254.375</v>
      </c>
      <c r="B3768">
        <f>TEXT(A3768,"yyyy-mm")</f>
        <v/>
      </c>
      <c r="C3768" s="3">
        <f>HOUR(A3768)</f>
        <v/>
      </c>
      <c r="D3768" s="4" t="n">
        <v>26.36</v>
      </c>
      <c r="E3768" s="4" t="n"/>
      <c r="F3768" s="4" t="n">
        <v>29.37672850888056</v>
      </c>
      <c r="G3768" s="4" t="n">
        <v>21</v>
      </c>
      <c r="H3768" s="5" t="n">
        <v>32</v>
      </c>
      <c r="I3768" s="5" t="n"/>
      <c r="J3768" s="5" t="n">
        <v>41.84657052516389</v>
      </c>
      <c r="K3768" s="5" t="n">
        <v>53</v>
      </c>
    </row>
    <row r="3769">
      <c r="A3769" s="2" t="n">
        <v>46254.41666666666</v>
      </c>
      <c r="B3769">
        <f>TEXT(A3769,"yyyy-mm")</f>
        <v/>
      </c>
      <c r="C3769" s="3">
        <f>HOUR(A3769)</f>
        <v/>
      </c>
      <c r="D3769" s="4" t="n">
        <v>26.36</v>
      </c>
      <c r="E3769" s="4" t="n"/>
      <c r="F3769" s="4" t="n">
        <v>29.42664671261667</v>
      </c>
      <c r="G3769" s="4" t="n">
        <v>23</v>
      </c>
      <c r="H3769" s="5" t="n">
        <v>32</v>
      </c>
      <c r="I3769" s="5" t="n"/>
      <c r="J3769" s="5" t="n">
        <v>41.92642509655833</v>
      </c>
      <c r="K3769" s="5" t="n">
        <v>45</v>
      </c>
    </row>
    <row r="3770">
      <c r="A3770" s="2" t="n">
        <v>46254.45833333334</v>
      </c>
      <c r="B3770">
        <f>TEXT(A3770,"yyyy-mm")</f>
        <v/>
      </c>
      <c r="C3770" s="3">
        <f>HOUR(A3770)</f>
        <v/>
      </c>
      <c r="D3770" s="4" t="n">
        <v>26.36</v>
      </c>
      <c r="E3770" s="4" t="n"/>
      <c r="F3770" s="4" t="n">
        <v>29.45644775343889</v>
      </c>
      <c r="G3770" s="4" t="n">
        <v>24.5</v>
      </c>
      <c r="H3770" s="5" t="n">
        <v>32</v>
      </c>
      <c r="I3770" s="5" t="n"/>
      <c r="J3770" s="5" t="n">
        <v>41.97295311123889</v>
      </c>
      <c r="K3770" s="5" t="n">
        <v>38</v>
      </c>
    </row>
    <row r="3771">
      <c r="A3771" s="2" t="n">
        <v>46254.5</v>
      </c>
      <c r="B3771">
        <f>TEXT(A3771,"yyyy-mm")</f>
        <v/>
      </c>
      <c r="C3771" s="3">
        <f>HOUR(A3771)</f>
        <v/>
      </c>
      <c r="D3771" s="4" t="n">
        <v>26.36</v>
      </c>
      <c r="E3771" s="4" t="n"/>
      <c r="F3771" s="4" t="n">
        <v>29.44738483631389</v>
      </c>
      <c r="G3771" s="4" t="n">
        <v>25.3</v>
      </c>
      <c r="H3771" s="5" t="n">
        <v>32</v>
      </c>
      <c r="I3771" s="5" t="n"/>
      <c r="J3771" s="5" t="n">
        <v>41.93770920779444</v>
      </c>
      <c r="K3771" s="5" t="n">
        <v>34</v>
      </c>
    </row>
    <row r="3772">
      <c r="A3772" s="2" t="n">
        <v>46254.54166666666</v>
      </c>
      <c r="B3772">
        <f>TEXT(A3772,"yyyy-mm")</f>
        <v/>
      </c>
      <c r="C3772" s="3">
        <f>HOUR(A3772)</f>
        <v/>
      </c>
      <c r="D3772" s="4" t="n">
        <v>26.36</v>
      </c>
      <c r="E3772" s="4" t="n"/>
      <c r="F3772" s="4" t="n">
        <v>29.10440500762778</v>
      </c>
      <c r="G3772" s="4" t="n">
        <v>26.2</v>
      </c>
      <c r="H3772" s="5" t="n">
        <v>32</v>
      </c>
      <c r="I3772" s="5" t="n"/>
      <c r="J3772" s="5" t="n">
        <v>42.11531081025834</v>
      </c>
      <c r="K3772" s="5" t="n">
        <v>31</v>
      </c>
    </row>
    <row r="3773">
      <c r="A3773" s="2" t="n">
        <v>46254.58333333334</v>
      </c>
      <c r="B3773">
        <f>TEXT(A3773,"yyyy-mm")</f>
        <v/>
      </c>
      <c r="C3773" s="3">
        <f>HOUR(A3773)</f>
        <v/>
      </c>
      <c r="D3773" s="4" t="n">
        <v>26.36</v>
      </c>
      <c r="E3773" s="4" t="n"/>
      <c r="F3773" s="4" t="n">
        <v>28.99982587811389</v>
      </c>
      <c r="G3773" s="4" t="n">
        <v>26.8</v>
      </c>
      <c r="H3773" s="5" t="n">
        <v>32</v>
      </c>
      <c r="I3773" s="5" t="n"/>
      <c r="J3773" s="5" t="n">
        <v>41.97719189967778</v>
      </c>
      <c r="K3773" s="5" t="n">
        <v>29</v>
      </c>
    </row>
    <row r="3774">
      <c r="A3774" s="2" t="n">
        <v>46254.625</v>
      </c>
      <c r="B3774">
        <f>TEXT(A3774,"yyyy-mm")</f>
        <v/>
      </c>
      <c r="C3774" s="3">
        <f>HOUR(A3774)</f>
        <v/>
      </c>
      <c r="D3774" s="4" t="n">
        <v>26.36</v>
      </c>
      <c r="E3774" s="4" t="n"/>
      <c r="F3774" s="4" t="n">
        <v>29.25316669846389</v>
      </c>
      <c r="G3774" s="4" t="n">
        <v>28</v>
      </c>
      <c r="H3774" s="5" t="n">
        <v>32</v>
      </c>
      <c r="I3774" s="5" t="n"/>
      <c r="J3774" s="5" t="n">
        <v>41.86746630514723</v>
      </c>
      <c r="K3774" s="5" t="n">
        <v>27</v>
      </c>
    </row>
    <row r="3775">
      <c r="A3775" s="2" t="n">
        <v>46254.66666666666</v>
      </c>
      <c r="B3775">
        <f>TEXT(A3775,"yyyy-mm")</f>
        <v/>
      </c>
      <c r="C3775" s="3">
        <f>HOUR(A3775)</f>
        <v/>
      </c>
      <c r="D3775" s="4" t="n">
        <v>26.36</v>
      </c>
      <c r="E3775" s="4" t="n"/>
      <c r="F3775" s="4" t="n">
        <v>29.28783581448056</v>
      </c>
      <c r="G3775" s="4" t="n">
        <v>27.2</v>
      </c>
      <c r="H3775" s="5" t="n">
        <v>32</v>
      </c>
      <c r="I3775" s="5" t="n"/>
      <c r="J3775" s="5" t="n">
        <v>41.25847923968333</v>
      </c>
      <c r="K3775" s="5" t="n">
        <v>30</v>
      </c>
    </row>
    <row r="3776">
      <c r="A3776" s="2" t="n">
        <v>46254.70833333334</v>
      </c>
      <c r="B3776">
        <f>TEXT(A3776,"yyyy-mm")</f>
        <v/>
      </c>
      <c r="C3776" s="3">
        <f>HOUR(A3776)</f>
        <v/>
      </c>
      <c r="D3776" s="4" t="n">
        <v>26.36</v>
      </c>
      <c r="E3776" s="4" t="n"/>
      <c r="F3776" s="4" t="n">
        <v>29.12946023586944</v>
      </c>
      <c r="G3776" s="4" t="n">
        <v>27.1</v>
      </c>
      <c r="H3776" s="5" t="n">
        <v>32</v>
      </c>
      <c r="I3776" s="5" t="n"/>
      <c r="J3776" s="5" t="n">
        <v>40.74920430093611</v>
      </c>
      <c r="K3776" s="5" t="n">
        <v>31</v>
      </c>
    </row>
    <row r="3777">
      <c r="A3777" s="2" t="n">
        <v>46254.75</v>
      </c>
      <c r="B3777">
        <f>TEXT(A3777,"yyyy-mm")</f>
        <v/>
      </c>
      <c r="C3777" s="3">
        <f>HOUR(A3777)</f>
        <v/>
      </c>
      <c r="D3777" s="4" t="n">
        <v>26.36</v>
      </c>
      <c r="E3777" s="4" t="n"/>
      <c r="F3777" s="4" t="n">
        <v>29.11216984830556</v>
      </c>
      <c r="G3777" s="4" t="n">
        <v>26.8</v>
      </c>
      <c r="H3777" s="5" t="n">
        <v>32</v>
      </c>
      <c r="I3777" s="5" t="n"/>
      <c r="J3777" s="5" t="n">
        <v>41.3397605858</v>
      </c>
      <c r="K3777" s="5" t="n">
        <v>33</v>
      </c>
    </row>
    <row r="3778">
      <c r="A3778" s="2" t="n">
        <v>46254.79166666666</v>
      </c>
      <c r="B3778">
        <f>TEXT(A3778,"yyyy-mm")</f>
        <v/>
      </c>
      <c r="C3778" s="3">
        <f>HOUR(A3778)</f>
        <v/>
      </c>
      <c r="D3778" s="4" t="n">
        <v>26.36</v>
      </c>
      <c r="E3778" s="4" t="n"/>
      <c r="F3778" s="4" t="n">
        <v>28.95455998480833</v>
      </c>
      <c r="G3778" s="4" t="n">
        <v>26.2</v>
      </c>
      <c r="H3778" s="5" t="n">
        <v>32</v>
      </c>
      <c r="I3778" s="5" t="n"/>
      <c r="J3778" s="5" t="n">
        <v>41.30202780781389</v>
      </c>
      <c r="K3778" s="5" t="n">
        <v>35</v>
      </c>
    </row>
    <row r="3779">
      <c r="A3779" s="2" t="n">
        <v>46254.83333333334</v>
      </c>
      <c r="B3779">
        <f>TEXT(A3779,"yyyy-mm")</f>
        <v/>
      </c>
      <c r="C3779" s="3">
        <f>HOUR(A3779)</f>
        <v/>
      </c>
      <c r="D3779" s="4" t="n">
        <v>26.36</v>
      </c>
      <c r="E3779" s="4" t="n"/>
      <c r="F3779" s="4" t="n">
        <v>29.0267181719904</v>
      </c>
      <c r="G3779" s="4" t="n">
        <v>24.2</v>
      </c>
      <c r="H3779" s="5" t="n">
        <v>32</v>
      </c>
      <c r="I3779" s="5" t="n"/>
      <c r="J3779" s="5" t="n">
        <v>41.40315759510073</v>
      </c>
      <c r="K3779" s="5" t="n">
        <v>43</v>
      </c>
    </row>
    <row r="3780">
      <c r="A3780" s="2" t="n">
        <v>46254.875</v>
      </c>
      <c r="B3780">
        <f>TEXT(A3780,"yyyy-mm")</f>
        <v/>
      </c>
      <c r="C3780" s="3">
        <f>HOUR(A3780)</f>
        <v/>
      </c>
      <c r="D3780" s="4" t="n">
        <v>26.36</v>
      </c>
      <c r="E3780" s="4" t="n"/>
      <c r="F3780" s="4" t="n">
        <v>29.30446542498333</v>
      </c>
      <c r="G3780" s="4" t="n">
        <v>23</v>
      </c>
      <c r="H3780" s="5" t="n">
        <v>32</v>
      </c>
      <c r="I3780" s="5" t="n"/>
      <c r="J3780" s="5" t="n">
        <v>41.30156029316944</v>
      </c>
      <c r="K3780" s="5" t="n">
        <v>48</v>
      </c>
    </row>
    <row r="3781">
      <c r="A3781" s="2" t="n">
        <v>46254.91666666666</v>
      </c>
      <c r="B3781">
        <f>TEXT(A3781,"yyyy-mm")</f>
        <v/>
      </c>
      <c r="C3781" s="3">
        <f>HOUR(A3781)</f>
        <v/>
      </c>
      <c r="D3781" s="4" t="n">
        <v>26.36</v>
      </c>
      <c r="E3781" s="4" t="n"/>
      <c r="F3781" s="4" t="n">
        <v>29.38447406661111</v>
      </c>
      <c r="G3781" s="4" t="n">
        <v>22.4</v>
      </c>
      <c r="H3781" s="5" t="n">
        <v>32</v>
      </c>
      <c r="I3781" s="5" t="n"/>
      <c r="J3781" s="5" t="n">
        <v>41.19838622076667</v>
      </c>
      <c r="K3781" s="5" t="n">
        <v>49</v>
      </c>
    </row>
    <row r="3782">
      <c r="A3782" s="2" t="n">
        <v>46254.95833333334</v>
      </c>
      <c r="B3782">
        <f>TEXT(A3782,"yyyy-mm")</f>
        <v/>
      </c>
      <c r="C3782" s="3">
        <f>HOUR(A3782)</f>
        <v/>
      </c>
      <c r="D3782" s="4" t="n">
        <v>26.36</v>
      </c>
      <c r="E3782" s="4" t="n"/>
      <c r="F3782" s="4" t="n">
        <v>29.42069107487222</v>
      </c>
      <c r="G3782" s="4" t="n">
        <v>22.1</v>
      </c>
      <c r="H3782" s="5" t="n">
        <v>32</v>
      </c>
      <c r="I3782" s="5" t="n"/>
      <c r="J3782" s="5" t="n">
        <v>41.23041371981945</v>
      </c>
      <c r="K3782" s="5" t="n">
        <v>50</v>
      </c>
    </row>
    <row r="3783">
      <c r="A3783" s="2" t="n">
        <v>46255</v>
      </c>
      <c r="B3783">
        <f>TEXT(A3783,"yyyy-mm")</f>
        <v/>
      </c>
      <c r="C3783" s="3">
        <f>HOUR(A3783)</f>
        <v/>
      </c>
      <c r="D3783" s="4" t="n">
        <v>26.36</v>
      </c>
      <c r="E3783" s="4" t="n"/>
      <c r="F3783" s="4" t="n">
        <v>29.45778846990833</v>
      </c>
      <c r="G3783" s="4" t="n">
        <v>21.9</v>
      </c>
      <c r="H3783" s="5" t="n">
        <v>32</v>
      </c>
      <c r="I3783" s="5" t="n"/>
      <c r="J3783" s="5" t="n">
        <v>41.39016961738056</v>
      </c>
      <c r="K3783" s="5" t="n">
        <v>53</v>
      </c>
    </row>
    <row r="3784">
      <c r="A3784" s="2" t="n">
        <v>46255.04166666666</v>
      </c>
      <c r="B3784">
        <f>TEXT(A3784,"yyyy-mm")</f>
        <v/>
      </c>
      <c r="C3784" s="3">
        <f>HOUR(A3784)</f>
        <v/>
      </c>
      <c r="D3784" s="4" t="n">
        <v>26.36</v>
      </c>
      <c r="E3784" s="4" t="n"/>
      <c r="F3784" s="4" t="n">
        <v>29.52339351871666</v>
      </c>
      <c r="G3784" s="4" t="n">
        <v>21.6</v>
      </c>
      <c r="H3784" s="5" t="n">
        <v>32</v>
      </c>
      <c r="I3784" s="5" t="n"/>
      <c r="J3784" s="5" t="n">
        <v>41.43410002409444</v>
      </c>
      <c r="K3784" s="5" t="n">
        <v>57</v>
      </c>
    </row>
    <row r="3785">
      <c r="A3785" s="2" t="n">
        <v>46255.08333333334</v>
      </c>
      <c r="B3785">
        <f>TEXT(A3785,"yyyy-mm")</f>
        <v/>
      </c>
      <c r="C3785" s="3">
        <f>HOUR(A3785)</f>
        <v/>
      </c>
      <c r="D3785" s="4" t="n">
        <v>26.36</v>
      </c>
      <c r="E3785" s="4" t="n"/>
      <c r="F3785" s="4" t="n">
        <v>29.49312536178889</v>
      </c>
      <c r="G3785" s="4" t="n">
        <v>21.6</v>
      </c>
      <c r="H3785" s="5" t="n">
        <v>32</v>
      </c>
      <c r="I3785" s="5" t="n"/>
      <c r="J3785" s="5" t="n">
        <v>41.66205294785</v>
      </c>
      <c r="K3785" s="5" t="n">
        <v>61</v>
      </c>
    </row>
    <row r="3786">
      <c r="A3786" s="2" t="n">
        <v>46255.125</v>
      </c>
      <c r="B3786">
        <f>TEXT(A3786,"yyyy-mm")</f>
        <v/>
      </c>
      <c r="C3786" s="3">
        <f>HOUR(A3786)</f>
        <v/>
      </c>
      <c r="D3786" s="4" t="n">
        <v>26.36</v>
      </c>
      <c r="E3786" s="4" t="n"/>
      <c r="F3786" s="4" t="n">
        <v>29.41369140916112</v>
      </c>
      <c r="G3786" s="4" t="n">
        <v>21.1</v>
      </c>
      <c r="H3786" s="5" t="n">
        <v>32</v>
      </c>
      <c r="I3786" s="5" t="n"/>
      <c r="J3786" s="5" t="n">
        <v>42.02551141222222</v>
      </c>
      <c r="K3786" s="5" t="n">
        <v>65</v>
      </c>
    </row>
    <row r="3787">
      <c r="A3787" s="2" t="n">
        <v>46255.16666666666</v>
      </c>
      <c r="B3787">
        <f>TEXT(A3787,"yyyy-mm")</f>
        <v/>
      </c>
      <c r="C3787" s="3">
        <f>HOUR(A3787)</f>
        <v/>
      </c>
      <c r="D3787" s="4" t="n">
        <v>26.36</v>
      </c>
      <c r="E3787" s="4" t="n"/>
      <c r="F3787" s="4" t="n">
        <v>29.40877770511111</v>
      </c>
      <c r="G3787" s="4" t="n">
        <v>20.6</v>
      </c>
      <c r="H3787" s="5" t="n">
        <v>32</v>
      </c>
      <c r="I3787" s="5" t="n"/>
      <c r="J3787" s="5" t="n">
        <v>42.28765186857222</v>
      </c>
      <c r="K3787" s="5" t="n">
        <v>68</v>
      </c>
    </row>
    <row r="3788">
      <c r="A3788" s="2" t="n">
        <v>46255.20833333334</v>
      </c>
      <c r="B3788">
        <f>TEXT(A3788,"yyyy-mm")</f>
        <v/>
      </c>
      <c r="C3788" s="3">
        <f>HOUR(A3788)</f>
        <v/>
      </c>
      <c r="D3788" s="4" t="n">
        <v>26.36</v>
      </c>
      <c r="E3788" s="4" t="n"/>
      <c r="F3788" s="4" t="n">
        <v>29.40916673791945</v>
      </c>
      <c r="G3788" s="4" t="n">
        <v>20.2</v>
      </c>
      <c r="H3788" s="5" t="n">
        <v>32</v>
      </c>
      <c r="I3788" s="5" t="n"/>
      <c r="J3788" s="5" t="n">
        <v>42.45656614726944</v>
      </c>
      <c r="K3788" s="5" t="n">
        <v>70</v>
      </c>
    </row>
    <row r="3789">
      <c r="A3789" s="2" t="n">
        <v>46255.25</v>
      </c>
      <c r="B3789">
        <f>TEXT(A3789,"yyyy-mm")</f>
        <v/>
      </c>
      <c r="C3789" s="3">
        <f>HOUR(A3789)</f>
        <v/>
      </c>
      <c r="D3789" s="4" t="n">
        <v>26.36</v>
      </c>
      <c r="E3789" s="4" t="n"/>
      <c r="F3789" s="4" t="n">
        <v>29.41733487956389</v>
      </c>
      <c r="G3789" s="4" t="n">
        <v>19.9</v>
      </c>
      <c r="H3789" s="5" t="n">
        <v>32</v>
      </c>
      <c r="I3789" s="5" t="n"/>
      <c r="J3789" s="5" t="n">
        <v>42.55824193184166</v>
      </c>
      <c r="K3789" s="5" t="n">
        <v>70</v>
      </c>
    </row>
    <row r="3790">
      <c r="A3790" s="2" t="n">
        <v>46255.29166666666</v>
      </c>
      <c r="B3790">
        <f>TEXT(A3790,"yyyy-mm")</f>
        <v/>
      </c>
      <c r="C3790" s="3">
        <f>HOUR(A3790)</f>
        <v/>
      </c>
      <c r="D3790" s="4" t="n">
        <v>26.36</v>
      </c>
      <c r="E3790" s="4" t="n"/>
      <c r="F3790" s="4" t="n">
        <v>29.44245048593611</v>
      </c>
      <c r="G3790" s="4" t="n">
        <v>20.8</v>
      </c>
      <c r="H3790" s="5" t="n">
        <v>32</v>
      </c>
      <c r="I3790" s="5" t="n"/>
      <c r="J3790" s="5" t="n">
        <v>42.59671918048889</v>
      </c>
      <c r="K3790" s="5" t="n">
        <v>67</v>
      </c>
    </row>
    <row r="3791">
      <c r="A3791" s="2" t="n">
        <v>46255.33333333334</v>
      </c>
      <c r="B3791">
        <f>TEXT(A3791,"yyyy-mm")</f>
        <v/>
      </c>
      <c r="C3791" s="3">
        <f>HOUR(A3791)</f>
        <v/>
      </c>
      <c r="D3791" s="4" t="n">
        <v>26.36</v>
      </c>
      <c r="E3791" s="4" t="n"/>
      <c r="F3791" s="4" t="n">
        <v>29.47150464631945</v>
      </c>
      <c r="G3791" s="4" t="n">
        <v>22.1</v>
      </c>
      <c r="H3791" s="5" t="n">
        <v>32</v>
      </c>
      <c r="I3791" s="5" t="n"/>
      <c r="J3791" s="5" t="n">
        <v>42.58007752548333</v>
      </c>
      <c r="K3791" s="5" t="n">
        <v>62</v>
      </c>
    </row>
    <row r="3792">
      <c r="A3792" s="2" t="n">
        <v>46255.375</v>
      </c>
      <c r="B3792">
        <f>TEXT(A3792,"yyyy-mm")</f>
        <v/>
      </c>
      <c r="C3792" s="3">
        <f>HOUR(A3792)</f>
        <v/>
      </c>
      <c r="D3792" s="4" t="n">
        <v>26.36</v>
      </c>
      <c r="E3792" s="4" t="n"/>
      <c r="F3792" s="4" t="n">
        <v>29.53111848353055</v>
      </c>
      <c r="G3792" s="4" t="n">
        <v>24.4</v>
      </c>
      <c r="H3792" s="5" t="n">
        <v>32</v>
      </c>
      <c r="I3792" s="5" t="n"/>
      <c r="J3792" s="5" t="n">
        <v>42.53202657601111</v>
      </c>
      <c r="K3792" s="5" t="n">
        <v>55</v>
      </c>
    </row>
    <row r="3793">
      <c r="A3793" s="2" t="n">
        <v>46255.41666666666</v>
      </c>
      <c r="B3793">
        <f>TEXT(A3793,"yyyy-mm")</f>
        <v/>
      </c>
      <c r="C3793" s="3">
        <f>HOUR(A3793)</f>
        <v/>
      </c>
      <c r="D3793" s="4" t="n">
        <v>26.36</v>
      </c>
      <c r="E3793" s="4" t="n"/>
      <c r="F3793" s="4" t="n">
        <v>29.52113110384444</v>
      </c>
      <c r="G3793" s="4" t="n">
        <v>26.3</v>
      </c>
      <c r="H3793" s="5" t="n">
        <v>32</v>
      </c>
      <c r="I3793" s="5" t="n"/>
      <c r="J3793" s="5" t="n">
        <v>42.50884280701111</v>
      </c>
      <c r="K3793" s="5" t="n">
        <v>50</v>
      </c>
    </row>
    <row r="3794">
      <c r="A3794" s="2" t="n">
        <v>46255.45833333334</v>
      </c>
      <c r="B3794">
        <f>TEXT(A3794,"yyyy-mm")</f>
        <v/>
      </c>
      <c r="C3794" s="3">
        <f>HOUR(A3794)</f>
        <v/>
      </c>
      <c r="D3794" s="4" t="n">
        <v>26.36</v>
      </c>
      <c r="E3794" s="4" t="n"/>
      <c r="F3794" s="4" t="n">
        <v>29.46007572635556</v>
      </c>
      <c r="G3794" s="4" t="n">
        <v>28.1</v>
      </c>
      <c r="H3794" s="5" t="n">
        <v>32</v>
      </c>
      <c r="I3794" s="5" t="n"/>
      <c r="J3794" s="5" t="n">
        <v>42.20177643481111</v>
      </c>
      <c r="K3794" s="5" t="n">
        <v>46</v>
      </c>
    </row>
    <row r="3795">
      <c r="A3795" s="2" t="n">
        <v>46255.5</v>
      </c>
      <c r="B3795">
        <f>TEXT(A3795,"yyyy-mm")</f>
        <v/>
      </c>
      <c r="C3795" s="3">
        <f>HOUR(A3795)</f>
        <v/>
      </c>
      <c r="D3795" s="4" t="n">
        <v>26.36</v>
      </c>
      <c r="E3795" s="4" t="n"/>
      <c r="F3795" s="4" t="n">
        <v>29.43389207520833</v>
      </c>
      <c r="G3795" s="4" t="n">
        <v>29.8</v>
      </c>
      <c r="H3795" s="5" t="n">
        <v>32</v>
      </c>
      <c r="I3795" s="5" t="n"/>
      <c r="J3795" s="5" t="n">
        <v>41.95936218065555</v>
      </c>
      <c r="K3795" s="5" t="n">
        <v>41</v>
      </c>
    </row>
    <row r="3796">
      <c r="A3796" s="2" t="n">
        <v>46255.54166666666</v>
      </c>
      <c r="B3796">
        <f>TEXT(A3796,"yyyy-mm")</f>
        <v/>
      </c>
      <c r="C3796" s="3">
        <f>HOUR(A3796)</f>
        <v/>
      </c>
      <c r="D3796" s="4" t="n">
        <v>26.36</v>
      </c>
      <c r="E3796" s="4" t="n"/>
      <c r="F3796" s="4" t="n">
        <v>29.43674388223333</v>
      </c>
      <c r="G3796" s="4" t="n">
        <v>31.1</v>
      </c>
      <c r="H3796" s="5" t="n">
        <v>32</v>
      </c>
      <c r="I3796" s="5" t="n"/>
      <c r="J3796" s="5" t="n">
        <v>41.95380925464167</v>
      </c>
      <c r="K3796" s="5" t="n">
        <v>37</v>
      </c>
    </row>
    <row r="3797">
      <c r="A3797" s="2" t="n">
        <v>46255.58333333334</v>
      </c>
      <c r="B3797">
        <f>TEXT(A3797,"yyyy-mm")</f>
        <v/>
      </c>
      <c r="C3797" s="3">
        <f>HOUR(A3797)</f>
        <v/>
      </c>
      <c r="D3797" s="4" t="n">
        <v>26.36</v>
      </c>
      <c r="E3797" s="4" t="n"/>
      <c r="F3797" s="4" t="n">
        <v>29.41127646242222</v>
      </c>
      <c r="G3797" s="4" t="n">
        <v>31.8</v>
      </c>
      <c r="H3797" s="5" t="n">
        <v>32</v>
      </c>
      <c r="I3797" s="5" t="n"/>
      <c r="J3797" s="5" t="n">
        <v>42.06797263594444</v>
      </c>
      <c r="K3797" s="5" t="n">
        <v>35</v>
      </c>
    </row>
    <row r="3798">
      <c r="A3798" s="2" t="n">
        <v>46255.625</v>
      </c>
      <c r="B3798">
        <f>TEXT(A3798,"yyyy-mm")</f>
        <v/>
      </c>
      <c r="C3798" s="3">
        <f>HOUR(A3798)</f>
        <v/>
      </c>
      <c r="D3798" s="4" t="n">
        <v>26.36</v>
      </c>
      <c r="E3798" s="4" t="n"/>
      <c r="F3798" s="4" t="n">
        <v>29.333423531425</v>
      </c>
      <c r="G3798" s="4" t="n">
        <v>33</v>
      </c>
      <c r="H3798" s="5" t="n">
        <v>32</v>
      </c>
      <c r="I3798" s="5" t="n"/>
      <c r="J3798" s="5" t="n">
        <v>42.23323855470834</v>
      </c>
      <c r="K3798" s="5" t="n">
        <v>31</v>
      </c>
    </row>
    <row r="3799">
      <c r="A3799" s="2" t="n">
        <v>46255.66666666666</v>
      </c>
      <c r="B3799">
        <f>TEXT(A3799,"yyyy-mm")</f>
        <v/>
      </c>
      <c r="C3799" s="3">
        <f>HOUR(A3799)</f>
        <v/>
      </c>
      <c r="D3799" s="4" t="n">
        <v>26.36</v>
      </c>
      <c r="E3799" s="4" t="n"/>
      <c r="F3799" s="4" t="n">
        <v>28.594210573675</v>
      </c>
      <c r="G3799" s="4" t="n">
        <v>32.6</v>
      </c>
      <c r="H3799" s="5" t="n">
        <v>32</v>
      </c>
      <c r="I3799" s="5" t="n"/>
      <c r="J3799" s="5" t="n">
        <v>43.53809902665555</v>
      </c>
      <c r="K3799" s="5" t="n">
        <v>31</v>
      </c>
    </row>
    <row r="3800">
      <c r="A3800" s="2" t="n">
        <v>46255.70833333334</v>
      </c>
      <c r="B3800">
        <f>TEXT(A3800,"yyyy-mm")</f>
        <v/>
      </c>
      <c r="C3800" s="3">
        <f>HOUR(A3800)</f>
        <v/>
      </c>
      <c r="D3800" s="4" t="n">
        <v>26.36</v>
      </c>
      <c r="E3800" s="4" t="n"/>
      <c r="F3800" s="4" t="n">
        <v>29.20555322660833</v>
      </c>
      <c r="G3800" s="4" t="n">
        <v>32.2</v>
      </c>
      <c r="H3800" s="5" t="n">
        <v>32</v>
      </c>
      <c r="I3800" s="5" t="n"/>
      <c r="J3800" s="5" t="n">
        <v>42.81318951674167</v>
      </c>
      <c r="K3800" s="5" t="n">
        <v>31</v>
      </c>
    </row>
    <row r="3801">
      <c r="A3801" s="2" t="n">
        <v>46255.75</v>
      </c>
      <c r="B3801">
        <f>TEXT(A3801,"yyyy-mm")</f>
        <v/>
      </c>
      <c r="C3801" s="3">
        <f>HOUR(A3801)</f>
        <v/>
      </c>
      <c r="D3801" s="4" t="n">
        <v>26.36</v>
      </c>
      <c r="E3801" s="4" t="n"/>
      <c r="F3801" s="4" t="n">
        <v>29.41195336790833</v>
      </c>
      <c r="G3801" s="4" t="n">
        <v>31.4</v>
      </c>
      <c r="H3801" s="5" t="n">
        <v>32</v>
      </c>
      <c r="I3801" s="5" t="n"/>
      <c r="J3801" s="5" t="n">
        <v>42.58109881175</v>
      </c>
      <c r="K3801" s="5" t="n">
        <v>32</v>
      </c>
    </row>
    <row r="3802">
      <c r="A3802" s="2" t="n">
        <v>46255.79166666666</v>
      </c>
      <c r="B3802">
        <f>TEXT(A3802,"yyyy-mm")</f>
        <v/>
      </c>
      <c r="C3802" s="3">
        <f>HOUR(A3802)</f>
        <v/>
      </c>
      <c r="D3802" s="4" t="n">
        <v>26.36</v>
      </c>
      <c r="E3802" s="4" t="n"/>
      <c r="F3802" s="4" t="n">
        <v>29.42633469963333</v>
      </c>
      <c r="G3802" s="4" t="n">
        <v>30</v>
      </c>
      <c r="H3802" s="5" t="n">
        <v>32</v>
      </c>
      <c r="I3802" s="5" t="n"/>
      <c r="J3802" s="5" t="n">
        <v>42.39156924421667</v>
      </c>
      <c r="K3802" s="5" t="n">
        <v>35</v>
      </c>
    </row>
    <row r="3803">
      <c r="A3803" s="2" t="n">
        <v>46255.83333333334</v>
      </c>
      <c r="B3803">
        <f>TEXT(A3803,"yyyy-mm")</f>
        <v/>
      </c>
      <c r="C3803" s="3">
        <f>HOUR(A3803)</f>
        <v/>
      </c>
      <c r="D3803" s="4" t="n">
        <v>26.36</v>
      </c>
      <c r="E3803" s="4" t="n"/>
      <c r="F3803" s="4" t="n">
        <v>29.38617921508612</v>
      </c>
      <c r="G3803" s="4" t="n">
        <v>28</v>
      </c>
      <c r="H3803" s="5" t="n">
        <v>32</v>
      </c>
      <c r="I3803" s="5" t="n"/>
      <c r="J3803" s="5" t="n">
        <v>42.14807575458611</v>
      </c>
      <c r="K3803" s="5" t="n">
        <v>40</v>
      </c>
    </row>
    <row r="3804">
      <c r="A3804" s="2" t="n">
        <v>46255.875</v>
      </c>
      <c r="B3804">
        <f>TEXT(A3804,"yyyy-mm")</f>
        <v/>
      </c>
      <c r="C3804" s="3">
        <f>HOUR(A3804)</f>
        <v/>
      </c>
      <c r="D3804" s="4" t="n">
        <v>26.36</v>
      </c>
      <c r="E3804" s="4" t="n"/>
      <c r="F3804" s="4" t="n">
        <v>28.58164593507778</v>
      </c>
      <c r="G3804" s="4" t="n">
        <v>26.9</v>
      </c>
      <c r="H3804" s="5" t="n">
        <v>32</v>
      </c>
      <c r="I3804" s="5" t="n"/>
      <c r="J3804" s="5" t="n">
        <v>43.61192767285</v>
      </c>
      <c r="K3804" s="5" t="n">
        <v>41</v>
      </c>
    </row>
    <row r="3805">
      <c r="A3805" s="2" t="n">
        <v>46255.91666666666</v>
      </c>
      <c r="B3805">
        <f>TEXT(A3805,"yyyy-mm")</f>
        <v/>
      </c>
      <c r="C3805" s="3">
        <f>HOUR(A3805)</f>
        <v/>
      </c>
      <c r="D3805" s="4" t="n">
        <v>26.36</v>
      </c>
      <c r="E3805" s="4" t="n"/>
      <c r="F3805" s="4" t="n">
        <v>28.93866323764444</v>
      </c>
      <c r="G3805" s="4" t="n">
        <v>25.8</v>
      </c>
      <c r="H3805" s="5" t="n">
        <v>32</v>
      </c>
      <c r="I3805" s="5" t="n"/>
      <c r="J3805" s="5" t="n">
        <v>44.84342521971389</v>
      </c>
      <c r="K3805" s="5" t="n">
        <v>43</v>
      </c>
    </row>
    <row r="3806">
      <c r="A3806" s="2" t="n">
        <v>46255.95833333334</v>
      </c>
      <c r="B3806">
        <f>TEXT(A3806,"yyyy-mm")</f>
        <v/>
      </c>
      <c r="C3806" s="3">
        <f>HOUR(A3806)</f>
        <v/>
      </c>
      <c r="D3806" s="4" t="n">
        <v>26.36</v>
      </c>
      <c r="E3806" s="4" t="n"/>
      <c r="F3806" s="4" t="n">
        <v>29.22168478928889</v>
      </c>
      <c r="G3806" s="4" t="n">
        <v>24.9</v>
      </c>
      <c r="H3806" s="5" t="n">
        <v>32</v>
      </c>
      <c r="I3806" s="5" t="n"/>
      <c r="J3806" s="5" t="n">
        <v>42.74397184635833</v>
      </c>
      <c r="K3806" s="5" t="n">
        <v>45</v>
      </c>
    </row>
    <row r="3807">
      <c r="A3807" s="2" t="n">
        <v>46256</v>
      </c>
      <c r="B3807">
        <f>TEXT(A3807,"yyyy-mm")</f>
        <v/>
      </c>
      <c r="C3807" s="3">
        <f>HOUR(A3807)</f>
        <v/>
      </c>
      <c r="D3807" s="4" t="n">
        <v>26.36</v>
      </c>
      <c r="E3807" s="4" t="n"/>
      <c r="F3807" s="4" t="n">
        <v>29.309533602525</v>
      </c>
      <c r="G3807" s="4" t="n">
        <v>24</v>
      </c>
      <c r="H3807" s="5" t="n">
        <v>32</v>
      </c>
      <c r="I3807" s="5" t="n"/>
      <c r="J3807" s="5" t="n">
        <v>42.18142662321944</v>
      </c>
      <c r="K3807" s="5" t="n">
        <v>46</v>
      </c>
    </row>
    <row r="3808">
      <c r="A3808" s="2" t="n">
        <v>46256.04166666666</v>
      </c>
      <c r="B3808">
        <f>TEXT(A3808,"yyyy-mm")</f>
        <v/>
      </c>
      <c r="C3808" s="3">
        <f>HOUR(A3808)</f>
        <v/>
      </c>
      <c r="D3808" s="4" t="n">
        <v>26.36</v>
      </c>
      <c r="E3808" s="4" t="n"/>
      <c r="F3808" s="4" t="n">
        <v>29.339697386275</v>
      </c>
      <c r="G3808" s="4" t="n">
        <v>23.3</v>
      </c>
      <c r="H3808" s="5" t="n">
        <v>32</v>
      </c>
      <c r="I3808" s="5" t="n"/>
      <c r="J3808" s="5" t="n">
        <v>42.28119387985</v>
      </c>
      <c r="K3808" s="5" t="n">
        <v>48</v>
      </c>
    </row>
    <row r="3809">
      <c r="A3809" s="2" t="n">
        <v>46256.08333333334</v>
      </c>
      <c r="B3809">
        <f>TEXT(A3809,"yyyy-mm")</f>
        <v/>
      </c>
      <c r="C3809" s="3">
        <f>HOUR(A3809)</f>
        <v/>
      </c>
      <c r="D3809" s="4" t="n">
        <v>26.36</v>
      </c>
      <c r="E3809" s="4" t="n"/>
      <c r="F3809" s="4" t="n">
        <v>29.35533486631667</v>
      </c>
      <c r="G3809" s="4" t="n">
        <v>22.5</v>
      </c>
      <c r="H3809" s="5" t="n">
        <v>32</v>
      </c>
      <c r="I3809" s="5" t="n"/>
      <c r="J3809" s="5" t="n">
        <v>42.44735186161111</v>
      </c>
      <c r="K3809" s="5" t="n">
        <v>49</v>
      </c>
    </row>
    <row r="3810">
      <c r="A3810" s="2" t="n">
        <v>46256.125</v>
      </c>
      <c r="B3810">
        <f>TEXT(A3810,"yyyy-mm")</f>
        <v/>
      </c>
      <c r="C3810" s="3">
        <f>HOUR(A3810)</f>
        <v/>
      </c>
      <c r="D3810" s="4" t="n">
        <v>26.36</v>
      </c>
      <c r="E3810" s="4" t="n"/>
      <c r="F3810" s="4" t="n">
        <v>29.37625152793889</v>
      </c>
      <c r="G3810" s="4" t="n">
        <v>21.4</v>
      </c>
      <c r="H3810" s="5" t="n">
        <v>32</v>
      </c>
      <c r="I3810" s="5" t="n"/>
      <c r="J3810" s="5" t="n">
        <v>42.49611117169722</v>
      </c>
      <c r="K3810" s="5" t="n">
        <v>52</v>
      </c>
    </row>
    <row r="3811">
      <c r="A3811" s="2" t="n">
        <v>46256.16666666666</v>
      </c>
      <c r="B3811">
        <f>TEXT(A3811,"yyyy-mm")</f>
        <v/>
      </c>
      <c r="C3811" s="3">
        <f>HOUR(A3811)</f>
        <v/>
      </c>
      <c r="D3811" s="4" t="n">
        <v>26.36</v>
      </c>
      <c r="E3811" s="4" t="n"/>
      <c r="F3811" s="4" t="n">
        <v>29.37388893970833</v>
      </c>
      <c r="G3811" s="4" t="n">
        <v>20.7</v>
      </c>
      <c r="H3811" s="5" t="n">
        <v>32</v>
      </c>
      <c r="I3811" s="5" t="n"/>
      <c r="J3811" s="5" t="n">
        <v>42.53142422775277</v>
      </c>
      <c r="K3811" s="5" t="n">
        <v>55</v>
      </c>
    </row>
    <row r="3812">
      <c r="A3812" s="2" t="n">
        <v>46256.20833333334</v>
      </c>
      <c r="B3812">
        <f>TEXT(A3812,"yyyy-mm")</f>
        <v/>
      </c>
      <c r="C3812" s="3">
        <f>HOUR(A3812)</f>
        <v/>
      </c>
      <c r="D3812" s="4" t="n">
        <v>26.36</v>
      </c>
      <c r="E3812" s="4" t="n"/>
      <c r="F3812" s="4" t="n">
        <v>29.36816663506945</v>
      </c>
      <c r="G3812" s="4" t="n">
        <v>20</v>
      </c>
      <c r="H3812" s="5" t="n">
        <v>32</v>
      </c>
      <c r="I3812" s="5" t="n"/>
      <c r="J3812" s="5" t="n">
        <v>42.53454961347778</v>
      </c>
      <c r="K3812" s="5" t="n">
        <v>57</v>
      </c>
    </row>
    <row r="3813">
      <c r="A3813" s="2" t="n">
        <v>46256.25</v>
      </c>
      <c r="B3813">
        <f>TEXT(A3813,"yyyy-mm")</f>
        <v/>
      </c>
      <c r="C3813" s="3">
        <f>HOUR(A3813)</f>
        <v/>
      </c>
      <c r="D3813" s="4" t="n">
        <v>26.36</v>
      </c>
      <c r="E3813" s="4" t="n"/>
      <c r="F3813" s="4" t="n">
        <v>29.37705858291945</v>
      </c>
      <c r="G3813" s="4" t="n">
        <v>19.5</v>
      </c>
      <c r="H3813" s="5" t="n">
        <v>32</v>
      </c>
      <c r="I3813" s="5" t="n"/>
      <c r="J3813" s="5" t="n">
        <v>42.47568385462223</v>
      </c>
      <c r="K3813" s="5" t="n">
        <v>59</v>
      </c>
    </row>
    <row r="3814">
      <c r="A3814" s="2" t="n">
        <v>46256.29166666666</v>
      </c>
      <c r="B3814">
        <f>TEXT(A3814,"yyyy-mm")</f>
        <v/>
      </c>
      <c r="C3814" s="3">
        <f>HOUR(A3814)</f>
        <v/>
      </c>
      <c r="D3814" s="4" t="n">
        <v>26.36</v>
      </c>
      <c r="E3814" s="4" t="n"/>
      <c r="F3814" s="4" t="n">
        <v>29.40717287679166</v>
      </c>
      <c r="G3814" s="4" t="n">
        <v>20.2</v>
      </c>
      <c r="H3814" s="5" t="n">
        <v>32</v>
      </c>
      <c r="I3814" s="5" t="n"/>
      <c r="J3814" s="5" t="n">
        <v>42.45092111651667</v>
      </c>
      <c r="K3814" s="5" t="n">
        <v>58</v>
      </c>
    </row>
    <row r="3815">
      <c r="A3815" s="2" t="n">
        <v>46256.33333333334</v>
      </c>
      <c r="B3815">
        <f>TEXT(A3815,"yyyy-mm")</f>
        <v/>
      </c>
      <c r="C3815" s="3">
        <f>HOUR(A3815)</f>
        <v/>
      </c>
      <c r="D3815" s="4" t="n">
        <v>26.36</v>
      </c>
      <c r="E3815" s="4" t="n"/>
      <c r="F3815" s="4" t="n">
        <v>29.45806441567778</v>
      </c>
      <c r="G3815" s="4" t="n">
        <v>22.2</v>
      </c>
      <c r="H3815" s="5" t="n">
        <v>32</v>
      </c>
      <c r="I3815" s="5" t="n"/>
      <c r="J3815" s="5" t="n">
        <v>42.49617724438889</v>
      </c>
      <c r="K3815" s="5" t="n">
        <v>52</v>
      </c>
    </row>
    <row r="3816">
      <c r="A3816" s="2" t="n">
        <v>46256.375</v>
      </c>
      <c r="B3816">
        <f>TEXT(A3816,"yyyy-mm")</f>
        <v/>
      </c>
      <c r="C3816" s="3">
        <f>HOUR(A3816)</f>
        <v/>
      </c>
      <c r="D3816" s="4" t="n">
        <v>26.36</v>
      </c>
      <c r="E3816" s="4" t="n"/>
      <c r="F3816" s="4" t="n">
        <v>29.53617877489445</v>
      </c>
      <c r="G3816" s="4" t="n">
        <v>25</v>
      </c>
      <c r="H3816" s="5" t="n">
        <v>32</v>
      </c>
      <c r="I3816" s="5" t="n"/>
      <c r="J3816" s="5" t="n">
        <v>42.56570331641944</v>
      </c>
      <c r="K3816" s="5" t="n">
        <v>45</v>
      </c>
    </row>
    <row r="3817">
      <c r="A3817" s="2" t="n">
        <v>46256.41666666666</v>
      </c>
      <c r="B3817">
        <f>TEXT(A3817,"yyyy-mm")</f>
        <v/>
      </c>
      <c r="C3817" s="3">
        <f>HOUR(A3817)</f>
        <v/>
      </c>
      <c r="D3817" s="4" t="n">
        <v>26.36</v>
      </c>
      <c r="E3817" s="4" t="n"/>
      <c r="F3817" s="4" t="n">
        <v>29.59987034325556</v>
      </c>
      <c r="G3817" s="4" t="n">
        <v>27.7</v>
      </c>
      <c r="H3817" s="5" t="n">
        <v>32</v>
      </c>
      <c r="I3817" s="5" t="n"/>
      <c r="J3817" s="5" t="n">
        <v>42.59071508023612</v>
      </c>
      <c r="K3817" s="5" t="n">
        <v>39</v>
      </c>
    </row>
    <row r="3818">
      <c r="A3818" s="2" t="n">
        <v>46256.45833333334</v>
      </c>
      <c r="B3818">
        <f>TEXT(A3818,"yyyy-mm")</f>
        <v/>
      </c>
      <c r="C3818" s="3">
        <f>HOUR(A3818)</f>
        <v/>
      </c>
      <c r="D3818" s="4" t="n">
        <v>26.36</v>
      </c>
      <c r="E3818" s="4" t="n"/>
      <c r="F3818" s="4" t="n">
        <v>29.64608909587777</v>
      </c>
      <c r="G3818" s="4" t="n">
        <v>29.7</v>
      </c>
      <c r="H3818" s="5" t="n">
        <v>32</v>
      </c>
      <c r="I3818" s="5" t="n"/>
      <c r="J3818" s="5" t="n">
        <v>42.52105402593611</v>
      </c>
      <c r="K3818" s="5" t="n">
        <v>35</v>
      </c>
    </row>
    <row r="3819">
      <c r="A3819" s="2" t="n">
        <v>46256.5</v>
      </c>
      <c r="B3819">
        <f>TEXT(A3819,"yyyy-mm")</f>
        <v/>
      </c>
      <c r="C3819" s="3">
        <f>HOUR(A3819)</f>
        <v/>
      </c>
      <c r="D3819" s="4" t="n">
        <v>26.36</v>
      </c>
      <c r="E3819" s="4" t="n"/>
      <c r="F3819" s="4" t="n">
        <v>29.68064358958333</v>
      </c>
      <c r="G3819" s="4" t="n">
        <v>30.9</v>
      </c>
      <c r="H3819" s="5" t="n">
        <v>32</v>
      </c>
      <c r="I3819" s="5" t="n"/>
      <c r="J3819" s="5" t="n">
        <v>42.57277638287778</v>
      </c>
      <c r="K3819" s="5" t="n">
        <v>33</v>
      </c>
    </row>
    <row r="3820">
      <c r="A3820" s="2" t="n">
        <v>46256.54166666666</v>
      </c>
      <c r="B3820">
        <f>TEXT(A3820,"yyyy-mm")</f>
        <v/>
      </c>
      <c r="C3820" s="3">
        <f>HOUR(A3820)</f>
        <v/>
      </c>
      <c r="D3820" s="4" t="n">
        <v>26.36</v>
      </c>
      <c r="E3820" s="4" t="n"/>
      <c r="F3820" s="4" t="n">
        <v>29.72119425961389</v>
      </c>
      <c r="G3820" s="4" t="n">
        <v>31.7</v>
      </c>
      <c r="H3820" s="5" t="n">
        <v>32</v>
      </c>
      <c r="I3820" s="5" t="n"/>
      <c r="J3820" s="5" t="n">
        <v>42.28491652685278</v>
      </c>
      <c r="K3820" s="5" t="n">
        <v>30</v>
      </c>
    </row>
    <row r="3821">
      <c r="A3821" s="2" t="n">
        <v>46256.58333333334</v>
      </c>
      <c r="B3821">
        <f>TEXT(A3821,"yyyy-mm")</f>
        <v/>
      </c>
      <c r="C3821" s="3">
        <f>HOUR(A3821)</f>
        <v/>
      </c>
      <c r="D3821" s="4" t="n">
        <v>26.36</v>
      </c>
      <c r="E3821" s="4" t="n"/>
      <c r="F3821" s="4" t="n">
        <v>29.65178006910556</v>
      </c>
      <c r="G3821" s="4" t="n">
        <v>32.2</v>
      </c>
      <c r="H3821" s="5" t="n">
        <v>32</v>
      </c>
      <c r="I3821" s="5" t="n"/>
      <c r="J3821" s="5" t="n">
        <v>41.74832343484445</v>
      </c>
      <c r="K3821" s="5" t="n">
        <v>28</v>
      </c>
    </row>
    <row r="3822">
      <c r="A3822" s="2" t="n">
        <v>46256.625</v>
      </c>
      <c r="B3822">
        <f>TEXT(A3822,"yyyy-mm")</f>
        <v/>
      </c>
      <c r="C3822" s="3">
        <f>HOUR(A3822)</f>
        <v/>
      </c>
      <c r="D3822" s="4" t="n">
        <v>26.36</v>
      </c>
      <c r="E3822" s="4" t="n"/>
      <c r="F3822" s="4" t="n">
        <v>29.69473876920833</v>
      </c>
      <c r="G3822" s="4" t="n">
        <v>33.5</v>
      </c>
      <c r="H3822" s="5" t="n">
        <v>32</v>
      </c>
      <c r="I3822" s="5" t="n"/>
      <c r="J3822" s="5" t="n">
        <v>42.04312597811667</v>
      </c>
      <c r="K3822" s="5" t="n">
        <v>27</v>
      </c>
    </row>
    <row r="3823">
      <c r="A3823" s="2" t="n">
        <v>46256.66666666666</v>
      </c>
      <c r="B3823">
        <f>TEXT(A3823,"yyyy-mm")</f>
        <v/>
      </c>
      <c r="C3823" s="3">
        <f>HOUR(A3823)</f>
        <v/>
      </c>
      <c r="D3823" s="4" t="n">
        <v>26.36</v>
      </c>
      <c r="E3823" s="4" t="n"/>
      <c r="F3823" s="4" t="n">
        <v>29.81280459052479</v>
      </c>
      <c r="G3823" s="4" t="n">
        <v>33.4</v>
      </c>
      <c r="H3823" s="5" t="n">
        <v>32</v>
      </c>
      <c r="I3823" s="5" t="n"/>
      <c r="J3823" s="5" t="n">
        <v>41.73013253535715</v>
      </c>
      <c r="K3823" s="5" t="n">
        <v>27</v>
      </c>
    </row>
    <row r="3824">
      <c r="A3824" s="2" t="n">
        <v>46256.70833333334</v>
      </c>
      <c r="B3824">
        <f>TEXT(A3824,"yyyy-mm")</f>
        <v/>
      </c>
      <c r="C3824" s="3">
        <f>HOUR(A3824)</f>
        <v/>
      </c>
      <c r="D3824" s="4" t="n">
        <v>26.36</v>
      </c>
      <c r="E3824" s="4" t="n"/>
      <c r="F3824" s="4" t="n">
        <v>29.75758342318611</v>
      </c>
      <c r="G3824" s="4" t="n">
        <v>33.2</v>
      </c>
      <c r="H3824" s="5" t="n">
        <v>32</v>
      </c>
      <c r="I3824" s="5" t="n"/>
      <c r="J3824" s="5" t="n">
        <v>41.05175613239444</v>
      </c>
      <c r="K3824" s="5" t="n">
        <v>26</v>
      </c>
    </row>
    <row r="3825">
      <c r="A3825" s="2" t="n">
        <v>46256.75</v>
      </c>
      <c r="B3825">
        <f>TEXT(A3825,"yyyy-mm")</f>
        <v/>
      </c>
      <c r="C3825" s="3">
        <f>HOUR(A3825)</f>
        <v/>
      </c>
      <c r="D3825" s="4" t="n">
        <v>26.36</v>
      </c>
      <c r="E3825" s="4" t="n"/>
      <c r="F3825" s="4" t="n">
        <v>29.81912172399167</v>
      </c>
      <c r="G3825" s="4" t="n">
        <v>32.6</v>
      </c>
      <c r="H3825" s="5" t="n">
        <v>32</v>
      </c>
      <c r="I3825" s="5" t="n"/>
      <c r="J3825" s="5" t="n">
        <v>40.64841878050556</v>
      </c>
      <c r="K3825" s="5" t="n">
        <v>27</v>
      </c>
    </row>
    <row r="3826">
      <c r="A3826" s="2" t="n">
        <v>46256.79166666666</v>
      </c>
      <c r="B3826">
        <f>TEXT(A3826,"yyyy-mm")</f>
        <v/>
      </c>
      <c r="C3826" s="3">
        <f>HOUR(A3826)</f>
        <v/>
      </c>
      <c r="D3826" s="4" t="n">
        <v>26.36</v>
      </c>
      <c r="E3826" s="4" t="n"/>
      <c r="F3826" s="4" t="n">
        <v>29.86203596434444</v>
      </c>
      <c r="G3826" s="4" t="n">
        <v>31.3</v>
      </c>
      <c r="H3826" s="5" t="n">
        <v>32</v>
      </c>
      <c r="I3826" s="5" t="n"/>
      <c r="J3826" s="5" t="n">
        <v>41.07348698152222</v>
      </c>
      <c r="K3826" s="5" t="n">
        <v>30</v>
      </c>
    </row>
    <row r="3827">
      <c r="A3827" s="2" t="n">
        <v>46256.83333333334</v>
      </c>
      <c r="B3827">
        <f>TEXT(A3827,"yyyy-mm")</f>
        <v/>
      </c>
      <c r="C3827" s="3">
        <f>HOUR(A3827)</f>
        <v/>
      </c>
      <c r="D3827" s="4" t="n">
        <v>26.36</v>
      </c>
      <c r="E3827" s="4" t="n"/>
      <c r="F3827" s="4" t="n">
        <v>29.88828243738611</v>
      </c>
      <c r="G3827" s="4" t="n">
        <v>29.5</v>
      </c>
      <c r="H3827" s="5" t="n">
        <v>32</v>
      </c>
      <c r="I3827" s="5" t="n"/>
      <c r="J3827" s="5" t="n">
        <v>40.89958216818334</v>
      </c>
      <c r="K3827" s="5" t="n">
        <v>35</v>
      </c>
    </row>
    <row r="3828">
      <c r="A3828" s="2" t="n">
        <v>46256.875</v>
      </c>
      <c r="B3828">
        <f>TEXT(A3828,"yyyy-mm")</f>
        <v/>
      </c>
      <c r="C3828" s="3">
        <f>HOUR(A3828)</f>
        <v/>
      </c>
      <c r="D3828" s="4" t="n">
        <v>26.36</v>
      </c>
      <c r="E3828" s="4" t="n"/>
      <c r="F3828" s="4" t="n">
        <v>29.90691020525</v>
      </c>
      <c r="G3828" s="4" t="n">
        <v>28.3</v>
      </c>
      <c r="H3828" s="5" t="n">
        <v>32</v>
      </c>
      <c r="I3828" s="5" t="n"/>
      <c r="J3828" s="5" t="n">
        <v>41.0717947975</v>
      </c>
      <c r="K3828" s="5" t="n">
        <v>35</v>
      </c>
    </row>
    <row r="3829">
      <c r="A3829" s="2" t="n">
        <v>46256.91666666666</v>
      </c>
      <c r="B3829">
        <f>TEXT(A3829,"yyyy-mm")</f>
        <v/>
      </c>
      <c r="C3829" s="3">
        <f>HOUR(A3829)</f>
        <v/>
      </c>
      <c r="D3829" s="4" t="n">
        <v>26.36</v>
      </c>
      <c r="E3829" s="4" t="n"/>
      <c r="F3829" s="4" t="n">
        <v>29.63918247709444</v>
      </c>
      <c r="G3829" s="4" t="n">
        <v>27.1</v>
      </c>
      <c r="H3829" s="5" t="n">
        <v>32</v>
      </c>
      <c r="I3829" s="5" t="n"/>
      <c r="J3829" s="5" t="n">
        <v>41.52251530666389</v>
      </c>
      <c r="K3829" s="5" t="n">
        <v>36</v>
      </c>
    </row>
    <row r="3830">
      <c r="A3830" s="2" t="n">
        <v>46256.95833333334</v>
      </c>
      <c r="B3830">
        <f>TEXT(A3830,"yyyy-mm")</f>
        <v/>
      </c>
      <c r="C3830" s="3">
        <f>HOUR(A3830)</f>
        <v/>
      </c>
      <c r="D3830" s="4" t="n">
        <v>26.36</v>
      </c>
      <c r="E3830" s="4" t="n"/>
      <c r="F3830" s="4" t="n">
        <v>28.59534212317778</v>
      </c>
      <c r="G3830" s="4" t="n">
        <v>25.7</v>
      </c>
      <c r="H3830" s="5" t="n">
        <v>32</v>
      </c>
      <c r="I3830" s="5" t="n"/>
      <c r="J3830" s="5" t="n">
        <v>42.19047428115834</v>
      </c>
      <c r="K3830" s="5" t="n">
        <v>39</v>
      </c>
    </row>
    <row r="3831">
      <c r="A3831" s="2" t="n">
        <v>46257</v>
      </c>
      <c r="B3831">
        <f>TEXT(A3831,"yyyy-mm")</f>
        <v/>
      </c>
      <c r="C3831" s="3">
        <f>HOUR(A3831)</f>
        <v/>
      </c>
      <c r="D3831" s="4" t="n">
        <v>26.36</v>
      </c>
      <c r="E3831" s="4" t="n"/>
      <c r="F3831" s="4" t="n">
        <v>29.20251689916389</v>
      </c>
      <c r="G3831" s="4" t="n">
        <v>24.6</v>
      </c>
      <c r="H3831" s="5" t="n">
        <v>32</v>
      </c>
      <c r="I3831" s="5" t="n"/>
      <c r="J3831" s="5" t="n">
        <v>41.80527306820833</v>
      </c>
      <c r="K3831" s="5" t="n">
        <v>41</v>
      </c>
    </row>
    <row r="3832">
      <c r="A3832" s="2" t="n">
        <v>46257.04166666666</v>
      </c>
      <c r="B3832">
        <f>TEXT(A3832,"yyyy-mm")</f>
        <v/>
      </c>
      <c r="C3832" s="3">
        <f>HOUR(A3832)</f>
        <v/>
      </c>
      <c r="D3832" s="4" t="n">
        <v>26.36</v>
      </c>
      <c r="E3832" s="4" t="n"/>
      <c r="F3832" s="4" t="n">
        <v>29.57084343119167</v>
      </c>
      <c r="G3832" s="4" t="n">
        <v>23.7</v>
      </c>
      <c r="H3832" s="5" t="n">
        <v>32</v>
      </c>
      <c r="I3832" s="5" t="n"/>
      <c r="J3832" s="5" t="n">
        <v>41.56553218836111</v>
      </c>
      <c r="K3832" s="5" t="n">
        <v>42</v>
      </c>
    </row>
    <row r="3833">
      <c r="A3833" s="2" t="n">
        <v>46257.08333333334</v>
      </c>
      <c r="B3833">
        <f>TEXT(A3833,"yyyy-mm")</f>
        <v/>
      </c>
      <c r="C3833" s="3">
        <f>HOUR(A3833)</f>
        <v/>
      </c>
      <c r="D3833" s="4" t="n">
        <v>26.36</v>
      </c>
      <c r="E3833" s="4" t="n"/>
      <c r="F3833" s="4" t="n">
        <v>29.77396595175277</v>
      </c>
      <c r="G3833" s="4" t="n">
        <v>23</v>
      </c>
      <c r="H3833" s="5" t="n">
        <v>32</v>
      </c>
      <c r="I3833" s="5" t="n"/>
      <c r="J3833" s="5" t="n">
        <v>41.39905797271666</v>
      </c>
      <c r="K3833" s="5" t="n">
        <v>42</v>
      </c>
    </row>
    <row r="3834">
      <c r="A3834" s="2" t="n">
        <v>46257.125</v>
      </c>
      <c r="B3834">
        <f>TEXT(A3834,"yyyy-mm")</f>
        <v/>
      </c>
      <c r="C3834" s="3">
        <f>HOUR(A3834)</f>
        <v/>
      </c>
      <c r="D3834" s="4" t="n">
        <v>26.36</v>
      </c>
      <c r="E3834" s="4" t="n"/>
      <c r="F3834" s="4" t="n">
        <v>29.86750787974445</v>
      </c>
      <c r="G3834" s="4" t="n">
        <v>21.9</v>
      </c>
      <c r="H3834" s="5" t="n">
        <v>32</v>
      </c>
      <c r="I3834" s="5" t="n"/>
      <c r="J3834" s="5" t="n">
        <v>41.08443170648055</v>
      </c>
      <c r="K3834" s="5" t="n">
        <v>45</v>
      </c>
    </row>
    <row r="3835">
      <c r="A3835" s="2" t="n">
        <v>46257.16666666666</v>
      </c>
      <c r="B3835">
        <f>TEXT(A3835,"yyyy-mm")</f>
        <v/>
      </c>
      <c r="C3835" s="3">
        <f>HOUR(A3835)</f>
        <v/>
      </c>
      <c r="D3835" s="4" t="n">
        <v>26.36</v>
      </c>
      <c r="E3835" s="4" t="n"/>
      <c r="F3835" s="4" t="n">
        <v>29.87224715106666</v>
      </c>
      <c r="G3835" s="4" t="n">
        <v>21.2</v>
      </c>
      <c r="H3835" s="5" t="n">
        <v>32</v>
      </c>
      <c r="I3835" s="5" t="n"/>
      <c r="J3835" s="5" t="n">
        <v>40.78936230790556</v>
      </c>
      <c r="K3835" s="5" t="n">
        <v>46</v>
      </c>
    </row>
    <row r="3836">
      <c r="A3836" s="2" t="n">
        <v>46257.20833333334</v>
      </c>
      <c r="B3836">
        <f>TEXT(A3836,"yyyy-mm")</f>
        <v/>
      </c>
      <c r="C3836" s="3">
        <f>HOUR(A3836)</f>
        <v/>
      </c>
      <c r="D3836" s="4" t="n">
        <v>26.36</v>
      </c>
      <c r="E3836" s="4" t="n"/>
      <c r="F3836" s="4" t="n">
        <v>29.82465643085278</v>
      </c>
      <c r="G3836" s="4" t="n">
        <v>20.5</v>
      </c>
      <c r="H3836" s="5" t="n">
        <v>32</v>
      </c>
      <c r="I3836" s="5" t="n"/>
      <c r="J3836" s="5" t="n">
        <v>40.57869200648889</v>
      </c>
      <c r="K3836" s="5" t="n">
        <v>49</v>
      </c>
    </row>
    <row r="3837">
      <c r="A3837" s="2" t="n">
        <v>46257.25</v>
      </c>
      <c r="B3837">
        <f>TEXT(A3837,"yyyy-mm")</f>
        <v/>
      </c>
      <c r="C3837" s="3">
        <f>HOUR(A3837)</f>
        <v/>
      </c>
      <c r="D3837" s="4" t="n">
        <v>26.36</v>
      </c>
      <c r="E3837" s="4" t="n"/>
      <c r="F3837" s="4" t="n">
        <v>29.76810620846945</v>
      </c>
      <c r="G3837" s="4" t="n">
        <v>19.9</v>
      </c>
      <c r="H3837" s="5" t="n">
        <v>32</v>
      </c>
      <c r="I3837" s="5" t="n"/>
      <c r="J3837" s="5" t="n">
        <v>40.52690048683611</v>
      </c>
      <c r="K3837" s="5" t="n">
        <v>52</v>
      </c>
    </row>
    <row r="3838">
      <c r="A3838" s="2" t="n">
        <v>46257.29166666666</v>
      </c>
      <c r="B3838">
        <f>TEXT(A3838,"yyyy-mm")</f>
        <v/>
      </c>
      <c r="C3838" s="3">
        <f>HOUR(A3838)</f>
        <v/>
      </c>
      <c r="D3838" s="4" t="n">
        <v>26.36</v>
      </c>
      <c r="E3838" s="4" t="n"/>
      <c r="F3838" s="4" t="n">
        <v>29.77078284008056</v>
      </c>
      <c r="G3838" s="4" t="n">
        <v>21</v>
      </c>
      <c r="H3838" s="5" t="n">
        <v>32</v>
      </c>
      <c r="I3838" s="5" t="n"/>
      <c r="J3838" s="5" t="n">
        <v>40.65838330455</v>
      </c>
      <c r="K3838" s="5" t="n">
        <v>49</v>
      </c>
    </row>
    <row r="3839">
      <c r="A3839" s="2" t="n">
        <v>46257.33333333334</v>
      </c>
      <c r="B3839">
        <f>TEXT(A3839,"yyyy-mm")</f>
        <v/>
      </c>
      <c r="C3839" s="3">
        <f>HOUR(A3839)</f>
        <v/>
      </c>
      <c r="D3839" s="4" t="n">
        <v>26.36</v>
      </c>
      <c r="E3839" s="4" t="n"/>
      <c r="F3839" s="4" t="n">
        <v>29.81242292191389</v>
      </c>
      <c r="G3839" s="4" t="n">
        <v>23.1</v>
      </c>
      <c r="H3839" s="5" t="n">
        <v>32</v>
      </c>
      <c r="I3839" s="5" t="n"/>
      <c r="J3839" s="5" t="n">
        <v>40.86183888164445</v>
      </c>
      <c r="K3839" s="5" t="n">
        <v>43</v>
      </c>
    </row>
    <row r="3840">
      <c r="A3840" s="2" t="n">
        <v>46257.375</v>
      </c>
      <c r="B3840">
        <f>TEXT(A3840,"yyyy-mm")</f>
        <v/>
      </c>
      <c r="C3840" s="3">
        <f>HOUR(A3840)</f>
        <v/>
      </c>
      <c r="D3840" s="4" t="n">
        <v>26.36</v>
      </c>
      <c r="E3840" s="4" t="n"/>
      <c r="F3840" s="4" t="n">
        <v>29.86067484813612</v>
      </c>
      <c r="G3840" s="4" t="n">
        <v>25.7</v>
      </c>
      <c r="H3840" s="5" t="n">
        <v>32</v>
      </c>
      <c r="I3840" s="5" t="n"/>
      <c r="J3840" s="5" t="n">
        <v>41.04860757244166</v>
      </c>
      <c r="K3840" s="5" t="n">
        <v>35</v>
      </c>
    </row>
    <row r="3841">
      <c r="A3841" s="2" t="n">
        <v>46257.41666666666</v>
      </c>
      <c r="B3841">
        <f>TEXT(A3841,"yyyy-mm")</f>
        <v/>
      </c>
      <c r="C3841" s="3">
        <f>HOUR(A3841)</f>
        <v/>
      </c>
      <c r="D3841" s="4" t="n">
        <v>26.36</v>
      </c>
      <c r="E3841" s="4" t="n"/>
      <c r="F3841" s="4" t="n">
        <v>29.90656168793055</v>
      </c>
      <c r="G3841" s="4" t="n">
        <v>28.3</v>
      </c>
      <c r="H3841" s="5" t="n">
        <v>32</v>
      </c>
      <c r="I3841" s="5" t="n"/>
      <c r="J3841" s="5" t="n">
        <v>41.23767731625</v>
      </c>
      <c r="K3841" s="5" t="n">
        <v>31</v>
      </c>
    </row>
    <row r="3842">
      <c r="A3842" s="2" t="n">
        <v>46257.45833333334</v>
      </c>
      <c r="B3842">
        <f>TEXT(A3842,"yyyy-mm")</f>
        <v/>
      </c>
      <c r="C3842" s="3">
        <f>HOUR(A3842)</f>
        <v/>
      </c>
      <c r="D3842" s="4" t="n">
        <v>26.36</v>
      </c>
      <c r="E3842" s="4" t="n"/>
      <c r="F3842" s="4" t="n">
        <v>29.95711875265833</v>
      </c>
      <c r="G3842" s="4" t="n">
        <v>30.3</v>
      </c>
      <c r="H3842" s="5" t="n">
        <v>32</v>
      </c>
      <c r="I3842" s="5" t="n"/>
      <c r="J3842" s="5" t="n">
        <v>41.432695609925</v>
      </c>
      <c r="K3842" s="5" t="n">
        <v>28</v>
      </c>
    </row>
    <row r="3843">
      <c r="A3843" s="2" t="n">
        <v>46257.5</v>
      </c>
      <c r="B3843">
        <f>TEXT(A3843,"yyyy-mm")</f>
        <v/>
      </c>
      <c r="C3843" s="3">
        <f>HOUR(A3843)</f>
        <v/>
      </c>
      <c r="D3843" s="4" t="n">
        <v>26.36</v>
      </c>
      <c r="E3843" s="4" t="n"/>
      <c r="F3843" s="4" t="n">
        <v>29.86931663223056</v>
      </c>
      <c r="G3843" s="4" t="n">
        <v>31.5</v>
      </c>
      <c r="H3843" s="5" t="n">
        <v>32</v>
      </c>
      <c r="I3843" s="5" t="n"/>
      <c r="J3843" s="5" t="n">
        <v>41.37085913521389</v>
      </c>
      <c r="K3843" s="5" t="n">
        <v>27</v>
      </c>
    </row>
    <row r="3844">
      <c r="A3844" s="2" t="n">
        <v>46257.54166666666</v>
      </c>
      <c r="B3844">
        <f>TEXT(A3844,"yyyy-mm")</f>
        <v/>
      </c>
      <c r="C3844" s="3">
        <f>HOUR(A3844)</f>
        <v/>
      </c>
      <c r="D3844" s="4" t="n">
        <v>26.36</v>
      </c>
      <c r="E3844" s="4" t="n"/>
      <c r="F3844" s="4" t="n">
        <v>29.84041318868056</v>
      </c>
      <c r="G3844" s="4" t="n">
        <v>32.1</v>
      </c>
      <c r="H3844" s="5" t="n">
        <v>32</v>
      </c>
      <c r="I3844" s="5" t="n"/>
      <c r="J3844" s="5" t="n">
        <v>40.94952847161388</v>
      </c>
      <c r="K3844" s="5" t="n">
        <v>28</v>
      </c>
    </row>
    <row r="3845">
      <c r="A3845" s="2" t="n">
        <v>46257.58333333334</v>
      </c>
      <c r="B3845">
        <f>TEXT(A3845,"yyyy-mm")</f>
        <v/>
      </c>
      <c r="C3845" s="3">
        <f>HOUR(A3845)</f>
        <v/>
      </c>
      <c r="D3845" s="4" t="n">
        <v>26.36</v>
      </c>
      <c r="E3845" s="4" t="n"/>
      <c r="F3845" s="4" t="n">
        <v>29.75876685037778</v>
      </c>
      <c r="G3845" s="4" t="n">
        <v>32</v>
      </c>
      <c r="H3845" s="5" t="n">
        <v>32</v>
      </c>
      <c r="I3845" s="5" t="n"/>
      <c r="J3845" s="5" t="n">
        <v>40.63596206060833</v>
      </c>
      <c r="K3845" s="5" t="n">
        <v>32</v>
      </c>
    </row>
    <row r="3846">
      <c r="A3846" s="2" t="n">
        <v>46257.625</v>
      </c>
      <c r="B3846">
        <f>TEXT(A3846,"yyyy-mm")</f>
        <v/>
      </c>
      <c r="C3846" s="3">
        <f>HOUR(A3846)</f>
        <v/>
      </c>
      <c r="D3846" s="4" t="n">
        <v>26.36</v>
      </c>
      <c r="E3846" s="4" t="n"/>
      <c r="F3846" s="4" t="n">
        <v>29.732687838175</v>
      </c>
      <c r="G3846" s="4" t="n">
        <v>31.3</v>
      </c>
      <c r="H3846" s="5" t="n">
        <v>32</v>
      </c>
      <c r="I3846" s="5" t="n"/>
      <c r="J3846" s="5" t="n">
        <v>40.62427058084444</v>
      </c>
      <c r="K3846" s="5" t="n">
        <v>32</v>
      </c>
    </row>
    <row r="3847">
      <c r="A3847" s="2" t="n">
        <v>46257.66666666666</v>
      </c>
      <c r="B3847">
        <f>TEXT(A3847,"yyyy-mm")</f>
        <v/>
      </c>
      <c r="C3847" s="3">
        <f>HOUR(A3847)</f>
        <v/>
      </c>
      <c r="D3847" s="4" t="n">
        <v>26.36</v>
      </c>
      <c r="E3847" s="4" t="n"/>
      <c r="F3847" s="4" t="n">
        <v>29.71661609770833</v>
      </c>
      <c r="G3847" s="4" t="n">
        <v>30.3</v>
      </c>
      <c r="H3847" s="5" t="n">
        <v>32</v>
      </c>
      <c r="I3847" s="5" t="n"/>
      <c r="J3847" s="5" t="n">
        <v>41.12212483874445</v>
      </c>
      <c r="K3847" s="5" t="n">
        <v>41</v>
      </c>
    </row>
    <row r="3848">
      <c r="A3848" s="2" t="n">
        <v>46257.70833333334</v>
      </c>
      <c r="B3848">
        <f>TEXT(A3848,"yyyy-mm")</f>
        <v/>
      </c>
      <c r="C3848" s="3">
        <f>HOUR(A3848)</f>
        <v/>
      </c>
      <c r="D3848" s="4" t="n">
        <v>26.36</v>
      </c>
      <c r="E3848" s="4" t="n"/>
      <c r="F3848" s="4" t="n">
        <v>29.64185998076111</v>
      </c>
      <c r="G3848" s="4" t="n">
        <v>29.3</v>
      </c>
      <c r="H3848" s="5" t="n">
        <v>32</v>
      </c>
      <c r="I3848" s="5" t="n"/>
      <c r="J3848" s="5" t="n">
        <v>41.76636850685833</v>
      </c>
      <c r="K3848" s="5" t="n">
        <v>41</v>
      </c>
    </row>
    <row r="3849">
      <c r="A3849" s="2" t="n">
        <v>46257.75</v>
      </c>
      <c r="B3849">
        <f>TEXT(A3849,"yyyy-mm")</f>
        <v/>
      </c>
      <c r="C3849" s="3">
        <f>HOUR(A3849)</f>
        <v/>
      </c>
      <c r="D3849" s="4" t="n">
        <v>26.36</v>
      </c>
      <c r="E3849" s="4" t="n"/>
      <c r="F3849" s="4" t="n">
        <v>28.17014116256945</v>
      </c>
      <c r="G3849" s="4" t="n">
        <v>27</v>
      </c>
      <c r="H3849" s="5" t="n">
        <v>32</v>
      </c>
      <c r="I3849" s="5" t="n"/>
      <c r="J3849" s="5" t="n">
        <v>40.55380781686389</v>
      </c>
      <c r="K3849" s="5" t="n">
        <v>42</v>
      </c>
    </row>
    <row r="3850">
      <c r="A3850" s="2" t="n">
        <v>46257.79166666666</v>
      </c>
      <c r="B3850">
        <f>TEXT(A3850,"yyyy-mm")</f>
        <v/>
      </c>
      <c r="C3850" s="3">
        <f>HOUR(A3850)</f>
        <v/>
      </c>
      <c r="D3850" s="4" t="n">
        <v>26.36</v>
      </c>
      <c r="E3850" s="4" t="n"/>
      <c r="F3850" s="4" t="n">
        <v>27.52678415340278</v>
      </c>
      <c r="G3850" s="4" t="n">
        <v>25.3</v>
      </c>
      <c r="H3850" s="5" t="n">
        <v>32</v>
      </c>
      <c r="I3850" s="5" t="n"/>
      <c r="J3850" s="5" t="n">
        <v>39.13958622855834</v>
      </c>
      <c r="K3850" s="5" t="n">
        <v>43</v>
      </c>
    </row>
    <row r="3851">
      <c r="A3851" s="2" t="n">
        <v>46257.83333333334</v>
      </c>
      <c r="B3851">
        <f>TEXT(A3851,"yyyy-mm")</f>
        <v/>
      </c>
      <c r="C3851" s="3">
        <f>HOUR(A3851)</f>
        <v/>
      </c>
      <c r="D3851" s="4" t="n">
        <v>26.36</v>
      </c>
      <c r="E3851" s="4" t="n"/>
      <c r="F3851" s="4" t="n">
        <v>27.59233883549166</v>
      </c>
      <c r="G3851" s="4" t="n">
        <v>24.2</v>
      </c>
      <c r="H3851" s="5" t="n">
        <v>32</v>
      </c>
      <c r="I3851" s="5" t="n"/>
      <c r="J3851" s="5" t="n">
        <v>40.25932763328056</v>
      </c>
      <c r="K3851" s="5" t="n">
        <v>45</v>
      </c>
    </row>
    <row r="3852">
      <c r="A3852" s="2" t="n">
        <v>46257.875</v>
      </c>
      <c r="B3852">
        <f>TEXT(A3852,"yyyy-mm")</f>
        <v/>
      </c>
      <c r="C3852" s="3">
        <f>HOUR(A3852)</f>
        <v/>
      </c>
      <c r="D3852" s="4" t="n">
        <v>26.36</v>
      </c>
      <c r="E3852" s="4" t="n"/>
      <c r="F3852" s="4" t="n">
        <v>28.54724025415</v>
      </c>
      <c r="G3852" s="4" t="n">
        <v>23.4</v>
      </c>
      <c r="H3852" s="5" t="n">
        <v>32</v>
      </c>
      <c r="I3852" s="5" t="n"/>
      <c r="J3852" s="5" t="n">
        <v>41.03740480457222</v>
      </c>
      <c r="K3852" s="5" t="n">
        <v>48</v>
      </c>
    </row>
    <row r="3853">
      <c r="A3853" s="2" t="n">
        <v>46257.91666666666</v>
      </c>
      <c r="B3853">
        <f>TEXT(A3853,"yyyy-mm")</f>
        <v/>
      </c>
      <c r="C3853" s="3">
        <f>HOUR(A3853)</f>
        <v/>
      </c>
      <c r="D3853" s="4" t="n">
        <v>26.36</v>
      </c>
      <c r="E3853" s="4" t="n"/>
      <c r="F3853" s="4" t="n">
        <v>28.97534550329722</v>
      </c>
      <c r="G3853" s="4" t="n">
        <v>22.7</v>
      </c>
      <c r="H3853" s="5" t="n">
        <v>32</v>
      </c>
      <c r="I3853" s="5" t="n"/>
      <c r="J3853" s="5" t="n">
        <v>41.59676958801666</v>
      </c>
      <c r="K3853" s="5" t="n">
        <v>50</v>
      </c>
    </row>
    <row r="3854">
      <c r="A3854" s="2" t="n">
        <v>46257.95833333334</v>
      </c>
      <c r="B3854">
        <f>TEXT(A3854,"yyyy-mm")</f>
        <v/>
      </c>
      <c r="C3854" s="3">
        <f>HOUR(A3854)</f>
        <v/>
      </c>
      <c r="D3854" s="4" t="n">
        <v>26.36</v>
      </c>
      <c r="E3854" s="4" t="n"/>
      <c r="F3854" s="4" t="n">
        <v>29.216556145</v>
      </c>
      <c r="G3854" s="4" t="n">
        <v>21.8</v>
      </c>
      <c r="H3854" s="5" t="n">
        <v>32</v>
      </c>
      <c r="I3854" s="5" t="n"/>
      <c r="J3854" s="5" t="n">
        <v>41.71415425632223</v>
      </c>
      <c r="K3854" s="5" t="n">
        <v>52</v>
      </c>
    </row>
    <row r="3855">
      <c r="A3855" s="2" t="n">
        <v>46258</v>
      </c>
      <c r="B3855">
        <f>TEXT(A3855,"yyyy-mm")</f>
        <v/>
      </c>
      <c r="C3855" s="3">
        <f>HOUR(A3855)</f>
        <v/>
      </c>
      <c r="D3855" s="4" t="n">
        <v>26.36</v>
      </c>
      <c r="E3855" s="4" t="n"/>
      <c r="F3855" s="4" t="n">
        <v>29.33555392833611</v>
      </c>
      <c r="G3855" s="4" t="n">
        <v>21.6</v>
      </c>
      <c r="H3855" s="5" t="n">
        <v>32</v>
      </c>
      <c r="I3855" s="5" t="n"/>
      <c r="J3855" s="5" t="n">
        <v>42.07353111430833</v>
      </c>
      <c r="K3855" s="5" t="n">
        <v>51</v>
      </c>
    </row>
    <row r="3856">
      <c r="A3856" s="2" t="n">
        <v>46258.04166666666</v>
      </c>
      <c r="B3856">
        <f>TEXT(A3856,"yyyy-mm")</f>
        <v/>
      </c>
      <c r="C3856" s="3">
        <f>HOUR(A3856)</f>
        <v/>
      </c>
      <c r="D3856" s="4" t="n">
        <v>26.36</v>
      </c>
      <c r="E3856" s="4" t="n"/>
      <c r="F3856" s="4" t="n">
        <v>29.54852933404166</v>
      </c>
      <c r="G3856" s="4" t="n">
        <v>20.9</v>
      </c>
      <c r="H3856" s="5" t="n">
        <v>32</v>
      </c>
      <c r="I3856" s="5" t="n"/>
      <c r="J3856" s="5" t="n">
        <v>42.01727731215556</v>
      </c>
      <c r="K3856" s="5" t="n">
        <v>51</v>
      </c>
    </row>
    <row r="3857">
      <c r="A3857" s="2" t="n">
        <v>46258.08333333334</v>
      </c>
      <c r="B3857">
        <f>TEXT(A3857,"yyyy-mm")</f>
        <v/>
      </c>
      <c r="C3857" s="3">
        <f>HOUR(A3857)</f>
        <v/>
      </c>
      <c r="D3857" s="4" t="n">
        <v>26.36</v>
      </c>
      <c r="E3857" s="4" t="n"/>
      <c r="F3857" s="4" t="n">
        <v>29.69504330508333</v>
      </c>
      <c r="G3857" s="4" t="n">
        <v>19.8</v>
      </c>
      <c r="H3857" s="5" t="n">
        <v>32</v>
      </c>
      <c r="I3857" s="5" t="n"/>
      <c r="J3857" s="5" t="n">
        <v>41.98727043243056</v>
      </c>
      <c r="K3857" s="5" t="n">
        <v>54</v>
      </c>
    </row>
    <row r="3858">
      <c r="A3858" s="2" t="n">
        <v>46258.125</v>
      </c>
      <c r="B3858">
        <f>TEXT(A3858,"yyyy-mm")</f>
        <v/>
      </c>
      <c r="C3858" s="3">
        <f>HOUR(A3858)</f>
        <v/>
      </c>
      <c r="D3858" s="4" t="n">
        <v>26.36</v>
      </c>
      <c r="E3858" s="4" t="n"/>
      <c r="F3858" s="4" t="n">
        <v>29.74094172989722</v>
      </c>
      <c r="G3858" s="4" t="n">
        <v>18.3</v>
      </c>
      <c r="H3858" s="5" t="n">
        <v>32</v>
      </c>
      <c r="I3858" s="5" t="n"/>
      <c r="J3858" s="5" t="n">
        <v>41.91695354038056</v>
      </c>
      <c r="K3858" s="5" t="n">
        <v>58</v>
      </c>
    </row>
    <row r="3859">
      <c r="A3859" s="2" t="n">
        <v>46258.16666666666</v>
      </c>
      <c r="B3859">
        <f>TEXT(A3859,"yyyy-mm")</f>
        <v/>
      </c>
      <c r="C3859" s="3">
        <f>HOUR(A3859)</f>
        <v/>
      </c>
      <c r="D3859" s="4" t="n">
        <v>26.36</v>
      </c>
      <c r="E3859" s="4" t="n"/>
      <c r="F3859" s="4" t="n">
        <v>29.68712918294445</v>
      </c>
      <c r="G3859" s="4" t="n">
        <v>17.6</v>
      </c>
      <c r="H3859" s="5" t="n">
        <v>32</v>
      </c>
      <c r="I3859" s="5" t="n"/>
      <c r="J3859" s="5" t="n">
        <v>41.72507328398611</v>
      </c>
      <c r="K3859" s="5" t="n">
        <v>61</v>
      </c>
    </row>
    <row r="3860">
      <c r="A3860" s="2" t="n">
        <v>46258.20833333334</v>
      </c>
      <c r="B3860">
        <f>TEXT(A3860,"yyyy-mm")</f>
        <v/>
      </c>
      <c r="C3860" s="3">
        <f>HOUR(A3860)</f>
        <v/>
      </c>
      <c r="D3860" s="4" t="n">
        <v>26.36</v>
      </c>
      <c r="E3860" s="4" t="n"/>
      <c r="F3860" s="4" t="n">
        <v>29.62679520460556</v>
      </c>
      <c r="G3860" s="4" t="n">
        <v>16.8</v>
      </c>
      <c r="H3860" s="5" t="n">
        <v>32</v>
      </c>
      <c r="I3860" s="5" t="n"/>
      <c r="J3860" s="5" t="n">
        <v>41.53678647074445</v>
      </c>
      <c r="K3860" s="5" t="n">
        <v>64</v>
      </c>
    </row>
    <row r="3861">
      <c r="A3861" s="2" t="n">
        <v>46258.25</v>
      </c>
      <c r="B3861">
        <f>TEXT(A3861,"yyyy-mm")</f>
        <v/>
      </c>
      <c r="C3861" s="3">
        <f>HOUR(A3861)</f>
        <v/>
      </c>
      <c r="D3861" s="4" t="n">
        <v>26.36</v>
      </c>
      <c r="E3861" s="4" t="n"/>
      <c r="F3861" s="4" t="n">
        <v>29.57138422406666</v>
      </c>
      <c r="G3861" s="4" t="n">
        <v>16.1</v>
      </c>
      <c r="H3861" s="5" t="n">
        <v>32</v>
      </c>
      <c r="I3861" s="5" t="n"/>
      <c r="J3861" s="5" t="n">
        <v>41.42850955584167</v>
      </c>
      <c r="K3861" s="5" t="n">
        <v>66</v>
      </c>
    </row>
    <row r="3862">
      <c r="A3862" s="2" t="n">
        <v>46258.29166666666</v>
      </c>
      <c r="B3862">
        <f>TEXT(A3862,"yyyy-mm")</f>
        <v/>
      </c>
      <c r="C3862" s="3">
        <f>HOUR(A3862)</f>
        <v/>
      </c>
      <c r="D3862" s="4" t="n">
        <v>26.36</v>
      </c>
      <c r="E3862" s="4" t="n"/>
      <c r="F3862" s="4" t="n">
        <v>29.57364458480556</v>
      </c>
      <c r="G3862" s="4" t="n">
        <v>16.6</v>
      </c>
      <c r="H3862" s="5" t="n">
        <v>32</v>
      </c>
      <c r="I3862" s="5" t="n"/>
      <c r="J3862" s="5" t="n">
        <v>41.37561299890556</v>
      </c>
      <c r="K3862" s="5" t="n">
        <v>64</v>
      </c>
    </row>
    <row r="3863">
      <c r="A3863" s="2" t="n">
        <v>46258.33333333334</v>
      </c>
      <c r="B3863">
        <f>TEXT(A3863,"yyyy-mm")</f>
        <v/>
      </c>
      <c r="C3863" s="3">
        <f>HOUR(A3863)</f>
        <v/>
      </c>
      <c r="D3863" s="4" t="n">
        <v>26.36</v>
      </c>
      <c r="E3863" s="4" t="n"/>
      <c r="F3863" s="4" t="n">
        <v>29.62561580757222</v>
      </c>
      <c r="G3863" s="4" t="n">
        <v>18</v>
      </c>
      <c r="H3863" s="5" t="n">
        <v>32</v>
      </c>
      <c r="I3863" s="5" t="n"/>
      <c r="J3863" s="5" t="n">
        <v>41.373690614925</v>
      </c>
      <c r="K3863" s="5" t="n">
        <v>58</v>
      </c>
    </row>
    <row r="3864">
      <c r="A3864" s="2" t="n">
        <v>46258.375</v>
      </c>
      <c r="B3864">
        <f>TEXT(A3864,"yyyy-mm")</f>
        <v/>
      </c>
      <c r="C3864" s="3">
        <f>HOUR(A3864)</f>
        <v/>
      </c>
      <c r="D3864" s="4" t="n">
        <v>26.36</v>
      </c>
      <c r="E3864" s="4" t="n"/>
      <c r="F3864" s="4" t="n">
        <v>29.67445991371666</v>
      </c>
      <c r="G3864" s="4" t="n">
        <v>20.2</v>
      </c>
      <c r="H3864" s="5" t="n">
        <v>32</v>
      </c>
      <c r="I3864" s="5" t="n"/>
      <c r="J3864" s="5" t="n">
        <v>41.42579124145278</v>
      </c>
      <c r="K3864" s="5" t="n">
        <v>50</v>
      </c>
    </row>
    <row r="3865">
      <c r="A3865" s="2" t="n">
        <v>46258.41666666666</v>
      </c>
      <c r="B3865">
        <f>TEXT(A3865,"yyyy-mm")</f>
        <v/>
      </c>
      <c r="C3865" s="3">
        <f>HOUR(A3865)</f>
        <v/>
      </c>
      <c r="D3865" s="4" t="n">
        <v>26.36</v>
      </c>
      <c r="E3865" s="4" t="n"/>
      <c r="F3865" s="4" t="n">
        <v>29.77854599710278</v>
      </c>
      <c r="G3865" s="4" t="n">
        <v>21.8</v>
      </c>
      <c r="H3865" s="5" t="n">
        <v>32</v>
      </c>
      <c r="I3865" s="5" t="n"/>
      <c r="J3865" s="5" t="n">
        <v>41.42968625443334</v>
      </c>
      <c r="K3865" s="5" t="n">
        <v>42</v>
      </c>
    </row>
    <row r="3866">
      <c r="A3866" s="2" t="n">
        <v>46258.45833333334</v>
      </c>
      <c r="B3866">
        <f>TEXT(A3866,"yyyy-mm")</f>
        <v/>
      </c>
      <c r="C3866" s="3">
        <f>HOUR(A3866)</f>
        <v/>
      </c>
      <c r="D3866" s="4" t="n">
        <v>26.36</v>
      </c>
      <c r="E3866" s="4" t="n"/>
      <c r="F3866" s="4" t="n">
        <v>29.83961058026945</v>
      </c>
      <c r="G3866" s="4" t="n">
        <v>22.9</v>
      </c>
      <c r="H3866" s="5" t="n">
        <v>32</v>
      </c>
      <c r="I3866" s="5" t="n"/>
      <c r="J3866" s="5" t="n">
        <v>41.44690294993889</v>
      </c>
      <c r="K3866" s="5" t="n">
        <v>36</v>
      </c>
    </row>
    <row r="3867">
      <c r="A3867" s="2" t="n">
        <v>46258.5</v>
      </c>
      <c r="B3867">
        <f>TEXT(A3867,"yyyy-mm")</f>
        <v/>
      </c>
      <c r="C3867" s="3">
        <f>HOUR(A3867)</f>
        <v/>
      </c>
      <c r="D3867" s="4" t="n">
        <v>26.36</v>
      </c>
      <c r="E3867" s="4" t="n"/>
      <c r="F3867" s="4" t="n">
        <v>29.82766460453889</v>
      </c>
      <c r="G3867" s="4" t="n">
        <v>23.7</v>
      </c>
      <c r="H3867" s="5" t="n">
        <v>32</v>
      </c>
      <c r="I3867" s="5" t="n"/>
      <c r="J3867" s="5" t="n">
        <v>41.50702154915833</v>
      </c>
      <c r="K3867" s="5" t="n">
        <v>32</v>
      </c>
    </row>
    <row r="3868">
      <c r="A3868" s="2" t="n">
        <v>46258.54166666666</v>
      </c>
      <c r="B3868">
        <f>TEXT(A3868,"yyyy-mm")</f>
        <v/>
      </c>
      <c r="C3868" s="3">
        <f>HOUR(A3868)</f>
        <v/>
      </c>
      <c r="D3868" s="4" t="n">
        <v>26.78646081611944</v>
      </c>
      <c r="E3868" s="4" t="n"/>
      <c r="F3868" s="4" t="n">
        <v>29.84742313726667</v>
      </c>
      <c r="G3868" s="4" t="n">
        <v>24.3</v>
      </c>
      <c r="H3868" s="5" t="n">
        <v>30.15688963032222</v>
      </c>
      <c r="I3868" s="5" t="n"/>
      <c r="J3868" s="5" t="n">
        <v>41.29384680808889</v>
      </c>
      <c r="K3868" s="5" t="n">
        <v>31</v>
      </c>
    </row>
    <row r="3869">
      <c r="A3869" s="2" t="n">
        <v>46258.58333333334</v>
      </c>
      <c r="B3869">
        <f>TEXT(A3869,"yyyy-mm")</f>
        <v/>
      </c>
      <c r="C3869" s="3">
        <f>HOUR(A3869)</f>
        <v/>
      </c>
      <c r="D3869" s="4" t="n">
        <v>27.01355893721111</v>
      </c>
      <c r="E3869" s="4" t="n"/>
      <c r="F3869" s="4" t="n">
        <v>29.84202678296389</v>
      </c>
      <c r="G3869" s="4" t="n">
        <v>24.7</v>
      </c>
      <c r="H3869" s="5" t="n">
        <v>28.01626099531945</v>
      </c>
      <c r="I3869" s="5" t="n"/>
      <c r="J3869" s="5" t="n">
        <v>41.06963008828056</v>
      </c>
      <c r="K3869" s="5" t="n">
        <v>31</v>
      </c>
    </row>
    <row r="3870">
      <c r="A3870" s="2" t="n">
        <v>46258.625</v>
      </c>
      <c r="B3870">
        <f>TEXT(A3870,"yyyy-mm")</f>
        <v/>
      </c>
      <c r="C3870" s="3">
        <f>HOUR(A3870)</f>
        <v/>
      </c>
      <c r="D3870" s="4" t="n">
        <v>26.87625015111389</v>
      </c>
      <c r="E3870" s="4" t="n"/>
      <c r="F3870" s="4" t="n">
        <v>29.81916204385556</v>
      </c>
      <c r="G3870" s="4" t="n">
        <v>25.4</v>
      </c>
      <c r="H3870" s="5" t="n">
        <v>27.95892094618889</v>
      </c>
      <c r="I3870" s="5" t="n"/>
      <c r="J3870" s="5" t="n">
        <v>40.80796486246111</v>
      </c>
      <c r="K3870" s="5" t="n">
        <v>30</v>
      </c>
    </row>
    <row r="3871">
      <c r="A3871" s="2" t="n">
        <v>46258.66666666666</v>
      </c>
      <c r="B3871">
        <f>TEXT(A3871,"yyyy-mm")</f>
        <v/>
      </c>
      <c r="C3871" s="3">
        <f>HOUR(A3871)</f>
        <v/>
      </c>
      <c r="D3871" s="4" t="n">
        <v>26.80858369149722</v>
      </c>
      <c r="E3871" s="4" t="n"/>
      <c r="F3871" s="4" t="n">
        <v>29.80299697930833</v>
      </c>
      <c r="G3871" s="4" t="n">
        <v>25.1</v>
      </c>
      <c r="H3871" s="5" t="n">
        <v>28.555785618725</v>
      </c>
      <c r="I3871" s="5" t="n"/>
      <c r="J3871" s="5" t="n">
        <v>40.69076416921666</v>
      </c>
      <c r="K3871" s="5" t="n">
        <v>31</v>
      </c>
    </row>
    <row r="3872">
      <c r="A3872" s="2" t="n">
        <v>46258.70833333334</v>
      </c>
      <c r="B3872">
        <f>TEXT(A3872,"yyyy-mm")</f>
        <v/>
      </c>
      <c r="C3872" s="3">
        <f>HOUR(A3872)</f>
        <v/>
      </c>
      <c r="D3872" s="4" t="n">
        <v>26.72894352296666</v>
      </c>
      <c r="E3872" s="4" t="n"/>
      <c r="F3872" s="4" t="n">
        <v>29.63601417809444</v>
      </c>
      <c r="G3872" s="4" t="n">
        <v>24.8</v>
      </c>
      <c r="H3872" s="5" t="n">
        <v>29.10007225124167</v>
      </c>
      <c r="I3872" s="5" t="n"/>
      <c r="J3872" s="5" t="n">
        <v>39.359215533925</v>
      </c>
      <c r="K3872" s="5" t="n">
        <v>31</v>
      </c>
    </row>
    <row r="3873">
      <c r="A3873" s="2" t="n">
        <v>46258.75</v>
      </c>
      <c r="B3873">
        <f>TEXT(A3873,"yyyy-mm")</f>
        <v/>
      </c>
      <c r="C3873" s="3">
        <f>HOUR(A3873)</f>
        <v/>
      </c>
      <c r="D3873" s="4" t="n">
        <v>26.67580295094722</v>
      </c>
      <c r="E3873" s="4" t="n"/>
      <c r="F3873" s="4" t="n">
        <v>28.95458382264722</v>
      </c>
      <c r="G3873" s="4" t="n">
        <v>24.2</v>
      </c>
      <c r="H3873" s="5" t="n">
        <v>29.75522210933333</v>
      </c>
      <c r="I3873" s="5" t="n"/>
      <c r="J3873" s="5" t="n">
        <v>37.21279724411945</v>
      </c>
      <c r="K3873" s="5" t="n">
        <v>31</v>
      </c>
    </row>
    <row r="3874">
      <c r="A3874" s="2" t="n">
        <v>46258.79166666666</v>
      </c>
      <c r="B3874">
        <f>TEXT(A3874,"yyyy-mm")</f>
        <v/>
      </c>
      <c r="C3874" s="3">
        <f>HOUR(A3874)</f>
        <v/>
      </c>
      <c r="D3874" s="4" t="n">
        <v>26.33354510208056</v>
      </c>
      <c r="E3874" s="4" t="n"/>
      <c r="F3874" s="4" t="n">
        <v>29.13299946558611</v>
      </c>
      <c r="G3874" s="4" t="n">
        <v>23.3</v>
      </c>
      <c r="H3874" s="5" t="n">
        <v>30.29399056738056</v>
      </c>
      <c r="I3874" s="5" t="n"/>
      <c r="J3874" s="5" t="n">
        <v>38.16457560781389</v>
      </c>
      <c r="K3874" s="5" t="n">
        <v>32</v>
      </c>
    </row>
    <row r="3875">
      <c r="A3875" s="2" t="n">
        <v>46258.83333333334</v>
      </c>
      <c r="B3875">
        <f>TEXT(A3875,"yyyy-mm")</f>
        <v/>
      </c>
      <c r="C3875" s="3">
        <f>HOUR(A3875)</f>
        <v/>
      </c>
      <c r="D3875" s="4" t="n">
        <v>25.80964802113056</v>
      </c>
      <c r="E3875" s="4" t="n"/>
      <c r="F3875" s="4" t="n">
        <v>29.40487385564444</v>
      </c>
      <c r="G3875" s="4" t="n">
        <v>22</v>
      </c>
      <c r="H3875" s="5" t="n">
        <v>31.59549643965</v>
      </c>
      <c r="I3875" s="5" t="n"/>
      <c r="J3875" s="5" t="n">
        <v>38.89857283389167</v>
      </c>
      <c r="K3875" s="5" t="n">
        <v>37</v>
      </c>
    </row>
    <row r="3876">
      <c r="A3876" s="2" t="n">
        <v>46258.875</v>
      </c>
      <c r="B3876">
        <f>TEXT(A3876,"yyyy-mm")</f>
        <v/>
      </c>
      <c r="C3876" s="3">
        <f>HOUR(A3876)</f>
        <v/>
      </c>
      <c r="D3876" s="4" t="n">
        <v>25.30120198278055</v>
      </c>
      <c r="E3876" s="4" t="n"/>
      <c r="F3876" s="4" t="n">
        <v>29.52057067670278</v>
      </c>
      <c r="G3876" s="4" t="n">
        <v>20.5</v>
      </c>
      <c r="H3876" s="5" t="n">
        <v>32.28045130521389</v>
      </c>
      <c r="I3876" s="5" t="n"/>
      <c r="J3876" s="5" t="n">
        <v>38.82400710814722</v>
      </c>
      <c r="K3876" s="5" t="n">
        <v>41</v>
      </c>
    </row>
    <row r="3877">
      <c r="A3877" s="2" t="n">
        <v>46258.91666666666</v>
      </c>
      <c r="B3877">
        <f>TEXT(A3877,"yyyy-mm")</f>
        <v/>
      </c>
      <c r="C3877" s="3">
        <f>HOUR(A3877)</f>
        <v/>
      </c>
      <c r="D3877" s="4" t="n">
        <v>24.9186289589</v>
      </c>
      <c r="E3877" s="4" t="n"/>
      <c r="F3877" s="4" t="n">
        <v>29.39374690910278</v>
      </c>
      <c r="G3877" s="4" t="n">
        <v>19.4</v>
      </c>
      <c r="H3877" s="5" t="n">
        <v>33.09720326392777</v>
      </c>
      <c r="I3877" s="5" t="n"/>
      <c r="J3877" s="5" t="n">
        <v>38.31962852354722</v>
      </c>
      <c r="K3877" s="5" t="n">
        <v>45</v>
      </c>
    </row>
    <row r="3878">
      <c r="A3878" s="2" t="n">
        <v>46258.95833333334</v>
      </c>
      <c r="B3878">
        <f>TEXT(A3878,"yyyy-mm")</f>
        <v/>
      </c>
      <c r="C3878" s="3">
        <f>HOUR(A3878)</f>
        <v/>
      </c>
      <c r="D3878" s="4" t="n">
        <v>24.79711787580555</v>
      </c>
      <c r="E3878" s="4" t="n"/>
      <c r="F3878" s="4" t="n">
        <v>29.49785783155278</v>
      </c>
      <c r="G3878" s="4" t="n">
        <v>18.5</v>
      </c>
      <c r="H3878" s="5" t="n">
        <v>33.64297115563334</v>
      </c>
      <c r="I3878" s="5" t="n"/>
      <c r="J3878" s="5" t="n">
        <v>38.621157652875</v>
      </c>
      <c r="K3878" s="5" t="n">
        <v>49</v>
      </c>
    </row>
    <row r="3879">
      <c r="A3879" s="2" t="n">
        <v>46259</v>
      </c>
      <c r="B3879">
        <f>TEXT(A3879,"yyyy-mm")</f>
        <v/>
      </c>
      <c r="C3879" s="3">
        <f>HOUR(A3879)</f>
        <v/>
      </c>
      <c r="D3879" s="4" t="n">
        <v>24.89416198004166</v>
      </c>
      <c r="E3879" s="4" t="n"/>
      <c r="F3879" s="4" t="n">
        <v>29.58034183178055</v>
      </c>
      <c r="G3879" s="4" t="n">
        <v>17.7</v>
      </c>
      <c r="H3879" s="5" t="n">
        <v>32.82856374453056</v>
      </c>
      <c r="I3879" s="5" t="n"/>
      <c r="J3879" s="5" t="n">
        <v>38.89829029609722</v>
      </c>
      <c r="K3879" s="5" t="n">
        <v>52</v>
      </c>
    </row>
    <row r="3880">
      <c r="A3880" s="2" t="n">
        <v>46259.04166666666</v>
      </c>
      <c r="B3880">
        <f>TEXT(A3880,"yyyy-mm")</f>
        <v/>
      </c>
      <c r="C3880" s="3">
        <f>HOUR(A3880)</f>
        <v/>
      </c>
      <c r="D3880" s="4" t="n">
        <v>24.44497423391111</v>
      </c>
      <c r="E3880" s="4" t="n"/>
      <c r="F3880" s="4" t="n">
        <v>29.58290876775278</v>
      </c>
      <c r="G3880" s="4" t="n">
        <v>17</v>
      </c>
      <c r="H3880" s="5" t="n">
        <v>34.02146532359445</v>
      </c>
      <c r="I3880" s="5" t="n"/>
      <c r="J3880" s="5" t="n">
        <v>38.97791885745278</v>
      </c>
      <c r="K3880" s="5" t="n">
        <v>56</v>
      </c>
    </row>
    <row r="3881">
      <c r="A3881" s="2" t="n">
        <v>46259.08333333334</v>
      </c>
      <c r="B3881">
        <f>TEXT(A3881,"yyyy-mm")</f>
        <v/>
      </c>
      <c r="C3881" s="3">
        <f>HOUR(A3881)</f>
        <v/>
      </c>
      <c r="D3881" s="4" t="n">
        <v>23.87131624978889</v>
      </c>
      <c r="E3881" s="4" t="n"/>
      <c r="F3881" s="4" t="n">
        <v>29.54660649592778</v>
      </c>
      <c r="G3881" s="4" t="n">
        <v>16.2</v>
      </c>
      <c r="H3881" s="5" t="n">
        <v>35.73445514601666</v>
      </c>
      <c r="I3881" s="5" t="n"/>
      <c r="J3881" s="5" t="n">
        <v>38.92148675315278</v>
      </c>
      <c r="K3881" s="5" t="n">
        <v>60</v>
      </c>
    </row>
    <row r="3882">
      <c r="A3882" s="2" t="n">
        <v>46259.125</v>
      </c>
      <c r="B3882">
        <f>TEXT(A3882,"yyyy-mm")</f>
        <v/>
      </c>
      <c r="C3882" s="3">
        <f>HOUR(A3882)</f>
        <v/>
      </c>
      <c r="D3882" s="4" t="n">
        <v>23.27177231401112</v>
      </c>
      <c r="E3882" s="4" t="n"/>
      <c r="F3882" s="4" t="n">
        <v>29.48562823538889</v>
      </c>
      <c r="G3882" s="4" t="n">
        <v>15.3</v>
      </c>
      <c r="H3882" s="5" t="n">
        <v>36.73391609340278</v>
      </c>
      <c r="I3882" s="5" t="n"/>
      <c r="J3882" s="5" t="n">
        <v>38.86411115701944</v>
      </c>
      <c r="K3882" s="5" t="n">
        <v>62</v>
      </c>
    </row>
    <row r="3883">
      <c r="A3883" s="2" t="n">
        <v>46259.16666666666</v>
      </c>
      <c r="B3883">
        <f>TEXT(A3883,"yyyy-mm")</f>
        <v/>
      </c>
      <c r="C3883" s="3">
        <f>HOUR(A3883)</f>
        <v/>
      </c>
      <c r="D3883" s="4" t="n">
        <v>22.94716730824166</v>
      </c>
      <c r="E3883" s="4" t="n"/>
      <c r="F3883" s="4" t="n">
        <v>29.44185497598333</v>
      </c>
      <c r="G3883" s="4" t="n">
        <v>14.4</v>
      </c>
      <c r="H3883" s="5" t="n">
        <v>36.89848558040278</v>
      </c>
      <c r="I3883" s="5" t="n"/>
      <c r="J3883" s="5" t="n">
        <v>38.71600950017778</v>
      </c>
      <c r="K3883" s="5" t="n">
        <v>66</v>
      </c>
    </row>
    <row r="3884">
      <c r="A3884" s="2" t="n">
        <v>46259.20833333334</v>
      </c>
      <c r="B3884">
        <f>TEXT(A3884,"yyyy-mm")</f>
        <v/>
      </c>
      <c r="C3884" s="3">
        <f>HOUR(A3884)</f>
        <v/>
      </c>
      <c r="D3884" s="4" t="n">
        <v>23.04292193664444</v>
      </c>
      <c r="E3884" s="4" t="n"/>
      <c r="F3884" s="4" t="n">
        <v>29.41088606528056</v>
      </c>
      <c r="G3884" s="4" t="n">
        <v>14</v>
      </c>
      <c r="H3884" s="5" t="n">
        <v>36.24651251443611</v>
      </c>
      <c r="I3884" s="5" t="n"/>
      <c r="J3884" s="5" t="n">
        <v>38.61181602062778</v>
      </c>
      <c r="K3884" s="5" t="n">
        <v>67</v>
      </c>
    </row>
    <row r="3885">
      <c r="A3885" s="2" t="n">
        <v>46259.25</v>
      </c>
      <c r="B3885">
        <f>TEXT(A3885,"yyyy-mm")</f>
        <v/>
      </c>
      <c r="C3885" s="3">
        <f>HOUR(A3885)</f>
        <v/>
      </c>
      <c r="D3885" s="4" t="n">
        <v>23.51265984868612</v>
      </c>
      <c r="E3885" s="4" t="n"/>
      <c r="F3885" s="4" t="n">
        <v>29.39594464780833</v>
      </c>
      <c r="G3885" s="4" t="n">
        <v>13.6</v>
      </c>
      <c r="H3885" s="5" t="n">
        <v>34.89956643835833</v>
      </c>
      <c r="I3885" s="5" t="n"/>
      <c r="J3885" s="5" t="n">
        <v>38.52951982053889</v>
      </c>
      <c r="K3885" s="5" t="n">
        <v>68</v>
      </c>
    </row>
    <row r="3886">
      <c r="A3886" s="2" t="n">
        <v>46259.29166666666</v>
      </c>
      <c r="B3886">
        <f>TEXT(A3886,"yyyy-mm")</f>
        <v/>
      </c>
      <c r="C3886" s="3">
        <f>HOUR(A3886)</f>
        <v/>
      </c>
      <c r="D3886" s="4" t="n">
        <v>24.70575936199722</v>
      </c>
      <c r="E3886" s="4" t="n"/>
      <c r="F3886" s="4" t="n">
        <v>29.42717559309444</v>
      </c>
      <c r="G3886" s="4" t="n">
        <v>14.6</v>
      </c>
      <c r="H3886" s="5" t="n">
        <v>31.64917954982777</v>
      </c>
      <c r="I3886" s="5" t="n"/>
      <c r="J3886" s="5" t="n">
        <v>38.67196467736944</v>
      </c>
      <c r="K3886" s="5" t="n">
        <v>63</v>
      </c>
    </row>
    <row r="3887">
      <c r="A3887" s="2" t="n">
        <v>46259.33333333334</v>
      </c>
      <c r="B3887">
        <f>TEXT(A3887,"yyyy-mm")</f>
        <v/>
      </c>
      <c r="C3887" s="3">
        <f>HOUR(A3887)</f>
        <v/>
      </c>
      <c r="D3887" s="4" t="n">
        <v>25.796070825075</v>
      </c>
      <c r="E3887" s="4" t="n"/>
      <c r="F3887" s="4" t="n">
        <v>29.48989801051389</v>
      </c>
      <c r="G3887" s="4" t="n">
        <v>16.6</v>
      </c>
      <c r="H3887" s="5" t="n">
        <v>29.46785106804722</v>
      </c>
      <c r="I3887" s="5" t="n"/>
      <c r="J3887" s="5" t="n">
        <v>38.77992451515</v>
      </c>
      <c r="K3887" s="5" t="n">
        <v>55</v>
      </c>
    </row>
    <row r="3888">
      <c r="A3888" s="2" t="n">
        <v>46259.375</v>
      </c>
      <c r="B3888">
        <f>TEXT(A3888,"yyyy-mm")</f>
        <v/>
      </c>
      <c r="C3888" s="3">
        <f>HOUR(A3888)</f>
        <v/>
      </c>
      <c r="D3888" s="4" t="n">
        <v>26.66877486432778</v>
      </c>
      <c r="E3888" s="4" t="n"/>
      <c r="F3888" s="4" t="n">
        <v>29.56301216549722</v>
      </c>
      <c r="G3888" s="4" t="n">
        <v>19.4</v>
      </c>
      <c r="H3888" s="5" t="n">
        <v>28.54898385171389</v>
      </c>
      <c r="I3888" s="5" t="n"/>
      <c r="J3888" s="5" t="n">
        <v>38.9010524054</v>
      </c>
      <c r="K3888" s="5" t="n">
        <v>46</v>
      </c>
    </row>
    <row r="3889">
      <c r="A3889" s="2" t="n">
        <v>46259.41666666666</v>
      </c>
      <c r="B3889">
        <f>TEXT(A3889,"yyyy-mm")</f>
        <v/>
      </c>
      <c r="C3889" s="3">
        <f>HOUR(A3889)</f>
        <v/>
      </c>
      <c r="D3889" s="4" t="n">
        <v>27.01580912104166</v>
      </c>
      <c r="E3889" s="4" t="n"/>
      <c r="F3889" s="4" t="n">
        <v>29.63486674170555</v>
      </c>
      <c r="G3889" s="4" t="n">
        <v>21.6</v>
      </c>
      <c r="H3889" s="5" t="n">
        <v>27.43004200918888</v>
      </c>
      <c r="I3889" s="5" t="n"/>
      <c r="J3889" s="5" t="n">
        <v>39.07703197008611</v>
      </c>
      <c r="K3889" s="5" t="n">
        <v>36</v>
      </c>
    </row>
    <row r="3890">
      <c r="A3890" s="2" t="n">
        <v>46259.45833333334</v>
      </c>
      <c r="B3890">
        <f>TEXT(A3890,"yyyy-mm")</f>
        <v/>
      </c>
      <c r="C3890" s="3">
        <f>HOUR(A3890)</f>
        <v/>
      </c>
      <c r="D3890" s="4" t="n">
        <v>27.18947403779723</v>
      </c>
      <c r="E3890" s="4" t="n"/>
      <c r="F3890" s="4" t="n">
        <v>29.676257892075</v>
      </c>
      <c r="G3890" s="4" t="n">
        <v>22.7</v>
      </c>
      <c r="H3890" s="5" t="n">
        <v>26.97983073694722</v>
      </c>
      <c r="I3890" s="5" t="n"/>
      <c r="J3890" s="5" t="n">
        <v>39.25479932379722</v>
      </c>
      <c r="K3890" s="5" t="n">
        <v>32</v>
      </c>
    </row>
    <row r="3891">
      <c r="A3891" s="2" t="n">
        <v>46259.5</v>
      </c>
      <c r="B3891">
        <f>TEXT(A3891,"yyyy-mm")</f>
        <v/>
      </c>
      <c r="C3891" s="3">
        <f>HOUR(A3891)</f>
        <v/>
      </c>
      <c r="D3891" s="4" t="n">
        <v>27.16631538613056</v>
      </c>
      <c r="E3891" s="4" t="n"/>
      <c r="F3891" s="4" t="n">
        <v>29.703558531275</v>
      </c>
      <c r="G3891" s="4" t="n">
        <v>24</v>
      </c>
      <c r="H3891" s="5" t="n">
        <v>26.17442716573333</v>
      </c>
      <c r="I3891" s="5" t="n"/>
      <c r="J3891" s="5" t="n">
        <v>39.33880286716666</v>
      </c>
      <c r="K3891" s="5" t="n">
        <v>28</v>
      </c>
    </row>
    <row r="3892">
      <c r="A3892" s="2" t="n">
        <v>46259.54166666666</v>
      </c>
      <c r="B3892">
        <f>TEXT(A3892,"yyyy-mm")</f>
        <v/>
      </c>
      <c r="C3892" s="3">
        <f>HOUR(A3892)</f>
        <v/>
      </c>
      <c r="D3892" s="4" t="n">
        <v>26.90373895431389</v>
      </c>
      <c r="E3892" s="4" t="n"/>
      <c r="F3892" s="4" t="n">
        <v>29.70646898838611</v>
      </c>
      <c r="G3892" s="4" t="n">
        <v>24.1</v>
      </c>
      <c r="H3892" s="5" t="n">
        <v>26.10350824615833</v>
      </c>
      <c r="I3892" s="5" t="n"/>
      <c r="J3892" s="5" t="n">
        <v>39.26078248249722</v>
      </c>
      <c r="K3892" s="5" t="n">
        <v>28</v>
      </c>
    </row>
    <row r="3893">
      <c r="A3893" s="2" t="n">
        <v>46259.58333333334</v>
      </c>
      <c r="B3893">
        <f>TEXT(A3893,"yyyy-mm")</f>
        <v/>
      </c>
      <c r="C3893" s="3">
        <f>HOUR(A3893)</f>
        <v/>
      </c>
      <c r="D3893" s="4" t="n">
        <v>26.76897635586389</v>
      </c>
      <c r="E3893" s="4" t="n"/>
      <c r="F3893" s="4" t="n">
        <v>29.69741539432778</v>
      </c>
      <c r="G3893" s="4" t="n">
        <v>24.2</v>
      </c>
      <c r="H3893" s="5" t="n">
        <v>26.64961933413055</v>
      </c>
      <c r="I3893" s="5" t="n"/>
      <c r="J3893" s="5" t="n">
        <v>39.12446635341389</v>
      </c>
      <c r="K3893" s="5" t="n">
        <v>27</v>
      </c>
    </row>
    <row r="3894">
      <c r="A3894" s="2" t="n">
        <v>46259.625</v>
      </c>
      <c r="B3894">
        <f>TEXT(A3894,"yyyy-mm")</f>
        <v/>
      </c>
      <c r="C3894" s="3">
        <f>HOUR(A3894)</f>
        <v/>
      </c>
      <c r="D3894" s="4" t="n">
        <v>26.75907726936389</v>
      </c>
      <c r="E3894" s="4" t="n"/>
      <c r="F3894" s="4" t="n">
        <v>29.68991499843611</v>
      </c>
      <c r="G3894" s="4" t="n">
        <v>25.4</v>
      </c>
      <c r="H3894" s="5" t="n">
        <v>26.92108272801389</v>
      </c>
      <c r="I3894" s="5" t="n"/>
      <c r="J3894" s="5" t="n">
        <v>38.92787092877778</v>
      </c>
      <c r="K3894" s="5" t="n">
        <v>25</v>
      </c>
    </row>
    <row r="3895">
      <c r="A3895" s="2" t="n">
        <v>46259.66666666666</v>
      </c>
      <c r="B3895">
        <f>TEXT(A3895,"yyyy-mm")</f>
        <v/>
      </c>
      <c r="C3895" s="3">
        <f>HOUR(A3895)</f>
        <v/>
      </c>
      <c r="D3895" s="4" t="n">
        <v>26.76454758216111</v>
      </c>
      <c r="E3895" s="4" t="n"/>
      <c r="F3895" s="4" t="n">
        <v>29.68516829622778</v>
      </c>
      <c r="G3895" s="4" t="n">
        <v>25.1</v>
      </c>
      <c r="H3895" s="5" t="n">
        <v>28.25209140403334</v>
      </c>
      <c r="I3895" s="5" t="n"/>
      <c r="J3895" s="5" t="n">
        <v>38.82728403034445</v>
      </c>
      <c r="K3895" s="5" t="n">
        <v>25</v>
      </c>
    </row>
    <row r="3896">
      <c r="A3896" s="2" t="n">
        <v>46259.70833333334</v>
      </c>
      <c r="B3896">
        <f>TEXT(A3896,"yyyy-mm")</f>
        <v/>
      </c>
      <c r="C3896" s="3">
        <f>HOUR(A3896)</f>
        <v/>
      </c>
      <c r="D3896" s="4" t="n">
        <v>26.76085886156389</v>
      </c>
      <c r="E3896" s="4" t="n"/>
      <c r="F3896" s="4" t="n">
        <v>29.67855473353612</v>
      </c>
      <c r="G3896" s="4" t="n">
        <v>25</v>
      </c>
      <c r="H3896" s="5" t="n">
        <v>28.22549323133056</v>
      </c>
      <c r="I3896" s="5" t="n"/>
      <c r="J3896" s="5" t="n">
        <v>39.23420434480278</v>
      </c>
      <c r="K3896" s="5" t="n">
        <v>25</v>
      </c>
    </row>
    <row r="3897">
      <c r="A3897" s="2" t="n">
        <v>46259.75</v>
      </c>
      <c r="B3897">
        <f>TEXT(A3897,"yyyy-mm")</f>
        <v/>
      </c>
      <c r="C3897" s="3">
        <f>HOUR(A3897)</f>
        <v/>
      </c>
      <c r="D3897" s="4" t="n">
        <v>26.66757809569167</v>
      </c>
      <c r="E3897" s="4" t="n"/>
      <c r="F3897" s="4" t="n">
        <v>29.68683608867778</v>
      </c>
      <c r="G3897" s="4" t="n">
        <v>24.6</v>
      </c>
      <c r="H3897" s="5" t="n">
        <v>28.65894407333611</v>
      </c>
      <c r="I3897" s="5" t="n"/>
      <c r="J3897" s="5" t="n">
        <v>39.48971279935</v>
      </c>
      <c r="K3897" s="5" t="n">
        <v>26</v>
      </c>
    </row>
    <row r="3898">
      <c r="A3898" s="2" t="n">
        <v>46259.79166666666</v>
      </c>
      <c r="B3898">
        <f>TEXT(A3898,"yyyy-mm")</f>
        <v/>
      </c>
      <c r="C3898" s="3">
        <f>HOUR(A3898)</f>
        <v/>
      </c>
      <c r="D3898" s="4" t="n">
        <v>26.37191939921945</v>
      </c>
      <c r="E3898" s="4" t="n"/>
      <c r="F3898" s="4" t="n">
        <v>29.70311091151389</v>
      </c>
      <c r="G3898" s="4" t="n">
        <v>23.8</v>
      </c>
      <c r="H3898" s="5" t="n">
        <v>30.78833119298333</v>
      </c>
      <c r="I3898" s="5" t="n"/>
      <c r="J3898" s="5" t="n">
        <v>39.61556875844445</v>
      </c>
      <c r="K3898" s="5" t="n">
        <v>29</v>
      </c>
    </row>
    <row r="3899">
      <c r="A3899" s="2" t="n">
        <v>46259.83333333334</v>
      </c>
      <c r="B3899">
        <f>TEXT(A3899,"yyyy-mm")</f>
        <v/>
      </c>
      <c r="C3899" s="3">
        <f>HOUR(A3899)</f>
        <v/>
      </c>
      <c r="D3899" s="4" t="n">
        <v>25.90701887235556</v>
      </c>
      <c r="E3899" s="4" t="n"/>
      <c r="F3899" s="4" t="n">
        <v>29.70197095155</v>
      </c>
      <c r="G3899" s="4" t="n">
        <v>22.2</v>
      </c>
      <c r="H3899" s="5" t="n">
        <v>31.17455284679722</v>
      </c>
      <c r="I3899" s="5" t="n"/>
      <c r="J3899" s="5" t="n">
        <v>39.62265744760278</v>
      </c>
      <c r="K3899" s="5" t="n">
        <v>35</v>
      </c>
    </row>
    <row r="3900">
      <c r="A3900" s="2" t="n">
        <v>46259.875</v>
      </c>
      <c r="B3900">
        <f>TEXT(A3900,"yyyy-mm")</f>
        <v/>
      </c>
      <c r="C3900" s="3">
        <f>HOUR(A3900)</f>
        <v/>
      </c>
      <c r="D3900" s="4" t="n">
        <v>25.53032578456667</v>
      </c>
      <c r="E3900" s="4" t="n"/>
      <c r="F3900" s="4" t="n">
        <v>29.68499874340556</v>
      </c>
      <c r="G3900" s="4" t="n">
        <v>20.6</v>
      </c>
      <c r="H3900" s="5" t="n">
        <v>31.56404005357778</v>
      </c>
      <c r="I3900" s="5" t="n"/>
      <c r="J3900" s="5" t="n">
        <v>39.46586520827778</v>
      </c>
      <c r="K3900" s="5" t="n">
        <v>39</v>
      </c>
    </row>
    <row r="3901">
      <c r="A3901" s="2" t="n">
        <v>46259.91666666666</v>
      </c>
      <c r="B3901">
        <f>TEXT(A3901,"yyyy-mm")</f>
        <v/>
      </c>
      <c r="C3901" s="3">
        <f>HOUR(A3901)</f>
        <v/>
      </c>
      <c r="D3901" s="4" t="n">
        <v>25.426729399675</v>
      </c>
      <c r="E3901" s="4" t="n"/>
      <c r="F3901" s="4" t="n">
        <v>29.69089041664722</v>
      </c>
      <c r="G3901" s="4" t="n">
        <v>20.3</v>
      </c>
      <c r="H3901" s="5" t="n">
        <v>31.719156458775</v>
      </c>
      <c r="I3901" s="5" t="n"/>
      <c r="J3901" s="5" t="n">
        <v>39.36730552546944</v>
      </c>
      <c r="K3901" s="5" t="n">
        <v>39</v>
      </c>
    </row>
    <row r="3902">
      <c r="A3902" s="2" t="n">
        <v>46259.95833333334</v>
      </c>
      <c r="B3902">
        <f>TEXT(A3902,"yyyy-mm")</f>
        <v/>
      </c>
      <c r="C3902" s="3">
        <f>HOUR(A3902)</f>
        <v/>
      </c>
      <c r="D3902" s="4" t="n">
        <v>25.41480472188056</v>
      </c>
      <c r="E3902" s="4" t="n"/>
      <c r="F3902" s="4" t="n">
        <v>29.700055119375</v>
      </c>
      <c r="G3902" s="4" t="n">
        <v>19.9</v>
      </c>
      <c r="H3902" s="5" t="n">
        <v>32.60838215900833</v>
      </c>
      <c r="I3902" s="5" t="n"/>
      <c r="J3902" s="5" t="n">
        <v>39.27505638975833</v>
      </c>
      <c r="K3902" s="5" t="n">
        <v>40</v>
      </c>
    </row>
    <row r="3903">
      <c r="A3903" s="2" t="n">
        <v>46260</v>
      </c>
      <c r="B3903">
        <f>TEXT(A3903,"yyyy-mm")</f>
        <v/>
      </c>
      <c r="C3903" s="3">
        <f>HOUR(A3903)</f>
        <v/>
      </c>
      <c r="D3903" s="4" t="n">
        <v>25.139086596025</v>
      </c>
      <c r="E3903" s="4" t="n"/>
      <c r="F3903" s="4" t="n">
        <v>29.70260925644444</v>
      </c>
      <c r="G3903" s="4" t="n">
        <v>18.6</v>
      </c>
      <c r="H3903" s="5" t="n">
        <v>32.32639125078333</v>
      </c>
      <c r="I3903" s="5" t="n"/>
      <c r="J3903" s="5" t="n">
        <v>39.20728402285</v>
      </c>
      <c r="K3903" s="5" t="n">
        <v>44</v>
      </c>
    </row>
    <row r="3904">
      <c r="A3904" s="2" t="n">
        <v>46260.04166666666</v>
      </c>
      <c r="B3904">
        <f>TEXT(A3904,"yyyy-mm")</f>
        <v/>
      </c>
      <c r="C3904" s="3">
        <f>HOUR(A3904)</f>
        <v/>
      </c>
      <c r="D3904" s="4" t="n">
        <v>24.62048011183333</v>
      </c>
      <c r="E3904" s="4" t="n"/>
      <c r="F3904" s="4" t="n">
        <v>29.66335370118334</v>
      </c>
      <c r="G3904" s="4" t="n">
        <v>17.2</v>
      </c>
      <c r="H3904" s="5" t="n">
        <v>32.84854731789166</v>
      </c>
      <c r="I3904" s="5" t="n"/>
      <c r="J3904" s="5" t="n">
        <v>39.06306914488334</v>
      </c>
      <c r="K3904" s="5" t="n">
        <v>50</v>
      </c>
    </row>
    <row r="3905">
      <c r="A3905" s="2" t="n">
        <v>46260.08333333334</v>
      </c>
      <c r="B3905">
        <f>TEXT(A3905,"yyyy-mm")</f>
        <v/>
      </c>
      <c r="C3905" s="3">
        <f>HOUR(A3905)</f>
        <v/>
      </c>
      <c r="D3905" s="4" t="n">
        <v>24.27974812193889</v>
      </c>
      <c r="E3905" s="4" t="n"/>
      <c r="F3905" s="4" t="n">
        <v>29.62285359348889</v>
      </c>
      <c r="G3905" s="4" t="n">
        <v>16.5</v>
      </c>
      <c r="H3905" s="5" t="n">
        <v>32.85004885729445</v>
      </c>
      <c r="I3905" s="5" t="n"/>
      <c r="J3905" s="5" t="n">
        <v>38.91401371554722</v>
      </c>
      <c r="K3905" s="5" t="n">
        <v>54</v>
      </c>
    </row>
    <row r="3906">
      <c r="A3906" s="2" t="n">
        <v>46260.125</v>
      </c>
      <c r="B3906">
        <f>TEXT(A3906,"yyyy-mm")</f>
        <v/>
      </c>
      <c r="C3906" s="3">
        <f>HOUR(A3906)</f>
        <v/>
      </c>
      <c r="D3906" s="4" t="n">
        <v>23.99857595598333</v>
      </c>
      <c r="E3906" s="4" t="n"/>
      <c r="F3906" s="4" t="n">
        <v>29.55804646700278</v>
      </c>
      <c r="G3906" s="4" t="n">
        <v>15.5</v>
      </c>
      <c r="H3906" s="5" t="n">
        <v>32.77104378593889</v>
      </c>
      <c r="I3906" s="5" t="n"/>
      <c r="J3906" s="5" t="n">
        <v>38.49799623991111</v>
      </c>
      <c r="K3906" s="5" t="n">
        <v>58</v>
      </c>
    </row>
    <row r="3907">
      <c r="A3907" s="2" t="n">
        <v>46260.16666666666</v>
      </c>
      <c r="B3907">
        <f>TEXT(A3907,"yyyy-mm")</f>
        <v/>
      </c>
      <c r="C3907" s="3">
        <f>HOUR(A3907)</f>
        <v/>
      </c>
      <c r="D3907" s="4" t="n">
        <v>23.90364448969722</v>
      </c>
      <c r="E3907" s="4" t="n"/>
      <c r="F3907" s="4" t="n">
        <v>29.50179803913333</v>
      </c>
      <c r="G3907" s="4" t="n">
        <v>15.4</v>
      </c>
      <c r="H3907" s="5" t="n">
        <v>34.40103791468334</v>
      </c>
      <c r="I3907" s="5" t="n"/>
      <c r="J3907" s="5" t="n">
        <v>38.25614205681666</v>
      </c>
      <c r="K3907" s="5" t="n">
        <v>58</v>
      </c>
    </row>
    <row r="3908">
      <c r="A3908" s="2" t="n">
        <v>46260.20833333334</v>
      </c>
      <c r="B3908">
        <f>TEXT(A3908,"yyyy-mm")</f>
        <v/>
      </c>
      <c r="C3908" s="3">
        <f>HOUR(A3908)</f>
        <v/>
      </c>
      <c r="D3908" s="4" t="n">
        <v>23.71298043303611</v>
      </c>
      <c r="E3908" s="4" t="n"/>
      <c r="F3908" s="4" t="n">
        <v>29.46599664588611</v>
      </c>
      <c r="G3908" s="4" t="n">
        <v>15.8</v>
      </c>
      <c r="H3908" s="5" t="n">
        <v>40.06124508003611</v>
      </c>
      <c r="I3908" s="5" t="n"/>
      <c r="J3908" s="5" t="n">
        <v>38.79290486725834</v>
      </c>
      <c r="K3908" s="5" t="n">
        <v>57</v>
      </c>
    </row>
    <row r="3909">
      <c r="A3909" s="2" t="n">
        <v>46260.25</v>
      </c>
      <c r="B3909">
        <f>TEXT(A3909,"yyyy-mm")</f>
        <v/>
      </c>
      <c r="C3909" s="3">
        <f>HOUR(A3909)</f>
        <v/>
      </c>
      <c r="D3909" s="4" t="n">
        <v>23.48304270661944</v>
      </c>
      <c r="E3909" s="4" t="n"/>
      <c r="F3909" s="4" t="n">
        <v>29.46027509055833</v>
      </c>
      <c r="G3909" s="4" t="n">
        <v>15.9</v>
      </c>
      <c r="H3909" s="5" t="n">
        <v>41.45278723116667</v>
      </c>
      <c r="I3909" s="5" t="n"/>
      <c r="J3909" s="5" t="n">
        <v>39.29164162884722</v>
      </c>
      <c r="K3909" s="5" t="n">
        <v>57</v>
      </c>
    </row>
    <row r="3910">
      <c r="A3910" s="2" t="n">
        <v>46260.29166666666</v>
      </c>
      <c r="B3910">
        <f>TEXT(A3910,"yyyy-mm")</f>
        <v/>
      </c>
      <c r="C3910" s="3">
        <f>HOUR(A3910)</f>
        <v/>
      </c>
      <c r="D3910" s="4" t="n">
        <v>23.42512601345833</v>
      </c>
      <c r="E3910" s="4" t="n"/>
      <c r="F3910" s="4" t="n">
        <v>29.44905563080833</v>
      </c>
      <c r="G3910" s="4" t="n">
        <v>16.6</v>
      </c>
      <c r="H3910" s="5" t="n">
        <v>41.131803122975</v>
      </c>
      <c r="I3910" s="5" t="n"/>
      <c r="J3910" s="5" t="n">
        <v>39.50322091272222</v>
      </c>
      <c r="K3910" s="5" t="n">
        <v>54</v>
      </c>
    </row>
    <row r="3911">
      <c r="A3911" s="2" t="n">
        <v>46260.33333333334</v>
      </c>
      <c r="B3911">
        <f>TEXT(A3911,"yyyy-mm")</f>
        <v/>
      </c>
      <c r="C3911" s="3">
        <f>HOUR(A3911)</f>
        <v/>
      </c>
      <c r="D3911" s="4" t="n">
        <v>23.35913385642223</v>
      </c>
      <c r="E3911" s="4" t="n"/>
      <c r="F3911" s="4" t="n">
        <v>29.44755400331111</v>
      </c>
      <c r="G3911" s="4" t="n">
        <v>16.7</v>
      </c>
      <c r="H3911" s="5" t="n">
        <v>39.30462669169444</v>
      </c>
      <c r="I3911" s="5" t="n"/>
      <c r="J3911" s="5" t="n">
        <v>39.64960983872222</v>
      </c>
      <c r="K3911" s="5" t="n">
        <v>54</v>
      </c>
    </row>
    <row r="3912">
      <c r="A3912" s="2" t="n">
        <v>46260.375</v>
      </c>
      <c r="B3912">
        <f>TEXT(A3912,"yyyy-mm")</f>
        <v/>
      </c>
      <c r="C3912" s="3">
        <f>HOUR(A3912)</f>
        <v/>
      </c>
      <c r="D3912" s="4" t="n">
        <v>23.79970770946944</v>
      </c>
      <c r="E3912" s="4" t="n"/>
      <c r="F3912" s="4" t="n">
        <v>29.43785950666667</v>
      </c>
      <c r="G3912" s="4" t="n">
        <v>17.1</v>
      </c>
      <c r="H3912" s="5" t="n">
        <v>38.36607927398333</v>
      </c>
      <c r="I3912" s="5" t="n"/>
      <c r="J3912" s="5" t="n">
        <v>39.63351326351111</v>
      </c>
      <c r="K3912" s="5" t="n">
        <v>55</v>
      </c>
    </row>
    <row r="3913">
      <c r="A3913" s="2" t="n">
        <v>46260.41666666666</v>
      </c>
      <c r="B3913">
        <f>TEXT(A3913,"yyyy-mm")</f>
        <v/>
      </c>
      <c r="C3913" s="3">
        <f>HOUR(A3913)</f>
        <v/>
      </c>
      <c r="D3913" s="4" t="n">
        <v>24.28727847995277</v>
      </c>
      <c r="E3913" s="4" t="n"/>
      <c r="F3913" s="4" t="n">
        <v>29.40546708278611</v>
      </c>
      <c r="G3913" s="4" t="n">
        <v>20.7</v>
      </c>
      <c r="H3913" s="5" t="n">
        <v>37.23134563098056</v>
      </c>
      <c r="I3913" s="5" t="n"/>
      <c r="J3913" s="5" t="n">
        <v>39.53607792189722</v>
      </c>
      <c r="K3913" s="5" t="n">
        <v>42</v>
      </c>
    </row>
    <row r="3914">
      <c r="A3914" s="2" t="n">
        <v>46260.45833333334</v>
      </c>
      <c r="B3914">
        <f>TEXT(A3914,"yyyy-mm")</f>
        <v/>
      </c>
      <c r="C3914" s="3">
        <f>HOUR(A3914)</f>
        <v/>
      </c>
      <c r="D3914" s="4" t="n">
        <v>25.01356574706389</v>
      </c>
      <c r="E3914" s="4" t="n"/>
      <c r="F3914" s="4" t="n">
        <v>29.41239061078889</v>
      </c>
      <c r="G3914" s="4" t="n">
        <v>22.5</v>
      </c>
      <c r="H3914" s="5" t="n">
        <v>33.73141001021111</v>
      </c>
      <c r="I3914" s="5" t="n"/>
      <c r="J3914" s="5" t="n">
        <v>39.188913096925</v>
      </c>
      <c r="K3914" s="5" t="n">
        <v>37</v>
      </c>
    </row>
    <row r="3915">
      <c r="A3915" s="2" t="n">
        <v>46260.5</v>
      </c>
      <c r="B3915">
        <f>TEXT(A3915,"yyyy-mm")</f>
        <v/>
      </c>
      <c r="C3915" s="3">
        <f>HOUR(A3915)</f>
        <v/>
      </c>
      <c r="D3915" s="4" t="n">
        <v>25.47885700374166</v>
      </c>
      <c r="E3915" s="4" t="n"/>
      <c r="F3915" s="4" t="n">
        <v>29.4107534279</v>
      </c>
      <c r="G3915" s="4" t="n">
        <v>23.6</v>
      </c>
      <c r="H3915" s="5" t="n">
        <v>31.367426543725</v>
      </c>
      <c r="I3915" s="5" t="n"/>
      <c r="J3915" s="5" t="n">
        <v>38.76532380733889</v>
      </c>
      <c r="K3915" s="5" t="n">
        <v>34</v>
      </c>
    </row>
    <row r="3916">
      <c r="A3916" s="2" t="n">
        <v>46260.54166666666</v>
      </c>
      <c r="B3916">
        <f>TEXT(A3916,"yyyy-mm")</f>
        <v/>
      </c>
      <c r="C3916" s="3">
        <f>HOUR(A3916)</f>
        <v/>
      </c>
      <c r="D3916" s="4" t="n">
        <v>25.92324116331389</v>
      </c>
      <c r="E3916" s="4" t="n"/>
      <c r="F3916" s="4" t="n">
        <v>29.45386912055</v>
      </c>
      <c r="G3916" s="4" t="n">
        <v>24.2</v>
      </c>
      <c r="H3916" s="5" t="n">
        <v>31.68656259760555</v>
      </c>
      <c r="I3916" s="5" t="n"/>
      <c r="J3916" s="5" t="n">
        <v>39.02294951556944</v>
      </c>
      <c r="K3916" s="5" t="n">
        <v>33</v>
      </c>
    </row>
    <row r="3917">
      <c r="A3917" s="2" t="n">
        <v>46260.58333333334</v>
      </c>
      <c r="B3917">
        <f>TEXT(A3917,"yyyy-mm")</f>
        <v/>
      </c>
      <c r="C3917" s="3">
        <f>HOUR(A3917)</f>
        <v/>
      </c>
      <c r="D3917" s="4" t="n">
        <v>26.18259148469444</v>
      </c>
      <c r="E3917" s="4" t="n"/>
      <c r="F3917" s="4" t="n">
        <v>29.50989648220556</v>
      </c>
      <c r="G3917" s="4" t="n">
        <v>24</v>
      </c>
      <c r="H3917" s="5" t="n">
        <v>31.54426759423333</v>
      </c>
      <c r="I3917" s="5" t="n"/>
      <c r="J3917" s="5" t="n">
        <v>39.12223678631111</v>
      </c>
      <c r="K3917" s="5" t="n">
        <v>34</v>
      </c>
    </row>
    <row r="3918">
      <c r="A3918" s="2" t="n">
        <v>46260.625</v>
      </c>
      <c r="B3918">
        <f>TEXT(A3918,"yyyy-mm")</f>
        <v/>
      </c>
      <c r="C3918" s="3">
        <f>HOUR(A3918)</f>
        <v/>
      </c>
      <c r="D3918" s="4" t="n">
        <v>26.24229737582223</v>
      </c>
      <c r="E3918" s="4" t="n"/>
      <c r="F3918" s="4" t="n">
        <v>29.37393362873611</v>
      </c>
      <c r="G3918" s="4" t="n">
        <v>24.7</v>
      </c>
      <c r="H3918" s="5" t="n">
        <v>31.66187011400833</v>
      </c>
      <c r="I3918" s="5" t="n"/>
      <c r="J3918" s="5" t="n">
        <v>38.43651908865834</v>
      </c>
      <c r="K3918" s="5" t="n">
        <v>31</v>
      </c>
    </row>
    <row r="3919">
      <c r="A3919" s="2" t="n">
        <v>46260.66666666666</v>
      </c>
      <c r="B3919">
        <f>TEXT(A3919,"yyyy-mm")</f>
        <v/>
      </c>
      <c r="C3919" s="3">
        <f>HOUR(A3919)</f>
        <v/>
      </c>
      <c r="D3919" s="4" t="n">
        <v>26.25404424469722</v>
      </c>
      <c r="E3919" s="4" t="n"/>
      <c r="F3919" s="4" t="n">
        <v>29.48523314990834</v>
      </c>
      <c r="G3919" s="4" t="n">
        <v>23.8</v>
      </c>
      <c r="H3919" s="5" t="n">
        <v>32.97643756233055</v>
      </c>
      <c r="I3919" s="5" t="n"/>
      <c r="J3919" s="5" t="n">
        <v>38.94834952476944</v>
      </c>
      <c r="K3919" s="5" t="n">
        <v>36</v>
      </c>
    </row>
    <row r="3920">
      <c r="A3920" s="2" t="n">
        <v>46260.70833333334</v>
      </c>
      <c r="B3920">
        <f>TEXT(A3920,"yyyy-mm")</f>
        <v/>
      </c>
      <c r="C3920" s="3">
        <f>HOUR(A3920)</f>
        <v/>
      </c>
      <c r="D3920" s="4" t="n">
        <v>26.03862718450833</v>
      </c>
      <c r="E3920" s="4" t="n"/>
      <c r="F3920" s="4" t="n">
        <v>29.60593503032221</v>
      </c>
      <c r="G3920" s="4" t="n">
        <v>22.9</v>
      </c>
      <c r="H3920" s="5" t="n">
        <v>34.07709139635833</v>
      </c>
      <c r="I3920" s="5" t="n"/>
      <c r="J3920" s="5" t="n">
        <v>39.11155216418334</v>
      </c>
      <c r="K3920" s="5" t="n">
        <v>40</v>
      </c>
    </row>
    <row r="3921">
      <c r="A3921" s="2" t="n">
        <v>46260.75</v>
      </c>
      <c r="B3921">
        <f>TEXT(A3921,"yyyy-mm")</f>
        <v/>
      </c>
      <c r="C3921" s="3">
        <f>HOUR(A3921)</f>
        <v/>
      </c>
      <c r="D3921" s="4" t="n">
        <v>25.859339256675</v>
      </c>
      <c r="E3921" s="4" t="n"/>
      <c r="F3921" s="4" t="n">
        <v>29.52509682212778</v>
      </c>
      <c r="G3921" s="4" t="n">
        <v>21.9</v>
      </c>
      <c r="H3921" s="5" t="n">
        <v>36.35261348385556</v>
      </c>
      <c r="I3921" s="5" t="n"/>
      <c r="J3921" s="5" t="n">
        <v>39.80109932458333</v>
      </c>
      <c r="K3921" s="5" t="n">
        <v>44</v>
      </c>
    </row>
    <row r="3922">
      <c r="A3922" s="2" t="n">
        <v>46260.79166666666</v>
      </c>
      <c r="B3922">
        <f>TEXT(A3922,"yyyy-mm")</f>
        <v/>
      </c>
      <c r="C3922" s="3">
        <f>HOUR(A3922)</f>
        <v/>
      </c>
      <c r="D3922" s="4" t="n">
        <v>25.52218749013612</v>
      </c>
      <c r="E3922" s="4" t="n"/>
      <c r="F3922" s="4" t="n">
        <v>29.53940979376667</v>
      </c>
      <c r="G3922" s="4" t="n">
        <v>21.6</v>
      </c>
      <c r="H3922" s="5" t="n">
        <v>38.08198800937223</v>
      </c>
      <c r="I3922" s="5" t="n"/>
      <c r="J3922" s="5" t="n">
        <v>40.34643989064723</v>
      </c>
      <c r="K3922" s="5" t="n">
        <v>45</v>
      </c>
    </row>
    <row r="3923">
      <c r="A3923" s="2" t="n">
        <v>46260.83333333334</v>
      </c>
      <c r="B3923">
        <f>TEXT(A3923,"yyyy-mm")</f>
        <v/>
      </c>
      <c r="C3923" s="3">
        <f>HOUR(A3923)</f>
        <v/>
      </c>
      <c r="D3923" s="4" t="n">
        <v>25.47942940770833</v>
      </c>
      <c r="E3923" s="4" t="n"/>
      <c r="F3923" s="4" t="n">
        <v>29.67161955726111</v>
      </c>
      <c r="G3923" s="4" t="n">
        <v>21</v>
      </c>
      <c r="H3923" s="5" t="n">
        <v>37.32591705772777</v>
      </c>
      <c r="I3923" s="5" t="n"/>
      <c r="J3923" s="5" t="n">
        <v>40.41053265798055</v>
      </c>
      <c r="K3923" s="5" t="n">
        <v>51</v>
      </c>
    </row>
    <row r="3924">
      <c r="A3924" s="2" t="n">
        <v>46260.875</v>
      </c>
      <c r="B3924">
        <f>TEXT(A3924,"yyyy-mm")</f>
        <v/>
      </c>
      <c r="C3924" s="3">
        <f>HOUR(A3924)</f>
        <v/>
      </c>
      <c r="D3924" s="4" t="n">
        <v>25.43726401611111</v>
      </c>
      <c r="E3924" s="4" t="n"/>
      <c r="F3924" s="4" t="n">
        <v>29.69710701408055</v>
      </c>
      <c r="G3924" s="4" t="n">
        <v>20.1</v>
      </c>
      <c r="H3924" s="5" t="n">
        <v>35.58794278293611</v>
      </c>
      <c r="I3924" s="5" t="n"/>
      <c r="J3924" s="5" t="n">
        <v>40.00226207525278</v>
      </c>
      <c r="K3924" s="5" t="n">
        <v>56</v>
      </c>
    </row>
    <row r="3925">
      <c r="A3925" s="2" t="n">
        <v>46260.91666666666</v>
      </c>
      <c r="B3925">
        <f>TEXT(A3925,"yyyy-mm")</f>
        <v/>
      </c>
      <c r="C3925" s="3">
        <f>HOUR(A3925)</f>
        <v/>
      </c>
      <c r="D3925" s="4" t="n">
        <v>25.60568095862778</v>
      </c>
      <c r="E3925" s="4" t="n"/>
      <c r="F3925" s="4" t="n">
        <v>29.69027616688333</v>
      </c>
      <c r="G3925" s="4" t="n">
        <v>19.6</v>
      </c>
      <c r="H3925" s="5" t="n">
        <v>34.41446161428889</v>
      </c>
      <c r="I3925" s="5" t="n"/>
      <c r="J3925" s="5" t="n">
        <v>39.93357427763333</v>
      </c>
      <c r="K3925" s="5" t="n">
        <v>62</v>
      </c>
    </row>
    <row r="3926">
      <c r="A3926" s="2" t="n">
        <v>46260.95833333334</v>
      </c>
      <c r="B3926">
        <f>TEXT(A3926,"yyyy-mm")</f>
        <v/>
      </c>
      <c r="C3926" s="3">
        <f>HOUR(A3926)</f>
        <v/>
      </c>
      <c r="D3926" s="4" t="n">
        <v>25.53897062109722</v>
      </c>
      <c r="E3926" s="4" t="n"/>
      <c r="F3926" s="4" t="n">
        <v>29.68066270068333</v>
      </c>
      <c r="G3926" s="4" t="n">
        <v>19.1</v>
      </c>
      <c r="H3926" s="5" t="n">
        <v>34.53814451128888</v>
      </c>
      <c r="I3926" s="5" t="n"/>
      <c r="J3926" s="5" t="n">
        <v>39.84742259353611</v>
      </c>
      <c r="K3926" s="5" t="n">
        <v>63</v>
      </c>
    </row>
    <row r="3927">
      <c r="A3927" s="2" t="n">
        <v>46261</v>
      </c>
      <c r="B3927">
        <f>TEXT(A3927,"yyyy-mm")</f>
        <v/>
      </c>
      <c r="C3927" s="3">
        <f>HOUR(A3927)</f>
        <v/>
      </c>
      <c r="D3927" s="4" t="n">
        <v>24.79005008805834</v>
      </c>
      <c r="E3927" s="4" t="n"/>
      <c r="F3927" s="4" t="n">
        <v>29.606540095425</v>
      </c>
      <c r="G3927" s="4" t="n">
        <v>19.2</v>
      </c>
      <c r="H3927" s="5" t="n">
        <v>36.03677782786111</v>
      </c>
      <c r="I3927" s="5" t="n"/>
      <c r="J3927" s="5" t="n">
        <v>39.53497968525833</v>
      </c>
      <c r="K3927" s="5" t="n">
        <v>56</v>
      </c>
    </row>
    <row r="3928">
      <c r="A3928" s="2" t="n">
        <v>46261.04166666666</v>
      </c>
      <c r="B3928">
        <f>TEXT(A3928,"yyyy-mm")</f>
        <v/>
      </c>
      <c r="C3928" s="3">
        <f>HOUR(A3928)</f>
        <v/>
      </c>
      <c r="D3928" s="4" t="n">
        <v>24.31161167736389</v>
      </c>
      <c r="E3928" s="4" t="n"/>
      <c r="F3928" s="4" t="n">
        <v>29.56549844065833</v>
      </c>
      <c r="G3928" s="4" t="n">
        <v>18.5</v>
      </c>
      <c r="H3928" s="5" t="n">
        <v>40.69295416781111</v>
      </c>
      <c r="I3928" s="5" t="n"/>
      <c r="J3928" s="5" t="n">
        <v>39.73524516198055</v>
      </c>
      <c r="K3928" s="5" t="n">
        <v>55</v>
      </c>
    </row>
    <row r="3929">
      <c r="A3929" s="2" t="n">
        <v>46261.08333333334</v>
      </c>
      <c r="B3929">
        <f>TEXT(A3929,"yyyy-mm")</f>
        <v/>
      </c>
      <c r="C3929" s="3">
        <f>HOUR(A3929)</f>
        <v/>
      </c>
      <c r="D3929" s="4" t="n">
        <v>23.948123701825</v>
      </c>
      <c r="E3929" s="4" t="n"/>
      <c r="F3929" s="4" t="n">
        <v>29.17239332022778</v>
      </c>
      <c r="G3929" s="4" t="n">
        <v>18.1</v>
      </c>
      <c r="H3929" s="5" t="n">
        <v>47.03241159918056</v>
      </c>
      <c r="I3929" s="5" t="n"/>
      <c r="J3929" s="5" t="n">
        <v>42.30370229838334</v>
      </c>
      <c r="K3929" s="5" t="n">
        <v>57</v>
      </c>
    </row>
    <row r="3930">
      <c r="A3930" s="2" t="n">
        <v>46261.125</v>
      </c>
      <c r="B3930">
        <f>TEXT(A3930,"yyyy-mm")</f>
        <v/>
      </c>
      <c r="C3930" s="3">
        <f>HOUR(A3930)</f>
        <v/>
      </c>
      <c r="D3930" s="4" t="n">
        <v>23.66109654420555</v>
      </c>
      <c r="E3930" s="4" t="n"/>
      <c r="F3930" s="4" t="n">
        <v>28.408477247875</v>
      </c>
      <c r="G3930" s="4" t="n">
        <v>16.4</v>
      </c>
      <c r="H3930" s="5" t="n">
        <v>48.281999741025</v>
      </c>
      <c r="I3930" s="5" t="n"/>
      <c r="J3930" s="5" t="n">
        <v>45.415014186875</v>
      </c>
      <c r="K3930" s="5" t="n">
        <v>72</v>
      </c>
    </row>
    <row r="3931">
      <c r="A3931" s="2" t="n">
        <v>46261.16666666666</v>
      </c>
      <c r="B3931">
        <f>TEXT(A3931,"yyyy-mm")</f>
        <v/>
      </c>
      <c r="C3931" s="3">
        <f>HOUR(A3931)</f>
        <v/>
      </c>
      <c r="D3931" s="4" t="n">
        <v>23.40210363712778</v>
      </c>
      <c r="E3931" s="4" t="n"/>
      <c r="F3931" s="4" t="n">
        <v>28.91791690635</v>
      </c>
      <c r="G3931" s="4" t="n">
        <v>16</v>
      </c>
      <c r="H3931" s="5" t="n">
        <v>46.96090170968055</v>
      </c>
      <c r="I3931" s="5" t="n"/>
      <c r="J3931" s="5" t="n">
        <v>43.28977657598889</v>
      </c>
      <c r="K3931" s="5" t="n">
        <v>75</v>
      </c>
    </row>
    <row r="3932">
      <c r="A3932" s="2" t="n">
        <v>46261.20833333334</v>
      </c>
      <c r="B3932">
        <f>TEXT(A3932,"yyyy-mm")</f>
        <v/>
      </c>
      <c r="C3932" s="3">
        <f>HOUR(A3932)</f>
        <v/>
      </c>
      <c r="D3932" s="4" t="n">
        <v>23.39810891786945</v>
      </c>
      <c r="E3932" s="4" t="n"/>
      <c r="F3932" s="4" t="n">
        <v>29.082641156125</v>
      </c>
      <c r="G3932" s="4" t="n">
        <v>15.8</v>
      </c>
      <c r="H3932" s="5" t="n">
        <v>45.67907562416667</v>
      </c>
      <c r="I3932" s="5" t="n"/>
      <c r="J3932" s="5" t="n">
        <v>42.51204615679723</v>
      </c>
      <c r="K3932" s="5" t="n">
        <v>76</v>
      </c>
    </row>
    <row r="3933">
      <c r="A3933" s="2" t="n">
        <v>46261.25</v>
      </c>
      <c r="B3933">
        <f>TEXT(A3933,"yyyy-mm")</f>
        <v/>
      </c>
      <c r="C3933" s="3">
        <f>HOUR(A3933)</f>
        <v/>
      </c>
      <c r="D3933" s="4" t="n">
        <v>23.29373745584722</v>
      </c>
      <c r="E3933" s="4" t="n"/>
      <c r="F3933" s="4" t="n">
        <v>29.13326441656666</v>
      </c>
      <c r="G3933" s="4" t="n">
        <v>15.8</v>
      </c>
      <c r="H3933" s="5" t="n">
        <v>46.14065159105</v>
      </c>
      <c r="I3933" s="5" t="n"/>
      <c r="J3933" s="5" t="n">
        <v>42.23069157274167</v>
      </c>
      <c r="K3933" s="5" t="n">
        <v>74</v>
      </c>
    </row>
    <row r="3934">
      <c r="A3934" s="2" t="n">
        <v>46261.29166666666</v>
      </c>
      <c r="B3934">
        <f>TEXT(A3934,"yyyy-mm")</f>
        <v/>
      </c>
      <c r="C3934" s="3">
        <f>HOUR(A3934)</f>
        <v/>
      </c>
      <c r="D3934" s="4" t="n">
        <v>23.18311604948333</v>
      </c>
      <c r="E3934" s="4" t="n"/>
      <c r="F3934" s="4" t="n">
        <v>29.18389091326667</v>
      </c>
      <c r="G3934" s="4" t="n">
        <v>16</v>
      </c>
      <c r="H3934" s="5" t="n">
        <v>47.51701800074167</v>
      </c>
      <c r="I3934" s="5" t="n"/>
      <c r="J3934" s="5" t="n">
        <v>42.17385256164722</v>
      </c>
      <c r="K3934" s="5" t="n">
        <v>70</v>
      </c>
    </row>
    <row r="3935">
      <c r="A3935" s="2" t="n">
        <v>46261.33333333334</v>
      </c>
      <c r="B3935">
        <f>TEXT(A3935,"yyyy-mm")</f>
        <v/>
      </c>
      <c r="C3935" s="3">
        <f>HOUR(A3935)</f>
        <v/>
      </c>
      <c r="D3935" s="4" t="n">
        <v>23.49697915231112</v>
      </c>
      <c r="E3935" s="4" t="n"/>
      <c r="F3935" s="4" t="n">
        <v>29.18116404674722</v>
      </c>
      <c r="G3935" s="4" t="n">
        <v>16.9</v>
      </c>
      <c r="H3935" s="5" t="n">
        <v>46.36756358942777</v>
      </c>
      <c r="I3935" s="5" t="n"/>
      <c r="J3935" s="5" t="n">
        <v>42.25695719671666</v>
      </c>
      <c r="K3935" s="5" t="n">
        <v>65</v>
      </c>
    </row>
    <row r="3936">
      <c r="A3936" s="2" t="n">
        <v>46261.375</v>
      </c>
      <c r="B3936">
        <f>TEXT(A3936,"yyyy-mm")</f>
        <v/>
      </c>
      <c r="C3936" s="3">
        <f>HOUR(A3936)</f>
        <v/>
      </c>
      <c r="D3936" s="4" t="n">
        <v>23.88428402794722</v>
      </c>
      <c r="E3936" s="4" t="n"/>
      <c r="F3936" s="4" t="n">
        <v>29.12524216076389</v>
      </c>
      <c r="G3936" s="4" t="n">
        <v>17.8</v>
      </c>
      <c r="H3936" s="5" t="n">
        <v>44.23979665000834</v>
      </c>
      <c r="I3936" s="5" t="n"/>
      <c r="J3936" s="5" t="n">
        <v>42.24143812231944</v>
      </c>
      <c r="K3936" s="5" t="n">
        <v>65</v>
      </c>
    </row>
    <row r="3937">
      <c r="A3937" s="2" t="n">
        <v>46261.41666666666</v>
      </c>
      <c r="B3937">
        <f>TEXT(A3937,"yyyy-mm")</f>
        <v/>
      </c>
      <c r="C3937" s="3">
        <f>HOUR(A3937)</f>
        <v/>
      </c>
      <c r="D3937" s="4" t="n">
        <v>24.176134274825</v>
      </c>
      <c r="E3937" s="4" t="n"/>
      <c r="F3937" s="4" t="n">
        <v>29.11591807774444</v>
      </c>
      <c r="G3937" s="4" t="n">
        <v>19.2</v>
      </c>
      <c r="H3937" s="5" t="n">
        <v>41.83975470502778</v>
      </c>
      <c r="I3937" s="5" t="n"/>
      <c r="J3937" s="5" t="n">
        <v>42.03574903828889</v>
      </c>
      <c r="K3937" s="5" t="n">
        <v>61</v>
      </c>
    </row>
    <row r="3938">
      <c r="A3938" s="2" t="n">
        <v>46261.45833333334</v>
      </c>
      <c r="B3938">
        <f>TEXT(A3938,"yyyy-mm")</f>
        <v/>
      </c>
      <c r="C3938" s="3">
        <f>HOUR(A3938)</f>
        <v/>
      </c>
      <c r="D3938" s="4" t="n">
        <v>24.32739472001944</v>
      </c>
      <c r="E3938" s="4" t="n"/>
      <c r="F3938" s="4" t="n">
        <v>29.12291515747778</v>
      </c>
      <c r="G3938" s="4" t="n">
        <v>20.7</v>
      </c>
      <c r="H3938" s="5" t="n">
        <v>40.55868864712222</v>
      </c>
      <c r="I3938" s="5" t="n"/>
      <c r="J3938" s="5" t="n">
        <v>41.68566395206944</v>
      </c>
      <c r="K3938" s="5" t="n">
        <v>55</v>
      </c>
    </row>
    <row r="3939">
      <c r="A3939" s="2" t="n">
        <v>46261.5</v>
      </c>
      <c r="B3939">
        <f>TEXT(A3939,"yyyy-mm")</f>
        <v/>
      </c>
      <c r="C3939" s="3">
        <f>HOUR(A3939)</f>
        <v/>
      </c>
      <c r="D3939" s="4" t="n">
        <v>23.63958827363889</v>
      </c>
      <c r="E3939" s="4" t="n"/>
      <c r="F3939" s="4" t="n">
        <v>29.02342645426389</v>
      </c>
      <c r="G3939" s="4" t="n">
        <v>21.7</v>
      </c>
      <c r="H3939" s="5" t="n">
        <v>41.03180618080555</v>
      </c>
      <c r="I3939" s="5" t="n"/>
      <c r="J3939" s="5" t="n">
        <v>41.10219576438611</v>
      </c>
      <c r="K3939" s="5" t="n">
        <v>49</v>
      </c>
    </row>
    <row r="3940">
      <c r="A3940" s="2" t="n">
        <v>46261.54166666666</v>
      </c>
      <c r="B3940">
        <f>TEXT(A3940,"yyyy-mm")</f>
        <v/>
      </c>
      <c r="C3940" s="3">
        <f>HOUR(A3940)</f>
        <v/>
      </c>
      <c r="D3940" s="4" t="n">
        <v>23.15677024093334</v>
      </c>
      <c r="E3940" s="4" t="n"/>
      <c r="F3940" s="4" t="n">
        <v>28.99511287996389</v>
      </c>
      <c r="G3940" s="4" t="n">
        <v>22.2</v>
      </c>
      <c r="H3940" s="5" t="n">
        <v>44.54747444179167</v>
      </c>
      <c r="I3940" s="5" t="n"/>
      <c r="J3940" s="5" t="n">
        <v>41.4544277551</v>
      </c>
      <c r="K3940" s="5" t="n">
        <v>46</v>
      </c>
    </row>
    <row r="3941">
      <c r="A3941" s="2" t="n">
        <v>46261.58333333334</v>
      </c>
      <c r="B3941">
        <f>TEXT(A3941,"yyyy-mm")</f>
        <v/>
      </c>
      <c r="C3941" s="3">
        <f>HOUR(A3941)</f>
        <v/>
      </c>
      <c r="D3941" s="4" t="n">
        <v>23.20966472416111</v>
      </c>
      <c r="E3941" s="4" t="n"/>
      <c r="F3941" s="4" t="n">
        <v>29.01867111045834</v>
      </c>
      <c r="G3941" s="4" t="n">
        <v>22.3</v>
      </c>
      <c r="H3941" s="5" t="n">
        <v>45.70320079541667</v>
      </c>
      <c r="I3941" s="5" t="n"/>
      <c r="J3941" s="5" t="n">
        <v>41.74944257561389</v>
      </c>
      <c r="K3941" s="5" t="n">
        <v>45</v>
      </c>
    </row>
    <row r="3942">
      <c r="A3942" s="2" t="n">
        <v>46261.625</v>
      </c>
      <c r="B3942">
        <f>TEXT(A3942,"yyyy-mm")</f>
        <v/>
      </c>
      <c r="C3942" s="3">
        <f>HOUR(A3942)</f>
        <v/>
      </c>
      <c r="D3942" s="4" t="n">
        <v>23.07228636814445</v>
      </c>
      <c r="E3942" s="4" t="n"/>
      <c r="F3942" s="4" t="n">
        <v>29.04064014595833</v>
      </c>
      <c r="G3942" s="4" t="n">
        <v>20.2</v>
      </c>
      <c r="H3942" s="5" t="n">
        <v>46.683447542925</v>
      </c>
      <c r="I3942" s="5" t="n"/>
      <c r="J3942" s="5" t="n">
        <v>42.04900421</v>
      </c>
      <c r="K3942" s="5" t="n">
        <v>55</v>
      </c>
    </row>
    <row r="3943">
      <c r="A3943" s="2" t="n">
        <v>46261.66666666666</v>
      </c>
      <c r="B3943">
        <f>TEXT(A3943,"yyyy-mm")</f>
        <v/>
      </c>
      <c r="C3943" s="3">
        <f>HOUR(A3943)</f>
        <v/>
      </c>
      <c r="D3943" s="4" t="n">
        <v>23.16373280268889</v>
      </c>
      <c r="E3943" s="4" t="n"/>
      <c r="F3943" s="4" t="n">
        <v>29.01116522285277</v>
      </c>
      <c r="G3943" s="4" t="n">
        <v>19.6</v>
      </c>
      <c r="H3943" s="5" t="n">
        <v>46.01311663896666</v>
      </c>
      <c r="I3943" s="5" t="n"/>
      <c r="J3943" s="5" t="n">
        <v>42.21066773539444</v>
      </c>
      <c r="K3943" s="5" t="n">
        <v>60</v>
      </c>
    </row>
    <row r="3944">
      <c r="A3944" s="2" t="n">
        <v>46261.70833333334</v>
      </c>
      <c r="B3944">
        <f>TEXT(A3944,"yyyy-mm")</f>
        <v/>
      </c>
      <c r="C3944" s="3">
        <f>HOUR(A3944)</f>
        <v/>
      </c>
      <c r="D3944" s="4" t="n">
        <v>23.45166299260556</v>
      </c>
      <c r="E3944" s="4" t="n"/>
      <c r="F3944" s="4" t="n">
        <v>29.03052983179444</v>
      </c>
      <c r="G3944" s="4" t="n">
        <v>19.6</v>
      </c>
      <c r="H3944" s="5" t="n">
        <v>44.88524332388055</v>
      </c>
      <c r="I3944" s="5" t="n"/>
      <c r="J3944" s="5" t="n">
        <v>42.16015230721111</v>
      </c>
      <c r="K3944" s="5" t="n">
        <v>63</v>
      </c>
    </row>
    <row r="3945">
      <c r="A3945" s="2" t="n">
        <v>46261.75</v>
      </c>
      <c r="B3945">
        <f>TEXT(A3945,"yyyy-mm")</f>
        <v/>
      </c>
      <c r="C3945" s="3">
        <f>HOUR(A3945)</f>
        <v/>
      </c>
      <c r="D3945" s="4" t="n">
        <v>23.36308083119722</v>
      </c>
      <c r="E3945" s="4" t="n"/>
      <c r="F3945" s="4" t="n">
        <v>29.04397930195833</v>
      </c>
      <c r="G3945" s="4" t="n">
        <v>19.4</v>
      </c>
      <c r="H3945" s="5" t="n">
        <v>44.74161808200555</v>
      </c>
      <c r="I3945" s="5" t="n"/>
      <c r="J3945" s="5" t="n">
        <v>42.02034228405</v>
      </c>
      <c r="K3945" s="5" t="n">
        <v>64</v>
      </c>
    </row>
    <row r="3946">
      <c r="A3946" s="2" t="n">
        <v>46261.79166666666</v>
      </c>
      <c r="B3946">
        <f>TEXT(A3946,"yyyy-mm")</f>
        <v/>
      </c>
      <c r="C3946" s="3">
        <f>HOUR(A3946)</f>
        <v/>
      </c>
      <c r="D3946" s="4" t="n">
        <v>22.88838099624722</v>
      </c>
      <c r="E3946" s="4" t="n"/>
      <c r="F3946" s="4" t="n">
        <v>29.09597533344167</v>
      </c>
      <c r="G3946" s="4" t="n">
        <v>19</v>
      </c>
      <c r="H3946" s="5" t="n">
        <v>46.84622243705834</v>
      </c>
      <c r="I3946" s="5" t="n"/>
      <c r="J3946" s="5" t="n">
        <v>42.10379756735</v>
      </c>
      <c r="K3946" s="5" t="n">
        <v>66</v>
      </c>
    </row>
    <row r="3947">
      <c r="A3947" s="2" t="n">
        <v>46261.83333333334</v>
      </c>
      <c r="B3947">
        <f>TEXT(A3947,"yyyy-mm")</f>
        <v/>
      </c>
      <c r="C3947" s="3">
        <f>HOUR(A3947)</f>
        <v/>
      </c>
      <c r="D3947" s="4" t="n">
        <v>23.13232220035556</v>
      </c>
      <c r="E3947" s="4" t="n"/>
      <c r="F3947" s="4" t="n">
        <v>29.13717952730833</v>
      </c>
      <c r="G3947" s="4" t="n">
        <v>18.5</v>
      </c>
      <c r="H3947" s="5" t="n">
        <v>46.26859837575557</v>
      </c>
      <c r="I3947" s="5" t="n"/>
      <c r="J3947" s="5" t="n">
        <v>42.03215263001666</v>
      </c>
      <c r="K3947" s="5" t="n">
        <v>68</v>
      </c>
    </row>
    <row r="3948">
      <c r="A3948" s="2" t="n">
        <v>46261.875</v>
      </c>
      <c r="B3948">
        <f>TEXT(A3948,"yyyy-mm")</f>
        <v/>
      </c>
      <c r="C3948" s="3">
        <f>HOUR(A3948)</f>
        <v/>
      </c>
      <c r="D3948" s="4" t="n">
        <v>23.65967373302222</v>
      </c>
      <c r="E3948" s="4" t="n"/>
      <c r="F3948" s="4" t="n">
        <v>29.19275168786111</v>
      </c>
      <c r="G3948" s="4" t="n">
        <v>17.9</v>
      </c>
      <c r="H3948" s="5" t="n">
        <v>44.51930106557222</v>
      </c>
      <c r="I3948" s="5" t="n"/>
      <c r="J3948" s="5" t="n">
        <v>41.93502553956667</v>
      </c>
      <c r="K3948" s="5" t="n">
        <v>68</v>
      </c>
    </row>
    <row r="3949">
      <c r="A3949" s="2" t="n">
        <v>46261.91666666666</v>
      </c>
      <c r="B3949">
        <f>TEXT(A3949,"yyyy-mm")</f>
        <v/>
      </c>
      <c r="C3949" s="3">
        <f>HOUR(A3949)</f>
        <v/>
      </c>
      <c r="D3949" s="4" t="n">
        <v>23.92762056394167</v>
      </c>
      <c r="E3949" s="4" t="n"/>
      <c r="F3949" s="4" t="n">
        <v>29.21108526436666</v>
      </c>
      <c r="G3949" s="4" t="n">
        <v>17.8</v>
      </c>
      <c r="H3949" s="5" t="n">
        <v>43.61211893654166</v>
      </c>
      <c r="I3949" s="5" t="n"/>
      <c r="J3949" s="5" t="n">
        <v>41.91649567205833</v>
      </c>
      <c r="K3949" s="5" t="n">
        <v>66</v>
      </c>
    </row>
    <row r="3950">
      <c r="A3950" s="2" t="n">
        <v>46261.95833333334</v>
      </c>
      <c r="B3950">
        <f>TEXT(A3950,"yyyy-mm")</f>
        <v/>
      </c>
      <c r="C3950" s="3">
        <f>HOUR(A3950)</f>
        <v/>
      </c>
      <c r="D3950" s="4" t="n">
        <v>23.96628462721667</v>
      </c>
      <c r="E3950" s="4" t="n"/>
      <c r="F3950" s="4" t="n">
        <v>29.19346893237222</v>
      </c>
      <c r="G3950" s="4" t="n">
        <v>17.6</v>
      </c>
      <c r="H3950" s="5" t="n">
        <v>43.28484482746111</v>
      </c>
      <c r="I3950" s="5" t="n"/>
      <c r="J3950" s="5" t="n">
        <v>41.95778901173611</v>
      </c>
      <c r="K3950" s="5" t="n">
        <v>67</v>
      </c>
    </row>
    <row r="3951">
      <c r="A3951" s="2" t="n">
        <v>46262</v>
      </c>
      <c r="B3951">
        <f>TEXT(A3951,"yyyy-mm")</f>
        <v/>
      </c>
      <c r="C3951" s="3">
        <f>HOUR(A3951)</f>
        <v/>
      </c>
      <c r="D3951" s="4" t="n">
        <v>23.81269909965556</v>
      </c>
      <c r="E3951" s="4" t="n"/>
      <c r="F3951" s="4" t="n">
        <v>29.18062913851389</v>
      </c>
      <c r="G3951" s="4" t="n">
        <v>17.2</v>
      </c>
      <c r="H3951" s="5" t="n">
        <v>43.18617138793611</v>
      </c>
      <c r="I3951" s="5" t="n"/>
      <c r="J3951" s="5" t="n">
        <v>41.97553061129445</v>
      </c>
      <c r="K3951" s="5" t="n">
        <v>71</v>
      </c>
    </row>
    <row r="3952">
      <c r="A3952" s="2" t="n">
        <v>46262.04166666666</v>
      </c>
      <c r="B3952">
        <f>TEXT(A3952,"yyyy-mm")</f>
        <v/>
      </c>
      <c r="C3952" s="3">
        <f>HOUR(A3952)</f>
        <v/>
      </c>
      <c r="D3952" s="4" t="n">
        <v>23.29886889701111</v>
      </c>
      <c r="E3952" s="4" t="n"/>
      <c r="F3952" s="4" t="n">
        <v>29.10535005166111</v>
      </c>
      <c r="G3952" s="4" t="n">
        <v>16.6</v>
      </c>
      <c r="H3952" s="5" t="n">
        <v>43.97953118805833</v>
      </c>
      <c r="I3952" s="5" t="n"/>
      <c r="J3952" s="5" t="n">
        <v>41.97021241546111</v>
      </c>
      <c r="K3952" s="5" t="n">
        <v>72</v>
      </c>
    </row>
    <row r="3953">
      <c r="A3953" s="2" t="n">
        <v>46262.08333333334</v>
      </c>
      <c r="B3953">
        <f>TEXT(A3953,"yyyy-mm")</f>
        <v/>
      </c>
      <c r="C3953" s="3">
        <f>HOUR(A3953)</f>
        <v/>
      </c>
      <c r="D3953" s="4" t="n">
        <v>23.03087258763611</v>
      </c>
      <c r="E3953" s="4" t="n"/>
      <c r="F3953" s="4" t="n">
        <v>29.05221921136111</v>
      </c>
      <c r="G3953" s="4" t="n">
        <v>15.8</v>
      </c>
      <c r="H3953" s="5" t="n">
        <v>44.43902471256112</v>
      </c>
      <c r="I3953" s="5" t="n"/>
      <c r="J3953" s="5" t="n">
        <v>41.91451427753055</v>
      </c>
      <c r="K3953" s="5" t="n">
        <v>71</v>
      </c>
    </row>
    <row r="3954">
      <c r="A3954" s="2" t="n">
        <v>46262.125</v>
      </c>
      <c r="B3954">
        <f>TEXT(A3954,"yyyy-mm")</f>
        <v/>
      </c>
      <c r="C3954" s="3">
        <f>HOUR(A3954)</f>
        <v/>
      </c>
      <c r="D3954" s="4" t="n">
        <v>23.04217903991666</v>
      </c>
      <c r="E3954" s="4" t="n"/>
      <c r="F3954" s="4" t="n">
        <v>29.03366198169445</v>
      </c>
      <c r="G3954" s="4" t="n">
        <v>15.2</v>
      </c>
      <c r="H3954" s="5" t="n">
        <v>44.13494633579444</v>
      </c>
      <c r="I3954" s="5" t="n"/>
      <c r="J3954" s="5" t="n">
        <v>41.84704328668055</v>
      </c>
      <c r="K3954" s="5" t="n">
        <v>73</v>
      </c>
    </row>
    <row r="3955">
      <c r="A3955" s="2" t="n">
        <v>46262.16666666666</v>
      </c>
      <c r="B3955">
        <f>TEXT(A3955,"yyyy-mm")</f>
        <v/>
      </c>
      <c r="C3955" s="3">
        <f>HOUR(A3955)</f>
        <v/>
      </c>
      <c r="D3955" s="4" t="n">
        <v>22.72998614702222</v>
      </c>
      <c r="E3955" s="4" t="n"/>
      <c r="F3955" s="4" t="n">
        <v>29.00480109876666</v>
      </c>
      <c r="G3955" s="4" t="n">
        <v>14.7</v>
      </c>
      <c r="H3955" s="5" t="n">
        <v>44.51448588056112</v>
      </c>
      <c r="I3955" s="5" t="n"/>
      <c r="J3955" s="5" t="n">
        <v>41.74766185881111</v>
      </c>
      <c r="K3955" s="5" t="n">
        <v>76</v>
      </c>
    </row>
    <row r="3956">
      <c r="A3956" s="2" t="n">
        <v>46262.20833333334</v>
      </c>
      <c r="B3956">
        <f>TEXT(A3956,"yyyy-mm")</f>
        <v/>
      </c>
      <c r="C3956" s="3">
        <f>HOUR(A3956)</f>
        <v/>
      </c>
      <c r="D3956" s="4" t="n">
        <v>22.58469961398889</v>
      </c>
      <c r="E3956" s="4" t="n"/>
      <c r="F3956" s="4" t="n">
        <v>28.97196413262222</v>
      </c>
      <c r="G3956" s="4" t="n">
        <v>14.3</v>
      </c>
      <c r="H3956" s="5" t="n">
        <v>44.62147905480555</v>
      </c>
      <c r="I3956" s="5" t="n"/>
      <c r="J3956" s="5" t="n">
        <v>41.69107085756666</v>
      </c>
      <c r="K3956" s="5" t="n">
        <v>79</v>
      </c>
    </row>
    <row r="3957">
      <c r="A3957" s="2" t="n">
        <v>46262.25</v>
      </c>
      <c r="B3957">
        <f>TEXT(A3957,"yyyy-mm")</f>
        <v/>
      </c>
      <c r="C3957" s="3">
        <f>HOUR(A3957)</f>
        <v/>
      </c>
      <c r="D3957" s="4" t="n">
        <v>22.80079743053333</v>
      </c>
      <c r="E3957" s="4" t="n"/>
      <c r="F3957" s="4" t="n">
        <v>28.94827941135277</v>
      </c>
      <c r="G3957" s="4" t="n">
        <v>14</v>
      </c>
      <c r="H3957" s="5" t="n">
        <v>43.92024639312501</v>
      </c>
      <c r="I3957" s="5" t="n"/>
      <c r="J3957" s="5" t="n">
        <v>41.66028992319445</v>
      </c>
      <c r="K3957" s="5" t="n">
        <v>80</v>
      </c>
    </row>
    <row r="3958">
      <c r="A3958" s="2" t="n">
        <v>46262.29166666666</v>
      </c>
      <c r="B3958">
        <f>TEXT(A3958,"yyyy-mm")</f>
        <v/>
      </c>
      <c r="C3958" s="3">
        <f>HOUR(A3958)</f>
        <v/>
      </c>
      <c r="D3958" s="4" t="n">
        <v>23.84749439955278</v>
      </c>
      <c r="E3958" s="4" t="n"/>
      <c r="F3958" s="4" t="n">
        <v>28.98511808165833</v>
      </c>
      <c r="G3958" s="4" t="n">
        <v>14.4</v>
      </c>
      <c r="H3958" s="5" t="n">
        <v>41.43948253227777</v>
      </c>
      <c r="I3958" s="5" t="n"/>
      <c r="J3958" s="5" t="n">
        <v>41.72636430523056</v>
      </c>
      <c r="K3958" s="5" t="n">
        <v>77</v>
      </c>
    </row>
    <row r="3959">
      <c r="A3959" s="2" t="n">
        <v>46262.33333333334</v>
      </c>
      <c r="B3959">
        <f>TEXT(A3959,"yyyy-mm")</f>
        <v/>
      </c>
      <c r="C3959" s="3">
        <f>HOUR(A3959)</f>
        <v/>
      </c>
      <c r="D3959" s="4" t="n">
        <v>24.71821062036389</v>
      </c>
      <c r="E3959" s="4" t="n"/>
      <c r="F3959" s="4" t="n">
        <v>29.01989368056111</v>
      </c>
      <c r="G3959" s="4" t="n">
        <v>15.6</v>
      </c>
      <c r="H3959" s="5" t="n">
        <v>39.75824045441112</v>
      </c>
      <c r="I3959" s="5" t="n"/>
      <c r="J3959" s="5" t="n">
        <v>41.69101694124166</v>
      </c>
      <c r="K3959" s="5" t="n">
        <v>70</v>
      </c>
    </row>
    <row r="3960">
      <c r="A3960" s="2" t="n">
        <v>46262.375</v>
      </c>
      <c r="B3960">
        <f>TEXT(A3960,"yyyy-mm")</f>
        <v/>
      </c>
      <c r="C3960" s="3">
        <f>HOUR(A3960)</f>
        <v/>
      </c>
      <c r="D3960" s="4" t="n">
        <v>25.17286503015556</v>
      </c>
      <c r="E3960" s="4" t="n"/>
      <c r="F3960" s="4" t="n">
        <v>29.04052620711944</v>
      </c>
      <c r="G3960" s="4" t="n">
        <v>17</v>
      </c>
      <c r="H3960" s="5" t="n">
        <v>38.71991057978611</v>
      </c>
      <c r="I3960" s="5" t="n"/>
      <c r="J3960" s="5" t="n">
        <v>41.59648104529722</v>
      </c>
      <c r="K3960" s="5" t="n">
        <v>66</v>
      </c>
    </row>
    <row r="3961">
      <c r="A3961" s="2" t="n">
        <v>46262.41666666666</v>
      </c>
      <c r="B3961">
        <f>TEXT(A3961,"yyyy-mm")</f>
        <v/>
      </c>
      <c r="C3961" s="3">
        <f>HOUR(A3961)</f>
        <v/>
      </c>
      <c r="D3961" s="4" t="n">
        <v>24.900886778875</v>
      </c>
      <c r="E3961" s="4" t="n"/>
      <c r="F3961" s="4" t="n">
        <v>28.99718677853333</v>
      </c>
      <c r="G3961" s="4" t="n">
        <v>18.8</v>
      </c>
      <c r="H3961" s="5" t="n">
        <v>38.58701392923056</v>
      </c>
      <c r="I3961" s="5" t="n"/>
      <c r="J3961" s="5" t="n">
        <v>41.29361435324444</v>
      </c>
      <c r="K3961" s="5" t="n">
        <v>61</v>
      </c>
    </row>
    <row r="3962">
      <c r="A3962" s="2" t="n">
        <v>46262.45833333334</v>
      </c>
      <c r="B3962">
        <f>TEXT(A3962,"yyyy-mm")</f>
        <v/>
      </c>
      <c r="C3962" s="3">
        <f>HOUR(A3962)</f>
        <v/>
      </c>
      <c r="D3962" s="4" t="n">
        <v>24.84999160741112</v>
      </c>
      <c r="E3962" s="4" t="n"/>
      <c r="F3962" s="4" t="n">
        <v>28.97647346107222</v>
      </c>
      <c r="G3962" s="4" t="n">
        <v>20.4</v>
      </c>
      <c r="H3962" s="5" t="n">
        <v>38.25066403563611</v>
      </c>
      <c r="I3962" s="5" t="n"/>
      <c r="J3962" s="5" t="n">
        <v>41.14539121942778</v>
      </c>
      <c r="K3962" s="5" t="n">
        <v>54</v>
      </c>
    </row>
    <row r="3963">
      <c r="A3963" s="2" t="n">
        <v>46262.5</v>
      </c>
      <c r="B3963">
        <f>TEXT(A3963,"yyyy-mm")</f>
        <v/>
      </c>
      <c r="C3963" s="3">
        <f>HOUR(A3963)</f>
        <v/>
      </c>
      <c r="D3963" s="4" t="n">
        <v>24.78433646901389</v>
      </c>
      <c r="E3963" s="4" t="n"/>
      <c r="F3963" s="4" t="n">
        <v>28.97288726990277</v>
      </c>
      <c r="G3963" s="4" t="n">
        <v>21.9</v>
      </c>
      <c r="H3963" s="5" t="n">
        <v>37.77959052717223</v>
      </c>
      <c r="I3963" s="5" t="n"/>
      <c r="J3963" s="5" t="n">
        <v>40.951835570775</v>
      </c>
      <c r="K3963" s="5" t="n">
        <v>47</v>
      </c>
    </row>
    <row r="3964">
      <c r="A3964" s="2" t="n">
        <v>46262.54166666666</v>
      </c>
      <c r="B3964">
        <f>TEXT(A3964,"yyyy-mm")</f>
        <v/>
      </c>
      <c r="C3964" s="3">
        <f>HOUR(A3964)</f>
        <v/>
      </c>
      <c r="D3964" s="4" t="n">
        <v>24.69067739199722</v>
      </c>
      <c r="E3964" s="4" t="n"/>
      <c r="F3964" s="4" t="n">
        <v>28.93996506658889</v>
      </c>
      <c r="G3964" s="4" t="n">
        <v>22.4</v>
      </c>
      <c r="H3964" s="5" t="n">
        <v>37.81700142458333</v>
      </c>
      <c r="I3964" s="5" t="n"/>
      <c r="J3964" s="5" t="n">
        <v>40.80527736376666</v>
      </c>
      <c r="K3964" s="5" t="n">
        <v>44</v>
      </c>
    </row>
    <row r="3965">
      <c r="A3965" s="2" t="n">
        <v>46262.58333333334</v>
      </c>
      <c r="B3965">
        <f>TEXT(A3965,"yyyy-mm")</f>
        <v/>
      </c>
      <c r="C3965" s="3">
        <f>HOUR(A3965)</f>
        <v/>
      </c>
      <c r="D3965" s="4" t="n">
        <v>24.78950747236389</v>
      </c>
      <c r="E3965" s="4" t="n"/>
      <c r="F3965" s="4" t="n">
        <v>28.934420023525</v>
      </c>
      <c r="G3965" s="4" t="n">
        <v>22.1</v>
      </c>
      <c r="H3965" s="5" t="n">
        <v>37.32485077945</v>
      </c>
      <c r="I3965" s="5" t="n"/>
      <c r="J3965" s="5" t="n">
        <v>40.86692101550833</v>
      </c>
      <c r="K3965" s="5" t="n">
        <v>44</v>
      </c>
    </row>
    <row r="3966">
      <c r="A3966" s="2" t="n">
        <v>46262.625</v>
      </c>
      <c r="B3966">
        <f>TEXT(A3966,"yyyy-mm")</f>
        <v/>
      </c>
      <c r="C3966" s="3">
        <f>HOUR(A3966)</f>
        <v/>
      </c>
      <c r="D3966" s="4" t="n">
        <v>24.85771155244444</v>
      </c>
      <c r="E3966" s="4" t="n"/>
      <c r="F3966" s="4" t="n">
        <v>28.82151967431945</v>
      </c>
      <c r="G3966" s="4" t="n">
        <v>22.9</v>
      </c>
      <c r="H3966" s="5" t="n">
        <v>37.07597324868889</v>
      </c>
      <c r="I3966" s="5" t="n"/>
      <c r="J3966" s="5" t="n">
        <v>40.76777595665833</v>
      </c>
      <c r="K3966" s="5" t="n">
        <v>42</v>
      </c>
    </row>
    <row r="3967">
      <c r="A3967" s="2" t="n">
        <v>46262.66666666666</v>
      </c>
      <c r="B3967">
        <f>TEXT(A3967,"yyyy-mm")</f>
        <v/>
      </c>
      <c r="C3967" s="3">
        <f>HOUR(A3967)</f>
        <v/>
      </c>
      <c r="D3967" s="4" t="n">
        <v>25.01576657794723</v>
      </c>
      <c r="E3967" s="4" t="n"/>
      <c r="F3967" s="4" t="n">
        <v>28.37360200477222</v>
      </c>
      <c r="G3967" s="4" t="n">
        <v>23.1</v>
      </c>
      <c r="H3967" s="5" t="n">
        <v>37.36310753363333</v>
      </c>
      <c r="I3967" s="5" t="n"/>
      <c r="J3967" s="5" t="n">
        <v>41.33627593736389</v>
      </c>
      <c r="K3967" s="5" t="n">
        <v>41</v>
      </c>
    </row>
    <row r="3968">
      <c r="A3968" s="2" t="n">
        <v>46262.70833333334</v>
      </c>
      <c r="B3968">
        <f>TEXT(A3968,"yyyy-mm")</f>
        <v/>
      </c>
      <c r="C3968" s="3">
        <f>HOUR(A3968)</f>
        <v/>
      </c>
      <c r="D3968" s="4" t="n">
        <v>25.07232466928889</v>
      </c>
      <c r="E3968" s="4" t="n"/>
      <c r="F3968" s="4" t="n">
        <v>28.756717747425</v>
      </c>
      <c r="G3968" s="4" t="n">
        <v>22.9</v>
      </c>
      <c r="H3968" s="5" t="n">
        <v>36.86956728708611</v>
      </c>
      <c r="I3968" s="5" t="n"/>
      <c r="J3968" s="5" t="n">
        <v>41.09444584571666</v>
      </c>
      <c r="K3968" s="5" t="n">
        <v>41</v>
      </c>
    </row>
    <row r="3969">
      <c r="A3969" s="2" t="n">
        <v>46262.75</v>
      </c>
      <c r="B3969">
        <f>TEXT(A3969,"yyyy-mm")</f>
        <v/>
      </c>
      <c r="C3969" s="3">
        <f>HOUR(A3969)</f>
        <v/>
      </c>
      <c r="D3969" s="4" t="n">
        <v>24.99322256490278</v>
      </c>
      <c r="E3969" s="4" t="n"/>
      <c r="F3969" s="4" t="n">
        <v>28.87390512869166</v>
      </c>
      <c r="G3969" s="4" t="n">
        <v>22.3</v>
      </c>
      <c r="H3969" s="5" t="n">
        <v>36.20887725996111</v>
      </c>
      <c r="I3969" s="5" t="n"/>
      <c r="J3969" s="5" t="n">
        <v>40.94036562457222</v>
      </c>
      <c r="K3969" s="5" t="n">
        <v>42</v>
      </c>
    </row>
    <row r="3970">
      <c r="A3970" s="2" t="n">
        <v>46262.79166666666</v>
      </c>
      <c r="B3970">
        <f>TEXT(A3970,"yyyy-mm")</f>
        <v/>
      </c>
      <c r="C3970" s="3">
        <f>HOUR(A3970)</f>
        <v/>
      </c>
      <c r="D3970" s="4" t="n">
        <v>24.69903806624167</v>
      </c>
      <c r="E3970" s="4" t="n"/>
      <c r="F3970" s="4" t="n">
        <v>28.92731059106389</v>
      </c>
      <c r="G3970" s="4" t="n">
        <v>21.3</v>
      </c>
      <c r="H3970" s="5" t="n">
        <v>36.76922211163611</v>
      </c>
      <c r="I3970" s="5" t="n"/>
      <c r="J3970" s="5" t="n">
        <v>40.87430178337223</v>
      </c>
      <c r="K3970" s="5" t="n">
        <v>45</v>
      </c>
    </row>
    <row r="3971">
      <c r="A3971" s="2" t="n">
        <v>46262.83333333334</v>
      </c>
      <c r="B3971">
        <f>TEXT(A3971,"yyyy-mm")</f>
        <v/>
      </c>
      <c r="C3971" s="3">
        <f>HOUR(A3971)</f>
        <v/>
      </c>
      <c r="D3971" s="4" t="n">
        <v>24.38248672895278</v>
      </c>
      <c r="E3971" s="4" t="n"/>
      <c r="F3971" s="4" t="n">
        <v>28.93705404912778</v>
      </c>
      <c r="G3971" s="4" t="n">
        <v>20.1</v>
      </c>
      <c r="H3971" s="5" t="n">
        <v>37.50694286662222</v>
      </c>
      <c r="I3971" s="5" t="n"/>
      <c r="J3971" s="5" t="n">
        <v>40.86675119138611</v>
      </c>
      <c r="K3971" s="5" t="n">
        <v>50</v>
      </c>
    </row>
    <row r="3972">
      <c r="A3972" s="2" t="n">
        <v>46262.875</v>
      </c>
      <c r="B3972">
        <f>TEXT(A3972,"yyyy-mm")</f>
        <v/>
      </c>
      <c r="C3972" s="3">
        <f>HOUR(A3972)</f>
        <v/>
      </c>
      <c r="D3972" s="4" t="n">
        <v>23.91934581221944</v>
      </c>
      <c r="E3972" s="4" t="n"/>
      <c r="F3972" s="4" t="n">
        <v>28.90962954861111</v>
      </c>
      <c r="G3972" s="4" t="n">
        <v>18.9</v>
      </c>
      <c r="H3972" s="5" t="n">
        <v>38.67336959085</v>
      </c>
      <c r="I3972" s="5" t="n"/>
      <c r="J3972" s="5" t="n">
        <v>40.82650092184722</v>
      </c>
      <c r="K3972" s="5" t="n">
        <v>54</v>
      </c>
    </row>
    <row r="3973">
      <c r="A3973" s="2" t="n">
        <v>46262.91666666666</v>
      </c>
      <c r="B3973">
        <f>TEXT(A3973,"yyyy-mm")</f>
        <v/>
      </c>
      <c r="C3973" s="3">
        <f>HOUR(A3973)</f>
        <v/>
      </c>
      <c r="D3973" s="4" t="n">
        <v>23.52351277631111</v>
      </c>
      <c r="E3973" s="4" t="n"/>
      <c r="F3973" s="4" t="n">
        <v>28.88383296440277</v>
      </c>
      <c r="G3973" s="4" t="n">
        <v>17.7</v>
      </c>
      <c r="H3973" s="5" t="n">
        <v>40.46860554766111</v>
      </c>
      <c r="I3973" s="5" t="n"/>
      <c r="J3973" s="5" t="n">
        <v>40.88328380944723</v>
      </c>
      <c r="K3973" s="5" t="n">
        <v>57</v>
      </c>
    </row>
    <row r="3974">
      <c r="A3974" s="2" t="n">
        <v>46262.95833333334</v>
      </c>
      <c r="B3974">
        <f>TEXT(A3974,"yyyy-mm")</f>
        <v/>
      </c>
      <c r="C3974" s="3">
        <f>HOUR(A3974)</f>
        <v/>
      </c>
      <c r="D3974" s="4" t="n">
        <v>23.45221491076389</v>
      </c>
      <c r="E3974" s="4" t="n"/>
      <c r="F3974" s="4" t="n">
        <v>28.87549735148612</v>
      </c>
      <c r="G3974" s="4" t="n">
        <v>17</v>
      </c>
      <c r="H3974" s="5" t="n">
        <v>39.93921839253611</v>
      </c>
      <c r="I3974" s="5" t="n"/>
      <c r="J3974" s="5" t="n">
        <v>40.80567837198333</v>
      </c>
      <c r="K3974" s="5" t="n">
        <v>58</v>
      </c>
    </row>
    <row r="3975">
      <c r="A3975" s="2" t="n">
        <v>46263</v>
      </c>
      <c r="B3975">
        <f>TEXT(A3975,"yyyy-mm")</f>
        <v/>
      </c>
      <c r="C3975" s="3">
        <f>HOUR(A3975)</f>
        <v/>
      </c>
      <c r="D3975" s="4" t="n">
        <v>23.3363528168</v>
      </c>
      <c r="E3975" s="4" t="n"/>
      <c r="F3975" s="4" t="n">
        <v>28.82685128273889</v>
      </c>
      <c r="G3975" s="4" t="n">
        <v>16.3</v>
      </c>
      <c r="H3975" s="5" t="n">
        <v>40.10577503127778</v>
      </c>
      <c r="I3975" s="5" t="n"/>
      <c r="J3975" s="5" t="n">
        <v>40.71191275845</v>
      </c>
      <c r="K3975" s="5" t="n">
        <v>60</v>
      </c>
    </row>
    <row r="3976">
      <c r="A3976" s="2" t="n">
        <v>46263.04166666666</v>
      </c>
      <c r="B3976">
        <f>TEXT(A3976,"yyyy-mm")</f>
        <v/>
      </c>
      <c r="C3976" s="3">
        <f>HOUR(A3976)</f>
        <v/>
      </c>
      <c r="D3976" s="4" t="n">
        <v>23.11853569428611</v>
      </c>
      <c r="E3976" s="4" t="n"/>
      <c r="F3976" s="4" t="n">
        <v>28.78496388087778</v>
      </c>
      <c r="G3976" s="4" t="n">
        <v>15.8</v>
      </c>
      <c r="H3976" s="5" t="n">
        <v>40.58557976483611</v>
      </c>
      <c r="I3976" s="5" t="n"/>
      <c r="J3976" s="5" t="n">
        <v>40.71931028515</v>
      </c>
      <c r="K3976" s="5" t="n">
        <v>62</v>
      </c>
    </row>
    <row r="3977">
      <c r="A3977" s="2" t="n">
        <v>46263.08333333334</v>
      </c>
      <c r="B3977">
        <f>TEXT(A3977,"yyyy-mm")</f>
        <v/>
      </c>
      <c r="C3977" s="3">
        <f>HOUR(A3977)</f>
        <v/>
      </c>
      <c r="D3977" s="4" t="n">
        <v>22.07143360173056</v>
      </c>
      <c r="E3977" s="4" t="n"/>
      <c r="F3977" s="4" t="n">
        <v>28.71532653506667</v>
      </c>
      <c r="G3977" s="4" t="n">
        <v>15.3</v>
      </c>
      <c r="H3977" s="5" t="n">
        <v>42.41394513436112</v>
      </c>
      <c r="I3977" s="5" t="n"/>
      <c r="J3977" s="5" t="n">
        <v>40.40232401961111</v>
      </c>
      <c r="K3977" s="5" t="n">
        <v>65</v>
      </c>
    </row>
    <row r="3978">
      <c r="A3978" s="2" t="n">
        <v>46263.125</v>
      </c>
      <c r="B3978">
        <f>TEXT(A3978,"yyyy-mm")</f>
        <v/>
      </c>
      <c r="C3978" s="3">
        <f>HOUR(A3978)</f>
        <v/>
      </c>
      <c r="D3978" s="4" t="n">
        <v>21.67263580243611</v>
      </c>
      <c r="E3978" s="4" t="n"/>
      <c r="F3978" s="4" t="n">
        <v>28.69897220335833</v>
      </c>
      <c r="G3978" s="4" t="n">
        <v>14.6</v>
      </c>
      <c r="H3978" s="5" t="n">
        <v>43.17194299888612</v>
      </c>
      <c r="I3978" s="5" t="n"/>
      <c r="J3978" s="5" t="n">
        <v>40.36834161812778</v>
      </c>
      <c r="K3978" s="5" t="n">
        <v>67</v>
      </c>
    </row>
    <row r="3979">
      <c r="A3979" s="2" t="n">
        <v>46263.16666666666</v>
      </c>
      <c r="B3979">
        <f>TEXT(A3979,"yyyy-mm")</f>
        <v/>
      </c>
      <c r="C3979" s="3">
        <f>HOUR(A3979)</f>
        <v/>
      </c>
      <c r="D3979" s="4" t="n">
        <v>21.51652458520556</v>
      </c>
      <c r="E3979" s="4" t="n"/>
      <c r="F3979" s="4" t="n">
        <v>28.68141071090833</v>
      </c>
      <c r="G3979" s="4" t="n">
        <v>14.3</v>
      </c>
      <c r="H3979" s="5" t="n">
        <v>43.54954111380834</v>
      </c>
      <c r="I3979" s="5" t="n"/>
      <c r="J3979" s="5" t="n">
        <v>40.31973947236389</v>
      </c>
      <c r="K3979" s="5" t="n">
        <v>70</v>
      </c>
    </row>
    <row r="3980">
      <c r="A3980" s="2" t="n">
        <v>46263.20833333334</v>
      </c>
      <c r="B3980">
        <f>TEXT(A3980,"yyyy-mm")</f>
        <v/>
      </c>
      <c r="C3980" s="3">
        <f>HOUR(A3980)</f>
        <v/>
      </c>
      <c r="D3980" s="4" t="n">
        <v>21.40787163715278</v>
      </c>
      <c r="E3980" s="4" t="n"/>
      <c r="F3980" s="4" t="n">
        <v>28.64849852818889</v>
      </c>
      <c r="G3980" s="4" t="n">
        <v>14</v>
      </c>
      <c r="H3980" s="5" t="n">
        <v>43.68866984003889</v>
      </c>
      <c r="I3980" s="5" t="n"/>
      <c r="J3980" s="5" t="n">
        <v>40.25560330228889</v>
      </c>
      <c r="K3980" s="5" t="n">
        <v>71</v>
      </c>
    </row>
    <row r="3981">
      <c r="A3981" s="2" t="n">
        <v>46263.25</v>
      </c>
      <c r="B3981">
        <f>TEXT(A3981,"yyyy-mm")</f>
        <v/>
      </c>
      <c r="C3981" s="3">
        <f>HOUR(A3981)</f>
        <v/>
      </c>
      <c r="D3981" s="4" t="n">
        <v>21.59976375424167</v>
      </c>
      <c r="E3981" s="4" t="n"/>
      <c r="F3981" s="4" t="n">
        <v>28.64210579729444</v>
      </c>
      <c r="G3981" s="4" t="n">
        <v>13.7</v>
      </c>
      <c r="H3981" s="5" t="n">
        <v>42.85382533777778</v>
      </c>
      <c r="I3981" s="5" t="n"/>
      <c r="J3981" s="5" t="n">
        <v>40.15038118180556</v>
      </c>
      <c r="K3981" s="5" t="n">
        <v>71</v>
      </c>
    </row>
    <row r="3982">
      <c r="A3982" s="2" t="n">
        <v>46263.29166666666</v>
      </c>
      <c r="B3982">
        <f>TEXT(A3982,"yyyy-mm")</f>
        <v/>
      </c>
      <c r="C3982" s="3">
        <f>HOUR(A3982)</f>
        <v/>
      </c>
      <c r="D3982" s="4" t="n">
        <v>22.93303233428056</v>
      </c>
      <c r="E3982" s="4" t="n"/>
      <c r="F3982" s="4" t="n">
        <v>28.62986428257222</v>
      </c>
      <c r="G3982" s="4" t="n">
        <v>14.5</v>
      </c>
      <c r="H3982" s="5" t="n">
        <v>40.16705724195833</v>
      </c>
      <c r="I3982" s="5" t="n"/>
      <c r="J3982" s="5" t="n">
        <v>40.099125549675</v>
      </c>
      <c r="K3982" s="5" t="n">
        <v>69</v>
      </c>
    </row>
    <row r="3983">
      <c r="A3983" s="2" t="n">
        <v>46263.33333333334</v>
      </c>
      <c r="B3983">
        <f>TEXT(A3983,"yyyy-mm")</f>
        <v/>
      </c>
      <c r="C3983" s="3">
        <f>HOUR(A3983)</f>
        <v/>
      </c>
      <c r="D3983" s="4" t="n">
        <v>24.13325510712222</v>
      </c>
      <c r="E3983" s="4" t="n"/>
      <c r="F3983" s="4" t="n">
        <v>28.66084164623334</v>
      </c>
      <c r="G3983" s="4" t="n">
        <v>16.1</v>
      </c>
      <c r="H3983" s="5" t="n">
        <v>38.32152624496389</v>
      </c>
      <c r="I3983" s="5" t="n"/>
      <c r="J3983" s="5" t="n">
        <v>40.21500706255278</v>
      </c>
      <c r="K3983" s="5" t="n">
        <v>63</v>
      </c>
    </row>
    <row r="3984">
      <c r="A3984" s="2" t="n">
        <v>46263.375</v>
      </c>
      <c r="B3984">
        <f>TEXT(A3984,"yyyy-mm")</f>
        <v/>
      </c>
      <c r="C3984" s="3">
        <f>HOUR(A3984)</f>
        <v/>
      </c>
      <c r="D3984" s="4" t="n">
        <v>25.06983180481389</v>
      </c>
      <c r="E3984" s="4" t="n"/>
      <c r="F3984" s="4" t="n">
        <v>28.7306801079</v>
      </c>
      <c r="G3984" s="4" t="n">
        <v>18.7</v>
      </c>
      <c r="H3984" s="5" t="n">
        <v>37.34890330368889</v>
      </c>
      <c r="I3984" s="5" t="n"/>
      <c r="J3984" s="5" t="n">
        <v>40.37713817888056</v>
      </c>
      <c r="K3984" s="5" t="n">
        <v>55</v>
      </c>
    </row>
    <row r="3985">
      <c r="A3985" s="2" t="n">
        <v>46263.41666666666</v>
      </c>
      <c r="B3985">
        <f>TEXT(A3985,"yyyy-mm")</f>
        <v/>
      </c>
      <c r="C3985" s="3">
        <f>HOUR(A3985)</f>
        <v/>
      </c>
      <c r="D3985" s="4" t="n">
        <v>25.58369996521389</v>
      </c>
      <c r="E3985" s="4" t="n"/>
      <c r="F3985" s="4" t="n">
        <v>28.79909155600278</v>
      </c>
      <c r="G3985" s="4" t="n">
        <v>20.9</v>
      </c>
      <c r="H3985" s="5" t="n">
        <v>36.39230947785833</v>
      </c>
      <c r="I3985" s="5" t="n"/>
      <c r="J3985" s="5" t="n">
        <v>40.58845906966945</v>
      </c>
      <c r="K3985" s="5" t="n">
        <v>49</v>
      </c>
    </row>
    <row r="3986">
      <c r="A3986" s="2" t="n">
        <v>46263.45833333334</v>
      </c>
      <c r="B3986">
        <f>TEXT(A3986,"yyyy-mm")</f>
        <v/>
      </c>
      <c r="C3986" s="3">
        <f>HOUR(A3986)</f>
        <v/>
      </c>
      <c r="D3986" s="4" t="n">
        <v>25.73515055713333</v>
      </c>
      <c r="E3986" s="4" t="n"/>
      <c r="F3986" s="4" t="n">
        <v>28.83192335388889</v>
      </c>
      <c r="G3986" s="4" t="n">
        <v>22.7</v>
      </c>
      <c r="H3986" s="5" t="n">
        <v>35.53155560208889</v>
      </c>
      <c r="I3986" s="5" t="n"/>
      <c r="J3986" s="5" t="n">
        <v>40.76366864903333</v>
      </c>
      <c r="K3986" s="5" t="n">
        <v>46</v>
      </c>
    </row>
    <row r="3987">
      <c r="A3987" s="2" t="n">
        <v>46263.5</v>
      </c>
      <c r="B3987">
        <f>TEXT(A3987,"yyyy-mm")</f>
        <v/>
      </c>
      <c r="C3987" s="3">
        <f>HOUR(A3987)</f>
        <v/>
      </c>
      <c r="D3987" s="4" t="n">
        <v>25.70062140271111</v>
      </c>
      <c r="E3987" s="4" t="n"/>
      <c r="F3987" s="4" t="n">
        <v>28.85383295038333</v>
      </c>
      <c r="G3987" s="4" t="n">
        <v>24.1</v>
      </c>
      <c r="H3987" s="5" t="n">
        <v>35.31591520740278</v>
      </c>
      <c r="I3987" s="5" t="n"/>
      <c r="J3987" s="5" t="n">
        <v>40.67706136564167</v>
      </c>
      <c r="K3987" s="5" t="n">
        <v>42</v>
      </c>
    </row>
    <row r="3988">
      <c r="A3988" s="2" t="n">
        <v>46263.54166666666</v>
      </c>
      <c r="B3988">
        <f>TEXT(A3988,"yyyy-mm")</f>
        <v/>
      </c>
      <c r="C3988" s="3">
        <f>HOUR(A3988)</f>
        <v/>
      </c>
      <c r="D3988" s="4" t="n">
        <v>25.64794459445556</v>
      </c>
      <c r="E3988" s="4" t="n"/>
      <c r="F3988" s="4" t="n">
        <v>28.85641673649167</v>
      </c>
      <c r="G3988" s="4" t="n">
        <v>24.9</v>
      </c>
      <c r="H3988" s="5" t="n">
        <v>34.63013244218333</v>
      </c>
      <c r="I3988" s="5" t="n"/>
      <c r="J3988" s="5" t="n">
        <v>40.51813858191944</v>
      </c>
      <c r="K3988" s="5" t="n">
        <v>39</v>
      </c>
    </row>
    <row r="3989">
      <c r="A3989" s="2" t="n">
        <v>46263.58333333334</v>
      </c>
      <c r="B3989">
        <f>TEXT(A3989,"yyyy-mm")</f>
        <v/>
      </c>
      <c r="C3989" s="3">
        <f>HOUR(A3989)</f>
        <v/>
      </c>
      <c r="D3989" s="4" t="n">
        <v>25.47633940836389</v>
      </c>
      <c r="E3989" s="4" t="n"/>
      <c r="F3989" s="4" t="n">
        <v>28.83607667594723</v>
      </c>
      <c r="G3989" s="4" t="n">
        <v>25.3</v>
      </c>
      <c r="H3989" s="5" t="n">
        <v>33.151245218175</v>
      </c>
      <c r="I3989" s="5" t="n"/>
      <c r="J3989" s="5" t="n">
        <v>40.10447593288056</v>
      </c>
      <c r="K3989" s="5" t="n">
        <v>38</v>
      </c>
    </row>
    <row r="3990">
      <c r="A3990" s="2" t="n">
        <v>46263.625</v>
      </c>
      <c r="B3990">
        <f>TEXT(A3990,"yyyy-mm")</f>
        <v/>
      </c>
      <c r="C3990" s="3">
        <f>HOUR(A3990)</f>
        <v/>
      </c>
      <c r="D3990" s="4" t="n">
        <v>25.41762702662222</v>
      </c>
      <c r="E3990" s="4" t="n"/>
      <c r="F3990" s="4" t="n">
        <v>28.80160746977777</v>
      </c>
      <c r="G3990" s="4" t="n">
        <v>26.4</v>
      </c>
      <c r="H3990" s="5" t="n">
        <v>31.26069333335833</v>
      </c>
      <c r="I3990" s="5" t="n"/>
      <c r="J3990" s="5" t="n">
        <v>39.60902217532222</v>
      </c>
      <c r="K3990" s="5" t="n">
        <v>35</v>
      </c>
    </row>
    <row r="3991">
      <c r="A3991" s="2" t="n">
        <v>46263.66666666666</v>
      </c>
      <c r="B3991">
        <f>TEXT(A3991,"yyyy-mm")</f>
        <v/>
      </c>
      <c r="C3991" s="3">
        <f>HOUR(A3991)</f>
        <v/>
      </c>
      <c r="D3991" s="4" t="n">
        <v>25.48476026814167</v>
      </c>
      <c r="E3991" s="4" t="n"/>
      <c r="F3991" s="4" t="n">
        <v>28.78616657303333</v>
      </c>
      <c r="G3991" s="4" t="n">
        <v>26.3</v>
      </c>
      <c r="H3991" s="5" t="n">
        <v>31.23472878051945</v>
      </c>
      <c r="I3991" s="5" t="n"/>
      <c r="J3991" s="5" t="n">
        <v>39.34439578205278</v>
      </c>
      <c r="K3991" s="5" t="n">
        <v>34</v>
      </c>
    </row>
    <row r="3992">
      <c r="A3992" s="2" t="n">
        <v>46263.70833333334</v>
      </c>
      <c r="B3992">
        <f>TEXT(A3992,"yyyy-mm")</f>
        <v/>
      </c>
      <c r="C3992" s="3">
        <f>HOUR(A3992)</f>
        <v/>
      </c>
      <c r="D3992" s="4" t="n">
        <v>25.60003034815556</v>
      </c>
      <c r="E3992" s="4" t="n"/>
      <c r="F3992" s="4" t="n">
        <v>28.79430935401667</v>
      </c>
      <c r="G3992" s="4" t="n">
        <v>25.9</v>
      </c>
      <c r="H3992" s="5" t="n">
        <v>31.31207778781667</v>
      </c>
      <c r="I3992" s="5" t="n"/>
      <c r="J3992" s="5" t="n">
        <v>39.21267994134167</v>
      </c>
      <c r="K3992" s="5" t="n">
        <v>34</v>
      </c>
    </row>
    <row r="3993">
      <c r="A3993" s="2" t="n">
        <v>46263.75</v>
      </c>
      <c r="B3993">
        <f>TEXT(A3993,"yyyy-mm")</f>
        <v/>
      </c>
      <c r="C3993" s="3">
        <f>HOUR(A3993)</f>
        <v/>
      </c>
      <c r="D3993" s="4" t="n">
        <v>25.64761832776945</v>
      </c>
      <c r="E3993" s="4" t="n"/>
      <c r="F3993" s="4" t="n">
        <v>28.80283385237778</v>
      </c>
      <c r="G3993" s="4" t="n">
        <v>25.2</v>
      </c>
      <c r="H3993" s="5" t="n">
        <v>32.07941049843055</v>
      </c>
      <c r="I3993" s="5" t="n"/>
      <c r="J3993" s="5" t="n">
        <v>39.14861449784167</v>
      </c>
      <c r="K3993" s="5" t="n">
        <v>36</v>
      </c>
    </row>
    <row r="3994">
      <c r="A3994" s="2" t="n">
        <v>46263.79166666666</v>
      </c>
      <c r="B3994">
        <f>TEXT(A3994,"yyyy-mm")</f>
        <v/>
      </c>
      <c r="C3994" s="3">
        <f>HOUR(A3994)</f>
        <v/>
      </c>
      <c r="D3994" s="4" t="n">
        <v>25.42812768223333</v>
      </c>
      <c r="E3994" s="4" t="n"/>
      <c r="F3994" s="4" t="n">
        <v>28.81955774023889</v>
      </c>
      <c r="G3994" s="4" t="n">
        <v>24</v>
      </c>
      <c r="H3994" s="5" t="n">
        <v>32.80843702165</v>
      </c>
      <c r="I3994" s="5" t="n"/>
      <c r="J3994" s="5" t="n">
        <v>39.13535389723611</v>
      </c>
      <c r="K3994" s="5" t="n">
        <v>40</v>
      </c>
    </row>
    <row r="3995">
      <c r="A3995" s="2" t="n">
        <v>46263.83333333334</v>
      </c>
      <c r="B3995">
        <f>TEXT(A3995,"yyyy-mm")</f>
        <v/>
      </c>
      <c r="C3995" s="3">
        <f>HOUR(A3995)</f>
        <v/>
      </c>
      <c r="D3995" s="4" t="n">
        <v>25.24675412480278</v>
      </c>
      <c r="E3995" s="4" t="n"/>
      <c r="F3995" s="4" t="n">
        <v>28.81849856154167</v>
      </c>
      <c r="G3995" s="4" t="n">
        <v>22.6</v>
      </c>
      <c r="H3995" s="5" t="n">
        <v>33.64271127648611</v>
      </c>
      <c r="I3995" s="5" t="n"/>
      <c r="J3995" s="5" t="n">
        <v>39.21394450699167</v>
      </c>
      <c r="K3995" s="5" t="n">
        <v>46</v>
      </c>
    </row>
    <row r="3996">
      <c r="A3996" s="2" t="n">
        <v>46263.875</v>
      </c>
      <c r="B3996">
        <f>TEXT(A3996,"yyyy-mm")</f>
        <v/>
      </c>
      <c r="C3996" s="3">
        <f>HOUR(A3996)</f>
        <v/>
      </c>
      <c r="D3996" s="4" t="n">
        <v>24.75336921904722</v>
      </c>
      <c r="E3996" s="4" t="n"/>
      <c r="F3996" s="4" t="n">
        <v>28.782823356175</v>
      </c>
      <c r="G3996" s="4" t="n">
        <v>21.5</v>
      </c>
      <c r="H3996" s="5" t="n">
        <v>34.13224716136111</v>
      </c>
      <c r="I3996" s="5" t="n"/>
      <c r="J3996" s="5" t="n">
        <v>38.93142811489445</v>
      </c>
      <c r="K3996" s="5" t="n">
        <v>49</v>
      </c>
    </row>
    <row r="3997">
      <c r="A3997" s="2" t="n">
        <v>46263.91666666666</v>
      </c>
      <c r="B3997">
        <f>TEXT(A3997,"yyyy-mm")</f>
        <v/>
      </c>
      <c r="C3997" s="3">
        <f>HOUR(A3997)</f>
        <v/>
      </c>
      <c r="D3997" s="4" t="n">
        <v>24.29573891550278</v>
      </c>
      <c r="E3997" s="4" t="n"/>
      <c r="F3997" s="4" t="n">
        <v>28.71160051495</v>
      </c>
      <c r="G3997" s="4" t="n">
        <v>20.5</v>
      </c>
      <c r="H3997" s="5" t="n">
        <v>35.24633649894167</v>
      </c>
      <c r="I3997" s="5" t="n"/>
      <c r="J3997" s="5" t="n">
        <v>38.93895432385278</v>
      </c>
      <c r="K3997" s="5" t="n">
        <v>51</v>
      </c>
    </row>
    <row r="3998">
      <c r="A3998" s="2" t="n">
        <v>46263.95833333334</v>
      </c>
      <c r="B3998">
        <f>TEXT(A3998,"yyyy-mm")</f>
        <v/>
      </c>
      <c r="C3998" s="3">
        <f>HOUR(A3998)</f>
        <v/>
      </c>
      <c r="D3998" s="4" t="n">
        <v>23.96331642259722</v>
      </c>
      <c r="E3998" s="4" t="n"/>
      <c r="F3998" s="4" t="n">
        <v>28.67104970041111</v>
      </c>
      <c r="G3998" s="4" t="n">
        <v>19.6</v>
      </c>
      <c r="H3998" s="5" t="n">
        <v>36.04103613544722</v>
      </c>
      <c r="I3998" s="5" t="n"/>
      <c r="J3998" s="5" t="n">
        <v>38.99699999335278</v>
      </c>
      <c r="K3998" s="5" t="n">
        <v>54</v>
      </c>
    </row>
    <row r="3999">
      <c r="A3999" s="2" t="n">
        <v>46264</v>
      </c>
      <c r="B3999">
        <f>TEXT(A3999,"yyyy-mm")</f>
        <v/>
      </c>
      <c r="C3999" s="3">
        <f>HOUR(A3999)</f>
        <v/>
      </c>
      <c r="D3999" s="4" t="n">
        <v>23.32696852736389</v>
      </c>
      <c r="E3999" s="4" t="n"/>
      <c r="F3999" s="4" t="n">
        <v>28.63727214956112</v>
      </c>
      <c r="G3999" s="4" t="n">
        <v>18.7</v>
      </c>
      <c r="H3999" s="5" t="n">
        <v>36.78697752344723</v>
      </c>
      <c r="I3999" s="5" t="n"/>
      <c r="J3999" s="5" t="n">
        <v>38.89365278253055</v>
      </c>
      <c r="K3999" s="5" t="n">
        <v>58</v>
      </c>
    </row>
    <row r="4000">
      <c r="A4000" s="2" t="n">
        <v>46264.04166666666</v>
      </c>
      <c r="B4000">
        <f>TEXT(A4000,"yyyy-mm")</f>
        <v/>
      </c>
      <c r="C4000" s="3">
        <f>HOUR(A4000)</f>
        <v/>
      </c>
      <c r="D4000" s="4" t="n">
        <v>23.02851039537222</v>
      </c>
      <c r="E4000" s="4" t="n"/>
      <c r="F4000" s="4" t="n">
        <v>28.59687279133889</v>
      </c>
      <c r="G4000" s="4" t="n">
        <v>17.9</v>
      </c>
      <c r="H4000" s="5" t="n">
        <v>37.01177500151667</v>
      </c>
      <c r="I4000" s="5" t="n"/>
      <c r="J4000" s="5" t="n">
        <v>38.70076928032778</v>
      </c>
      <c r="K4000" s="5" t="n">
        <v>61</v>
      </c>
    </row>
    <row r="4001">
      <c r="A4001" s="2" t="n">
        <v>46264.08333333334</v>
      </c>
      <c r="B4001">
        <f>TEXT(A4001,"yyyy-mm")</f>
        <v/>
      </c>
      <c r="C4001" s="3">
        <f>HOUR(A4001)</f>
        <v/>
      </c>
      <c r="D4001" s="4" t="n">
        <v>22.47943123054166</v>
      </c>
      <c r="E4001" s="4" t="n"/>
      <c r="F4001" s="4" t="n">
        <v>28.49781986574445</v>
      </c>
      <c r="G4001" s="4" t="n">
        <v>17</v>
      </c>
      <c r="H4001" s="5" t="n">
        <v>37.90698299623056</v>
      </c>
      <c r="I4001" s="5" t="n"/>
      <c r="J4001" s="5" t="n">
        <v>38.54395226623889</v>
      </c>
      <c r="K4001" s="5" t="n">
        <v>62</v>
      </c>
    </row>
    <row r="4002">
      <c r="A4002" s="2" t="n">
        <v>46264.125</v>
      </c>
      <c r="B4002">
        <f>TEXT(A4002,"yyyy-mm")</f>
        <v/>
      </c>
      <c r="C4002" s="3">
        <f>HOUR(A4002)</f>
        <v/>
      </c>
      <c r="D4002" s="4" t="n">
        <v>21.89222490988333</v>
      </c>
      <c r="E4002" s="4" t="n"/>
      <c r="F4002" s="4" t="n">
        <v>28.42576321253611</v>
      </c>
      <c r="G4002" s="4" t="n">
        <v>16</v>
      </c>
      <c r="H4002" s="5" t="n">
        <v>38.85961260831389</v>
      </c>
      <c r="I4002" s="5" t="n"/>
      <c r="J4002" s="5" t="n">
        <v>38.38795043498055</v>
      </c>
      <c r="K4002" s="5" t="n">
        <v>64</v>
      </c>
    </row>
    <row r="4003">
      <c r="A4003" s="2" t="n">
        <v>46264.16666666666</v>
      </c>
      <c r="B4003">
        <f>TEXT(A4003,"yyyy-mm")</f>
        <v/>
      </c>
      <c r="C4003" s="3">
        <f>HOUR(A4003)</f>
        <v/>
      </c>
      <c r="D4003" s="4" t="n">
        <v>21.14665960932222</v>
      </c>
      <c r="E4003" s="4" t="n"/>
      <c r="F4003" s="4" t="n">
        <v>28.42258878780278</v>
      </c>
      <c r="G4003" s="4" t="n">
        <v>15.3</v>
      </c>
      <c r="H4003" s="5" t="n">
        <v>40.14824889694722</v>
      </c>
      <c r="I4003" s="5" t="n"/>
      <c r="J4003" s="5" t="n">
        <v>38.26229291128056</v>
      </c>
      <c r="K4003" s="5" t="n">
        <v>65</v>
      </c>
    </row>
    <row r="4004">
      <c r="A4004" s="2" t="n">
        <v>46264.20833333334</v>
      </c>
      <c r="B4004">
        <f>TEXT(A4004,"yyyy-mm")</f>
        <v/>
      </c>
      <c r="C4004" s="3">
        <f>HOUR(A4004)</f>
        <v/>
      </c>
      <c r="D4004" s="4" t="n">
        <v>21.468047606425</v>
      </c>
      <c r="E4004" s="4" t="n"/>
      <c r="F4004" s="4" t="n">
        <v>28.36631951710278</v>
      </c>
      <c r="G4004" s="4" t="n">
        <v>14.8</v>
      </c>
      <c r="H4004" s="5" t="n">
        <v>39.30966230633889</v>
      </c>
      <c r="I4004" s="5" t="n"/>
      <c r="J4004" s="5" t="n">
        <v>38.17167083605833</v>
      </c>
      <c r="K4004" s="5" t="n">
        <v>67</v>
      </c>
    </row>
    <row r="4005">
      <c r="A4005" s="2" t="n">
        <v>46264.25</v>
      </c>
      <c r="B4005">
        <f>TEXT(A4005,"yyyy-mm")</f>
        <v/>
      </c>
      <c r="C4005" s="3">
        <f>HOUR(A4005)</f>
        <v/>
      </c>
      <c r="D4005" s="4" t="n">
        <v>21.80645611263333</v>
      </c>
      <c r="E4005" s="4" t="n"/>
      <c r="F4005" s="4" t="n">
        <v>28.31355555535556</v>
      </c>
      <c r="G4005" s="4" t="n">
        <v>14.3</v>
      </c>
      <c r="H4005" s="5" t="n">
        <v>38.45806232988056</v>
      </c>
      <c r="I4005" s="5" t="n"/>
      <c r="J4005" s="5" t="n">
        <v>38.10835733255278</v>
      </c>
      <c r="K4005" s="5" t="n">
        <v>67</v>
      </c>
    </row>
    <row r="4006">
      <c r="A4006" s="2" t="n">
        <v>46264.29166666666</v>
      </c>
      <c r="B4006">
        <f>TEXT(A4006,"yyyy-mm")</f>
        <v/>
      </c>
      <c r="C4006" s="3">
        <f>HOUR(A4006)</f>
        <v/>
      </c>
      <c r="D4006" s="4" t="n">
        <v>23.09673084023056</v>
      </c>
      <c r="E4006" s="4" t="n"/>
      <c r="F4006" s="4" t="n">
        <v>28.35664760910833</v>
      </c>
      <c r="G4006" s="4" t="n">
        <v>15</v>
      </c>
      <c r="H4006" s="5" t="n">
        <v>36.18989337608333</v>
      </c>
      <c r="I4006" s="5" t="n"/>
      <c r="J4006" s="5" t="n">
        <v>38.35110447214444</v>
      </c>
      <c r="K4006" s="5" t="n">
        <v>64</v>
      </c>
    </row>
    <row r="4007">
      <c r="A4007" s="2" t="n">
        <v>46264.33333333334</v>
      </c>
      <c r="B4007">
        <f>TEXT(A4007,"yyyy-mm")</f>
        <v/>
      </c>
      <c r="C4007" s="3">
        <f>HOUR(A4007)</f>
        <v/>
      </c>
      <c r="D4007" s="4" t="n">
        <v>24.46799809686667</v>
      </c>
      <c r="E4007" s="4" t="n"/>
      <c r="F4007" s="4" t="n">
        <v>28.43190277216945</v>
      </c>
      <c r="G4007" s="4" t="n">
        <v>16.8</v>
      </c>
      <c r="H4007" s="5" t="n">
        <v>34.93852711891389</v>
      </c>
      <c r="I4007" s="5" t="n"/>
      <c r="J4007" s="5" t="n">
        <v>38.65781645687501</v>
      </c>
      <c r="K4007" s="5" t="n">
        <v>57</v>
      </c>
    </row>
    <row r="4008">
      <c r="A4008" s="2" t="n">
        <v>46264.375</v>
      </c>
      <c r="B4008">
        <f>TEXT(A4008,"yyyy-mm")</f>
        <v/>
      </c>
      <c r="C4008" s="3">
        <f>HOUR(A4008)</f>
        <v/>
      </c>
      <c r="D4008" s="4" t="n">
        <v>25.31450949742778</v>
      </c>
      <c r="E4008" s="4" t="n"/>
      <c r="F4008" s="4" t="n">
        <v>28.53107439960833</v>
      </c>
      <c r="G4008" s="4" t="n">
        <v>19.7</v>
      </c>
      <c r="H4008" s="5" t="n">
        <v>34.49865363920278</v>
      </c>
      <c r="I4008" s="5" t="n"/>
      <c r="J4008" s="5" t="n">
        <v>38.85181145123333</v>
      </c>
      <c r="K4008" s="5" t="n">
        <v>49</v>
      </c>
    </row>
    <row r="4009">
      <c r="A4009" s="2" t="n">
        <v>46264.41666666666</v>
      </c>
      <c r="B4009">
        <f>TEXT(A4009,"yyyy-mm")</f>
        <v/>
      </c>
      <c r="C4009" s="3">
        <f>HOUR(A4009)</f>
        <v/>
      </c>
      <c r="D4009" s="4" t="n">
        <v>25.66991783369722</v>
      </c>
      <c r="E4009" s="4" t="n"/>
      <c r="F4009" s="4" t="n">
        <v>28.61364944821666</v>
      </c>
      <c r="G4009" s="4" t="n">
        <v>22</v>
      </c>
      <c r="H4009" s="5" t="n">
        <v>34.09509801225278</v>
      </c>
      <c r="I4009" s="5" t="n"/>
      <c r="J4009" s="5" t="n">
        <v>39.01229643966112</v>
      </c>
      <c r="K4009" s="5" t="n">
        <v>43</v>
      </c>
    </row>
    <row r="4010">
      <c r="A4010" s="2" t="n">
        <v>46264.45833333334</v>
      </c>
      <c r="B4010">
        <f>TEXT(A4010,"yyyy-mm")</f>
        <v/>
      </c>
      <c r="C4010" s="3">
        <f>HOUR(A4010)</f>
        <v/>
      </c>
      <c r="D4010" s="4" t="n">
        <v>25.88390149163889</v>
      </c>
      <c r="E4010" s="4" t="n"/>
      <c r="F4010" s="4" t="n">
        <v>28.67739804252778</v>
      </c>
      <c r="G4010" s="4" t="n">
        <v>24</v>
      </c>
      <c r="H4010" s="5" t="n">
        <v>33.20790783225</v>
      </c>
      <c r="I4010" s="5" t="n"/>
      <c r="J4010" s="5" t="n">
        <v>39.09482194365</v>
      </c>
      <c r="K4010" s="5" t="n">
        <v>38</v>
      </c>
    </row>
    <row r="4011">
      <c r="A4011" s="2" t="n">
        <v>46264.5</v>
      </c>
      <c r="B4011">
        <f>TEXT(A4011,"yyyy-mm")</f>
        <v/>
      </c>
      <c r="C4011" s="3">
        <f>HOUR(A4011)</f>
        <v/>
      </c>
      <c r="D4011" s="4" t="n">
        <v>26.02786458466944</v>
      </c>
      <c r="E4011" s="4" t="n"/>
      <c r="F4011" s="4" t="n">
        <v>28.71700362574167</v>
      </c>
      <c r="G4011" s="4" t="n">
        <v>25.7</v>
      </c>
      <c r="H4011" s="5" t="n">
        <v>33.90614219832222</v>
      </c>
      <c r="I4011" s="5" t="n"/>
      <c r="J4011" s="5" t="n">
        <v>39.35698869818055</v>
      </c>
      <c r="K4011" s="5" t="n">
        <v>35</v>
      </c>
    </row>
    <row r="4012">
      <c r="A4012" s="2" t="n">
        <v>46264.54166666666</v>
      </c>
      <c r="B4012">
        <f>TEXT(A4012,"yyyy-mm")</f>
        <v/>
      </c>
      <c r="C4012" s="3">
        <f>HOUR(A4012)</f>
        <v/>
      </c>
      <c r="D4012" s="4" t="n">
        <v>26.03578317008889</v>
      </c>
      <c r="E4012" s="4" t="n"/>
      <c r="F4012" s="4" t="n">
        <v>28.72344638783333</v>
      </c>
      <c r="G4012" s="4" t="n">
        <v>26.7</v>
      </c>
      <c r="H4012" s="5" t="n">
        <v>32.93817894095</v>
      </c>
      <c r="I4012" s="5" t="n"/>
      <c r="J4012" s="5" t="n">
        <v>39.50395285318056</v>
      </c>
      <c r="K4012" s="5" t="n">
        <v>31</v>
      </c>
    </row>
    <row r="4013">
      <c r="A4013" s="2" t="n">
        <v>46264.58333333334</v>
      </c>
      <c r="B4013">
        <f>TEXT(A4013,"yyyy-mm")</f>
        <v/>
      </c>
      <c r="C4013" s="3">
        <f>HOUR(A4013)</f>
        <v/>
      </c>
      <c r="D4013" s="4" t="n">
        <v>26.02399750545555</v>
      </c>
      <c r="E4013" s="4" t="n"/>
      <c r="F4013" s="4" t="n">
        <v>28.73086451409445</v>
      </c>
      <c r="G4013" s="4" t="n">
        <v>27.1</v>
      </c>
      <c r="H4013" s="5" t="n">
        <v>31.52222374994722</v>
      </c>
      <c r="I4013" s="5" t="n"/>
      <c r="J4013" s="5" t="n">
        <v>39.44985753119167</v>
      </c>
      <c r="K4013" s="5" t="n">
        <v>29</v>
      </c>
    </row>
    <row r="4014">
      <c r="A4014" s="2" t="n">
        <v>46264.625</v>
      </c>
      <c r="B4014">
        <f>TEXT(A4014,"yyyy-mm")</f>
        <v/>
      </c>
      <c r="C4014" s="3">
        <f>HOUR(A4014)</f>
        <v/>
      </c>
      <c r="D4014" s="4" t="n">
        <v>26.02858854813889</v>
      </c>
      <c r="E4014" s="4" t="n"/>
      <c r="F4014" s="4" t="n">
        <v>28.76636980531944</v>
      </c>
      <c r="G4014" s="4" t="n">
        <v>28.2</v>
      </c>
      <c r="H4014" s="5" t="n">
        <v>32.12025272158056</v>
      </c>
      <c r="I4014" s="5" t="n"/>
      <c r="J4014" s="5" t="n">
        <v>39.36203815345001</v>
      </c>
      <c r="K4014" s="5" t="n">
        <v>27</v>
      </c>
    </row>
    <row r="4015">
      <c r="A4015" s="2" t="n">
        <v>46264.66666666666</v>
      </c>
      <c r="B4015">
        <f>TEXT(A4015,"yyyy-mm")</f>
        <v/>
      </c>
      <c r="C4015" s="3">
        <f>HOUR(A4015)</f>
        <v/>
      </c>
      <c r="D4015" s="4" t="n">
        <v>26.255128559575</v>
      </c>
      <c r="E4015" s="4" t="n"/>
      <c r="F4015" s="4" t="n">
        <v>28.78467272669394</v>
      </c>
      <c r="G4015" s="4" t="n">
        <v>27.8</v>
      </c>
      <c r="H4015" s="5" t="n">
        <v>31.61216305094722</v>
      </c>
      <c r="I4015" s="5" t="n"/>
      <c r="J4015" s="5" t="n">
        <v>39.3608180684697</v>
      </c>
      <c r="K4015" s="5" t="n">
        <v>27</v>
      </c>
    </row>
    <row r="4016">
      <c r="A4016" s="2" t="n">
        <v>46264.70833333334</v>
      </c>
      <c r="B4016">
        <f>TEXT(A4016,"yyyy-mm")</f>
        <v/>
      </c>
      <c r="C4016" s="3">
        <f>HOUR(A4016)</f>
        <v/>
      </c>
      <c r="D4016" s="4" t="n">
        <v>26.46596388357222</v>
      </c>
      <c r="E4016" s="4" t="n"/>
      <c r="F4016" s="4" t="n"/>
      <c r="G4016" s="4" t="n">
        <v>27.4</v>
      </c>
      <c r="H4016" s="5" t="n">
        <v>32.12076129393333</v>
      </c>
      <c r="I4016" s="5" t="n"/>
      <c r="J4016" s="5" t="n"/>
      <c r="K4016" s="5" t="n">
        <v>28</v>
      </c>
    </row>
    <row r="4017">
      <c r="A4017" s="2" t="n">
        <v>46264.75</v>
      </c>
      <c r="B4017">
        <f>TEXT(A4017,"yyyy-mm")</f>
        <v/>
      </c>
      <c r="C4017" s="3">
        <f>HOUR(A4017)</f>
        <v/>
      </c>
      <c r="D4017" s="4" t="n">
        <v>26.58282527508611</v>
      </c>
      <c r="E4017" s="4" t="n"/>
      <c r="F4017" s="4" t="n"/>
      <c r="G4017" s="4" t="n">
        <v>26.7</v>
      </c>
      <c r="H4017" s="5" t="n">
        <v>31.36274224798612</v>
      </c>
      <c r="I4017" s="5" t="n"/>
      <c r="J4017" s="5" t="n"/>
      <c r="K4017" s="5" t="n">
        <v>30</v>
      </c>
    </row>
    <row r="4018">
      <c r="A4018" s="2" t="n">
        <v>46264.79166666666</v>
      </c>
      <c r="B4018">
        <f>TEXT(A4018,"yyyy-mm")</f>
        <v/>
      </c>
      <c r="C4018" s="3">
        <f>HOUR(A4018)</f>
        <v/>
      </c>
      <c r="D4018" s="4" t="n">
        <v>26.50982106555556</v>
      </c>
      <c r="E4018" s="4" t="n"/>
      <c r="F4018" s="4" t="n">
        <v>28.51872875545615</v>
      </c>
      <c r="G4018" s="4" t="n">
        <v>25</v>
      </c>
      <c r="H4018" s="5" t="n">
        <v>32.23201741022222</v>
      </c>
      <c r="I4018" s="5" t="n"/>
      <c r="J4018" s="5" t="n">
        <v>39.72745252264175</v>
      </c>
      <c r="K4018" s="5" t="n">
        <v>36</v>
      </c>
    </row>
    <row r="4019">
      <c r="A4019" s="2" t="n">
        <v>46264.83333333334</v>
      </c>
      <c r="B4019">
        <f>TEXT(A4019,"yyyy-mm")</f>
        <v/>
      </c>
      <c r="C4019" s="3">
        <f>HOUR(A4019)</f>
        <v/>
      </c>
      <c r="D4019" s="4" t="n">
        <v>26.294920970275</v>
      </c>
      <c r="E4019" s="4" t="n"/>
      <c r="F4019" s="4" t="n">
        <v>28.96295961188611</v>
      </c>
      <c r="G4019" s="4" t="n">
        <v>23.5</v>
      </c>
      <c r="H4019" s="5" t="n">
        <v>31.50050208548055</v>
      </c>
      <c r="I4019" s="5" t="n"/>
      <c r="J4019" s="5" t="n">
        <v>39.34963506547778</v>
      </c>
      <c r="K4019" s="5" t="n">
        <v>40</v>
      </c>
    </row>
    <row r="4020">
      <c r="A4020" s="2" t="n">
        <v>46264.875</v>
      </c>
      <c r="B4020">
        <f>TEXT(A4020,"yyyy-mm")</f>
        <v/>
      </c>
      <c r="C4020" s="3">
        <f>HOUR(A4020)</f>
        <v/>
      </c>
      <c r="D4020" s="4" t="n">
        <v>26.08478913089445</v>
      </c>
      <c r="E4020" s="4" t="n"/>
      <c r="F4020" s="4" t="n">
        <v>28.95428099551944</v>
      </c>
      <c r="G4020" s="4" t="n">
        <v>22.3</v>
      </c>
      <c r="H4020" s="5" t="n">
        <v>31.11724757494722</v>
      </c>
      <c r="I4020" s="5" t="n"/>
      <c r="J4020" s="5" t="n">
        <v>38.98174616857778</v>
      </c>
      <c r="K4020" s="5" t="n">
        <v>44</v>
      </c>
    </row>
    <row r="4021">
      <c r="A4021" s="2" t="n">
        <v>46264.91666666666</v>
      </c>
      <c r="B4021">
        <f>TEXT(A4021,"yyyy-mm")</f>
        <v/>
      </c>
      <c r="C4021" s="3">
        <f>HOUR(A4021)</f>
        <v/>
      </c>
      <c r="D4021" s="4" t="n">
        <v>25.85945437816389</v>
      </c>
      <c r="E4021" s="4" t="n"/>
      <c r="F4021" s="4" t="n">
        <v>28.854442388025</v>
      </c>
      <c r="G4021" s="4" t="n">
        <v>21</v>
      </c>
      <c r="H4021" s="5" t="n">
        <v>31.53960786409167</v>
      </c>
      <c r="I4021" s="5" t="n"/>
      <c r="J4021" s="5" t="n">
        <v>38.96277992867778</v>
      </c>
      <c r="K4021" s="5" t="n">
        <v>47</v>
      </c>
    </row>
    <row r="4022">
      <c r="A4022" s="2" t="n">
        <v>46264.95833333334</v>
      </c>
      <c r="B4022">
        <f>TEXT(A4022,"yyyy-mm")</f>
        <v/>
      </c>
      <c r="C4022" s="3">
        <f>HOUR(A4022)</f>
        <v/>
      </c>
      <c r="D4022" s="4" t="n">
        <v>25.59598594443333</v>
      </c>
      <c r="E4022" s="4" t="n"/>
      <c r="F4022" s="4" t="n">
        <v>28.99866996053889</v>
      </c>
      <c r="G4022" s="4" t="n">
        <v>20.1</v>
      </c>
      <c r="H4022" s="5" t="n">
        <v>30.69517973900556</v>
      </c>
      <c r="I4022" s="5" t="n"/>
      <c r="J4022" s="5" t="n">
        <v>38.92928218330834</v>
      </c>
      <c r="K4022" s="5" t="n">
        <v>48</v>
      </c>
    </row>
    <row r="4023">
      <c r="A4023" s="2" t="n">
        <v>46265</v>
      </c>
      <c r="B4023">
        <f>TEXT(A4023,"yyyy-mm")</f>
        <v/>
      </c>
      <c r="C4023" s="3">
        <f>HOUR(A4023)</f>
        <v/>
      </c>
      <c r="D4023" s="4" t="n">
        <v>25.40008728441667</v>
      </c>
      <c r="E4023" s="4" t="n"/>
      <c r="F4023" s="4" t="n">
        <v>29.05097956530278</v>
      </c>
      <c r="G4023" s="4" t="n">
        <v>19.2</v>
      </c>
      <c r="H4023" s="5" t="n">
        <v>30.38992707023889</v>
      </c>
      <c r="I4023" s="5" t="n"/>
      <c r="J4023" s="5" t="n">
        <v>38.88237073971112</v>
      </c>
      <c r="K4023" s="5" t="n">
        <v>49</v>
      </c>
    </row>
    <row r="4024">
      <c r="A4024" s="2" t="n">
        <v>46265.04166666666</v>
      </c>
      <c r="B4024">
        <f>TEXT(A4024,"yyyy-mm")</f>
        <v/>
      </c>
      <c r="C4024" s="3">
        <f>HOUR(A4024)</f>
        <v/>
      </c>
      <c r="D4024" s="4" t="n">
        <v>24.92251897029444</v>
      </c>
      <c r="E4024" s="4" t="n"/>
      <c r="F4024" s="4" t="n">
        <v>28.99255572000833</v>
      </c>
      <c r="G4024" s="4" t="n">
        <v>18.5</v>
      </c>
      <c r="H4024" s="5" t="n">
        <v>31.36492731618889</v>
      </c>
      <c r="I4024" s="5" t="n"/>
      <c r="J4024" s="5" t="n">
        <v>38.72848995776389</v>
      </c>
      <c r="K4024" s="5" t="n">
        <v>51</v>
      </c>
    </row>
    <row r="4025">
      <c r="A4025" s="2" t="n">
        <v>46265.08333333334</v>
      </c>
      <c r="B4025">
        <f>TEXT(A4025,"yyyy-mm")</f>
        <v/>
      </c>
      <c r="C4025" s="3">
        <f>HOUR(A4025)</f>
        <v/>
      </c>
      <c r="D4025" s="4" t="n">
        <v>24.53248359413056</v>
      </c>
      <c r="E4025" s="4" t="n"/>
      <c r="F4025" s="4" t="n">
        <v>28.91668099235</v>
      </c>
      <c r="G4025" s="4" t="n">
        <v>18.1</v>
      </c>
      <c r="H4025" s="5" t="n">
        <v>31.66551325474722</v>
      </c>
      <c r="I4025" s="5" t="n"/>
      <c r="J4025" s="5" t="n">
        <v>38.57661607071945</v>
      </c>
      <c r="K4025" s="5" t="n">
        <v>52</v>
      </c>
    </row>
    <row r="4026">
      <c r="A4026" s="2" t="n">
        <v>46265.125</v>
      </c>
      <c r="B4026">
        <f>TEXT(A4026,"yyyy-mm")</f>
        <v/>
      </c>
      <c r="C4026" s="3">
        <f>HOUR(A4026)</f>
        <v/>
      </c>
      <c r="D4026" s="4" t="n">
        <v>24.41915156758612</v>
      </c>
      <c r="E4026" s="4" t="n"/>
      <c r="F4026" s="4" t="n">
        <v>28.85360545743056</v>
      </c>
      <c r="G4026" s="4" t="n">
        <v>16.9</v>
      </c>
      <c r="H4026" s="5" t="n">
        <v>31.628799473425</v>
      </c>
      <c r="I4026" s="5" t="n"/>
      <c r="J4026" s="5" t="n">
        <v>38.48454089427222</v>
      </c>
      <c r="K4026" s="5" t="n">
        <v>56</v>
      </c>
    </row>
    <row r="4027">
      <c r="A4027" s="2" t="n">
        <v>46265.16666666666</v>
      </c>
      <c r="B4027">
        <f>TEXT(A4027,"yyyy-mm")</f>
        <v/>
      </c>
      <c r="C4027" s="3">
        <f>HOUR(A4027)</f>
        <v/>
      </c>
      <c r="D4027" s="4" t="n">
        <v>24.06563082791111</v>
      </c>
      <c r="E4027" s="4" t="n"/>
      <c r="F4027" s="4" t="n">
        <v>28.80520687401667</v>
      </c>
      <c r="G4027" s="4" t="n">
        <v>16.4</v>
      </c>
      <c r="H4027" s="5" t="n">
        <v>31.87102172256389</v>
      </c>
      <c r="I4027" s="5" t="n"/>
      <c r="J4027" s="5" t="n">
        <v>38.36822480531666</v>
      </c>
      <c r="K4027" s="5" t="n">
        <v>58</v>
      </c>
    </row>
    <row r="4028">
      <c r="A4028" s="2" t="n">
        <v>46265.20833333334</v>
      </c>
      <c r="B4028">
        <f>TEXT(A4028,"yyyy-mm")</f>
        <v/>
      </c>
      <c r="C4028" s="3">
        <f>HOUR(A4028)</f>
        <v/>
      </c>
      <c r="D4028" s="4" t="n">
        <v>23.77764668781389</v>
      </c>
      <c r="E4028" s="4" t="n"/>
      <c r="F4028" s="4" t="n">
        <v>28.76428922228889</v>
      </c>
      <c r="G4028" s="4" t="n">
        <v>15.8</v>
      </c>
      <c r="H4028" s="5" t="n">
        <v>31.871384062125</v>
      </c>
      <c r="I4028" s="5" t="n"/>
      <c r="J4028" s="5" t="n">
        <v>38.25183844224167</v>
      </c>
      <c r="K4028" s="5" t="n">
        <v>60</v>
      </c>
    </row>
    <row r="4029">
      <c r="A4029" s="2" t="n">
        <v>46265.25</v>
      </c>
      <c r="B4029">
        <f>TEXT(A4029,"yyyy-mm")</f>
        <v/>
      </c>
      <c r="C4029" s="3">
        <f>HOUR(A4029)</f>
        <v/>
      </c>
      <c r="D4029" s="4" t="n">
        <v>24.19787820376945</v>
      </c>
      <c r="E4029" s="4" t="n"/>
      <c r="F4029" s="4" t="n">
        <v>28.69542491206111</v>
      </c>
      <c r="G4029" s="4" t="n">
        <v>15.3</v>
      </c>
      <c r="H4029" s="5" t="n">
        <v>30.70950682126944</v>
      </c>
      <c r="I4029" s="5" t="n"/>
      <c r="J4029" s="5" t="n">
        <v>38.01074338132222</v>
      </c>
      <c r="K4029" s="5" t="n">
        <v>62</v>
      </c>
    </row>
    <row r="4030">
      <c r="A4030" s="2" t="n">
        <v>46265.29166666666</v>
      </c>
      <c r="B4030">
        <f>TEXT(A4030,"yyyy-mm")</f>
        <v/>
      </c>
      <c r="C4030" s="3">
        <f>HOUR(A4030)</f>
        <v/>
      </c>
      <c r="D4030" s="4" t="n">
        <v>24.74690515180556</v>
      </c>
      <c r="E4030" s="4" t="n"/>
      <c r="F4030" s="4" t="n">
        <v>28.67886079819445</v>
      </c>
      <c r="G4030" s="4" t="n">
        <v>16</v>
      </c>
      <c r="H4030" s="5" t="n">
        <v>30.20212589106389</v>
      </c>
      <c r="I4030" s="5" t="n"/>
      <c r="J4030" s="5" t="n">
        <v>38.11439014621111</v>
      </c>
      <c r="K4030" s="5" t="n">
        <v>60</v>
      </c>
    </row>
    <row r="4031">
      <c r="A4031" s="2" t="n">
        <v>46265.33333333334</v>
      </c>
      <c r="B4031">
        <f>TEXT(A4031,"yyyy-mm")</f>
        <v/>
      </c>
      <c r="C4031" s="3">
        <f>HOUR(A4031)</f>
        <v/>
      </c>
      <c r="D4031" s="4" t="n">
        <v>25.5964807942</v>
      </c>
      <c r="E4031" s="4" t="n"/>
      <c r="F4031" s="4" t="n">
        <v>28.69652210640556</v>
      </c>
      <c r="G4031" s="4" t="n">
        <v>18</v>
      </c>
      <c r="H4031" s="5" t="n">
        <v>29.52429653315</v>
      </c>
      <c r="I4031" s="5" t="n"/>
      <c r="J4031" s="5" t="n">
        <v>38.17157741456111</v>
      </c>
      <c r="K4031" s="5" t="n">
        <v>52</v>
      </c>
    </row>
    <row r="4032">
      <c r="A4032" s="2" t="n">
        <v>46265.375</v>
      </c>
      <c r="B4032">
        <f>TEXT(A4032,"yyyy-mm")</f>
        <v/>
      </c>
      <c r="C4032" s="3">
        <f>HOUR(A4032)</f>
        <v/>
      </c>
      <c r="D4032" s="4" t="n">
        <v>26.17943144497778</v>
      </c>
      <c r="E4032" s="4" t="n"/>
      <c r="F4032" s="4" t="n">
        <v>28.72768637936944</v>
      </c>
      <c r="G4032" s="4" t="n">
        <v>19.9</v>
      </c>
      <c r="H4032" s="5" t="n">
        <v>29.07245893350833</v>
      </c>
      <c r="I4032" s="5" t="n"/>
      <c r="J4032" s="5" t="n">
        <v>38.21641292948611</v>
      </c>
      <c r="K4032" s="5" t="n">
        <v>45</v>
      </c>
    </row>
    <row r="4033">
      <c r="A4033" s="2" t="n">
        <v>46265.41666666666</v>
      </c>
      <c r="B4033">
        <f>TEXT(A4033,"yyyy-mm")</f>
        <v/>
      </c>
      <c r="C4033" s="3">
        <f>HOUR(A4033)</f>
        <v/>
      </c>
      <c r="D4033" s="4" t="n">
        <v>26.46328473360556</v>
      </c>
      <c r="E4033" s="4" t="n"/>
      <c r="F4033" s="4" t="n">
        <v>28.76435502009167</v>
      </c>
      <c r="G4033" s="4" t="n">
        <v>21.4</v>
      </c>
      <c r="H4033" s="5" t="n">
        <v>28.64887466922222</v>
      </c>
      <c r="I4033" s="5" t="n"/>
      <c r="J4033" s="5" t="n">
        <v>38.297596301</v>
      </c>
      <c r="K4033" s="5" t="n">
        <v>41</v>
      </c>
    </row>
    <row r="4034">
      <c r="A4034" s="2" t="n">
        <v>46265.45833333334</v>
      </c>
      <c r="B4034">
        <f>TEXT(A4034,"yyyy-mm")</f>
        <v/>
      </c>
      <c r="C4034" s="3">
        <f>HOUR(A4034)</f>
        <v/>
      </c>
      <c r="D4034" s="4" t="n">
        <v>26.71379681279167</v>
      </c>
      <c r="E4034" s="4" t="n"/>
      <c r="F4034" s="4" t="n">
        <v>28.79485484493889</v>
      </c>
      <c r="G4034" s="4" t="n">
        <v>24.4</v>
      </c>
      <c r="H4034" s="5" t="n">
        <v>26.73247125479167</v>
      </c>
      <c r="I4034" s="5" t="n"/>
      <c r="J4034" s="5" t="n">
        <v>38.33436509896666</v>
      </c>
      <c r="K4034" s="5" t="n">
        <v>31</v>
      </c>
    </row>
    <row r="4035">
      <c r="A4035" s="2" t="n">
        <v>46265.5</v>
      </c>
      <c r="B4035">
        <f>TEXT(A4035,"yyyy-mm")</f>
        <v/>
      </c>
      <c r="C4035" s="3">
        <f>HOUR(A4035)</f>
        <v/>
      </c>
      <c r="D4035" s="4" t="n">
        <v>26.89742396447778</v>
      </c>
      <c r="E4035" s="4" t="n"/>
      <c r="F4035" s="4" t="n">
        <v>28.77313140134167</v>
      </c>
      <c r="G4035" s="4" t="n">
        <v>25.7</v>
      </c>
      <c r="H4035" s="5" t="n">
        <v>25.85855413410277</v>
      </c>
      <c r="I4035" s="5" t="n"/>
      <c r="J4035" s="5" t="n">
        <v>36.791714465325</v>
      </c>
      <c r="K4035" s="5" t="n">
        <v>27</v>
      </c>
    </row>
    <row r="4036">
      <c r="A4036" s="2" t="n">
        <v>46265.54166666666</v>
      </c>
      <c r="B4036">
        <f>TEXT(A4036,"yyyy-mm")</f>
        <v/>
      </c>
      <c r="C4036" s="3">
        <f>HOUR(A4036)</f>
        <v/>
      </c>
      <c r="D4036" s="4" t="n">
        <v>26.89632577892778</v>
      </c>
      <c r="E4036" s="4" t="n"/>
      <c r="F4036" s="4" t="n">
        <v>28.85828109530833</v>
      </c>
      <c r="G4036" s="4" t="n">
        <v>26.6</v>
      </c>
      <c r="H4036" s="5" t="n">
        <v>26.05081742425</v>
      </c>
      <c r="I4036" s="5" t="n"/>
      <c r="J4036" s="5" t="n">
        <v>37.082270049075</v>
      </c>
      <c r="K4036" s="5" t="n">
        <v>25</v>
      </c>
    </row>
    <row r="4037">
      <c r="A4037" s="2" t="n">
        <v>46265.58333333334</v>
      </c>
      <c r="B4037">
        <f>TEXT(A4037,"yyyy-mm")</f>
        <v/>
      </c>
      <c r="C4037" s="3">
        <f>HOUR(A4037)</f>
        <v/>
      </c>
      <c r="D4037" s="4" t="n">
        <v>26.82788916145278</v>
      </c>
      <c r="E4037" s="4" t="n"/>
      <c r="F4037" s="4" t="n">
        <v>29.07037859331666</v>
      </c>
      <c r="G4037" s="4" t="n">
        <v>27</v>
      </c>
      <c r="H4037" s="5" t="n">
        <v>25.88815571849167</v>
      </c>
      <c r="I4037" s="5" t="n"/>
      <c r="J4037" s="5" t="n">
        <v>37.39343840154445</v>
      </c>
      <c r="K4037" s="5" t="n">
        <v>25</v>
      </c>
    </row>
    <row r="4038">
      <c r="A4038" s="2" t="n">
        <v>46265.625</v>
      </c>
      <c r="B4038">
        <f>TEXT(A4038,"yyyy-mm")</f>
        <v/>
      </c>
      <c r="C4038" s="3">
        <f>HOUR(A4038)</f>
        <v/>
      </c>
      <c r="D4038" s="4" t="n">
        <v>26.90220690559722</v>
      </c>
      <c r="E4038" s="4" t="n"/>
      <c r="F4038" s="4" t="n">
        <v>29.14194846376389</v>
      </c>
      <c r="G4038" s="4" t="n">
        <v>28.3</v>
      </c>
      <c r="H4038" s="5" t="n">
        <v>25.14798470585</v>
      </c>
      <c r="I4038" s="5" t="n"/>
      <c r="J4038" s="5" t="n">
        <v>37.195182494575</v>
      </c>
      <c r="K4038" s="5" t="n">
        <v>23</v>
      </c>
    </row>
    <row r="4039">
      <c r="A4039" s="2" t="n">
        <v>46265.66666666666</v>
      </c>
      <c r="B4039">
        <f>TEXT(A4039,"yyyy-mm")</f>
        <v/>
      </c>
      <c r="C4039" s="3">
        <f>HOUR(A4039)</f>
        <v/>
      </c>
      <c r="D4039" s="4" t="n">
        <v>26.94041884659167</v>
      </c>
      <c r="E4039" s="4" t="n">
        <v>28.55911331867474</v>
      </c>
      <c r="F4039" s="4" t="n">
        <v>29.13744852510555</v>
      </c>
      <c r="G4039" s="4" t="n">
        <v>27.8</v>
      </c>
      <c r="H4039" s="5" t="n">
        <v>26.91927381489167</v>
      </c>
      <c r="I4039" s="5" t="n">
        <v>28.14934346182726</v>
      </c>
      <c r="J4039" s="5" t="n">
        <v>37.46480094952778</v>
      </c>
      <c r="K4039" s="5" t="n">
        <v>24</v>
      </c>
    </row>
    <row r="4040">
      <c r="A4040" s="2" t="n">
        <v>46265.70833333334</v>
      </c>
      <c r="B4040">
        <f>TEXT(A4040,"yyyy-mm")</f>
        <v/>
      </c>
      <c r="C4040" s="3">
        <f>HOUR(A4040)</f>
        <v/>
      </c>
      <c r="D4040" s="4" t="n">
        <v>26.96085728003056</v>
      </c>
      <c r="E4040" s="4" t="n">
        <v>28.36531124696389</v>
      </c>
      <c r="F4040" s="4" t="n">
        <v>29.09080198822222</v>
      </c>
      <c r="G4040" s="4" t="n">
        <v>27.2</v>
      </c>
      <c r="H4040" s="5" t="n">
        <v>27.904921160425</v>
      </c>
      <c r="I4040" s="5" t="n">
        <v>27.22552386903611</v>
      </c>
      <c r="J4040" s="5" t="n">
        <v>37.33310715374444</v>
      </c>
      <c r="K4040" s="5" t="n">
        <v>25</v>
      </c>
    </row>
    <row r="4041">
      <c r="A4041" s="2" t="n">
        <v>46265.75</v>
      </c>
      <c r="B4041">
        <f>TEXT(A4041,"yyyy-mm")</f>
        <v/>
      </c>
      <c r="C4041" s="3">
        <f>HOUR(A4041)</f>
        <v/>
      </c>
      <c r="D4041" s="4" t="n">
        <v>26.91106582692778</v>
      </c>
      <c r="E4041" s="4" t="n">
        <v>28.06207289365833</v>
      </c>
      <c r="F4041" s="4" t="n">
        <v>29.016886903725</v>
      </c>
      <c r="G4041" s="4" t="n">
        <v>26.4</v>
      </c>
      <c r="H4041" s="5" t="n">
        <v>26.26980007683889</v>
      </c>
      <c r="I4041" s="5" t="n">
        <v>29.41044212948889</v>
      </c>
      <c r="J4041" s="5" t="n">
        <v>37.22491866982222</v>
      </c>
      <c r="K4041" s="5" t="n">
        <v>26</v>
      </c>
    </row>
    <row r="4042">
      <c r="A4042" s="2" t="n">
        <v>46265.79166666666</v>
      </c>
      <c r="B4042">
        <f>TEXT(A4042,"yyyy-mm")</f>
        <v/>
      </c>
      <c r="C4042" s="3">
        <f>HOUR(A4042)</f>
        <v/>
      </c>
      <c r="D4042" s="4" t="n">
        <v>26.71197367578056</v>
      </c>
      <c r="E4042" s="4" t="n">
        <v>27.58241118958889</v>
      </c>
      <c r="F4042" s="4" t="n">
        <v>29.01419835681389</v>
      </c>
      <c r="G4042" s="4" t="n">
        <v>24.8</v>
      </c>
      <c r="H4042" s="5" t="n">
        <v>25.36851620837778</v>
      </c>
      <c r="I4042" s="5" t="n">
        <v>27.44265658955278</v>
      </c>
      <c r="J4042" s="5" t="n">
        <v>37.38623403320278</v>
      </c>
      <c r="K4042" s="5" t="n">
        <v>31</v>
      </c>
    </row>
    <row r="4043">
      <c r="A4043" s="2" t="n">
        <v>46265.83333333334</v>
      </c>
      <c r="B4043">
        <f>TEXT(A4043,"yyyy-mm")</f>
        <v/>
      </c>
      <c r="C4043" s="3">
        <f>HOUR(A4043)</f>
        <v/>
      </c>
      <c r="D4043" s="4" t="n">
        <v>26.46172886136945</v>
      </c>
      <c r="E4043" s="4" t="n">
        <v>27.30748806865278</v>
      </c>
      <c r="F4043" s="4" t="n">
        <v>28.97403568823056</v>
      </c>
      <c r="G4043" s="4" t="n">
        <v>23.4</v>
      </c>
      <c r="H4043" s="5" t="n">
        <v>23.90353279027222</v>
      </c>
      <c r="I4043" s="5" t="n">
        <v>28.07693463590278</v>
      </c>
      <c r="J4043" s="5" t="n">
        <v>37.19162498393612</v>
      </c>
      <c r="K4043" s="5" t="n">
        <v>34</v>
      </c>
    </row>
    <row r="4044">
      <c r="A4044" s="2" t="n">
        <v>46265.875</v>
      </c>
      <c r="B4044">
        <f>TEXT(A4044,"yyyy-mm")</f>
        <v/>
      </c>
      <c r="C4044" s="3">
        <f>HOUR(A4044)</f>
        <v/>
      </c>
      <c r="D4044" s="4" t="n">
        <v>26.21569400880833</v>
      </c>
      <c r="E4044" s="4" t="n">
        <v>27.8294188623</v>
      </c>
      <c r="F4044" s="4" t="n">
        <v>28.85504303036112</v>
      </c>
      <c r="G4044" s="4" t="n">
        <v>22.9</v>
      </c>
      <c r="H4044" s="5" t="n">
        <v>24.00156824219722</v>
      </c>
      <c r="I4044" s="5" t="n">
        <v>26.95380398904445</v>
      </c>
      <c r="J4044" s="5" t="n">
        <v>35.61470187360833</v>
      </c>
      <c r="K4044" s="5" t="n">
        <v>32</v>
      </c>
    </row>
    <row r="4045">
      <c r="A4045" s="2" t="n">
        <v>46265.91666666666</v>
      </c>
      <c r="B4045">
        <f>TEXT(A4045,"yyyy-mm")</f>
        <v/>
      </c>
      <c r="C4045" s="3">
        <f>HOUR(A4045)</f>
        <v/>
      </c>
      <c r="D4045" s="4" t="n">
        <v>26.30061782942778</v>
      </c>
      <c r="E4045" s="4" t="n">
        <v>28.54206827308611</v>
      </c>
      <c r="F4045" s="4" t="n">
        <v>28.49188943302222</v>
      </c>
      <c r="G4045" s="4" t="n">
        <v>22</v>
      </c>
      <c r="H4045" s="5" t="n">
        <v>24.88040422174167</v>
      </c>
      <c r="I4045" s="5" t="n">
        <v>25.81567669341111</v>
      </c>
      <c r="J4045" s="5" t="n">
        <v>34.09584090916389</v>
      </c>
      <c r="K4045" s="5" t="n">
        <v>33</v>
      </c>
    </row>
    <row r="4046">
      <c r="A4046" s="2" t="n">
        <v>46265.95833333334</v>
      </c>
      <c r="B4046">
        <f>TEXT(A4046,"yyyy-mm")</f>
        <v/>
      </c>
      <c r="C4046" s="3">
        <f>HOUR(A4046)</f>
        <v/>
      </c>
      <c r="D4046" s="4" t="n">
        <v>25.961307345325</v>
      </c>
      <c r="E4046" s="4" t="n">
        <v>27.83498364395</v>
      </c>
      <c r="F4046" s="4" t="n">
        <v>28.81483371500555</v>
      </c>
      <c r="G4046" s="4" t="n">
        <v>20.4</v>
      </c>
      <c r="H4046" s="5" t="n">
        <v>23.36404496646111</v>
      </c>
      <c r="I4046" s="5" t="n">
        <v>26.166321904675</v>
      </c>
      <c r="J4046" s="5" t="n">
        <v>35.29076506068333</v>
      </c>
      <c r="K4046" s="5" t="n">
        <v>38</v>
      </c>
    </row>
    <row r="4047">
      <c r="A4047" s="2" t="n">
        <v>46266</v>
      </c>
      <c r="B4047">
        <f>TEXT(A4047,"yyyy-mm")</f>
        <v/>
      </c>
      <c r="C4047" s="3">
        <f>HOUR(A4047)</f>
        <v/>
      </c>
      <c r="D4047" s="4" t="n">
        <v>25.48709599468056</v>
      </c>
      <c r="E4047" s="4" t="n">
        <v>27.58702006728333</v>
      </c>
      <c r="F4047" s="4" t="n">
        <v>28.88846626528333</v>
      </c>
      <c r="G4047" s="4" t="n">
        <v>19.2</v>
      </c>
      <c r="H4047" s="5" t="n">
        <v>23.26798719180556</v>
      </c>
      <c r="I4047" s="5" t="n">
        <v>25.16463303549444</v>
      </c>
      <c r="J4047" s="5" t="n">
        <v>35.586609413525</v>
      </c>
      <c r="K4047" s="5" t="n">
        <v>41</v>
      </c>
    </row>
    <row r="4048">
      <c r="A4048" s="2" t="n">
        <v>46266.04166666666</v>
      </c>
      <c r="B4048">
        <f>TEXT(A4048,"yyyy-mm")</f>
        <v/>
      </c>
      <c r="C4048" s="3">
        <f>HOUR(A4048)</f>
        <v/>
      </c>
      <c r="D4048" s="4" t="n">
        <v>25.23732943856666</v>
      </c>
      <c r="E4048" s="4" t="n">
        <v>27.42393248800278</v>
      </c>
      <c r="F4048" s="4" t="n">
        <v>28.8833669984</v>
      </c>
      <c r="G4048" s="4" t="n">
        <v>18.3</v>
      </c>
      <c r="H4048" s="5" t="n">
        <v>23.88917968025278</v>
      </c>
      <c r="I4048" s="5" t="n">
        <v>25.18318014032777</v>
      </c>
      <c r="J4048" s="5" t="n">
        <v>35.72381974823889</v>
      </c>
      <c r="K4048" s="5" t="n">
        <v>43</v>
      </c>
    </row>
    <row r="4049">
      <c r="A4049" s="2" t="n">
        <v>46266.08333333334</v>
      </c>
      <c r="B4049">
        <f>TEXT(A4049,"yyyy-mm")</f>
        <v/>
      </c>
      <c r="C4049" s="3">
        <f>HOUR(A4049)</f>
        <v/>
      </c>
      <c r="D4049" s="4" t="n">
        <v>25.37062700053889</v>
      </c>
      <c r="E4049" s="4" t="n">
        <v>27.36227801759722</v>
      </c>
      <c r="F4049" s="4" t="n">
        <v>28.85750384340556</v>
      </c>
      <c r="G4049" s="4" t="n">
        <v>17.8</v>
      </c>
      <c r="H4049" s="5" t="n">
        <v>24.26507247038611</v>
      </c>
      <c r="I4049" s="5" t="n">
        <v>24.80672718175278</v>
      </c>
      <c r="J4049" s="5" t="n">
        <v>35.759745025425</v>
      </c>
      <c r="K4049" s="5" t="n">
        <v>43</v>
      </c>
    </row>
    <row r="4050">
      <c r="A4050" s="2" t="n">
        <v>46266.125</v>
      </c>
      <c r="B4050">
        <f>TEXT(A4050,"yyyy-mm")</f>
        <v/>
      </c>
      <c r="C4050" s="3">
        <f>HOUR(A4050)</f>
        <v/>
      </c>
      <c r="D4050" s="4" t="n">
        <v>25.29542867699444</v>
      </c>
      <c r="E4050" s="4" t="n">
        <v>27.23781715115833</v>
      </c>
      <c r="F4050" s="4" t="n">
        <v>28.83425599760556</v>
      </c>
      <c r="G4050" s="4" t="n">
        <v>17.1</v>
      </c>
      <c r="H4050" s="5" t="n">
        <v>24.23447778129167</v>
      </c>
      <c r="I4050" s="5" t="n">
        <v>24.57117145955278</v>
      </c>
      <c r="J4050" s="5" t="n">
        <v>35.77146776058056</v>
      </c>
      <c r="K4050" s="5" t="n">
        <v>45</v>
      </c>
    </row>
    <row r="4051">
      <c r="A4051" s="2" t="n">
        <v>46266.16666666666</v>
      </c>
      <c r="B4051">
        <f>TEXT(A4051,"yyyy-mm")</f>
        <v/>
      </c>
      <c r="C4051" s="3">
        <f>HOUR(A4051)</f>
        <v/>
      </c>
      <c r="D4051" s="4" t="n">
        <v>24.96434152026667</v>
      </c>
      <c r="E4051" s="4" t="n">
        <v>27.09599872864722</v>
      </c>
      <c r="F4051" s="4" t="n">
        <v>28.80919825391944</v>
      </c>
      <c r="G4051" s="4" t="n">
        <v>16.5</v>
      </c>
      <c r="H4051" s="5" t="n">
        <v>24.08589749138056</v>
      </c>
      <c r="I4051" s="5" t="n">
        <v>24.51593960150556</v>
      </c>
      <c r="J4051" s="5" t="n">
        <v>35.73673360106667</v>
      </c>
      <c r="K4051" s="5" t="n">
        <v>46</v>
      </c>
    </row>
    <row r="4052">
      <c r="A4052" s="2" t="n">
        <v>46266.20833333334</v>
      </c>
      <c r="B4052">
        <f>TEXT(A4052,"yyyy-mm")</f>
        <v/>
      </c>
      <c r="C4052" s="3">
        <f>HOUR(A4052)</f>
        <v/>
      </c>
      <c r="D4052" s="4" t="n">
        <v>24.93061447601389</v>
      </c>
      <c r="E4052" s="4" t="n">
        <v>26.97398572817778</v>
      </c>
      <c r="F4052" s="4" t="n">
        <v>28.78109097918889</v>
      </c>
      <c r="G4052" s="4" t="n">
        <v>15.8</v>
      </c>
      <c r="H4052" s="5" t="n">
        <v>24.64307940024166</v>
      </c>
      <c r="I4052" s="5" t="n">
        <v>24.943274588975</v>
      </c>
      <c r="J4052" s="5" t="n">
        <v>35.59960908291944</v>
      </c>
      <c r="K4052" s="5" t="n">
        <v>49</v>
      </c>
    </row>
    <row r="4053">
      <c r="A4053" s="2" t="n">
        <v>46266.25</v>
      </c>
      <c r="B4053">
        <f>TEXT(A4053,"yyyy-mm")</f>
        <v/>
      </c>
      <c r="C4053" s="3">
        <f>HOUR(A4053)</f>
        <v/>
      </c>
      <c r="D4053" s="4" t="n">
        <v>24.82355243170555</v>
      </c>
      <c r="E4053" s="4" t="n">
        <v>27.00510420385556</v>
      </c>
      <c r="F4053" s="4" t="n">
        <v>28.75630946377222</v>
      </c>
      <c r="G4053" s="4" t="n">
        <v>15.1</v>
      </c>
      <c r="H4053" s="5" t="n">
        <v>24.886602685575</v>
      </c>
      <c r="I4053" s="5" t="n">
        <v>25.423860831925</v>
      </c>
      <c r="J4053" s="5" t="n">
        <v>35.51323818493611</v>
      </c>
      <c r="K4053" s="5" t="n">
        <v>52</v>
      </c>
    </row>
    <row r="4054">
      <c r="A4054" s="2" t="n">
        <v>46266.29166666666</v>
      </c>
      <c r="B4054">
        <f>TEXT(A4054,"yyyy-mm")</f>
        <v/>
      </c>
      <c r="C4054" s="3">
        <f>HOUR(A4054)</f>
        <v/>
      </c>
      <c r="D4054" s="4" t="n">
        <v>25.502853815275</v>
      </c>
      <c r="E4054" s="4" t="n">
        <v>27.61893120791945</v>
      </c>
      <c r="F4054" s="4" t="n">
        <v>28.74791495127222</v>
      </c>
      <c r="G4054" s="4" t="n">
        <v>15.8</v>
      </c>
      <c r="H4054" s="5" t="n">
        <v>24.54866761216111</v>
      </c>
      <c r="I4054" s="5" t="n">
        <v>25.39220752718889</v>
      </c>
      <c r="J4054" s="5" t="n">
        <v>35.53804083258333</v>
      </c>
      <c r="K4054" s="5" t="n">
        <v>51</v>
      </c>
    </row>
    <row r="4055">
      <c r="A4055" s="2" t="n">
        <v>46266.33333333334</v>
      </c>
      <c r="B4055">
        <f>TEXT(A4055,"yyyy-mm")</f>
        <v/>
      </c>
      <c r="C4055" s="3">
        <f>HOUR(A4055)</f>
        <v/>
      </c>
      <c r="D4055" s="4" t="n">
        <v>26.43497446141944</v>
      </c>
      <c r="E4055" s="4" t="n">
        <v>28.38700176933056</v>
      </c>
      <c r="F4055" s="4" t="n">
        <v>28.77768303213611</v>
      </c>
      <c r="G4055" s="4" t="n">
        <v>17.8</v>
      </c>
      <c r="H4055" s="5" t="n">
        <v>24.23695585083055</v>
      </c>
      <c r="I4055" s="5" t="n">
        <v>24.231879744625</v>
      </c>
      <c r="J4055" s="5" t="n">
        <v>35.69362624551111</v>
      </c>
      <c r="K4055" s="5" t="n">
        <v>45</v>
      </c>
    </row>
    <row r="4056">
      <c r="A4056" s="2" t="n">
        <v>46266.375</v>
      </c>
      <c r="B4056">
        <f>TEXT(A4056,"yyyy-mm")</f>
        <v/>
      </c>
      <c r="C4056" s="3">
        <f>HOUR(A4056)</f>
        <v/>
      </c>
      <c r="D4056" s="4" t="n">
        <v>27.08958739417222</v>
      </c>
      <c r="E4056" s="4" t="n">
        <v>28.71983404214444</v>
      </c>
      <c r="F4056" s="4" t="n">
        <v>28.824907011475</v>
      </c>
      <c r="G4056" s="4" t="n">
        <v>20.7</v>
      </c>
      <c r="H4056" s="5" t="n">
        <v>24.19090904084166</v>
      </c>
      <c r="I4056" s="5" t="n">
        <v>22.95957281510556</v>
      </c>
      <c r="J4056" s="5" t="n">
        <v>35.91511917610278</v>
      </c>
      <c r="K4056" s="5" t="n">
        <v>38</v>
      </c>
    </row>
    <row r="4057">
      <c r="A4057" s="2" t="n">
        <v>46266.41666666666</v>
      </c>
      <c r="B4057">
        <f>TEXT(A4057,"yyyy-mm")</f>
        <v/>
      </c>
      <c r="C4057" s="3">
        <f>HOUR(A4057)</f>
        <v/>
      </c>
      <c r="D4057" s="4" t="n">
        <v>27.39597768412777</v>
      </c>
      <c r="E4057" s="4" t="n">
        <v>29.08327164178889</v>
      </c>
      <c r="F4057" s="4" t="n">
        <v>28.87649429131666</v>
      </c>
      <c r="G4057" s="4" t="n">
        <v>23.6</v>
      </c>
      <c r="H4057" s="5" t="n">
        <v>23.99897135406666</v>
      </c>
      <c r="I4057" s="5" t="n">
        <v>22.91401384355</v>
      </c>
      <c r="J4057" s="5" t="n">
        <v>36.12423774406944</v>
      </c>
      <c r="K4057" s="5" t="n">
        <v>31</v>
      </c>
    </row>
    <row r="4058">
      <c r="A4058" s="2" t="n">
        <v>46266.45833333334</v>
      </c>
      <c r="B4058">
        <f>TEXT(A4058,"yyyy-mm")</f>
        <v/>
      </c>
      <c r="C4058" s="3">
        <f>HOUR(A4058)</f>
        <v/>
      </c>
      <c r="D4058" s="4" t="n">
        <v>27.63106092510278</v>
      </c>
      <c r="E4058" s="4" t="n">
        <v>29.58024883423056</v>
      </c>
      <c r="F4058" s="4" t="n">
        <v>28.92619051014166</v>
      </c>
      <c r="G4058" s="4" t="n">
        <v>25.7</v>
      </c>
      <c r="H4058" s="5" t="n">
        <v>23.90042225740556</v>
      </c>
      <c r="I4058" s="5" t="n">
        <v>22.13133595675</v>
      </c>
      <c r="J4058" s="5" t="n">
        <v>36.07009741685834</v>
      </c>
      <c r="K4058" s="5" t="n">
        <v>24</v>
      </c>
    </row>
    <row r="4059">
      <c r="A4059" s="2" t="n">
        <v>46266.5</v>
      </c>
      <c r="B4059">
        <f>TEXT(A4059,"yyyy-mm")</f>
        <v/>
      </c>
      <c r="C4059" s="3">
        <f>HOUR(A4059)</f>
        <v/>
      </c>
      <c r="D4059" s="4" t="n">
        <v>27.71075074855555</v>
      </c>
      <c r="E4059" s="4" t="n">
        <v>29.53024654385834</v>
      </c>
      <c r="F4059" s="4" t="n">
        <v>28.87667789458611</v>
      </c>
      <c r="G4059" s="4" t="n">
        <v>26.9</v>
      </c>
      <c r="H4059" s="5" t="n">
        <v>22.64610942196667</v>
      </c>
      <c r="I4059" s="5" t="n">
        <v>21.58222563490834</v>
      </c>
      <c r="J4059" s="5" t="n">
        <v>34.65421187220556</v>
      </c>
      <c r="K4059" s="5" t="n">
        <v>20</v>
      </c>
    </row>
    <row r="4060">
      <c r="A4060" s="2" t="n">
        <v>46266.54166666666</v>
      </c>
      <c r="B4060">
        <f>TEXT(A4060,"yyyy-mm")</f>
        <v/>
      </c>
      <c r="C4060" s="3">
        <f>HOUR(A4060)</f>
        <v/>
      </c>
      <c r="D4060" s="4" t="n">
        <v>27.14172486333333</v>
      </c>
      <c r="E4060" s="4" t="n">
        <v>28.90298033474444</v>
      </c>
      <c r="F4060" s="4" t="n">
        <v>28.658850709425</v>
      </c>
      <c r="G4060" s="4" t="n">
        <v>27.6</v>
      </c>
      <c r="H4060" s="5" t="n">
        <v>23.83251534874723</v>
      </c>
      <c r="I4060" s="5" t="n">
        <v>23.72645839164722</v>
      </c>
      <c r="J4060" s="5" t="n">
        <v>33.77427382518056</v>
      </c>
      <c r="K4060" s="5" t="n">
        <v>19</v>
      </c>
    </row>
    <row r="4061">
      <c r="A4061" s="2" t="n">
        <v>46266.58333333334</v>
      </c>
      <c r="B4061">
        <f>TEXT(A4061,"yyyy-mm")</f>
        <v/>
      </c>
      <c r="C4061" s="3">
        <f>HOUR(A4061)</f>
        <v/>
      </c>
      <c r="D4061" s="4" t="n">
        <v>25.5466060158</v>
      </c>
      <c r="E4061" s="4" t="n">
        <v>27.92720139813611</v>
      </c>
      <c r="F4061" s="4" t="n">
        <v>27.91077729626112</v>
      </c>
      <c r="G4061" s="4" t="n">
        <v>28</v>
      </c>
      <c r="H4061" s="5" t="n">
        <v>25.50375284894444</v>
      </c>
      <c r="I4061" s="5" t="n">
        <v>25.39864577783056</v>
      </c>
      <c r="J4061" s="5" t="n">
        <v>33.03324875733333</v>
      </c>
      <c r="K4061" s="5" t="n">
        <v>18</v>
      </c>
    </row>
    <row r="4062">
      <c r="A4062" s="2" t="n">
        <v>46266.625</v>
      </c>
      <c r="B4062">
        <f>TEXT(A4062,"yyyy-mm")</f>
        <v/>
      </c>
      <c r="C4062" s="3">
        <f>HOUR(A4062)</f>
        <v/>
      </c>
      <c r="D4062" s="4" t="n">
        <v>25.20105178904167</v>
      </c>
      <c r="E4062" s="4" t="n">
        <v>27.60591987765833</v>
      </c>
      <c r="F4062" s="4" t="n">
        <v>27.60256754162777</v>
      </c>
      <c r="G4062" s="4" t="n">
        <v>28.9</v>
      </c>
      <c r="H4062" s="5" t="n">
        <v>27.32848144976111</v>
      </c>
      <c r="I4062" s="5" t="n">
        <v>27.06322897494723</v>
      </c>
      <c r="J4062" s="5" t="n">
        <v>34.21381763655</v>
      </c>
      <c r="K4062" s="5" t="n">
        <v>17</v>
      </c>
    </row>
    <row r="4063">
      <c r="A4063" s="2" t="n">
        <v>46266.66666666666</v>
      </c>
      <c r="B4063">
        <f>TEXT(A4063,"yyyy-mm")</f>
        <v/>
      </c>
      <c r="C4063" s="3">
        <f>HOUR(A4063)</f>
        <v/>
      </c>
      <c r="D4063" s="4" t="n">
        <v>25.18961688903056</v>
      </c>
      <c r="E4063" s="4" t="n">
        <v>27.74603974986389</v>
      </c>
      <c r="F4063" s="4" t="n">
        <v>27.48464627938333</v>
      </c>
      <c r="G4063" s="4" t="n">
        <v>28.4</v>
      </c>
      <c r="H4063" s="5" t="n">
        <v>29.76083861987222</v>
      </c>
      <c r="I4063" s="5" t="n">
        <v>28.30683347606389</v>
      </c>
      <c r="J4063" s="5" t="n">
        <v>35.97974290898055</v>
      </c>
      <c r="K4063" s="5" t="n">
        <v>18</v>
      </c>
    </row>
    <row r="4064">
      <c r="A4064" s="2" t="n">
        <v>46266.70833333334</v>
      </c>
      <c r="B4064">
        <f>TEXT(A4064,"yyyy-mm")</f>
        <v/>
      </c>
      <c r="C4064" s="3">
        <f>HOUR(A4064)</f>
        <v/>
      </c>
      <c r="D4064" s="4" t="n">
        <v>26.53973973179444</v>
      </c>
      <c r="E4064" s="4" t="n">
        <v>28.82390756485556</v>
      </c>
      <c r="F4064" s="4" t="n">
        <v>27.87400677476944</v>
      </c>
      <c r="G4064" s="4" t="n">
        <v>27.9</v>
      </c>
      <c r="H4064" s="5" t="n">
        <v>32.8852045159889</v>
      </c>
      <c r="I4064" s="5" t="n">
        <v>32.05030621120278</v>
      </c>
      <c r="J4064" s="5" t="n">
        <v>37.26120623263333</v>
      </c>
      <c r="K4064" s="5" t="n">
        <v>19</v>
      </c>
    </row>
    <row r="4065">
      <c r="A4065" s="2" t="n">
        <v>46266.75</v>
      </c>
      <c r="B4065">
        <f>TEXT(A4065,"yyyy-mm")</f>
        <v/>
      </c>
      <c r="C4065" s="3">
        <f>HOUR(A4065)</f>
        <v/>
      </c>
      <c r="D4065" s="4" t="n">
        <v>25.59375620111111</v>
      </c>
      <c r="E4065" s="4" t="n">
        <v>27.68979625588611</v>
      </c>
      <c r="F4065" s="4" t="n">
        <v>27.96572599662223</v>
      </c>
      <c r="G4065" s="4" t="n">
        <v>27.1</v>
      </c>
      <c r="H4065" s="5" t="n">
        <v>29.48520035665834</v>
      </c>
      <c r="I4065" s="5" t="n">
        <v>31.35299297759722</v>
      </c>
      <c r="J4065" s="5" t="n">
        <v>37.31369699125833</v>
      </c>
      <c r="K4065" s="5" t="n">
        <v>20</v>
      </c>
    </row>
    <row r="4066">
      <c r="A4066" s="2" t="n">
        <v>46266.79166666666</v>
      </c>
      <c r="B4066">
        <f>TEXT(A4066,"yyyy-mm")</f>
        <v/>
      </c>
      <c r="C4066" s="3">
        <f>HOUR(A4066)</f>
        <v/>
      </c>
      <c r="D4066" s="4" t="n">
        <v>24.9404209071</v>
      </c>
      <c r="E4066" s="4" t="n">
        <v>27.14545572442778</v>
      </c>
      <c r="F4066" s="4" t="n">
        <v>28.30300213299444</v>
      </c>
      <c r="G4066" s="4" t="n">
        <v>25.5</v>
      </c>
      <c r="H4066" s="5" t="n">
        <v>28.96224899889167</v>
      </c>
      <c r="I4066" s="5" t="n">
        <v>28.40645467252222</v>
      </c>
      <c r="J4066" s="5" t="n">
        <v>36.22903856794166</v>
      </c>
      <c r="K4066" s="5" t="n">
        <v>25</v>
      </c>
    </row>
    <row r="4067">
      <c r="A4067" s="2" t="n">
        <v>46266.83333333334</v>
      </c>
      <c r="B4067">
        <f>TEXT(A4067,"yyyy-mm")</f>
        <v/>
      </c>
      <c r="C4067" s="3">
        <f>HOUR(A4067)</f>
        <v/>
      </c>
      <c r="D4067" s="4" t="n">
        <v>25.98776851383333</v>
      </c>
      <c r="E4067" s="4" t="n">
        <v>27.79015194894166</v>
      </c>
      <c r="F4067" s="4" t="n">
        <v>28.37717052036944</v>
      </c>
      <c r="G4067" s="4" t="n">
        <v>23.5</v>
      </c>
      <c r="H4067" s="5" t="n">
        <v>30.007176284425</v>
      </c>
      <c r="I4067" s="5" t="n">
        <v>28.93762597935556</v>
      </c>
      <c r="J4067" s="5" t="n">
        <v>35.59857612753056</v>
      </c>
      <c r="K4067" s="5" t="n">
        <v>31</v>
      </c>
    </row>
    <row r="4068">
      <c r="A4068" s="2" t="n">
        <v>46266.875</v>
      </c>
      <c r="B4068">
        <f>TEXT(A4068,"yyyy-mm")</f>
        <v/>
      </c>
      <c r="C4068" s="3">
        <f>HOUR(A4068)</f>
        <v/>
      </c>
      <c r="D4068" s="4" t="n">
        <v>26.17743045363056</v>
      </c>
      <c r="E4068" s="4" t="n">
        <v>27.68372723079445</v>
      </c>
      <c r="F4068" s="4" t="n">
        <v>28.61608237428889</v>
      </c>
      <c r="G4068" s="4" t="n">
        <v>22.4</v>
      </c>
      <c r="H4068" s="5" t="n">
        <v>25.78186304031667</v>
      </c>
      <c r="I4068" s="5" t="n">
        <v>28.99298929972223</v>
      </c>
      <c r="J4068" s="5" t="n">
        <v>35.92095773741389</v>
      </c>
      <c r="K4068" s="5" t="n">
        <v>35</v>
      </c>
    </row>
    <row r="4069">
      <c r="A4069" s="2" t="n">
        <v>46266.91666666666</v>
      </c>
      <c r="B4069">
        <f>TEXT(A4069,"yyyy-mm")</f>
        <v/>
      </c>
      <c r="C4069" s="3">
        <f>HOUR(A4069)</f>
        <v/>
      </c>
      <c r="D4069" s="4" t="n">
        <v>25.95653847606667</v>
      </c>
      <c r="E4069" s="4" t="n">
        <v>27.82434771959444</v>
      </c>
      <c r="F4069" s="4" t="n">
        <v>28.83775022376944</v>
      </c>
      <c r="G4069" s="4" t="n">
        <v>21.1</v>
      </c>
      <c r="H4069" s="5" t="n">
        <v>24.65305060376944</v>
      </c>
      <c r="I4069" s="5" t="n">
        <v>28.29663392866389</v>
      </c>
      <c r="J4069" s="5" t="n">
        <v>35.81021610485833</v>
      </c>
      <c r="K4069" s="5" t="n">
        <v>40</v>
      </c>
    </row>
    <row r="4070">
      <c r="A4070" s="2" t="n">
        <v>46266.95833333334</v>
      </c>
      <c r="B4070">
        <f>TEXT(A4070,"yyyy-mm")</f>
        <v/>
      </c>
      <c r="C4070" s="3">
        <f>HOUR(A4070)</f>
        <v/>
      </c>
      <c r="D4070" s="4" t="n">
        <v>25.72698543455556</v>
      </c>
      <c r="E4070" s="4" t="n">
        <v>27.86389588425</v>
      </c>
      <c r="F4070" s="4" t="n">
        <v>28.95406828209722</v>
      </c>
      <c r="G4070" s="4" t="n">
        <v>20.3</v>
      </c>
      <c r="H4070" s="5" t="n">
        <v>24.33617296025277</v>
      </c>
      <c r="I4070" s="5" t="n">
        <v>27.36069612915833</v>
      </c>
      <c r="J4070" s="5" t="n">
        <v>35.42115868210556</v>
      </c>
      <c r="K4070" s="5" t="n">
        <v>41</v>
      </c>
    </row>
    <row r="4071">
      <c r="A4071" s="2" t="n">
        <v>46267</v>
      </c>
      <c r="B4071">
        <f>TEXT(A4071,"yyyy-mm")</f>
        <v/>
      </c>
      <c r="C4071" s="3">
        <f>HOUR(A4071)</f>
        <v/>
      </c>
      <c r="D4071" s="4" t="n">
        <v>25.47828904929722</v>
      </c>
      <c r="E4071" s="4" t="n">
        <v>27.72932270843611</v>
      </c>
      <c r="F4071" s="4" t="n">
        <v>28.86673640804167</v>
      </c>
      <c r="G4071" s="4" t="n">
        <v>19.9</v>
      </c>
      <c r="H4071" s="5" t="n">
        <v>24.44104933086667</v>
      </c>
      <c r="I4071" s="5" t="n">
        <v>27.539933097725</v>
      </c>
      <c r="J4071" s="5" t="n">
        <v>33.94600555613334</v>
      </c>
      <c r="K4071" s="5" t="n">
        <v>41</v>
      </c>
    </row>
    <row r="4072">
      <c r="A4072" s="2" t="n">
        <v>46267.04166666666</v>
      </c>
      <c r="B4072">
        <f>TEXT(A4072,"yyyy-mm")</f>
        <v/>
      </c>
      <c r="C4072" s="3">
        <f>HOUR(A4072)</f>
        <v/>
      </c>
      <c r="D4072" s="4" t="n">
        <v>25.25669688592222</v>
      </c>
      <c r="E4072" s="4" t="n">
        <v>27.24371347635833</v>
      </c>
      <c r="F4072" s="4" t="n"/>
      <c r="G4072" s="4" t="n">
        <v>18.9</v>
      </c>
      <c r="H4072" s="5" t="n">
        <v>24.99269403487778</v>
      </c>
      <c r="I4072" s="5" t="n">
        <v>27.00649885311944</v>
      </c>
      <c r="J4072" s="5" t="n"/>
      <c r="K4072" s="5" t="n">
        <v>43</v>
      </c>
    </row>
    <row r="4073">
      <c r="A4073" s="2" t="n">
        <v>46267.08333333334</v>
      </c>
      <c r="B4073">
        <f>TEXT(A4073,"yyyy-mm")</f>
        <v/>
      </c>
      <c r="C4073" s="3">
        <f>HOUR(A4073)</f>
        <v/>
      </c>
      <c r="D4073" s="4" t="n">
        <v>25.20213356539166</v>
      </c>
      <c r="E4073" s="4" t="n">
        <v>26.84218778926945</v>
      </c>
      <c r="F4073" s="4" t="n"/>
      <c r="G4073" s="4" t="n">
        <v>17.9</v>
      </c>
      <c r="H4073" s="5" t="n">
        <v>24.76537338590833</v>
      </c>
      <c r="I4073" s="5" t="n">
        <v>25.54893876361666</v>
      </c>
      <c r="J4073" s="5" t="n"/>
      <c r="K4073" s="5" t="n">
        <v>45</v>
      </c>
    </row>
    <row r="4074">
      <c r="A4074" s="2" t="n">
        <v>46267.125</v>
      </c>
      <c r="B4074">
        <f>TEXT(A4074,"yyyy-mm")</f>
        <v/>
      </c>
      <c r="C4074" s="3">
        <f>HOUR(A4074)</f>
        <v/>
      </c>
      <c r="D4074" s="4" t="n">
        <v>24.92778539310556</v>
      </c>
      <c r="E4074" s="4" t="n">
        <v>26.59371423943056</v>
      </c>
      <c r="F4074" s="4" t="n"/>
      <c r="G4074" s="4" t="n">
        <v>16.4</v>
      </c>
      <c r="H4074" s="5" t="n">
        <v>24.61839129154444</v>
      </c>
      <c r="I4074" s="5" t="n">
        <v>25.50862956108889</v>
      </c>
      <c r="J4074" s="5" t="n"/>
      <c r="K4074" s="5" t="n">
        <v>51</v>
      </c>
    </row>
    <row r="4075">
      <c r="A4075" s="2" t="n">
        <v>46267.16666666666</v>
      </c>
      <c r="B4075">
        <f>TEXT(A4075,"yyyy-mm")</f>
        <v/>
      </c>
      <c r="C4075" s="3">
        <f>HOUR(A4075)</f>
        <v/>
      </c>
      <c r="D4075" s="4" t="n">
        <v>24.46000017461111</v>
      </c>
      <c r="E4075" s="4" t="n">
        <v>26.38453747557778</v>
      </c>
      <c r="F4075" s="4" t="n"/>
      <c r="G4075" s="4" t="n">
        <v>16.3</v>
      </c>
      <c r="H4075" s="5" t="n">
        <v>25.04686409076666</v>
      </c>
      <c r="I4075" s="5" t="n">
        <v>25.73850260489445</v>
      </c>
      <c r="J4075" s="5" t="n"/>
      <c r="K4075" s="5" t="n">
        <v>49</v>
      </c>
    </row>
    <row r="4076">
      <c r="A4076" s="2" t="n">
        <v>46267.20833333334</v>
      </c>
      <c r="B4076">
        <f>TEXT(A4076,"yyyy-mm")</f>
        <v/>
      </c>
      <c r="C4076" s="3">
        <f>HOUR(A4076)</f>
        <v/>
      </c>
      <c r="D4076" s="4" t="n">
        <v>24.313699002875</v>
      </c>
      <c r="E4076" s="4" t="n">
        <v>26.17799834796945</v>
      </c>
      <c r="F4076" s="4" t="n"/>
      <c r="G4076" s="4" t="n">
        <v>16.3</v>
      </c>
      <c r="H4076" s="5" t="n">
        <v>25.41927992479167</v>
      </c>
      <c r="I4076" s="5" t="n">
        <v>25.74981403950556</v>
      </c>
      <c r="J4076" s="5" t="n"/>
      <c r="K4076" s="5" t="n">
        <v>44</v>
      </c>
    </row>
    <row r="4077">
      <c r="A4077" s="2" t="n">
        <v>46267.25</v>
      </c>
      <c r="B4077">
        <f>TEXT(A4077,"yyyy-mm")</f>
        <v/>
      </c>
      <c r="C4077" s="3">
        <f>HOUR(A4077)</f>
        <v/>
      </c>
      <c r="D4077" s="4" t="n">
        <v>24.35719845941111</v>
      </c>
      <c r="E4077" s="4" t="n">
        <v>26.11989707737222</v>
      </c>
      <c r="F4077" s="4" t="n"/>
      <c r="G4077" s="4" t="n">
        <v>15.4</v>
      </c>
      <c r="H4077" s="5" t="n">
        <v>26.259732106825</v>
      </c>
      <c r="I4077" s="5" t="n">
        <v>26.23499732578055</v>
      </c>
      <c r="J4077" s="5" t="n"/>
      <c r="K4077" s="5" t="n">
        <v>45</v>
      </c>
    </row>
    <row r="4078">
      <c r="A4078" s="2" t="n">
        <v>46267.29166666666</v>
      </c>
      <c r="B4078">
        <f>TEXT(A4078,"yyyy-mm")</f>
        <v/>
      </c>
      <c r="C4078" s="3">
        <f>HOUR(A4078)</f>
        <v/>
      </c>
      <c r="D4078" s="4" t="n">
        <v>25.06553971097778</v>
      </c>
      <c r="E4078" s="4" t="n">
        <v>26.50296540225278</v>
      </c>
      <c r="F4078" s="4" t="n"/>
      <c r="G4078" s="4" t="n">
        <v>16.3</v>
      </c>
      <c r="H4078" s="5" t="n">
        <v>26.08249473169167</v>
      </c>
      <c r="I4078" s="5" t="n">
        <v>26.35173212768611</v>
      </c>
      <c r="J4078" s="5" t="n"/>
      <c r="K4078" s="5" t="n">
        <v>43</v>
      </c>
    </row>
    <row r="4079">
      <c r="A4079" s="2" t="n">
        <v>46267.33333333334</v>
      </c>
      <c r="B4079">
        <f>TEXT(A4079,"yyyy-mm")</f>
        <v/>
      </c>
      <c r="C4079" s="3">
        <f>HOUR(A4079)</f>
        <v/>
      </c>
      <c r="D4079" s="4" t="n">
        <v>26.06333011396111</v>
      </c>
      <c r="E4079" s="4" t="n">
        <v>27.39768094224722</v>
      </c>
      <c r="F4079" s="4" t="n"/>
      <c r="G4079" s="4" t="n">
        <v>18</v>
      </c>
      <c r="H4079" s="5" t="n">
        <v>26.67689808011111</v>
      </c>
      <c r="I4079" s="5" t="n">
        <v>26.49391584778333</v>
      </c>
      <c r="J4079" s="5" t="n"/>
      <c r="K4079" s="5" t="n">
        <v>38</v>
      </c>
    </row>
    <row r="4080">
      <c r="A4080" s="2" t="n">
        <v>46267.375</v>
      </c>
      <c r="B4080">
        <f>TEXT(A4080,"yyyy-mm")</f>
        <v/>
      </c>
      <c r="C4080" s="3">
        <f>HOUR(A4080)</f>
        <v/>
      </c>
      <c r="D4080" s="4" t="n">
        <v>26.640665903475</v>
      </c>
      <c r="E4080" s="4" t="n">
        <v>27.91131883851945</v>
      </c>
      <c r="F4080" s="4" t="n"/>
      <c r="G4080" s="4" t="n">
        <v>20.2</v>
      </c>
      <c r="H4080" s="5" t="n">
        <v>28.06489983728056</v>
      </c>
      <c r="I4080" s="5" t="n">
        <v>27.68101002548612</v>
      </c>
      <c r="J4080" s="5" t="n"/>
      <c r="K4080" s="5" t="n">
        <v>34</v>
      </c>
    </row>
    <row r="4081">
      <c r="A4081" s="2" t="n">
        <v>46267.41666666666</v>
      </c>
      <c r="B4081">
        <f>TEXT(A4081,"yyyy-mm")</f>
        <v/>
      </c>
      <c r="C4081" s="3">
        <f>HOUR(A4081)</f>
        <v/>
      </c>
      <c r="D4081" s="4" t="n">
        <v>26.53319995464166</v>
      </c>
      <c r="E4081" s="4" t="n">
        <v>28.04596929535833</v>
      </c>
      <c r="F4081" s="4" t="n">
        <v>28.4405026885162</v>
      </c>
      <c r="G4081" s="4" t="n">
        <v>23</v>
      </c>
      <c r="H4081" s="5" t="n">
        <v>28.54600114508611</v>
      </c>
      <c r="I4081" s="5" t="n">
        <v>30.341043845875</v>
      </c>
      <c r="J4081" s="5" t="n">
        <v>37.00883363125388</v>
      </c>
      <c r="K4081" s="5" t="n">
        <v>30</v>
      </c>
    </row>
    <row r="4082">
      <c r="A4082" s="2" t="n">
        <v>46267.45833333334</v>
      </c>
      <c r="B4082">
        <f>TEXT(A4082,"yyyy-mm")</f>
        <v/>
      </c>
      <c r="C4082" s="3">
        <f>HOUR(A4082)</f>
        <v/>
      </c>
      <c r="D4082" s="4" t="n">
        <v>26.61722938902777</v>
      </c>
      <c r="E4082" s="4" t="n">
        <v>27.68355902450556</v>
      </c>
      <c r="F4082" s="4" t="n">
        <v>28.95104773776944</v>
      </c>
      <c r="G4082" s="4" t="n">
        <v>24.6</v>
      </c>
      <c r="H4082" s="5" t="n">
        <v>29.95999691153611</v>
      </c>
      <c r="I4082" s="5" t="n">
        <v>31.8355224758</v>
      </c>
      <c r="J4082" s="5" t="n">
        <v>36.34169167560834</v>
      </c>
      <c r="K4082" s="5" t="n">
        <v>28</v>
      </c>
    </row>
    <row r="4083">
      <c r="A4083" s="2" t="n">
        <v>46267.5</v>
      </c>
      <c r="B4083">
        <f>TEXT(A4083,"yyyy-mm")</f>
        <v/>
      </c>
      <c r="C4083" s="3">
        <f>HOUR(A4083)</f>
        <v/>
      </c>
      <c r="D4083" s="4" t="n">
        <v>26.63037592889445</v>
      </c>
      <c r="E4083" s="4" t="n">
        <v>27.5442030216</v>
      </c>
      <c r="F4083" s="4" t="n">
        <v>29.13158935509166</v>
      </c>
      <c r="G4083" s="4" t="n">
        <v>26.2</v>
      </c>
      <c r="H4083" s="5" t="n">
        <v>29.22949403797778</v>
      </c>
      <c r="I4083" s="5" t="n">
        <v>31.50689445337778</v>
      </c>
      <c r="J4083" s="5" t="n">
        <v>36.35888429231111</v>
      </c>
      <c r="K4083" s="5" t="n">
        <v>26</v>
      </c>
    </row>
    <row r="4084">
      <c r="A4084" s="2" t="n">
        <v>46267.54166666666</v>
      </c>
      <c r="B4084">
        <f>TEXT(A4084,"yyyy-mm")</f>
        <v/>
      </c>
      <c r="C4084" s="3">
        <f>HOUR(A4084)</f>
        <v/>
      </c>
      <c r="D4084" s="4" t="n">
        <v>26.800206653725</v>
      </c>
      <c r="E4084" s="4" t="n">
        <v>27.81419072463889</v>
      </c>
      <c r="F4084" s="4" t="n">
        <v>29.25195082064444</v>
      </c>
      <c r="G4084" s="4" t="n">
        <v>26.3</v>
      </c>
      <c r="H4084" s="5" t="n">
        <v>29.81279924769167</v>
      </c>
      <c r="I4084" s="5" t="n">
        <v>31.15561075230556</v>
      </c>
      <c r="J4084" s="5" t="n">
        <v>36.51209031706944</v>
      </c>
      <c r="K4084" s="5" t="n">
        <v>27</v>
      </c>
    </row>
    <row r="4085">
      <c r="A4085" s="2" t="n">
        <v>46267.58333333334</v>
      </c>
      <c r="B4085">
        <f>TEXT(A4085,"yyyy-mm")</f>
        <v/>
      </c>
      <c r="C4085" s="3">
        <f>HOUR(A4085)</f>
        <v/>
      </c>
      <c r="D4085" s="4" t="n">
        <v>26.95528688256667</v>
      </c>
      <c r="E4085" s="4" t="n">
        <v>27.83898261873611</v>
      </c>
      <c r="F4085" s="4" t="n">
        <v>29.36516193662777</v>
      </c>
      <c r="G4085" s="4" t="n">
        <v>25.6</v>
      </c>
      <c r="H4085" s="5" t="n">
        <v>31.31811399861944</v>
      </c>
      <c r="I4085" s="5" t="n">
        <v>36.95051741488333</v>
      </c>
      <c r="J4085" s="5" t="n">
        <v>36.96950516935278</v>
      </c>
      <c r="K4085" s="5" t="n">
        <v>32</v>
      </c>
    </row>
    <row r="4086">
      <c r="A4086" s="2" t="n">
        <v>46267.625</v>
      </c>
      <c r="B4086">
        <f>TEXT(A4086,"yyyy-mm")</f>
        <v/>
      </c>
      <c r="C4086" s="3">
        <f>HOUR(A4086)</f>
        <v/>
      </c>
      <c r="D4086" s="4" t="n">
        <v>27.15226168706111</v>
      </c>
      <c r="E4086" s="4" t="n">
        <v>28.54242756077777</v>
      </c>
      <c r="F4086" s="4" t="n">
        <v>29.46853396931944</v>
      </c>
      <c r="G4086" s="4" t="n">
        <v>27.6</v>
      </c>
      <c r="H4086" s="5" t="n">
        <v>33.57408189919167</v>
      </c>
      <c r="I4086" s="5" t="n">
        <v>33.63096325638611</v>
      </c>
      <c r="J4086" s="5" t="n">
        <v>37.37136696845</v>
      </c>
      <c r="K4086" s="5" t="n">
        <v>30</v>
      </c>
    </row>
    <row r="4087">
      <c r="A4087" s="2" t="n">
        <v>46267.66666666666</v>
      </c>
      <c r="B4087">
        <f>TEXT(A4087,"yyyy-mm")</f>
        <v/>
      </c>
      <c r="C4087" s="3">
        <f>HOUR(A4087)</f>
        <v/>
      </c>
      <c r="D4087" s="4" t="n">
        <v>27.47134488691389</v>
      </c>
      <c r="E4087" s="4" t="n">
        <v>29.7096159152</v>
      </c>
      <c r="F4087" s="4" t="n">
        <v>29.55968381008611</v>
      </c>
      <c r="G4087" s="4" t="n">
        <v>27.4</v>
      </c>
      <c r="H4087" s="5" t="n">
        <v>36.38541478673334</v>
      </c>
      <c r="I4087" s="5" t="n">
        <v>34.71388051212778</v>
      </c>
      <c r="J4087" s="5" t="n">
        <v>37.85855279438334</v>
      </c>
      <c r="K4087" s="5" t="n">
        <v>31</v>
      </c>
    </row>
    <row r="4088">
      <c r="A4088" s="2" t="n">
        <v>46267.70833333334</v>
      </c>
      <c r="B4088">
        <f>TEXT(A4088,"yyyy-mm")</f>
        <v/>
      </c>
      <c r="C4088" s="3">
        <f>HOUR(A4088)</f>
        <v/>
      </c>
      <c r="D4088" s="4" t="n">
        <v>27.5066598521</v>
      </c>
      <c r="E4088" s="4" t="n">
        <v>29.12216135433889</v>
      </c>
      <c r="F4088" s="4" t="n">
        <v>29.62678918161389</v>
      </c>
      <c r="G4088" s="4" t="n">
        <v>26.8</v>
      </c>
      <c r="H4088" s="5" t="n">
        <v>37.56363481801667</v>
      </c>
      <c r="I4088" s="5" t="n">
        <v>36.46384603906111</v>
      </c>
      <c r="J4088" s="5" t="n">
        <v>38.65536280811389</v>
      </c>
      <c r="K4088" s="5" t="n">
        <v>33</v>
      </c>
    </row>
    <row r="4089">
      <c r="A4089" s="2" t="n">
        <v>46267.75</v>
      </c>
      <c r="B4089">
        <f>TEXT(A4089,"yyyy-mm")</f>
        <v/>
      </c>
      <c r="C4089" s="3">
        <f>HOUR(A4089)</f>
        <v/>
      </c>
      <c r="D4089" s="4" t="n">
        <v>27.45078499165277</v>
      </c>
      <c r="E4089" s="4" t="n">
        <v>28.88263435241389</v>
      </c>
      <c r="F4089" s="4" t="n">
        <v>29.58975555345556</v>
      </c>
      <c r="G4089" s="4" t="n">
        <v>26</v>
      </c>
      <c r="H4089" s="5" t="n">
        <v>36.71539855530556</v>
      </c>
      <c r="I4089" s="5" t="n">
        <v>36.27264809014722</v>
      </c>
      <c r="J4089" s="5" t="n">
        <v>38.87683231567778</v>
      </c>
      <c r="K4089" s="5" t="n">
        <v>37</v>
      </c>
    </row>
    <row r="4090">
      <c r="A4090" s="2" t="n">
        <v>46267.79166666666</v>
      </c>
      <c r="B4090">
        <f>TEXT(A4090,"yyyy-mm")</f>
        <v/>
      </c>
      <c r="C4090" s="3">
        <f>HOUR(A4090)</f>
        <v/>
      </c>
      <c r="D4090" s="4" t="n">
        <v>27.232711720725</v>
      </c>
      <c r="E4090" s="4" t="n">
        <v>28.55228370466945</v>
      </c>
      <c r="F4090" s="4" t="n">
        <v>29.59605603547778</v>
      </c>
      <c r="G4090" s="4" t="n">
        <v>24.8</v>
      </c>
      <c r="H4090" s="5" t="n">
        <v>35.76028360021667</v>
      </c>
      <c r="I4090" s="5" t="n">
        <v>36.46590603177222</v>
      </c>
      <c r="J4090" s="5" t="n">
        <v>39.13085525254444</v>
      </c>
      <c r="K4090" s="5" t="n">
        <v>41</v>
      </c>
    </row>
    <row r="4091">
      <c r="A4091" s="2" t="n">
        <v>46267.83333333334</v>
      </c>
      <c r="B4091">
        <f>TEXT(A4091,"yyyy-mm")</f>
        <v/>
      </c>
      <c r="C4091" s="3">
        <f>HOUR(A4091)</f>
        <v/>
      </c>
      <c r="D4091" s="4" t="n">
        <v>26.78695259864167</v>
      </c>
      <c r="E4091" s="4" t="n">
        <v>28.34169019177778</v>
      </c>
      <c r="F4091" s="4" t="n">
        <v>29.558138665875</v>
      </c>
      <c r="G4091" s="4" t="n">
        <v>23.3</v>
      </c>
      <c r="H4091" s="5" t="n">
        <v>37.20530507424166</v>
      </c>
      <c r="I4091" s="5" t="n">
        <v>37.42754203839444</v>
      </c>
      <c r="J4091" s="5" t="n">
        <v>39.21453991254445</v>
      </c>
      <c r="K4091" s="5" t="n">
        <v>47</v>
      </c>
    </row>
    <row r="4092">
      <c r="A4092" s="2" t="n">
        <v>46267.875</v>
      </c>
      <c r="B4092">
        <f>TEXT(A4092,"yyyy-mm")</f>
        <v/>
      </c>
      <c r="C4092" s="3">
        <f>HOUR(A4092)</f>
        <v/>
      </c>
      <c r="D4092" s="4" t="n">
        <v>26.14064859299722</v>
      </c>
      <c r="E4092" s="4" t="n">
        <v>28.31776655714167</v>
      </c>
      <c r="F4092" s="4" t="n">
        <v>29.50082733047222</v>
      </c>
      <c r="G4092" s="4" t="n">
        <v>22.1</v>
      </c>
      <c r="H4092" s="5" t="n">
        <v>40.75218149505556</v>
      </c>
      <c r="I4092" s="5" t="n">
        <v>39.41927220278333</v>
      </c>
      <c r="J4092" s="5" t="n">
        <v>39.09438103235833</v>
      </c>
      <c r="K4092" s="5" t="n">
        <v>51</v>
      </c>
    </row>
    <row r="4093">
      <c r="A4093" s="2" t="n">
        <v>46267.91666666666</v>
      </c>
      <c r="B4093">
        <f>TEXT(A4093,"yyyy-mm")</f>
        <v/>
      </c>
      <c r="C4093" s="3">
        <f>HOUR(A4093)</f>
        <v/>
      </c>
      <c r="D4093" s="4" t="n">
        <v>25.96377189376389</v>
      </c>
      <c r="E4093" s="4" t="n">
        <v>28.48657538396667</v>
      </c>
      <c r="F4093" s="4" t="n">
        <v>29.4696328627</v>
      </c>
      <c r="G4093" s="4" t="n">
        <v>21.1</v>
      </c>
      <c r="H4093" s="5" t="n">
        <v>40.93112885819445</v>
      </c>
      <c r="I4093" s="5" t="n">
        <v>38.87648872041667</v>
      </c>
      <c r="J4093" s="5" t="n">
        <v>39.07955632271389</v>
      </c>
      <c r="K4093" s="5" t="n">
        <v>54</v>
      </c>
    </row>
    <row r="4094">
      <c r="A4094" s="2" t="n">
        <v>46267.95833333334</v>
      </c>
      <c r="B4094">
        <f>TEXT(A4094,"yyyy-mm")</f>
        <v/>
      </c>
      <c r="C4094" s="3">
        <f>HOUR(A4094)</f>
        <v/>
      </c>
      <c r="D4094" s="4" t="n">
        <v>25.89385260830833</v>
      </c>
      <c r="E4094" s="4" t="n">
        <v>28.13294172048333</v>
      </c>
      <c r="F4094" s="4" t="n">
        <v>29.419466402125</v>
      </c>
      <c r="G4094" s="4" t="n">
        <v>20</v>
      </c>
      <c r="H4094" s="5" t="n">
        <v>40.18138939078612</v>
      </c>
      <c r="I4094" s="5" t="n">
        <v>38.63330074817778</v>
      </c>
      <c r="J4094" s="5" t="n">
        <v>39.17609827110277</v>
      </c>
      <c r="K4094" s="5" t="n">
        <v>57</v>
      </c>
    </row>
    <row r="4095">
      <c r="A4095" s="2" t="n">
        <v>46268</v>
      </c>
      <c r="B4095">
        <f>TEXT(A4095,"yyyy-mm")</f>
        <v/>
      </c>
      <c r="C4095" s="3">
        <f>HOUR(A4095)</f>
        <v/>
      </c>
      <c r="D4095" s="4" t="n">
        <v>25.57953292023333</v>
      </c>
      <c r="E4095" s="4" t="n">
        <v>28.16091310853056</v>
      </c>
      <c r="F4095" s="4" t="n">
        <v>29.39566592435833</v>
      </c>
      <c r="G4095" s="4" t="n">
        <v>19.2</v>
      </c>
      <c r="H4095" s="5" t="n">
        <v>40.11334701107777</v>
      </c>
      <c r="I4095" s="5" t="n">
        <v>37.60749323304445</v>
      </c>
      <c r="J4095" s="5" t="n">
        <v>39.26395163654723</v>
      </c>
      <c r="K4095" s="5" t="n">
        <v>60</v>
      </c>
    </row>
    <row r="4096">
      <c r="A4096" s="2" t="n">
        <v>46268.04166666666</v>
      </c>
      <c r="B4096">
        <f>TEXT(A4096,"yyyy-mm")</f>
        <v/>
      </c>
      <c r="C4096" s="3">
        <f>HOUR(A4096)</f>
        <v/>
      </c>
      <c r="D4096" s="4" t="n">
        <v>25.14378671384722</v>
      </c>
      <c r="E4096" s="4" t="n">
        <v>27.47828958808333</v>
      </c>
      <c r="F4096" s="4" t="n">
        <v>29.31036611984722</v>
      </c>
      <c r="G4096" s="4" t="n">
        <v>18.4</v>
      </c>
      <c r="H4096" s="5" t="n">
        <v>40.68529799820833</v>
      </c>
      <c r="I4096" s="5" t="n">
        <v>38.39166214335278</v>
      </c>
      <c r="J4096" s="5" t="n">
        <v>39.73944663561944</v>
      </c>
      <c r="K4096" s="5" t="n">
        <v>63</v>
      </c>
    </row>
    <row r="4097">
      <c r="A4097" s="2" t="n">
        <v>46268.08333333334</v>
      </c>
      <c r="B4097">
        <f>TEXT(A4097,"yyyy-mm")</f>
        <v/>
      </c>
      <c r="C4097" s="3">
        <f>HOUR(A4097)</f>
        <v/>
      </c>
      <c r="D4097" s="4" t="n">
        <v>24.65000384121112</v>
      </c>
      <c r="E4097" s="4" t="n">
        <v>27.07143766015</v>
      </c>
      <c r="F4097" s="4" t="n">
        <v>29.26148285958889</v>
      </c>
      <c r="G4097" s="4" t="n">
        <v>17.7</v>
      </c>
      <c r="H4097" s="5" t="n">
        <v>40.56496356568333</v>
      </c>
      <c r="I4097" s="5" t="n">
        <v>37.49988615094444</v>
      </c>
      <c r="J4097" s="5" t="n">
        <v>39.635488381125</v>
      </c>
      <c r="K4097" s="5" t="n">
        <v>66</v>
      </c>
    </row>
    <row r="4098">
      <c r="A4098" s="2" t="n">
        <v>46268.125</v>
      </c>
      <c r="B4098">
        <f>TEXT(A4098,"yyyy-mm")</f>
        <v/>
      </c>
      <c r="C4098" s="3">
        <f>HOUR(A4098)</f>
        <v/>
      </c>
      <c r="D4098" s="4" t="n">
        <v>24.34487782461111</v>
      </c>
      <c r="E4098" s="4" t="n">
        <v>26.80383065741111</v>
      </c>
      <c r="F4098" s="4" t="n">
        <v>29.20629398769167</v>
      </c>
      <c r="G4098" s="4" t="n">
        <v>16.6</v>
      </c>
      <c r="H4098" s="5" t="n">
        <v>40.59768029679167</v>
      </c>
      <c r="I4098" s="5" t="n">
        <v>36.98212180714444</v>
      </c>
      <c r="J4098" s="5" t="n">
        <v>39.59324453376389</v>
      </c>
      <c r="K4098" s="5" t="n">
        <v>69</v>
      </c>
    </row>
    <row r="4099">
      <c r="A4099" s="2" t="n">
        <v>46268.16666666666</v>
      </c>
      <c r="B4099">
        <f>TEXT(A4099,"yyyy-mm")</f>
        <v/>
      </c>
      <c r="C4099" s="3">
        <f>HOUR(A4099)</f>
        <v/>
      </c>
      <c r="D4099" s="4" t="n">
        <v>24.060118273175</v>
      </c>
      <c r="E4099" s="4" t="n">
        <v>26.55169436990278</v>
      </c>
      <c r="F4099" s="4" t="n">
        <v>29.15811037978889</v>
      </c>
      <c r="G4099" s="4" t="n">
        <v>16</v>
      </c>
      <c r="H4099" s="5" t="n">
        <v>41.16072944400555</v>
      </c>
      <c r="I4099" s="5" t="n">
        <v>37.15661672373334</v>
      </c>
      <c r="J4099" s="5" t="n">
        <v>39.58204388771112</v>
      </c>
      <c r="K4099" s="5" t="n">
        <v>72</v>
      </c>
    </row>
    <row r="4100">
      <c r="A4100" s="2" t="n">
        <v>46268.20833333334</v>
      </c>
      <c r="B4100">
        <f>TEXT(A4100,"yyyy-mm")</f>
        <v/>
      </c>
      <c r="C4100" s="3">
        <f>HOUR(A4100)</f>
        <v/>
      </c>
      <c r="D4100" s="4" t="n">
        <v>23.82857616318889</v>
      </c>
      <c r="E4100" s="4" t="n">
        <v>26.39424160049444</v>
      </c>
      <c r="F4100" s="4" t="n">
        <v>29.11806083386667</v>
      </c>
      <c r="G4100" s="4" t="n">
        <v>15.3</v>
      </c>
      <c r="H4100" s="5" t="n">
        <v>41.60473308785</v>
      </c>
      <c r="I4100" s="5" t="n">
        <v>37.25202513212501</v>
      </c>
      <c r="J4100" s="5" t="n">
        <v>39.60168971333056</v>
      </c>
      <c r="K4100" s="5" t="n">
        <v>75</v>
      </c>
    </row>
    <row r="4101">
      <c r="A4101" s="2" t="n">
        <v>46268.25</v>
      </c>
      <c r="B4101">
        <f>TEXT(A4101,"yyyy-mm")</f>
        <v/>
      </c>
      <c r="C4101" s="3">
        <f>HOUR(A4101)</f>
        <v/>
      </c>
      <c r="D4101" s="4" t="n">
        <v>23.94185666337778</v>
      </c>
      <c r="E4101" s="4" t="n">
        <v>26.451939865375</v>
      </c>
      <c r="F4101" s="4" t="n">
        <v>29.08778439868611</v>
      </c>
      <c r="G4101" s="4" t="n">
        <v>14.9</v>
      </c>
      <c r="H4101" s="5" t="n">
        <v>41.79691191555</v>
      </c>
      <c r="I4101" s="5" t="n">
        <v>37.43650824045833</v>
      </c>
      <c r="J4101" s="5" t="n">
        <v>39.64347373888611</v>
      </c>
      <c r="K4101" s="5" t="n">
        <v>77</v>
      </c>
    </row>
    <row r="4102">
      <c r="A4102" s="2" t="n">
        <v>46268.29166666666</v>
      </c>
      <c r="B4102">
        <f>TEXT(A4102,"yyyy-mm")</f>
        <v/>
      </c>
      <c r="C4102" s="3">
        <f>HOUR(A4102)</f>
        <v/>
      </c>
      <c r="D4102" s="4" t="n">
        <v>24.30976304156944</v>
      </c>
      <c r="E4102" s="4" t="n">
        <v>26.59230929461667</v>
      </c>
      <c r="F4102" s="4" t="n">
        <v>29.07478861432778</v>
      </c>
      <c r="G4102" s="4" t="n">
        <v>15.6</v>
      </c>
      <c r="H4102" s="5" t="n">
        <v>41.45371492374166</v>
      </c>
      <c r="I4102" s="5" t="n">
        <v>37.48771365741389</v>
      </c>
      <c r="J4102" s="5" t="n">
        <v>39.68472626029167</v>
      </c>
      <c r="K4102" s="5" t="n">
        <v>74</v>
      </c>
    </row>
    <row r="4103">
      <c r="A4103" s="2" t="n">
        <v>46268.33333333334</v>
      </c>
      <c r="B4103">
        <f>TEXT(A4103,"yyyy-mm")</f>
        <v/>
      </c>
      <c r="C4103" s="3">
        <f>HOUR(A4103)</f>
        <v/>
      </c>
      <c r="D4103" s="4" t="n">
        <v>25.10437784879444</v>
      </c>
      <c r="E4103" s="4" t="n">
        <v>26.90758879091389</v>
      </c>
      <c r="F4103" s="4" t="n">
        <v>29.07823905833889</v>
      </c>
      <c r="G4103" s="4" t="n">
        <v>17.3</v>
      </c>
      <c r="H4103" s="5" t="n">
        <v>40.40470709591667</v>
      </c>
      <c r="I4103" s="5" t="n">
        <v>37.62417507412778</v>
      </c>
      <c r="J4103" s="5" t="n">
        <v>39.75807193196666</v>
      </c>
      <c r="K4103" s="5" t="n">
        <v>66</v>
      </c>
    </row>
    <row r="4104">
      <c r="A4104" s="2" t="n">
        <v>46268.375</v>
      </c>
      <c r="B4104">
        <f>TEXT(A4104,"yyyy-mm")</f>
        <v/>
      </c>
      <c r="C4104" s="3">
        <f>HOUR(A4104)</f>
        <v/>
      </c>
      <c r="D4104" s="4" t="n">
        <v>25.71490823296667</v>
      </c>
      <c r="E4104" s="4" t="n">
        <v>27.2588408628</v>
      </c>
      <c r="F4104" s="4" t="n">
        <v>29.09643711425555</v>
      </c>
      <c r="G4104" s="4" t="n">
        <v>19.7</v>
      </c>
      <c r="H4104" s="5" t="n">
        <v>39.30128652814444</v>
      </c>
      <c r="I4104" s="5" t="n">
        <v>37.58084917059167</v>
      </c>
      <c r="J4104" s="5" t="n">
        <v>39.82885418992777</v>
      </c>
      <c r="K4104" s="5" t="n">
        <v>56</v>
      </c>
    </row>
    <row r="4105">
      <c r="A4105" s="2" t="n">
        <v>46268.41666666666</v>
      </c>
      <c r="B4105">
        <f>TEXT(A4105,"yyyy-mm")</f>
        <v/>
      </c>
      <c r="C4105" s="3">
        <f>HOUR(A4105)</f>
        <v/>
      </c>
      <c r="D4105" s="4" t="n">
        <v>26.41906155046667</v>
      </c>
      <c r="E4105" s="4" t="n">
        <v>28.100381569675</v>
      </c>
      <c r="F4105" s="4" t="n">
        <v>29.11928349815833</v>
      </c>
      <c r="G4105" s="4" t="n">
        <v>21.8</v>
      </c>
      <c r="H4105" s="5" t="n">
        <v>38.59329467021389</v>
      </c>
      <c r="I4105" s="5" t="n">
        <v>35.88195860513056</v>
      </c>
      <c r="J4105" s="5" t="n">
        <v>39.87084993635556</v>
      </c>
      <c r="K4105" s="5" t="n">
        <v>47</v>
      </c>
    </row>
    <row r="4106">
      <c r="A4106" s="2" t="n">
        <v>46268.45833333334</v>
      </c>
      <c r="B4106">
        <f>TEXT(A4106,"yyyy-mm")</f>
        <v/>
      </c>
      <c r="C4106" s="3">
        <f>HOUR(A4106)</f>
        <v/>
      </c>
      <c r="D4106" s="4" t="n">
        <v>26.89725075940833</v>
      </c>
      <c r="E4106" s="4" t="n">
        <v>28.593705244175</v>
      </c>
      <c r="F4106" s="4" t="n">
        <v>29.15811300288334</v>
      </c>
      <c r="G4106" s="4" t="n">
        <v>23</v>
      </c>
      <c r="H4106" s="5" t="n">
        <v>37.72119640760834</v>
      </c>
      <c r="I4106" s="5" t="n">
        <v>35.73030880879723</v>
      </c>
      <c r="J4106" s="5" t="n">
        <v>39.87210425761389</v>
      </c>
      <c r="K4106" s="5" t="n">
        <v>43</v>
      </c>
    </row>
    <row r="4107">
      <c r="A4107" s="2" t="n">
        <v>46268.5</v>
      </c>
      <c r="B4107">
        <f>TEXT(A4107,"yyyy-mm")</f>
        <v/>
      </c>
      <c r="C4107" s="3">
        <f>HOUR(A4107)</f>
        <v/>
      </c>
      <c r="D4107" s="4" t="n">
        <v>27.24379369905278</v>
      </c>
      <c r="E4107" s="4" t="n">
        <v>29.20079748615278</v>
      </c>
      <c r="F4107" s="4" t="n">
        <v>29.24131453325556</v>
      </c>
      <c r="G4107" s="4" t="n">
        <v>24.2</v>
      </c>
      <c r="H4107" s="5" t="n">
        <v>36.73869303557223</v>
      </c>
      <c r="I4107" s="5" t="n">
        <v>36.03380102128612</v>
      </c>
      <c r="J4107" s="5" t="n">
        <v>42.1415915733</v>
      </c>
      <c r="K4107" s="5" t="n">
        <v>39</v>
      </c>
    </row>
    <row r="4108">
      <c r="A4108" s="2" t="n">
        <v>46268.54166666666</v>
      </c>
      <c r="B4108">
        <f>TEXT(A4108,"yyyy-mm")</f>
        <v/>
      </c>
      <c r="C4108" s="3">
        <f>HOUR(A4108)</f>
        <v/>
      </c>
      <c r="D4108" s="4" t="n">
        <v>27.24608355140556</v>
      </c>
      <c r="E4108" s="4" t="n">
        <v>28.78198491639445</v>
      </c>
      <c r="F4108" s="4" t="n"/>
      <c r="G4108" s="4" t="n">
        <v>25</v>
      </c>
      <c r="H4108" s="5" t="n">
        <v>35.99773569814445</v>
      </c>
      <c r="I4108" s="5" t="n">
        <v>34.76208999861944</v>
      </c>
      <c r="J4108" s="5" t="n"/>
      <c r="K4108" s="5" t="n">
        <v>38</v>
      </c>
    </row>
    <row r="4109">
      <c r="A4109" s="2" t="n">
        <v>46268.58333333334</v>
      </c>
      <c r="B4109">
        <f>TEXT(A4109,"yyyy-mm")</f>
        <v/>
      </c>
      <c r="C4109" s="3">
        <f>HOUR(A4109)</f>
        <v/>
      </c>
      <c r="D4109" s="4" t="n">
        <v>27.24239336360278</v>
      </c>
      <c r="E4109" s="4" t="n">
        <v>28.753951208825</v>
      </c>
      <c r="F4109" s="4" t="n"/>
      <c r="G4109" s="4" t="n">
        <v>25.4</v>
      </c>
      <c r="H4109" s="5" t="n">
        <v>34.9748430282639</v>
      </c>
      <c r="I4109" s="5" t="n">
        <v>33.64923559341111</v>
      </c>
      <c r="J4109" s="5" t="n"/>
      <c r="K4109" s="5" t="n">
        <v>38</v>
      </c>
    </row>
    <row r="4110">
      <c r="A4110" s="2" t="n">
        <v>46268.625</v>
      </c>
      <c r="B4110">
        <f>TEXT(A4110,"yyyy-mm")</f>
        <v/>
      </c>
      <c r="C4110" s="3">
        <f>HOUR(A4110)</f>
        <v/>
      </c>
      <c r="D4110" s="4" t="n">
        <v>27.17553079147778</v>
      </c>
      <c r="E4110" s="4" t="n">
        <v>28.38392773748889</v>
      </c>
      <c r="F4110" s="4" t="n"/>
      <c r="G4110" s="4" t="n">
        <v>25.9</v>
      </c>
      <c r="H4110" s="5" t="n">
        <v>32.81043226532222</v>
      </c>
      <c r="I4110" s="5" t="n">
        <v>33.36477684270278</v>
      </c>
      <c r="J4110" s="5" t="n"/>
      <c r="K4110" s="5" t="n">
        <v>35</v>
      </c>
    </row>
    <row r="4111">
      <c r="A4111" s="2" t="n">
        <v>46268.66666666666</v>
      </c>
      <c r="B4111">
        <f>TEXT(A4111,"yyyy-mm")</f>
        <v/>
      </c>
      <c r="C4111" s="3">
        <f>HOUR(A4111)</f>
        <v/>
      </c>
      <c r="D4111" s="4" t="n">
        <v>27.14748202737222</v>
      </c>
      <c r="E4111" s="4" t="n">
        <v>28.50397873790556</v>
      </c>
      <c r="F4111" s="4" t="n">
        <v>29.03632602112822</v>
      </c>
      <c r="G4111" s="4" t="n">
        <v>25.7</v>
      </c>
      <c r="H4111" s="5" t="n">
        <v>32.43658399565</v>
      </c>
      <c r="I4111" s="5" t="n">
        <v>32.39558627474445</v>
      </c>
      <c r="J4111" s="5" t="n">
        <v>39.5205293925361</v>
      </c>
      <c r="K4111" s="5" t="n">
        <v>35</v>
      </c>
    </row>
    <row r="4112">
      <c r="A4112" s="2" t="n">
        <v>46268.70833333334</v>
      </c>
      <c r="B4112">
        <f>TEXT(A4112,"yyyy-mm")</f>
        <v/>
      </c>
      <c r="C4112" s="3">
        <f>HOUR(A4112)</f>
        <v/>
      </c>
      <c r="D4112" s="4" t="n">
        <v>27.121180912175</v>
      </c>
      <c r="E4112" s="4" t="n">
        <v>28.35482813085</v>
      </c>
      <c r="F4112" s="4" t="n">
        <v>29.34038340989722</v>
      </c>
      <c r="G4112" s="4" t="n">
        <v>25.4</v>
      </c>
      <c r="H4112" s="5" t="n">
        <v>32.27387861051111</v>
      </c>
      <c r="I4112" s="5" t="n">
        <v>32.31919812406667</v>
      </c>
      <c r="J4112" s="5" t="n">
        <v>39.52478976615834</v>
      </c>
      <c r="K4112" s="5" t="n">
        <v>36</v>
      </c>
    </row>
    <row r="4113">
      <c r="A4113" s="2" t="n">
        <v>46268.75</v>
      </c>
      <c r="B4113">
        <f>TEXT(A4113,"yyyy-mm")</f>
        <v/>
      </c>
      <c r="C4113" s="3">
        <f>HOUR(A4113)</f>
        <v/>
      </c>
      <c r="D4113" s="4" t="n">
        <v>25.78358961712222</v>
      </c>
      <c r="E4113" s="4" t="n">
        <v>27.311117397625</v>
      </c>
      <c r="F4113" s="4" t="n">
        <v>29.45682111958333</v>
      </c>
      <c r="G4113" s="4" t="n">
        <v>24.8</v>
      </c>
      <c r="H4113" s="5" t="n">
        <v>32.28473823291111</v>
      </c>
      <c r="I4113" s="5" t="n">
        <v>32.41479031818334</v>
      </c>
      <c r="J4113" s="5" t="n">
        <v>39.27287789855556</v>
      </c>
      <c r="K4113" s="5" t="n">
        <v>37</v>
      </c>
    </row>
    <row r="4114">
      <c r="A4114" s="2" t="n">
        <v>46268.79166666666</v>
      </c>
      <c r="B4114">
        <f>TEXT(A4114,"yyyy-mm")</f>
        <v/>
      </c>
      <c r="C4114" s="3">
        <f>HOUR(A4114)</f>
        <v/>
      </c>
      <c r="D4114" s="4" t="n">
        <v>24.98834387710556</v>
      </c>
      <c r="E4114" s="4" t="n">
        <v>27.07908942310556</v>
      </c>
      <c r="F4114" s="4" t="n">
        <v>29.489017551625</v>
      </c>
      <c r="G4114" s="4" t="n">
        <v>23.8</v>
      </c>
      <c r="H4114" s="5" t="n">
        <v>32.79185402375001</v>
      </c>
      <c r="I4114" s="5" t="n">
        <v>31.1091755978</v>
      </c>
      <c r="J4114" s="5" t="n">
        <v>38.71884176068611</v>
      </c>
      <c r="K4114" s="5" t="n">
        <v>39</v>
      </c>
    </row>
    <row r="4115">
      <c r="A4115" s="2" t="n">
        <v>46268.83333333334</v>
      </c>
      <c r="B4115">
        <f>TEXT(A4115,"yyyy-mm")</f>
        <v/>
      </c>
      <c r="C4115" s="3">
        <f>HOUR(A4115)</f>
        <v/>
      </c>
      <c r="D4115" s="4" t="n">
        <v>24.6237454089</v>
      </c>
      <c r="E4115" s="4" t="n">
        <v>26.65869500668612</v>
      </c>
      <c r="F4115" s="4" t="n">
        <v>29.54301390916389</v>
      </c>
      <c r="G4115" s="4" t="n">
        <v>23</v>
      </c>
      <c r="H4115" s="5" t="n">
        <v>31.5157501184</v>
      </c>
      <c r="I4115" s="5" t="n">
        <v>29.69109818838889</v>
      </c>
      <c r="J4115" s="5" t="n">
        <v>38.41024577840555</v>
      </c>
      <c r="K4115" s="5" t="n">
        <v>42</v>
      </c>
    </row>
    <row r="4116">
      <c r="A4116" s="2" t="n">
        <v>46268.875</v>
      </c>
      <c r="B4116">
        <f>TEXT(A4116,"yyyy-mm")</f>
        <v/>
      </c>
      <c r="C4116" s="3">
        <f>HOUR(A4116)</f>
        <v/>
      </c>
      <c r="D4116" s="4" t="n">
        <v>25.80565479443611</v>
      </c>
      <c r="E4116" s="4" t="n">
        <v>27.33563573385556</v>
      </c>
      <c r="F4116" s="4" t="n">
        <v>29.51878404768889</v>
      </c>
      <c r="G4116" s="4" t="n">
        <v>22.3</v>
      </c>
      <c r="H4116" s="5" t="n">
        <v>34.5400259298</v>
      </c>
      <c r="I4116" s="5" t="n">
        <v>32.505917261225</v>
      </c>
      <c r="J4116" s="5" t="n">
        <v>38.37795073191389</v>
      </c>
      <c r="K4116" s="5" t="n">
        <v>45</v>
      </c>
    </row>
    <row r="4117">
      <c r="A4117" s="2" t="n">
        <v>46268.91666666666</v>
      </c>
      <c r="B4117">
        <f>TEXT(A4117,"yyyy-mm")</f>
        <v/>
      </c>
      <c r="C4117" s="3">
        <f>HOUR(A4117)</f>
        <v/>
      </c>
      <c r="D4117" s="4" t="n">
        <v>26.37346097582778</v>
      </c>
      <c r="E4117" s="4" t="n">
        <v>27.77663531330278</v>
      </c>
      <c r="F4117" s="4" t="n">
        <v>29.47603903916666</v>
      </c>
      <c r="G4117" s="4" t="n">
        <v>22</v>
      </c>
      <c r="H4117" s="5" t="n">
        <v>36.52418345071112</v>
      </c>
      <c r="I4117" s="5" t="n">
        <v>35.152141131425</v>
      </c>
      <c r="J4117" s="5" t="n">
        <v>38.78105886590278</v>
      </c>
      <c r="K4117" s="5" t="n">
        <v>46</v>
      </c>
    </row>
    <row r="4118">
      <c r="A4118" s="2" t="n">
        <v>46268.95833333334</v>
      </c>
      <c r="B4118">
        <f>TEXT(A4118,"yyyy-mm")</f>
        <v/>
      </c>
      <c r="C4118" s="3">
        <f>HOUR(A4118)</f>
        <v/>
      </c>
      <c r="D4118" s="4" t="n">
        <v>25.68118172339166</v>
      </c>
      <c r="E4118" s="4" t="n">
        <v>27.56906211141389</v>
      </c>
      <c r="F4118" s="4" t="n">
        <v>29.45827798620833</v>
      </c>
      <c r="G4118" s="4" t="n">
        <v>20.2</v>
      </c>
      <c r="H4118" s="5" t="n">
        <v>38.35184585773612</v>
      </c>
      <c r="I4118" s="5" t="n">
        <v>36.65057211695555</v>
      </c>
      <c r="J4118" s="5" t="n">
        <v>39.17998458727222</v>
      </c>
      <c r="K4118" s="5" t="n">
        <v>55</v>
      </c>
    </row>
    <row r="4119">
      <c r="A4119" s="2" t="n">
        <v>46269</v>
      </c>
      <c r="B4119">
        <f>TEXT(A4119,"yyyy-mm")</f>
        <v/>
      </c>
      <c r="C4119" s="3">
        <f>HOUR(A4119)</f>
        <v/>
      </c>
      <c r="D4119" s="4" t="n">
        <v>24.90685328764722</v>
      </c>
      <c r="E4119" s="4" t="n">
        <v>26.99784728155</v>
      </c>
      <c r="F4119" s="4" t="n">
        <v>29.51487841644445</v>
      </c>
      <c r="G4119" s="4" t="n">
        <v>17.6</v>
      </c>
      <c r="H4119" s="5" t="n">
        <v>40.72819540364166</v>
      </c>
      <c r="I4119" s="5" t="n">
        <v>36.79113170188889</v>
      </c>
      <c r="J4119" s="5" t="n">
        <v>39.44578861961112</v>
      </c>
      <c r="K4119" s="5" t="n">
        <v>72</v>
      </c>
    </row>
    <row r="4120">
      <c r="A4120" s="2" t="n">
        <v>46269.04166666666</v>
      </c>
      <c r="B4120">
        <f>TEXT(A4120,"yyyy-mm")</f>
        <v/>
      </c>
      <c r="C4120" s="3">
        <f>HOUR(A4120)</f>
        <v/>
      </c>
      <c r="D4120" s="4" t="n">
        <v>24.42227267928056</v>
      </c>
      <c r="E4120" s="4" t="n">
        <v>26.81796969704167</v>
      </c>
      <c r="F4120" s="4" t="n">
        <v>29.58600290895556</v>
      </c>
      <c r="G4120" s="4" t="n">
        <v>17.5</v>
      </c>
      <c r="H4120" s="5" t="n">
        <v>41.73562771296111</v>
      </c>
      <c r="I4120" s="5" t="n">
        <v>36.96062275109166</v>
      </c>
      <c r="J4120" s="5" t="n">
        <v>39.65479794446667</v>
      </c>
      <c r="K4120" s="5" t="n">
        <v>73</v>
      </c>
    </row>
    <row r="4121">
      <c r="A4121" s="2" t="n">
        <v>46269.08333333334</v>
      </c>
      <c r="B4121">
        <f>TEXT(A4121,"yyyy-mm")</f>
        <v/>
      </c>
      <c r="C4121" s="3">
        <f>HOUR(A4121)</f>
        <v/>
      </c>
      <c r="D4121" s="4" t="n">
        <v>24.61945949873333</v>
      </c>
      <c r="E4121" s="4" t="n">
        <v>26.35989162098612</v>
      </c>
      <c r="F4121" s="4" t="n">
        <v>29.61808323161111</v>
      </c>
      <c r="G4121" s="4" t="n">
        <v>16.8</v>
      </c>
      <c r="H4121" s="5" t="n">
        <v>41.11515335947778</v>
      </c>
      <c r="I4121" s="5" t="n">
        <v>37.33575320885834</v>
      </c>
      <c r="J4121" s="5" t="n">
        <v>39.79076868085833</v>
      </c>
      <c r="K4121" s="5" t="n">
        <v>77</v>
      </c>
    </row>
    <row r="4122">
      <c r="A4122" s="2" t="n">
        <v>46269.125</v>
      </c>
      <c r="B4122">
        <f>TEXT(A4122,"yyyy-mm")</f>
        <v/>
      </c>
      <c r="C4122" s="3">
        <f>HOUR(A4122)</f>
        <v/>
      </c>
      <c r="D4122" s="4" t="n">
        <v>24.15500507555278</v>
      </c>
      <c r="E4122" s="4" t="n">
        <v>26.331217738075</v>
      </c>
      <c r="F4122" s="4" t="n">
        <v>29.62486249929166</v>
      </c>
      <c r="G4122" s="4" t="n">
        <v>15.6</v>
      </c>
      <c r="H4122" s="5" t="n">
        <v>42.86512747331389</v>
      </c>
      <c r="I4122" s="5" t="n">
        <v>37.894539836025</v>
      </c>
      <c r="J4122" s="5" t="n">
        <v>39.91888148698889</v>
      </c>
      <c r="K4122" s="5" t="n">
        <v>86</v>
      </c>
    </row>
    <row r="4123">
      <c r="A4123" s="2" t="n">
        <v>46269.16666666666</v>
      </c>
      <c r="B4123">
        <f>TEXT(A4123,"yyyy-mm")</f>
        <v/>
      </c>
      <c r="C4123" s="3">
        <f>HOUR(A4123)</f>
        <v/>
      </c>
      <c r="D4123" s="4" t="n">
        <v>24.05286135024722</v>
      </c>
      <c r="E4123" s="4" t="n">
        <v>26.03166342106111</v>
      </c>
      <c r="F4123" s="4" t="n">
        <v>29.62757991816111</v>
      </c>
      <c r="G4123" s="4" t="n">
        <v>15.2</v>
      </c>
      <c r="H4123" s="5" t="n">
        <v>43.32613665408889</v>
      </c>
      <c r="I4123" s="5" t="n">
        <v>38.6950772044</v>
      </c>
      <c r="J4123" s="5" t="n">
        <v>40.05307405471111</v>
      </c>
      <c r="K4123" s="5" t="n">
        <v>90</v>
      </c>
    </row>
    <row r="4124">
      <c r="A4124" s="2" t="n">
        <v>46269.20833333334</v>
      </c>
      <c r="B4124">
        <f>TEXT(A4124,"yyyy-mm")</f>
        <v/>
      </c>
      <c r="C4124" s="3">
        <f>HOUR(A4124)</f>
        <v/>
      </c>
      <c r="D4124" s="4" t="n">
        <v>23.85550003570556</v>
      </c>
      <c r="E4124" s="4" t="n">
        <v>25.77347230709166</v>
      </c>
      <c r="F4124" s="4" t="n">
        <v>29.4963967609</v>
      </c>
      <c r="G4124" s="4" t="n">
        <v>14.8</v>
      </c>
      <c r="H4124" s="5" t="n">
        <v>43.252523400875</v>
      </c>
      <c r="I4124" s="5" t="n">
        <v>38.74092900150278</v>
      </c>
      <c r="J4124" s="5" t="n">
        <v>40.13709883252501</v>
      </c>
      <c r="K4124" s="5" t="n">
        <v>91</v>
      </c>
    </row>
    <row r="4125">
      <c r="A4125" s="2" t="n">
        <v>46269.25</v>
      </c>
      <c r="B4125">
        <f>TEXT(A4125,"yyyy-mm")</f>
        <v/>
      </c>
      <c r="C4125" s="3">
        <f>HOUR(A4125)</f>
        <v/>
      </c>
      <c r="D4125" s="4" t="n">
        <v>23.81454194228889</v>
      </c>
      <c r="E4125" s="4" t="n">
        <v>25.98029219808889</v>
      </c>
      <c r="F4125" s="4" t="n">
        <v>29.39526168881944</v>
      </c>
      <c r="G4125" s="4" t="n">
        <v>14.8</v>
      </c>
      <c r="H4125" s="5" t="n">
        <v>43.82831041424444</v>
      </c>
      <c r="I4125" s="5" t="n">
        <v>38.58037326928889</v>
      </c>
      <c r="J4125" s="5" t="n">
        <v>40.20614282266389</v>
      </c>
      <c r="K4125" s="5" t="n">
        <v>90</v>
      </c>
    </row>
    <row r="4126">
      <c r="A4126" s="2" t="n">
        <v>46269.29166666666</v>
      </c>
      <c r="B4126">
        <f>TEXT(A4126,"yyyy-mm")</f>
        <v/>
      </c>
      <c r="C4126" s="3">
        <f>HOUR(A4126)</f>
        <v/>
      </c>
      <c r="D4126" s="4" t="n">
        <v>25.14296233948611</v>
      </c>
      <c r="E4126" s="4" t="n">
        <v>27.00216848807777</v>
      </c>
      <c r="F4126" s="4" t="n">
        <v>29.37081935600833</v>
      </c>
      <c r="G4126" s="4" t="n">
        <v>15.3</v>
      </c>
      <c r="H4126" s="5" t="n">
        <v>41.73513342552778</v>
      </c>
      <c r="I4126" s="5" t="n">
        <v>37.70993825468611</v>
      </c>
      <c r="J4126" s="5" t="n">
        <v>40.22690335142222</v>
      </c>
      <c r="K4126" s="5" t="n">
        <v>89</v>
      </c>
    </row>
    <row r="4127">
      <c r="A4127" s="2" t="n">
        <v>46269.33333333334</v>
      </c>
      <c r="B4127">
        <f>TEXT(A4127,"yyyy-mm")</f>
        <v/>
      </c>
      <c r="C4127" s="3">
        <f>HOUR(A4127)</f>
        <v/>
      </c>
      <c r="D4127" s="4" t="n">
        <v>26.10024939565833</v>
      </c>
      <c r="E4127" s="4" t="n">
        <v>27.83279092153056</v>
      </c>
      <c r="F4127" s="4" t="n">
        <v>29.38526490558889</v>
      </c>
      <c r="G4127" s="4" t="n">
        <v>16.4</v>
      </c>
      <c r="H4127" s="5" t="n">
        <v>40.32809017226945</v>
      </c>
      <c r="I4127" s="5" t="n">
        <v>37.34669388819722</v>
      </c>
      <c r="J4127" s="5" t="n">
        <v>40.29629671938056</v>
      </c>
      <c r="K4127" s="5" t="n">
        <v>84</v>
      </c>
    </row>
    <row r="4128">
      <c r="A4128" s="2" t="n">
        <v>46269.375</v>
      </c>
      <c r="B4128">
        <f>TEXT(A4128,"yyyy-mm")</f>
        <v/>
      </c>
      <c r="C4128" s="3">
        <f>HOUR(A4128)</f>
        <v/>
      </c>
      <c r="D4128" s="4" t="n">
        <v>26.73608336611389</v>
      </c>
      <c r="E4128" s="4" t="n">
        <v>28.56234843449722</v>
      </c>
      <c r="F4128" s="4" t="n">
        <v>29.39748716440556</v>
      </c>
      <c r="G4128" s="4" t="n">
        <v>18.2</v>
      </c>
      <c r="H4128" s="5" t="n">
        <v>38.39473466670277</v>
      </c>
      <c r="I4128" s="5" t="n">
        <v>35.60126550051667</v>
      </c>
      <c r="J4128" s="5" t="n">
        <v>40.33141494974722</v>
      </c>
      <c r="K4128" s="5" t="n">
        <v>72</v>
      </c>
    </row>
    <row r="4129">
      <c r="A4129" s="2" t="n">
        <v>46269.41666666666</v>
      </c>
      <c r="B4129">
        <f>TEXT(A4129,"yyyy-mm")</f>
        <v/>
      </c>
      <c r="C4129" s="3">
        <f>HOUR(A4129)</f>
        <v/>
      </c>
      <c r="D4129" s="4" t="n">
        <v>27.14739312551944</v>
      </c>
      <c r="E4129" s="4" t="n">
        <v>29.27658987353889</v>
      </c>
      <c r="F4129" s="4" t="n">
        <v>29.42368197779167</v>
      </c>
      <c r="G4129" s="4" t="n">
        <v>20.3</v>
      </c>
      <c r="H4129" s="5" t="n">
        <v>37.75501268238611</v>
      </c>
      <c r="I4129" s="5" t="n">
        <v>35.03494028230278</v>
      </c>
      <c r="J4129" s="5" t="n">
        <v>40.314362136575</v>
      </c>
      <c r="K4129" s="5" t="n">
        <v>59</v>
      </c>
    </row>
    <row r="4130">
      <c r="A4130" s="2" t="n">
        <v>46269.45833333334</v>
      </c>
      <c r="B4130">
        <f>TEXT(A4130,"yyyy-mm")</f>
        <v/>
      </c>
      <c r="C4130" s="3">
        <f>HOUR(A4130)</f>
        <v/>
      </c>
      <c r="D4130" s="4" t="n">
        <v>27.37651590026944</v>
      </c>
      <c r="E4130" s="4" t="n">
        <v>29.28762042121667</v>
      </c>
      <c r="F4130" s="4" t="n">
        <v>29.43496231101111</v>
      </c>
      <c r="G4130" s="4" t="n">
        <v>21.9</v>
      </c>
      <c r="H4130" s="5" t="n">
        <v>35.48100336585556</v>
      </c>
      <c r="I4130" s="5" t="n">
        <v>33.12064717421666</v>
      </c>
      <c r="J4130" s="5" t="n">
        <v>40.73699662870001</v>
      </c>
      <c r="K4130" s="5" t="n">
        <v>51</v>
      </c>
    </row>
    <row r="4131">
      <c r="A4131" s="2" t="n">
        <v>46269.5</v>
      </c>
      <c r="B4131">
        <f>TEXT(A4131,"yyyy-mm")</f>
        <v/>
      </c>
      <c r="C4131" s="3">
        <f>HOUR(A4131)</f>
        <v/>
      </c>
      <c r="D4131" s="4" t="n">
        <v>27.38077585201111</v>
      </c>
      <c r="E4131" s="4" t="n">
        <v>28.90204582878056</v>
      </c>
      <c r="F4131" s="4" t="n">
        <v>29.16350204282778</v>
      </c>
      <c r="G4131" s="4" t="n">
        <v>23.1</v>
      </c>
      <c r="H4131" s="5" t="n">
        <v>34.58709112340278</v>
      </c>
      <c r="I4131" s="5" t="n">
        <v>35.87622213616945</v>
      </c>
      <c r="J4131" s="5" t="n">
        <v>41.83254095417222</v>
      </c>
      <c r="K4131" s="5" t="n">
        <v>45</v>
      </c>
    </row>
    <row r="4132">
      <c r="A4132" s="2" t="n">
        <v>46269.54166666666</v>
      </c>
      <c r="B4132">
        <f>TEXT(A4132,"yyyy-mm")</f>
        <v/>
      </c>
      <c r="C4132" s="3">
        <f>HOUR(A4132)</f>
        <v/>
      </c>
      <c r="D4132" s="4" t="n">
        <v>27.19933625841111</v>
      </c>
      <c r="E4132" s="4" t="n">
        <v>28.60632980846389</v>
      </c>
      <c r="F4132" s="4" t="n">
        <v>28.93135574169445</v>
      </c>
      <c r="G4132" s="4" t="n">
        <v>24</v>
      </c>
      <c r="H4132" s="5" t="n">
        <v>33.86614101044167</v>
      </c>
      <c r="I4132" s="5" t="n">
        <v>37.80812093520277</v>
      </c>
      <c r="J4132" s="5" t="n">
        <v>41.08448949160833</v>
      </c>
      <c r="K4132" s="5" t="n">
        <v>40</v>
      </c>
    </row>
    <row r="4133">
      <c r="A4133" s="2" t="n">
        <v>46269.58333333334</v>
      </c>
      <c r="B4133">
        <f>TEXT(A4133,"yyyy-mm")</f>
        <v/>
      </c>
      <c r="C4133" s="3">
        <f>HOUR(A4133)</f>
        <v/>
      </c>
      <c r="D4133" s="4" t="n">
        <v>27.14069527200556</v>
      </c>
      <c r="E4133" s="4" t="n">
        <v>28.45817083592778</v>
      </c>
      <c r="F4133" s="4" t="n">
        <v>28.77147937744445</v>
      </c>
      <c r="G4133" s="4" t="n">
        <v>24.6</v>
      </c>
      <c r="H4133" s="5" t="n">
        <v>32.12959479143056</v>
      </c>
      <c r="I4133" s="5" t="n">
        <v>35.2693224418</v>
      </c>
      <c r="J4133" s="5" t="n">
        <v>39.79860637008611</v>
      </c>
      <c r="K4133" s="5" t="n">
        <v>38</v>
      </c>
    </row>
    <row r="4134">
      <c r="A4134" s="2" t="n">
        <v>46269.625</v>
      </c>
      <c r="B4134">
        <f>TEXT(A4134,"yyyy-mm")</f>
        <v/>
      </c>
      <c r="C4134" s="3">
        <f>HOUR(A4134)</f>
        <v/>
      </c>
      <c r="D4134" s="4" t="n">
        <v>27.15185369407778</v>
      </c>
      <c r="E4134" s="4" t="n">
        <v>28.407938270225</v>
      </c>
      <c r="F4134" s="4" t="n">
        <v>28.65508203497222</v>
      </c>
      <c r="G4134" s="4" t="n">
        <v>25.7</v>
      </c>
      <c r="H4134" s="5" t="n">
        <v>30.97739065040833</v>
      </c>
      <c r="I4134" s="5" t="n">
        <v>32.72542045883056</v>
      </c>
      <c r="J4134" s="5" t="n">
        <v>38.54658490758333</v>
      </c>
      <c r="K4134" s="5" t="n">
        <v>33</v>
      </c>
    </row>
    <row r="4135">
      <c r="A4135" s="2" t="n">
        <v>46269.66666666666</v>
      </c>
      <c r="B4135">
        <f>TEXT(A4135,"yyyy-mm")</f>
        <v/>
      </c>
      <c r="C4135" s="3">
        <f>HOUR(A4135)</f>
        <v/>
      </c>
      <c r="D4135" s="4" t="n">
        <v>27.18795829945833</v>
      </c>
      <c r="E4135" s="4" t="n">
        <v>28.59383087885556</v>
      </c>
      <c r="F4135" s="4" t="n">
        <v>28.79108101725</v>
      </c>
      <c r="G4135" s="4" t="n">
        <v>25.7</v>
      </c>
      <c r="H4135" s="5" t="n">
        <v>31.03821443144722</v>
      </c>
      <c r="I4135" s="5" t="n">
        <v>33.18319879575001</v>
      </c>
      <c r="J4135" s="5" t="n">
        <v>39.13265753725833</v>
      </c>
      <c r="K4135" s="5" t="n">
        <v>32</v>
      </c>
    </row>
    <row r="4136">
      <c r="A4136" s="2" t="n">
        <v>46269.70833333334</v>
      </c>
      <c r="B4136">
        <f>TEXT(A4136,"yyyy-mm")</f>
        <v/>
      </c>
      <c r="C4136" s="3">
        <f>HOUR(A4136)</f>
        <v/>
      </c>
      <c r="D4136" s="4" t="n">
        <v>27.09928900458889</v>
      </c>
      <c r="E4136" s="4" t="n">
        <v>28.11721289072223</v>
      </c>
      <c r="F4136" s="4" t="n">
        <v>29.02339461674723</v>
      </c>
      <c r="G4136" s="4" t="n">
        <v>25.4</v>
      </c>
      <c r="H4136" s="5" t="n">
        <v>31.19605967232222</v>
      </c>
      <c r="I4136" s="5" t="n">
        <v>34.14538679655278</v>
      </c>
      <c r="J4136" s="5" t="n">
        <v>39.45349138197222</v>
      </c>
      <c r="K4136" s="5" t="n">
        <v>33</v>
      </c>
    </row>
    <row r="4137">
      <c r="A4137" s="2" t="n">
        <v>46269.75</v>
      </c>
      <c r="B4137">
        <f>TEXT(A4137,"yyyy-mm")</f>
        <v/>
      </c>
      <c r="C4137" s="3">
        <f>HOUR(A4137)</f>
        <v/>
      </c>
      <c r="D4137" s="4" t="n">
        <v>26.89414347856945</v>
      </c>
      <c r="E4137" s="4" t="n">
        <v>27.78923444208333</v>
      </c>
      <c r="F4137" s="4" t="n">
        <v>29.11508462716111</v>
      </c>
      <c r="G4137" s="4" t="n">
        <v>24.8</v>
      </c>
      <c r="H4137" s="5" t="n">
        <v>30.9108955006</v>
      </c>
      <c r="I4137" s="5" t="n">
        <v>33.46252986026389</v>
      </c>
      <c r="J4137" s="5" t="n">
        <v>39.41393880766945</v>
      </c>
      <c r="K4137" s="5" t="n">
        <v>34</v>
      </c>
    </row>
    <row r="4138">
      <c r="A4138" s="2" t="n">
        <v>46269.79166666666</v>
      </c>
      <c r="B4138">
        <f>TEXT(A4138,"yyyy-mm")</f>
        <v/>
      </c>
      <c r="C4138" s="3">
        <f>HOUR(A4138)</f>
        <v/>
      </c>
      <c r="D4138" s="4" t="n">
        <v>26.57571622416389</v>
      </c>
      <c r="E4138" s="4" t="n">
        <v>27.49446796864167</v>
      </c>
      <c r="F4138" s="4" t="n">
        <v>29.15411275423611</v>
      </c>
      <c r="G4138" s="4" t="n">
        <v>23.7</v>
      </c>
      <c r="H4138" s="5" t="n">
        <v>31.80288400449444</v>
      </c>
      <c r="I4138" s="5" t="n">
        <v>33.24316712879166</v>
      </c>
      <c r="J4138" s="5" t="n">
        <v>39.27873237116667</v>
      </c>
      <c r="K4138" s="5" t="n">
        <v>37</v>
      </c>
    </row>
    <row r="4139">
      <c r="A4139" s="2" t="n">
        <v>46269.83333333334</v>
      </c>
      <c r="B4139">
        <f>TEXT(A4139,"yyyy-mm")</f>
        <v/>
      </c>
      <c r="C4139" s="3">
        <f>HOUR(A4139)</f>
        <v/>
      </c>
      <c r="D4139" s="4" t="n">
        <v>26.21609262845277</v>
      </c>
      <c r="E4139" s="4" t="n">
        <v>27.30730529503889</v>
      </c>
      <c r="F4139" s="4" t="n">
        <v>29.18215299643612</v>
      </c>
      <c r="G4139" s="4" t="n">
        <v>22.7</v>
      </c>
      <c r="H4139" s="5" t="n">
        <v>32.51300900796111</v>
      </c>
      <c r="I4139" s="5" t="n">
        <v>32.75148389545</v>
      </c>
      <c r="J4139" s="5" t="n">
        <v>39.20525917061945</v>
      </c>
      <c r="K4139" s="5" t="n">
        <v>41</v>
      </c>
    </row>
    <row r="4140">
      <c r="A4140" s="2" t="n">
        <v>46269.875</v>
      </c>
      <c r="B4140">
        <f>TEXT(A4140,"yyyy-mm")</f>
        <v/>
      </c>
      <c r="C4140" s="3">
        <f>HOUR(A4140)</f>
        <v/>
      </c>
      <c r="D4140" s="4" t="n">
        <v>25.95813807616666</v>
      </c>
      <c r="E4140" s="4" t="n">
        <v>27.09843006661667</v>
      </c>
      <c r="F4140" s="4" t="n">
        <v>29.16766592085278</v>
      </c>
      <c r="G4140" s="4" t="n">
        <v>21.6</v>
      </c>
      <c r="H4140" s="5" t="n">
        <v>32.400213419575</v>
      </c>
      <c r="I4140" s="5" t="n">
        <v>32.46129545090277</v>
      </c>
      <c r="J4140" s="5" t="n">
        <v>39.14146962801667</v>
      </c>
      <c r="K4140" s="5" t="n">
        <v>53</v>
      </c>
    </row>
    <row r="4141">
      <c r="A4141" s="2" t="n">
        <v>46269.91666666666</v>
      </c>
      <c r="B4141">
        <f>TEXT(A4141,"yyyy-mm")</f>
        <v/>
      </c>
      <c r="C4141" s="3">
        <f>HOUR(A4141)</f>
        <v/>
      </c>
      <c r="D4141" s="4" t="n">
        <v>25.70526300268333</v>
      </c>
      <c r="E4141" s="4" t="n">
        <v>27.1189366961</v>
      </c>
      <c r="F4141" s="4" t="n">
        <v>29.12909601311945</v>
      </c>
      <c r="G4141" s="4" t="n">
        <v>20.6</v>
      </c>
      <c r="H4141" s="5" t="n">
        <v>33.43649346880278</v>
      </c>
      <c r="I4141" s="5" t="n">
        <v>33.63993799839444</v>
      </c>
      <c r="J4141" s="5" t="n">
        <v>38.97643070112778</v>
      </c>
      <c r="K4141" s="5" t="n">
        <v>54</v>
      </c>
    </row>
    <row r="4142">
      <c r="A4142" s="2" t="n">
        <v>46269.95833333334</v>
      </c>
      <c r="B4142">
        <f>TEXT(A4142,"yyyy-mm")</f>
        <v/>
      </c>
      <c r="C4142" s="3">
        <f>HOUR(A4142)</f>
        <v/>
      </c>
      <c r="D4142" s="4" t="n">
        <v>25.4613012249</v>
      </c>
      <c r="E4142" s="4" t="n">
        <v>27.17585448235833</v>
      </c>
      <c r="F4142" s="4" t="n">
        <v>29.149876333225</v>
      </c>
      <c r="G4142" s="4" t="n">
        <v>19.4</v>
      </c>
      <c r="H4142" s="5" t="n">
        <v>34.57901693430278</v>
      </c>
      <c r="I4142" s="5" t="n">
        <v>34.31672967778055</v>
      </c>
      <c r="J4142" s="5" t="n">
        <v>39.11576506379166</v>
      </c>
      <c r="K4142" s="5" t="n">
        <v>58</v>
      </c>
    </row>
    <row r="4143">
      <c r="A4143" s="2" t="n">
        <v>46270</v>
      </c>
      <c r="B4143">
        <f>TEXT(A4143,"yyyy-mm")</f>
        <v/>
      </c>
      <c r="C4143" s="3">
        <f>HOUR(A4143)</f>
        <v/>
      </c>
      <c r="D4143" s="4" t="n">
        <v>25.39496061057778</v>
      </c>
      <c r="E4143" s="4" t="n">
        <v>27.36515316368056</v>
      </c>
      <c r="F4143" s="4" t="n">
        <v>29.15304132238333</v>
      </c>
      <c r="G4143" s="4" t="n">
        <v>18.6</v>
      </c>
      <c r="H4143" s="5" t="n">
        <v>34.47303727836667</v>
      </c>
      <c r="I4143" s="5" t="n">
        <v>34.41614076361111</v>
      </c>
      <c r="J4143" s="5" t="n">
        <v>39.15098653208889</v>
      </c>
      <c r="K4143" s="5" t="n">
        <v>59</v>
      </c>
    </row>
    <row r="4144">
      <c r="A4144" s="2" t="n">
        <v>46270.04166666666</v>
      </c>
      <c r="B4144">
        <f>TEXT(A4144,"yyyy-mm")</f>
        <v/>
      </c>
      <c r="C4144" s="3">
        <f>HOUR(A4144)</f>
        <v/>
      </c>
      <c r="D4144" s="4" t="n">
        <v>25.10239105171112</v>
      </c>
      <c r="E4144" s="4" t="n">
        <v>27.297141784775</v>
      </c>
      <c r="F4144" s="4" t="n">
        <v>29.15348651564722</v>
      </c>
      <c r="G4144" s="4" t="n">
        <v>18.1</v>
      </c>
      <c r="H4144" s="5" t="n">
        <v>35.21656606978055</v>
      </c>
      <c r="I4144" s="5" t="n">
        <v>34.25752027544723</v>
      </c>
      <c r="J4144" s="5" t="n">
        <v>39.14270975889166</v>
      </c>
      <c r="K4144" s="5" t="n">
        <v>59</v>
      </c>
    </row>
    <row r="4145">
      <c r="A4145" s="2" t="n">
        <v>46270.08333333334</v>
      </c>
      <c r="B4145">
        <f>TEXT(A4145,"yyyy-mm")</f>
        <v/>
      </c>
      <c r="C4145" s="3">
        <f>HOUR(A4145)</f>
        <v/>
      </c>
      <c r="D4145" s="4" t="n">
        <v>25.03475226648056</v>
      </c>
      <c r="E4145" s="4" t="n">
        <v>26.76127131637222</v>
      </c>
      <c r="F4145" s="4" t="n">
        <v>29.14188892883611</v>
      </c>
      <c r="G4145" s="4" t="n">
        <v>17.6</v>
      </c>
      <c r="H4145" s="5" t="n">
        <v>35.712744402275</v>
      </c>
      <c r="I4145" s="5" t="n">
        <v>34.50377236576667</v>
      </c>
      <c r="J4145" s="5" t="n">
        <v>39.19598884289445</v>
      </c>
      <c r="K4145" s="5" t="n">
        <v>59</v>
      </c>
    </row>
    <row r="4146">
      <c r="A4146" s="2" t="n">
        <v>46270.125</v>
      </c>
      <c r="B4146">
        <f>TEXT(A4146,"yyyy-mm")</f>
        <v/>
      </c>
      <c r="C4146" s="3">
        <f>HOUR(A4146)</f>
        <v/>
      </c>
      <c r="D4146" s="4" t="n">
        <v>24.96381506791666</v>
      </c>
      <c r="E4146" s="4" t="n">
        <v>26.33355113941389</v>
      </c>
      <c r="F4146" s="4" t="n">
        <v>29.11113614233333</v>
      </c>
      <c r="G4146" s="4" t="n">
        <v>16.7</v>
      </c>
      <c r="H4146" s="5" t="n">
        <v>35.38099748435278</v>
      </c>
      <c r="I4146" s="5" t="n">
        <v>33.67606520964723</v>
      </c>
      <c r="J4146" s="5" t="n">
        <v>39.10872758454445</v>
      </c>
      <c r="K4146" s="5" t="n">
        <v>64</v>
      </c>
    </row>
    <row r="4147">
      <c r="A4147" s="2" t="n">
        <v>46270.16666666666</v>
      </c>
      <c r="B4147">
        <f>TEXT(A4147,"yyyy-mm")</f>
        <v/>
      </c>
      <c r="C4147" s="3">
        <f>HOUR(A4147)</f>
        <v/>
      </c>
      <c r="D4147" s="4" t="n">
        <v>24.64184418311667</v>
      </c>
      <c r="E4147" s="4" t="n">
        <v>26.17097200547222</v>
      </c>
      <c r="F4147" s="4" t="n">
        <v>29.06991564531944</v>
      </c>
      <c r="G4147" s="4" t="n">
        <v>16.5</v>
      </c>
      <c r="H4147" s="5" t="n">
        <v>35.91645590990556</v>
      </c>
      <c r="I4147" s="5" t="n">
        <v>33.73960594572223</v>
      </c>
      <c r="J4147" s="5" t="n">
        <v>39.02906917439167</v>
      </c>
      <c r="K4147" s="5" t="n">
        <v>64</v>
      </c>
    </row>
    <row r="4148">
      <c r="A4148" s="2" t="n">
        <v>46270.20833333334</v>
      </c>
      <c r="B4148">
        <f>TEXT(A4148,"yyyy-mm")</f>
        <v/>
      </c>
      <c r="C4148" s="3">
        <f>HOUR(A4148)</f>
        <v/>
      </c>
      <c r="D4148" s="4" t="n">
        <v>24.34481926738611</v>
      </c>
      <c r="E4148" s="4" t="n">
        <v>26.64695764366389</v>
      </c>
      <c r="F4148" s="4" t="n">
        <v>29.037026059875</v>
      </c>
      <c r="G4148" s="4" t="n">
        <v>16.4</v>
      </c>
      <c r="H4148" s="5" t="n">
        <v>36.45172255878334</v>
      </c>
      <c r="I4148" s="5" t="n">
        <v>32.89676478496389</v>
      </c>
      <c r="J4148" s="5" t="n">
        <v>38.95160963626111</v>
      </c>
      <c r="K4148" s="5" t="n">
        <v>63</v>
      </c>
    </row>
    <row r="4149">
      <c r="A4149" s="2" t="n">
        <v>46270.25</v>
      </c>
      <c r="B4149">
        <f>TEXT(A4149,"yyyy-mm")</f>
        <v/>
      </c>
      <c r="C4149" s="3">
        <f>HOUR(A4149)</f>
        <v/>
      </c>
      <c r="D4149" s="4" t="n">
        <v>24.58682978544445</v>
      </c>
      <c r="E4149" s="4" t="n">
        <v>26.52120642815</v>
      </c>
      <c r="F4149" s="4" t="n">
        <v>29.00529113879166</v>
      </c>
      <c r="G4149" s="4" t="n">
        <v>16</v>
      </c>
      <c r="H4149" s="5" t="n">
        <v>36.19169731428611</v>
      </c>
      <c r="I4149" s="5" t="n">
        <v>33.12775761084723</v>
      </c>
      <c r="J4149" s="5" t="n">
        <v>38.90639040061389</v>
      </c>
      <c r="K4149" s="5" t="n">
        <v>65</v>
      </c>
    </row>
    <row r="4150">
      <c r="A4150" s="2" t="n">
        <v>46270.29166666666</v>
      </c>
      <c r="B4150">
        <f>TEXT(A4150,"yyyy-mm")</f>
        <v/>
      </c>
      <c r="C4150" s="3">
        <f>HOUR(A4150)</f>
        <v/>
      </c>
      <c r="D4150" s="4" t="n">
        <v>25.40515373763056</v>
      </c>
      <c r="E4150" s="4" t="n">
        <v>27.34490208878056</v>
      </c>
      <c r="F4150" s="4" t="n">
        <v>29.00856980973611</v>
      </c>
      <c r="G4150" s="4" t="n">
        <v>16.5</v>
      </c>
      <c r="H4150" s="5" t="n">
        <v>35.56051828969444</v>
      </c>
      <c r="I4150" s="5" t="n">
        <v>32.76288979540278</v>
      </c>
      <c r="J4150" s="5" t="n">
        <v>39.04020152891667</v>
      </c>
      <c r="K4150" s="5" t="n">
        <v>66</v>
      </c>
    </row>
    <row r="4151">
      <c r="A4151" s="2" t="n">
        <v>46270.33333333334</v>
      </c>
      <c r="B4151">
        <f>TEXT(A4151,"yyyy-mm")</f>
        <v/>
      </c>
      <c r="C4151" s="3">
        <f>HOUR(A4151)</f>
        <v/>
      </c>
      <c r="D4151" s="4" t="n">
        <v>26.05298734833889</v>
      </c>
      <c r="E4151" s="4" t="n">
        <v>27.98038259530556</v>
      </c>
      <c r="F4151" s="4" t="n">
        <v>29.05065521141944</v>
      </c>
      <c r="G4151" s="4" t="n">
        <v>18.2</v>
      </c>
      <c r="H4151" s="5" t="n">
        <v>36.04173178011112</v>
      </c>
      <c r="I4151" s="5" t="n">
        <v>33.20958043230556</v>
      </c>
      <c r="J4151" s="5" t="n">
        <v>39.21977206609722</v>
      </c>
      <c r="K4151" s="5" t="n">
        <v>64</v>
      </c>
    </row>
    <row r="4152">
      <c r="A4152" s="2" t="n">
        <v>46270.375</v>
      </c>
      <c r="B4152">
        <f>TEXT(A4152,"yyyy-mm")</f>
        <v/>
      </c>
      <c r="C4152" s="3">
        <f>HOUR(A4152)</f>
        <v/>
      </c>
      <c r="D4152" s="4" t="n">
        <v>26.62611954425</v>
      </c>
      <c r="E4152" s="4" t="n">
        <v>28.78937196760833</v>
      </c>
      <c r="F4152" s="4" t="n">
        <v>29.10985136557778</v>
      </c>
      <c r="G4152" s="4" t="n">
        <v>20.5</v>
      </c>
      <c r="H4152" s="5" t="n">
        <v>35.52753942449444</v>
      </c>
      <c r="I4152" s="5" t="n">
        <v>32.66234977517222</v>
      </c>
      <c r="J4152" s="5" t="n">
        <v>39.37181147839167</v>
      </c>
      <c r="K4152" s="5" t="n">
        <v>60</v>
      </c>
    </row>
    <row r="4153">
      <c r="A4153" s="2" t="n">
        <v>46270.41666666666</v>
      </c>
      <c r="B4153">
        <f>TEXT(A4153,"yyyy-mm")</f>
        <v/>
      </c>
      <c r="C4153" s="3">
        <f>HOUR(A4153)</f>
        <v/>
      </c>
      <c r="D4153" s="4" t="n">
        <v>26.87551899658056</v>
      </c>
      <c r="E4153" s="4" t="n">
        <v>28.61821814697777</v>
      </c>
      <c r="F4153" s="4" t="n">
        <v>29.17083427408056</v>
      </c>
      <c r="G4153" s="4" t="n">
        <v>22.6</v>
      </c>
      <c r="H4153" s="5" t="n">
        <v>35.33618415109166</v>
      </c>
      <c r="I4153" s="5" t="n">
        <v>33.33318642176389</v>
      </c>
      <c r="J4153" s="5" t="n">
        <v>39.50607873179445</v>
      </c>
      <c r="K4153" s="5" t="n">
        <v>54</v>
      </c>
    </row>
    <row r="4154">
      <c r="A4154" s="2" t="n">
        <v>46270.45833333334</v>
      </c>
      <c r="B4154">
        <f>TEXT(A4154,"yyyy-mm")</f>
        <v/>
      </c>
      <c r="C4154" s="3">
        <f>HOUR(A4154)</f>
        <v/>
      </c>
      <c r="D4154" s="4" t="n">
        <v>26.50550650753334</v>
      </c>
      <c r="E4154" s="4" t="n">
        <v>27.34515886731944</v>
      </c>
      <c r="F4154" s="4" t="n">
        <v>29.18937708822222</v>
      </c>
      <c r="G4154" s="4" t="n">
        <v>24.8</v>
      </c>
      <c r="H4154" s="5" t="n">
        <v>36.43060023781111</v>
      </c>
      <c r="I4154" s="5" t="n">
        <v>35.75840714695833</v>
      </c>
      <c r="J4154" s="5" t="n">
        <v>39.65658991321389</v>
      </c>
      <c r="K4154" s="5" t="n">
        <v>46</v>
      </c>
    </row>
    <row r="4155">
      <c r="A4155" s="2" t="n">
        <v>46270.5</v>
      </c>
      <c r="B4155">
        <f>TEXT(A4155,"yyyy-mm")</f>
        <v/>
      </c>
      <c r="C4155" s="3">
        <f>HOUR(A4155)</f>
        <v/>
      </c>
      <c r="D4155" s="4" t="n">
        <v>26.480175644975</v>
      </c>
      <c r="E4155" s="4" t="n">
        <v>27.44982541003889</v>
      </c>
      <c r="F4155" s="4" t="n">
        <v>29.20241769750277</v>
      </c>
      <c r="G4155" s="4" t="n">
        <v>24.8</v>
      </c>
      <c r="H4155" s="5" t="n">
        <v>36.70790979174166</v>
      </c>
      <c r="I4155" s="5" t="n">
        <v>37.18042205945277</v>
      </c>
      <c r="J4155" s="5" t="n">
        <v>39.77725558752778</v>
      </c>
      <c r="K4155" s="5" t="n">
        <v>46</v>
      </c>
    </row>
    <row r="4156">
      <c r="A4156" s="2" t="n">
        <v>46270.54166666666</v>
      </c>
      <c r="B4156">
        <f>TEXT(A4156,"yyyy-mm")</f>
        <v/>
      </c>
      <c r="C4156" s="3">
        <f>HOUR(A4156)</f>
        <v/>
      </c>
      <c r="D4156" s="4" t="n">
        <v>26.63480549361944</v>
      </c>
      <c r="E4156" s="4" t="n">
        <v>27.56507007615</v>
      </c>
      <c r="F4156" s="4" t="n">
        <v>29.15712543808611</v>
      </c>
      <c r="G4156" s="4" t="n">
        <v>25.5</v>
      </c>
      <c r="H4156" s="5" t="n">
        <v>36.21269146719722</v>
      </c>
      <c r="I4156" s="5" t="n">
        <v>36.62376389829444</v>
      </c>
      <c r="J4156" s="5" t="n">
        <v>40.61801879956945</v>
      </c>
      <c r="K4156" s="5" t="n">
        <v>44</v>
      </c>
    </row>
    <row r="4157">
      <c r="A4157" s="2" t="n">
        <v>46270.58333333334</v>
      </c>
      <c r="B4157">
        <f>TEXT(A4157,"yyyy-mm")</f>
        <v/>
      </c>
      <c r="C4157" s="3">
        <f>HOUR(A4157)</f>
        <v/>
      </c>
      <c r="D4157" s="4" t="n">
        <v>26.93773183626666</v>
      </c>
      <c r="E4157" s="4" t="n">
        <v>27.76909127893056</v>
      </c>
      <c r="F4157" s="4" t="n">
        <v>29.30185555153055</v>
      </c>
      <c r="G4157" s="4" t="n">
        <v>26.2</v>
      </c>
      <c r="H4157" s="5" t="n">
        <v>35.60522484335</v>
      </c>
      <c r="I4157" s="5" t="n">
        <v>36.79899942803889</v>
      </c>
      <c r="J4157" s="5" t="n">
        <v>40.52084788463889</v>
      </c>
      <c r="K4157" s="5" t="n">
        <v>42</v>
      </c>
    </row>
    <row r="4158">
      <c r="A4158" s="2" t="n">
        <v>46270.625</v>
      </c>
      <c r="B4158">
        <f>TEXT(A4158,"yyyy-mm")</f>
        <v/>
      </c>
      <c r="C4158" s="3">
        <f>HOUR(A4158)</f>
        <v/>
      </c>
      <c r="D4158" s="4" t="n">
        <v>27.18666717686111</v>
      </c>
      <c r="E4158" s="4" t="n">
        <v>28.03786482191389</v>
      </c>
      <c r="F4158" s="4" t="n">
        <v>29.28890357593611</v>
      </c>
      <c r="G4158" s="4" t="n">
        <v>28.6</v>
      </c>
      <c r="H4158" s="5" t="n">
        <v>36.86108588701389</v>
      </c>
      <c r="I4158" s="5" t="n">
        <v>38.030707517675</v>
      </c>
      <c r="J4158" s="5" t="n">
        <v>42.40333398114166</v>
      </c>
      <c r="K4158" s="5" t="n">
        <v>35</v>
      </c>
    </row>
    <row r="4159">
      <c r="A4159" s="2" t="n">
        <v>46270.66666666666</v>
      </c>
      <c r="B4159">
        <f>TEXT(A4159,"yyyy-mm")</f>
        <v/>
      </c>
      <c r="C4159" s="3">
        <f>HOUR(A4159)</f>
        <v/>
      </c>
      <c r="D4159" s="4" t="n">
        <v>27.34995015870278</v>
      </c>
      <c r="E4159" s="4" t="n">
        <v>28.16484969514167</v>
      </c>
      <c r="F4159" s="4" t="n">
        <v>29.19501123624444</v>
      </c>
      <c r="G4159" s="4" t="n">
        <v>27.6</v>
      </c>
      <c r="H4159" s="5" t="n">
        <v>36.70679049875556</v>
      </c>
      <c r="I4159" s="5" t="n">
        <v>37.16186300313889</v>
      </c>
      <c r="J4159" s="5" t="n">
        <v>43.32758366263889</v>
      </c>
      <c r="K4159" s="5" t="n">
        <v>39</v>
      </c>
    </row>
    <row r="4160">
      <c r="A4160" s="2" t="n">
        <v>46270.70833333334</v>
      </c>
      <c r="B4160">
        <f>TEXT(A4160,"yyyy-mm")</f>
        <v/>
      </c>
      <c r="C4160" s="3">
        <f>HOUR(A4160)</f>
        <v/>
      </c>
      <c r="D4160" s="4" t="n">
        <v>27.41010202562778</v>
      </c>
      <c r="E4160" s="4" t="n">
        <v>28.32969013766389</v>
      </c>
      <c r="F4160" s="4" t="n">
        <v>29.07322545915833</v>
      </c>
      <c r="G4160" s="4" t="n">
        <v>26.7</v>
      </c>
      <c r="H4160" s="5" t="n">
        <v>37.92845563913056</v>
      </c>
      <c r="I4160" s="5" t="n">
        <v>39.07748429076667</v>
      </c>
      <c r="J4160" s="5" t="n">
        <v>46.94601355941389</v>
      </c>
      <c r="K4160" s="5" t="n">
        <v>42</v>
      </c>
    </row>
    <row r="4161">
      <c r="A4161" s="2" t="n">
        <v>46270.75</v>
      </c>
      <c r="B4161">
        <f>TEXT(A4161,"yyyy-mm")</f>
        <v/>
      </c>
      <c r="C4161" s="3">
        <f>HOUR(A4161)</f>
        <v/>
      </c>
      <c r="D4161" s="4" t="n">
        <v>27.29430737440833</v>
      </c>
      <c r="E4161" s="4" t="n">
        <v>28.203837229</v>
      </c>
      <c r="F4161" s="4" t="n">
        <v>28.88755097380556</v>
      </c>
      <c r="G4161" s="4" t="n">
        <v>25.3</v>
      </c>
      <c r="H4161" s="5" t="n">
        <v>38.48600113745834</v>
      </c>
      <c r="I4161" s="5" t="n">
        <v>41.64226566444445</v>
      </c>
      <c r="J4161" s="5" t="n">
        <v>48.86685962390001</v>
      </c>
      <c r="K4161" s="5" t="n">
        <v>51</v>
      </c>
    </row>
    <row r="4162">
      <c r="A4162" s="2" t="n">
        <v>46270.79166666666</v>
      </c>
      <c r="B4162">
        <f>TEXT(A4162,"yyyy-mm")</f>
        <v/>
      </c>
      <c r="C4162" s="3">
        <f>HOUR(A4162)</f>
        <v/>
      </c>
      <c r="D4162" s="4" t="n">
        <v>26.86672451311667</v>
      </c>
      <c r="E4162" s="4" t="n">
        <v>27.57334105131389</v>
      </c>
      <c r="F4162" s="4" t="n">
        <v>29.15364722407222</v>
      </c>
      <c r="G4162" s="4" t="n">
        <v>24.7</v>
      </c>
      <c r="H4162" s="5" t="n">
        <v>41.58469718290555</v>
      </c>
      <c r="I4162" s="5" t="n">
        <v>42.93631550028889</v>
      </c>
      <c r="J4162" s="5" t="n">
        <v>45.41304522212778</v>
      </c>
      <c r="K4162" s="5" t="n">
        <v>52</v>
      </c>
    </row>
    <row r="4163">
      <c r="A4163" s="2" t="n">
        <v>46270.83333333334</v>
      </c>
      <c r="B4163">
        <f>TEXT(A4163,"yyyy-mm")</f>
        <v/>
      </c>
      <c r="C4163" s="3">
        <f>HOUR(A4163)</f>
        <v/>
      </c>
      <c r="D4163" s="4" t="n">
        <v>26.08757165486389</v>
      </c>
      <c r="E4163" s="4" t="n">
        <v>27.48573335695556</v>
      </c>
      <c r="F4163" s="4" t="n">
        <v>29.25088254614722</v>
      </c>
      <c r="G4163" s="4" t="n">
        <v>21.9</v>
      </c>
      <c r="H4163" s="5" t="n">
        <v>51.37492173614445</v>
      </c>
      <c r="I4163" s="5" t="n">
        <v>49.74867502938611</v>
      </c>
      <c r="J4163" s="5" t="n">
        <v>46.29084523644722</v>
      </c>
      <c r="K4163" s="5" t="n">
        <v>67</v>
      </c>
    </row>
    <row r="4164">
      <c r="A4164" s="2" t="n">
        <v>46270.875</v>
      </c>
      <c r="B4164">
        <f>TEXT(A4164,"yyyy-mm")</f>
        <v/>
      </c>
      <c r="C4164" s="3">
        <f>HOUR(A4164)</f>
        <v/>
      </c>
      <c r="D4164" s="4" t="n">
        <v>25.73604547182778</v>
      </c>
      <c r="E4164" s="4" t="n">
        <v>27.80537636539722</v>
      </c>
      <c r="F4164" s="4" t="n">
        <v>28.77767862453889</v>
      </c>
      <c r="G4164" s="4" t="n">
        <v>19.8</v>
      </c>
      <c r="H4164" s="5" t="n">
        <v>55.37140736002778</v>
      </c>
      <c r="I4164" s="5" t="n">
        <v>51.02238097899166</v>
      </c>
      <c r="J4164" s="5" t="n">
        <v>54.56122402904168</v>
      </c>
      <c r="K4164" s="5" t="n">
        <v>87</v>
      </c>
    </row>
    <row r="4165">
      <c r="A4165" s="2" t="n">
        <v>46270.91666666666</v>
      </c>
      <c r="B4165">
        <f>TEXT(A4165,"yyyy-mm")</f>
        <v/>
      </c>
      <c r="C4165" s="3">
        <f>HOUR(A4165)</f>
        <v/>
      </c>
      <c r="D4165" s="4" t="n">
        <v>25.30466361861111</v>
      </c>
      <c r="E4165" s="4" t="n">
        <v>27.84631023765278</v>
      </c>
      <c r="F4165" s="4" t="n">
        <v>28.95488844620278</v>
      </c>
      <c r="G4165" s="4" t="n">
        <v>18.7</v>
      </c>
      <c r="H4165" s="5" t="n">
        <v>57.63570712895833</v>
      </c>
      <c r="I4165" s="5" t="n">
        <v>52.05172573912222</v>
      </c>
      <c r="J4165" s="5" t="n">
        <v>51.28945250973333</v>
      </c>
      <c r="K4165" s="5" t="n">
        <v>94</v>
      </c>
    </row>
    <row r="4166">
      <c r="A4166" s="2" t="n">
        <v>46270.95833333334</v>
      </c>
      <c r="B4166">
        <f>TEXT(A4166,"yyyy-mm")</f>
        <v/>
      </c>
      <c r="C4166" s="3">
        <f>HOUR(A4166)</f>
        <v/>
      </c>
      <c r="D4166" s="4" t="n">
        <v>24.92005108424722</v>
      </c>
      <c r="E4166" s="4" t="n">
        <v>28.15587207909167</v>
      </c>
      <c r="F4166" s="4" t="n">
        <v>29.14528746485278</v>
      </c>
      <c r="G4166" s="4" t="n">
        <v>18.5</v>
      </c>
      <c r="H4166" s="5" t="n">
        <v>56.85020730704166</v>
      </c>
      <c r="I4166" s="5" t="n">
        <v>49.60125265767223</v>
      </c>
      <c r="J4166" s="5" t="n">
        <v>50.52819341125834</v>
      </c>
      <c r="K4166" s="5" t="n">
        <v>94</v>
      </c>
    </row>
    <row r="4167">
      <c r="A4167" s="2" t="n">
        <v>46271</v>
      </c>
      <c r="B4167">
        <f>TEXT(A4167,"yyyy-mm")</f>
        <v/>
      </c>
      <c r="C4167" s="3">
        <f>HOUR(A4167)</f>
        <v/>
      </c>
      <c r="D4167" s="4" t="n">
        <v>24.80791286566111</v>
      </c>
      <c r="E4167" s="4" t="n">
        <v>27.99317592115834</v>
      </c>
      <c r="F4167" s="4" t="n">
        <v>29.30791090101112</v>
      </c>
      <c r="G4167" s="4" t="n">
        <v>18.2</v>
      </c>
      <c r="H4167" s="5" t="n">
        <v>53.51070109126389</v>
      </c>
      <c r="I4167" s="5" t="n">
        <v>47.45967148081944</v>
      </c>
      <c r="J4167" s="5" t="n">
        <v>48.77770651035834</v>
      </c>
      <c r="K4167" s="5" t="n">
        <v>95</v>
      </c>
    </row>
    <row r="4168">
      <c r="A4168" s="2" t="n">
        <v>46271.04166666666</v>
      </c>
      <c r="B4168">
        <f>TEXT(A4168,"yyyy-mm")</f>
        <v/>
      </c>
      <c r="C4168" s="3">
        <f>HOUR(A4168)</f>
        <v/>
      </c>
      <c r="D4168" s="4" t="n">
        <v>24.72447645155556</v>
      </c>
      <c r="E4168" s="4" t="n">
        <v>27.58379286196945</v>
      </c>
      <c r="F4168" s="4" t="n">
        <v>29.333374135975</v>
      </c>
      <c r="G4168" s="4" t="n">
        <v>17.9</v>
      </c>
      <c r="H4168" s="5" t="n">
        <v>51.72248255423889</v>
      </c>
      <c r="I4168" s="5" t="n">
        <v>46.28641403885555</v>
      </c>
      <c r="J4168" s="5" t="n">
        <v>48.66739268155556</v>
      </c>
      <c r="K4168" s="5" t="n">
        <v>94</v>
      </c>
    </row>
    <row r="4169">
      <c r="A4169" s="2" t="n">
        <v>46271.08333333334</v>
      </c>
      <c r="B4169">
        <f>TEXT(A4169,"yyyy-mm")</f>
        <v/>
      </c>
      <c r="C4169" s="3">
        <f>HOUR(A4169)</f>
        <v/>
      </c>
      <c r="D4169" s="4" t="n">
        <v>24.26265937153056</v>
      </c>
      <c r="E4169" s="4" t="n">
        <v>27.045479007075</v>
      </c>
      <c r="F4169" s="4" t="n">
        <v>29.37700223021666</v>
      </c>
      <c r="G4169" s="4" t="n">
        <v>17.2</v>
      </c>
      <c r="H4169" s="5" t="n">
        <v>51.85263662998889</v>
      </c>
      <c r="I4169" s="5" t="n">
        <v>46.36239100881111</v>
      </c>
      <c r="J4169" s="5" t="n">
        <v>47.86937452171944</v>
      </c>
      <c r="K4169" s="5" t="n">
        <v>91</v>
      </c>
    </row>
    <row r="4170">
      <c r="A4170" s="2" t="n">
        <v>46271.125</v>
      </c>
      <c r="B4170">
        <f>TEXT(A4170,"yyyy-mm")</f>
        <v/>
      </c>
      <c r="C4170" s="3">
        <f>HOUR(A4170)</f>
        <v/>
      </c>
      <c r="D4170" s="4" t="n">
        <v>24.02574484573612</v>
      </c>
      <c r="E4170" s="4" t="n">
        <v>26.60644034496389</v>
      </c>
      <c r="F4170" s="4" t="n">
        <v>29.39156824573056</v>
      </c>
      <c r="G4170" s="4" t="n">
        <v>17</v>
      </c>
      <c r="H4170" s="5" t="n">
        <v>51.33079206392778</v>
      </c>
      <c r="I4170" s="5" t="n">
        <v>46.40649120286389</v>
      </c>
      <c r="J4170" s="5" t="n">
        <v>47.07285155949445</v>
      </c>
      <c r="K4170" s="5" t="n">
        <v>87</v>
      </c>
    </row>
    <row r="4171">
      <c r="A4171" s="2" t="n">
        <v>46271.16666666666</v>
      </c>
      <c r="B4171">
        <f>TEXT(A4171,"yyyy-mm")</f>
        <v/>
      </c>
      <c r="C4171" s="3">
        <f>HOUR(A4171)</f>
        <v/>
      </c>
      <c r="D4171" s="4" t="n">
        <v>23.61879273221111</v>
      </c>
      <c r="E4171" s="4" t="n">
        <v>26.397630239075</v>
      </c>
      <c r="F4171" s="4" t="n">
        <v>29.34999649780833</v>
      </c>
      <c r="G4171" s="4" t="n">
        <v>16.2</v>
      </c>
      <c r="H4171" s="5" t="n">
        <v>50.44116108219723</v>
      </c>
      <c r="I4171" s="5" t="n">
        <v>45.32498870544723</v>
      </c>
      <c r="J4171" s="5" t="n">
        <v>46.464258890375</v>
      </c>
      <c r="K4171" s="5" t="n">
        <v>84</v>
      </c>
    </row>
    <row r="4172">
      <c r="A4172" s="2" t="n">
        <v>46271.20833333334</v>
      </c>
      <c r="B4172">
        <f>TEXT(A4172,"yyyy-mm")</f>
        <v/>
      </c>
      <c r="C4172" s="3">
        <f>HOUR(A4172)</f>
        <v/>
      </c>
      <c r="D4172" s="4" t="n">
        <v>23.40395167864722</v>
      </c>
      <c r="E4172" s="4" t="n">
        <v>26.21509166123611</v>
      </c>
      <c r="F4172" s="4" t="n">
        <v>29.30134436714167</v>
      </c>
      <c r="G4172" s="4" t="n">
        <v>15.3</v>
      </c>
      <c r="H4172" s="5" t="n">
        <v>48.486803355</v>
      </c>
      <c r="I4172" s="5" t="n">
        <v>43.49373896492222</v>
      </c>
      <c r="J4172" s="5" t="n">
        <v>45.84106509152778</v>
      </c>
      <c r="K4172" s="5" t="n">
        <v>82</v>
      </c>
    </row>
    <row r="4173">
      <c r="A4173" s="2" t="n">
        <v>46271.25</v>
      </c>
      <c r="B4173">
        <f>TEXT(A4173,"yyyy-mm")</f>
        <v/>
      </c>
      <c r="C4173" s="3">
        <f>HOUR(A4173)</f>
        <v/>
      </c>
      <c r="D4173" s="4" t="n">
        <v>23.59806228285278</v>
      </c>
      <c r="E4173" s="4" t="n">
        <v>26.13838918385278</v>
      </c>
      <c r="F4173" s="4" t="n">
        <v>29.24215002304445</v>
      </c>
      <c r="G4173" s="4" t="n">
        <v>14.6</v>
      </c>
      <c r="H4173" s="5" t="n">
        <v>47.64020408210278</v>
      </c>
      <c r="I4173" s="5" t="n">
        <v>42.70873175252778</v>
      </c>
      <c r="J4173" s="5" t="n">
        <v>45.32525093020556</v>
      </c>
      <c r="K4173" s="5" t="n">
        <v>81</v>
      </c>
    </row>
    <row r="4174">
      <c r="A4174" s="2" t="n">
        <v>46271.29166666666</v>
      </c>
      <c r="B4174">
        <f>TEXT(A4174,"yyyy-mm")</f>
        <v/>
      </c>
      <c r="C4174" s="3">
        <f>HOUR(A4174)</f>
        <v/>
      </c>
      <c r="D4174" s="4" t="n">
        <v>24.45485851277222</v>
      </c>
      <c r="E4174" s="4" t="n">
        <v>26.73375643045</v>
      </c>
      <c r="F4174" s="4" t="n">
        <v>29.19876259904445</v>
      </c>
      <c r="G4174" s="4" t="n">
        <v>14.8</v>
      </c>
      <c r="H4174" s="5" t="n">
        <v>44.41362531199167</v>
      </c>
      <c r="I4174" s="5" t="n">
        <v>41.07570147623889</v>
      </c>
      <c r="J4174" s="5" t="n">
        <v>45.02541575738889</v>
      </c>
      <c r="K4174" s="5" t="n">
        <v>77</v>
      </c>
    </row>
    <row r="4175">
      <c r="A4175" s="2" t="n">
        <v>46271.33333333334</v>
      </c>
      <c r="B4175">
        <f>TEXT(A4175,"yyyy-mm")</f>
        <v/>
      </c>
      <c r="C4175" s="3">
        <f>HOUR(A4175)</f>
        <v/>
      </c>
      <c r="D4175" s="4" t="n">
        <v>25.58387905616389</v>
      </c>
      <c r="E4175" s="4" t="n">
        <v>27.3406454356</v>
      </c>
      <c r="F4175" s="4" t="n">
        <v>29.18634661755</v>
      </c>
      <c r="G4175" s="4" t="n">
        <v>16.2</v>
      </c>
      <c r="H4175" s="5" t="n">
        <v>40.41669010731945</v>
      </c>
      <c r="I4175" s="5" t="n">
        <v>39.60365104878889</v>
      </c>
      <c r="J4175" s="5" t="n">
        <v>44.73834690253333</v>
      </c>
      <c r="K4175" s="5" t="n">
        <v>71</v>
      </c>
    </row>
    <row r="4176">
      <c r="A4176" s="2" t="n">
        <v>46271.375</v>
      </c>
      <c r="B4176">
        <f>TEXT(A4176,"yyyy-mm")</f>
        <v/>
      </c>
      <c r="C4176" s="3">
        <f>HOUR(A4176)</f>
        <v/>
      </c>
      <c r="D4176" s="4" t="n">
        <v>26.43721841332222</v>
      </c>
      <c r="E4176" s="4" t="n">
        <v>28.05772313820833</v>
      </c>
      <c r="F4176" s="4" t="n">
        <v>29.19497339262778</v>
      </c>
      <c r="G4176" s="4" t="n">
        <v>17.4</v>
      </c>
      <c r="H4176" s="5" t="n">
        <v>37.31837952573333</v>
      </c>
      <c r="I4176" s="5" t="n">
        <v>37.36445614890278</v>
      </c>
      <c r="J4176" s="5" t="n">
        <v>44.51458646959167</v>
      </c>
      <c r="K4176" s="5" t="n">
        <v>68</v>
      </c>
    </row>
    <row r="4177">
      <c r="A4177" s="2" t="n">
        <v>46271.41666666666</v>
      </c>
      <c r="B4177">
        <f>TEXT(A4177,"yyyy-mm")</f>
        <v/>
      </c>
      <c r="C4177" s="3">
        <f>HOUR(A4177)</f>
        <v/>
      </c>
      <c r="D4177" s="4" t="n">
        <v>26.84454101020556</v>
      </c>
      <c r="E4177" s="4" t="n">
        <v>28.457838383475</v>
      </c>
      <c r="F4177" s="4" t="n">
        <v>29.217391143775</v>
      </c>
      <c r="G4177" s="4" t="n">
        <v>18.6</v>
      </c>
      <c r="H4177" s="5" t="n">
        <v>34.21265199829444</v>
      </c>
      <c r="I4177" s="5" t="n">
        <v>34.98460973753055</v>
      </c>
      <c r="J4177" s="5" t="n">
        <v>44.26689796946389</v>
      </c>
      <c r="K4177" s="5" t="n">
        <v>59</v>
      </c>
    </row>
    <row r="4178">
      <c r="A4178" s="2" t="n">
        <v>46271.45833333334</v>
      </c>
      <c r="B4178">
        <f>TEXT(A4178,"yyyy-mm")</f>
        <v/>
      </c>
      <c r="C4178" s="3">
        <f>HOUR(A4178)</f>
        <v/>
      </c>
      <c r="D4178" s="4" t="n">
        <v>26.85224657181666</v>
      </c>
      <c r="E4178" s="4" t="n">
        <v>28.29046550961666</v>
      </c>
      <c r="F4178" s="4" t="n">
        <v>29.23363880693889</v>
      </c>
      <c r="G4178" s="4" t="n">
        <v>19.6</v>
      </c>
      <c r="H4178" s="5" t="n">
        <v>32.662837209</v>
      </c>
      <c r="I4178" s="5" t="n">
        <v>34.56418626390833</v>
      </c>
      <c r="J4178" s="5" t="n">
        <v>43.95703699021389</v>
      </c>
      <c r="K4178" s="5" t="n">
        <v>51</v>
      </c>
    </row>
    <row r="4179">
      <c r="A4179" s="2" t="n">
        <v>46271.5</v>
      </c>
      <c r="B4179">
        <f>TEXT(A4179,"yyyy-mm")</f>
        <v/>
      </c>
      <c r="C4179" s="3">
        <f>HOUR(A4179)</f>
        <v/>
      </c>
      <c r="D4179" s="4" t="n">
        <v>26.43206576386666</v>
      </c>
      <c r="E4179" s="4" t="n">
        <v>27.85151807579444</v>
      </c>
      <c r="F4179" s="4" t="n">
        <v>29.24263884576111</v>
      </c>
      <c r="G4179" s="4" t="n">
        <v>20.3</v>
      </c>
      <c r="H4179" s="5" t="n">
        <v>31.47558546998333</v>
      </c>
      <c r="I4179" s="5" t="n">
        <v>33.01777856275</v>
      </c>
      <c r="J4179" s="5" t="n">
        <v>43.510245868575</v>
      </c>
      <c r="K4179" s="5" t="n">
        <v>45</v>
      </c>
    </row>
    <row r="4180">
      <c r="A4180" s="2" t="n">
        <v>46271.54166666666</v>
      </c>
      <c r="B4180">
        <f>TEXT(A4180,"yyyy-mm")</f>
        <v/>
      </c>
      <c r="C4180" s="3">
        <f>HOUR(A4180)</f>
        <v/>
      </c>
      <c r="D4180" s="4" t="n">
        <v>26.19824514028333</v>
      </c>
      <c r="E4180" s="4" t="n">
        <v>27.75393898636944</v>
      </c>
      <c r="F4180" s="4" t="n">
        <v>29.21512341991667</v>
      </c>
      <c r="G4180" s="4" t="n">
        <v>20.7</v>
      </c>
      <c r="H4180" s="5" t="n">
        <v>31.15174353054167</v>
      </c>
      <c r="I4180" s="5" t="n">
        <v>31.81529559150833</v>
      </c>
      <c r="J4180" s="5" t="n">
        <v>42.53096787496111</v>
      </c>
      <c r="K4180" s="5" t="n">
        <v>42</v>
      </c>
    </row>
    <row r="4181">
      <c r="A4181" s="2" t="n">
        <v>46271.58333333334</v>
      </c>
      <c r="B4181">
        <f>TEXT(A4181,"yyyy-mm")</f>
        <v/>
      </c>
      <c r="C4181" s="3">
        <f>HOUR(A4181)</f>
        <v/>
      </c>
      <c r="D4181" s="4" t="n">
        <v>25.93632160420833</v>
      </c>
      <c r="E4181" s="4" t="n">
        <v>27.83030109105556</v>
      </c>
      <c r="F4181" s="4" t="n">
        <v>28.76938184173889</v>
      </c>
      <c r="G4181" s="4" t="n">
        <v>21.2</v>
      </c>
      <c r="H4181" s="5" t="n">
        <v>32.23078523320834</v>
      </c>
      <c r="I4181" s="5" t="n">
        <v>33.21025249635</v>
      </c>
      <c r="J4181" s="5" t="n">
        <v>40.24767244983889</v>
      </c>
      <c r="K4181" s="5" t="n">
        <v>44</v>
      </c>
    </row>
    <row r="4182">
      <c r="A4182" s="2" t="n">
        <v>46271.625</v>
      </c>
      <c r="B4182">
        <f>TEXT(A4182,"yyyy-mm")</f>
        <v/>
      </c>
      <c r="C4182" s="3">
        <f>HOUR(A4182)</f>
        <v/>
      </c>
      <c r="D4182" s="4" t="n">
        <v>25.58840819986944</v>
      </c>
      <c r="E4182" s="4" t="n">
        <v>27.41783804835</v>
      </c>
      <c r="F4182" s="4" t="n">
        <v>28.95048174350278</v>
      </c>
      <c r="G4182" s="4" t="n">
        <v>20.9</v>
      </c>
      <c r="H4182" s="5" t="n">
        <v>36.28539828060833</v>
      </c>
      <c r="I4182" s="5" t="n">
        <v>34.47093725028333</v>
      </c>
      <c r="J4182" s="5" t="n">
        <v>41.56981258888056</v>
      </c>
      <c r="K4182" s="5" t="n">
        <v>43</v>
      </c>
    </row>
    <row r="4183">
      <c r="A4183" s="2" t="n">
        <v>46271.66666666666</v>
      </c>
      <c r="B4183">
        <f>TEXT(A4183,"yyyy-mm")</f>
        <v/>
      </c>
      <c r="C4183" s="3">
        <f>HOUR(A4183)</f>
        <v/>
      </c>
      <c r="D4183" s="4" t="n">
        <v>25.31598171361667</v>
      </c>
      <c r="E4183" s="4" t="n">
        <v>27.28610733865555</v>
      </c>
      <c r="F4183" s="4" t="n">
        <v>29.06101800635278</v>
      </c>
      <c r="G4183" s="4" t="n">
        <v>17.7</v>
      </c>
      <c r="H4183" s="5" t="n">
        <v>35.77646061338611</v>
      </c>
      <c r="I4183" s="5" t="n">
        <v>34.60840157072778</v>
      </c>
      <c r="J4183" s="5" t="n">
        <v>41.79797551390278</v>
      </c>
      <c r="K4183" s="5" t="n">
        <v>66</v>
      </c>
    </row>
    <row r="4184">
      <c r="A4184" s="2" t="n">
        <v>46271.70833333334</v>
      </c>
      <c r="B4184">
        <f>TEXT(A4184,"yyyy-mm")</f>
        <v/>
      </c>
      <c r="C4184" s="3">
        <f>HOUR(A4184)</f>
        <v/>
      </c>
      <c r="D4184" s="4" t="n">
        <v>24.92104918270556</v>
      </c>
      <c r="E4184" s="4" t="n">
        <v>27.50565272323889</v>
      </c>
      <c r="F4184" s="4" t="n">
        <v>28.68710829735278</v>
      </c>
      <c r="G4184" s="4" t="n">
        <v>18</v>
      </c>
      <c r="H4184" s="5" t="n">
        <v>37.20916527828889</v>
      </c>
      <c r="I4184" s="5" t="n">
        <v>35.90226745554722</v>
      </c>
      <c r="J4184" s="5" t="n">
        <v>41.26278347296667</v>
      </c>
      <c r="K4184" s="5" t="n">
        <v>60</v>
      </c>
    </row>
    <row r="4185">
      <c r="A4185" s="2" t="n">
        <v>46271.75</v>
      </c>
      <c r="B4185">
        <f>TEXT(A4185,"yyyy-mm")</f>
        <v/>
      </c>
      <c r="C4185" s="3">
        <f>HOUR(A4185)</f>
        <v/>
      </c>
      <c r="D4185" s="4" t="n">
        <v>24.41974496203056</v>
      </c>
      <c r="E4185" s="4" t="n">
        <v>27.37619769961667</v>
      </c>
      <c r="F4185" s="4" t="n">
        <v>27.87844795805833</v>
      </c>
      <c r="G4185" s="4" t="n">
        <v>16.3</v>
      </c>
      <c r="H4185" s="5" t="n">
        <v>39.86247998935556</v>
      </c>
      <c r="I4185" s="5" t="n">
        <v>37.46569780895</v>
      </c>
      <c r="J4185" s="5" t="n">
        <v>42.9002237348</v>
      </c>
      <c r="K4185" s="5" t="n">
        <v>73</v>
      </c>
    </row>
    <row r="4186">
      <c r="A4186" s="2" t="n">
        <v>46271.79166666666</v>
      </c>
      <c r="B4186">
        <f>TEXT(A4186,"yyyy-mm")</f>
        <v/>
      </c>
      <c r="C4186" s="3">
        <f>HOUR(A4186)</f>
        <v/>
      </c>
      <c r="D4186" s="4" t="n">
        <v>24.12279836105555</v>
      </c>
      <c r="E4186" s="4" t="n">
        <v>26.84411583356112</v>
      </c>
      <c r="F4186" s="4" t="n">
        <v>28.23717947356389</v>
      </c>
      <c r="G4186" s="4" t="n">
        <v>15.4</v>
      </c>
      <c r="H4186" s="5" t="n">
        <v>41.52926697302778</v>
      </c>
      <c r="I4186" s="5" t="n">
        <v>38.70065161788333</v>
      </c>
      <c r="J4186" s="5" t="n">
        <v>42.86560613484445</v>
      </c>
      <c r="K4186" s="5" t="n">
        <v>80</v>
      </c>
    </row>
    <row r="4187">
      <c r="A4187" s="2" t="n">
        <v>46271.83333333334</v>
      </c>
      <c r="B4187">
        <f>TEXT(A4187,"yyyy-mm")</f>
        <v/>
      </c>
      <c r="C4187" s="3">
        <f>HOUR(A4187)</f>
        <v/>
      </c>
      <c r="D4187" s="4" t="n">
        <v>23.70234575381111</v>
      </c>
      <c r="E4187" s="4" t="n">
        <v>26.96929069605278</v>
      </c>
      <c r="F4187" s="4" t="n">
        <v>28.36707812332778</v>
      </c>
      <c r="G4187" s="4" t="n">
        <v>14.4</v>
      </c>
      <c r="H4187" s="5" t="n">
        <v>47.22874791989722</v>
      </c>
      <c r="I4187" s="5" t="n">
        <v>49.29386865200556</v>
      </c>
      <c r="J4187" s="5" t="n">
        <v>47.41579265821944</v>
      </c>
      <c r="K4187" s="5" t="n">
        <v>86</v>
      </c>
    </row>
    <row r="4188">
      <c r="A4188" s="2" t="n">
        <v>46271.875</v>
      </c>
      <c r="B4188">
        <f>TEXT(A4188,"yyyy-mm")</f>
        <v/>
      </c>
      <c r="C4188" s="3">
        <f>HOUR(A4188)</f>
        <v/>
      </c>
      <c r="D4188" s="4" t="n">
        <v>23.57106105082778</v>
      </c>
      <c r="E4188" s="4" t="n">
        <v>27.11306490612223</v>
      </c>
      <c r="F4188" s="4" t="n">
        <v>27.44557456816666</v>
      </c>
      <c r="G4188" s="4" t="n">
        <v>14.1</v>
      </c>
      <c r="H4188" s="5" t="n">
        <v>43.57691493758055</v>
      </c>
      <c r="I4188" s="5" t="n">
        <v>39.97673778183333</v>
      </c>
      <c r="J4188" s="5" t="n">
        <v>45.57802900526667</v>
      </c>
      <c r="K4188" s="5" t="n">
        <v>85</v>
      </c>
    </row>
    <row r="4189">
      <c r="A4189" s="2" t="n">
        <v>46271.91666666666</v>
      </c>
      <c r="B4189">
        <f>TEXT(A4189,"yyyy-mm")</f>
        <v/>
      </c>
      <c r="C4189" s="3">
        <f>HOUR(A4189)</f>
        <v/>
      </c>
      <c r="D4189" s="4" t="n">
        <v>23.25841559636945</v>
      </c>
      <c r="E4189" s="4" t="n">
        <v>27.12210733255555</v>
      </c>
      <c r="F4189" s="4" t="n">
        <v>26.93451075221389</v>
      </c>
      <c r="G4189" s="4" t="n">
        <v>13.4</v>
      </c>
      <c r="H4189" s="5" t="n">
        <v>44.47818378585</v>
      </c>
      <c r="I4189" s="5" t="n">
        <v>40.94874803301389</v>
      </c>
      <c r="J4189" s="5" t="n">
        <v>45.83428454083889</v>
      </c>
      <c r="K4189" s="5" t="n">
        <v>88</v>
      </c>
    </row>
    <row r="4190">
      <c r="A4190" s="2" t="n">
        <v>46271.95833333334</v>
      </c>
      <c r="B4190">
        <f>TEXT(A4190,"yyyy-mm")</f>
        <v/>
      </c>
      <c r="C4190" s="3">
        <f>HOUR(A4190)</f>
        <v/>
      </c>
      <c r="D4190" s="4" t="n">
        <v>23.26549946745834</v>
      </c>
      <c r="E4190" s="4" t="n">
        <v>27.20670485844444</v>
      </c>
      <c r="F4190" s="4" t="n">
        <v>26.73078047031944</v>
      </c>
      <c r="G4190" s="4" t="n">
        <v>12.8</v>
      </c>
      <c r="H4190" s="5" t="n">
        <v>43.59201022175278</v>
      </c>
      <c r="I4190" s="5" t="n">
        <v>39.08070700991944</v>
      </c>
      <c r="J4190" s="5" t="n">
        <v>45.98920502225278</v>
      </c>
      <c r="K4190" s="5" t="n">
        <v>93</v>
      </c>
    </row>
    <row r="4191">
      <c r="A4191" s="2" t="n">
        <v>46272</v>
      </c>
      <c r="B4191">
        <f>TEXT(A4191,"yyyy-mm")</f>
        <v/>
      </c>
      <c r="C4191" s="3">
        <f>HOUR(A4191)</f>
        <v/>
      </c>
      <c r="D4191" s="4" t="n">
        <v>23.18232058678889</v>
      </c>
      <c r="E4191" s="4" t="n">
        <v>27.09548206257778</v>
      </c>
      <c r="F4191" s="4" t="n">
        <v>26.58338986246945</v>
      </c>
      <c r="G4191" s="4" t="n">
        <v>12.1</v>
      </c>
      <c r="H4191" s="5" t="n">
        <v>43.93930843604166</v>
      </c>
      <c r="I4191" s="5" t="n">
        <v>38.16938105024722</v>
      </c>
      <c r="J4191" s="5" t="n">
        <v>45.99418374460834</v>
      </c>
      <c r="K4191" s="5" t="n">
        <v>94</v>
      </c>
    </row>
    <row r="4192">
      <c r="A4192" s="2" t="n">
        <v>46272.04166666666</v>
      </c>
      <c r="B4192">
        <f>TEXT(A4192,"yyyy-mm")</f>
        <v/>
      </c>
      <c r="C4192" s="3">
        <f>HOUR(A4192)</f>
        <v/>
      </c>
      <c r="D4192" s="4" t="n">
        <v>22.6229891523</v>
      </c>
      <c r="E4192" s="4" t="n">
        <v>26.48398112410555</v>
      </c>
      <c r="F4192" s="4" t="n">
        <v>26.53992186885278</v>
      </c>
      <c r="G4192" s="4" t="n">
        <v>12.2</v>
      </c>
      <c r="H4192" s="5" t="n">
        <v>44.83670217166667</v>
      </c>
      <c r="I4192" s="5" t="n">
        <v>39.24943715250556</v>
      </c>
      <c r="J4192" s="5" t="n">
        <v>45.55135495515</v>
      </c>
      <c r="K4192" s="5" t="n">
        <v>93</v>
      </c>
    </row>
    <row r="4193">
      <c r="A4193" s="2" t="n">
        <v>46272.08333333334</v>
      </c>
      <c r="B4193">
        <f>TEXT(A4193,"yyyy-mm")</f>
        <v/>
      </c>
      <c r="C4193" s="3">
        <f>HOUR(A4193)</f>
        <v/>
      </c>
      <c r="D4193" s="4" t="n">
        <v>22.04276950762777</v>
      </c>
      <c r="E4193" s="4" t="n">
        <v>25.70926258813889</v>
      </c>
      <c r="F4193" s="4" t="n">
        <v>27.29364105146111</v>
      </c>
      <c r="G4193" s="4" t="n">
        <v>12.1</v>
      </c>
      <c r="H4193" s="5" t="n">
        <v>45.16700497576111</v>
      </c>
      <c r="I4193" s="5" t="n">
        <v>38.61996336161111</v>
      </c>
      <c r="J4193" s="5" t="n">
        <v>44.62248320748056</v>
      </c>
      <c r="K4193" s="5" t="n">
        <v>93</v>
      </c>
    </row>
    <row r="4194">
      <c r="A4194" s="2" t="n">
        <v>46272.125</v>
      </c>
      <c r="B4194">
        <f>TEXT(A4194,"yyyy-mm")</f>
        <v/>
      </c>
      <c r="C4194" s="3">
        <f>HOUR(A4194)</f>
        <v/>
      </c>
      <c r="D4194" s="4" t="n">
        <v>21.64181660752778</v>
      </c>
      <c r="E4194" s="4" t="n">
        <v>25.35894664545</v>
      </c>
      <c r="F4194" s="4" t="n">
        <v>27.74256342234445</v>
      </c>
      <c r="G4194" s="4" t="n">
        <v>11.9</v>
      </c>
      <c r="H4194" s="5" t="n">
        <v>45.46112943876945</v>
      </c>
      <c r="I4194" s="5" t="n">
        <v>38.22766304859445</v>
      </c>
      <c r="J4194" s="5" t="n">
        <v>43.87858175821389</v>
      </c>
      <c r="K4194" s="5" t="n">
        <v>88</v>
      </c>
    </row>
    <row r="4195">
      <c r="A4195" s="2" t="n">
        <v>46272.16666666666</v>
      </c>
      <c r="B4195">
        <f>TEXT(A4195,"yyyy-mm")</f>
        <v/>
      </c>
      <c r="C4195" s="3">
        <f>HOUR(A4195)</f>
        <v/>
      </c>
      <c r="D4195" s="4" t="n">
        <v>21.19170192096111</v>
      </c>
      <c r="E4195" s="4" t="n">
        <v>25.06174812554444</v>
      </c>
      <c r="F4195" s="4" t="n">
        <v>27.97856875931944</v>
      </c>
      <c r="G4195" s="4" t="n">
        <v>11.7</v>
      </c>
      <c r="H4195" s="5" t="n">
        <v>46.5165028161</v>
      </c>
      <c r="I4195" s="5" t="n">
        <v>38.47363984351944</v>
      </c>
      <c r="J4195" s="5" t="n">
        <v>43.39901159643889</v>
      </c>
      <c r="K4195" s="5" t="n">
        <v>88</v>
      </c>
    </row>
    <row r="4196">
      <c r="A4196" s="2" t="n">
        <v>46272.20833333334</v>
      </c>
      <c r="B4196">
        <f>TEXT(A4196,"yyyy-mm")</f>
        <v/>
      </c>
      <c r="C4196" s="3">
        <f>HOUR(A4196)</f>
        <v/>
      </c>
      <c r="D4196" s="4" t="n">
        <v>21.11597084324723</v>
      </c>
      <c r="E4196" s="4" t="n">
        <v>24.88702725234167</v>
      </c>
      <c r="F4196" s="4" t="n">
        <v>28.12427183666667</v>
      </c>
      <c r="G4196" s="4" t="n">
        <v>11.4</v>
      </c>
      <c r="H4196" s="5" t="n">
        <v>46.93805559695</v>
      </c>
      <c r="I4196" s="5" t="n">
        <v>38.7443038278</v>
      </c>
      <c r="J4196" s="5" t="n">
        <v>43.02943616920555</v>
      </c>
      <c r="K4196" s="5" t="n">
        <v>89</v>
      </c>
    </row>
    <row r="4197">
      <c r="A4197" s="2" t="n">
        <v>46272.25</v>
      </c>
      <c r="B4197">
        <f>TEXT(A4197,"yyyy-mm")</f>
        <v/>
      </c>
      <c r="C4197" s="3">
        <f>HOUR(A4197)</f>
        <v/>
      </c>
      <c r="D4197" s="4" t="n">
        <v>21.03688667523333</v>
      </c>
      <c r="E4197" s="4" t="n">
        <v>24.66247427685278</v>
      </c>
      <c r="F4197" s="4" t="n">
        <v>28.21904822845556</v>
      </c>
      <c r="G4197" s="4" t="n">
        <v>11.2</v>
      </c>
      <c r="H4197" s="5" t="n">
        <v>47.76603128011389</v>
      </c>
      <c r="I4197" s="5" t="n">
        <v>39.34109169426667</v>
      </c>
      <c r="J4197" s="5" t="n">
        <v>42.73074407912778</v>
      </c>
      <c r="K4197" s="5" t="n">
        <v>90</v>
      </c>
    </row>
    <row r="4198">
      <c r="A4198" s="2" t="n">
        <v>46272.29166666666</v>
      </c>
      <c r="B4198">
        <f>TEXT(A4198,"yyyy-mm")</f>
        <v/>
      </c>
      <c r="C4198" s="3">
        <f>HOUR(A4198)</f>
        <v/>
      </c>
      <c r="D4198" s="4" t="n">
        <v>21.16659914741389</v>
      </c>
      <c r="E4198" s="4" t="n">
        <v>24.61784793685278</v>
      </c>
      <c r="F4198" s="4" t="n">
        <v>28.28137866894722</v>
      </c>
      <c r="G4198" s="4" t="n">
        <v>11.7</v>
      </c>
      <c r="H4198" s="5" t="n">
        <v>47.81130920972777</v>
      </c>
      <c r="I4198" s="5" t="n">
        <v>39.72832014920834</v>
      </c>
      <c r="J4198" s="5" t="n">
        <v>42.57816079822222</v>
      </c>
      <c r="K4198" s="5" t="n">
        <v>89</v>
      </c>
    </row>
    <row r="4199">
      <c r="A4199" s="2" t="n">
        <v>46272.33333333334</v>
      </c>
      <c r="B4199">
        <f>TEXT(A4199,"yyyy-mm")</f>
        <v/>
      </c>
      <c r="C4199" s="3">
        <f>HOUR(A4199)</f>
        <v/>
      </c>
      <c r="D4199" s="4" t="n">
        <v>21.45744760302222</v>
      </c>
      <c r="E4199" s="4" t="n">
        <v>24.67512900761944</v>
      </c>
      <c r="F4199" s="4" t="n">
        <v>28.33347517873333</v>
      </c>
      <c r="G4199" s="4" t="n">
        <v>13</v>
      </c>
      <c r="H4199" s="5" t="n">
        <v>47.40038600424166</v>
      </c>
      <c r="I4199" s="5" t="n">
        <v>39.86330346955833</v>
      </c>
      <c r="J4199" s="5" t="n">
        <v>42.41187527761389</v>
      </c>
      <c r="K4199" s="5" t="n">
        <v>83</v>
      </c>
    </row>
    <row r="4200">
      <c r="A4200" s="2" t="n">
        <v>46272.375</v>
      </c>
      <c r="B4200">
        <f>TEXT(A4200,"yyyy-mm")</f>
        <v/>
      </c>
      <c r="C4200" s="3">
        <f>HOUR(A4200)</f>
        <v/>
      </c>
      <c r="D4200" s="4" t="n">
        <v>22.29518250300278</v>
      </c>
      <c r="E4200" s="4" t="n">
        <v>25.026677038825</v>
      </c>
      <c r="F4200" s="4" t="n">
        <v>28.37826745138056</v>
      </c>
      <c r="G4200" s="4" t="n">
        <v>13.6</v>
      </c>
      <c r="H4200" s="5" t="n">
        <v>45.1789589892</v>
      </c>
      <c r="I4200" s="5" t="n">
        <v>39.29156108202222</v>
      </c>
      <c r="J4200" s="5" t="n">
        <v>42.38194315143889</v>
      </c>
      <c r="K4200" s="5" t="n">
        <v>81</v>
      </c>
    </row>
    <row r="4201">
      <c r="A4201" s="2" t="n">
        <v>46272.41666666666</v>
      </c>
      <c r="B4201">
        <f>TEXT(A4201,"yyyy-mm")</f>
        <v/>
      </c>
      <c r="C4201" s="3">
        <f>HOUR(A4201)</f>
        <v/>
      </c>
      <c r="D4201" s="4" t="n">
        <v>23.52939123544166</v>
      </c>
      <c r="E4201" s="4" t="n">
        <v>25.89278876430833</v>
      </c>
      <c r="F4201" s="4" t="n">
        <v>28.42486571983889</v>
      </c>
      <c r="G4201" s="4" t="n">
        <v>14.6</v>
      </c>
      <c r="H4201" s="5" t="n">
        <v>42.21958633446667</v>
      </c>
      <c r="I4201" s="5" t="n">
        <v>39.54842389249445</v>
      </c>
      <c r="J4201" s="5" t="n">
        <v>42.33416398381667</v>
      </c>
      <c r="K4201" s="5" t="n">
        <v>76</v>
      </c>
    </row>
    <row r="4202">
      <c r="A4202" s="2" t="n">
        <v>46272.45833333334</v>
      </c>
      <c r="B4202">
        <f>TEXT(A4202,"yyyy-mm")</f>
        <v/>
      </c>
      <c r="C4202" s="3">
        <f>HOUR(A4202)</f>
        <v/>
      </c>
      <c r="D4202" s="4" t="n">
        <v>23.31743699418056</v>
      </c>
      <c r="E4202" s="4" t="n">
        <v>25.90096911833889</v>
      </c>
      <c r="F4202" s="4" t="n">
        <v>28.48853243664722</v>
      </c>
      <c r="G4202" s="4" t="n">
        <v>15.3</v>
      </c>
      <c r="H4202" s="5" t="n">
        <v>43.29407533011945</v>
      </c>
      <c r="I4202" s="5" t="n">
        <v>41.50574826141112</v>
      </c>
      <c r="J4202" s="5" t="n">
        <v>42.29760627264445</v>
      </c>
      <c r="K4202" s="5" t="n">
        <v>72</v>
      </c>
    </row>
    <row r="4203">
      <c r="A4203" s="2" t="n">
        <v>46272.5</v>
      </c>
      <c r="B4203">
        <f>TEXT(A4203,"yyyy-mm")</f>
        <v/>
      </c>
      <c r="C4203" s="3">
        <f>HOUR(A4203)</f>
        <v/>
      </c>
      <c r="D4203" s="4" t="n">
        <v>22.50236592170833</v>
      </c>
      <c r="E4203" s="4" t="n">
        <v>25.69388396301112</v>
      </c>
      <c r="F4203" s="4" t="n">
        <v>28.41772976772777</v>
      </c>
      <c r="G4203" s="4" t="n">
        <v>15.6</v>
      </c>
      <c r="H4203" s="5" t="n">
        <v>44.70631159698612</v>
      </c>
      <c r="I4203" s="5" t="n">
        <v>40.8152973429</v>
      </c>
      <c r="J4203" s="5" t="n">
        <v>42.15160750793611</v>
      </c>
      <c r="K4203" s="5" t="n">
        <v>69</v>
      </c>
    </row>
    <row r="4204">
      <c r="A4204" s="2" t="n">
        <v>46272.54166666666</v>
      </c>
      <c r="B4204">
        <f>TEXT(A4204,"yyyy-mm")</f>
        <v/>
      </c>
      <c r="C4204" s="3">
        <f>HOUR(A4204)</f>
        <v/>
      </c>
      <c r="D4204" s="4" t="n">
        <v>22.57249063771111</v>
      </c>
      <c r="E4204" s="4" t="n">
        <v>25.69390535597222</v>
      </c>
      <c r="F4204" s="4" t="n">
        <v>28.39130783472222</v>
      </c>
      <c r="G4204" s="4" t="n">
        <v>15.7</v>
      </c>
      <c r="H4204" s="5" t="n">
        <v>43.90068623252222</v>
      </c>
      <c r="I4204" s="5" t="n">
        <v>39.14376162278334</v>
      </c>
      <c r="J4204" s="5" t="n">
        <v>42.18184270028889</v>
      </c>
      <c r="K4204" s="5" t="n">
        <v>67</v>
      </c>
    </row>
    <row r="4205">
      <c r="A4205" s="2" t="n">
        <v>46272.58333333334</v>
      </c>
      <c r="B4205">
        <f>TEXT(A4205,"yyyy-mm")</f>
        <v/>
      </c>
      <c r="C4205" s="3">
        <f>HOUR(A4205)</f>
        <v/>
      </c>
      <c r="D4205" s="4" t="n">
        <v>22.72561798129166</v>
      </c>
      <c r="E4205" s="4" t="n">
        <v>25.45753569895556</v>
      </c>
      <c r="F4205" s="4" t="n">
        <v>28.52676855680833</v>
      </c>
      <c r="G4205" s="4" t="n">
        <v>16.9</v>
      </c>
      <c r="H4205" s="5" t="n">
        <v>42.08961617937778</v>
      </c>
      <c r="I4205" s="5" t="n">
        <v>38.13767229215278</v>
      </c>
      <c r="J4205" s="5" t="n">
        <v>41.93013172585278</v>
      </c>
      <c r="K4205" s="5" t="n">
        <v>61</v>
      </c>
    </row>
    <row r="4206">
      <c r="A4206" s="2" t="n">
        <v>46272.625</v>
      </c>
      <c r="B4206">
        <f>TEXT(A4206,"yyyy-mm")</f>
        <v/>
      </c>
      <c r="C4206" s="3">
        <f>HOUR(A4206)</f>
        <v/>
      </c>
      <c r="D4206" s="4" t="n">
        <v>23.24907420060278</v>
      </c>
      <c r="E4206" s="4" t="n">
        <v>25.99486981816389</v>
      </c>
      <c r="F4206" s="4" t="n">
        <v>27.52227696754167</v>
      </c>
      <c r="G4206" s="4" t="n">
        <v>18.2</v>
      </c>
      <c r="H4206" s="5" t="n">
        <v>39.0698809360139</v>
      </c>
      <c r="I4206" s="5" t="n">
        <v>36.52046471662778</v>
      </c>
      <c r="J4206" s="5" t="n">
        <v>40.62130806759167</v>
      </c>
      <c r="K4206" s="5" t="n">
        <v>48</v>
      </c>
    </row>
    <row r="4207">
      <c r="A4207" s="2" t="n">
        <v>46272.66666666666</v>
      </c>
      <c r="B4207">
        <f>TEXT(A4207,"yyyy-mm")</f>
        <v/>
      </c>
      <c r="C4207" s="3">
        <f>HOUR(A4207)</f>
        <v/>
      </c>
      <c r="D4207" s="4" t="n">
        <v>23.38948591359722</v>
      </c>
      <c r="E4207" s="4" t="n">
        <v>25.94511585771389</v>
      </c>
      <c r="F4207" s="4" t="n">
        <v>26.93465064503333</v>
      </c>
      <c r="G4207" s="4" t="n">
        <v>18.4</v>
      </c>
      <c r="H4207" s="5" t="n">
        <v>34.65316860757778</v>
      </c>
      <c r="I4207" s="5" t="n">
        <v>35.71557119070278</v>
      </c>
      <c r="J4207" s="5" t="n">
        <v>38.97091785896389</v>
      </c>
      <c r="K4207" s="5" t="n">
        <v>44</v>
      </c>
    </row>
    <row r="4208">
      <c r="A4208" s="2" t="n">
        <v>46272.70833333334</v>
      </c>
      <c r="B4208">
        <f>TEXT(A4208,"yyyy-mm")</f>
        <v/>
      </c>
      <c r="C4208" s="3">
        <f>HOUR(A4208)</f>
        <v/>
      </c>
      <c r="D4208" s="4" t="n">
        <v>23.01946147392222</v>
      </c>
      <c r="E4208" s="4" t="n">
        <v>26.21955475271111</v>
      </c>
      <c r="F4208" s="4" t="n">
        <v>26.61523541709722</v>
      </c>
      <c r="G4208" s="4" t="n">
        <v>17.3</v>
      </c>
      <c r="H4208" s="5" t="n">
        <v>33.41238317438611</v>
      </c>
      <c r="I4208" s="5" t="n">
        <v>33.46522979982778</v>
      </c>
      <c r="J4208" s="5" t="n">
        <v>37.52243295732778</v>
      </c>
      <c r="K4208" s="5" t="n">
        <v>45</v>
      </c>
    </row>
    <row r="4209">
      <c r="A4209" s="2" t="n">
        <v>46272.75</v>
      </c>
      <c r="B4209">
        <f>TEXT(A4209,"yyyy-mm")</f>
        <v/>
      </c>
      <c r="C4209" s="3">
        <f>HOUR(A4209)</f>
        <v/>
      </c>
      <c r="D4209" s="4" t="n">
        <v>23.12637076973889</v>
      </c>
      <c r="E4209" s="4" t="n">
        <v>26.04963028828333</v>
      </c>
      <c r="F4209" s="4" t="n">
        <v>26.46058835438056</v>
      </c>
      <c r="G4209" s="4" t="n">
        <v>16.8</v>
      </c>
      <c r="H4209" s="5" t="n">
        <v>33.43870817248055</v>
      </c>
      <c r="I4209" s="5" t="n">
        <v>32.87977134319444</v>
      </c>
      <c r="J4209" s="5" t="n">
        <v>37.61594661025833</v>
      </c>
      <c r="K4209" s="5" t="n">
        <v>48</v>
      </c>
    </row>
    <row r="4210">
      <c r="A4210" s="2" t="n">
        <v>46272.79166666666</v>
      </c>
      <c r="B4210">
        <f>TEXT(A4210,"yyyy-mm")</f>
        <v/>
      </c>
      <c r="C4210" s="3">
        <f>HOUR(A4210)</f>
        <v/>
      </c>
      <c r="D4210" s="4" t="n">
        <v>22.88304233880833</v>
      </c>
      <c r="E4210" s="4" t="n">
        <v>25.38111728960278</v>
      </c>
      <c r="F4210" s="4" t="n">
        <v>27.03516438436666</v>
      </c>
      <c r="G4210" s="4" t="n">
        <v>15.9</v>
      </c>
      <c r="H4210" s="5" t="n">
        <v>34.23456565104444</v>
      </c>
      <c r="I4210" s="5" t="n">
        <v>32.97627061633889</v>
      </c>
      <c r="J4210" s="5" t="n">
        <v>38.60432050871389</v>
      </c>
      <c r="K4210" s="5" t="n">
        <v>53</v>
      </c>
    </row>
    <row r="4211">
      <c r="A4211" s="2" t="n">
        <v>46272.83333333334</v>
      </c>
      <c r="B4211">
        <f>TEXT(A4211,"yyyy-mm")</f>
        <v/>
      </c>
      <c r="C4211" s="3">
        <f>HOUR(A4211)</f>
        <v/>
      </c>
      <c r="D4211" s="4" t="n">
        <v>22.54141124344723</v>
      </c>
      <c r="E4211" s="4" t="n">
        <v>25.28325395428611</v>
      </c>
      <c r="F4211" s="4" t="n">
        <v>27.6607877111</v>
      </c>
      <c r="G4211" s="4" t="n">
        <v>15</v>
      </c>
      <c r="H4211" s="5" t="n">
        <v>34.25508727439445</v>
      </c>
      <c r="I4211" s="5" t="n">
        <v>32.02205883929167</v>
      </c>
      <c r="J4211" s="5" t="n">
        <v>38.90580759321112</v>
      </c>
      <c r="K4211" s="5" t="n">
        <v>57</v>
      </c>
    </row>
    <row r="4212">
      <c r="A4212" s="2" t="n">
        <v>46272.875</v>
      </c>
      <c r="B4212">
        <f>TEXT(A4212,"yyyy-mm")</f>
        <v/>
      </c>
      <c r="C4212" s="3">
        <f>HOUR(A4212)</f>
        <v/>
      </c>
      <c r="D4212" s="4" t="n">
        <v>22.41226576484722</v>
      </c>
      <c r="E4212" s="4" t="n">
        <v>26.09113758781945</v>
      </c>
      <c r="F4212" s="4" t="n">
        <v>27.99677691957778</v>
      </c>
      <c r="G4212" s="4" t="n">
        <v>13.5</v>
      </c>
      <c r="H4212" s="5" t="n">
        <v>33.07867625703333</v>
      </c>
      <c r="I4212" s="5" t="n">
        <v>31.87237756610278</v>
      </c>
      <c r="J4212" s="5" t="n">
        <v>38.63115629948612</v>
      </c>
      <c r="K4212" s="5" t="n">
        <v>65</v>
      </c>
    </row>
    <row r="4213">
      <c r="A4213" s="2" t="n">
        <v>46272.91666666666</v>
      </c>
      <c r="B4213">
        <f>TEXT(A4213,"yyyy-mm")</f>
        <v/>
      </c>
      <c r="C4213" s="3">
        <f>HOUR(A4213)</f>
        <v/>
      </c>
      <c r="D4213" s="4" t="n">
        <v>22.12451433665834</v>
      </c>
      <c r="E4213" s="4" t="n">
        <v>26.21247144621389</v>
      </c>
      <c r="F4213" s="4" t="n">
        <v>28.07471282435833</v>
      </c>
      <c r="G4213" s="4" t="n">
        <v>12.6</v>
      </c>
      <c r="H4213" s="5" t="n">
        <v>34.1745216199</v>
      </c>
      <c r="I4213" s="5" t="n">
        <v>31.13944273196389</v>
      </c>
      <c r="J4213" s="5" t="n">
        <v>37.72600847093612</v>
      </c>
      <c r="K4213" s="5" t="n">
        <v>69</v>
      </c>
    </row>
    <row r="4214">
      <c r="A4214" s="2" t="n">
        <v>46272.95833333334</v>
      </c>
      <c r="B4214">
        <f>TEXT(A4214,"yyyy-mm")</f>
        <v/>
      </c>
      <c r="C4214" s="3">
        <f>HOUR(A4214)</f>
        <v/>
      </c>
      <c r="D4214" s="4" t="n">
        <v>21.20005196864444</v>
      </c>
      <c r="E4214" s="4" t="n">
        <v>26.20180930318056</v>
      </c>
      <c r="F4214" s="4" t="n">
        <v>27.80387889769444</v>
      </c>
      <c r="G4214" s="4" t="n">
        <v>12.1</v>
      </c>
      <c r="H4214" s="5" t="n">
        <v>37.41733997126945</v>
      </c>
      <c r="I4214" s="5" t="n">
        <v>32.02862167280278</v>
      </c>
      <c r="J4214" s="5" t="n">
        <v>37.24003794231945</v>
      </c>
      <c r="K4214" s="5" t="n">
        <v>71</v>
      </c>
    </row>
    <row r="4215">
      <c r="A4215" s="2" t="n">
        <v>46273</v>
      </c>
      <c r="B4215">
        <f>TEXT(A4215,"yyyy-mm")</f>
        <v/>
      </c>
      <c r="C4215" s="3">
        <f>HOUR(A4215)</f>
        <v/>
      </c>
      <c r="D4215" s="4" t="n">
        <v>21.15693497471111</v>
      </c>
      <c r="E4215" s="4" t="n">
        <v>25.48719457424166</v>
      </c>
      <c r="F4215" s="4" t="n">
        <v>27.71205852892222</v>
      </c>
      <c r="G4215" s="4" t="n">
        <v>11.6</v>
      </c>
      <c r="H4215" s="5" t="n">
        <v>37.03828784890556</v>
      </c>
      <c r="I4215" s="5" t="n">
        <v>31.68665435819166</v>
      </c>
      <c r="J4215" s="5" t="n">
        <v>37.84367020447223</v>
      </c>
      <c r="K4215" s="5" t="n">
        <v>72</v>
      </c>
    </row>
    <row r="4216">
      <c r="A4216" s="2" t="n">
        <v>46273.04166666666</v>
      </c>
      <c r="B4216">
        <f>TEXT(A4216,"yyyy-mm")</f>
        <v/>
      </c>
      <c r="C4216" s="3">
        <f>HOUR(A4216)</f>
        <v/>
      </c>
      <c r="D4216" s="4" t="n">
        <v>22.39005302858611</v>
      </c>
      <c r="E4216" s="4" t="n">
        <v>25.29704021631389</v>
      </c>
      <c r="F4216" s="4" t="n">
        <v>28.13205501013333</v>
      </c>
      <c r="G4216" s="4" t="n">
        <v>11.4</v>
      </c>
      <c r="H4216" s="5" t="n">
        <v>36.43150577291111</v>
      </c>
      <c r="I4216" s="5" t="n">
        <v>32.64657981478333</v>
      </c>
      <c r="J4216" s="5" t="n">
        <v>38.05080987261945</v>
      </c>
      <c r="K4216" s="5" t="n">
        <v>72</v>
      </c>
    </row>
    <row r="4217">
      <c r="A4217" s="2" t="n">
        <v>46273.08333333334</v>
      </c>
      <c r="B4217">
        <f>TEXT(A4217,"yyyy-mm")</f>
        <v/>
      </c>
      <c r="C4217" s="3">
        <f>HOUR(A4217)</f>
        <v/>
      </c>
      <c r="D4217" s="4" t="n">
        <v>23.03277901805</v>
      </c>
      <c r="E4217" s="4" t="n">
        <v>25.13059519905555</v>
      </c>
      <c r="F4217" s="4" t="n">
        <v>28.37932193317778</v>
      </c>
      <c r="G4217" s="4" t="n">
        <v>11.2</v>
      </c>
      <c r="H4217" s="5" t="n">
        <v>36.13161660398611</v>
      </c>
      <c r="I4217" s="5" t="n">
        <v>33.17939045065833</v>
      </c>
      <c r="J4217" s="5" t="n">
        <v>38.31244441328611</v>
      </c>
      <c r="K4217" s="5" t="n">
        <v>73</v>
      </c>
    </row>
    <row r="4218">
      <c r="A4218" s="2" t="n">
        <v>46273.125</v>
      </c>
      <c r="B4218">
        <f>TEXT(A4218,"yyyy-mm")</f>
        <v/>
      </c>
      <c r="C4218" s="3">
        <f>HOUR(A4218)</f>
        <v/>
      </c>
      <c r="D4218" s="4" t="n">
        <v>22.99303238398055</v>
      </c>
      <c r="E4218" s="4" t="n">
        <v>25.050373301525</v>
      </c>
      <c r="F4218" s="4" t="n">
        <v>28.48092024085556</v>
      </c>
      <c r="G4218" s="4" t="n">
        <v>10.5</v>
      </c>
      <c r="H4218" s="5" t="n">
        <v>37.2484811659</v>
      </c>
      <c r="I4218" s="5" t="n">
        <v>34.07396325755555</v>
      </c>
      <c r="J4218" s="5" t="n">
        <v>38.40731473536111</v>
      </c>
      <c r="K4218" s="5" t="n">
        <v>78</v>
      </c>
    </row>
    <row r="4219">
      <c r="A4219" s="2" t="n">
        <v>46273.16666666666</v>
      </c>
      <c r="B4219">
        <f>TEXT(A4219,"yyyy-mm")</f>
        <v/>
      </c>
      <c r="C4219" s="3">
        <f>HOUR(A4219)</f>
        <v/>
      </c>
      <c r="D4219" s="4" t="n">
        <v>23.02260992073056</v>
      </c>
      <c r="E4219" s="4" t="n">
        <v>24.99377444233889</v>
      </c>
      <c r="F4219" s="4" t="n">
        <v>28.51129277619445</v>
      </c>
      <c r="G4219" s="4" t="n">
        <v>10.4</v>
      </c>
      <c r="H4219" s="5" t="n">
        <v>38.09147776215278</v>
      </c>
      <c r="I4219" s="5" t="n">
        <v>34.84349609186111</v>
      </c>
      <c r="J4219" s="5" t="n">
        <v>38.51259863983889</v>
      </c>
      <c r="K4219" s="5" t="n">
        <v>82</v>
      </c>
    </row>
    <row r="4220">
      <c r="A4220" s="2" t="n">
        <v>46273.20833333334</v>
      </c>
      <c r="B4220">
        <f>TEXT(A4220,"yyyy-mm")</f>
        <v/>
      </c>
      <c r="C4220" s="3">
        <f>HOUR(A4220)</f>
        <v/>
      </c>
      <c r="D4220" s="4" t="n">
        <v>23.03801684040833</v>
      </c>
      <c r="E4220" s="4" t="n">
        <v>25.05704135515278</v>
      </c>
      <c r="F4220" s="4" t="n">
        <v>28.51732047363611</v>
      </c>
      <c r="G4220" s="4" t="n">
        <v>10.2</v>
      </c>
      <c r="H4220" s="5" t="n">
        <v>38.48751703140556</v>
      </c>
      <c r="I4220" s="5" t="n">
        <v>35.18094149475278</v>
      </c>
      <c r="J4220" s="5" t="n">
        <v>38.68553896648055</v>
      </c>
      <c r="K4220" s="5" t="n">
        <v>86</v>
      </c>
    </row>
    <row r="4221">
      <c r="A4221" s="2" t="n">
        <v>46273.25</v>
      </c>
      <c r="B4221">
        <f>TEXT(A4221,"yyyy-mm")</f>
        <v/>
      </c>
      <c r="C4221" s="3">
        <f>HOUR(A4221)</f>
        <v/>
      </c>
      <c r="D4221" s="4" t="n">
        <v>23.39079433469166</v>
      </c>
      <c r="E4221" s="4" t="n">
        <v>25.13891407065</v>
      </c>
      <c r="F4221" s="4" t="n">
        <v>28.50965171071111</v>
      </c>
      <c r="G4221" s="4" t="n">
        <v>9.9</v>
      </c>
      <c r="H4221" s="5" t="n">
        <v>38.17498647839167</v>
      </c>
      <c r="I4221" s="5" t="n">
        <v>35.43245431354723</v>
      </c>
      <c r="J4221" s="5" t="n">
        <v>38.81072254771389</v>
      </c>
      <c r="K4221" s="5" t="n">
        <v>89</v>
      </c>
    </row>
    <row r="4222">
      <c r="A4222" s="2" t="n">
        <v>46273.29166666666</v>
      </c>
      <c r="B4222">
        <f>TEXT(A4222,"yyyy-mm")</f>
        <v/>
      </c>
      <c r="C4222" s="3">
        <f>HOUR(A4222)</f>
        <v/>
      </c>
      <c r="D4222" s="4" t="n">
        <v>24.53905592884444</v>
      </c>
      <c r="E4222" s="4" t="n">
        <v>25.9931092077</v>
      </c>
      <c r="F4222" s="4" t="n">
        <v>28.51498717493889</v>
      </c>
      <c r="G4222" s="4" t="n">
        <v>10.5</v>
      </c>
      <c r="H4222" s="5" t="n">
        <v>36.56343850948889</v>
      </c>
      <c r="I4222" s="5" t="n">
        <v>34.71192060875278</v>
      </c>
      <c r="J4222" s="5" t="n">
        <v>38.99250594008056</v>
      </c>
      <c r="K4222" s="5" t="n">
        <v>88</v>
      </c>
    </row>
    <row r="4223">
      <c r="A4223" s="2" t="n">
        <v>46273.33333333334</v>
      </c>
      <c r="B4223">
        <f>TEXT(A4223,"yyyy-mm")</f>
        <v/>
      </c>
      <c r="C4223" s="3">
        <f>HOUR(A4223)</f>
        <v/>
      </c>
      <c r="D4223" s="4" t="n">
        <v>25.48630965486667</v>
      </c>
      <c r="E4223" s="4" t="n">
        <v>27.09188595586111</v>
      </c>
      <c r="F4223" s="4" t="n">
        <v>28.55020024075278</v>
      </c>
      <c r="G4223" s="4" t="n">
        <v>12</v>
      </c>
      <c r="H4223" s="5" t="n">
        <v>36.33876676861944</v>
      </c>
      <c r="I4223" s="5" t="n">
        <v>33.73440546317222</v>
      </c>
      <c r="J4223" s="5" t="n">
        <v>39.20675610733056</v>
      </c>
      <c r="K4223" s="5" t="n">
        <v>83</v>
      </c>
    </row>
    <row r="4224">
      <c r="A4224" s="2" t="n">
        <v>46273.375</v>
      </c>
      <c r="B4224">
        <f>TEXT(A4224,"yyyy-mm")</f>
        <v/>
      </c>
      <c r="C4224" s="3">
        <f>HOUR(A4224)</f>
        <v/>
      </c>
      <c r="D4224" s="4" t="n">
        <v>25.99423319877778</v>
      </c>
      <c r="E4224" s="4" t="n">
        <v>28.23762994102222</v>
      </c>
      <c r="F4224" s="4" t="n">
        <v>28.59494819876112</v>
      </c>
      <c r="G4224" s="4" t="n">
        <v>13.9</v>
      </c>
      <c r="H4224" s="5" t="n">
        <v>35.79668243298334</v>
      </c>
      <c r="I4224" s="5" t="n">
        <v>32.36824580850278</v>
      </c>
      <c r="J4224" s="5" t="n">
        <v>39.39105801304722</v>
      </c>
      <c r="K4224" s="5" t="n">
        <v>76</v>
      </c>
    </row>
    <row r="4225">
      <c r="A4225" s="2" t="n">
        <v>46273.41666666666</v>
      </c>
      <c r="B4225">
        <f>TEXT(A4225,"yyyy-mm")</f>
        <v/>
      </c>
      <c r="C4225" s="3">
        <f>HOUR(A4225)</f>
        <v/>
      </c>
      <c r="D4225" s="4" t="n">
        <v>26.30939054497222</v>
      </c>
      <c r="E4225" s="4" t="n">
        <v>28.74482833392778</v>
      </c>
      <c r="F4225" s="4" t="n">
        <v>28.65577255558611</v>
      </c>
      <c r="G4225" s="4" t="n">
        <v>15.7</v>
      </c>
      <c r="H4225" s="5" t="n">
        <v>33.57381214938056</v>
      </c>
      <c r="I4225" s="5" t="n">
        <v>33.56544422258055</v>
      </c>
      <c r="J4225" s="5" t="n">
        <v>39.63255355101666</v>
      </c>
      <c r="K4225" s="5" t="n">
        <v>69</v>
      </c>
    </row>
    <row r="4226">
      <c r="A4226" s="2" t="n">
        <v>46273.45833333334</v>
      </c>
      <c r="B4226">
        <f>TEXT(A4226,"yyyy-mm")</f>
        <v/>
      </c>
      <c r="C4226" s="3">
        <f>HOUR(A4226)</f>
        <v/>
      </c>
      <c r="D4226" s="4" t="n">
        <v>26.26447094169166</v>
      </c>
      <c r="E4226" s="4" t="n">
        <v>28.41208273028611</v>
      </c>
      <c r="F4226" s="4" t="n">
        <v>28.38647340636389</v>
      </c>
      <c r="G4226" s="4" t="n">
        <v>17.3</v>
      </c>
      <c r="H4226" s="5" t="n">
        <v>30.68639216815556</v>
      </c>
      <c r="I4226" s="5" t="n">
        <v>32.26609931460555</v>
      </c>
      <c r="J4226" s="5" t="n">
        <v>39.17910302066111</v>
      </c>
      <c r="K4226" s="5" t="n">
        <v>57</v>
      </c>
    </row>
    <row r="4227">
      <c r="A4227" s="2" t="n">
        <v>46273.5</v>
      </c>
      <c r="B4227">
        <f>TEXT(A4227,"yyyy-mm")</f>
        <v/>
      </c>
      <c r="C4227" s="3">
        <f>HOUR(A4227)</f>
        <v/>
      </c>
      <c r="D4227" s="4" t="n">
        <v>25.88793094749444</v>
      </c>
      <c r="E4227" s="4" t="n">
        <v>28.20771802339722</v>
      </c>
      <c r="F4227" s="4" t="n">
        <v>28.03246184450278</v>
      </c>
      <c r="G4227" s="4" t="n">
        <v>18.3</v>
      </c>
      <c r="H4227" s="5" t="n">
        <v>29.59925852854444</v>
      </c>
      <c r="I4227" s="5" t="n">
        <v>30.4498426414</v>
      </c>
      <c r="J4227" s="5" t="n">
        <v>37.44627624856389</v>
      </c>
      <c r="K4227" s="5" t="n">
        <v>50</v>
      </c>
    </row>
    <row r="4228">
      <c r="A4228" s="2" t="n">
        <v>46273.54166666666</v>
      </c>
      <c r="B4228">
        <f>TEXT(A4228,"yyyy-mm")</f>
        <v/>
      </c>
      <c r="C4228" s="3">
        <f>HOUR(A4228)</f>
        <v/>
      </c>
      <c r="D4228" s="4" t="n">
        <v>25.43202400666389</v>
      </c>
      <c r="E4228" s="4" t="n">
        <v>27.78421000324444</v>
      </c>
      <c r="F4228" s="4" t="n">
        <v>27.77307445993334</v>
      </c>
      <c r="G4228" s="4" t="n">
        <v>19.1</v>
      </c>
      <c r="H4228" s="5" t="n">
        <v>29.50371529510556</v>
      </c>
      <c r="I4228" s="5" t="n">
        <v>29.95633574511945</v>
      </c>
      <c r="J4228" s="5" t="n">
        <v>36.32135823771944</v>
      </c>
      <c r="K4228" s="5" t="n">
        <v>45</v>
      </c>
    </row>
    <row r="4229">
      <c r="A4229" s="2" t="n">
        <v>46273.58333333334</v>
      </c>
      <c r="B4229">
        <f>TEXT(A4229,"yyyy-mm")</f>
        <v/>
      </c>
      <c r="C4229" s="3">
        <f>HOUR(A4229)</f>
        <v/>
      </c>
      <c r="D4229" s="4" t="n">
        <v>25.13272169503889</v>
      </c>
      <c r="E4229" s="4" t="n">
        <v>27.026954405</v>
      </c>
      <c r="F4229" s="4" t="n">
        <v>27.88629352483333</v>
      </c>
      <c r="G4229" s="4" t="n">
        <v>19.8</v>
      </c>
      <c r="H4229" s="5" t="n">
        <v>30.33662060253333</v>
      </c>
      <c r="I4229" s="5" t="n">
        <v>36.50708975499445</v>
      </c>
      <c r="J4229" s="5" t="n">
        <v>37.56763400658611</v>
      </c>
      <c r="K4229" s="5" t="n">
        <v>41</v>
      </c>
    </row>
    <row r="4230">
      <c r="A4230" s="2" t="n">
        <v>46273.625</v>
      </c>
      <c r="B4230">
        <f>TEXT(A4230,"yyyy-mm")</f>
        <v/>
      </c>
      <c r="C4230" s="3">
        <f>HOUR(A4230)</f>
        <v/>
      </c>
      <c r="D4230" s="4" t="n">
        <v>25.006631639925</v>
      </c>
      <c r="E4230" s="4" t="n">
        <v>27.11826940733055</v>
      </c>
      <c r="F4230" s="4" t="n">
        <v>28.23929917825</v>
      </c>
      <c r="G4230" s="4" t="n">
        <v>20.7</v>
      </c>
      <c r="H4230" s="5" t="n">
        <v>31.50138434139722</v>
      </c>
      <c r="I4230" s="5" t="n">
        <v>38.11684071626111</v>
      </c>
      <c r="J4230" s="5" t="n">
        <v>38.15987859100556</v>
      </c>
      <c r="K4230" s="5" t="n">
        <v>38</v>
      </c>
    </row>
    <row r="4231">
      <c r="A4231" s="2" t="n">
        <v>46273.66666666666</v>
      </c>
      <c r="B4231">
        <f>TEXT(A4231,"yyyy-mm")</f>
        <v/>
      </c>
      <c r="C4231" s="3">
        <f>HOUR(A4231)</f>
        <v/>
      </c>
      <c r="D4231" s="4" t="n">
        <v>25.0995100403</v>
      </c>
      <c r="E4231" s="4" t="n">
        <v>26.9710389463</v>
      </c>
      <c r="F4231" s="4" t="n">
        <v>28.38970478339167</v>
      </c>
      <c r="G4231" s="4" t="n">
        <v>20.7</v>
      </c>
      <c r="H4231" s="5" t="n">
        <v>30.61037442823334</v>
      </c>
      <c r="I4231" s="5" t="n">
        <v>36.18619579492223</v>
      </c>
      <c r="J4231" s="5" t="n">
        <v>38.40034171241111</v>
      </c>
      <c r="K4231" s="5" t="n">
        <v>38</v>
      </c>
    </row>
    <row r="4232">
      <c r="A4232" s="2" t="n">
        <v>46273.70833333334</v>
      </c>
      <c r="B4232">
        <f>TEXT(A4232,"yyyy-mm")</f>
        <v/>
      </c>
      <c r="C4232" s="3">
        <f>HOUR(A4232)</f>
        <v/>
      </c>
      <c r="D4232" s="4" t="n">
        <v>25.03764817583611</v>
      </c>
      <c r="E4232" s="4" t="n">
        <v>26.83015084803889</v>
      </c>
      <c r="F4232" s="4" t="n">
        <v>28.45978399897222</v>
      </c>
      <c r="G4232" s="4" t="n">
        <v>20.3</v>
      </c>
      <c r="H4232" s="5" t="n">
        <v>30.46122484263056</v>
      </c>
      <c r="I4232" s="5" t="n">
        <v>32.36069767241667</v>
      </c>
      <c r="J4232" s="5" t="n">
        <v>38.41966870413889</v>
      </c>
      <c r="K4232" s="5" t="n">
        <v>40</v>
      </c>
    </row>
    <row r="4233">
      <c r="A4233" s="2" t="n">
        <v>46273.75</v>
      </c>
      <c r="B4233">
        <f>TEXT(A4233,"yyyy-mm")</f>
        <v/>
      </c>
      <c r="C4233" s="3">
        <f>HOUR(A4233)</f>
        <v/>
      </c>
      <c r="D4233" s="4" t="n">
        <v>24.59240992545833</v>
      </c>
      <c r="E4233" s="4" t="n">
        <v>26.71665476073333</v>
      </c>
      <c r="F4233" s="4" t="n">
        <v>28.50868371190556</v>
      </c>
      <c r="G4233" s="4" t="n">
        <v>19.3</v>
      </c>
      <c r="H4233" s="5" t="n">
        <v>31.53701729156112</v>
      </c>
      <c r="I4233" s="5" t="n">
        <v>32.06916604872222</v>
      </c>
      <c r="J4233" s="5" t="n">
        <v>38.40713074492501</v>
      </c>
      <c r="K4233" s="5" t="n">
        <v>45</v>
      </c>
    </row>
    <row r="4234">
      <c r="A4234" s="2" t="n">
        <v>46273.79166666666</v>
      </c>
      <c r="B4234">
        <f>TEXT(A4234,"yyyy-mm")</f>
        <v/>
      </c>
      <c r="C4234" s="3">
        <f>HOUR(A4234)</f>
        <v/>
      </c>
      <c r="D4234" s="4" t="n">
        <v>24.09026565521667</v>
      </c>
      <c r="E4234" s="4" t="n">
        <v>26.91940734265</v>
      </c>
      <c r="F4234" s="4" t="n">
        <v>28.53377981011944</v>
      </c>
      <c r="G4234" s="4" t="n">
        <v>17.8</v>
      </c>
      <c r="H4234" s="5" t="n">
        <v>32.75262764238334</v>
      </c>
      <c r="I4234" s="5" t="n">
        <v>32.93303129533056</v>
      </c>
      <c r="J4234" s="5" t="n">
        <v>38.42049531140555</v>
      </c>
      <c r="K4234" s="5" t="n">
        <v>51</v>
      </c>
    </row>
    <row r="4235">
      <c r="A4235" s="2" t="n">
        <v>46273.83333333334</v>
      </c>
      <c r="B4235">
        <f>TEXT(A4235,"yyyy-mm")</f>
        <v/>
      </c>
      <c r="C4235" s="3">
        <f>HOUR(A4235)</f>
        <v/>
      </c>
      <c r="D4235" s="4" t="n">
        <v>23.89340287151667</v>
      </c>
      <c r="E4235" s="4" t="n">
        <v>27.31513624002778</v>
      </c>
      <c r="F4235" s="4" t="n">
        <v>28.54620925780278</v>
      </c>
      <c r="G4235" s="4" t="n">
        <v>16.4</v>
      </c>
      <c r="H4235" s="5" t="n">
        <v>32.72511611585278</v>
      </c>
      <c r="I4235" s="5" t="n">
        <v>30.65594918557223</v>
      </c>
      <c r="J4235" s="5" t="n">
        <v>38.46254206896389</v>
      </c>
      <c r="K4235" s="5" t="n">
        <v>57</v>
      </c>
    </row>
    <row r="4236">
      <c r="A4236" s="2" t="n">
        <v>46273.875</v>
      </c>
      <c r="B4236">
        <f>TEXT(A4236,"yyyy-mm")</f>
        <v/>
      </c>
      <c r="C4236" s="3">
        <f>HOUR(A4236)</f>
        <v/>
      </c>
      <c r="D4236" s="4" t="n">
        <v>23.66913149163889</v>
      </c>
      <c r="E4236" s="4" t="n">
        <v>27.29719857419167</v>
      </c>
      <c r="F4236" s="4" t="n">
        <v>28.55877991856111</v>
      </c>
      <c r="G4236" s="4" t="n">
        <v>15.3</v>
      </c>
      <c r="H4236" s="5" t="n">
        <v>33.20959524247223</v>
      </c>
      <c r="I4236" s="5" t="n">
        <v>31.32601563060833</v>
      </c>
      <c r="J4236" s="5" t="n">
        <v>38.467944925025</v>
      </c>
      <c r="K4236" s="5" t="n">
        <v>61</v>
      </c>
    </row>
    <row r="4237">
      <c r="A4237" s="2" t="n">
        <v>46273.91666666666</v>
      </c>
      <c r="B4237">
        <f>TEXT(A4237,"yyyy-mm")</f>
        <v/>
      </c>
      <c r="C4237" s="3">
        <f>HOUR(A4237)</f>
        <v/>
      </c>
      <c r="D4237" s="4" t="n">
        <v>23.30964287423333</v>
      </c>
      <c r="E4237" s="4" t="n">
        <v>27.07415993939722</v>
      </c>
      <c r="F4237" s="4" t="n">
        <v>28.56502782152222</v>
      </c>
      <c r="G4237" s="4" t="n">
        <v>14.5</v>
      </c>
      <c r="H4237" s="5" t="n">
        <v>34.13522283685</v>
      </c>
      <c r="I4237" s="5" t="n">
        <v>31.37698126843611</v>
      </c>
      <c r="J4237" s="5" t="n">
        <v>38.46385904458333</v>
      </c>
      <c r="K4237" s="5" t="n">
        <v>65</v>
      </c>
    </row>
    <row r="4238">
      <c r="A4238" s="2" t="n">
        <v>46273.95833333334</v>
      </c>
      <c r="B4238">
        <f>TEXT(A4238,"yyyy-mm")</f>
        <v/>
      </c>
      <c r="C4238" s="3">
        <f>HOUR(A4238)</f>
        <v/>
      </c>
      <c r="D4238" s="4" t="n">
        <v>22.66753513303334</v>
      </c>
      <c r="E4238" s="4" t="n">
        <v>26.62034420293056</v>
      </c>
      <c r="F4238" s="4" t="n">
        <v>28.56733330609167</v>
      </c>
      <c r="G4238" s="4" t="n">
        <v>13.6</v>
      </c>
      <c r="H4238" s="5" t="n">
        <v>35.66614259905833</v>
      </c>
      <c r="I4238" s="5" t="n">
        <v>30.91241152598333</v>
      </c>
      <c r="J4238" s="5" t="n">
        <v>38.40652125351944</v>
      </c>
      <c r="K4238" s="5" t="n">
        <v>69</v>
      </c>
    </row>
    <row r="4239">
      <c r="A4239" s="2" t="n">
        <v>46274</v>
      </c>
      <c r="B4239">
        <f>TEXT(A4239,"yyyy-mm")</f>
        <v/>
      </c>
      <c r="C4239" s="3">
        <f>HOUR(A4239)</f>
        <v/>
      </c>
      <c r="D4239" s="4" t="n">
        <v>21.86484712787222</v>
      </c>
      <c r="E4239" s="4" t="n">
        <v>26.37186231588333</v>
      </c>
      <c r="F4239" s="4" t="n">
        <v>28.55952568884722</v>
      </c>
      <c r="G4239" s="4" t="n">
        <v>12.7</v>
      </c>
      <c r="H4239" s="5" t="n">
        <v>37.03113871121667</v>
      </c>
      <c r="I4239" s="5" t="n">
        <v>34.25389337985833</v>
      </c>
      <c r="J4239" s="5" t="n">
        <v>38.33674374583611</v>
      </c>
      <c r="K4239" s="5" t="n">
        <v>73</v>
      </c>
    </row>
    <row r="4240">
      <c r="A4240" s="2" t="n">
        <v>46274.04166666666</v>
      </c>
      <c r="B4240">
        <f>TEXT(A4240,"yyyy-mm")</f>
        <v/>
      </c>
      <c r="C4240" s="3">
        <f>HOUR(A4240)</f>
        <v/>
      </c>
      <c r="D4240" s="4" t="n"/>
      <c r="E4240" s="4" t="n">
        <v>26.17785755409444</v>
      </c>
      <c r="F4240" s="4" t="n">
        <v>28.53131628956111</v>
      </c>
      <c r="G4240" s="4" t="n">
        <v>11.9</v>
      </c>
      <c r="H4240" s="5" t="n"/>
      <c r="I4240" s="5" t="n">
        <v>33.88275281739722</v>
      </c>
      <c r="J4240" s="5" t="n">
        <v>38.30090382086389</v>
      </c>
      <c r="K4240" s="5" t="n">
        <v>77</v>
      </c>
    </row>
    <row r="4241">
      <c r="A4241" s="2" t="n">
        <v>46274.08333333334</v>
      </c>
      <c r="B4241">
        <f>TEXT(A4241,"yyyy-mm")</f>
        <v/>
      </c>
      <c r="C4241" s="3">
        <f>HOUR(A4241)</f>
        <v/>
      </c>
      <c r="D4241" s="4" t="n">
        <v>24.12429872625933</v>
      </c>
      <c r="E4241" s="4" t="n">
        <v>26.01989731941389</v>
      </c>
      <c r="F4241" s="4" t="n">
        <v>28.51913885660555</v>
      </c>
      <c r="G4241" s="4" t="n">
        <v>11.2</v>
      </c>
      <c r="H4241" s="5" t="n">
        <v>37.28542608490473</v>
      </c>
      <c r="I4241" s="5" t="n">
        <v>34.52403543757222</v>
      </c>
      <c r="J4241" s="5" t="n">
        <v>38.41561594071389</v>
      </c>
      <c r="K4241" s="5" t="n">
        <v>81</v>
      </c>
    </row>
    <row r="4242">
      <c r="A4242" s="2" t="n">
        <v>46274.125</v>
      </c>
      <c r="B4242">
        <f>TEXT(A4242,"yyyy-mm")</f>
        <v/>
      </c>
      <c r="C4242" s="3">
        <f>HOUR(A4242)</f>
        <v/>
      </c>
      <c r="D4242" s="4" t="n">
        <v>24.34125942178611</v>
      </c>
      <c r="E4242" s="4" t="n">
        <v>25.88628749623333</v>
      </c>
      <c r="F4242" s="4" t="n">
        <v>28.51345716132778</v>
      </c>
      <c r="G4242" s="4" t="n">
        <v>10.1</v>
      </c>
      <c r="H4242" s="5" t="n">
        <v>36.95406992830555</v>
      </c>
      <c r="I4242" s="5" t="n">
        <v>35.02591369619722</v>
      </c>
      <c r="J4242" s="5" t="n">
        <v>38.567265410225</v>
      </c>
      <c r="K4242" s="5" t="n">
        <v>83</v>
      </c>
    </row>
    <row r="4243">
      <c r="A4243" s="2" t="n">
        <v>46274.16666666666</v>
      </c>
      <c r="B4243">
        <f>TEXT(A4243,"yyyy-mm")</f>
        <v/>
      </c>
      <c r="C4243" s="3">
        <f>HOUR(A4243)</f>
        <v/>
      </c>
      <c r="D4243" s="4" t="n">
        <v>24.49139407243056</v>
      </c>
      <c r="E4243" s="4" t="n">
        <v>25.7825089625</v>
      </c>
      <c r="F4243" s="4" t="n">
        <v>28.50354056921944</v>
      </c>
      <c r="G4243" s="4" t="n">
        <v>9.6</v>
      </c>
      <c r="H4243" s="5" t="n">
        <v>36.74261779516667</v>
      </c>
      <c r="I4243" s="5" t="n">
        <v>35.292963891525</v>
      </c>
      <c r="J4243" s="5" t="n">
        <v>38.68582914320556</v>
      </c>
      <c r="K4243" s="5" t="n">
        <v>85</v>
      </c>
    </row>
    <row r="4244">
      <c r="A4244" s="2" t="n">
        <v>46274.20833333334</v>
      </c>
      <c r="B4244">
        <f>TEXT(A4244,"yyyy-mm")</f>
        <v/>
      </c>
      <c r="C4244" s="3">
        <f>HOUR(A4244)</f>
        <v/>
      </c>
      <c r="D4244" s="4" t="n">
        <v>24.53142798299723</v>
      </c>
      <c r="E4244" s="4" t="n">
        <v>25.66106785748889</v>
      </c>
      <c r="F4244" s="4" t="n">
        <v>28.49573484964166</v>
      </c>
      <c r="G4244" s="4" t="n">
        <v>9.1</v>
      </c>
      <c r="H4244" s="5" t="n">
        <v>36.62540621177778</v>
      </c>
      <c r="I4244" s="5" t="n">
        <v>35.54125538452499</v>
      </c>
      <c r="J4244" s="5" t="n">
        <v>38.7771350797</v>
      </c>
      <c r="K4244" s="5" t="n">
        <v>87</v>
      </c>
    </row>
    <row r="4245">
      <c r="A4245" s="2" t="n">
        <v>46274.25</v>
      </c>
      <c r="B4245">
        <f>TEXT(A4245,"yyyy-mm")</f>
        <v/>
      </c>
      <c r="C4245" s="3">
        <f>HOUR(A4245)</f>
        <v/>
      </c>
      <c r="D4245" s="4" t="n">
        <v>24.71928266073056</v>
      </c>
      <c r="E4245" s="4" t="n">
        <v>25.90271528498889</v>
      </c>
      <c r="F4245" s="4" t="n">
        <v>28.49643140695278</v>
      </c>
      <c r="G4245" s="4" t="n">
        <v>8.800000000000001</v>
      </c>
      <c r="H4245" s="5" t="n">
        <v>35.67218299133334</v>
      </c>
      <c r="I4245" s="5" t="n">
        <v>34.62426110727223</v>
      </c>
      <c r="J4245" s="5" t="n">
        <v>38.83153465377778</v>
      </c>
      <c r="K4245" s="5" t="n">
        <v>88</v>
      </c>
    </row>
    <row r="4246">
      <c r="A4246" s="2" t="n">
        <v>46274.29166666666</v>
      </c>
      <c r="B4246">
        <f>TEXT(A4246,"yyyy-mm")</f>
        <v/>
      </c>
      <c r="C4246" s="3">
        <f>HOUR(A4246)</f>
        <v/>
      </c>
      <c r="D4246" s="4" t="n">
        <v>25.38497165630278</v>
      </c>
      <c r="E4246" s="4" t="n">
        <v>26.72168154129444</v>
      </c>
      <c r="F4246" s="4" t="n">
        <v>28.49172220068889</v>
      </c>
      <c r="G4246" s="4" t="n">
        <v>9.699999999999999</v>
      </c>
      <c r="H4246" s="5" t="n">
        <v>34.41224911713889</v>
      </c>
      <c r="I4246" s="5" t="n">
        <v>33.70660860087778</v>
      </c>
      <c r="J4246" s="5" t="n">
        <v>38.91388264920555</v>
      </c>
      <c r="K4246" s="5" t="n">
        <v>85</v>
      </c>
    </row>
    <row r="4247">
      <c r="A4247" s="2" t="n">
        <v>46274.33333333334</v>
      </c>
      <c r="B4247">
        <f>TEXT(A4247,"yyyy-mm")</f>
        <v/>
      </c>
      <c r="C4247" s="3">
        <f>HOUR(A4247)</f>
        <v/>
      </c>
      <c r="D4247" s="4" t="n">
        <v>26.039071188725</v>
      </c>
      <c r="E4247" s="4" t="n">
        <v>27.92602372746111</v>
      </c>
      <c r="F4247" s="4" t="n">
        <v>28.51598943536111</v>
      </c>
      <c r="G4247" s="4" t="n">
        <v>11.5</v>
      </c>
      <c r="H4247" s="5" t="n">
        <v>34.82820204868055</v>
      </c>
      <c r="I4247" s="5" t="n">
        <v>30.97183301566112</v>
      </c>
      <c r="J4247" s="5" t="n">
        <v>38.98923350873888</v>
      </c>
      <c r="K4247" s="5" t="n">
        <v>79</v>
      </c>
    </row>
    <row r="4248">
      <c r="A4248" s="2" t="n">
        <v>46274.375</v>
      </c>
      <c r="B4248">
        <f>TEXT(A4248,"yyyy-mm")</f>
        <v/>
      </c>
      <c r="C4248" s="3">
        <f>HOUR(A4248)</f>
        <v/>
      </c>
      <c r="D4248" s="4" t="n">
        <v>26.39116667092222</v>
      </c>
      <c r="E4248" s="4" t="n">
        <v>29.08976213548611</v>
      </c>
      <c r="F4248" s="4" t="n">
        <v>28.54276718638055</v>
      </c>
      <c r="G4248" s="4" t="n">
        <v>14.3</v>
      </c>
      <c r="H4248" s="5" t="n">
        <v>35.20655915733055</v>
      </c>
      <c r="I4248" s="5" t="n">
        <v>28.73236428815833</v>
      </c>
      <c r="J4248" s="5" t="n">
        <v>39.10331671546667</v>
      </c>
      <c r="K4248" s="5" t="n">
        <v>67</v>
      </c>
    </row>
    <row r="4249">
      <c r="A4249" s="2" t="n">
        <v>46274.41666666666</v>
      </c>
      <c r="B4249">
        <f>TEXT(A4249,"yyyy-mm")</f>
        <v/>
      </c>
      <c r="C4249" s="3">
        <f>HOUR(A4249)</f>
        <v/>
      </c>
      <c r="D4249" s="4" t="n">
        <v>26.64997888089444</v>
      </c>
      <c r="E4249" s="4" t="n">
        <v>29.570857188675</v>
      </c>
      <c r="F4249" s="4" t="n">
        <v>28.5807825999</v>
      </c>
      <c r="G4249" s="4" t="n">
        <v>16.8</v>
      </c>
      <c r="H4249" s="5" t="n">
        <v>35.49986260155833</v>
      </c>
      <c r="I4249" s="5" t="n">
        <v>30.26652872747778</v>
      </c>
      <c r="J4249" s="5" t="n">
        <v>39.18175699708333</v>
      </c>
      <c r="K4249" s="5" t="n">
        <v>56</v>
      </c>
    </row>
    <row r="4250">
      <c r="A4250" s="2" t="n">
        <v>46274.45833333334</v>
      </c>
      <c r="B4250">
        <f>TEXT(A4250,"yyyy-mm")</f>
        <v/>
      </c>
      <c r="C4250" s="3">
        <f>HOUR(A4250)</f>
        <v/>
      </c>
      <c r="D4250" s="4" t="n">
        <v>26.80609649211666</v>
      </c>
      <c r="E4250" s="4" t="n">
        <v>29.02662136751389</v>
      </c>
      <c r="F4250" s="4" t="n">
        <v>28.577847206125</v>
      </c>
      <c r="G4250" s="4" t="n">
        <v>18.6</v>
      </c>
      <c r="H4250" s="5" t="n">
        <v>31.36577448061944</v>
      </c>
      <c r="I4250" s="5" t="n">
        <v>30.34059942535833</v>
      </c>
      <c r="J4250" s="5" t="n">
        <v>39.10566818155</v>
      </c>
      <c r="K4250" s="5" t="n">
        <v>51</v>
      </c>
    </row>
    <row r="4251">
      <c r="A4251" s="2" t="n">
        <v>46274.5</v>
      </c>
      <c r="B4251">
        <f>TEXT(A4251,"yyyy-mm")</f>
        <v/>
      </c>
      <c r="C4251" s="3">
        <f>HOUR(A4251)</f>
        <v/>
      </c>
      <c r="D4251" s="4" t="n">
        <v>26.63196583733611</v>
      </c>
      <c r="E4251" s="4" t="n">
        <v>28.620276504875</v>
      </c>
      <c r="F4251" s="4" t="n">
        <v>28.37258211258333</v>
      </c>
      <c r="G4251" s="4" t="n">
        <v>19.9</v>
      </c>
      <c r="H4251" s="5" t="n">
        <v>30.40629850701944</v>
      </c>
      <c r="I4251" s="5" t="n">
        <v>30.80203297582777</v>
      </c>
      <c r="J4251" s="5" t="n">
        <v>38.34050828885</v>
      </c>
      <c r="K4251" s="5" t="n">
        <v>47</v>
      </c>
    </row>
    <row r="4252">
      <c r="A4252" s="2" t="n">
        <v>46274.54166666666</v>
      </c>
      <c r="B4252">
        <f>TEXT(A4252,"yyyy-mm")</f>
        <v/>
      </c>
      <c r="C4252" s="3">
        <f>HOUR(A4252)</f>
        <v/>
      </c>
      <c r="D4252" s="4" t="n">
        <v>26.33264298689722</v>
      </c>
      <c r="E4252" s="4" t="n">
        <v>28.26043640019444</v>
      </c>
      <c r="F4252" s="4" t="n">
        <v>28.43573880852778</v>
      </c>
      <c r="G4252" s="4" t="n">
        <v>20.7</v>
      </c>
      <c r="H4252" s="5" t="n">
        <v>30.6396267892</v>
      </c>
      <c r="I4252" s="5" t="n">
        <v>30.58908770587222</v>
      </c>
      <c r="J4252" s="5" t="n">
        <v>38.84031388435</v>
      </c>
      <c r="K4252" s="5" t="n">
        <v>45</v>
      </c>
    </row>
    <row r="4253">
      <c r="A4253" s="2" t="n">
        <v>46274.58333333334</v>
      </c>
      <c r="B4253">
        <f>TEXT(A4253,"yyyy-mm")</f>
        <v/>
      </c>
      <c r="C4253" s="3">
        <f>HOUR(A4253)</f>
        <v/>
      </c>
      <c r="D4253" s="4" t="n">
        <v>26.17531679168889</v>
      </c>
      <c r="E4253" s="4" t="n">
        <v>27.87607254508889</v>
      </c>
      <c r="F4253" s="4" t="n">
        <v>28.52532553083889</v>
      </c>
      <c r="G4253" s="4" t="n">
        <v>21.3</v>
      </c>
      <c r="H4253" s="5" t="n">
        <v>31.14252413602778</v>
      </c>
      <c r="I4253" s="5" t="n">
        <v>31.47152096679723</v>
      </c>
      <c r="J4253" s="5" t="n">
        <v>38.91739355178056</v>
      </c>
      <c r="K4253" s="5" t="n">
        <v>44</v>
      </c>
    </row>
    <row r="4254">
      <c r="A4254" s="2" t="n">
        <v>46274.625</v>
      </c>
      <c r="B4254">
        <f>TEXT(A4254,"yyyy-mm")</f>
        <v/>
      </c>
      <c r="C4254" s="3">
        <f>HOUR(A4254)</f>
        <v/>
      </c>
      <c r="D4254" s="4" t="n">
        <v>26.10621718261666</v>
      </c>
      <c r="E4254" s="4" t="n">
        <v>27.81336347923889</v>
      </c>
      <c r="F4254" s="4" t="n">
        <v>28.56247680690556</v>
      </c>
      <c r="G4254" s="4" t="n">
        <v>22.7</v>
      </c>
      <c r="H4254" s="5" t="n">
        <v>30.93410050774444</v>
      </c>
      <c r="I4254" s="5" t="n">
        <v>31.63015040137778</v>
      </c>
      <c r="J4254" s="5" t="n">
        <v>38.93420737426944</v>
      </c>
      <c r="K4254" s="5" t="n">
        <v>39</v>
      </c>
    </row>
    <row r="4255">
      <c r="A4255" s="2" t="n">
        <v>46274.66666666666</v>
      </c>
      <c r="B4255">
        <f>TEXT(A4255,"yyyy-mm")</f>
        <v/>
      </c>
      <c r="C4255" s="3">
        <f>HOUR(A4255)</f>
        <v/>
      </c>
      <c r="D4255" s="4" t="n">
        <v>25.94550120592778</v>
      </c>
      <c r="E4255" s="4" t="n">
        <v>28.06638220771111</v>
      </c>
      <c r="F4255" s="4" t="n">
        <v>28.58232060216944</v>
      </c>
      <c r="G4255" s="4" t="n">
        <v>22.9</v>
      </c>
      <c r="H4255" s="5" t="n">
        <v>30.96751560803611</v>
      </c>
      <c r="I4255" s="5" t="n">
        <v>33.29927150357778</v>
      </c>
      <c r="J4255" s="5" t="n">
        <v>38.92361118489166</v>
      </c>
      <c r="K4255" s="5" t="n">
        <v>38</v>
      </c>
    </row>
    <row r="4256">
      <c r="A4256" s="2" t="n">
        <v>46274.70833333334</v>
      </c>
      <c r="B4256">
        <f>TEXT(A4256,"yyyy-mm")</f>
        <v/>
      </c>
      <c r="C4256" s="3">
        <f>HOUR(A4256)</f>
        <v/>
      </c>
      <c r="D4256" s="4" t="n">
        <v>25.95709482733889</v>
      </c>
      <c r="E4256" s="4" t="n">
        <v>28.04899143888055</v>
      </c>
      <c r="F4256" s="4" t="n">
        <v>28.60540636023612</v>
      </c>
      <c r="G4256" s="4" t="n">
        <v>22.7</v>
      </c>
      <c r="H4256" s="5" t="n">
        <v>32.38379029146389</v>
      </c>
      <c r="I4256" s="5" t="n">
        <v>34.09152794696389</v>
      </c>
      <c r="J4256" s="5" t="n">
        <v>38.95628244388056</v>
      </c>
      <c r="K4256" s="5" t="n">
        <v>40</v>
      </c>
    </row>
    <row r="4257">
      <c r="A4257" s="2" t="n">
        <v>46274.75</v>
      </c>
      <c r="B4257">
        <f>TEXT(A4257,"yyyy-mm")</f>
        <v/>
      </c>
      <c r="C4257" s="3">
        <f>HOUR(A4257)</f>
        <v/>
      </c>
      <c r="D4257" s="4" t="n">
        <v>25.71913501239722</v>
      </c>
      <c r="E4257" s="4" t="n">
        <v>27.828100484375</v>
      </c>
      <c r="F4257" s="4" t="n">
        <v>28.62465436516944</v>
      </c>
      <c r="G4257" s="4" t="n">
        <v>22</v>
      </c>
      <c r="H4257" s="5" t="n">
        <v>31.79472975433056</v>
      </c>
      <c r="I4257" s="5" t="n">
        <v>31.69597811510278</v>
      </c>
      <c r="J4257" s="5" t="n">
        <v>38.94361339663055</v>
      </c>
      <c r="K4257" s="5" t="n">
        <v>46</v>
      </c>
    </row>
    <row r="4258">
      <c r="A4258" s="2" t="n">
        <v>46274.79166666666</v>
      </c>
      <c r="B4258">
        <f>TEXT(A4258,"yyyy-mm")</f>
        <v/>
      </c>
      <c r="C4258" s="3">
        <f>HOUR(A4258)</f>
        <v/>
      </c>
      <c r="D4258" s="4" t="n">
        <v>25.26789590644722</v>
      </c>
      <c r="E4258" s="4" t="n">
        <v>27.64034655705</v>
      </c>
      <c r="F4258" s="4" t="n">
        <v>28.63365406005833</v>
      </c>
      <c r="G4258" s="4" t="n">
        <v>20.2</v>
      </c>
      <c r="H4258" s="5" t="n">
        <v>33.69671278333612</v>
      </c>
      <c r="I4258" s="5" t="n">
        <v>34.49309702781111</v>
      </c>
      <c r="J4258" s="5" t="n">
        <v>38.885580537925</v>
      </c>
      <c r="K4258" s="5" t="n">
        <v>56</v>
      </c>
    </row>
    <row r="4259">
      <c r="A4259" s="2" t="n">
        <v>46274.83333333334</v>
      </c>
      <c r="B4259">
        <f>TEXT(A4259,"yyyy-mm")</f>
        <v/>
      </c>
      <c r="C4259" s="3">
        <f>HOUR(A4259)</f>
        <v/>
      </c>
      <c r="D4259" s="4" t="n">
        <v>24.787774817275</v>
      </c>
      <c r="E4259" s="4" t="n">
        <v>27.69102886969722</v>
      </c>
      <c r="F4259" s="4" t="n">
        <v>28.39323088118612</v>
      </c>
      <c r="G4259" s="4" t="n">
        <v>18.5</v>
      </c>
      <c r="H4259" s="5" t="n">
        <v>35.15898514503889</v>
      </c>
      <c r="I4259" s="5" t="n">
        <v>33.70503764588333</v>
      </c>
      <c r="J4259" s="5" t="n">
        <v>38.62138831806666</v>
      </c>
      <c r="K4259" s="5" t="n">
        <v>63</v>
      </c>
    </row>
    <row r="4260">
      <c r="A4260" s="2" t="n">
        <v>46274.875</v>
      </c>
      <c r="B4260">
        <f>TEXT(A4260,"yyyy-mm")</f>
        <v/>
      </c>
      <c r="C4260" s="3">
        <f>HOUR(A4260)</f>
        <v/>
      </c>
      <c r="D4260" s="4" t="n">
        <v>24.495500995625</v>
      </c>
      <c r="E4260" s="4" t="n">
        <v>27.63063956158055</v>
      </c>
      <c r="F4260" s="4" t="n">
        <v>28.23937475513056</v>
      </c>
      <c r="G4260" s="4" t="n">
        <v>17.4</v>
      </c>
      <c r="H4260" s="5" t="n">
        <v>35.13723504789167</v>
      </c>
      <c r="I4260" s="5" t="n">
        <v>33.11944399978055</v>
      </c>
      <c r="J4260" s="5" t="n">
        <v>38.897066212</v>
      </c>
      <c r="K4260" s="5" t="n">
        <v>66</v>
      </c>
    </row>
    <row r="4261">
      <c r="A4261" s="2" t="n">
        <v>46274.91666666666</v>
      </c>
      <c r="B4261">
        <f>TEXT(A4261,"yyyy-mm")</f>
        <v/>
      </c>
      <c r="C4261" s="3">
        <f>HOUR(A4261)</f>
        <v/>
      </c>
      <c r="D4261" s="4" t="n">
        <v>24.81953375705833</v>
      </c>
      <c r="E4261" s="4" t="n">
        <v>27.75587781971112</v>
      </c>
      <c r="F4261" s="4" t="n">
        <v>28.4183050947</v>
      </c>
      <c r="G4261" s="4" t="n">
        <v>16.1</v>
      </c>
      <c r="H4261" s="5" t="n">
        <v>33.97541246478611</v>
      </c>
      <c r="I4261" s="5" t="n">
        <v>31.997459595</v>
      </c>
      <c r="J4261" s="5" t="n">
        <v>38.93037603168056</v>
      </c>
      <c r="K4261" s="5" t="n">
        <v>72</v>
      </c>
    </row>
    <row r="4262">
      <c r="A4262" s="2" t="n">
        <v>46274.95833333334</v>
      </c>
      <c r="B4262">
        <f>TEXT(A4262,"yyyy-mm")</f>
        <v/>
      </c>
      <c r="C4262" s="3">
        <f>HOUR(A4262)</f>
        <v/>
      </c>
      <c r="D4262" s="4" t="n">
        <v>24.64449519723055</v>
      </c>
      <c r="E4262" s="4" t="n">
        <v>27.54568973851389</v>
      </c>
      <c r="F4262" s="4" t="n">
        <v>28.48743424386112</v>
      </c>
      <c r="G4262" s="4" t="n">
        <v>15.3</v>
      </c>
      <c r="H4262" s="5" t="n">
        <v>34.89952171545833</v>
      </c>
      <c r="I4262" s="5" t="n">
        <v>32.47945196725</v>
      </c>
      <c r="J4262" s="5" t="n">
        <v>38.94161070592222</v>
      </c>
      <c r="K4262" s="5" t="n">
        <v>76</v>
      </c>
    </row>
    <row r="4263">
      <c r="A4263" s="2" t="n">
        <v>46275</v>
      </c>
      <c r="B4263">
        <f>TEXT(A4263,"yyyy-mm")</f>
        <v/>
      </c>
      <c r="C4263" s="3">
        <f>HOUR(A4263)</f>
        <v/>
      </c>
      <c r="D4263" s="4" t="n">
        <v>24.01650173085833</v>
      </c>
      <c r="E4263" s="4" t="n">
        <v>27.47801725893889</v>
      </c>
      <c r="F4263" s="4" t="n">
        <v>28.52375492921667</v>
      </c>
      <c r="G4263" s="4" t="n">
        <v>14.7</v>
      </c>
      <c r="H4263" s="5" t="n">
        <v>35.91191289112778</v>
      </c>
      <c r="I4263" s="5" t="n">
        <v>31.79604474416666</v>
      </c>
      <c r="J4263" s="5" t="n">
        <v>38.93527531898334</v>
      </c>
      <c r="K4263" s="5" t="n">
        <v>76</v>
      </c>
    </row>
    <row r="4264">
      <c r="A4264" s="2" t="n">
        <v>46275.04166666666</v>
      </c>
      <c r="B4264">
        <f>TEXT(A4264,"yyyy-mm")</f>
        <v/>
      </c>
      <c r="C4264" s="3">
        <f>HOUR(A4264)</f>
        <v/>
      </c>
      <c r="D4264" s="4" t="n">
        <v>24.11326739018612</v>
      </c>
      <c r="E4264" s="4" t="n">
        <v>27.29185434675833</v>
      </c>
      <c r="F4264" s="4" t="n">
        <v>28.54102802765277</v>
      </c>
      <c r="G4264" s="4" t="n">
        <v>14.2</v>
      </c>
      <c r="H4264" s="5" t="n">
        <v>36.82138655855555</v>
      </c>
      <c r="I4264" s="5" t="n">
        <v>33.031235198</v>
      </c>
      <c r="J4264" s="5" t="n">
        <v>38.91872985103611</v>
      </c>
      <c r="K4264" s="5" t="n">
        <v>77</v>
      </c>
    </row>
    <row r="4265">
      <c r="A4265" s="2" t="n">
        <v>46275.08333333334</v>
      </c>
      <c r="B4265">
        <f>TEXT(A4265,"yyyy-mm")</f>
        <v/>
      </c>
      <c r="C4265" s="3">
        <f>HOUR(A4265)</f>
        <v/>
      </c>
      <c r="D4265" s="4" t="n">
        <v>24.90043164901389</v>
      </c>
      <c r="E4265" s="4" t="n">
        <v>26.93909714400278</v>
      </c>
      <c r="F4265" s="4" t="n">
        <v>28.55761385207222</v>
      </c>
      <c r="G4265" s="4" t="n">
        <v>13.7</v>
      </c>
      <c r="H4265" s="5" t="n">
        <v>36.08267098549445</v>
      </c>
      <c r="I4265" s="5" t="n">
        <v>33.64559799230278</v>
      </c>
      <c r="J4265" s="5" t="n">
        <v>39.01177247671389</v>
      </c>
      <c r="K4265" s="5" t="n">
        <v>78</v>
      </c>
    </row>
    <row r="4266">
      <c r="A4266" s="2" t="n">
        <v>46275.125</v>
      </c>
      <c r="B4266">
        <f>TEXT(A4266,"yyyy-mm")</f>
        <v/>
      </c>
      <c r="C4266" s="3">
        <f>HOUR(A4266)</f>
        <v/>
      </c>
      <c r="D4266" s="4" t="n">
        <v>25.00119689336667</v>
      </c>
      <c r="E4266" s="4" t="n">
        <v>26.67517878733334</v>
      </c>
      <c r="F4266" s="4" t="n">
        <v>28.54777521772223</v>
      </c>
      <c r="G4266" s="4" t="n">
        <v>12.7</v>
      </c>
      <c r="H4266" s="5" t="n">
        <v>35.71323892965</v>
      </c>
      <c r="I4266" s="5" t="n">
        <v>33.74588910150278</v>
      </c>
      <c r="J4266" s="5" t="n">
        <v>39.09025770563056</v>
      </c>
      <c r="K4266" s="5" t="n">
        <v>81</v>
      </c>
    </row>
    <row r="4267">
      <c r="A4267" s="2" t="n">
        <v>46275.16666666666</v>
      </c>
      <c r="B4267">
        <f>TEXT(A4267,"yyyy-mm")</f>
        <v/>
      </c>
      <c r="C4267" s="3">
        <f>HOUR(A4267)</f>
        <v/>
      </c>
      <c r="D4267" s="4" t="n">
        <v>25.00055532605556</v>
      </c>
      <c r="E4267" s="4" t="n">
        <v>26.48056790396944</v>
      </c>
      <c r="F4267" s="4" t="n">
        <v>28.53477499854445</v>
      </c>
      <c r="G4267" s="4" t="n">
        <v>12.6</v>
      </c>
      <c r="H4267" s="5" t="n">
        <v>35.31623297129445</v>
      </c>
      <c r="I4267" s="5" t="n">
        <v>33.51645426109445</v>
      </c>
      <c r="J4267" s="5" t="n">
        <v>39.11202767709167</v>
      </c>
      <c r="K4267" s="5" t="n">
        <v>80</v>
      </c>
    </row>
    <row r="4268">
      <c r="A4268" s="2" t="n">
        <v>46275.20833333334</v>
      </c>
      <c r="B4268">
        <f>TEXT(A4268,"yyyy-mm")</f>
        <v/>
      </c>
      <c r="C4268" s="3">
        <f>HOUR(A4268)</f>
        <v/>
      </c>
      <c r="D4268" s="4" t="n">
        <v>24.91467607291944</v>
      </c>
      <c r="E4268" s="4" t="n">
        <v>26.42154483735834</v>
      </c>
      <c r="F4268" s="4" t="n">
        <v>28.52555547850278</v>
      </c>
      <c r="G4268" s="4" t="n">
        <v>12.2</v>
      </c>
      <c r="H4268" s="5" t="n">
        <v>34.80253309814444</v>
      </c>
      <c r="I4268" s="5" t="n">
        <v>33.088740759575</v>
      </c>
      <c r="J4268" s="5" t="n">
        <v>39.08007585005</v>
      </c>
      <c r="K4268" s="5" t="n">
        <v>81</v>
      </c>
    </row>
    <row r="4269">
      <c r="A4269" s="2" t="n">
        <v>46275.25</v>
      </c>
      <c r="B4269">
        <f>TEXT(A4269,"yyyy-mm")</f>
        <v/>
      </c>
      <c r="C4269" s="3">
        <f>HOUR(A4269)</f>
        <v/>
      </c>
      <c r="D4269" s="4" t="n">
        <v>25.13630830323611</v>
      </c>
      <c r="E4269" s="4" t="n">
        <v>26.48923226456389</v>
      </c>
      <c r="F4269" s="4" t="n">
        <v>28.50446983908889</v>
      </c>
      <c r="G4269" s="4" t="n">
        <v>12</v>
      </c>
      <c r="H4269" s="5" t="n">
        <v>33.64380602123611</v>
      </c>
      <c r="I4269" s="5" t="n">
        <v>32.45331835881667</v>
      </c>
      <c r="J4269" s="5" t="n">
        <v>39.03937151106111</v>
      </c>
      <c r="K4269" s="5" t="n">
        <v>81</v>
      </c>
    </row>
    <row r="4270">
      <c r="A4270" s="2" t="n">
        <v>46275.29166666666</v>
      </c>
      <c r="B4270">
        <f>TEXT(A4270,"yyyy-mm")</f>
        <v/>
      </c>
      <c r="C4270" s="3">
        <f>HOUR(A4270)</f>
        <v/>
      </c>
      <c r="D4270" s="4" t="n">
        <v>25.88381604249166</v>
      </c>
      <c r="E4270" s="4" t="n">
        <v>27.17517231123056</v>
      </c>
      <c r="F4270" s="4" t="n">
        <v>28.50093171234722</v>
      </c>
      <c r="G4270" s="4" t="n">
        <v>12.7</v>
      </c>
      <c r="H4270" s="5" t="n">
        <v>32.79743149610555</v>
      </c>
      <c r="I4270" s="5" t="n">
        <v>32.03706179443333</v>
      </c>
      <c r="J4270" s="5" t="n">
        <v>39.04669958526667</v>
      </c>
      <c r="K4270" s="5" t="n">
        <v>78</v>
      </c>
    </row>
    <row r="4271">
      <c r="A4271" s="2" t="n">
        <v>46275.33333333334</v>
      </c>
      <c r="B4271">
        <f>TEXT(A4271,"yyyy-mm")</f>
        <v/>
      </c>
      <c r="C4271" s="3">
        <f>HOUR(A4271)</f>
        <v/>
      </c>
      <c r="D4271" s="4" t="n">
        <v>26.50635903772778</v>
      </c>
      <c r="E4271" s="4" t="n">
        <v>28.07994000228889</v>
      </c>
      <c r="F4271" s="4" t="n">
        <v>28.51716942918889</v>
      </c>
      <c r="G4271" s="4" t="n">
        <v>14.9</v>
      </c>
      <c r="H4271" s="5" t="n">
        <v>32.63639511486389</v>
      </c>
      <c r="I4271" s="5" t="n">
        <v>30.71977674203333</v>
      </c>
      <c r="J4271" s="5" t="n">
        <v>39.09791429745833</v>
      </c>
      <c r="K4271" s="5" t="n">
        <v>73</v>
      </c>
    </row>
    <row r="4272">
      <c r="A4272" s="2" t="n">
        <v>46275.375</v>
      </c>
      <c r="B4272">
        <f>TEXT(A4272,"yyyy-mm")</f>
        <v/>
      </c>
      <c r="C4272" s="3">
        <f>HOUR(A4272)</f>
        <v/>
      </c>
      <c r="D4272" s="4" t="n">
        <v>26.93594624595278</v>
      </c>
      <c r="E4272" s="4" t="n">
        <v>29.36538210132778</v>
      </c>
      <c r="F4272" s="4" t="n">
        <v>28.55559118971111</v>
      </c>
      <c r="G4272" s="4" t="n">
        <v>18</v>
      </c>
      <c r="H4272" s="5" t="n">
        <v>33.76401742603611</v>
      </c>
      <c r="I4272" s="5" t="n">
        <v>29.99867397446111</v>
      </c>
      <c r="J4272" s="5" t="n">
        <v>39.18573011563888</v>
      </c>
      <c r="K4272" s="5" t="n">
        <v>63</v>
      </c>
    </row>
    <row r="4273">
      <c r="A4273" s="2" t="n">
        <v>46275.41666666666</v>
      </c>
      <c r="B4273">
        <f>TEXT(A4273,"yyyy-mm")</f>
        <v/>
      </c>
      <c r="C4273" s="3">
        <f>HOUR(A4273)</f>
        <v/>
      </c>
      <c r="D4273" s="4" t="n">
        <v>27.34044262699722</v>
      </c>
      <c r="E4273" s="4" t="n">
        <v>29.94075265001666</v>
      </c>
      <c r="F4273" s="4" t="n">
        <v>28.60769965054444</v>
      </c>
      <c r="G4273" s="4" t="n">
        <v>20.8</v>
      </c>
      <c r="H4273" s="5" t="n">
        <v>34.80025708239445</v>
      </c>
      <c r="I4273" s="5" t="n">
        <v>32.22571424757222</v>
      </c>
      <c r="J4273" s="5" t="n">
        <v>39.26940442083889</v>
      </c>
      <c r="K4273" s="5" t="n">
        <v>56</v>
      </c>
    </row>
    <row r="4274">
      <c r="A4274" s="2" t="n">
        <v>46275.45833333334</v>
      </c>
      <c r="B4274">
        <f>TEXT(A4274,"yyyy-mm")</f>
        <v/>
      </c>
      <c r="C4274" s="3">
        <f>HOUR(A4274)</f>
        <v/>
      </c>
      <c r="D4274" s="4" t="n">
        <v>27.55693009652222</v>
      </c>
      <c r="E4274" s="4" t="n">
        <v>30.36168807715833</v>
      </c>
      <c r="F4274" s="4" t="n">
        <v>28.65829817550278</v>
      </c>
      <c r="G4274" s="4" t="n">
        <v>23.2</v>
      </c>
      <c r="H4274" s="5" t="n">
        <v>36.515572827625</v>
      </c>
      <c r="I4274" s="5" t="n">
        <v>32.1209127123</v>
      </c>
      <c r="J4274" s="5" t="n">
        <v>39.69468036008333</v>
      </c>
      <c r="K4274" s="5" t="n">
        <v>52</v>
      </c>
    </row>
    <row r="4275">
      <c r="A4275" s="2" t="n">
        <v>46275.5</v>
      </c>
      <c r="B4275">
        <f>TEXT(A4275,"yyyy-mm")</f>
        <v/>
      </c>
      <c r="C4275" s="3">
        <f>HOUR(A4275)</f>
        <v/>
      </c>
      <c r="D4275" s="4" t="n">
        <v>27.59795878505833</v>
      </c>
      <c r="E4275" s="4" t="n">
        <v>29.93847453820278</v>
      </c>
      <c r="F4275" s="4" t="n"/>
      <c r="G4275" s="4" t="n">
        <v>25</v>
      </c>
      <c r="H4275" s="5" t="n">
        <v>36.58329961416389</v>
      </c>
      <c r="I4275" s="5" t="n">
        <v>32.82748106781667</v>
      </c>
      <c r="J4275" s="5" t="n"/>
      <c r="K4275" s="5" t="n">
        <v>47</v>
      </c>
    </row>
    <row r="4276">
      <c r="A4276" s="2" t="n">
        <v>46275.54166666666</v>
      </c>
      <c r="B4276">
        <f>TEXT(A4276,"yyyy-mm")</f>
        <v/>
      </c>
      <c r="C4276" s="3">
        <f>HOUR(A4276)</f>
        <v/>
      </c>
      <c r="D4276" s="4" t="n">
        <v>27.472224187725</v>
      </c>
      <c r="E4276" s="4" t="n">
        <v>29.05275747714444</v>
      </c>
      <c r="F4276" s="4" t="n"/>
      <c r="G4276" s="4" t="n">
        <v>26.2</v>
      </c>
      <c r="H4276" s="5" t="n">
        <v>35.258130440825</v>
      </c>
      <c r="I4276" s="5" t="n">
        <v>36.28963012482777</v>
      </c>
      <c r="J4276" s="5" t="n"/>
      <c r="K4276" s="5" t="n">
        <v>42</v>
      </c>
    </row>
    <row r="4277">
      <c r="A4277" s="2" t="n">
        <v>46275.58333333334</v>
      </c>
      <c r="B4277">
        <f>TEXT(A4277,"yyyy-mm")</f>
        <v/>
      </c>
      <c r="C4277" s="3">
        <f>HOUR(A4277)</f>
        <v/>
      </c>
      <c r="D4277" s="4" t="n">
        <v>27.39446026832222</v>
      </c>
      <c r="E4277" s="4" t="n">
        <v>28.77354189711389</v>
      </c>
      <c r="F4277" s="4" t="n"/>
      <c r="G4277" s="4" t="n">
        <v>26.8</v>
      </c>
      <c r="H4277" s="5" t="n">
        <v>34.58582227215833</v>
      </c>
      <c r="I4277" s="5" t="n">
        <v>35.34171493491389</v>
      </c>
      <c r="J4277" s="5" t="n"/>
      <c r="K4277" s="5" t="n">
        <v>40</v>
      </c>
    </row>
    <row r="4278">
      <c r="A4278" s="2" t="n">
        <v>46275.625</v>
      </c>
      <c r="B4278">
        <f>TEXT(A4278,"yyyy-mm")</f>
        <v/>
      </c>
      <c r="C4278" s="3">
        <f>HOUR(A4278)</f>
        <v/>
      </c>
      <c r="D4278" s="4" t="n">
        <v>27.42780314760833</v>
      </c>
      <c r="E4278" s="4" t="n">
        <v>29.00943202516667</v>
      </c>
      <c r="F4278" s="4" t="n"/>
      <c r="G4278" s="4" t="n">
        <v>28.1</v>
      </c>
      <c r="H4278" s="5" t="n">
        <v>34.56910587771111</v>
      </c>
      <c r="I4278" s="5" t="n">
        <v>35.456500113125</v>
      </c>
      <c r="J4278" s="5" t="n"/>
      <c r="K4278" s="5" t="n">
        <v>35</v>
      </c>
    </row>
    <row r="4279">
      <c r="A4279" s="2" t="n">
        <v>46275.66666666666</v>
      </c>
      <c r="B4279">
        <f>TEXT(A4279,"yyyy-mm")</f>
        <v/>
      </c>
      <c r="C4279" s="3">
        <f>HOUR(A4279)</f>
        <v/>
      </c>
      <c r="D4279" s="4" t="n">
        <v>27.40556390411945</v>
      </c>
      <c r="E4279" s="4" t="n">
        <v>28.87663373083889</v>
      </c>
      <c r="F4279" s="4" t="n"/>
      <c r="G4279" s="4" t="n">
        <v>28.2</v>
      </c>
      <c r="H4279" s="5" t="n">
        <v>35.56698973931945</v>
      </c>
      <c r="I4279" s="5" t="n">
        <v>34.35553611313055</v>
      </c>
      <c r="J4279" s="5" t="n"/>
      <c r="K4279" s="5" t="n">
        <v>34</v>
      </c>
    </row>
    <row r="4280">
      <c r="A4280" s="2" t="n">
        <v>46275.70833333334</v>
      </c>
      <c r="B4280">
        <f>TEXT(A4280,"yyyy-mm")</f>
        <v/>
      </c>
      <c r="C4280" s="3">
        <f>HOUR(A4280)</f>
        <v/>
      </c>
      <c r="D4280" s="4" t="n">
        <v>27.46855896449167</v>
      </c>
      <c r="E4280" s="4" t="n">
        <v>28.72422701008611</v>
      </c>
      <c r="F4280" s="4" t="n"/>
      <c r="G4280" s="4" t="n">
        <v>27.7</v>
      </c>
      <c r="H4280" s="5" t="n">
        <v>34.06766661368611</v>
      </c>
      <c r="I4280" s="5" t="n">
        <v>37.20062729384166</v>
      </c>
      <c r="J4280" s="5" t="n"/>
      <c r="K4280" s="5" t="n">
        <v>34</v>
      </c>
    </row>
    <row r="4281">
      <c r="A4281" s="2" t="n">
        <v>46275.75</v>
      </c>
      <c r="B4281">
        <f>TEXT(A4281,"yyyy-mm")</f>
        <v/>
      </c>
      <c r="C4281" s="3">
        <f>HOUR(A4281)</f>
        <v/>
      </c>
      <c r="D4281" s="4" t="n">
        <v>27.34062676625</v>
      </c>
      <c r="E4281" s="4" t="n">
        <v>28.92992858736111</v>
      </c>
      <c r="F4281" s="4" t="n"/>
      <c r="G4281" s="4" t="n">
        <v>26.4</v>
      </c>
      <c r="H4281" s="5" t="n">
        <v>34.64734513258611</v>
      </c>
      <c r="I4281" s="5" t="n">
        <v>36.85236459943611</v>
      </c>
      <c r="J4281" s="5" t="n"/>
      <c r="K4281" s="5" t="n">
        <v>38</v>
      </c>
    </row>
    <row r="4282">
      <c r="A4282" s="2" t="n">
        <v>46275.79166666666</v>
      </c>
      <c r="B4282">
        <f>TEXT(A4282,"yyyy-mm")</f>
        <v/>
      </c>
      <c r="C4282" s="3">
        <f>HOUR(A4282)</f>
        <v/>
      </c>
      <c r="D4282" s="4" t="n">
        <v>26.89116253540556</v>
      </c>
      <c r="E4282" s="4" t="n">
        <v>28.38718249023056</v>
      </c>
      <c r="F4282" s="4" t="n"/>
      <c r="G4282" s="4" t="n">
        <v>24.2</v>
      </c>
      <c r="H4282" s="5" t="n">
        <v>37.00582508208056</v>
      </c>
      <c r="I4282" s="5" t="n">
        <v>37.98043191070278</v>
      </c>
      <c r="J4282" s="5" t="n"/>
      <c r="K4282" s="5" t="n">
        <v>45</v>
      </c>
    </row>
    <row r="4283">
      <c r="A4283" s="2" t="n">
        <v>46275.83333333334</v>
      </c>
      <c r="B4283">
        <f>TEXT(A4283,"yyyy-mm")</f>
        <v/>
      </c>
      <c r="C4283" s="3">
        <f>HOUR(A4283)</f>
        <v/>
      </c>
      <c r="D4283" s="4" t="n">
        <v>26.52990190766667</v>
      </c>
      <c r="E4283" s="4" t="n">
        <v>28.57304943177222</v>
      </c>
      <c r="F4283" s="4" t="n"/>
      <c r="G4283" s="4" t="n">
        <v>22.7</v>
      </c>
      <c r="H4283" s="5" t="n">
        <v>38.23998773461389</v>
      </c>
      <c r="I4283" s="5" t="n">
        <v>37.44039709335556</v>
      </c>
      <c r="J4283" s="5" t="n"/>
      <c r="K4283" s="5" t="n">
        <v>50</v>
      </c>
    </row>
    <row r="4284">
      <c r="A4284" s="2" t="n">
        <v>46275.875</v>
      </c>
      <c r="B4284">
        <f>TEXT(A4284,"yyyy-mm")</f>
        <v/>
      </c>
      <c r="C4284" s="3">
        <f>HOUR(A4284)</f>
        <v/>
      </c>
      <c r="D4284" s="4" t="n">
        <v>26.28939012151666</v>
      </c>
      <c r="E4284" s="4" t="n">
        <v>28.81665665681667</v>
      </c>
      <c r="F4284" s="4" t="n"/>
      <c r="G4284" s="4" t="n">
        <v>21.7</v>
      </c>
      <c r="H4284" s="5" t="n">
        <v>39.47013954068333</v>
      </c>
      <c r="I4284" s="5" t="n">
        <v>39.15160013212222</v>
      </c>
      <c r="J4284" s="5" t="n"/>
      <c r="K4284" s="5" t="n">
        <v>51</v>
      </c>
    </row>
    <row r="4285">
      <c r="A4285" s="2" t="n">
        <v>46275.91666666666</v>
      </c>
      <c r="B4285">
        <f>TEXT(A4285,"yyyy-mm")</f>
        <v/>
      </c>
      <c r="C4285" s="3">
        <f>HOUR(A4285)</f>
        <v/>
      </c>
      <c r="D4285" s="4" t="n">
        <v>25.98626527486667</v>
      </c>
      <c r="E4285" s="4" t="n">
        <v>28.31615709671111</v>
      </c>
      <c r="F4285" s="4" t="n"/>
      <c r="G4285" s="4" t="n">
        <v>20.9</v>
      </c>
      <c r="H4285" s="5" t="n">
        <v>38.88957425574167</v>
      </c>
      <c r="I4285" s="5" t="n">
        <v>38.01556529972222</v>
      </c>
      <c r="J4285" s="5" t="n"/>
      <c r="K4285" s="5" t="n">
        <v>53</v>
      </c>
    </row>
    <row r="4286">
      <c r="A4286" s="2" t="n">
        <v>46275.95833333334</v>
      </c>
      <c r="B4286">
        <f>TEXT(A4286,"yyyy-mm")</f>
        <v/>
      </c>
      <c r="C4286" s="3">
        <f>HOUR(A4286)</f>
        <v/>
      </c>
      <c r="D4286" s="4" t="n">
        <v>25.92304219434444</v>
      </c>
      <c r="E4286" s="4" t="n">
        <v>28.03122024690833</v>
      </c>
      <c r="F4286" s="4" t="n"/>
      <c r="G4286" s="4" t="n">
        <v>20.4</v>
      </c>
      <c r="H4286" s="5" t="n">
        <v>38.20387860305556</v>
      </c>
      <c r="I4286" s="5" t="n">
        <v>36.46989555986945</v>
      </c>
      <c r="J4286" s="5" t="n"/>
      <c r="K4286" s="5" t="n">
        <v>54</v>
      </c>
    </row>
    <row r="4287">
      <c r="A4287" s="2" t="n">
        <v>46276</v>
      </c>
      <c r="B4287">
        <f>TEXT(A4287,"yyyy-mm")</f>
        <v/>
      </c>
      <c r="C4287" s="3">
        <f>HOUR(A4287)</f>
        <v/>
      </c>
      <c r="D4287" s="4" t="n">
        <v>25.71643293961666</v>
      </c>
      <c r="E4287" s="4" t="n">
        <v>27.51154523583889</v>
      </c>
      <c r="F4287" s="4" t="n"/>
      <c r="G4287" s="4" t="n">
        <v>19.9</v>
      </c>
      <c r="H4287" s="5" t="n">
        <v>38.16715498908334</v>
      </c>
      <c r="I4287" s="5" t="n">
        <v>37.50256618136667</v>
      </c>
      <c r="J4287" s="5" t="n"/>
      <c r="K4287" s="5" t="n">
        <v>56</v>
      </c>
    </row>
    <row r="4288">
      <c r="A4288" s="2" t="n">
        <v>46276.04166666666</v>
      </c>
      <c r="B4288">
        <f>TEXT(A4288,"yyyy-mm")</f>
        <v/>
      </c>
      <c r="C4288" s="3">
        <f>HOUR(A4288)</f>
        <v/>
      </c>
      <c r="D4288" s="4" t="n">
        <v>25.24410915383056</v>
      </c>
      <c r="E4288" s="4" t="n">
        <v>27.22300402737222</v>
      </c>
      <c r="F4288" s="4" t="n"/>
      <c r="G4288" s="4" t="n">
        <v>19.3</v>
      </c>
      <c r="H4288" s="5" t="n">
        <v>39.17546124678889</v>
      </c>
      <c r="I4288" s="5" t="n">
        <v>37.33664708854167</v>
      </c>
      <c r="J4288" s="5" t="n"/>
      <c r="K4288" s="5" t="n">
        <v>58</v>
      </c>
    </row>
    <row r="4289">
      <c r="A4289" s="2" t="n">
        <v>46276.08333333334</v>
      </c>
      <c r="B4289">
        <f>TEXT(A4289,"yyyy-mm")</f>
        <v/>
      </c>
      <c r="C4289" s="3">
        <f>HOUR(A4289)</f>
        <v/>
      </c>
      <c r="D4289" s="4" t="n">
        <v>24.62419006619444</v>
      </c>
      <c r="E4289" s="4" t="n">
        <v>26.92414099162222</v>
      </c>
      <c r="F4289" s="4" t="n"/>
      <c r="G4289" s="4" t="n">
        <v>18.7</v>
      </c>
      <c r="H4289" s="5" t="n">
        <v>40.33244969553056</v>
      </c>
      <c r="I4289" s="5" t="n">
        <v>36.59523787233055</v>
      </c>
      <c r="J4289" s="5" t="n"/>
      <c r="K4289" s="5" t="n">
        <v>60</v>
      </c>
    </row>
    <row r="4290">
      <c r="A4290" s="2" t="n">
        <v>46276.125</v>
      </c>
      <c r="B4290">
        <f>TEXT(A4290,"yyyy-mm")</f>
        <v/>
      </c>
      <c r="C4290" s="3">
        <f>HOUR(A4290)</f>
        <v/>
      </c>
      <c r="D4290" s="4" t="n">
        <v>24.42906591594722</v>
      </c>
      <c r="E4290" s="4" t="n">
        <v>26.70672934313889</v>
      </c>
      <c r="F4290" s="4" t="n"/>
      <c r="G4290" s="4" t="n">
        <v>17.7</v>
      </c>
      <c r="H4290" s="5" t="n">
        <v>40.83657006403333</v>
      </c>
      <c r="I4290" s="5" t="n">
        <v>36.78291479022222</v>
      </c>
      <c r="J4290" s="5" t="n"/>
      <c r="K4290" s="5" t="n">
        <v>67</v>
      </c>
    </row>
    <row r="4291">
      <c r="A4291" s="2" t="n">
        <v>46276.16666666666</v>
      </c>
      <c r="B4291">
        <f>TEXT(A4291,"yyyy-mm")</f>
        <v/>
      </c>
      <c r="C4291" s="3">
        <f>HOUR(A4291)</f>
        <v/>
      </c>
      <c r="D4291" s="4" t="n">
        <v>23.72384460600277</v>
      </c>
      <c r="E4291" s="4" t="n">
        <v>26.37812717469722</v>
      </c>
      <c r="F4291" s="4" t="n"/>
      <c r="G4291" s="4" t="n">
        <v>17.5</v>
      </c>
      <c r="H4291" s="5" t="n">
        <v>42.1926897623</v>
      </c>
      <c r="I4291" s="5" t="n">
        <v>36.94458672073611</v>
      </c>
      <c r="J4291" s="5" t="n"/>
      <c r="K4291" s="5" t="n">
        <v>69</v>
      </c>
    </row>
    <row r="4292">
      <c r="A4292" s="2" t="n">
        <v>46276.20833333334</v>
      </c>
      <c r="B4292">
        <f>TEXT(A4292,"yyyy-mm")</f>
        <v/>
      </c>
      <c r="C4292" s="3">
        <f>HOUR(A4292)</f>
        <v/>
      </c>
      <c r="D4292" s="4" t="n">
        <v>23.48499444950833</v>
      </c>
      <c r="E4292" s="4" t="n">
        <v>26.22313481416389</v>
      </c>
      <c r="F4292" s="4" t="n"/>
      <c r="G4292" s="4" t="n">
        <v>17.4</v>
      </c>
      <c r="H4292" s="5" t="n">
        <v>43.45659088588334</v>
      </c>
      <c r="I4292" s="5" t="n">
        <v>37.43013628350556</v>
      </c>
      <c r="J4292" s="5" t="n"/>
      <c r="K4292" s="5" t="n">
        <v>71</v>
      </c>
    </row>
    <row r="4293">
      <c r="A4293" s="2" t="n">
        <v>46276.25</v>
      </c>
      <c r="B4293">
        <f>TEXT(A4293,"yyyy-mm")</f>
        <v/>
      </c>
      <c r="C4293" s="3">
        <f>HOUR(A4293)</f>
        <v/>
      </c>
      <c r="D4293" s="4" t="n">
        <v>23.65918688490556</v>
      </c>
      <c r="E4293" s="4" t="n">
        <v>26.218286755575</v>
      </c>
      <c r="F4293" s="4" t="n"/>
      <c r="G4293" s="4" t="n">
        <v>16.9</v>
      </c>
      <c r="H4293" s="5" t="n">
        <v>43.86016297816388</v>
      </c>
      <c r="I4293" s="5" t="n">
        <v>37.97066599294444</v>
      </c>
      <c r="J4293" s="5" t="n"/>
      <c r="K4293" s="5" t="n">
        <v>74</v>
      </c>
    </row>
    <row r="4294">
      <c r="A4294" s="2" t="n">
        <v>46276.29166666666</v>
      </c>
      <c r="B4294">
        <f>TEXT(A4294,"yyyy-mm")</f>
        <v/>
      </c>
      <c r="C4294" s="3">
        <f>HOUR(A4294)</f>
        <v/>
      </c>
      <c r="D4294" s="4" t="n">
        <v>23.89263621837778</v>
      </c>
      <c r="E4294" s="4" t="n">
        <v>26.22454232817778</v>
      </c>
      <c r="F4294" s="4" t="n"/>
      <c r="G4294" s="4" t="n">
        <v>17.2</v>
      </c>
      <c r="H4294" s="5" t="n">
        <v>44.44331599116666</v>
      </c>
      <c r="I4294" s="5" t="n">
        <v>38.85071700644445</v>
      </c>
      <c r="J4294" s="5" t="n"/>
      <c r="K4294" s="5" t="n">
        <v>74</v>
      </c>
    </row>
    <row r="4295">
      <c r="A4295" s="2" t="n">
        <v>46276.33333333334</v>
      </c>
      <c r="B4295">
        <f>TEXT(A4295,"yyyy-mm")</f>
        <v/>
      </c>
      <c r="C4295" s="3">
        <f>HOUR(A4295)</f>
        <v/>
      </c>
      <c r="D4295" s="4" t="n">
        <v>24.09730387903889</v>
      </c>
      <c r="E4295" s="4" t="n">
        <v>26.27621019220556</v>
      </c>
      <c r="F4295" s="4" t="n"/>
      <c r="G4295" s="4" t="n">
        <v>18.5</v>
      </c>
      <c r="H4295" s="5" t="n">
        <v>45.05762220515</v>
      </c>
      <c r="I4295" s="5" t="n">
        <v>39.64544844742222</v>
      </c>
      <c r="J4295" s="5" t="n"/>
      <c r="K4295" s="5" t="n">
        <v>71</v>
      </c>
    </row>
    <row r="4296">
      <c r="A4296" s="2" t="n">
        <v>46276.375</v>
      </c>
      <c r="B4296">
        <f>TEXT(A4296,"yyyy-mm")</f>
        <v/>
      </c>
      <c r="C4296" s="3">
        <f>HOUR(A4296)</f>
        <v/>
      </c>
      <c r="D4296" s="4" t="n">
        <v>24.54455213984444</v>
      </c>
      <c r="E4296" s="4" t="n">
        <v>26.39733448948612</v>
      </c>
      <c r="F4296" s="4" t="n"/>
      <c r="G4296" s="4" t="n">
        <v>18.8</v>
      </c>
      <c r="H4296" s="5" t="n">
        <v>45.28324265438889</v>
      </c>
      <c r="I4296" s="5" t="n">
        <v>40.29905346243333</v>
      </c>
      <c r="J4296" s="5" t="n"/>
      <c r="K4296" s="5" t="n">
        <v>71</v>
      </c>
    </row>
    <row r="4297">
      <c r="A4297" s="2" t="n">
        <v>46276.41666666666</v>
      </c>
      <c r="B4297">
        <f>TEXT(A4297,"yyyy-mm")</f>
        <v/>
      </c>
      <c r="C4297" s="3">
        <f>HOUR(A4297)</f>
        <v/>
      </c>
      <c r="D4297" s="4" t="n">
        <v>24.408764937325</v>
      </c>
      <c r="E4297" s="4" t="n">
        <v>26.425693277125</v>
      </c>
      <c r="F4297" s="4" t="n"/>
      <c r="G4297" s="4" t="n">
        <v>20.7</v>
      </c>
      <c r="H4297" s="5" t="n">
        <v>47.63410422390833</v>
      </c>
      <c r="I4297" s="5" t="n">
        <v>41.60255438934167</v>
      </c>
      <c r="J4297" s="5" t="n"/>
      <c r="K4297" s="5" t="n">
        <v>67</v>
      </c>
    </row>
    <row r="4298">
      <c r="A4298" s="2" t="n">
        <v>46276.45833333334</v>
      </c>
      <c r="B4298">
        <f>TEXT(A4298,"yyyy-mm")</f>
        <v/>
      </c>
      <c r="C4298" s="3">
        <f>HOUR(A4298)</f>
        <v/>
      </c>
      <c r="D4298" s="4" t="n">
        <v>24.06627448711389</v>
      </c>
      <c r="E4298" s="4" t="n">
        <v>26.66623983712778</v>
      </c>
      <c r="F4298" s="4" t="n"/>
      <c r="G4298" s="4" t="n">
        <v>21.4</v>
      </c>
      <c r="H4298" s="5" t="n">
        <v>52.26938392535001</v>
      </c>
      <c r="I4298" s="5" t="n">
        <v>44.85818734490278</v>
      </c>
      <c r="J4298" s="5" t="n"/>
      <c r="K4298" s="5" t="n">
        <v>66</v>
      </c>
    </row>
    <row r="4299">
      <c r="A4299" s="2" t="n">
        <v>46276.5</v>
      </c>
      <c r="B4299">
        <f>TEXT(A4299,"yyyy-mm")</f>
        <v/>
      </c>
      <c r="C4299" s="3">
        <f>HOUR(A4299)</f>
        <v/>
      </c>
      <c r="D4299" s="4" t="n">
        <v>24.29537524181111</v>
      </c>
      <c r="E4299" s="4" t="n">
        <v>26.93655718449444</v>
      </c>
      <c r="F4299" s="4" t="n"/>
      <c r="G4299" s="4" t="n">
        <v>20.7</v>
      </c>
      <c r="H4299" s="5" t="n">
        <v>52.15681335657778</v>
      </c>
      <c r="I4299" s="5" t="n">
        <v>44.93155246645</v>
      </c>
      <c r="J4299" s="5" t="n"/>
      <c r="K4299" s="5" t="n">
        <v>68</v>
      </c>
    </row>
    <row r="4300">
      <c r="A4300" s="2" t="n">
        <v>46276.54166666666</v>
      </c>
      <c r="B4300">
        <f>TEXT(A4300,"yyyy-mm")</f>
        <v/>
      </c>
      <c r="C4300" s="3">
        <f>HOUR(A4300)</f>
        <v/>
      </c>
      <c r="D4300" s="4" t="n"/>
      <c r="E4300" s="4" t="n">
        <v>26.96251931886111</v>
      </c>
      <c r="F4300" s="4" t="n"/>
      <c r="G4300" s="4" t="n">
        <v>21.2</v>
      </c>
      <c r="H4300" s="5" t="n"/>
      <c r="I4300" s="5" t="n">
        <v>44.52733996259167</v>
      </c>
      <c r="J4300" s="5" t="n"/>
      <c r="K4300" s="5" t="n">
        <v>62</v>
      </c>
    </row>
    <row r="4301">
      <c r="A4301" s="2" t="n">
        <v>46276.58333333334</v>
      </c>
      <c r="B4301">
        <f>TEXT(A4301,"yyyy-mm")</f>
        <v/>
      </c>
      <c r="C4301" s="3">
        <f>HOUR(A4301)</f>
        <v/>
      </c>
      <c r="D4301" s="4" t="n"/>
      <c r="E4301" s="4" t="n">
        <v>26.87834571835278</v>
      </c>
      <c r="F4301" s="4" t="n"/>
      <c r="G4301" s="4" t="n">
        <v>22.6</v>
      </c>
      <c r="H4301" s="5" t="n"/>
      <c r="I4301" s="5" t="n">
        <v>39.20171785338334</v>
      </c>
      <c r="J4301" s="5" t="n"/>
      <c r="K4301" s="5" t="n">
        <v>50</v>
      </c>
    </row>
    <row r="4302">
      <c r="A4302" s="2" t="n">
        <v>46276.625</v>
      </c>
      <c r="B4302">
        <f>TEXT(A4302,"yyyy-mm")</f>
        <v/>
      </c>
      <c r="C4302" s="3">
        <f>HOUR(A4302)</f>
        <v/>
      </c>
      <c r="D4302" s="4" t="n">
        <v>25.07814038234087</v>
      </c>
      <c r="E4302" s="4" t="n">
        <v>27.02330768288612</v>
      </c>
      <c r="F4302" s="4" t="n"/>
      <c r="G4302" s="4" t="n">
        <v>23.2</v>
      </c>
      <c r="H4302" s="5" t="n">
        <v>38.31571990062898</v>
      </c>
      <c r="I4302" s="5" t="n">
        <v>38.49138333673611</v>
      </c>
      <c r="J4302" s="5" t="n"/>
      <c r="K4302" s="5" t="n">
        <v>43</v>
      </c>
    </row>
    <row r="4303">
      <c r="A4303" s="2" t="n">
        <v>46276.66666666666</v>
      </c>
      <c r="B4303">
        <f>TEXT(A4303,"yyyy-mm")</f>
        <v/>
      </c>
      <c r="C4303" s="3">
        <f>HOUR(A4303)</f>
        <v/>
      </c>
      <c r="D4303" s="4" t="n">
        <v>25.46942946400278</v>
      </c>
      <c r="E4303" s="4" t="n">
        <v>27.53054474655</v>
      </c>
      <c r="F4303" s="4" t="n"/>
      <c r="G4303" s="4" t="n">
        <v>23.2</v>
      </c>
      <c r="H4303" s="5" t="n">
        <v>36.99396587639445</v>
      </c>
      <c r="I4303" s="5" t="n">
        <v>38.94340000540277</v>
      </c>
      <c r="J4303" s="5" t="n"/>
      <c r="K4303" s="5" t="n">
        <v>40</v>
      </c>
    </row>
    <row r="4304">
      <c r="A4304" s="2" t="n">
        <v>46276.70833333334</v>
      </c>
      <c r="B4304">
        <f>TEXT(A4304,"yyyy-mm")</f>
        <v/>
      </c>
      <c r="C4304" s="3">
        <f>HOUR(A4304)</f>
        <v/>
      </c>
      <c r="D4304" s="4" t="n">
        <v>25.71281007155278</v>
      </c>
      <c r="E4304" s="4" t="n">
        <v>27.62953418805278</v>
      </c>
      <c r="F4304" s="4" t="n"/>
      <c r="G4304" s="4" t="n">
        <v>22.7</v>
      </c>
      <c r="H4304" s="5" t="n">
        <v>37.57378800992777</v>
      </c>
      <c r="I4304" s="5" t="n">
        <v>38.12695454490834</v>
      </c>
      <c r="J4304" s="5" t="n"/>
      <c r="K4304" s="5" t="n">
        <v>39</v>
      </c>
    </row>
    <row r="4305">
      <c r="A4305" s="2" t="n">
        <v>46276.75</v>
      </c>
      <c r="B4305">
        <f>TEXT(A4305,"yyyy-mm")</f>
        <v/>
      </c>
      <c r="C4305" s="3">
        <f>HOUR(A4305)</f>
        <v/>
      </c>
      <c r="D4305" s="4" t="n">
        <v>25.59466588230833</v>
      </c>
      <c r="E4305" s="4" t="n">
        <v>28.00723303069723</v>
      </c>
      <c r="F4305" s="4" t="n"/>
      <c r="G4305" s="4" t="n">
        <v>21.8</v>
      </c>
      <c r="H4305" s="5" t="n">
        <v>37.78853011317778</v>
      </c>
      <c r="I4305" s="5" t="n">
        <v>37.88379286393333</v>
      </c>
      <c r="J4305" s="5" t="n"/>
      <c r="K4305" s="5" t="n">
        <v>42</v>
      </c>
    </row>
    <row r="4306">
      <c r="A4306" s="2" t="n">
        <v>46276.79166666666</v>
      </c>
      <c r="B4306">
        <f>TEXT(A4306,"yyyy-mm")</f>
        <v/>
      </c>
      <c r="C4306" s="3">
        <f>HOUR(A4306)</f>
        <v/>
      </c>
      <c r="D4306" s="4" t="n">
        <v>24.94297155711111</v>
      </c>
      <c r="E4306" s="4" t="n">
        <v>28.02302990905278</v>
      </c>
      <c r="F4306" s="4" t="n"/>
      <c r="G4306" s="4" t="n">
        <v>20.3</v>
      </c>
      <c r="H4306" s="5" t="n">
        <v>40.21296432135278</v>
      </c>
      <c r="I4306" s="5" t="n">
        <v>36.92282693134722</v>
      </c>
      <c r="J4306" s="5" t="n"/>
      <c r="K4306" s="5" t="n">
        <v>49</v>
      </c>
    </row>
    <row r="4307">
      <c r="A4307" s="2" t="n">
        <v>46276.83333333334</v>
      </c>
      <c r="B4307">
        <f>TEXT(A4307,"yyyy-mm")</f>
        <v/>
      </c>
      <c r="C4307" s="3">
        <f>HOUR(A4307)</f>
        <v/>
      </c>
      <c r="D4307" s="4" t="n">
        <v>24.60465458362222</v>
      </c>
      <c r="E4307" s="4" t="n">
        <v>27.90982508746389</v>
      </c>
      <c r="F4307" s="4" t="n"/>
      <c r="G4307" s="4" t="n">
        <v>19</v>
      </c>
      <c r="H4307" s="5" t="n">
        <v>40.95518839170556</v>
      </c>
      <c r="I4307" s="5" t="n">
        <v>36.89038846294444</v>
      </c>
      <c r="J4307" s="5" t="n"/>
      <c r="K4307" s="5" t="n">
        <v>57</v>
      </c>
    </row>
    <row r="4308">
      <c r="A4308" s="2" t="n">
        <v>46276.875</v>
      </c>
      <c r="B4308">
        <f>TEXT(A4308,"yyyy-mm")</f>
        <v/>
      </c>
      <c r="C4308" s="3">
        <f>HOUR(A4308)</f>
        <v/>
      </c>
      <c r="D4308" s="4" t="n">
        <v>23.91658944871389</v>
      </c>
      <c r="E4308" s="4" t="n">
        <v>27.28706560370279</v>
      </c>
      <c r="F4308" s="4" t="n"/>
      <c r="G4308" s="4" t="n">
        <v>17.8</v>
      </c>
      <c r="H4308" s="5" t="n">
        <v>41.82709664258334</v>
      </c>
      <c r="I4308" s="5" t="n">
        <v>37.50933452620833</v>
      </c>
      <c r="J4308" s="5" t="n"/>
      <c r="K4308" s="5" t="n">
        <v>63</v>
      </c>
    </row>
    <row r="4309">
      <c r="A4309" s="2" t="n">
        <v>46276.91666666666</v>
      </c>
      <c r="B4309">
        <f>TEXT(A4309,"yyyy-mm")</f>
        <v/>
      </c>
      <c r="C4309" s="3">
        <f>HOUR(A4309)</f>
        <v/>
      </c>
      <c r="D4309" s="4" t="n">
        <v>23.36774856185</v>
      </c>
      <c r="E4309" s="4" t="n">
        <v>26.98708956595</v>
      </c>
      <c r="F4309" s="4" t="n"/>
      <c r="G4309" s="4" t="n">
        <v>17.1</v>
      </c>
      <c r="H4309" s="5" t="n">
        <v>41.84324980228612</v>
      </c>
      <c r="I4309" s="5" t="n">
        <v>36.11094251433055</v>
      </c>
      <c r="J4309" s="5" t="n"/>
      <c r="K4309" s="5" t="n">
        <v>66</v>
      </c>
    </row>
    <row r="4310">
      <c r="A4310" s="2" t="n">
        <v>46276.95833333334</v>
      </c>
      <c r="B4310">
        <f>TEXT(A4310,"yyyy-mm")</f>
        <v/>
      </c>
      <c r="C4310" s="3">
        <f>HOUR(A4310)</f>
        <v/>
      </c>
      <c r="D4310" s="4" t="n">
        <v>23.22731834766667</v>
      </c>
      <c r="E4310" s="4" t="n">
        <v>27.287639859725</v>
      </c>
      <c r="F4310" s="4" t="n"/>
      <c r="G4310" s="4" t="n">
        <v>16.4</v>
      </c>
      <c r="H4310" s="5" t="n">
        <v>41.58352607251944</v>
      </c>
      <c r="I4310" s="5" t="n">
        <v>35.05061335786667</v>
      </c>
      <c r="J4310" s="5" t="n"/>
      <c r="K4310" s="5" t="n">
        <v>69</v>
      </c>
    </row>
    <row r="4311">
      <c r="A4311" s="2" t="n">
        <v>46277</v>
      </c>
      <c r="B4311">
        <f>TEXT(A4311,"yyyy-mm")</f>
        <v/>
      </c>
      <c r="C4311" s="3">
        <f>HOUR(A4311)</f>
        <v/>
      </c>
      <c r="D4311" s="4" t="n">
        <v>23.03638117423889</v>
      </c>
      <c r="E4311" s="4" t="n">
        <v>27.27931144002778</v>
      </c>
      <c r="F4311" s="4" t="n"/>
      <c r="G4311" s="4" t="n">
        <v>15.5</v>
      </c>
      <c r="H4311" s="5" t="n">
        <v>40.29222038018612</v>
      </c>
      <c r="I4311" s="5" t="n">
        <v>34.38403335720555</v>
      </c>
      <c r="J4311" s="5" t="n"/>
      <c r="K4311" s="5" t="n">
        <v>71</v>
      </c>
    </row>
    <row r="4312">
      <c r="A4312" s="2" t="n">
        <v>46277.04166666666</v>
      </c>
      <c r="B4312">
        <f>TEXT(A4312,"yyyy-mm")</f>
        <v/>
      </c>
      <c r="C4312" s="3">
        <f>HOUR(A4312)</f>
        <v/>
      </c>
      <c r="D4312" s="4" t="n">
        <v>22.40075937703611</v>
      </c>
      <c r="E4312" s="4" t="n">
        <v>26.75229081641389</v>
      </c>
      <c r="F4312" s="4" t="n"/>
      <c r="G4312" s="4" t="n">
        <v>14.9</v>
      </c>
      <c r="H4312" s="5" t="n">
        <v>41.62548359651111</v>
      </c>
      <c r="I4312" s="5" t="n">
        <v>34.77672640505833</v>
      </c>
      <c r="J4312" s="5" t="n"/>
      <c r="K4312" s="5" t="n">
        <v>71</v>
      </c>
    </row>
    <row r="4313">
      <c r="A4313" s="2" t="n">
        <v>46277.08333333334</v>
      </c>
      <c r="B4313">
        <f>TEXT(A4313,"yyyy-mm")</f>
        <v/>
      </c>
      <c r="C4313" s="3">
        <f>HOUR(A4313)</f>
        <v/>
      </c>
      <c r="D4313" s="4" t="n">
        <v>22.52690348299445</v>
      </c>
      <c r="E4313" s="4" t="n">
        <v>26.09662531264722</v>
      </c>
      <c r="F4313" s="4" t="n"/>
      <c r="G4313" s="4" t="n">
        <v>14.5</v>
      </c>
      <c r="H4313" s="5" t="n">
        <v>40.39425597330833</v>
      </c>
      <c r="I4313" s="5" t="n">
        <v>35.45106882221945</v>
      </c>
      <c r="J4313" s="5" t="n"/>
      <c r="K4313" s="5" t="n">
        <v>70</v>
      </c>
    </row>
    <row r="4314">
      <c r="A4314" s="2" t="n">
        <v>46277.125</v>
      </c>
      <c r="B4314">
        <f>TEXT(A4314,"yyyy-mm")</f>
        <v/>
      </c>
      <c r="C4314" s="3">
        <f>HOUR(A4314)</f>
        <v/>
      </c>
      <c r="D4314" s="4" t="n">
        <v>22.566416571325</v>
      </c>
      <c r="E4314" s="4" t="n">
        <v>25.62221473798889</v>
      </c>
      <c r="F4314" s="4" t="n"/>
      <c r="G4314" s="4" t="n">
        <v>13.5</v>
      </c>
      <c r="H4314" s="5" t="n">
        <v>39.01390656789722</v>
      </c>
      <c r="I4314" s="5" t="n">
        <v>34.0133929461</v>
      </c>
      <c r="J4314" s="5" t="n"/>
      <c r="K4314" s="5" t="n">
        <v>69</v>
      </c>
    </row>
    <row r="4315">
      <c r="A4315" s="2" t="n">
        <v>46277.16666666666</v>
      </c>
      <c r="B4315">
        <f>TEXT(A4315,"yyyy-mm")</f>
        <v/>
      </c>
      <c r="C4315" s="3">
        <f>HOUR(A4315)</f>
        <v/>
      </c>
      <c r="D4315" s="4" t="n">
        <v>22.08678161563333</v>
      </c>
      <c r="E4315" s="4" t="n">
        <v>25.31408571881112</v>
      </c>
      <c r="F4315" s="4" t="n"/>
      <c r="G4315" s="4" t="n">
        <v>13.2</v>
      </c>
      <c r="H4315" s="5" t="n">
        <v>40.24271299071667</v>
      </c>
      <c r="I4315" s="5" t="n">
        <v>34.20580130275278</v>
      </c>
      <c r="J4315" s="5" t="n"/>
      <c r="K4315" s="5" t="n">
        <v>70</v>
      </c>
    </row>
    <row r="4316">
      <c r="A4316" s="2" t="n">
        <v>46277.20833333334</v>
      </c>
      <c r="B4316">
        <f>TEXT(A4316,"yyyy-mm")</f>
        <v/>
      </c>
      <c r="C4316" s="3">
        <f>HOUR(A4316)</f>
        <v/>
      </c>
      <c r="D4316" s="4" t="n">
        <v>21.820926033425</v>
      </c>
      <c r="E4316" s="4" t="n">
        <v>25.09943461186944</v>
      </c>
      <c r="F4316" s="4" t="n"/>
      <c r="G4316" s="4" t="n">
        <v>12.5</v>
      </c>
      <c r="H4316" s="5" t="n">
        <v>42.34268866603056</v>
      </c>
      <c r="I4316" s="5" t="n">
        <v>35.58490149029722</v>
      </c>
      <c r="J4316" s="5" t="n"/>
      <c r="K4316" s="5" t="n">
        <v>74</v>
      </c>
    </row>
    <row r="4317">
      <c r="A4317" s="2" t="n">
        <v>46277.25</v>
      </c>
      <c r="B4317">
        <f>TEXT(A4317,"yyyy-mm")</f>
        <v/>
      </c>
      <c r="C4317" s="3">
        <f>HOUR(A4317)</f>
        <v/>
      </c>
      <c r="D4317" s="4" t="n">
        <v>22.15279729721389</v>
      </c>
      <c r="E4317" s="4" t="n">
        <v>25.07986926436389</v>
      </c>
      <c r="F4317" s="4" t="n"/>
      <c r="G4317" s="4" t="n">
        <v>12</v>
      </c>
      <c r="H4317" s="5" t="n">
        <v>39.85186870586667</v>
      </c>
      <c r="I4317" s="5" t="n">
        <v>34.41993717833611</v>
      </c>
      <c r="J4317" s="5" t="n"/>
      <c r="K4317" s="5" t="n">
        <v>77</v>
      </c>
    </row>
    <row r="4318">
      <c r="A4318" s="2" t="n">
        <v>46277.29166666666</v>
      </c>
      <c r="B4318">
        <f>TEXT(A4318,"yyyy-mm")</f>
        <v/>
      </c>
      <c r="C4318" s="3">
        <f>HOUR(A4318)</f>
        <v/>
      </c>
      <c r="D4318" s="4" t="n">
        <v>22.17094582094722</v>
      </c>
      <c r="E4318" s="4" t="n">
        <v>25.21261890505556</v>
      </c>
      <c r="F4318" s="4" t="n"/>
      <c r="G4318" s="4" t="n">
        <v>12.5</v>
      </c>
      <c r="H4318" s="5" t="n">
        <v>38.86330205929445</v>
      </c>
      <c r="I4318" s="5" t="n">
        <v>33.46189131441389</v>
      </c>
      <c r="J4318" s="5" t="n"/>
      <c r="K4318" s="5" t="n">
        <v>75</v>
      </c>
    </row>
    <row r="4319">
      <c r="A4319" s="2" t="n">
        <v>46277.33333333334</v>
      </c>
      <c r="B4319">
        <f>TEXT(A4319,"yyyy-mm")</f>
        <v/>
      </c>
      <c r="C4319" s="3">
        <f>HOUR(A4319)</f>
        <v/>
      </c>
      <c r="D4319" s="4" t="n">
        <v>22.931890284925</v>
      </c>
      <c r="E4319" s="4" t="n">
        <v>25.52927115240833</v>
      </c>
      <c r="F4319" s="4" t="n"/>
      <c r="G4319" s="4" t="n">
        <v>13.8</v>
      </c>
      <c r="H4319" s="5" t="n">
        <v>37.64692429286667</v>
      </c>
      <c r="I4319" s="5" t="n">
        <v>33.14347447862778</v>
      </c>
      <c r="J4319" s="5" t="n"/>
      <c r="K4319" s="5" t="n">
        <v>71</v>
      </c>
    </row>
    <row r="4320">
      <c r="A4320" s="2" t="n">
        <v>46277.375</v>
      </c>
      <c r="B4320">
        <f>TEXT(A4320,"yyyy-mm")</f>
        <v/>
      </c>
      <c r="C4320" s="3">
        <f>HOUR(A4320)</f>
        <v/>
      </c>
      <c r="D4320" s="4" t="n">
        <v>23.62143382545</v>
      </c>
      <c r="E4320" s="4" t="n">
        <v>25.7007701422</v>
      </c>
      <c r="F4320" s="4" t="n"/>
      <c r="G4320" s="4" t="n">
        <v>16.2</v>
      </c>
      <c r="H4320" s="5" t="n">
        <v>37.47560312348611</v>
      </c>
      <c r="I4320" s="5" t="n">
        <v>34.11752540530278</v>
      </c>
      <c r="J4320" s="5" t="n"/>
      <c r="K4320" s="5" t="n">
        <v>62</v>
      </c>
    </row>
    <row r="4321">
      <c r="A4321" s="2" t="n">
        <v>46277.41666666666</v>
      </c>
      <c r="B4321">
        <f>TEXT(A4321,"yyyy-mm")</f>
        <v/>
      </c>
      <c r="C4321" s="3">
        <f>HOUR(A4321)</f>
        <v/>
      </c>
      <c r="D4321" s="4" t="n">
        <v>24.59520845965556</v>
      </c>
      <c r="E4321" s="4" t="n">
        <v>26.38601793615278</v>
      </c>
      <c r="F4321" s="4" t="n"/>
      <c r="G4321" s="4" t="n">
        <v>18</v>
      </c>
      <c r="H4321" s="5" t="n">
        <v>36.35983899647778</v>
      </c>
      <c r="I4321" s="5" t="n">
        <v>33.72069790495</v>
      </c>
      <c r="J4321" s="5" t="n"/>
      <c r="K4321" s="5" t="n">
        <v>56</v>
      </c>
    </row>
    <row r="4322">
      <c r="A4322" s="2" t="n">
        <v>46277.45833333334</v>
      </c>
      <c r="B4322">
        <f>TEXT(A4322,"yyyy-mm")</f>
        <v/>
      </c>
      <c r="C4322" s="3">
        <f>HOUR(A4322)</f>
        <v/>
      </c>
      <c r="D4322" s="4" t="n">
        <v>25.03887080157778</v>
      </c>
      <c r="E4322" s="4" t="n">
        <v>26.682360006725</v>
      </c>
      <c r="F4322" s="4" t="n"/>
      <c r="G4322" s="4" t="n">
        <v>19.7</v>
      </c>
      <c r="H4322" s="5" t="n">
        <v>35.33967527812778</v>
      </c>
      <c r="I4322" s="5" t="n">
        <v>33.32332763058611</v>
      </c>
      <c r="J4322" s="5" t="n"/>
      <c r="K4322" s="5" t="n">
        <v>50</v>
      </c>
    </row>
    <row r="4323">
      <c r="A4323" s="2" t="n">
        <v>46277.5</v>
      </c>
      <c r="B4323">
        <f>TEXT(A4323,"yyyy-mm")</f>
        <v/>
      </c>
      <c r="C4323" s="3">
        <f>HOUR(A4323)</f>
        <v/>
      </c>
      <c r="D4323" s="4" t="n">
        <v>25.26771826948334</v>
      </c>
      <c r="E4323" s="4" t="n">
        <v>26.91616147649444</v>
      </c>
      <c r="F4323" s="4" t="n"/>
      <c r="G4323" s="4" t="n">
        <v>21.1</v>
      </c>
      <c r="H4323" s="5" t="n">
        <v>34.4078261021</v>
      </c>
      <c r="I4323" s="5" t="n">
        <v>32.9432619813</v>
      </c>
      <c r="J4323" s="5" t="n"/>
      <c r="K4323" s="5" t="n">
        <v>45</v>
      </c>
    </row>
    <row r="4324">
      <c r="A4324" s="2" t="n">
        <v>46277.54166666666</v>
      </c>
      <c r="B4324">
        <f>TEXT(A4324,"yyyy-mm")</f>
        <v/>
      </c>
      <c r="C4324" s="3">
        <f>HOUR(A4324)</f>
        <v/>
      </c>
      <c r="D4324" s="4" t="n">
        <v>25.28072799366112</v>
      </c>
      <c r="E4324" s="4" t="n">
        <v>27.18327332761666</v>
      </c>
      <c r="F4324" s="4" t="n"/>
      <c r="G4324" s="4" t="n">
        <v>21.9</v>
      </c>
      <c r="H4324" s="5" t="n">
        <v>33.6929997381</v>
      </c>
      <c r="I4324" s="5" t="n">
        <v>34.09334086321389</v>
      </c>
      <c r="J4324" s="5" t="n"/>
      <c r="K4324" s="5" t="n">
        <v>43</v>
      </c>
    </row>
    <row r="4325">
      <c r="A4325" s="2" t="n">
        <v>46277.58333333334</v>
      </c>
      <c r="B4325">
        <f>TEXT(A4325,"yyyy-mm")</f>
        <v/>
      </c>
      <c r="C4325" s="3">
        <f>HOUR(A4325)</f>
        <v/>
      </c>
      <c r="D4325" s="4" t="n">
        <v>25.30794823113612</v>
      </c>
      <c r="E4325" s="4" t="n">
        <v>26.91585792631389</v>
      </c>
      <c r="F4325" s="4" t="n"/>
      <c r="G4325" s="4" t="n">
        <v>22.2</v>
      </c>
      <c r="H4325" s="5" t="n">
        <v>31.46659695228889</v>
      </c>
      <c r="I4325" s="5" t="n">
        <v>30.83503422381389</v>
      </c>
      <c r="J4325" s="5" t="n"/>
      <c r="K4325" s="5" t="n">
        <v>42</v>
      </c>
    </row>
    <row r="4326">
      <c r="A4326" s="2" t="n">
        <v>46277.625</v>
      </c>
      <c r="B4326">
        <f>TEXT(A4326,"yyyy-mm")</f>
        <v/>
      </c>
      <c r="C4326" s="3">
        <f>HOUR(A4326)</f>
        <v/>
      </c>
      <c r="D4326" s="4" t="n">
        <v>25.19778445446389</v>
      </c>
      <c r="E4326" s="4" t="n">
        <v>26.80849897621944</v>
      </c>
      <c r="F4326" s="4" t="n"/>
      <c r="G4326" s="4" t="n">
        <v>23.3</v>
      </c>
      <c r="H4326" s="5" t="n">
        <v>33.19796920567778</v>
      </c>
      <c r="I4326" s="5" t="n">
        <v>34.18518993799722</v>
      </c>
      <c r="J4326" s="5" t="n"/>
      <c r="K4326" s="5" t="n">
        <v>39</v>
      </c>
    </row>
    <row r="4327">
      <c r="A4327" s="2" t="n">
        <v>46277.66666666666</v>
      </c>
      <c r="B4327">
        <f>TEXT(A4327,"yyyy-mm")</f>
        <v/>
      </c>
      <c r="C4327" s="3">
        <f>HOUR(A4327)</f>
        <v/>
      </c>
      <c r="D4327" s="4" t="n">
        <v>24.93460820595</v>
      </c>
      <c r="E4327" s="4" t="n">
        <v>26.54348584922778</v>
      </c>
      <c r="F4327" s="4" t="n"/>
      <c r="G4327" s="4" t="n">
        <v>23.2</v>
      </c>
      <c r="H4327" s="5" t="n">
        <v>34.42915100820833</v>
      </c>
      <c r="I4327" s="5" t="n">
        <v>32.90661034063889</v>
      </c>
      <c r="J4327" s="5" t="n"/>
      <c r="K4327" s="5" t="n">
        <v>39</v>
      </c>
    </row>
    <row r="4328">
      <c r="A4328" s="2" t="n">
        <v>46277.70833333334</v>
      </c>
      <c r="B4328">
        <f>TEXT(A4328,"yyyy-mm")</f>
        <v/>
      </c>
      <c r="C4328" s="3">
        <f>HOUR(A4328)</f>
        <v/>
      </c>
      <c r="D4328" s="4" t="n">
        <v>24.68782912770556</v>
      </c>
      <c r="E4328" s="4" t="n">
        <v>26.24915902539166</v>
      </c>
      <c r="F4328" s="4" t="n"/>
      <c r="G4328" s="4" t="n">
        <v>22.7</v>
      </c>
      <c r="H4328" s="5" t="n">
        <v>33.49568703078889</v>
      </c>
      <c r="I4328" s="5" t="n">
        <v>31.85889164525278</v>
      </c>
      <c r="J4328" s="5" t="n"/>
      <c r="K4328" s="5" t="n">
        <v>41</v>
      </c>
    </row>
    <row r="4329">
      <c r="A4329" s="2" t="n">
        <v>46277.75</v>
      </c>
      <c r="B4329">
        <f>TEXT(A4329,"yyyy-mm")</f>
        <v/>
      </c>
      <c r="C4329" s="3">
        <f>HOUR(A4329)</f>
        <v/>
      </c>
      <c r="D4329" s="4" t="n">
        <v>24.00444096998889</v>
      </c>
      <c r="E4329" s="4" t="n">
        <v>25.99216784082778</v>
      </c>
      <c r="F4329" s="4" t="n"/>
      <c r="G4329" s="4" t="n">
        <v>21.8</v>
      </c>
      <c r="H4329" s="5" t="n">
        <v>34.78585693328333</v>
      </c>
      <c r="I4329" s="5" t="n">
        <v>32.15478439443056</v>
      </c>
      <c r="J4329" s="5" t="n"/>
      <c r="K4329" s="5" t="n">
        <v>43</v>
      </c>
    </row>
    <row r="4330">
      <c r="A4330" s="2" t="n">
        <v>46277.79166666666</v>
      </c>
      <c r="B4330">
        <f>TEXT(A4330,"yyyy-mm")</f>
        <v/>
      </c>
      <c r="C4330" s="3">
        <f>HOUR(A4330)</f>
        <v/>
      </c>
      <c r="D4330" s="4" t="n">
        <v>24.45987583366389</v>
      </c>
      <c r="E4330" s="4" t="n">
        <v>26.09883778383612</v>
      </c>
      <c r="F4330" s="4" t="n"/>
      <c r="G4330" s="4" t="n">
        <v>20.5</v>
      </c>
      <c r="H4330" s="5" t="n">
        <v>34.75557960315277</v>
      </c>
      <c r="I4330" s="5" t="n">
        <v>32.43191426252778</v>
      </c>
      <c r="J4330" s="5" t="n"/>
      <c r="K4330" s="5" t="n">
        <v>47</v>
      </c>
    </row>
    <row r="4331">
      <c r="A4331" s="2" t="n">
        <v>46277.83333333334</v>
      </c>
      <c r="B4331">
        <f>TEXT(A4331,"yyyy-mm")</f>
        <v/>
      </c>
      <c r="C4331" s="3">
        <f>HOUR(A4331)</f>
        <v/>
      </c>
      <c r="D4331" s="4" t="n">
        <v>23.96556520649444</v>
      </c>
      <c r="E4331" s="4" t="n">
        <v>26.81759212346667</v>
      </c>
      <c r="F4331" s="4" t="n"/>
      <c r="G4331" s="4" t="n">
        <v>19.1</v>
      </c>
      <c r="H4331" s="5" t="n">
        <v>36.38456017631945</v>
      </c>
      <c r="I4331" s="5" t="n">
        <v>34.15647479946111</v>
      </c>
      <c r="J4331" s="5" t="n"/>
      <c r="K4331" s="5" t="n">
        <v>52</v>
      </c>
    </row>
    <row r="4332">
      <c r="A4332" s="2" t="n">
        <v>46277.875</v>
      </c>
      <c r="B4332">
        <f>TEXT(A4332,"yyyy-mm")</f>
        <v/>
      </c>
      <c r="C4332" s="3">
        <f>HOUR(A4332)</f>
        <v/>
      </c>
      <c r="D4332" s="4" t="n">
        <v>23.67235734061667</v>
      </c>
      <c r="E4332" s="4" t="n">
        <v>26.82189796781944</v>
      </c>
      <c r="F4332" s="4" t="n"/>
      <c r="G4332" s="4" t="n">
        <v>17.6</v>
      </c>
      <c r="H4332" s="5" t="n">
        <v>37.94653311159722</v>
      </c>
      <c r="I4332" s="5" t="n">
        <v>35.04159274003889</v>
      </c>
      <c r="J4332" s="5" t="n"/>
      <c r="K4332" s="5" t="n">
        <v>56</v>
      </c>
    </row>
    <row r="4333">
      <c r="A4333" s="2" t="n">
        <v>46277.91666666666</v>
      </c>
      <c r="B4333">
        <f>TEXT(A4333,"yyyy-mm")</f>
        <v/>
      </c>
      <c r="C4333" s="3">
        <f>HOUR(A4333)</f>
        <v/>
      </c>
      <c r="D4333" s="4" t="n">
        <v>23.20657079469722</v>
      </c>
      <c r="E4333" s="4" t="n">
        <v>26.70244119261945</v>
      </c>
      <c r="F4333" s="4" t="n"/>
      <c r="G4333" s="4" t="n">
        <v>17.5</v>
      </c>
      <c r="H4333" s="5" t="n">
        <v>39.385568822</v>
      </c>
      <c r="I4333" s="5" t="n">
        <v>35.25498717896111</v>
      </c>
      <c r="J4333" s="5" t="n"/>
      <c r="K4333" s="5" t="n">
        <v>54</v>
      </c>
    </row>
    <row r="4334">
      <c r="A4334" s="2" t="n">
        <v>46277.95833333334</v>
      </c>
      <c r="B4334">
        <f>TEXT(A4334,"yyyy-mm")</f>
        <v/>
      </c>
      <c r="C4334" s="3">
        <f>HOUR(A4334)</f>
        <v/>
      </c>
      <c r="D4334" s="4" t="n">
        <v>22.92178027019166</v>
      </c>
      <c r="E4334" s="4" t="n">
        <v>26.51891912111944</v>
      </c>
      <c r="F4334" s="4" t="n"/>
      <c r="G4334" s="4" t="n">
        <v>17.5</v>
      </c>
      <c r="H4334" s="5" t="n">
        <v>40.27635205070278</v>
      </c>
      <c r="I4334" s="5" t="n">
        <v>34.53991904533333</v>
      </c>
      <c r="J4334" s="5" t="n"/>
      <c r="K4334" s="5" t="n">
        <v>52</v>
      </c>
    </row>
    <row r="4335">
      <c r="A4335" s="2" t="n">
        <v>46278</v>
      </c>
      <c r="B4335">
        <f>TEXT(A4335,"yyyy-mm")</f>
        <v/>
      </c>
      <c r="C4335" s="3">
        <f>HOUR(A4335)</f>
        <v/>
      </c>
      <c r="D4335" s="4" t="n">
        <v>23.13990138652778</v>
      </c>
      <c r="E4335" s="4" t="n">
        <v>26.738294882475</v>
      </c>
      <c r="F4335" s="4" t="n"/>
      <c r="G4335" s="4" t="n">
        <v>17.5</v>
      </c>
      <c r="H4335" s="5" t="n">
        <v>41.11905797490834</v>
      </c>
      <c r="I4335" s="5" t="n">
        <v>37.0327114254</v>
      </c>
      <c r="J4335" s="5" t="n"/>
      <c r="K4335" s="5" t="n">
        <v>50</v>
      </c>
    </row>
    <row r="4336">
      <c r="A4336" s="2" t="n">
        <v>46278.04166666666</v>
      </c>
      <c r="B4336">
        <f>TEXT(A4336,"yyyy-mm")</f>
        <v/>
      </c>
      <c r="C4336" s="3">
        <f>HOUR(A4336)</f>
        <v/>
      </c>
      <c r="D4336" s="4" t="n">
        <v>23.52477250445833</v>
      </c>
      <c r="E4336" s="4" t="n">
        <v>26.87816576686389</v>
      </c>
      <c r="F4336" s="4" t="n"/>
      <c r="G4336" s="4" t="n">
        <v>17</v>
      </c>
      <c r="H4336" s="5" t="n">
        <v>41.44362291045834</v>
      </c>
      <c r="I4336" s="5" t="n">
        <v>36.37088180541667</v>
      </c>
      <c r="J4336" s="5" t="n"/>
      <c r="K4336" s="5" t="n">
        <v>52</v>
      </c>
    </row>
    <row r="4337">
      <c r="A4337" s="2" t="n">
        <v>46278.08333333334</v>
      </c>
      <c r="B4337">
        <f>TEXT(A4337,"yyyy-mm")</f>
        <v/>
      </c>
      <c r="C4337" s="3">
        <f>HOUR(A4337)</f>
        <v/>
      </c>
      <c r="D4337" s="4" t="n">
        <v>23.39074654393889</v>
      </c>
      <c r="E4337" s="4" t="n">
        <v>26.55474711606111</v>
      </c>
      <c r="F4337" s="4" t="n"/>
      <c r="G4337" s="4" t="n">
        <v>16.6</v>
      </c>
      <c r="H4337" s="5" t="n">
        <v>42.09341142765278</v>
      </c>
      <c r="I4337" s="5" t="n">
        <v>36.31033200453611</v>
      </c>
      <c r="J4337" s="5" t="n"/>
      <c r="K4337" s="5" t="n">
        <v>55</v>
      </c>
    </row>
    <row r="4338">
      <c r="A4338" s="2" t="n">
        <v>46278.125</v>
      </c>
      <c r="B4338">
        <f>TEXT(A4338,"yyyy-mm")</f>
        <v/>
      </c>
      <c r="C4338" s="3">
        <f>HOUR(A4338)</f>
        <v/>
      </c>
      <c r="D4338" s="4" t="n">
        <v>22.84174684726111</v>
      </c>
      <c r="E4338" s="4" t="n">
        <v>26.14626366177778</v>
      </c>
      <c r="F4338" s="4" t="n"/>
      <c r="G4338" s="4" t="n">
        <v>15.2</v>
      </c>
      <c r="H4338" s="5" t="n">
        <v>43.79010345002501</v>
      </c>
      <c r="I4338" s="5" t="n">
        <v>36.99800139635833</v>
      </c>
      <c r="J4338" s="5" t="n"/>
      <c r="K4338" s="5" t="n">
        <v>71</v>
      </c>
    </row>
    <row r="4339">
      <c r="A4339" s="2" t="n">
        <v>46278.16666666666</v>
      </c>
      <c r="B4339">
        <f>TEXT(A4339,"yyyy-mm")</f>
        <v/>
      </c>
      <c r="C4339" s="3">
        <f>HOUR(A4339)</f>
        <v/>
      </c>
      <c r="D4339" s="4" t="n">
        <v>22.09308431423333</v>
      </c>
      <c r="E4339" s="4" t="n">
        <v>25.86853725111667</v>
      </c>
      <c r="F4339" s="4" t="n"/>
      <c r="G4339" s="4" t="n">
        <v>14.7</v>
      </c>
      <c r="H4339" s="5" t="n">
        <v>45.69451749219167</v>
      </c>
      <c r="I4339" s="5" t="n">
        <v>37.41909933340278</v>
      </c>
      <c r="J4339" s="5" t="n"/>
      <c r="K4339" s="5" t="n">
        <v>77</v>
      </c>
    </row>
    <row r="4340">
      <c r="A4340" s="2" t="n">
        <v>46278.20833333334</v>
      </c>
      <c r="B4340">
        <f>TEXT(A4340,"yyyy-mm")</f>
        <v/>
      </c>
      <c r="C4340" s="3">
        <f>HOUR(A4340)</f>
        <v/>
      </c>
      <c r="D4340" s="4" t="n">
        <v>21.60217508993334</v>
      </c>
      <c r="E4340" s="4" t="n">
        <v>25.61045169378612</v>
      </c>
      <c r="F4340" s="4" t="n"/>
      <c r="G4340" s="4" t="n">
        <v>14.2</v>
      </c>
      <c r="H4340" s="5" t="n">
        <v>46.54143770205555</v>
      </c>
      <c r="I4340" s="5" t="n">
        <v>37.42480774552778</v>
      </c>
      <c r="J4340" s="5" t="n"/>
      <c r="K4340" s="5" t="n">
        <v>81</v>
      </c>
    </row>
    <row r="4341">
      <c r="A4341" s="2" t="n">
        <v>46278.25</v>
      </c>
      <c r="B4341">
        <f>TEXT(A4341,"yyyy-mm")</f>
        <v/>
      </c>
      <c r="C4341" s="3">
        <f>HOUR(A4341)</f>
        <v/>
      </c>
      <c r="D4341" s="4" t="n">
        <v>21.66002307709167</v>
      </c>
      <c r="E4341" s="4" t="n">
        <v>25.57668388677222</v>
      </c>
      <c r="F4341" s="4" t="n"/>
      <c r="G4341" s="4" t="n">
        <v>13.9</v>
      </c>
      <c r="H4341" s="5" t="n">
        <v>46.78642026875556</v>
      </c>
      <c r="I4341" s="5" t="n">
        <v>37.76029539494444</v>
      </c>
      <c r="J4341" s="5" t="n"/>
      <c r="K4341" s="5" t="n">
        <v>83</v>
      </c>
    </row>
    <row r="4342">
      <c r="A4342" s="2" t="n">
        <v>46278.29166666666</v>
      </c>
      <c r="B4342">
        <f>TEXT(A4342,"yyyy-mm")</f>
        <v/>
      </c>
      <c r="C4342" s="3">
        <f>HOUR(A4342)</f>
        <v/>
      </c>
      <c r="D4342" s="4" t="n">
        <v>22.42755305796389</v>
      </c>
      <c r="E4342" s="4" t="n">
        <v>25.92361178128333</v>
      </c>
      <c r="F4342" s="4" t="n"/>
      <c r="G4342" s="4" t="n">
        <v>14.1</v>
      </c>
      <c r="H4342" s="5" t="n">
        <v>45.51127800709722</v>
      </c>
      <c r="I4342" s="5" t="n">
        <v>38.26708132409445</v>
      </c>
      <c r="J4342" s="5" t="n"/>
      <c r="K4342" s="5" t="n">
        <v>82</v>
      </c>
    </row>
    <row r="4343">
      <c r="A4343" s="2" t="n">
        <v>46278.33333333334</v>
      </c>
      <c r="B4343">
        <f>TEXT(A4343,"yyyy-mm")</f>
        <v/>
      </c>
      <c r="C4343" s="3">
        <f>HOUR(A4343)</f>
        <v/>
      </c>
      <c r="D4343" s="4" t="n">
        <v>23.49504698593889</v>
      </c>
      <c r="E4343" s="4" t="n">
        <v>26.356332535825</v>
      </c>
      <c r="F4343" s="4" t="n"/>
      <c r="G4343" s="4" t="n">
        <v>15.1</v>
      </c>
      <c r="H4343" s="5" t="n">
        <v>43.55864367550834</v>
      </c>
      <c r="I4343" s="5" t="n">
        <v>38.64793790106389</v>
      </c>
      <c r="J4343" s="5" t="n"/>
      <c r="K4343" s="5" t="n">
        <v>77</v>
      </c>
    </row>
    <row r="4344">
      <c r="A4344" s="2" t="n">
        <v>46278.375</v>
      </c>
      <c r="B4344">
        <f>TEXT(A4344,"yyyy-mm")</f>
        <v/>
      </c>
      <c r="C4344" s="3">
        <f>HOUR(A4344)</f>
        <v/>
      </c>
      <c r="D4344" s="4" t="n">
        <v>23.70399076014722</v>
      </c>
      <c r="E4344" s="4" t="n">
        <v>26.27070202379445</v>
      </c>
      <c r="F4344" s="4" t="n"/>
      <c r="G4344" s="4" t="n">
        <v>16.2</v>
      </c>
      <c r="H4344" s="5" t="n">
        <v>43.35811843506111</v>
      </c>
      <c r="I4344" s="5" t="n">
        <v>38.63998771509167</v>
      </c>
      <c r="J4344" s="5" t="n"/>
      <c r="K4344" s="5" t="n">
        <v>73</v>
      </c>
    </row>
    <row r="4345">
      <c r="A4345" s="2" t="n">
        <v>46278.41666666666</v>
      </c>
      <c r="B4345">
        <f>TEXT(A4345,"yyyy-mm")</f>
        <v/>
      </c>
      <c r="C4345" s="3">
        <f>HOUR(A4345)</f>
        <v/>
      </c>
      <c r="D4345" s="4" t="n">
        <v>23.85066657139722</v>
      </c>
      <c r="E4345" s="4" t="n">
        <v>26.20465353821111</v>
      </c>
      <c r="F4345" s="4" t="n"/>
      <c r="G4345" s="4" t="n">
        <v>17.8</v>
      </c>
      <c r="H4345" s="5" t="n">
        <v>43.32638578111388</v>
      </c>
      <c r="I4345" s="5" t="n">
        <v>38.61025339749444</v>
      </c>
      <c r="J4345" s="5" t="n"/>
      <c r="K4345" s="5" t="n">
        <v>67</v>
      </c>
    </row>
    <row r="4346">
      <c r="A4346" s="2" t="n">
        <v>46278.45833333334</v>
      </c>
      <c r="B4346">
        <f>TEXT(A4346,"yyyy-mm")</f>
        <v/>
      </c>
      <c r="C4346" s="3">
        <f>HOUR(A4346)</f>
        <v/>
      </c>
      <c r="D4346" s="4" t="n">
        <v>24.38911105666389</v>
      </c>
      <c r="E4346" s="4" t="n">
        <v>26.3212666223</v>
      </c>
      <c r="F4346" s="4" t="n"/>
      <c r="G4346" s="4" t="n">
        <v>18.3</v>
      </c>
      <c r="H4346" s="5" t="n">
        <v>42.96577440441945</v>
      </c>
      <c r="I4346" s="5" t="n">
        <v>39.02304901596945</v>
      </c>
      <c r="J4346" s="5" t="n"/>
      <c r="K4346" s="5" t="n">
        <v>66</v>
      </c>
    </row>
    <row r="4347">
      <c r="A4347" s="2" t="n">
        <v>46278.5</v>
      </c>
      <c r="B4347">
        <f>TEXT(A4347,"yyyy-mm")</f>
        <v/>
      </c>
      <c r="C4347" s="3">
        <f>HOUR(A4347)</f>
        <v/>
      </c>
      <c r="D4347" s="4" t="n">
        <v>24.64501714220556</v>
      </c>
      <c r="E4347" s="4" t="n">
        <v>26.77350476270833</v>
      </c>
      <c r="F4347" s="4" t="n"/>
      <c r="G4347" s="4" t="n">
        <v>19.8</v>
      </c>
      <c r="H4347" s="5" t="n">
        <v>43.82054584645278</v>
      </c>
      <c r="I4347" s="5" t="n">
        <v>40.85246043725</v>
      </c>
      <c r="J4347" s="5" t="n"/>
      <c r="K4347" s="5" t="n">
        <v>61</v>
      </c>
    </row>
    <row r="4348">
      <c r="A4348" s="2" t="n">
        <v>46278.54166666666</v>
      </c>
      <c r="B4348">
        <f>TEXT(A4348,"yyyy-mm")</f>
        <v/>
      </c>
      <c r="C4348" s="3">
        <f>HOUR(A4348)</f>
        <v/>
      </c>
      <c r="D4348" s="4" t="n">
        <v>24.80087508532777</v>
      </c>
      <c r="E4348" s="4" t="n">
        <v>27.20276360118889</v>
      </c>
      <c r="F4348" s="4" t="n"/>
      <c r="G4348" s="4" t="n">
        <v>20.8</v>
      </c>
      <c r="H4348" s="5" t="n">
        <v>44.62050871346111</v>
      </c>
      <c r="I4348" s="5" t="n">
        <v>41.83680752296111</v>
      </c>
      <c r="J4348" s="5" t="n"/>
      <c r="K4348" s="5" t="n">
        <v>58</v>
      </c>
    </row>
    <row r="4349">
      <c r="A4349" s="2" t="n">
        <v>46278.58333333334</v>
      </c>
      <c r="B4349">
        <f>TEXT(A4349,"yyyy-mm")</f>
        <v/>
      </c>
      <c r="C4349" s="3">
        <f>HOUR(A4349)</f>
        <v/>
      </c>
      <c r="D4349" s="4" t="n">
        <v>25.04099194495833</v>
      </c>
      <c r="E4349" s="4" t="n">
        <v>27.21629693784445</v>
      </c>
      <c r="F4349" s="4" t="n"/>
      <c r="G4349" s="4" t="n">
        <v>21.3</v>
      </c>
      <c r="H4349" s="5" t="n">
        <v>43.90156459921667</v>
      </c>
      <c r="I4349" s="5" t="n">
        <v>40.91175336489444</v>
      </c>
      <c r="J4349" s="5" t="n"/>
      <c r="K4349" s="5" t="n">
        <v>56</v>
      </c>
    </row>
    <row r="4350">
      <c r="A4350" s="2" t="n">
        <v>46278.625</v>
      </c>
      <c r="B4350">
        <f>TEXT(A4350,"yyyy-mm")</f>
        <v/>
      </c>
      <c r="C4350" s="3">
        <f>HOUR(A4350)</f>
        <v/>
      </c>
      <c r="D4350" s="4" t="n">
        <v>24.907124816775</v>
      </c>
      <c r="E4350" s="4" t="n">
        <v>27.03115145751667</v>
      </c>
      <c r="F4350" s="4" t="n"/>
      <c r="G4350" s="4" t="n">
        <v>22.3</v>
      </c>
      <c r="H4350" s="5" t="n">
        <v>44.20532541127222</v>
      </c>
      <c r="I4350" s="5" t="n">
        <v>41.04805775106112</v>
      </c>
      <c r="J4350" s="5" t="n"/>
      <c r="K4350" s="5" t="n">
        <v>55</v>
      </c>
    </row>
    <row r="4351">
      <c r="A4351" s="2" t="n">
        <v>46278.66666666666</v>
      </c>
      <c r="B4351">
        <f>TEXT(A4351,"yyyy-mm")</f>
        <v/>
      </c>
      <c r="C4351" s="3">
        <f>HOUR(A4351)</f>
        <v/>
      </c>
      <c r="D4351" s="4" t="n">
        <v>24.79255526466389</v>
      </c>
      <c r="E4351" s="4" t="n">
        <v>27.03503120144722</v>
      </c>
      <c r="F4351" s="4" t="n"/>
      <c r="G4351" s="4" t="n">
        <v>21.8</v>
      </c>
      <c r="H4351" s="5" t="n">
        <v>44.629581543025</v>
      </c>
      <c r="I4351" s="5" t="n">
        <v>41.61376198178333</v>
      </c>
      <c r="J4351" s="5" t="n"/>
      <c r="K4351" s="5" t="n">
        <v>57</v>
      </c>
    </row>
    <row r="4352">
      <c r="A4352" s="2" t="n">
        <v>46278.70833333334</v>
      </c>
      <c r="B4352">
        <f>TEXT(A4352,"yyyy-mm")</f>
        <v/>
      </c>
      <c r="C4352" s="3">
        <f>HOUR(A4352)</f>
        <v/>
      </c>
      <c r="D4352" s="4" t="n">
        <v>24.793160177325</v>
      </c>
      <c r="E4352" s="4" t="n">
        <v>27.23639504835</v>
      </c>
      <c r="F4352" s="4" t="n"/>
      <c r="G4352" s="4" t="n">
        <v>21</v>
      </c>
      <c r="H4352" s="5" t="n">
        <v>44.958083621075</v>
      </c>
      <c r="I4352" s="5" t="n">
        <v>42.46587839410555</v>
      </c>
      <c r="J4352" s="5" t="n"/>
      <c r="K4352" s="5" t="n">
        <v>59</v>
      </c>
    </row>
    <row r="4353">
      <c r="A4353" s="2" t="n">
        <v>46278.75</v>
      </c>
      <c r="B4353">
        <f>TEXT(A4353,"yyyy-mm")</f>
        <v/>
      </c>
      <c r="C4353" s="3">
        <f>HOUR(A4353)</f>
        <v/>
      </c>
      <c r="D4353" s="4" t="n">
        <v>24.48240335501389</v>
      </c>
      <c r="E4353" s="4" t="n">
        <v>27.32013175195556</v>
      </c>
      <c r="F4353" s="4" t="n"/>
      <c r="G4353" s="4" t="n">
        <v>19.8</v>
      </c>
      <c r="H4353" s="5" t="n">
        <v>45.76782908515</v>
      </c>
      <c r="I4353" s="5" t="n">
        <v>42.83973140761389</v>
      </c>
      <c r="J4353" s="5" t="n"/>
      <c r="K4353" s="5" t="n">
        <v>63</v>
      </c>
    </row>
    <row r="4354">
      <c r="A4354" s="2" t="n">
        <v>46278.79166666666</v>
      </c>
      <c r="B4354">
        <f>TEXT(A4354,"yyyy-mm")</f>
        <v/>
      </c>
      <c r="C4354" s="3">
        <f>HOUR(A4354)</f>
        <v/>
      </c>
      <c r="D4354" s="4" t="n">
        <v>23.90406644653889</v>
      </c>
      <c r="E4354" s="4" t="n">
        <v>26.91193550307223</v>
      </c>
      <c r="F4354" s="4" t="n">
        <v>27.84187545830215</v>
      </c>
      <c r="G4354" s="4" t="n">
        <v>18.1</v>
      </c>
      <c r="H4354" s="5" t="n">
        <v>48.33075282494722</v>
      </c>
      <c r="I4354" s="5" t="n">
        <v>43.11649342499445</v>
      </c>
      <c r="J4354" s="5" t="n">
        <v>44.89622825190068</v>
      </c>
      <c r="K4354" s="5" t="n">
        <v>69</v>
      </c>
    </row>
    <row r="4355">
      <c r="A4355" s="2" t="n">
        <v>46278.83333333334</v>
      </c>
      <c r="B4355">
        <f>TEXT(A4355,"yyyy-mm")</f>
        <v/>
      </c>
      <c r="C4355" s="3">
        <f>HOUR(A4355)</f>
        <v/>
      </c>
      <c r="D4355" s="4" t="n">
        <v>23.22616497719721</v>
      </c>
      <c r="E4355" s="4" t="n">
        <v>26.3686822245</v>
      </c>
      <c r="F4355" s="4" t="n">
        <v>28.17550035932777</v>
      </c>
      <c r="G4355" s="4" t="n">
        <v>17.1</v>
      </c>
      <c r="H4355" s="5" t="n">
        <v>48.39906746875278</v>
      </c>
      <c r="I4355" s="5" t="n">
        <v>41.28544171660555</v>
      </c>
      <c r="J4355" s="5" t="n">
        <v>43.24968036756667</v>
      </c>
      <c r="K4355" s="5" t="n">
        <v>73</v>
      </c>
    </row>
    <row r="4356">
      <c r="A4356" s="2" t="n">
        <v>46278.875</v>
      </c>
      <c r="B4356">
        <f>TEXT(A4356,"yyyy-mm")</f>
        <v/>
      </c>
      <c r="C4356" s="3">
        <f>HOUR(A4356)</f>
        <v/>
      </c>
      <c r="D4356" s="4" t="n">
        <v>22.65316765436667</v>
      </c>
      <c r="E4356" s="4" t="n">
        <v>25.96502426857778</v>
      </c>
      <c r="F4356" s="4" t="n">
        <v>28.23120381290833</v>
      </c>
      <c r="G4356" s="4" t="n">
        <v>16</v>
      </c>
      <c r="H4356" s="5" t="n">
        <v>48.56823087983611</v>
      </c>
      <c r="I4356" s="5" t="n">
        <v>40.76952662605</v>
      </c>
      <c r="J4356" s="5" t="n">
        <v>42.75663754419444</v>
      </c>
      <c r="K4356" s="5" t="n">
        <v>80</v>
      </c>
    </row>
    <row r="4357">
      <c r="A4357" s="2" t="n">
        <v>46278.91666666666</v>
      </c>
      <c r="B4357">
        <f>TEXT(A4357,"yyyy-mm")</f>
        <v/>
      </c>
      <c r="C4357" s="3">
        <f>HOUR(A4357)</f>
        <v/>
      </c>
      <c r="D4357" s="4" t="n">
        <v>22.16475245380555</v>
      </c>
      <c r="E4357" s="4" t="n">
        <v>25.88726326213611</v>
      </c>
      <c r="F4357" s="4" t="n">
        <v>28.24868517409723</v>
      </c>
      <c r="G4357" s="4" t="n">
        <v>15.2</v>
      </c>
      <c r="H4357" s="5" t="n">
        <v>49.465852216</v>
      </c>
      <c r="I4357" s="5" t="n">
        <v>41.22399704195</v>
      </c>
      <c r="J4357" s="5" t="n">
        <v>42.50253965103333</v>
      </c>
      <c r="K4357" s="5" t="n">
        <v>83</v>
      </c>
    </row>
    <row r="4358">
      <c r="A4358" s="2" t="n">
        <v>46278.95833333334</v>
      </c>
      <c r="B4358">
        <f>TEXT(A4358,"yyyy-mm")</f>
        <v/>
      </c>
      <c r="C4358" s="3">
        <f>HOUR(A4358)</f>
        <v/>
      </c>
      <c r="D4358" s="4" t="n">
        <v>22.08893840405556</v>
      </c>
      <c r="E4358" s="4" t="n">
        <v>26.45340809198056</v>
      </c>
      <c r="F4358" s="4" t="n">
        <v>28.24727657601666</v>
      </c>
      <c r="G4358" s="4" t="n">
        <v>14.5</v>
      </c>
      <c r="H4358" s="5" t="n">
        <v>51.20493437097222</v>
      </c>
      <c r="I4358" s="5" t="n">
        <v>42.74529109625833</v>
      </c>
      <c r="J4358" s="5" t="n">
        <v>42.43675347227778</v>
      </c>
      <c r="K4358" s="5" t="n">
        <v>86</v>
      </c>
    </row>
    <row r="4359">
      <c r="A4359" s="2" t="n">
        <v>46279</v>
      </c>
      <c r="B4359">
        <f>TEXT(A4359,"yyyy-mm")</f>
        <v/>
      </c>
      <c r="C4359" s="3">
        <f>HOUR(A4359)</f>
        <v/>
      </c>
      <c r="D4359" s="4" t="n">
        <v>22.19347377331111</v>
      </c>
      <c r="E4359" s="4" t="n">
        <v>26.31142092825</v>
      </c>
      <c r="F4359" s="4" t="n">
        <v>28.248666000475</v>
      </c>
      <c r="G4359" s="4" t="n">
        <v>14.1</v>
      </c>
      <c r="H4359" s="5" t="n">
        <v>49.21543144824722</v>
      </c>
      <c r="I4359" s="5" t="n">
        <v>40.49898332671667</v>
      </c>
      <c r="J4359" s="5" t="n">
        <v>42.38758224339444</v>
      </c>
      <c r="K4359" s="5" t="n">
        <v>87</v>
      </c>
    </row>
    <row r="4360">
      <c r="A4360" s="2" t="n">
        <v>46279.04166666666</v>
      </c>
      <c r="B4360">
        <f>TEXT(A4360,"yyyy-mm")</f>
        <v/>
      </c>
      <c r="C4360" s="3">
        <f>HOUR(A4360)</f>
        <v/>
      </c>
      <c r="D4360" s="4" t="n">
        <v>23.1501317699</v>
      </c>
      <c r="E4360" s="4" t="n">
        <v>26.18440320771667</v>
      </c>
      <c r="F4360" s="4" t="n">
        <v>28.22249122113333</v>
      </c>
      <c r="G4360" s="4" t="n">
        <v>13.9</v>
      </c>
      <c r="H4360" s="5" t="n">
        <v>47.33851155170834</v>
      </c>
      <c r="I4360" s="5" t="n">
        <v>40.86474519817778</v>
      </c>
      <c r="J4360" s="5" t="n">
        <v>42.30120638285</v>
      </c>
      <c r="K4360" s="5" t="n">
        <v>87</v>
      </c>
    </row>
    <row r="4361">
      <c r="A4361" s="2" t="n">
        <v>46279.08333333334</v>
      </c>
      <c r="B4361">
        <f>TEXT(A4361,"yyyy-mm")</f>
        <v/>
      </c>
      <c r="C4361" s="3">
        <f>HOUR(A4361)</f>
        <v/>
      </c>
      <c r="D4361" s="4" t="n">
        <v>23.63894841270277</v>
      </c>
      <c r="E4361" s="4" t="n">
        <v>26.08210682123333</v>
      </c>
      <c r="F4361" s="4" t="n">
        <v>28.21670396043056</v>
      </c>
      <c r="G4361" s="4" t="n">
        <v>13.7</v>
      </c>
      <c r="H4361" s="5" t="n">
        <v>49.0051036899</v>
      </c>
      <c r="I4361" s="5" t="n">
        <v>42.13980649215834</v>
      </c>
      <c r="J4361" s="5" t="n">
        <v>42.20760169518611</v>
      </c>
      <c r="K4361" s="5" t="n">
        <v>87</v>
      </c>
    </row>
    <row r="4362">
      <c r="A4362" s="2" t="n">
        <v>46279.125</v>
      </c>
      <c r="B4362">
        <f>TEXT(A4362,"yyyy-mm")</f>
        <v/>
      </c>
      <c r="C4362" s="3">
        <f>HOUR(A4362)</f>
        <v/>
      </c>
      <c r="D4362" s="4" t="n">
        <v>23.63520525229722</v>
      </c>
      <c r="E4362" s="4" t="n">
        <v>25.91886023753611</v>
      </c>
      <c r="F4362" s="4" t="n">
        <v>28.22049073901667</v>
      </c>
      <c r="G4362" s="4" t="n">
        <v>13.9</v>
      </c>
      <c r="H4362" s="5" t="n">
        <v>48.35437433003611</v>
      </c>
      <c r="I4362" s="5" t="n">
        <v>42.58848870626111</v>
      </c>
      <c r="J4362" s="5" t="n">
        <v>42.13312031587223</v>
      </c>
      <c r="K4362" s="5" t="n">
        <v>85</v>
      </c>
    </row>
    <row r="4363">
      <c r="A4363" s="2" t="n">
        <v>46279.16666666666</v>
      </c>
      <c r="B4363">
        <f>TEXT(A4363,"yyyy-mm")</f>
        <v/>
      </c>
      <c r="C4363" s="3">
        <f>HOUR(A4363)</f>
        <v/>
      </c>
      <c r="D4363" s="4" t="n">
        <v>23.66315700151111</v>
      </c>
      <c r="E4363" s="4" t="n">
        <v>25.8068964508</v>
      </c>
      <c r="F4363" s="4" t="n">
        <v>28.21418687262222</v>
      </c>
      <c r="G4363" s="4" t="n">
        <v>13.9</v>
      </c>
      <c r="H4363" s="5" t="n">
        <v>47.65419342533056</v>
      </c>
      <c r="I4363" s="5" t="n">
        <v>42.37422187791666</v>
      </c>
      <c r="J4363" s="5" t="n">
        <v>42.04719513811389</v>
      </c>
      <c r="K4363" s="5" t="n">
        <v>84</v>
      </c>
    </row>
    <row r="4364">
      <c r="A4364" s="2" t="n">
        <v>46279.20833333334</v>
      </c>
      <c r="B4364">
        <f>TEXT(A4364,"yyyy-mm")</f>
        <v/>
      </c>
      <c r="C4364" s="3">
        <f>HOUR(A4364)</f>
        <v/>
      </c>
      <c r="D4364" s="4" t="n">
        <v>23.56373070775278</v>
      </c>
      <c r="E4364" s="4" t="n">
        <v>25.75146232759166</v>
      </c>
      <c r="F4364" s="4" t="n">
        <v>28.19570347021389</v>
      </c>
      <c r="G4364" s="4" t="n">
        <v>13.9</v>
      </c>
      <c r="H4364" s="5" t="n">
        <v>47.38025311700556</v>
      </c>
      <c r="I4364" s="5" t="n">
        <v>42.09035918436111</v>
      </c>
      <c r="J4364" s="5" t="n">
        <v>42.00750579383889</v>
      </c>
      <c r="K4364" s="5" t="n">
        <v>83</v>
      </c>
    </row>
    <row r="4365">
      <c r="A4365" s="2" t="n">
        <v>46279.25</v>
      </c>
      <c r="B4365">
        <f>TEXT(A4365,"yyyy-mm")</f>
        <v/>
      </c>
      <c r="C4365" s="3">
        <f>HOUR(A4365)</f>
        <v/>
      </c>
      <c r="D4365" s="4" t="n">
        <v>23.51203030133055</v>
      </c>
      <c r="E4365" s="4" t="n">
        <v>25.65730194556667</v>
      </c>
      <c r="F4365" s="4" t="n">
        <v>28.17862930754722</v>
      </c>
      <c r="G4365" s="4" t="n">
        <v>13.9</v>
      </c>
      <c r="H4365" s="5" t="n">
        <v>47.11051047298333</v>
      </c>
      <c r="I4365" s="5" t="n">
        <v>41.85554265735833</v>
      </c>
      <c r="J4365" s="5" t="n">
        <v>42.00558283943611</v>
      </c>
      <c r="K4365" s="5" t="n">
        <v>82</v>
      </c>
    </row>
    <row r="4366">
      <c r="A4366" s="2" t="n">
        <v>46279.29166666666</v>
      </c>
      <c r="B4366">
        <f>TEXT(A4366,"yyyy-mm")</f>
        <v/>
      </c>
      <c r="C4366" s="3">
        <f>HOUR(A4366)</f>
        <v/>
      </c>
      <c r="D4366" s="4" t="n">
        <v>23.48455564359167</v>
      </c>
      <c r="E4366" s="4" t="n">
        <v>25.58775441883889</v>
      </c>
      <c r="F4366" s="4" t="n">
        <v>28.16932414928056</v>
      </c>
      <c r="G4366" s="4" t="n">
        <v>14</v>
      </c>
      <c r="H4366" s="5" t="n">
        <v>46.88092804607501</v>
      </c>
      <c r="I4366" s="5" t="n">
        <v>41.65201171441667</v>
      </c>
      <c r="J4366" s="5" t="n">
        <v>41.98581402563611</v>
      </c>
      <c r="K4366" s="5" t="n">
        <v>82</v>
      </c>
    </row>
    <row r="4367">
      <c r="A4367" s="2" t="n">
        <v>46279.33333333334</v>
      </c>
      <c r="B4367">
        <f>TEXT(A4367,"yyyy-mm")</f>
        <v/>
      </c>
      <c r="C4367" s="3">
        <f>HOUR(A4367)</f>
        <v/>
      </c>
      <c r="D4367" s="4" t="n">
        <v>23.70889696025833</v>
      </c>
      <c r="E4367" s="4" t="n">
        <v>25.7148327279</v>
      </c>
      <c r="F4367" s="4" t="n">
        <v>28.157759197</v>
      </c>
      <c r="G4367" s="4" t="n">
        <v>14.6</v>
      </c>
      <c r="H4367" s="5" t="n">
        <v>46.46224928429999</v>
      </c>
      <c r="I4367" s="5" t="n">
        <v>41.36772739489444</v>
      </c>
      <c r="J4367" s="5" t="n">
        <v>41.97556526191944</v>
      </c>
      <c r="K4367" s="5" t="n">
        <v>79</v>
      </c>
    </row>
    <row r="4368">
      <c r="A4368" s="2" t="n">
        <v>46279.375</v>
      </c>
      <c r="B4368">
        <f>TEXT(A4368,"yyyy-mm")</f>
        <v/>
      </c>
      <c r="C4368" s="3">
        <f>HOUR(A4368)</f>
        <v/>
      </c>
      <c r="D4368" s="4" t="n">
        <v>23.77457156824722</v>
      </c>
      <c r="E4368" s="4" t="n">
        <v>25.65713844468889</v>
      </c>
      <c r="F4368" s="4" t="n">
        <v>28.13807385686944</v>
      </c>
      <c r="G4368" s="4" t="n">
        <v>14.6</v>
      </c>
      <c r="H4368" s="5" t="n">
        <v>46.30844233556389</v>
      </c>
      <c r="I4368" s="5" t="n">
        <v>41.49477128431666</v>
      </c>
      <c r="J4368" s="5" t="n">
        <v>41.95833149644167</v>
      </c>
      <c r="K4368" s="5" t="n">
        <v>80</v>
      </c>
    </row>
    <row r="4369">
      <c r="A4369" s="2" t="n">
        <v>46279.41666666666</v>
      </c>
      <c r="B4369">
        <f>TEXT(A4369,"yyyy-mm")</f>
        <v/>
      </c>
      <c r="C4369" s="3">
        <f>HOUR(A4369)</f>
        <v/>
      </c>
      <c r="D4369" s="4" t="n">
        <v>23.75061044021944</v>
      </c>
      <c r="E4369" s="4" t="n">
        <v>25.80135678273333</v>
      </c>
      <c r="F4369" s="4" t="n">
        <v>28.13260163770833</v>
      </c>
      <c r="G4369" s="4" t="n">
        <v>15.4</v>
      </c>
      <c r="H4369" s="5" t="n">
        <v>46.40295125079444</v>
      </c>
      <c r="I4369" s="5" t="n">
        <v>41.51137965532222</v>
      </c>
      <c r="J4369" s="5" t="n">
        <v>42.02166020973056</v>
      </c>
      <c r="K4369" s="5" t="n">
        <v>77</v>
      </c>
    </row>
    <row r="4370">
      <c r="A4370" s="2" t="n">
        <v>46279.45833333334</v>
      </c>
      <c r="B4370">
        <f>TEXT(A4370,"yyyy-mm")</f>
        <v/>
      </c>
      <c r="C4370" s="3">
        <f>HOUR(A4370)</f>
        <v/>
      </c>
      <c r="D4370" s="4" t="n">
        <v>23.75832851729722</v>
      </c>
      <c r="E4370" s="4" t="n">
        <v>26.00558365116667</v>
      </c>
      <c r="F4370" s="4" t="n">
        <v>28.11759991491667</v>
      </c>
      <c r="G4370" s="4" t="n">
        <v>16.9</v>
      </c>
      <c r="H4370" s="5" t="n">
        <v>47.09553365350278</v>
      </c>
      <c r="I4370" s="5" t="n">
        <v>41.57563203491667</v>
      </c>
      <c r="J4370" s="5" t="n">
        <v>42.28233020220278</v>
      </c>
      <c r="K4370" s="5" t="n">
        <v>72</v>
      </c>
    </row>
    <row r="4371">
      <c r="A4371" s="2" t="n">
        <v>46279.5</v>
      </c>
      <c r="B4371">
        <f>TEXT(A4371,"yyyy-mm")</f>
        <v/>
      </c>
      <c r="C4371" s="3">
        <f>HOUR(A4371)</f>
        <v/>
      </c>
      <c r="D4371" s="4" t="n">
        <v>23.7286138671</v>
      </c>
      <c r="E4371" s="4" t="n">
        <v>26.18907892703611</v>
      </c>
      <c r="F4371" s="4" t="n">
        <v>28.085679349275</v>
      </c>
      <c r="G4371" s="4" t="n">
        <v>17.5</v>
      </c>
      <c r="H4371" s="5" t="n">
        <v>47.06482016971945</v>
      </c>
      <c r="I4371" s="5" t="n">
        <v>41.11753520117222</v>
      </c>
      <c r="J4371" s="5" t="n">
        <v>43.33324770828056</v>
      </c>
      <c r="K4371" s="5" t="n">
        <v>71</v>
      </c>
    </row>
    <row r="4372">
      <c r="A4372" s="2" t="n">
        <v>46279.54166666666</v>
      </c>
      <c r="B4372">
        <f>TEXT(A4372,"yyyy-mm")</f>
        <v/>
      </c>
      <c r="C4372" s="3">
        <f>HOUR(A4372)</f>
        <v/>
      </c>
      <c r="D4372" s="4" t="n">
        <v>23.79634944103612</v>
      </c>
      <c r="E4372" s="4" t="n">
        <v>26.31875667840556</v>
      </c>
      <c r="F4372" s="4" t="n">
        <v>28.04711761417778</v>
      </c>
      <c r="G4372" s="4" t="n">
        <v>17.6</v>
      </c>
      <c r="H4372" s="5" t="n">
        <v>47.40950609162778</v>
      </c>
      <c r="I4372" s="5" t="n">
        <v>41.844378408025</v>
      </c>
      <c r="J4372" s="5" t="n">
        <v>43.98660271100277</v>
      </c>
      <c r="K4372" s="5" t="n">
        <v>73</v>
      </c>
    </row>
    <row r="4373">
      <c r="A4373" s="2" t="n">
        <v>46279.58333333334</v>
      </c>
      <c r="B4373">
        <f>TEXT(A4373,"yyyy-mm")</f>
        <v/>
      </c>
      <c r="C4373" s="3">
        <f>HOUR(A4373)</f>
        <v/>
      </c>
      <c r="D4373" s="4" t="n">
        <v>24.29912264096667</v>
      </c>
      <c r="E4373" s="4" t="n">
        <v>26.75389210905833</v>
      </c>
      <c r="F4373" s="4" t="n">
        <v>27.95455901686944</v>
      </c>
      <c r="G4373" s="4" t="n">
        <v>18.4</v>
      </c>
      <c r="H4373" s="5" t="n">
        <v>47.72622318816667</v>
      </c>
      <c r="I4373" s="5" t="n">
        <v>42.07434471745278</v>
      </c>
      <c r="J4373" s="5" t="n">
        <v>45.03761461166111</v>
      </c>
      <c r="K4373" s="5" t="n">
        <v>70</v>
      </c>
    </row>
    <row r="4374">
      <c r="A4374" s="2" t="n">
        <v>46279.625</v>
      </c>
      <c r="B4374">
        <f>TEXT(A4374,"yyyy-mm")</f>
        <v/>
      </c>
      <c r="C4374" s="3">
        <f>HOUR(A4374)</f>
        <v/>
      </c>
      <c r="D4374" s="4" t="n">
        <v>24.69451929638611</v>
      </c>
      <c r="E4374" s="4" t="n">
        <v>26.69547921294444</v>
      </c>
      <c r="F4374" s="4" t="n">
        <v>27.70028661109166</v>
      </c>
      <c r="G4374" s="4" t="n">
        <v>18.4</v>
      </c>
      <c r="H4374" s="5" t="n">
        <v>47.06323715963611</v>
      </c>
      <c r="I4374" s="5" t="n">
        <v>42.35152966366667</v>
      </c>
      <c r="J4374" s="5" t="n">
        <v>46.20113568533056</v>
      </c>
      <c r="K4374" s="5" t="n">
        <v>71</v>
      </c>
    </row>
    <row r="4375">
      <c r="A4375" s="2" t="n">
        <v>46279.66666666666</v>
      </c>
      <c r="B4375">
        <f>TEXT(A4375,"yyyy-mm")</f>
        <v/>
      </c>
      <c r="C4375" s="3">
        <f>HOUR(A4375)</f>
        <v/>
      </c>
      <c r="D4375" s="4" t="n">
        <v>24.80717994138611</v>
      </c>
      <c r="E4375" s="4" t="n">
        <v>26.53981777322777</v>
      </c>
      <c r="F4375" s="4" t="n">
        <v>27.95141484867777</v>
      </c>
      <c r="G4375" s="4" t="n">
        <v>18.2</v>
      </c>
      <c r="H4375" s="5" t="n">
        <v>47.77525897738611</v>
      </c>
      <c r="I4375" s="5" t="n">
        <v>42.79831028436389</v>
      </c>
      <c r="J4375" s="5" t="n">
        <v>45.33283583325</v>
      </c>
      <c r="K4375" s="5" t="n">
        <v>73</v>
      </c>
    </row>
    <row r="4376">
      <c r="A4376" s="2" t="n">
        <v>46279.70833333334</v>
      </c>
      <c r="B4376">
        <f>TEXT(A4376,"yyyy-mm")</f>
        <v/>
      </c>
      <c r="C4376" s="3">
        <f>HOUR(A4376)</f>
        <v/>
      </c>
      <c r="D4376" s="4" t="n">
        <v>24.74674259875556</v>
      </c>
      <c r="E4376" s="4" t="n">
        <v>26.48008285107223</v>
      </c>
      <c r="F4376" s="4" t="n">
        <v>28.13920726396667</v>
      </c>
      <c r="G4376" s="4" t="n">
        <v>17.6</v>
      </c>
      <c r="H4376" s="5" t="n">
        <v>50.63661537754444</v>
      </c>
      <c r="I4376" s="5" t="n">
        <v>47.15016050671111</v>
      </c>
      <c r="J4376" s="5" t="n">
        <v>44.55857917300278</v>
      </c>
      <c r="K4376" s="5" t="n">
        <v>78</v>
      </c>
    </row>
    <row r="4377">
      <c r="A4377" s="2" t="n">
        <v>46279.75</v>
      </c>
      <c r="B4377">
        <f>TEXT(A4377,"yyyy-mm")</f>
        <v/>
      </c>
      <c r="C4377" s="3">
        <f>HOUR(A4377)</f>
        <v/>
      </c>
      <c r="D4377" s="4" t="n">
        <v>24.75411476150278</v>
      </c>
      <c r="E4377" s="4" t="n">
        <v>26.37840832565</v>
      </c>
      <c r="F4377" s="4" t="n">
        <v>28.26432728826389</v>
      </c>
      <c r="G4377" s="4" t="n">
        <v>17</v>
      </c>
      <c r="H4377" s="5" t="n">
        <v>49.78484788969167</v>
      </c>
      <c r="I4377" s="5" t="n">
        <v>46.18144794170833</v>
      </c>
      <c r="J4377" s="5" t="n">
        <v>44.26623969690556</v>
      </c>
      <c r="K4377" s="5" t="n">
        <v>83</v>
      </c>
    </row>
    <row r="4378">
      <c r="A4378" s="2" t="n">
        <v>46279.79166666666</v>
      </c>
      <c r="B4378">
        <f>TEXT(A4378,"yyyy-mm")</f>
        <v/>
      </c>
      <c r="C4378" s="3">
        <f>HOUR(A4378)</f>
        <v/>
      </c>
      <c r="D4378" s="4" t="n">
        <v>24.67236202643612</v>
      </c>
      <c r="E4378" s="4" t="n">
        <v>26.57333337539444</v>
      </c>
      <c r="F4378" s="4" t="n">
        <v>27.58412432884167</v>
      </c>
      <c r="G4378" s="4" t="n">
        <v>16.9</v>
      </c>
      <c r="H4378" s="5" t="n">
        <v>47.86506411583056</v>
      </c>
      <c r="I4378" s="5" t="n">
        <v>43.74026135873888</v>
      </c>
      <c r="J4378" s="5" t="n">
        <v>47.99020396736666</v>
      </c>
      <c r="K4378" s="5" t="n">
        <v>82</v>
      </c>
    </row>
    <row r="4379">
      <c r="A4379" s="2" t="n">
        <v>46279.83333333334</v>
      </c>
      <c r="B4379">
        <f>TEXT(A4379,"yyyy-mm")</f>
        <v/>
      </c>
      <c r="C4379" s="3">
        <f>HOUR(A4379)</f>
        <v/>
      </c>
      <c r="D4379" s="4" t="n">
        <v>24.62431381073056</v>
      </c>
      <c r="E4379" s="4" t="n">
        <v>26.45367143400833</v>
      </c>
      <c r="F4379" s="4" t="n">
        <v>26.91360457968056</v>
      </c>
      <c r="G4379" s="4" t="n">
        <v>16.4</v>
      </c>
      <c r="H4379" s="5" t="n">
        <v>47.23880416843611</v>
      </c>
      <c r="I4379" s="5" t="n">
        <v>43.90981111248889</v>
      </c>
      <c r="J4379" s="5" t="n">
        <v>49.41276186505834</v>
      </c>
      <c r="K4379" s="5" t="n">
        <v>84</v>
      </c>
    </row>
    <row r="4380">
      <c r="A4380" s="2" t="n">
        <v>46279.875</v>
      </c>
      <c r="B4380">
        <f>TEXT(A4380,"yyyy-mm")</f>
        <v/>
      </c>
      <c r="C4380" s="3">
        <f>HOUR(A4380)</f>
        <v/>
      </c>
      <c r="D4380" s="4" t="n">
        <v>24.40695955733889</v>
      </c>
      <c r="E4380" s="4" t="n">
        <v>26.25633463521111</v>
      </c>
      <c r="F4380" s="4" t="n">
        <v>26.96701860286389</v>
      </c>
      <c r="G4380" s="4" t="n">
        <v>16.4</v>
      </c>
      <c r="H4380" s="5" t="n">
        <v>48.51368304551389</v>
      </c>
      <c r="I4380" s="5" t="n">
        <v>45.97886456633889</v>
      </c>
      <c r="J4380" s="5" t="n">
        <v>49.59067704706112</v>
      </c>
      <c r="K4380" s="5" t="n">
        <v>88</v>
      </c>
    </row>
    <row r="4381">
      <c r="A4381" s="2" t="n">
        <v>46279.91666666666</v>
      </c>
      <c r="B4381">
        <f>TEXT(A4381,"yyyy-mm")</f>
        <v/>
      </c>
      <c r="C4381" s="3">
        <f>HOUR(A4381)</f>
        <v/>
      </c>
      <c r="D4381" s="4" t="n">
        <v>23.88037068916111</v>
      </c>
      <c r="E4381" s="4" t="n">
        <v>25.85704580575833</v>
      </c>
      <c r="F4381" s="4" t="n">
        <v>27.44978300353611</v>
      </c>
      <c r="G4381" s="4" t="n">
        <v>16.2</v>
      </c>
      <c r="H4381" s="5" t="n">
        <v>48.84555364686667</v>
      </c>
      <c r="I4381" s="5" t="n">
        <v>44.81482338981667</v>
      </c>
      <c r="J4381" s="5" t="n">
        <v>47.39104906337778</v>
      </c>
      <c r="K4381" s="5" t="n">
        <v>91</v>
      </c>
    </row>
    <row r="4382">
      <c r="A4382" s="2" t="n">
        <v>46279.95833333334</v>
      </c>
      <c r="B4382">
        <f>TEXT(A4382,"yyyy-mm")</f>
        <v/>
      </c>
      <c r="C4382" s="3">
        <f>HOUR(A4382)</f>
        <v/>
      </c>
      <c r="D4382" s="4" t="n">
        <v>24.358019885425</v>
      </c>
      <c r="E4382" s="4" t="n">
        <v>26.41268033455556</v>
      </c>
      <c r="F4382" s="4" t="n">
        <v>27.68602521327778</v>
      </c>
      <c r="G4382" s="4" t="n">
        <v>15.6</v>
      </c>
      <c r="H4382" s="5" t="n">
        <v>47.70525685818611</v>
      </c>
      <c r="I4382" s="5" t="n">
        <v>43.52018097640556</v>
      </c>
      <c r="J4382" s="5" t="n">
        <v>46.30427321422223</v>
      </c>
      <c r="K4382" s="5" t="n">
        <v>94</v>
      </c>
    </row>
    <row r="4383">
      <c r="A4383" s="2" t="n">
        <v>46280</v>
      </c>
      <c r="B4383">
        <f>TEXT(A4383,"yyyy-mm")</f>
        <v/>
      </c>
      <c r="C4383" s="3">
        <f>HOUR(A4383)</f>
        <v/>
      </c>
      <c r="D4383" s="4" t="n">
        <v>24.58468721679722</v>
      </c>
      <c r="E4383" s="4" t="n">
        <v>26.35961827291389</v>
      </c>
      <c r="F4383" s="4" t="n">
        <v>27.796889512</v>
      </c>
      <c r="G4383" s="4" t="n">
        <v>15.2</v>
      </c>
      <c r="H4383" s="5" t="n">
        <v>47.16292315270277</v>
      </c>
      <c r="I4383" s="5" t="n">
        <v>44.35908068694444</v>
      </c>
      <c r="J4383" s="5" t="n">
        <v>45.84032386975556</v>
      </c>
      <c r="K4383" s="5" t="n">
        <v>96</v>
      </c>
    </row>
    <row r="4384">
      <c r="A4384" s="2" t="n">
        <v>46280.04166666666</v>
      </c>
      <c r="B4384">
        <f>TEXT(A4384,"yyyy-mm")</f>
        <v/>
      </c>
      <c r="C4384" s="3">
        <f>HOUR(A4384)</f>
        <v/>
      </c>
      <c r="D4384" s="4" t="n">
        <v>24.195514373825</v>
      </c>
      <c r="E4384" s="4" t="n">
        <v>26.05257530290278</v>
      </c>
      <c r="F4384" s="4" t="n">
        <v>27.84112311078333</v>
      </c>
      <c r="G4384" s="4" t="n">
        <v>14.8</v>
      </c>
      <c r="H4384" s="5" t="n">
        <v>49.13852444478611</v>
      </c>
      <c r="I4384" s="5" t="n">
        <v>46.21967239966944</v>
      </c>
      <c r="J4384" s="5" t="n">
        <v>46.36960869331389</v>
      </c>
      <c r="K4384" s="5" t="n">
        <v>97</v>
      </c>
    </row>
    <row r="4385">
      <c r="A4385" s="2" t="n">
        <v>46280.08333333334</v>
      </c>
      <c r="B4385">
        <f>TEXT(A4385,"yyyy-mm")</f>
        <v/>
      </c>
      <c r="C4385" s="3">
        <f>HOUR(A4385)</f>
        <v/>
      </c>
      <c r="D4385" s="4" t="n">
        <v>23.92209496638611</v>
      </c>
      <c r="E4385" s="4" t="n">
        <v>25.75260538001945</v>
      </c>
      <c r="F4385" s="4" t="n">
        <v>27.99088246501111</v>
      </c>
      <c r="G4385" s="4" t="n">
        <v>14.8</v>
      </c>
      <c r="H4385" s="5" t="n">
        <v>50.24184648204445</v>
      </c>
      <c r="I4385" s="5" t="n">
        <v>45.99396117742222</v>
      </c>
      <c r="J4385" s="5" t="n">
        <v>45.43482697033889</v>
      </c>
      <c r="K4385" s="5" t="n">
        <v>97</v>
      </c>
    </row>
    <row r="4386">
      <c r="A4386" s="2" t="n">
        <v>46280.125</v>
      </c>
      <c r="B4386">
        <f>TEXT(A4386,"yyyy-mm")</f>
        <v/>
      </c>
      <c r="C4386" s="3">
        <f>HOUR(A4386)</f>
        <v/>
      </c>
      <c r="D4386" s="4" t="n">
        <v>24.50804068959444</v>
      </c>
      <c r="E4386" s="4" t="n">
        <v>25.814553065675</v>
      </c>
      <c r="F4386" s="4" t="n">
        <v>28.08961427038611</v>
      </c>
      <c r="G4386" s="4" t="n">
        <v>14</v>
      </c>
      <c r="H4386" s="5" t="n">
        <v>49.75028425630833</v>
      </c>
      <c r="I4386" s="5" t="n">
        <v>45.375558874675</v>
      </c>
      <c r="J4386" s="5" t="n">
        <v>44.91883850751389</v>
      </c>
      <c r="K4386" s="5" t="n">
        <v>98</v>
      </c>
    </row>
    <row r="4387">
      <c r="A4387" s="2" t="n">
        <v>46280.16666666666</v>
      </c>
      <c r="B4387">
        <f>TEXT(A4387,"yyyy-mm")</f>
        <v/>
      </c>
      <c r="C4387" s="3">
        <f>HOUR(A4387)</f>
        <v/>
      </c>
      <c r="D4387" s="4" t="n">
        <v>24.59936245278056</v>
      </c>
      <c r="E4387" s="4" t="n">
        <v>25.84500588088889</v>
      </c>
      <c r="F4387" s="4" t="n">
        <v>28.14988189766945</v>
      </c>
      <c r="G4387" s="4" t="n">
        <v>14.3</v>
      </c>
      <c r="H4387" s="5" t="n">
        <v>50.05633629220278</v>
      </c>
      <c r="I4387" s="5" t="n">
        <v>45.36622640237223</v>
      </c>
      <c r="J4387" s="5" t="n">
        <v>44.543749269975</v>
      </c>
      <c r="K4387" s="5" t="n">
        <v>98</v>
      </c>
    </row>
    <row r="4388">
      <c r="A4388" s="2" t="n">
        <v>46280.20833333334</v>
      </c>
      <c r="B4388">
        <f>TEXT(A4388,"yyyy-mm")</f>
        <v/>
      </c>
      <c r="C4388" s="3">
        <f>HOUR(A4388)</f>
        <v/>
      </c>
      <c r="D4388" s="4" t="n">
        <v>24.61135496686111</v>
      </c>
      <c r="E4388" s="4" t="n">
        <v>25.82002609466112</v>
      </c>
      <c r="F4388" s="4" t="n">
        <v>28.15498101055556</v>
      </c>
      <c r="G4388" s="4" t="n">
        <v>14.3</v>
      </c>
      <c r="H4388" s="5" t="n">
        <v>50.37900778766667</v>
      </c>
      <c r="I4388" s="5" t="n">
        <v>45.43937497198056</v>
      </c>
      <c r="J4388" s="5" t="n">
        <v>44.23035432196944</v>
      </c>
      <c r="K4388" s="5" t="n">
        <v>98</v>
      </c>
    </row>
    <row r="4389">
      <c r="A4389" s="2" t="n">
        <v>46280.25</v>
      </c>
      <c r="B4389">
        <f>TEXT(A4389,"yyyy-mm")</f>
        <v/>
      </c>
      <c r="C4389" s="3">
        <f>HOUR(A4389)</f>
        <v/>
      </c>
      <c r="D4389" s="4" t="n">
        <v>24.61883334119722</v>
      </c>
      <c r="E4389" s="4" t="n">
        <v>25.82270200033889</v>
      </c>
      <c r="F4389" s="4" t="n">
        <v>28.1189257538</v>
      </c>
      <c r="G4389" s="4" t="n">
        <v>13.8</v>
      </c>
      <c r="H4389" s="5" t="n">
        <v>50.23657639630278</v>
      </c>
      <c r="I4389" s="5" t="n">
        <v>45.2909857355</v>
      </c>
      <c r="J4389" s="5" t="n">
        <v>44.02931725881945</v>
      </c>
      <c r="K4389" s="5" t="n">
        <v>98</v>
      </c>
    </row>
    <row r="4390">
      <c r="A4390" s="2" t="n">
        <v>46280.29166666666</v>
      </c>
      <c r="B4390">
        <f>TEXT(A4390,"yyyy-mm")</f>
        <v/>
      </c>
      <c r="C4390" s="3">
        <f>HOUR(A4390)</f>
        <v/>
      </c>
      <c r="D4390" s="4" t="n">
        <v>24.617666543825</v>
      </c>
      <c r="E4390" s="4" t="n">
        <v>25.78280819267222</v>
      </c>
      <c r="F4390" s="4" t="n">
        <v>28.07984102521944</v>
      </c>
      <c r="G4390" s="4" t="n">
        <v>13.4</v>
      </c>
      <c r="H4390" s="5" t="n">
        <v>50.00850067278333</v>
      </c>
      <c r="I4390" s="5" t="n">
        <v>45.38935270111111</v>
      </c>
      <c r="J4390" s="5" t="n">
        <v>43.88583020544444</v>
      </c>
      <c r="K4390" s="5" t="n">
        <v>97</v>
      </c>
    </row>
    <row r="4391">
      <c r="A4391" s="2" t="n">
        <v>46280.33333333334</v>
      </c>
      <c r="B4391">
        <f>TEXT(A4391,"yyyy-mm")</f>
        <v/>
      </c>
      <c r="C4391" s="3">
        <f>HOUR(A4391)</f>
        <v/>
      </c>
      <c r="D4391" s="4" t="n">
        <v>24.61560495598889</v>
      </c>
      <c r="E4391" s="4" t="n">
        <v>25.81462016795278</v>
      </c>
      <c r="F4391" s="4" t="n">
        <v>28.05090572013333</v>
      </c>
      <c r="G4391" s="4" t="n">
        <v>13.4</v>
      </c>
      <c r="H4391" s="5" t="n">
        <v>50.01267132274444</v>
      </c>
      <c r="I4391" s="5" t="n">
        <v>45.37230582515</v>
      </c>
      <c r="J4391" s="5" t="n">
        <v>43.79446191570278</v>
      </c>
      <c r="K4391" s="5" t="n">
        <v>97</v>
      </c>
    </row>
    <row r="4392">
      <c r="A4392" s="2" t="n">
        <v>46280.375</v>
      </c>
      <c r="B4392">
        <f>TEXT(A4392,"yyyy-mm")</f>
        <v/>
      </c>
      <c r="C4392" s="3">
        <f>HOUR(A4392)</f>
        <v/>
      </c>
      <c r="D4392" s="4" t="n">
        <v>24.63140967525834</v>
      </c>
      <c r="E4392" s="4" t="n">
        <v>25.83985989419722</v>
      </c>
      <c r="F4392" s="4" t="n">
        <v>28.02167474513056</v>
      </c>
      <c r="G4392" s="4" t="n">
        <v>12.9</v>
      </c>
      <c r="H4392" s="5" t="n">
        <v>50.06228223906667</v>
      </c>
      <c r="I4392" s="5" t="n">
        <v>45.4793782129361</v>
      </c>
      <c r="J4392" s="5" t="n">
        <v>43.78617581227778</v>
      </c>
      <c r="K4392" s="5" t="n">
        <v>97</v>
      </c>
    </row>
    <row r="4393">
      <c r="A4393" s="2" t="n">
        <v>46280.41666666666</v>
      </c>
      <c r="B4393">
        <f>TEXT(A4393,"yyyy-mm")</f>
        <v/>
      </c>
      <c r="C4393" s="3">
        <f>HOUR(A4393)</f>
        <v/>
      </c>
      <c r="D4393" s="4" t="n">
        <v>24.65935915582778</v>
      </c>
      <c r="E4393" s="4" t="n">
        <v>26.09381787054444</v>
      </c>
      <c r="F4393" s="4" t="n">
        <v>28.00403653740834</v>
      </c>
      <c r="G4393" s="4" t="n">
        <v>13.2</v>
      </c>
      <c r="H4393" s="5" t="n">
        <v>50.55492110419723</v>
      </c>
      <c r="I4393" s="5" t="n">
        <v>46.46555624211945</v>
      </c>
      <c r="J4393" s="5" t="n">
        <v>44.18587322685278</v>
      </c>
      <c r="K4393" s="5" t="n">
        <v>96</v>
      </c>
    </row>
    <row r="4394">
      <c r="A4394" s="2" t="n">
        <v>46280.45833333334</v>
      </c>
      <c r="B4394">
        <f>TEXT(A4394,"yyyy-mm")</f>
        <v/>
      </c>
      <c r="C4394" s="3">
        <f>HOUR(A4394)</f>
        <v/>
      </c>
      <c r="D4394" s="4" t="n">
        <v>24.68916687054723</v>
      </c>
      <c r="E4394" s="4" t="n">
        <v>25.93894488058889</v>
      </c>
      <c r="F4394" s="4" t="n">
        <v>28.01821377505556</v>
      </c>
      <c r="G4394" s="4" t="n">
        <v>13.6</v>
      </c>
      <c r="H4394" s="5" t="n">
        <v>50.41278947189722</v>
      </c>
      <c r="I4394" s="5" t="n">
        <v>46.78068534266944</v>
      </c>
      <c r="J4394" s="5" t="n">
        <v>44.73763056165277</v>
      </c>
      <c r="K4394" s="5" t="n">
        <v>94</v>
      </c>
    </row>
    <row r="4395">
      <c r="A4395" s="2" t="n">
        <v>46280.5</v>
      </c>
      <c r="B4395">
        <f>TEXT(A4395,"yyyy-mm")</f>
        <v/>
      </c>
      <c r="C4395" s="3">
        <f>HOUR(A4395)</f>
        <v/>
      </c>
      <c r="D4395" s="4" t="n">
        <v>24.69093876321389</v>
      </c>
      <c r="E4395" s="4" t="n">
        <v>26.06617675949444</v>
      </c>
      <c r="F4395" s="4" t="n">
        <v>28.05204663356945</v>
      </c>
      <c r="G4395" s="4" t="n">
        <v>14.8</v>
      </c>
      <c r="H4395" s="5" t="n">
        <v>49.81382770725278</v>
      </c>
      <c r="I4395" s="5" t="n">
        <v>46.23228830321389</v>
      </c>
      <c r="J4395" s="5" t="n">
        <v>44.86427513558612</v>
      </c>
      <c r="K4395" s="5" t="n">
        <v>84</v>
      </c>
    </row>
    <row r="4396">
      <c r="A4396" s="2" t="n">
        <v>46280.54166666666</v>
      </c>
      <c r="B4396">
        <f>TEXT(A4396,"yyyy-mm")</f>
        <v/>
      </c>
      <c r="C4396" s="3">
        <f>HOUR(A4396)</f>
        <v/>
      </c>
      <c r="D4396" s="4" t="n">
        <v>24.73080460333334</v>
      </c>
      <c r="E4396" s="4" t="n">
        <v>26.144698686775</v>
      </c>
      <c r="F4396" s="4" t="n">
        <v>27.97932210913889</v>
      </c>
      <c r="G4396" s="4" t="n">
        <v>15.4</v>
      </c>
      <c r="H4396" s="5" t="n">
        <v>49.57530541756389</v>
      </c>
      <c r="I4396" s="5" t="n">
        <v>45.40136507715278</v>
      </c>
      <c r="J4396" s="5" t="n">
        <v>45.80275527888611</v>
      </c>
      <c r="K4396" s="5" t="n">
        <v>85</v>
      </c>
    </row>
    <row r="4397">
      <c r="A4397" s="2" t="n">
        <v>46280.58333333334</v>
      </c>
      <c r="B4397">
        <f>TEXT(A4397,"yyyy-mm")</f>
        <v/>
      </c>
      <c r="C4397" s="3">
        <f>HOUR(A4397)</f>
        <v/>
      </c>
      <c r="D4397" s="4" t="n">
        <v>24.76397177292778</v>
      </c>
      <c r="E4397" s="4" t="n">
        <v>26.16593866556389</v>
      </c>
      <c r="F4397" s="4" t="n">
        <v>28.06378238546666</v>
      </c>
      <c r="G4397" s="4" t="n">
        <v>15</v>
      </c>
      <c r="H4397" s="5" t="n">
        <v>49.13928719351944</v>
      </c>
      <c r="I4397" s="5" t="n">
        <v>45.56183773512777</v>
      </c>
      <c r="J4397" s="5" t="n">
        <v>45.43306207710555</v>
      </c>
      <c r="K4397" s="5" t="n">
        <v>86</v>
      </c>
    </row>
    <row r="4398">
      <c r="A4398" s="2" t="n">
        <v>46280.625</v>
      </c>
      <c r="B4398">
        <f>TEXT(A4398,"yyyy-mm")</f>
        <v/>
      </c>
      <c r="C4398" s="3">
        <f>HOUR(A4398)</f>
        <v/>
      </c>
      <c r="D4398" s="4" t="n">
        <v>24.50026569136945</v>
      </c>
      <c r="E4398" s="4" t="n">
        <v>26.19310340711944</v>
      </c>
      <c r="F4398" s="4" t="n">
        <v>28.10706506260556</v>
      </c>
      <c r="G4398" s="4" t="n">
        <v>14.4</v>
      </c>
      <c r="H4398" s="5" t="n">
        <v>49.44339797648612</v>
      </c>
      <c r="I4398" s="5" t="n">
        <v>45.432397630175</v>
      </c>
      <c r="J4398" s="5" t="n">
        <v>45.84706336150833</v>
      </c>
      <c r="K4398" s="5" t="n">
        <v>86</v>
      </c>
    </row>
    <row r="4399">
      <c r="A4399" s="2" t="n">
        <v>46280.66666666666</v>
      </c>
      <c r="B4399">
        <f>TEXT(A4399,"yyyy-mm")</f>
        <v/>
      </c>
      <c r="C4399" s="3">
        <f>HOUR(A4399)</f>
        <v/>
      </c>
      <c r="D4399" s="4" t="n">
        <v>24.02914185018333</v>
      </c>
      <c r="E4399" s="4" t="n">
        <v>26.19618913589167</v>
      </c>
      <c r="F4399" s="4" t="n">
        <v>28.16616883826667</v>
      </c>
      <c r="G4399" s="4" t="n">
        <v>13.8</v>
      </c>
      <c r="H4399" s="5" t="n">
        <v>50.07967008282222</v>
      </c>
      <c r="I4399" s="5" t="n">
        <v>44.87566031657778</v>
      </c>
      <c r="J4399" s="5" t="n">
        <v>45.69877496960277</v>
      </c>
      <c r="K4399" s="5" t="n">
        <v>90</v>
      </c>
    </row>
    <row r="4400">
      <c r="A4400" s="2" t="n">
        <v>46280.70833333334</v>
      </c>
      <c r="B4400">
        <f>TEXT(A4400,"yyyy-mm")</f>
        <v/>
      </c>
      <c r="C4400" s="3">
        <f>HOUR(A4400)</f>
        <v/>
      </c>
      <c r="D4400" s="4" t="n">
        <v>23.91070888077222</v>
      </c>
      <c r="E4400" s="4" t="n">
        <v>26.2763180964</v>
      </c>
      <c r="F4400" s="4" t="n">
        <v>27.96851707007778</v>
      </c>
      <c r="G4400" s="4" t="n">
        <v>13.6</v>
      </c>
      <c r="H4400" s="5" t="n">
        <v>50.40477041116666</v>
      </c>
      <c r="I4400" s="5" t="n">
        <v>46.33585800717222</v>
      </c>
      <c r="J4400" s="5" t="n">
        <v>46.78965751074167</v>
      </c>
      <c r="K4400" s="5" t="n">
        <v>91</v>
      </c>
    </row>
    <row r="4401">
      <c r="A4401" s="2" t="n">
        <v>46280.75</v>
      </c>
      <c r="B4401">
        <f>TEXT(A4401,"yyyy-mm")</f>
        <v/>
      </c>
      <c r="C4401" s="3">
        <f>HOUR(A4401)</f>
        <v/>
      </c>
      <c r="D4401" s="4" t="n">
        <v>24.08064301106389</v>
      </c>
      <c r="E4401" s="4" t="n">
        <v>26.51838783168612</v>
      </c>
      <c r="F4401" s="4" t="n">
        <v>27.34379395140278</v>
      </c>
      <c r="G4401" s="4" t="n">
        <v>13.3</v>
      </c>
      <c r="H4401" s="5" t="n">
        <v>50.47961190549445</v>
      </c>
      <c r="I4401" s="5" t="n">
        <v>46.98439880086111</v>
      </c>
      <c r="J4401" s="5" t="n">
        <v>49.69746187362778</v>
      </c>
      <c r="K4401" s="5" t="n">
        <v>91</v>
      </c>
    </row>
    <row r="4402">
      <c r="A4402" s="2" t="n">
        <v>46280.79166666666</v>
      </c>
      <c r="B4402">
        <f>TEXT(A4402,"yyyy-mm")</f>
        <v/>
      </c>
      <c r="C4402" s="3">
        <f>HOUR(A4402)</f>
        <v/>
      </c>
      <c r="D4402" s="4" t="n">
        <v>24.01312197991667</v>
      </c>
      <c r="E4402" s="4" t="n">
        <v>26.32721088511667</v>
      </c>
      <c r="F4402" s="4" t="n">
        <v>27.38284604211389</v>
      </c>
      <c r="G4402" s="4" t="n">
        <v>13</v>
      </c>
      <c r="H4402" s="5" t="n">
        <v>49.34891866582223</v>
      </c>
      <c r="I4402" s="5" t="n">
        <v>44.71439832619445</v>
      </c>
      <c r="J4402" s="5" t="n">
        <v>48.29593984090834</v>
      </c>
      <c r="K4402" s="5" t="n">
        <v>90</v>
      </c>
    </row>
    <row r="4403">
      <c r="A4403" s="2" t="n">
        <v>46280.83333333334</v>
      </c>
      <c r="B4403">
        <f>TEXT(A4403,"yyyy-mm")</f>
        <v/>
      </c>
      <c r="C4403" s="3">
        <f>HOUR(A4403)</f>
        <v/>
      </c>
      <c r="D4403" s="4" t="n">
        <v>23.93033670286944</v>
      </c>
      <c r="E4403" s="4" t="n">
        <v>26.34912224931111</v>
      </c>
      <c r="F4403" s="4" t="n">
        <v>27.74710268421389</v>
      </c>
      <c r="G4403" s="4" t="n">
        <v>12.8</v>
      </c>
      <c r="H4403" s="5" t="n">
        <v>50.72586591831111</v>
      </c>
      <c r="I4403" s="5" t="n">
        <v>46.72209541920833</v>
      </c>
      <c r="J4403" s="5" t="n">
        <v>46.92494655466666</v>
      </c>
      <c r="K4403" s="5" t="n">
        <v>89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8" customWidth="1" min="3" max="3"/>
    <col width="14" customWidth="1" min="4" max="4"/>
    <col width="14" customWidth="1" min="5" max="5"/>
    <col width="10" customWidth="1" min="6" max="6"/>
    <col width="12" customWidth="1" min="7" max="7"/>
    <col width="70" customWidth="1" min="8" max="8"/>
    <col width="34" customWidth="1" min="10" max="10"/>
    <col width="12" customWidth="1" min="11" max="11"/>
  </cols>
  <sheetData>
    <row r="1">
      <c r="A1" s="1" t="inlineStr">
        <is>
          <t>№</t>
        </is>
      </c>
      <c r="B1" s="1" t="inlineStr">
        <is>
          <t>Початок (Київ)</t>
        </is>
      </c>
      <c r="C1" s="1" t="inlineStr">
        <is>
          <t>Кінець (Київ)</t>
        </is>
      </c>
      <c r="D1" s="1" t="inlineStr">
        <is>
          <t>Тривалість год</t>
        </is>
      </c>
      <c r="E1" s="1" t="inlineStr">
        <is>
          <t>День тижня</t>
        </is>
      </c>
      <c r="F1" s="1" t="inlineStr">
        <is>
          <t>Місяць</t>
        </is>
      </c>
      <c r="G1" s="1" t="inlineStr">
        <is>
          <t>Джерело</t>
        </is>
      </c>
      <c r="H1" s="1" t="inlineStr">
        <is>
          <t>Примітка</t>
        </is>
      </c>
      <c r="J1" s="6" t="inlineStr">
        <is>
          <t>Зведення по відключеннях</t>
        </is>
      </c>
    </row>
    <row r="2">
      <c r="A2" t="n">
        <v>1</v>
      </c>
      <c r="B2" s="2" t="n">
        <v>46099.125</v>
      </c>
      <c r="C2" s="2" t="n">
        <v>46099.375</v>
      </c>
      <c r="D2" s="4" t="n">
        <v>6</v>
      </c>
      <c r="E2">
        <f>TEXT(B2,"dddd")</f>
        <v/>
      </c>
      <c r="F2">
        <f>TEXT(B2,"yyyy-mm")</f>
        <v/>
      </c>
      <c r="G2" t="inlineStr">
        <is>
          <t>погодинні</t>
        </is>
      </c>
      <c r="H2" s="7" t="inlineStr">
        <is>
          <t>мовчать усі доступні розеткові датчики (1): bedroom_temp; НИЗЬКА ВПЕВНЕНІСТЬ: у той час працював лише один розетковий датчик</t>
        </is>
      </c>
      <c r="J2" t="inlineStr">
        <is>
          <t>Кількість відключень</t>
        </is>
      </c>
      <c r="K2">
        <f>COUNTA(A2:A6)</f>
        <v/>
      </c>
    </row>
    <row r="3">
      <c r="A3" t="n">
        <v>2</v>
      </c>
      <c r="B3" s="2" t="n">
        <v>46186.45833333334</v>
      </c>
      <c r="C3" s="2" t="n">
        <v>46186.79166666666</v>
      </c>
      <c r="D3" s="4" t="n">
        <v>8</v>
      </c>
      <c r="E3">
        <f>TEXT(B3,"dddd")</f>
        <v/>
      </c>
      <c r="F3">
        <f>TEXT(B3,"yyyy-mm")</f>
        <v/>
      </c>
      <c r="G3" t="inlineStr">
        <is>
          <t>погодинні</t>
        </is>
      </c>
      <c r="H3" s="7" t="inlineStr">
        <is>
          <t>мовчать усі доступні розеткові датчики (4): bedroom_temp, printernya_temp, server_cpu_load, nas_sda_temp</t>
        </is>
      </c>
      <c r="J3" t="inlineStr">
        <is>
          <t>Сума годин без світла</t>
        </is>
      </c>
      <c r="K3" s="4">
        <f>SUM(D2:D6)</f>
        <v/>
      </c>
    </row>
    <row r="4">
      <c r="A4" t="n">
        <v>3</v>
      </c>
      <c r="B4" s="2" t="n">
        <v>46214.5</v>
      </c>
      <c r="C4" s="2" t="n">
        <v>46214.70833333334</v>
      </c>
      <c r="D4" s="4" t="n">
        <v>5</v>
      </c>
      <c r="E4">
        <f>TEXT(B4,"dddd")</f>
        <v/>
      </c>
      <c r="F4">
        <f>TEXT(B4,"yyyy-mm")</f>
        <v/>
      </c>
      <c r="G4" t="inlineStr">
        <is>
          <t>погодинні</t>
        </is>
      </c>
      <c r="H4" s="7" t="inlineStr">
        <is>
          <t>мовчать усі доступні розеткові датчики (4): bedroom_temp, printernya_temp, server_cpu_load, nas_sda_temp; квітка теж мовчала → сервер був вимкнений</t>
        </is>
      </c>
      <c r="J4" t="inlineStr">
        <is>
          <t>Медіана тривалості, год</t>
        </is>
      </c>
      <c r="K4" s="4">
        <f>MEDIAN(D2:D6)</f>
        <v/>
      </c>
    </row>
    <row r="5">
      <c r="A5" t="n">
        <v>4</v>
      </c>
      <c r="B5" s="2" t="n">
        <v>46215.45833333334</v>
      </c>
      <c r="C5" s="2" t="n">
        <v>46215.75</v>
      </c>
      <c r="D5" s="4" t="n">
        <v>7</v>
      </c>
      <c r="E5">
        <f>TEXT(B5,"dddd")</f>
        <v/>
      </c>
      <c r="F5">
        <f>TEXT(B5,"yyyy-mm")</f>
        <v/>
      </c>
      <c r="G5" t="inlineStr">
        <is>
          <t>погодинні</t>
        </is>
      </c>
      <c r="H5" s="7" t="inlineStr">
        <is>
          <t>мовчать усі доступні розеткові датчики (4): bedroom_temp, printernya_temp, server_cpu_load, nas_sda_temp; квітка теж мовчала → сервер був вимкнений</t>
        </is>
      </c>
      <c r="J5" t="inlineStr">
        <is>
          <t>Максимум, год</t>
        </is>
      </c>
      <c r="K5" s="4">
        <f>MAX(D2:D6)</f>
        <v/>
      </c>
    </row>
    <row r="6">
      <c r="A6" t="n">
        <v>5</v>
      </c>
      <c r="B6" s="2" t="n">
        <v>46228.45833333334</v>
      </c>
      <c r="C6" s="2" t="n">
        <v>46228.83333333334</v>
      </c>
      <c r="D6" s="4" t="n">
        <v>9</v>
      </c>
      <c r="E6">
        <f>TEXT(B6,"dddd")</f>
        <v/>
      </c>
      <c r="F6">
        <f>TEXT(B6,"yyyy-mm")</f>
        <v/>
      </c>
      <c r="G6" t="inlineStr">
        <is>
          <t>погодинні</t>
        </is>
      </c>
      <c r="H6" s="7" t="inlineStr">
        <is>
          <t>мовчать усі доступні розеткові датчики (4): bedroom_temp, printernya_temp, server_cpu_load, nas_sda_temp; квітка теж мовчала → сервер був вимкнений</t>
        </is>
      </c>
      <c r="J6" t="inlineStr">
        <is>
          <t>Всього годин у періоді</t>
        </is>
      </c>
      <c r="K6" t="n">
        <v>4402</v>
      </c>
    </row>
    <row r="7">
      <c r="J7" t="inlineStr">
        <is>
          <t>Uptime (частка часу зі світлом)</t>
        </is>
      </c>
      <c r="K7" s="8">
        <f>1-K3/K6</f>
        <v/>
      </c>
    </row>
  </sheetData>
  <autoFilter ref="A1:H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1" customWidth="1" min="7" max="7"/>
    <col width="14" customWidth="1" min="8" max="8"/>
    <col width="11" customWidth="1" min="9" max="9"/>
  </cols>
  <sheetData>
    <row r="1">
      <c r="A1" s="9" t="inlineStr">
        <is>
          <t>Dashboard — 4331 година</t>
        </is>
      </c>
    </row>
    <row r="4">
      <c r="A4" s="6" t="inlineStr">
        <is>
          <t>Середня температура за місяць, °C</t>
        </is>
      </c>
      <c r="G4" s="6" t="inlineStr">
        <is>
          <t>Мінімум / максимум за період, °C</t>
        </is>
      </c>
    </row>
    <row r="5">
      <c r="A5" s="1" t="inlineStr">
        <is>
          <t>Місяць</t>
        </is>
      </c>
      <c r="B5" s="1" t="inlineStr">
        <is>
          <t>Кімната</t>
        </is>
      </c>
      <c r="C5" s="1" t="inlineStr">
        <is>
          <t>Кухня</t>
        </is>
      </c>
      <c r="D5" s="1" t="inlineStr">
        <is>
          <t>Кладова</t>
        </is>
      </c>
      <c r="E5" s="1" t="inlineStr">
        <is>
          <t>Надворі</t>
        </is>
      </c>
      <c r="G5" s="1" t="inlineStr">
        <is>
          <t>Кімната</t>
        </is>
      </c>
      <c r="H5" s="1" t="inlineStr">
        <is>
          <t>Мін</t>
        </is>
      </c>
      <c r="I5" s="1" t="inlineStr">
        <is>
          <t>Макс</t>
        </is>
      </c>
    </row>
    <row r="6">
      <c r="A6" t="inlineStr">
        <is>
          <t>2026-03</t>
        </is>
      </c>
      <c r="B6" s="4">
        <f>IFERROR(AVERAGEIFS(raw[Кімната °C],raw[Місяць],$A6),"")</f>
        <v/>
      </c>
      <c r="C6" s="4">
        <f>IFERROR(AVERAGEIFS(raw[Кухня °C],raw[Місяць],$A6),"")</f>
        <v/>
      </c>
      <c r="D6" s="4">
        <f>IFERROR(AVERAGEIFS(raw[Кладова °C],raw[Місяць],$A6),"")</f>
        <v/>
      </c>
      <c r="E6" s="4">
        <f>IFERROR(AVERAGEIFS(raw[Надворі °C],raw[Місяць],$A6),"")</f>
        <v/>
      </c>
      <c r="G6" t="inlineStr">
        <is>
          <t>Кімната</t>
        </is>
      </c>
      <c r="H6" s="4">
        <f>MIN(raw[Кімната °C])</f>
        <v/>
      </c>
      <c r="I6" s="4">
        <f>MAX(raw[Кімната °C])</f>
        <v/>
      </c>
    </row>
    <row r="7">
      <c r="A7" t="inlineStr">
        <is>
          <t>2026-04</t>
        </is>
      </c>
      <c r="B7" s="4">
        <f>IFERROR(AVERAGEIFS(raw[Кімната °C],raw[Місяць],$A7),"")</f>
        <v/>
      </c>
      <c r="C7" s="4">
        <f>IFERROR(AVERAGEIFS(raw[Кухня °C],raw[Місяць],$A7),"")</f>
        <v/>
      </c>
      <c r="D7" s="4">
        <f>IFERROR(AVERAGEIFS(raw[Кладова °C],raw[Місяць],$A7),"")</f>
        <v/>
      </c>
      <c r="E7" s="4">
        <f>IFERROR(AVERAGEIFS(raw[Надворі °C],raw[Місяць],$A7),"")</f>
        <v/>
      </c>
      <c r="G7" t="inlineStr">
        <is>
          <t>Кухня</t>
        </is>
      </c>
      <c r="H7" s="4">
        <f>MIN(raw[Кухня °C])</f>
        <v/>
      </c>
      <c r="I7" s="4">
        <f>MAX(raw[Кухня °C])</f>
        <v/>
      </c>
    </row>
    <row r="8">
      <c r="A8" t="inlineStr">
        <is>
          <t>2026-05</t>
        </is>
      </c>
      <c r="B8" s="4">
        <f>IFERROR(AVERAGEIFS(raw[Кімната °C],raw[Місяць],$A8),"")</f>
        <v/>
      </c>
      <c r="C8" s="4">
        <f>IFERROR(AVERAGEIFS(raw[Кухня °C],raw[Місяць],$A8),"")</f>
        <v/>
      </c>
      <c r="D8" s="4">
        <f>IFERROR(AVERAGEIFS(raw[Кладова °C],raw[Місяць],$A8),"")</f>
        <v/>
      </c>
      <c r="E8" s="4">
        <f>IFERROR(AVERAGEIFS(raw[Надворі °C],raw[Місяць],$A8),"")</f>
        <v/>
      </c>
      <c r="G8" t="inlineStr">
        <is>
          <t>Кладова</t>
        </is>
      </c>
      <c r="H8" s="4">
        <f>MIN(raw[Кладова °C])</f>
        <v/>
      </c>
      <c r="I8" s="4">
        <f>MAX(raw[Кладова °C])</f>
        <v/>
      </c>
    </row>
    <row r="9">
      <c r="A9" t="inlineStr">
        <is>
          <t>2026-06</t>
        </is>
      </c>
      <c r="B9" s="4">
        <f>IFERROR(AVERAGEIFS(raw[Кімната °C],raw[Місяць],$A9),"")</f>
        <v/>
      </c>
      <c r="C9" s="4">
        <f>IFERROR(AVERAGEIFS(raw[Кухня °C],raw[Місяць],$A9),"")</f>
        <v/>
      </c>
      <c r="D9" s="4">
        <f>IFERROR(AVERAGEIFS(raw[Кладова °C],raw[Місяць],$A9),"")</f>
        <v/>
      </c>
      <c r="E9" s="4">
        <f>IFERROR(AVERAGEIFS(raw[Надворі °C],raw[Місяць],$A9),"")</f>
        <v/>
      </c>
      <c r="G9" t="inlineStr">
        <is>
          <t>Надворі</t>
        </is>
      </c>
      <c r="H9" s="4">
        <f>MIN(raw[Надворі °C])</f>
        <v/>
      </c>
      <c r="I9" s="4">
        <f>MAX(raw[Надворі °C])</f>
        <v/>
      </c>
    </row>
    <row r="10">
      <c r="A10" t="inlineStr">
        <is>
          <t>2026-07</t>
        </is>
      </c>
      <c r="B10" s="4">
        <f>IFERROR(AVERAGEIFS(raw[Кімната °C],raw[Місяць],$A10),"")</f>
        <v/>
      </c>
      <c r="C10" s="4">
        <f>IFERROR(AVERAGEIFS(raw[Кухня °C],raw[Місяць],$A10),"")</f>
        <v/>
      </c>
      <c r="D10" s="4">
        <f>IFERROR(AVERAGEIFS(raw[Кладова °C],raw[Місяць],$A10),"")</f>
        <v/>
      </c>
      <c r="E10" s="4">
        <f>IFERROR(AVERAGEIFS(raw[Надворі °C],raw[Місяць],$A10),"")</f>
        <v/>
      </c>
    </row>
    <row r="11">
      <c r="A11" t="inlineStr">
        <is>
          <t>2026-08</t>
        </is>
      </c>
      <c r="B11" s="4">
        <f>IFERROR(AVERAGEIFS(raw[Кімната °C],raw[Місяць],$A11),"")</f>
        <v/>
      </c>
      <c r="C11" s="4">
        <f>IFERROR(AVERAGEIFS(raw[Кухня °C],raw[Місяць],$A11),"")</f>
        <v/>
      </c>
      <c r="D11" s="4">
        <f>IFERROR(AVERAGEIFS(raw[Кладова °C],raw[Місяць],$A11),"")</f>
        <v/>
      </c>
      <c r="E11" s="4">
        <f>IFERROR(AVERAGEIFS(raw[Надворі °C],raw[Місяць],$A11),"")</f>
        <v/>
      </c>
      <c r="G11" s="6" t="inlineStr">
        <is>
          <t>Поза комфортом 20–24°C, % часу</t>
        </is>
      </c>
    </row>
    <row r="12">
      <c r="A12" t="inlineStr">
        <is>
          <t>2026-09</t>
        </is>
      </c>
      <c r="B12" s="4">
        <f>IFERROR(AVERAGEIFS(raw[Кімната °C],raw[Місяць],$A12),"")</f>
        <v/>
      </c>
      <c r="C12" s="4">
        <f>IFERROR(AVERAGEIFS(raw[Кухня °C],raw[Місяць],$A12),"")</f>
        <v/>
      </c>
      <c r="D12" s="4">
        <f>IFERROR(AVERAGEIFS(raw[Кладова °C],raw[Місяць],$A12),"")</f>
        <v/>
      </c>
      <c r="E12" s="4">
        <f>IFERROR(AVERAGEIFS(raw[Надворі °C],raw[Місяць],$A12),"")</f>
        <v/>
      </c>
      <c r="G12" s="1" t="inlineStr">
        <is>
          <t>Кімната</t>
        </is>
      </c>
      <c r="H12" s="1" t="inlineStr">
        <is>
          <t>% поза комфортом</t>
        </is>
      </c>
    </row>
    <row r="13">
      <c r="G13" t="inlineStr">
        <is>
          <t>Кімната</t>
        </is>
      </c>
      <c r="H13" s="8">
        <f>(COUNTIFS(raw[Кімната °C],"&lt;20")+COUNTIFS(raw[Кімната °C],"&gt;24"))/COUNT(raw[Кімната °C])</f>
        <v/>
      </c>
    </row>
    <row r="14">
      <c r="A14" s="6" t="inlineStr">
        <is>
          <t>Години без світла за місяць</t>
        </is>
      </c>
      <c r="G14" t="inlineStr">
        <is>
          <t>Кухня</t>
        </is>
      </c>
      <c r="H14" s="8">
        <f>(COUNTIFS(raw[Кухня °C],"&lt;20")+COUNTIFS(raw[Кухня °C],"&gt;24"))/COUNT(raw[Кухня °C])</f>
        <v/>
      </c>
    </row>
    <row r="15">
      <c r="A15" s="1" t="inlineStr">
        <is>
          <t>Місяць</t>
        </is>
      </c>
      <c r="B15" s="1" t="inlineStr">
        <is>
          <t>Години без світла</t>
        </is>
      </c>
      <c r="G15" t="inlineStr">
        <is>
          <t>Кладова</t>
        </is>
      </c>
      <c r="H15" s="8">
        <f>(COUNTIFS(raw[Кладова °C],"&lt;20")+COUNTIFS(raw[Кладова °C],"&gt;24"))/COUNT(raw[Кладова °C])</f>
        <v/>
      </c>
    </row>
    <row r="16">
      <c r="A16">
        <f>$A6</f>
        <v/>
      </c>
      <c r="B16" s="4">
        <f>SUMIFS(Blackout_Log!$D$2:$D$6,Blackout_Log!$F$2:$F$6,$A16)</f>
        <v/>
      </c>
    </row>
    <row r="17">
      <c r="A17">
        <f>$A7</f>
        <v/>
      </c>
      <c r="B17" s="4">
        <f>SUMIFS(Blackout_Log!$D$2:$D$6,Blackout_Log!$F$2:$F$6,$A17)</f>
        <v/>
      </c>
    </row>
    <row r="18">
      <c r="A18">
        <f>$A8</f>
        <v/>
      </c>
      <c r="B18" s="4">
        <f>SUMIFS(Blackout_Log!$D$2:$D$6,Blackout_Log!$F$2:$F$6,$A18)</f>
        <v/>
      </c>
    </row>
    <row r="19">
      <c r="A19">
        <f>$A9</f>
        <v/>
      </c>
      <c r="B19" s="4">
        <f>SUMIFS(Blackout_Log!$D$2:$D$6,Blackout_Log!$F$2:$F$6,$A19)</f>
        <v/>
      </c>
    </row>
    <row r="20">
      <c r="A20">
        <f>$A10</f>
        <v/>
      </c>
      <c r="B20" s="4">
        <f>SUMIFS(Blackout_Log!$D$2:$D$6,Blackout_Log!$F$2:$F$6,$A20)</f>
        <v/>
      </c>
    </row>
    <row r="21">
      <c r="A21">
        <f>$A11</f>
        <v/>
      </c>
      <c r="B21" s="4">
        <f>SUMIFS(Blackout_Log!$D$2:$D$6,Blackout_Log!$F$2:$F$6,$A21)</f>
        <v/>
      </c>
    </row>
    <row r="22">
      <c r="A22">
        <f>$A12</f>
        <v/>
      </c>
      <c r="B22" s="4">
        <f>SUMIFS(Blackout_Log!$D$2:$D$6,Blackout_Log!$F$2:$F$6,$A22)</f>
        <v/>
      </c>
    </row>
    <row r="110">
      <c r="A110" s="10" t="inlineStr">
        <is>
          <t>Зведена таблиця + зріз — зробити вручну (див. README)</t>
        </is>
      </c>
      <c r="B110" s="11" t="n"/>
      <c r="C110" s="11" t="n"/>
      <c r="D110" s="11" t="n"/>
      <c r="E110" s="11" t="n"/>
      <c r="F110" s="11" t="n"/>
      <c r="G110" s="11" t="n"/>
      <c r="H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</row>
  </sheetData>
  <mergeCells count="5">
    <mergeCell ref="A110:H124"/>
    <mergeCell ref="A4:E4"/>
    <mergeCell ref="G11:H11"/>
    <mergeCell ref="A14:B14"/>
    <mergeCell ref="G4:I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9" t="inlineStr">
        <is>
          <t>Comfort — теплова карта</t>
        </is>
      </c>
    </row>
    <row r="3">
      <c r="A3" s="1" t="inlineStr">
        <is>
          <t>Година</t>
        </is>
      </c>
      <c r="B3" s="1" t="inlineStr">
        <is>
          <t>Кімната</t>
        </is>
      </c>
      <c r="C3" s="1" t="inlineStr">
        <is>
          <t>Кухня</t>
        </is>
      </c>
      <c r="D3" s="1" t="inlineStr">
        <is>
          <t>Кладова</t>
        </is>
      </c>
      <c r="E3" s="1" t="inlineStr">
        <is>
          <t>Надворі</t>
        </is>
      </c>
    </row>
    <row r="4">
      <c r="A4" t="n">
        <v>0</v>
      </c>
      <c r="B4" s="4" t="n">
        <v>23.973</v>
      </c>
      <c r="C4" s="4" t="n">
        <v>26.001</v>
      </c>
      <c r="D4" s="4" t="n">
        <v>27.306</v>
      </c>
      <c r="E4" s="4" t="n">
        <v>14.909</v>
      </c>
    </row>
    <row r="5">
      <c r="A5" t="n">
        <v>1</v>
      </c>
      <c r="B5" s="4" t="n">
        <v>23.699</v>
      </c>
      <c r="C5" s="4" t="n">
        <v>25.797</v>
      </c>
      <c r="D5" s="4" t="n">
        <v>27.318</v>
      </c>
      <c r="E5" s="4" t="n">
        <v>14.294</v>
      </c>
    </row>
    <row r="6">
      <c r="A6" t="n">
        <v>2</v>
      </c>
      <c r="B6" s="4" t="n">
        <v>23.417</v>
      </c>
      <c r="C6" s="4" t="n">
        <v>25.498</v>
      </c>
      <c r="D6" s="4" t="n">
        <v>27.331</v>
      </c>
      <c r="E6" s="4" t="n">
        <v>13.744</v>
      </c>
    </row>
    <row r="7">
      <c r="A7" t="n">
        <v>3</v>
      </c>
      <c r="B7" s="4" t="n">
        <v>23.23</v>
      </c>
      <c r="C7" s="4" t="n">
        <v>25.231</v>
      </c>
      <c r="D7" s="4" t="n">
        <v>27.324</v>
      </c>
      <c r="E7" s="4" t="n">
        <v>13.153</v>
      </c>
    </row>
    <row r="8">
      <c r="A8" t="n">
        <v>4</v>
      </c>
      <c r="B8" s="4" t="n">
        <v>23.054</v>
      </c>
      <c r="C8" s="4" t="n">
        <v>25.016</v>
      </c>
      <c r="D8" s="4" t="n">
        <v>27.313</v>
      </c>
      <c r="E8" s="4" t="n">
        <v>12.663</v>
      </c>
    </row>
    <row r="9">
      <c r="A9" t="n">
        <v>5</v>
      </c>
      <c r="B9" s="4" t="n">
        <v>23.086</v>
      </c>
      <c r="C9" s="4" t="n">
        <v>24.896</v>
      </c>
      <c r="D9" s="4" t="n">
        <v>27.296</v>
      </c>
      <c r="E9" s="4" t="n">
        <v>12.29</v>
      </c>
    </row>
    <row r="10">
      <c r="A10" t="n">
        <v>6</v>
      </c>
      <c r="B10" s="4" t="n">
        <v>23.597</v>
      </c>
      <c r="C10" s="4" t="n">
        <v>25.004</v>
      </c>
      <c r="D10" s="4" t="n">
        <v>27.286</v>
      </c>
      <c r="E10" s="4" t="n">
        <v>12.441</v>
      </c>
    </row>
    <row r="11">
      <c r="A11" t="n">
        <v>7</v>
      </c>
      <c r="B11" s="4" t="n">
        <v>24.254</v>
      </c>
      <c r="C11" s="4" t="n">
        <v>25.311</v>
      </c>
      <c r="D11" s="4" t="n">
        <v>27.29</v>
      </c>
      <c r="E11" s="4" t="n">
        <v>13.419</v>
      </c>
    </row>
    <row r="12">
      <c r="A12" t="n">
        <v>8</v>
      </c>
      <c r="B12" s="4" t="n">
        <v>24.849</v>
      </c>
      <c r="C12" s="4" t="n">
        <v>25.684</v>
      </c>
      <c r="D12" s="4" t="n">
        <v>27.311</v>
      </c>
      <c r="E12" s="4" t="n">
        <v>14.958</v>
      </c>
    </row>
    <row r="13">
      <c r="A13" t="n">
        <v>9</v>
      </c>
      <c r="B13" s="4" t="n">
        <v>25.211</v>
      </c>
      <c r="C13" s="4" t="n">
        <v>25.976</v>
      </c>
      <c r="D13" s="4" t="n">
        <v>27.331</v>
      </c>
      <c r="E13" s="4" t="n">
        <v>16.829</v>
      </c>
    </row>
    <row r="14">
      <c r="A14" t="n">
        <v>10</v>
      </c>
      <c r="B14" s="4" t="n">
        <v>25.281</v>
      </c>
      <c r="C14" s="4" t="n">
        <v>26.214</v>
      </c>
      <c r="D14" s="4" t="n">
        <v>27.351</v>
      </c>
      <c r="E14" s="4" t="n">
        <v>18.258</v>
      </c>
    </row>
    <row r="15">
      <c r="A15" t="n">
        <v>11</v>
      </c>
      <c r="B15" s="4" t="n">
        <v>25.238</v>
      </c>
      <c r="C15" s="4" t="n">
        <v>26.361</v>
      </c>
      <c r="D15" s="4" t="n">
        <v>27.339</v>
      </c>
      <c r="E15" s="4" t="n">
        <v>19.436</v>
      </c>
    </row>
    <row r="16">
      <c r="A16" t="n">
        <v>12</v>
      </c>
      <c r="B16" s="4" t="n">
        <v>25.178</v>
      </c>
      <c r="C16" s="4" t="n">
        <v>26.401</v>
      </c>
      <c r="D16" s="4" t="n">
        <v>27.329</v>
      </c>
      <c r="E16" s="4" t="n">
        <v>20.283</v>
      </c>
    </row>
    <row r="17">
      <c r="A17" t="n">
        <v>13</v>
      </c>
      <c r="B17" s="4" t="n">
        <v>25.042</v>
      </c>
      <c r="C17" s="4" t="n">
        <v>26.307</v>
      </c>
      <c r="D17" s="4" t="n">
        <v>27.308</v>
      </c>
      <c r="E17" s="4" t="n">
        <v>20.759</v>
      </c>
    </row>
    <row r="18">
      <c r="A18" t="n">
        <v>14</v>
      </c>
      <c r="B18" s="4" t="n">
        <v>24.914</v>
      </c>
      <c r="C18" s="4" t="n">
        <v>26.198</v>
      </c>
      <c r="D18" s="4" t="n">
        <v>27.27</v>
      </c>
      <c r="E18" s="4" t="n">
        <v>20.861</v>
      </c>
    </row>
    <row r="19">
      <c r="A19" t="n">
        <v>15</v>
      </c>
      <c r="B19" s="4" t="n">
        <v>24.84</v>
      </c>
      <c r="C19" s="4" t="n">
        <v>26.164</v>
      </c>
      <c r="D19" s="4" t="n">
        <v>27.254</v>
      </c>
      <c r="E19" s="4" t="n">
        <v>21.119</v>
      </c>
    </row>
    <row r="20">
      <c r="A20" t="n">
        <v>16</v>
      </c>
      <c r="B20" s="4" t="n">
        <v>24.802</v>
      </c>
      <c r="C20" s="4" t="n">
        <v>26.169</v>
      </c>
      <c r="D20" s="4" t="n">
        <v>27.25</v>
      </c>
      <c r="E20" s="4" t="n">
        <v>20.822</v>
      </c>
    </row>
    <row r="21">
      <c r="A21" t="n">
        <v>17</v>
      </c>
      <c r="B21" s="4" t="n">
        <v>24.741</v>
      </c>
      <c r="C21" s="4" t="n">
        <v>26.137</v>
      </c>
      <c r="D21" s="4" t="n">
        <v>27.25</v>
      </c>
      <c r="E21" s="4" t="n">
        <v>20.498</v>
      </c>
    </row>
    <row r="22">
      <c r="A22" t="n">
        <v>18</v>
      </c>
      <c r="B22" s="4" t="n">
        <v>24.7</v>
      </c>
      <c r="C22" s="4" t="n">
        <v>26.089</v>
      </c>
      <c r="D22" s="4" t="n">
        <v>27.249</v>
      </c>
      <c r="E22" s="4" t="n">
        <v>19.861</v>
      </c>
    </row>
    <row r="23">
      <c r="A23" t="n">
        <v>19</v>
      </c>
      <c r="B23" s="4" t="n">
        <v>24.505</v>
      </c>
      <c r="C23" s="4" t="n">
        <v>26.002</v>
      </c>
      <c r="D23" s="4" t="n">
        <v>27.26</v>
      </c>
      <c r="E23" s="4" t="n">
        <v>18.973</v>
      </c>
    </row>
    <row r="24">
      <c r="A24" t="n">
        <v>20</v>
      </c>
      <c r="B24" s="4" t="n">
        <v>24.353</v>
      </c>
      <c r="C24" s="4" t="n">
        <v>25.968</v>
      </c>
      <c r="D24" s="4" t="n">
        <v>27.274</v>
      </c>
      <c r="E24" s="4" t="n">
        <v>17.913</v>
      </c>
    </row>
    <row r="25">
      <c r="A25" t="n">
        <v>21</v>
      </c>
      <c r="B25" s="4" t="n">
        <v>24.196</v>
      </c>
      <c r="C25" s="4" t="n">
        <v>25.967</v>
      </c>
      <c r="D25" s="4" t="n">
        <v>27.264</v>
      </c>
      <c r="E25" s="4" t="n">
        <v>17.036</v>
      </c>
    </row>
    <row r="26">
      <c r="A26" t="n">
        <v>22</v>
      </c>
      <c r="B26" s="4" t="n">
        <v>24.107</v>
      </c>
      <c r="C26" s="4" t="n">
        <v>26.014</v>
      </c>
      <c r="D26" s="4" t="n">
        <v>27.284</v>
      </c>
      <c r="E26" s="4" t="n">
        <v>16.295</v>
      </c>
    </row>
    <row r="27">
      <c r="A27" t="n">
        <v>23</v>
      </c>
      <c r="B27" s="4" t="n">
        <v>24.058</v>
      </c>
      <c r="C27" s="4" t="n">
        <v>26.01</v>
      </c>
      <c r="D27" s="4" t="n">
        <v>27.287</v>
      </c>
      <c r="E27" s="4" t="n">
        <v>15.563</v>
      </c>
    </row>
    <row r="30">
      <c r="A30" s="6" t="inlineStr">
        <is>
          <t>Комфортна температура 20–24°C за місяць, % часу</t>
        </is>
      </c>
    </row>
    <row r="31">
      <c r="A31" s="1" t="inlineStr">
        <is>
          <t>Місяць</t>
        </is>
      </c>
      <c r="B31" s="1" t="inlineStr">
        <is>
          <t>Кімната</t>
        </is>
      </c>
      <c r="C31" s="1" t="inlineStr">
        <is>
          <t>Кухня</t>
        </is>
      </c>
      <c r="D31" s="1" t="inlineStr">
        <is>
          <t>Кладова</t>
        </is>
      </c>
    </row>
    <row r="32">
      <c r="A32" t="inlineStr">
        <is>
          <t>2026-03</t>
        </is>
      </c>
      <c r="B32" s="5" t="n">
        <v>94.2</v>
      </c>
      <c r="C32" s="5" t="n"/>
      <c r="D32" s="5" t="n"/>
    </row>
    <row r="33">
      <c r="A33" t="inlineStr">
        <is>
          <t>2026-04</t>
        </is>
      </c>
      <c r="B33" s="5" t="n">
        <v>90.09999999999999</v>
      </c>
      <c r="C33" s="5" t="n">
        <v>75.59999999999999</v>
      </c>
      <c r="D33" s="5" t="n">
        <v>76.8</v>
      </c>
    </row>
    <row r="34">
      <c r="A34" t="inlineStr">
        <is>
          <t>2026-05</t>
        </is>
      </c>
      <c r="B34" s="5" t="n">
        <v>45.1</v>
      </c>
      <c r="C34" s="5" t="n">
        <v>14</v>
      </c>
      <c r="D34" s="5" t="n">
        <v>23.9</v>
      </c>
    </row>
    <row r="35">
      <c r="A35" t="inlineStr">
        <is>
          <t>2026-06</t>
        </is>
      </c>
      <c r="B35" s="5" t="n">
        <v>20.3</v>
      </c>
      <c r="C35" s="5" t="n">
        <v>1</v>
      </c>
      <c r="D35" s="5" t="n">
        <v>0</v>
      </c>
    </row>
    <row r="36">
      <c r="A36" t="inlineStr">
        <is>
          <t>2026-07</t>
        </is>
      </c>
      <c r="B36" s="5" t="n">
        <v>14.2</v>
      </c>
      <c r="C36" s="5" t="n">
        <v>0</v>
      </c>
      <c r="D36" s="5" t="n">
        <v>0</v>
      </c>
    </row>
    <row r="37">
      <c r="A37" t="inlineStr">
        <is>
          <t>2026-08</t>
        </is>
      </c>
      <c r="B37" s="5" t="n">
        <v>19</v>
      </c>
      <c r="C37" s="5" t="n">
        <v>0</v>
      </c>
      <c r="D37" s="5" t="n">
        <v>0</v>
      </c>
    </row>
    <row r="38">
      <c r="A38" t="inlineStr">
        <is>
          <t>2026-09</t>
        </is>
      </c>
      <c r="B38" s="5" t="n">
        <v>28.8</v>
      </c>
      <c r="C38" s="5" t="n">
        <v>0</v>
      </c>
      <c r="D38" s="5" t="n">
        <v>0</v>
      </c>
    </row>
    <row r="40">
      <c r="A40" s="12" t="inlineStr">
        <is>
          <t>Спарклайни (мінідіаграми в комірках) openpyxl не підтримує — можна додати вручну: виділити рядок → Вставлення → Спарклайн → Лінія.</t>
        </is>
      </c>
    </row>
  </sheetData>
  <mergeCells count="2">
    <mergeCell ref="A40:F40"/>
    <mergeCell ref="A30:D30"/>
  </mergeCells>
  <conditionalFormatting sqref="B4:B27">
    <cfRule type="colorScale" priority="1">
      <colorScale>
        <cfvo type="min"/>
        <cfvo type="percentile" val="50"/>
        <cfvo type="max"/>
        <color rgb="004472C4"/>
        <color rgb="00FFFFFF"/>
        <color rgb="00C0504D"/>
      </colorScale>
    </cfRule>
  </conditionalFormatting>
  <conditionalFormatting sqref="C4:C27">
    <cfRule type="colorScale" priority="2">
      <colorScale>
        <cfvo type="min"/>
        <cfvo type="percentile" val="50"/>
        <cfvo type="max"/>
        <color rgb="004472C4"/>
        <color rgb="00FFFFFF"/>
        <color rgb="00C0504D"/>
      </colorScale>
    </cfRule>
  </conditionalFormatting>
  <conditionalFormatting sqref="D4:D27">
    <cfRule type="colorScale" priority="3">
      <colorScale>
        <cfvo type="min"/>
        <cfvo type="percentile" val="50"/>
        <cfvo type="max"/>
        <color rgb="004472C4"/>
        <color rgb="00FFFFFF"/>
        <color rgb="00C0504D"/>
      </colorScale>
    </cfRule>
  </conditionalFormatting>
  <conditionalFormatting sqref="E4:E27">
    <cfRule type="colorScale" priority="4">
      <colorScale>
        <cfvo type="min"/>
        <cfvo type="percentile" val="50"/>
        <cfvo type="max"/>
        <color rgb="004472C4"/>
        <color rgb="00FFFFFF"/>
        <color rgb="00C0504D"/>
      </colorScale>
    </cfRule>
  </conditionalFormatting>
  <conditionalFormatting sqref="B32:D38">
    <cfRule type="colorScale" priority="5">
      <colorScale>
        <cfvo type="min"/>
        <cfvo type="percentile" val="50"/>
        <cfvo type="max"/>
        <color rgb="00C0504D"/>
        <color rgb="00FFEB84"/>
        <color rgb="0070AD47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>
      <c r="A1" s="9" t="inlineStr">
        <is>
          <t>Cooling_Calc — калькулятор охолодження квартири</t>
        </is>
      </c>
    </row>
    <row r="2">
      <c r="D2" s="1" t="inlineStr">
        <is>
          <t>Кімната</t>
        </is>
      </c>
      <c r="E2" s="1" t="inlineStr">
        <is>
          <t>k, 1/год</t>
        </is>
      </c>
    </row>
    <row r="3">
      <c r="B3" s="6" t="inlineStr">
        <is>
          <t>Вхідні дані</t>
        </is>
      </c>
      <c r="D3" t="inlineStr">
        <is>
          <t>Кімната</t>
        </is>
      </c>
      <c r="E3" s="13" t="n">
        <v>0.00347873761134067</v>
      </c>
    </row>
    <row r="4">
      <c r="B4" t="inlineStr">
        <is>
          <t>Кімната</t>
        </is>
      </c>
      <c r="C4" s="14" t="inlineStr">
        <is>
          <t>Кімната</t>
        </is>
      </c>
      <c r="D4" t="inlineStr">
        <is>
          <t>Кухня</t>
        </is>
      </c>
      <c r="E4" s="13" t="n">
        <v>0.00221483281920108</v>
      </c>
    </row>
    <row r="5">
      <c r="B5" t="inlineStr">
        <is>
          <t>T0, °C (у кімнаті зараз)</t>
        </is>
      </c>
      <c r="C5" s="15" t="n">
        <v>22</v>
      </c>
      <c r="D5" t="inlineStr">
        <is>
          <t>Кладова</t>
        </is>
      </c>
      <c r="E5" s="13" t="n">
        <v>0.003053875543190893</v>
      </c>
    </row>
    <row r="6">
      <c r="B6" t="inlineStr">
        <is>
          <t>T_вул, °C (надворі)</t>
        </is>
      </c>
      <c r="C6" s="15" t="n">
        <v>-10</v>
      </c>
      <c r="D6" s="16" t="inlineStr">
        <is>
          <t>k з модуля M4 (метод «нічний спад», night_decay_ols)</t>
        </is>
      </c>
    </row>
    <row r="7">
      <c r="B7" t="inlineStr">
        <is>
          <t>поріг, °C</t>
        </is>
      </c>
      <c r="C7" s="15" t="n">
        <v>18</v>
      </c>
    </row>
    <row r="9">
      <c r="B9" t="inlineStr">
        <is>
          <t>k обраної кімнати</t>
        </is>
      </c>
      <c r="C9" s="13">
        <f>INDEX($E$3:$E$5,MATCH(C4,$D$3:$D$5,0))</f>
        <v/>
      </c>
    </row>
    <row r="10">
      <c r="B10" t="inlineStr">
        <is>
          <t>Годин до порога</t>
        </is>
      </c>
      <c r="C10" s="17">
        <f>IFERROR(LN((C5-C6)/(C7-C6))/C9,"перевірте вхідні дані")</f>
        <v/>
      </c>
    </row>
    <row r="11">
      <c r="B11" s="18">
        <f>"Якщо надворі "&amp;TEXT(C6,"0")&amp;" °C, кімната охолоне з "&amp;TEXT(C5,"0")&amp;" до "&amp;TEXT(C7,"0")&amp;" °C приблизно за "&amp;TEXT(C10,"0,0")&amp;" год."</f>
        <v/>
      </c>
    </row>
    <row r="13">
      <c r="B13" s="12" t="inlineStr">
        <is>
          <t>Примітка: k оцінено на літніх даних, довірчий інтервал широкий — уточнимо взимку.</t>
        </is>
      </c>
    </row>
    <row r="16">
      <c r="B16" s="6" t="inlineStr">
        <is>
          <t>Довідкова таблиця: T_вул від −20 до +10 (T0=22, поріг=18)</t>
        </is>
      </c>
    </row>
    <row r="17">
      <c r="B17" t="inlineStr">
        <is>
          <t>T0 (довідка)</t>
        </is>
      </c>
      <c r="C17" t="n">
        <v>22</v>
      </c>
      <c r="D17" t="inlineStr">
        <is>
          <t>поріг (довідка)</t>
        </is>
      </c>
      <c r="E17" t="n">
        <v>18</v>
      </c>
    </row>
    <row r="19">
      <c r="A19" s="1" t="inlineStr">
        <is>
          <t>T_вул, °C</t>
        </is>
      </c>
      <c r="B19" s="1" t="inlineStr">
        <is>
          <t>Кімната, год</t>
        </is>
      </c>
      <c r="C19" s="1" t="inlineStr">
        <is>
          <t>Кухня, год</t>
        </is>
      </c>
      <c r="D19" s="1" t="inlineStr">
        <is>
          <t>Кладова, год</t>
        </is>
      </c>
    </row>
    <row r="20">
      <c r="A20" s="3" t="n">
        <v>-20</v>
      </c>
      <c r="B20" s="4">
        <f>IFERROR(LN(($C$17-$A20)/($E$17-$A20))/k_bedroom,"")</f>
        <v/>
      </c>
      <c r="C20" s="4">
        <f>IFERROR(LN(($C$17-$A20)/($E$17-$A20))/k_kitchen,"")</f>
        <v/>
      </c>
      <c r="D20" s="4">
        <f>IFERROR(LN(($C$17-$A20)/($E$17-$A20))/k_printernya,"")</f>
        <v/>
      </c>
    </row>
    <row r="21">
      <c r="A21" s="3" t="n">
        <v>-15</v>
      </c>
      <c r="B21" s="4">
        <f>IFERROR(LN(($C$17-$A21)/($E$17-$A21))/k_bedroom,"")</f>
        <v/>
      </c>
      <c r="C21" s="4">
        <f>IFERROR(LN(($C$17-$A21)/($E$17-$A21))/k_kitchen,"")</f>
        <v/>
      </c>
      <c r="D21" s="4">
        <f>IFERROR(LN(($C$17-$A21)/($E$17-$A21))/k_printernya,"")</f>
        <v/>
      </c>
    </row>
    <row r="22">
      <c r="A22" s="3" t="n">
        <v>-10</v>
      </c>
      <c r="B22" s="4">
        <f>IFERROR(LN(($C$17-$A22)/($E$17-$A22))/k_bedroom,"")</f>
        <v/>
      </c>
      <c r="C22" s="4">
        <f>IFERROR(LN(($C$17-$A22)/($E$17-$A22))/k_kitchen,"")</f>
        <v/>
      </c>
      <c r="D22" s="4">
        <f>IFERROR(LN(($C$17-$A22)/($E$17-$A22))/k_printernya,"")</f>
        <v/>
      </c>
    </row>
    <row r="23">
      <c r="A23" s="3" t="n">
        <v>-5</v>
      </c>
      <c r="B23" s="4">
        <f>IFERROR(LN(($C$17-$A23)/($E$17-$A23))/k_bedroom,"")</f>
        <v/>
      </c>
      <c r="C23" s="4">
        <f>IFERROR(LN(($C$17-$A23)/($E$17-$A23))/k_kitchen,"")</f>
        <v/>
      </c>
      <c r="D23" s="4">
        <f>IFERROR(LN(($C$17-$A23)/($E$17-$A23))/k_printernya,"")</f>
        <v/>
      </c>
    </row>
    <row r="24">
      <c r="A24" s="3" t="n">
        <v>0</v>
      </c>
      <c r="B24" s="4">
        <f>IFERROR(LN(($C$17-$A24)/($E$17-$A24))/k_bedroom,"")</f>
        <v/>
      </c>
      <c r="C24" s="4">
        <f>IFERROR(LN(($C$17-$A24)/($E$17-$A24))/k_kitchen,"")</f>
        <v/>
      </c>
      <c r="D24" s="4">
        <f>IFERROR(LN(($C$17-$A24)/($E$17-$A24))/k_printernya,"")</f>
        <v/>
      </c>
    </row>
    <row r="25">
      <c r="A25" s="3" t="n">
        <v>5</v>
      </c>
      <c r="B25" s="4">
        <f>IFERROR(LN(($C$17-$A25)/($E$17-$A25))/k_bedroom,"")</f>
        <v/>
      </c>
      <c r="C25" s="4">
        <f>IFERROR(LN(($C$17-$A25)/($E$17-$A25))/k_kitchen,"")</f>
        <v/>
      </c>
      <c r="D25" s="4">
        <f>IFERROR(LN(($C$17-$A25)/($E$17-$A25))/k_printernya,"")</f>
        <v/>
      </c>
    </row>
    <row r="26">
      <c r="A26" s="3" t="n">
        <v>10</v>
      </c>
      <c r="B26" s="4">
        <f>IFERROR(LN(($C$17-$A26)/($E$17-$A26))/k_bedroom,"")</f>
        <v/>
      </c>
      <c r="C26" s="4">
        <f>IFERROR(LN(($C$17-$A26)/($E$17-$A26))/k_kitchen,"")</f>
        <v/>
      </c>
      <c r="D26" s="4">
        <f>IFERROR(LN(($C$17-$A26)/($E$17-$A26))/k_printernya,"")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">
    <mergeCell ref="D6:F6"/>
    <mergeCell ref="B13:G13"/>
    <mergeCell ref="B11:G11"/>
    <mergeCell ref="B16:E16"/>
  </mergeCells>
  <dataValidations count="4">
    <dataValidation sqref="C4" showDropDown="0" showInputMessage="0" showErrorMessage="0" allowBlank="0" type="list">
      <formula1>"Кімната,Кухня,Кладова"</formula1>
    </dataValidation>
    <dataValidation sqref="C5" showDropDown="0" showInputMessage="0" showErrorMessage="1" allowBlank="0" errorTitle="Поза діапазоном" error="T0 має бути між -20 і 40 °C" type="decimal" operator="between">
      <formula1>-20</formula1>
      <formula2>40</formula2>
    </dataValidation>
    <dataValidation sqref="C6" showDropDown="0" showInputMessage="0" showErrorMessage="1" allowBlank="0" errorTitle="Поза діапазоном" error="T_вул має бути між -40 і 40 °C" type="decimal" operator="between">
      <formula1>-40</formula1>
      <formula2>40</formula2>
    </dataValidation>
    <dataValidation sqref="C7" showDropDown="0" showInputMessage="0" showErrorMessage="1" allowBlank="0" errorTitle="Поріг завеликий" error="поріг має бути менше за T0" type="decimal" operator="lessThan">
      <formula1>$C$5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2026-09-15T19:33:40Z</dcterms:created>
  <dcterms:modified xsi:type="dcterms:W3CDTF">2026-09-15T19:33:40Z</dcterms:modified>
</cp:coreProperties>
</file>